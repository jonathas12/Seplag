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EstaPastaDeTrabalho"/>
  <mc:AlternateContent xmlns:mc="http://schemas.openxmlformats.org/markup-compatibility/2006">
    <mc:Choice Requires="x15">
      <x15ac:absPath xmlns:x15ac="http://schemas.microsoft.com/office/spreadsheetml/2010/11/ac" url="C:\Users\ana.karyna\Downloads\"/>
    </mc:Choice>
  </mc:AlternateContent>
  <xr:revisionPtr revIDLastSave="0" documentId="13_ncr:1_{FF428A22-34C4-4FA2-8862-97EFB720D9C7}" xr6:coauthVersionLast="47" xr6:coauthVersionMax="47" xr10:uidLastSave="{00000000-0000-0000-0000-000000000000}"/>
  <bookViews>
    <workbookView xWindow="28690" yWindow="-3200" windowWidth="29020" windowHeight="15700" tabRatio="306" firstSheet="1" activeTab="1" xr2:uid="{00000000-000D-0000-FFFF-FFFF00000000}"/>
  </bookViews>
  <sheets>
    <sheet name="Contagem" sheetId="1" r:id="rId1"/>
    <sheet name="Funções" sheetId="2" r:id="rId2"/>
    <sheet name="Deflatores" sheetId="3" r:id="rId3"/>
    <sheet name="Sumário 1" sheetId="4" r:id="rId4"/>
    <sheet name="Sumário 2" sheetId="5" r:id="rId5"/>
  </sheets>
  <externalReferences>
    <externalReference r:id="rId6"/>
  </externalReferences>
  <definedNames>
    <definedName name="_xlnm._FilterDatabase" localSheetId="1" hidden="1">Funções!$A$7:$O$85</definedName>
    <definedName name="_xlnm.Print_Area" localSheetId="0">Contagem!$A$1:$V$45</definedName>
    <definedName name="TiposDeFuncao" localSheetId="1">Deflatores!$L$37:$L$64</definedName>
    <definedName name="TiposDeManutencao" localSheetId="1">Deflatores!$G$4:$G$38</definedName>
    <definedName name="_xlnm.Print_Titles" localSheetId="1">Funções!$1:$7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73" i="2" l="1"/>
  <c r="I873" i="2"/>
  <c r="H873" i="2" s="1"/>
  <c r="L872" i="2"/>
  <c r="J872" i="2"/>
  <c r="I872" i="2"/>
  <c r="G872" i="2" s="1"/>
  <c r="H872" i="2"/>
  <c r="K872" i="2" s="1"/>
  <c r="K873" i="2" l="1"/>
  <c r="L873" i="2"/>
  <c r="F873" i="2"/>
  <c r="F872" i="2"/>
  <c r="G873" i="2"/>
  <c r="I874" i="2" l="1"/>
  <c r="F874" i="2" s="1"/>
  <c r="J874" i="2"/>
  <c r="L944" i="2"/>
  <c r="L945" i="2"/>
  <c r="L949" i="2"/>
  <c r="L950" i="2"/>
  <c r="K950" i="2" s="1"/>
  <c r="L951" i="2"/>
  <c r="J952" i="2"/>
  <c r="I952" i="2"/>
  <c r="G952" i="2" s="1"/>
  <c r="J951" i="2"/>
  <c r="I951" i="2"/>
  <c r="H951" i="2" s="1"/>
  <c r="J950" i="2"/>
  <c r="I950" i="2"/>
  <c r="G950" i="2" s="1"/>
  <c r="H950" i="2"/>
  <c r="F950" i="2"/>
  <c r="J949" i="2"/>
  <c r="I949" i="2"/>
  <c r="G949" i="2" s="1"/>
  <c r="H949" i="2"/>
  <c r="K949" i="2" s="1"/>
  <c r="F949" i="2"/>
  <c r="J948" i="2"/>
  <c r="I948" i="2"/>
  <c r="H948" i="2" s="1"/>
  <c r="L948" i="2" s="1"/>
  <c r="J947" i="2"/>
  <c r="I947" i="2"/>
  <c r="G947" i="2" s="1"/>
  <c r="J946" i="2"/>
  <c r="I946" i="2"/>
  <c r="H946" i="2" s="1"/>
  <c r="L946" i="2" s="1"/>
  <c r="F946" i="2"/>
  <c r="K945" i="2"/>
  <c r="J945" i="2"/>
  <c r="I945" i="2"/>
  <c r="G945" i="2" s="1"/>
  <c r="H945" i="2"/>
  <c r="F945" i="2"/>
  <c r="I723" i="2"/>
  <c r="F723" i="2" s="1"/>
  <c r="J723" i="2"/>
  <c r="F940" i="2"/>
  <c r="H940" i="2"/>
  <c r="I940" i="2"/>
  <c r="G940" i="2" s="1"/>
  <c r="J940" i="2"/>
  <c r="L940" i="2"/>
  <c r="F941" i="2"/>
  <c r="H941" i="2"/>
  <c r="I941" i="2"/>
  <c r="G941" i="2" s="1"/>
  <c r="J941" i="2"/>
  <c r="L941" i="2"/>
  <c r="K941" i="2" s="1"/>
  <c r="I942" i="2"/>
  <c r="F942" i="2" s="1"/>
  <c r="J942" i="2"/>
  <c r="I943" i="2"/>
  <c r="F943" i="2" s="1"/>
  <c r="J943" i="2"/>
  <c r="G951" i="2" l="1"/>
  <c r="H874" i="2"/>
  <c r="G874" i="2"/>
  <c r="G946" i="2"/>
  <c r="F952" i="2"/>
  <c r="H952" i="2"/>
  <c r="L952" i="2" s="1"/>
  <c r="H947" i="2"/>
  <c r="K948" i="2"/>
  <c r="K951" i="2"/>
  <c r="F951" i="2"/>
  <c r="K946" i="2"/>
  <c r="F948" i="2"/>
  <c r="F947" i="2"/>
  <c r="G948" i="2"/>
  <c r="H723" i="2"/>
  <c r="G723" i="2"/>
  <c r="H942" i="2"/>
  <c r="K942" i="2" s="1"/>
  <c r="G942" i="2"/>
  <c r="K940" i="2"/>
  <c r="G943" i="2"/>
  <c r="L942" i="2"/>
  <c r="H943" i="2"/>
  <c r="L943" i="2" s="1"/>
  <c r="K952" i="2" l="1"/>
  <c r="K947" i="2"/>
  <c r="L947" i="2"/>
  <c r="K874" i="2"/>
  <c r="L874" i="2"/>
  <c r="K723" i="2"/>
  <c r="L723" i="2"/>
  <c r="K943" i="2"/>
  <c r="F935" i="2" l="1"/>
  <c r="H935" i="2"/>
  <c r="I935" i="2"/>
  <c r="G935" i="2" s="1"/>
  <c r="J935" i="2"/>
  <c r="L935" i="2"/>
  <c r="F936" i="2"/>
  <c r="H936" i="2"/>
  <c r="I936" i="2"/>
  <c r="G936" i="2" s="1"/>
  <c r="J936" i="2"/>
  <c r="L936" i="2"/>
  <c r="I937" i="2"/>
  <c r="F937" i="2" s="1"/>
  <c r="J937" i="2"/>
  <c r="I938" i="2"/>
  <c r="G938" i="2" s="1"/>
  <c r="J938" i="2"/>
  <c r="I939" i="2"/>
  <c r="F939" i="2" s="1"/>
  <c r="J939" i="2"/>
  <c r="I65" i="2"/>
  <c r="F65" i="2" s="1"/>
  <c r="J65" i="2"/>
  <c r="I66" i="2"/>
  <c r="G66" i="2" s="1"/>
  <c r="J66" i="2"/>
  <c r="J687" i="2"/>
  <c r="I687" i="2"/>
  <c r="H687" i="2" s="1"/>
  <c r="J689" i="2"/>
  <c r="I689" i="2"/>
  <c r="H689" i="2" s="1"/>
  <c r="L689" i="2" s="1"/>
  <c r="J688" i="2"/>
  <c r="I688" i="2"/>
  <c r="H688" i="2" s="1"/>
  <c r="L688" i="2" s="1"/>
  <c r="J686" i="2"/>
  <c r="I686" i="2"/>
  <c r="H686" i="2" s="1"/>
  <c r="L686" i="2" s="1"/>
  <c r="J685" i="2"/>
  <c r="I685" i="2"/>
  <c r="G685" i="2" s="1"/>
  <c r="J684" i="2"/>
  <c r="I684" i="2"/>
  <c r="G684" i="2" s="1"/>
  <c r="K936" i="2" l="1"/>
  <c r="K935" i="2"/>
  <c r="H937" i="2"/>
  <c r="H938" i="2"/>
  <c r="G937" i="2"/>
  <c r="G939" i="2"/>
  <c r="F938" i="2"/>
  <c r="H939" i="2"/>
  <c r="F685" i="2"/>
  <c r="F688" i="2"/>
  <c r="F66" i="2"/>
  <c r="H65" i="2"/>
  <c r="H66" i="2"/>
  <c r="G65" i="2"/>
  <c r="H685" i="2"/>
  <c r="L685" i="2" s="1"/>
  <c r="G689" i="2"/>
  <c r="H684" i="2"/>
  <c r="L684" i="2" s="1"/>
  <c r="G686" i="2"/>
  <c r="F687" i="2"/>
  <c r="L687" i="2"/>
  <c r="K687" i="2"/>
  <c r="G688" i="2"/>
  <c r="G687" i="2"/>
  <c r="F684" i="2"/>
  <c r="F689" i="2"/>
  <c r="K688" i="2"/>
  <c r="K686" i="2"/>
  <c r="K689" i="2"/>
  <c r="F686" i="2"/>
  <c r="K939" i="2" l="1"/>
  <c r="L939" i="2"/>
  <c r="K938" i="2"/>
  <c r="L938" i="2"/>
  <c r="L937" i="2"/>
  <c r="K937" i="2"/>
  <c r="K685" i="2"/>
  <c r="K684" i="2"/>
  <c r="K66" i="2"/>
  <c r="L66" i="2"/>
  <c r="L65" i="2"/>
  <c r="K65" i="2"/>
  <c r="L50" i="2"/>
  <c r="L52" i="2"/>
  <c r="L53" i="2"/>
  <c r="L926" i="2" l="1"/>
  <c r="L927" i="2"/>
  <c r="L932" i="2"/>
  <c r="L933" i="2"/>
  <c r="J934" i="2"/>
  <c r="I934" i="2"/>
  <c r="H934" i="2" s="1"/>
  <c r="L934" i="2" s="1"/>
  <c r="J933" i="2"/>
  <c r="I933" i="2"/>
  <c r="G933" i="2" s="1"/>
  <c r="H933" i="2"/>
  <c r="F933" i="2"/>
  <c r="J931" i="2"/>
  <c r="I931" i="2"/>
  <c r="H931" i="2" s="1"/>
  <c r="L931" i="2" s="1"/>
  <c r="J930" i="2"/>
  <c r="I930" i="2"/>
  <c r="G930" i="2" s="1"/>
  <c r="J929" i="2"/>
  <c r="I929" i="2"/>
  <c r="F929" i="2" s="1"/>
  <c r="J928" i="2"/>
  <c r="I928" i="2"/>
  <c r="F928" i="2" s="1"/>
  <c r="J927" i="2"/>
  <c r="I927" i="2"/>
  <c r="H927" i="2"/>
  <c r="F927" i="2"/>
  <c r="H928" i="2" l="1"/>
  <c r="K928" i="2" s="1"/>
  <c r="K927" i="2"/>
  <c r="G929" i="2"/>
  <c r="H929" i="2"/>
  <c r="K929" i="2" s="1"/>
  <c r="H930" i="2"/>
  <c r="L930" i="2" s="1"/>
  <c r="K933" i="2"/>
  <c r="F934" i="2"/>
  <c r="G934" i="2"/>
  <c r="K931" i="2"/>
  <c r="K934" i="2"/>
  <c r="F930" i="2"/>
  <c r="G931" i="2"/>
  <c r="F931" i="2"/>
  <c r="L929" i="2" l="1"/>
  <c r="L928" i="2"/>
  <c r="K930" i="2"/>
  <c r="J767" i="2"/>
  <c r="I767" i="2"/>
  <c r="F767" i="2" s="1"/>
  <c r="J748" i="2"/>
  <c r="I748" i="2"/>
  <c r="F748" i="2" s="1"/>
  <c r="J747" i="2"/>
  <c r="I747" i="2"/>
  <c r="H747" i="2" s="1"/>
  <c r="J746" i="2"/>
  <c r="I746" i="2"/>
  <c r="H746" i="2" s="1"/>
  <c r="L746" i="2" s="1"/>
  <c r="G767" i="2" l="1"/>
  <c r="H767" i="2"/>
  <c r="H748" i="2"/>
  <c r="G748" i="2"/>
  <c r="K747" i="2"/>
  <c r="L747" i="2"/>
  <c r="F747" i="2"/>
  <c r="G747" i="2"/>
  <c r="K746" i="2"/>
  <c r="F746" i="2"/>
  <c r="L767" i="2" l="1"/>
  <c r="K767" i="2"/>
  <c r="K748" i="2"/>
  <c r="L748" i="2"/>
  <c r="J745" i="2" l="1"/>
  <c r="I745" i="2"/>
  <c r="G745" i="2" s="1"/>
  <c r="L922" i="2"/>
  <c r="L923" i="2"/>
  <c r="J926" i="2"/>
  <c r="I926" i="2"/>
  <c r="G926" i="2" s="1"/>
  <c r="H926" i="2"/>
  <c r="F926" i="2"/>
  <c r="J925" i="2"/>
  <c r="I925" i="2"/>
  <c r="H925" i="2" s="1"/>
  <c r="L925" i="2" s="1"/>
  <c r="J924" i="2"/>
  <c r="I924" i="2"/>
  <c r="H924" i="2" s="1"/>
  <c r="L924" i="2" s="1"/>
  <c r="J923" i="2"/>
  <c r="I923" i="2"/>
  <c r="G923" i="2" s="1"/>
  <c r="H923" i="2"/>
  <c r="F923" i="2"/>
  <c r="J1307" i="2"/>
  <c r="I1307" i="2"/>
  <c r="H1307" i="2" s="1"/>
  <c r="J1306" i="2"/>
  <c r="I1306" i="2"/>
  <c r="H1306" i="2" s="1"/>
  <c r="H745" i="2" l="1"/>
  <c r="L745" i="2" s="1"/>
  <c r="F745" i="2"/>
  <c r="F925" i="2"/>
  <c r="K923" i="2"/>
  <c r="K926" i="2"/>
  <c r="K924" i="2"/>
  <c r="K925" i="2"/>
  <c r="F924" i="2"/>
  <c r="G925" i="2"/>
  <c r="G924" i="2"/>
  <c r="K1306" i="2"/>
  <c r="L1306" i="2"/>
  <c r="L1307" i="2"/>
  <c r="K1307" i="2"/>
  <c r="F1307" i="2"/>
  <c r="F1306" i="2"/>
  <c r="G1307" i="2"/>
  <c r="G1306" i="2"/>
  <c r="K745" i="2" l="1"/>
  <c r="J667" i="2"/>
  <c r="I667" i="2"/>
  <c r="G667" i="2" s="1"/>
  <c r="H667" i="2" l="1"/>
  <c r="F667" i="2"/>
  <c r="L667" i="2" l="1"/>
  <c r="K667" i="2"/>
  <c r="J1506" i="2" l="1"/>
  <c r="I1506" i="2"/>
  <c r="H1506" i="2" s="1"/>
  <c r="J1153" i="2"/>
  <c r="I1153" i="2"/>
  <c r="H1153" i="2" s="1"/>
  <c r="J898" i="2"/>
  <c r="I898" i="2"/>
  <c r="H898" i="2" s="1"/>
  <c r="J897" i="2"/>
  <c r="I897" i="2"/>
  <c r="G897" i="2" s="1"/>
  <c r="F903" i="2"/>
  <c r="H903" i="2"/>
  <c r="I903" i="2"/>
  <c r="G903" i="2" s="1"/>
  <c r="J903" i="2"/>
  <c r="L903" i="2"/>
  <c r="I904" i="2"/>
  <c r="G904" i="2" s="1"/>
  <c r="J904" i="2"/>
  <c r="F905" i="2"/>
  <c r="H905" i="2"/>
  <c r="I905" i="2"/>
  <c r="G905" i="2" s="1"/>
  <c r="J905" i="2"/>
  <c r="L905" i="2"/>
  <c r="F906" i="2"/>
  <c r="H906" i="2"/>
  <c r="I906" i="2"/>
  <c r="G906" i="2" s="1"/>
  <c r="J906" i="2"/>
  <c r="L906" i="2"/>
  <c r="I907" i="2"/>
  <c r="F907" i="2" s="1"/>
  <c r="J907" i="2"/>
  <c r="I908" i="2"/>
  <c r="F908" i="2" s="1"/>
  <c r="J908" i="2"/>
  <c r="I909" i="2"/>
  <c r="F909" i="2" s="1"/>
  <c r="J909" i="2"/>
  <c r="I910" i="2"/>
  <c r="F910" i="2" s="1"/>
  <c r="J910" i="2"/>
  <c r="I911" i="2"/>
  <c r="G911" i="2" s="1"/>
  <c r="J911" i="2"/>
  <c r="F912" i="2"/>
  <c r="H912" i="2"/>
  <c r="I912" i="2"/>
  <c r="G912" i="2" s="1"/>
  <c r="J912" i="2"/>
  <c r="L912" i="2"/>
  <c r="F913" i="2"/>
  <c r="H913" i="2"/>
  <c r="I913" i="2"/>
  <c r="G913" i="2" s="1"/>
  <c r="J913" i="2"/>
  <c r="L913" i="2"/>
  <c r="I914" i="2"/>
  <c r="G914" i="2" s="1"/>
  <c r="J914" i="2"/>
  <c r="I915" i="2"/>
  <c r="G915" i="2" s="1"/>
  <c r="J915" i="2"/>
  <c r="F916" i="2"/>
  <c r="H916" i="2"/>
  <c r="I916" i="2"/>
  <c r="G916" i="2" s="1"/>
  <c r="J916" i="2"/>
  <c r="L916" i="2"/>
  <c r="F917" i="2"/>
  <c r="H917" i="2"/>
  <c r="I917" i="2"/>
  <c r="G917" i="2" s="1"/>
  <c r="J917" i="2"/>
  <c r="L917" i="2"/>
  <c r="I918" i="2"/>
  <c r="F918" i="2" s="1"/>
  <c r="J918" i="2"/>
  <c r="F919" i="2"/>
  <c r="H919" i="2"/>
  <c r="I919" i="2"/>
  <c r="G919" i="2" s="1"/>
  <c r="J919" i="2"/>
  <c r="L919" i="2"/>
  <c r="F920" i="2"/>
  <c r="H920" i="2"/>
  <c r="I920" i="2"/>
  <c r="G920" i="2" s="1"/>
  <c r="J920" i="2"/>
  <c r="L920" i="2"/>
  <c r="I921" i="2"/>
  <c r="F921" i="2" s="1"/>
  <c r="J921" i="2"/>
  <c r="F922" i="2"/>
  <c r="H922" i="2"/>
  <c r="I922" i="2"/>
  <c r="G922" i="2" s="1"/>
  <c r="J922" i="2"/>
  <c r="L1506" i="2" l="1"/>
  <c r="K1506" i="2"/>
  <c r="F1506" i="2"/>
  <c r="G1506" i="2"/>
  <c r="F1153" i="2"/>
  <c r="L1153" i="2"/>
  <c r="K1153" i="2"/>
  <c r="G1153" i="2"/>
  <c r="K913" i="2"/>
  <c r="K912" i="2"/>
  <c r="F897" i="2"/>
  <c r="K917" i="2"/>
  <c r="K919" i="2"/>
  <c r="H897" i="2"/>
  <c r="K903" i="2"/>
  <c r="G898" i="2"/>
  <c r="L898" i="2"/>
  <c r="K898" i="2"/>
  <c r="F898" i="2"/>
  <c r="K906" i="2"/>
  <c r="K922" i="2"/>
  <c r="K905" i="2"/>
  <c r="F904" i="2"/>
  <c r="H908" i="2"/>
  <c r="K908" i="2" s="1"/>
  <c r="H921" i="2"/>
  <c r="K921" i="2" s="1"/>
  <c r="H914" i="2"/>
  <c r="K914" i="2" s="1"/>
  <c r="F911" i="2"/>
  <c r="G921" i="2"/>
  <c r="F914" i="2"/>
  <c r="K916" i="2"/>
  <c r="K920" i="2"/>
  <c r="H915" i="2"/>
  <c r="H907" i="2"/>
  <c r="G907" i="2"/>
  <c r="F915" i="2"/>
  <c r="H909" i="2"/>
  <c r="G908" i="2"/>
  <c r="H918" i="2"/>
  <c r="H910" i="2"/>
  <c r="G909" i="2"/>
  <c r="G918" i="2"/>
  <c r="H911" i="2"/>
  <c r="G910" i="2"/>
  <c r="H904" i="2"/>
  <c r="L908" i="2" l="1"/>
  <c r="L914" i="2"/>
  <c r="K897" i="2"/>
  <c r="L897" i="2"/>
  <c r="L921" i="2"/>
  <c r="L909" i="2"/>
  <c r="K909" i="2"/>
  <c r="L904" i="2"/>
  <c r="K904" i="2"/>
  <c r="K911" i="2"/>
  <c r="L911" i="2"/>
  <c r="L918" i="2"/>
  <c r="K918" i="2"/>
  <c r="L910" i="2"/>
  <c r="K910" i="2"/>
  <c r="K907" i="2"/>
  <c r="L907" i="2"/>
  <c r="K915" i="2"/>
  <c r="L915" i="2"/>
  <c r="L891" i="2" l="1"/>
  <c r="L892" i="2"/>
  <c r="J901" i="2"/>
  <c r="I901" i="2"/>
  <c r="H901" i="2" s="1"/>
  <c r="L901" i="2" s="1"/>
  <c r="J900" i="2"/>
  <c r="I900" i="2"/>
  <c r="H900" i="2" s="1"/>
  <c r="L900" i="2" s="1"/>
  <c r="J899" i="2"/>
  <c r="I899" i="2"/>
  <c r="H899" i="2" s="1"/>
  <c r="L899" i="2" s="1"/>
  <c r="J896" i="2"/>
  <c r="I896" i="2"/>
  <c r="H896" i="2" s="1"/>
  <c r="L896" i="2" s="1"/>
  <c r="J895" i="2"/>
  <c r="I895" i="2"/>
  <c r="G895" i="2" s="1"/>
  <c r="J894" i="2"/>
  <c r="I894" i="2"/>
  <c r="G894" i="2" s="1"/>
  <c r="J893" i="2"/>
  <c r="I893" i="2"/>
  <c r="H893" i="2" s="1"/>
  <c r="L893" i="2" s="1"/>
  <c r="J892" i="2"/>
  <c r="I892" i="2"/>
  <c r="G892" i="2" s="1"/>
  <c r="H892" i="2"/>
  <c r="F892" i="2"/>
  <c r="G893" i="2" l="1"/>
  <c r="H894" i="2"/>
  <c r="L894" i="2" s="1"/>
  <c r="H895" i="2"/>
  <c r="K895" i="2" s="1"/>
  <c r="F894" i="2"/>
  <c r="K892" i="2"/>
  <c r="G900" i="2"/>
  <c r="F893" i="2"/>
  <c r="F901" i="2"/>
  <c r="K899" i="2"/>
  <c r="K896" i="2"/>
  <c r="K900" i="2"/>
  <c r="K893" i="2"/>
  <c r="K901" i="2"/>
  <c r="F900" i="2"/>
  <c r="G901" i="2"/>
  <c r="F899" i="2"/>
  <c r="G899" i="2"/>
  <c r="F896" i="2"/>
  <c r="F895" i="2"/>
  <c r="G896" i="2"/>
  <c r="K894" i="2" l="1"/>
  <c r="L895" i="2"/>
  <c r="J1296" i="2"/>
  <c r="I1296" i="2"/>
  <c r="G1296" i="2" s="1"/>
  <c r="J889" i="2"/>
  <c r="I889" i="2"/>
  <c r="H889" i="2" s="1"/>
  <c r="J881" i="2"/>
  <c r="I881" i="2"/>
  <c r="H881" i="2" s="1"/>
  <c r="J880" i="2"/>
  <c r="I880" i="2"/>
  <c r="G880" i="2" s="1"/>
  <c r="J879" i="2"/>
  <c r="I879" i="2"/>
  <c r="H879" i="2" s="1"/>
  <c r="F869" i="2"/>
  <c r="H869" i="2"/>
  <c r="I869" i="2"/>
  <c r="G869" i="2" s="1"/>
  <c r="J869" i="2"/>
  <c r="L869" i="2"/>
  <c r="F876" i="2"/>
  <c r="H876" i="2"/>
  <c r="I876" i="2"/>
  <c r="G876" i="2" s="1"/>
  <c r="J876" i="2"/>
  <c r="L876" i="2"/>
  <c r="I877" i="2"/>
  <c r="G877" i="2" s="1"/>
  <c r="J877" i="2"/>
  <c r="I878" i="2"/>
  <c r="H878" i="2" s="1"/>
  <c r="J878" i="2"/>
  <c r="I882" i="2"/>
  <c r="F882" i="2" s="1"/>
  <c r="J882" i="2"/>
  <c r="F883" i="2"/>
  <c r="H883" i="2"/>
  <c r="I883" i="2"/>
  <c r="G883" i="2" s="1"/>
  <c r="J883" i="2"/>
  <c r="L883" i="2"/>
  <c r="F884" i="2"/>
  <c r="H884" i="2"/>
  <c r="I884" i="2"/>
  <c r="G884" i="2" s="1"/>
  <c r="J884" i="2"/>
  <c r="L884" i="2"/>
  <c r="I885" i="2"/>
  <c r="F885" i="2" s="1"/>
  <c r="J885" i="2"/>
  <c r="I886" i="2"/>
  <c r="H886" i="2" s="1"/>
  <c r="J886" i="2"/>
  <c r="I887" i="2"/>
  <c r="F887" i="2" s="1"/>
  <c r="J887" i="2"/>
  <c r="I888" i="2"/>
  <c r="G888" i="2" s="1"/>
  <c r="J888" i="2"/>
  <c r="I890" i="2"/>
  <c r="H890" i="2" s="1"/>
  <c r="J890" i="2"/>
  <c r="F891" i="2"/>
  <c r="H891" i="2"/>
  <c r="I891" i="2"/>
  <c r="G891" i="2" s="1"/>
  <c r="J891" i="2"/>
  <c r="F1296" i="2" l="1"/>
  <c r="H1296" i="2"/>
  <c r="F889" i="2"/>
  <c r="K889" i="2"/>
  <c r="L889" i="2"/>
  <c r="G889" i="2"/>
  <c r="F880" i="2"/>
  <c r="H880" i="2"/>
  <c r="F881" i="2"/>
  <c r="G881" i="2"/>
  <c r="K881" i="2"/>
  <c r="L881" i="2"/>
  <c r="G890" i="2"/>
  <c r="F879" i="2"/>
  <c r="K879" i="2"/>
  <c r="L879" i="2"/>
  <c r="G879" i="2"/>
  <c r="K869" i="2"/>
  <c r="F890" i="2"/>
  <c r="H882" i="2"/>
  <c r="K882" i="2" s="1"/>
  <c r="H885" i="2"/>
  <c r="K885" i="2" s="1"/>
  <c r="G882" i="2"/>
  <c r="G885" i="2"/>
  <c r="F888" i="2"/>
  <c r="K883" i="2"/>
  <c r="K884" i="2"/>
  <c r="G878" i="2"/>
  <c r="K876" i="2"/>
  <c r="F877" i="2"/>
  <c r="F878" i="2"/>
  <c r="K891" i="2"/>
  <c r="L890" i="2"/>
  <c r="K890" i="2"/>
  <c r="K886" i="2"/>
  <c r="L886" i="2"/>
  <c r="L878" i="2"/>
  <c r="K878" i="2"/>
  <c r="H887" i="2"/>
  <c r="G886" i="2"/>
  <c r="H888" i="2"/>
  <c r="G887" i="2"/>
  <c r="F886" i="2"/>
  <c r="H877" i="2"/>
  <c r="L885" i="2" l="1"/>
  <c r="K1296" i="2"/>
  <c r="L1296" i="2"/>
  <c r="L882" i="2"/>
  <c r="L880" i="2"/>
  <c r="K880" i="2"/>
  <c r="L877" i="2"/>
  <c r="K877" i="2"/>
  <c r="K887" i="2"/>
  <c r="L887" i="2"/>
  <c r="K888" i="2"/>
  <c r="L888" i="2"/>
  <c r="J1156" i="2" l="1"/>
  <c r="I1156" i="2"/>
  <c r="H1156" i="2" s="1"/>
  <c r="L833" i="2"/>
  <c r="L834" i="2"/>
  <c r="L840" i="2"/>
  <c r="L841" i="2"/>
  <c r="J847" i="2"/>
  <c r="I847" i="2"/>
  <c r="G847" i="2" s="1"/>
  <c r="H847" i="2"/>
  <c r="F847" i="2"/>
  <c r="J846" i="2"/>
  <c r="I846" i="2"/>
  <c r="H846" i="2" s="1"/>
  <c r="L846" i="2" s="1"/>
  <c r="J845" i="2"/>
  <c r="I845" i="2"/>
  <c r="G845" i="2" s="1"/>
  <c r="J844" i="2"/>
  <c r="I844" i="2"/>
  <c r="H844" i="2" s="1"/>
  <c r="L844" i="2" s="1"/>
  <c r="J843" i="2"/>
  <c r="I843" i="2"/>
  <c r="H843" i="2" s="1"/>
  <c r="L843" i="2" s="1"/>
  <c r="J842" i="2"/>
  <c r="I842" i="2"/>
  <c r="G842" i="2" s="1"/>
  <c r="J841" i="2"/>
  <c r="I841" i="2"/>
  <c r="G841" i="2" s="1"/>
  <c r="H841" i="2"/>
  <c r="F841" i="2"/>
  <c r="J840" i="2"/>
  <c r="I840" i="2"/>
  <c r="G840" i="2" s="1"/>
  <c r="H840" i="2"/>
  <c r="F840" i="2"/>
  <c r="J839" i="2"/>
  <c r="I839" i="2"/>
  <c r="G839" i="2" s="1"/>
  <c r="J838" i="2"/>
  <c r="I838" i="2"/>
  <c r="H838" i="2" s="1"/>
  <c r="L838" i="2" s="1"/>
  <c r="J837" i="2"/>
  <c r="I837" i="2"/>
  <c r="G837" i="2" s="1"/>
  <c r="J836" i="2"/>
  <c r="I836" i="2"/>
  <c r="H836" i="2" s="1"/>
  <c r="L836" i="2" s="1"/>
  <c r="J835" i="2"/>
  <c r="I835" i="2"/>
  <c r="H835" i="2" s="1"/>
  <c r="L835" i="2" s="1"/>
  <c r="J834" i="2"/>
  <c r="I834" i="2"/>
  <c r="G834" i="2" s="1"/>
  <c r="H834" i="2"/>
  <c r="F834" i="2"/>
  <c r="F836" i="2" l="1"/>
  <c r="F1156" i="2"/>
  <c r="G1156" i="2"/>
  <c r="G846" i="2"/>
  <c r="G836" i="2"/>
  <c r="F838" i="2"/>
  <c r="G838" i="2"/>
  <c r="L1156" i="2"/>
  <c r="K1156" i="2"/>
  <c r="F837" i="2"/>
  <c r="H837" i="2"/>
  <c r="K837" i="2" s="1"/>
  <c r="K841" i="2"/>
  <c r="H839" i="2"/>
  <c r="L839" i="2" s="1"/>
  <c r="F839" i="2"/>
  <c r="F845" i="2"/>
  <c r="H842" i="2"/>
  <c r="H845" i="2"/>
  <c r="K847" i="2"/>
  <c r="K840" i="2"/>
  <c r="K834" i="2"/>
  <c r="K838" i="2"/>
  <c r="K844" i="2"/>
  <c r="K835" i="2"/>
  <c r="K846" i="2"/>
  <c r="K836" i="2"/>
  <c r="K843" i="2"/>
  <c r="F846" i="2"/>
  <c r="F844" i="2"/>
  <c r="F835" i="2"/>
  <c r="F843" i="2"/>
  <c r="G844" i="2"/>
  <c r="G835" i="2"/>
  <c r="F842" i="2"/>
  <c r="G843" i="2"/>
  <c r="L837" i="2" l="1"/>
  <c r="K839" i="2"/>
  <c r="L845" i="2"/>
  <c r="K845" i="2"/>
  <c r="K842" i="2"/>
  <c r="L842" i="2"/>
  <c r="F866" i="2"/>
  <c r="H866" i="2"/>
  <c r="I866" i="2"/>
  <c r="G866" i="2" s="1"/>
  <c r="J866" i="2"/>
  <c r="L866" i="2"/>
  <c r="F867" i="2"/>
  <c r="H867" i="2"/>
  <c r="I867" i="2"/>
  <c r="G867" i="2" s="1"/>
  <c r="J867" i="2"/>
  <c r="L867" i="2"/>
  <c r="I868" i="2"/>
  <c r="H868" i="2" s="1"/>
  <c r="J868" i="2"/>
  <c r="F902" i="2"/>
  <c r="H902" i="2"/>
  <c r="I902" i="2"/>
  <c r="G902" i="2" s="1"/>
  <c r="J902" i="2"/>
  <c r="L902" i="2"/>
  <c r="F857" i="2"/>
  <c r="H857" i="2"/>
  <c r="I857" i="2"/>
  <c r="G857" i="2" s="1"/>
  <c r="J857" i="2"/>
  <c r="L857" i="2"/>
  <c r="F858" i="2"/>
  <c r="H858" i="2"/>
  <c r="I858" i="2"/>
  <c r="G858" i="2" s="1"/>
  <c r="J858" i="2"/>
  <c r="L858" i="2"/>
  <c r="I859" i="2"/>
  <c r="H859" i="2" s="1"/>
  <c r="J859" i="2"/>
  <c r="F860" i="2"/>
  <c r="H860" i="2"/>
  <c r="I860" i="2"/>
  <c r="G860" i="2" s="1"/>
  <c r="J860" i="2"/>
  <c r="L860" i="2"/>
  <c r="F861" i="2"/>
  <c r="H861" i="2"/>
  <c r="I861" i="2"/>
  <c r="G861" i="2" s="1"/>
  <c r="J861" i="2"/>
  <c r="L861" i="2"/>
  <c r="I862" i="2"/>
  <c r="G862" i="2" s="1"/>
  <c r="J862" i="2"/>
  <c r="F863" i="2"/>
  <c r="H863" i="2"/>
  <c r="I863" i="2"/>
  <c r="G863" i="2" s="1"/>
  <c r="J863" i="2"/>
  <c r="L863" i="2"/>
  <c r="F864" i="2"/>
  <c r="H864" i="2"/>
  <c r="I864" i="2"/>
  <c r="G864" i="2" s="1"/>
  <c r="J864" i="2"/>
  <c r="L864" i="2"/>
  <c r="I865" i="2"/>
  <c r="G865" i="2" s="1"/>
  <c r="J865" i="2"/>
  <c r="F833" i="2"/>
  <c r="H833" i="2"/>
  <c r="I833" i="2"/>
  <c r="G833" i="2" s="1"/>
  <c r="J833" i="2"/>
  <c r="F848" i="2"/>
  <c r="H848" i="2"/>
  <c r="I848" i="2"/>
  <c r="G848" i="2" s="1"/>
  <c r="J848" i="2"/>
  <c r="L848" i="2"/>
  <c r="I849" i="2"/>
  <c r="F849" i="2" s="1"/>
  <c r="J849" i="2"/>
  <c r="F850" i="2"/>
  <c r="H850" i="2"/>
  <c r="I850" i="2"/>
  <c r="G850" i="2" s="1"/>
  <c r="J850" i="2"/>
  <c r="L850" i="2"/>
  <c r="F851" i="2"/>
  <c r="I851" i="2"/>
  <c r="G851" i="2" s="1"/>
  <c r="J851" i="2"/>
  <c r="I852" i="2"/>
  <c r="H852" i="2" s="1"/>
  <c r="J852" i="2"/>
  <c r="I853" i="2"/>
  <c r="F853" i="2" s="1"/>
  <c r="J853" i="2"/>
  <c r="F854" i="2"/>
  <c r="H854" i="2"/>
  <c r="I854" i="2"/>
  <c r="G854" i="2" s="1"/>
  <c r="J854" i="2"/>
  <c r="L854" i="2"/>
  <c r="F855" i="2"/>
  <c r="H855" i="2"/>
  <c r="I855" i="2"/>
  <c r="G855" i="2" s="1"/>
  <c r="J855" i="2"/>
  <c r="L855" i="2"/>
  <c r="I856" i="2"/>
  <c r="F856" i="2" s="1"/>
  <c r="J856" i="2"/>
  <c r="I1176" i="2"/>
  <c r="F1176" i="2" s="1"/>
  <c r="J1176" i="2"/>
  <c r="I1177" i="2"/>
  <c r="G1177" i="2" s="1"/>
  <c r="J1177" i="2"/>
  <c r="I1178" i="2"/>
  <c r="H1178" i="2" s="1"/>
  <c r="J1178" i="2"/>
  <c r="I1179" i="2"/>
  <c r="F1179" i="2" s="1"/>
  <c r="J1179" i="2"/>
  <c r="K902" i="2" l="1"/>
  <c r="G1179" i="2"/>
  <c r="K854" i="2"/>
  <c r="K864" i="2"/>
  <c r="F1178" i="2"/>
  <c r="K860" i="2"/>
  <c r="K863" i="2"/>
  <c r="F1177" i="2"/>
  <c r="H1179" i="2"/>
  <c r="K850" i="2"/>
  <c r="G1178" i="2"/>
  <c r="G859" i="2"/>
  <c r="G868" i="2"/>
  <c r="K855" i="2"/>
  <c r="K848" i="2"/>
  <c r="K858" i="2"/>
  <c r="K867" i="2"/>
  <c r="K866" i="2"/>
  <c r="L868" i="2"/>
  <c r="K868" i="2"/>
  <c r="F868" i="2"/>
  <c r="K857" i="2"/>
  <c r="K861" i="2"/>
  <c r="H865" i="2"/>
  <c r="F865" i="2"/>
  <c r="H862" i="2"/>
  <c r="F862" i="2"/>
  <c r="L859" i="2"/>
  <c r="K859" i="2"/>
  <c r="F859" i="2"/>
  <c r="K833" i="2"/>
  <c r="H856" i="2"/>
  <c r="G856" i="2"/>
  <c r="H853" i="2"/>
  <c r="G853" i="2"/>
  <c r="G852" i="2"/>
  <c r="L852" i="2"/>
  <c r="K852" i="2"/>
  <c r="F852" i="2"/>
  <c r="H851" i="2"/>
  <c r="H849" i="2"/>
  <c r="G849" i="2"/>
  <c r="L1178" i="2"/>
  <c r="K1178" i="2"/>
  <c r="H1176" i="2"/>
  <c r="H1177" i="2"/>
  <c r="G1176" i="2"/>
  <c r="L94" i="2"/>
  <c r="L95" i="2"/>
  <c r="L99" i="2"/>
  <c r="L101" i="2"/>
  <c r="L102" i="2"/>
  <c r="L103" i="2"/>
  <c r="L108" i="2"/>
  <c r="L1372" i="2"/>
  <c r="L1373" i="2"/>
  <c r="L1377" i="2"/>
  <c r="L1378" i="2"/>
  <c r="L1385" i="2"/>
  <c r="L1386" i="2"/>
  <c r="L1389" i="2"/>
  <c r="L1390" i="2"/>
  <c r="L1393" i="2"/>
  <c r="L1394" i="2"/>
  <c r="L1409" i="2"/>
  <c r="L1410" i="2"/>
  <c r="L1420" i="2"/>
  <c r="L1421" i="2"/>
  <c r="L1423" i="2"/>
  <c r="L1424" i="2"/>
  <c r="L1425" i="2"/>
  <c r="L1426" i="2"/>
  <c r="L1428" i="2"/>
  <c r="F870" i="2"/>
  <c r="H870" i="2"/>
  <c r="I870" i="2"/>
  <c r="G870" i="2" s="1"/>
  <c r="J870" i="2"/>
  <c r="L870" i="2"/>
  <c r="I871" i="2"/>
  <c r="G871" i="2" s="1"/>
  <c r="J871" i="2"/>
  <c r="J51" i="2"/>
  <c r="I51" i="2"/>
  <c r="H51" i="2" s="1"/>
  <c r="L51" i="2" s="1"/>
  <c r="F871" i="2" l="1"/>
  <c r="H871" i="2"/>
  <c r="L871" i="2" s="1"/>
  <c r="K1179" i="2"/>
  <c r="L1179" i="2"/>
  <c r="K865" i="2"/>
  <c r="L865" i="2"/>
  <c r="K862" i="2"/>
  <c r="L862" i="2"/>
  <c r="K856" i="2"/>
  <c r="L856" i="2"/>
  <c r="K853" i="2"/>
  <c r="L853" i="2"/>
  <c r="L851" i="2"/>
  <c r="K851" i="2" s="1"/>
  <c r="K849" i="2"/>
  <c r="L849" i="2"/>
  <c r="K1176" i="2"/>
  <c r="L1176" i="2"/>
  <c r="K1177" i="2"/>
  <c r="L1177" i="2"/>
  <c r="K870" i="2"/>
  <c r="K51" i="2"/>
  <c r="F51" i="2"/>
  <c r="G51" i="2"/>
  <c r="K871" i="2" l="1"/>
  <c r="L825" i="2"/>
  <c r="L826" i="2"/>
  <c r="L830" i="2"/>
  <c r="L831" i="2"/>
  <c r="J832" i="2"/>
  <c r="I832" i="2"/>
  <c r="H832" i="2" s="1"/>
  <c r="L832" i="2" s="1"/>
  <c r="J831" i="2"/>
  <c r="I831" i="2"/>
  <c r="G831" i="2" s="1"/>
  <c r="H831" i="2"/>
  <c r="F831" i="2"/>
  <c r="J830" i="2"/>
  <c r="I830" i="2"/>
  <c r="G830" i="2" s="1"/>
  <c r="H830" i="2"/>
  <c r="F830" i="2"/>
  <c r="J829" i="2"/>
  <c r="I829" i="2"/>
  <c r="H829" i="2" s="1"/>
  <c r="L829" i="2" s="1"/>
  <c r="J828" i="2"/>
  <c r="I828" i="2"/>
  <c r="G828" i="2" s="1"/>
  <c r="J827" i="2"/>
  <c r="I827" i="2"/>
  <c r="F827" i="2" s="1"/>
  <c r="J826" i="2"/>
  <c r="I826" i="2"/>
  <c r="G826" i="2" s="1"/>
  <c r="H826" i="2"/>
  <c r="F826" i="2"/>
  <c r="K831" i="2" l="1"/>
  <c r="F832" i="2"/>
  <c r="K830" i="2"/>
  <c r="K826" i="2"/>
  <c r="G827" i="2"/>
  <c r="K832" i="2"/>
  <c r="K829" i="2"/>
  <c r="H828" i="2"/>
  <c r="L828" i="2" s="1"/>
  <c r="H827" i="2"/>
  <c r="L827" i="2" s="1"/>
  <c r="G832" i="2"/>
  <c r="F829" i="2"/>
  <c r="F828" i="2"/>
  <c r="G829" i="2"/>
  <c r="K827" i="2" l="1"/>
  <c r="K828" i="2"/>
  <c r="J824" i="2" l="1"/>
  <c r="I824" i="2"/>
  <c r="H824" i="2" s="1"/>
  <c r="L824" i="2" s="1"/>
  <c r="J823" i="2"/>
  <c r="I823" i="2"/>
  <c r="G823" i="2" s="1"/>
  <c r="J822" i="2"/>
  <c r="I822" i="2"/>
  <c r="H822" i="2" s="1"/>
  <c r="L822" i="2" s="1"/>
  <c r="J821" i="2"/>
  <c r="I821" i="2"/>
  <c r="G821" i="2" s="1"/>
  <c r="J820" i="2"/>
  <c r="I820" i="2"/>
  <c r="F820" i="2" s="1"/>
  <c r="J819" i="2"/>
  <c r="I819" i="2"/>
  <c r="H819" i="2" s="1"/>
  <c r="J601" i="2"/>
  <c r="I601" i="2"/>
  <c r="H601" i="2" s="1"/>
  <c r="L601" i="2" s="1"/>
  <c r="J600" i="2"/>
  <c r="I600" i="2"/>
  <c r="H600" i="2" s="1"/>
  <c r="L600" i="2" s="1"/>
  <c r="J599" i="2"/>
  <c r="I599" i="2"/>
  <c r="F599" i="2" s="1"/>
  <c r="J598" i="2"/>
  <c r="I598" i="2"/>
  <c r="H598" i="2" s="1"/>
  <c r="L598" i="2" s="1"/>
  <c r="J597" i="2"/>
  <c r="I597" i="2"/>
  <c r="H597" i="2" s="1"/>
  <c r="L597" i="2" s="1"/>
  <c r="J596" i="2"/>
  <c r="I596" i="2"/>
  <c r="F596" i="2" s="1"/>
  <c r="J595" i="2"/>
  <c r="I595" i="2"/>
  <c r="H595" i="2" s="1"/>
  <c r="L595" i="2" s="1"/>
  <c r="J594" i="2"/>
  <c r="I594" i="2"/>
  <c r="F594" i="2" s="1"/>
  <c r="G601" i="2" l="1"/>
  <c r="F821" i="2"/>
  <c r="H821" i="2"/>
  <c r="L821" i="2" s="1"/>
  <c r="H594" i="2"/>
  <c r="L594" i="2" s="1"/>
  <c r="H596" i="2"/>
  <c r="K596" i="2" s="1"/>
  <c r="G820" i="2"/>
  <c r="G594" i="2"/>
  <c r="H820" i="2"/>
  <c r="L820" i="2" s="1"/>
  <c r="G822" i="2"/>
  <c r="K819" i="2"/>
  <c r="L819" i="2"/>
  <c r="G596" i="2"/>
  <c r="G599" i="2"/>
  <c r="F600" i="2"/>
  <c r="F819" i="2"/>
  <c r="G819" i="2"/>
  <c r="H823" i="2"/>
  <c r="K822" i="2"/>
  <c r="K824" i="2"/>
  <c r="F597" i="2"/>
  <c r="H599" i="2"/>
  <c r="L599" i="2" s="1"/>
  <c r="F824" i="2"/>
  <c r="G597" i="2"/>
  <c r="F823" i="2"/>
  <c r="G824" i="2"/>
  <c r="F822" i="2"/>
  <c r="K595" i="2"/>
  <c r="K601" i="2"/>
  <c r="K600" i="2"/>
  <c r="K598" i="2"/>
  <c r="F595" i="2"/>
  <c r="G595" i="2"/>
  <c r="F601" i="2"/>
  <c r="K597" i="2"/>
  <c r="G600" i="2"/>
  <c r="F598" i="2"/>
  <c r="G598" i="2"/>
  <c r="J574" i="2"/>
  <c r="I574" i="2"/>
  <c r="G574" i="2" s="1"/>
  <c r="L596" i="2" l="1"/>
  <c r="K594" i="2"/>
  <c r="K821" i="2"/>
  <c r="K820" i="2"/>
  <c r="F574" i="2"/>
  <c r="H574" i="2"/>
  <c r="K574" i="2" s="1"/>
  <c r="K823" i="2"/>
  <c r="L823" i="2"/>
  <c r="K599" i="2"/>
  <c r="F806" i="2"/>
  <c r="H806" i="2"/>
  <c r="I806" i="2"/>
  <c r="G806" i="2" s="1"/>
  <c r="J806" i="2"/>
  <c r="L806" i="2"/>
  <c r="F807" i="2"/>
  <c r="H807" i="2"/>
  <c r="I807" i="2"/>
  <c r="G807" i="2" s="1"/>
  <c r="J807" i="2"/>
  <c r="L807" i="2"/>
  <c r="I808" i="2"/>
  <c r="H808" i="2" s="1"/>
  <c r="J808" i="2"/>
  <c r="I809" i="2"/>
  <c r="F809" i="2" s="1"/>
  <c r="J809" i="2"/>
  <c r="I810" i="2"/>
  <c r="F810" i="2" s="1"/>
  <c r="J810" i="2"/>
  <c r="I811" i="2"/>
  <c r="G811" i="2" s="1"/>
  <c r="J811" i="2"/>
  <c r="I812" i="2"/>
  <c r="H812" i="2" s="1"/>
  <c r="J812" i="2"/>
  <c r="I813" i="2"/>
  <c r="F813" i="2" s="1"/>
  <c r="J813" i="2"/>
  <c r="I814" i="2"/>
  <c r="F814" i="2" s="1"/>
  <c r="J814" i="2"/>
  <c r="I815" i="2"/>
  <c r="G815" i="2" s="1"/>
  <c r="J815" i="2"/>
  <c r="I816" i="2"/>
  <c r="H816" i="2" s="1"/>
  <c r="J816" i="2"/>
  <c r="I817" i="2"/>
  <c r="F817" i="2" s="1"/>
  <c r="J817" i="2"/>
  <c r="I818" i="2"/>
  <c r="F818" i="2" s="1"/>
  <c r="J818" i="2"/>
  <c r="F825" i="2"/>
  <c r="H825" i="2"/>
  <c r="I825" i="2"/>
  <c r="G825" i="2" s="1"/>
  <c r="J825" i="2"/>
  <c r="F811" i="2" l="1"/>
  <c r="H809" i="2"/>
  <c r="G808" i="2"/>
  <c r="K825" i="2"/>
  <c r="G816" i="2"/>
  <c r="H813" i="2"/>
  <c r="F808" i="2"/>
  <c r="K807" i="2"/>
  <c r="K806" i="2"/>
  <c r="G813" i="2"/>
  <c r="F812" i="2"/>
  <c r="H817" i="2"/>
  <c r="F815" i="2"/>
  <c r="G817" i="2"/>
  <c r="F816" i="2"/>
  <c r="G812" i="2"/>
  <c r="L812" i="2"/>
  <c r="K812" i="2"/>
  <c r="L816" i="2"/>
  <c r="K816" i="2"/>
  <c r="L808" i="2"/>
  <c r="K808" i="2"/>
  <c r="H818" i="2"/>
  <c r="H814" i="2"/>
  <c r="H810" i="2"/>
  <c r="G809" i="2"/>
  <c r="G818" i="2"/>
  <c r="H815" i="2"/>
  <c r="G814" i="2"/>
  <c r="H811" i="2"/>
  <c r="G810" i="2"/>
  <c r="F214" i="2"/>
  <c r="H214" i="2"/>
  <c r="I214" i="2"/>
  <c r="G214" i="2" s="1"/>
  <c r="J214" i="2"/>
  <c r="L214" i="2"/>
  <c r="F215" i="2"/>
  <c r="H215" i="2"/>
  <c r="I215" i="2"/>
  <c r="G215" i="2" s="1"/>
  <c r="J215" i="2"/>
  <c r="L215" i="2"/>
  <c r="I216" i="2"/>
  <c r="H216" i="2" s="1"/>
  <c r="J216" i="2"/>
  <c r="I217" i="2"/>
  <c r="F217" i="2" s="1"/>
  <c r="J217" i="2"/>
  <c r="I218" i="2"/>
  <c r="F218" i="2" s="1"/>
  <c r="J218" i="2"/>
  <c r="F219" i="2"/>
  <c r="H219" i="2"/>
  <c r="I219" i="2"/>
  <c r="G219" i="2" s="1"/>
  <c r="J219" i="2"/>
  <c r="L219" i="2"/>
  <c r="F220" i="2"/>
  <c r="H220" i="2"/>
  <c r="I220" i="2"/>
  <c r="G220" i="2" s="1"/>
  <c r="J220" i="2"/>
  <c r="L220" i="2"/>
  <c r="I418" i="2"/>
  <c r="F418" i="2" s="1"/>
  <c r="J418" i="2"/>
  <c r="K219" i="2" l="1"/>
  <c r="K813" i="2"/>
  <c r="L813" i="2"/>
  <c r="K809" i="2"/>
  <c r="L809" i="2"/>
  <c r="K220" i="2"/>
  <c r="K817" i="2"/>
  <c r="L817" i="2"/>
  <c r="G216" i="2"/>
  <c r="K815" i="2"/>
  <c r="L815" i="2"/>
  <c r="K818" i="2"/>
  <c r="L818" i="2"/>
  <c r="K811" i="2"/>
  <c r="L811" i="2"/>
  <c r="K814" i="2"/>
  <c r="L814" i="2"/>
  <c r="K810" i="2"/>
  <c r="L810" i="2"/>
  <c r="H217" i="2"/>
  <c r="K215" i="2"/>
  <c r="K214" i="2"/>
  <c r="L216" i="2"/>
  <c r="K216" i="2"/>
  <c r="H218" i="2"/>
  <c r="G217" i="2"/>
  <c r="F216" i="2"/>
  <c r="G218" i="2"/>
  <c r="H418" i="2"/>
  <c r="G418" i="2"/>
  <c r="K217" i="2" l="1"/>
  <c r="L217" i="2"/>
  <c r="K218" i="2"/>
  <c r="L218" i="2"/>
  <c r="L418" i="2"/>
  <c r="K418" i="2"/>
  <c r="L732" i="2" l="1"/>
  <c r="L733" i="2"/>
  <c r="L741" i="2"/>
  <c r="L742" i="2"/>
  <c r="L777" i="2"/>
  <c r="L778" i="2"/>
  <c r="L793" i="2"/>
  <c r="L794" i="2"/>
  <c r="L801" i="2"/>
  <c r="L802" i="2"/>
  <c r="J805" i="2" l="1"/>
  <c r="I805" i="2"/>
  <c r="H805" i="2" s="1"/>
  <c r="L805" i="2" s="1"/>
  <c r="J804" i="2"/>
  <c r="I804" i="2"/>
  <c r="G804" i="2" s="1"/>
  <c r="J803" i="2"/>
  <c r="I803" i="2"/>
  <c r="F803" i="2" s="1"/>
  <c r="J802" i="2"/>
  <c r="I802" i="2"/>
  <c r="G802" i="2" s="1"/>
  <c r="H802" i="2"/>
  <c r="K802" i="2" s="1"/>
  <c r="F802" i="2"/>
  <c r="J801" i="2"/>
  <c r="I801" i="2"/>
  <c r="G801" i="2" s="1"/>
  <c r="H801" i="2"/>
  <c r="F801" i="2"/>
  <c r="J800" i="2"/>
  <c r="I800" i="2"/>
  <c r="G800" i="2" s="1"/>
  <c r="J799" i="2"/>
  <c r="I799" i="2"/>
  <c r="G799" i="2" s="1"/>
  <c r="J798" i="2"/>
  <c r="I798" i="2"/>
  <c r="H798" i="2" s="1"/>
  <c r="L798" i="2" s="1"/>
  <c r="J797" i="2"/>
  <c r="I797" i="2"/>
  <c r="H797" i="2" s="1"/>
  <c r="L797" i="2" s="1"/>
  <c r="J796" i="2"/>
  <c r="I796" i="2"/>
  <c r="G796" i="2" s="1"/>
  <c r="J795" i="2"/>
  <c r="I795" i="2"/>
  <c r="F795" i="2" s="1"/>
  <c r="J794" i="2"/>
  <c r="I794" i="2"/>
  <c r="G794" i="2" s="1"/>
  <c r="H794" i="2"/>
  <c r="K794" i="2" s="1"/>
  <c r="F794" i="2"/>
  <c r="J793" i="2"/>
  <c r="I793" i="2"/>
  <c r="G793" i="2" s="1"/>
  <c r="H793" i="2"/>
  <c r="F793" i="2"/>
  <c r="J792" i="2"/>
  <c r="I792" i="2"/>
  <c r="G792" i="2" s="1"/>
  <c r="J791" i="2"/>
  <c r="I791" i="2"/>
  <c r="G791" i="2" s="1"/>
  <c r="J790" i="2"/>
  <c r="I790" i="2"/>
  <c r="H790" i="2" s="1"/>
  <c r="L790" i="2" s="1"/>
  <c r="J789" i="2"/>
  <c r="I789" i="2"/>
  <c r="H789" i="2" s="1"/>
  <c r="L789" i="2" s="1"/>
  <c r="J788" i="2"/>
  <c r="I788" i="2"/>
  <c r="G788" i="2" s="1"/>
  <c r="J787" i="2"/>
  <c r="I787" i="2"/>
  <c r="F787" i="2" s="1"/>
  <c r="J786" i="2"/>
  <c r="I786" i="2"/>
  <c r="G786" i="2" s="1"/>
  <c r="J785" i="2"/>
  <c r="I785" i="2"/>
  <c r="F785" i="2" s="1"/>
  <c r="J784" i="2"/>
  <c r="I784" i="2"/>
  <c r="G784" i="2" s="1"/>
  <c r="J783" i="2"/>
  <c r="I783" i="2"/>
  <c r="G783" i="2" s="1"/>
  <c r="J782" i="2"/>
  <c r="I782" i="2"/>
  <c r="F782" i="2" s="1"/>
  <c r="J781" i="2"/>
  <c r="I781" i="2"/>
  <c r="H781" i="2" s="1"/>
  <c r="L781" i="2" s="1"/>
  <c r="J780" i="2"/>
  <c r="I780" i="2"/>
  <c r="G780" i="2" s="1"/>
  <c r="J779" i="2"/>
  <c r="I779" i="2"/>
  <c r="H779" i="2" s="1"/>
  <c r="L779" i="2" s="1"/>
  <c r="J778" i="2"/>
  <c r="I778" i="2"/>
  <c r="G778" i="2" s="1"/>
  <c r="H778" i="2"/>
  <c r="K778" i="2" s="1"/>
  <c r="F778" i="2"/>
  <c r="J777" i="2"/>
  <c r="I777" i="2"/>
  <c r="G777" i="2" s="1"/>
  <c r="H777" i="2"/>
  <c r="K777" i="2" s="1"/>
  <c r="F777" i="2"/>
  <c r="J776" i="2"/>
  <c r="I776" i="2"/>
  <c r="G776" i="2" s="1"/>
  <c r="J775" i="2"/>
  <c r="I775" i="2"/>
  <c r="H775" i="2" s="1"/>
  <c r="J774" i="2"/>
  <c r="I774" i="2"/>
  <c r="G774" i="2" s="1"/>
  <c r="J773" i="2"/>
  <c r="I773" i="2"/>
  <c r="H773" i="2" s="1"/>
  <c r="L773" i="2" s="1"/>
  <c r="J772" i="2"/>
  <c r="I772" i="2"/>
  <c r="G772" i="2" s="1"/>
  <c r="J771" i="2"/>
  <c r="I771" i="2"/>
  <c r="H771" i="2" s="1"/>
  <c r="L771" i="2" s="1"/>
  <c r="J770" i="2"/>
  <c r="I770" i="2"/>
  <c r="G770" i="2" s="1"/>
  <c r="J769" i="2"/>
  <c r="I769" i="2"/>
  <c r="F769" i="2" s="1"/>
  <c r="J768" i="2"/>
  <c r="I768" i="2"/>
  <c r="G768" i="2" s="1"/>
  <c r="J766" i="2"/>
  <c r="I766" i="2"/>
  <c r="G766" i="2" s="1"/>
  <c r="J765" i="2"/>
  <c r="I765" i="2"/>
  <c r="H765" i="2" s="1"/>
  <c r="L765" i="2" s="1"/>
  <c r="J764" i="2"/>
  <c r="I764" i="2"/>
  <c r="H764" i="2" s="1"/>
  <c r="L764" i="2" s="1"/>
  <c r="J763" i="2"/>
  <c r="I763" i="2"/>
  <c r="G763" i="2" s="1"/>
  <c r="J762" i="2"/>
  <c r="I762" i="2"/>
  <c r="H762" i="2" s="1"/>
  <c r="L762" i="2" s="1"/>
  <c r="J761" i="2"/>
  <c r="I761" i="2"/>
  <c r="G761" i="2" s="1"/>
  <c r="J760" i="2"/>
  <c r="I760" i="2"/>
  <c r="F760" i="2" s="1"/>
  <c r="J759" i="2"/>
  <c r="I759" i="2"/>
  <c r="G759" i="2" s="1"/>
  <c r="J758" i="2"/>
  <c r="I758" i="2"/>
  <c r="H758" i="2" s="1"/>
  <c r="L758" i="2" s="1"/>
  <c r="J757" i="2"/>
  <c r="I757" i="2"/>
  <c r="H757" i="2" s="1"/>
  <c r="L757" i="2" s="1"/>
  <c r="J756" i="2"/>
  <c r="I756" i="2"/>
  <c r="H756" i="2" s="1"/>
  <c r="L756" i="2" s="1"/>
  <c r="J755" i="2"/>
  <c r="I755" i="2"/>
  <c r="G755" i="2" s="1"/>
  <c r="J754" i="2"/>
  <c r="I754" i="2"/>
  <c r="H754" i="2" s="1"/>
  <c r="L754" i="2" s="1"/>
  <c r="J753" i="2"/>
  <c r="I753" i="2"/>
  <c r="G753" i="2" s="1"/>
  <c r="J752" i="2"/>
  <c r="I752" i="2"/>
  <c r="F752" i="2" s="1"/>
  <c r="J751" i="2"/>
  <c r="I751" i="2"/>
  <c r="G751" i="2" s="1"/>
  <c r="J750" i="2"/>
  <c r="I750" i="2"/>
  <c r="G750" i="2" s="1"/>
  <c r="J749" i="2"/>
  <c r="I749" i="2"/>
  <c r="H749" i="2" s="1"/>
  <c r="L749" i="2" s="1"/>
  <c r="J744" i="2"/>
  <c r="I744" i="2"/>
  <c r="H744" i="2" s="1"/>
  <c r="L744" i="2" s="1"/>
  <c r="J743" i="2"/>
  <c r="I743" i="2"/>
  <c r="G743" i="2" s="1"/>
  <c r="J742" i="2"/>
  <c r="I742" i="2"/>
  <c r="G742" i="2" s="1"/>
  <c r="H742" i="2"/>
  <c r="K742" i="2" s="1"/>
  <c r="F742" i="2"/>
  <c r="J741" i="2"/>
  <c r="I741" i="2"/>
  <c r="G741" i="2" s="1"/>
  <c r="H741" i="2"/>
  <c r="K741" i="2" s="1"/>
  <c r="F741" i="2"/>
  <c r="J740" i="2"/>
  <c r="I740" i="2"/>
  <c r="F740" i="2" s="1"/>
  <c r="J739" i="2"/>
  <c r="I739" i="2"/>
  <c r="G739" i="2" s="1"/>
  <c r="J738" i="2"/>
  <c r="I738" i="2"/>
  <c r="F738" i="2" s="1"/>
  <c r="J737" i="2"/>
  <c r="I737" i="2"/>
  <c r="H737" i="2" s="1"/>
  <c r="L737" i="2" s="1"/>
  <c r="J736" i="2"/>
  <c r="I736" i="2"/>
  <c r="H736" i="2" s="1"/>
  <c r="L736" i="2" s="1"/>
  <c r="J735" i="2"/>
  <c r="I735" i="2"/>
  <c r="F735" i="2" s="1"/>
  <c r="J734" i="2"/>
  <c r="I734" i="2"/>
  <c r="H734" i="2" s="1"/>
  <c r="L734" i="2" s="1"/>
  <c r="J733" i="2"/>
  <c r="I733" i="2"/>
  <c r="G733" i="2" s="1"/>
  <c r="H733" i="2"/>
  <c r="F733" i="2"/>
  <c r="H759" i="2" l="1"/>
  <c r="L759" i="2" s="1"/>
  <c r="H768" i="2"/>
  <c r="L768" i="2" s="1"/>
  <c r="H739" i="2"/>
  <c r="L739" i="2" s="1"/>
  <c r="F737" i="2"/>
  <c r="F750" i="2"/>
  <c r="G782" i="2"/>
  <c r="H799" i="2"/>
  <c r="L799" i="2" s="1"/>
  <c r="F757" i="2"/>
  <c r="H791" i="2"/>
  <c r="L791" i="2" s="1"/>
  <c r="H783" i="2"/>
  <c r="L783" i="2" s="1"/>
  <c r="F799" i="2"/>
  <c r="F798" i="2"/>
  <c r="G738" i="2"/>
  <c r="H751" i="2"/>
  <c r="L751" i="2" s="1"/>
  <c r="F774" i="2"/>
  <c r="F790" i="2"/>
  <c r="H738" i="2"/>
  <c r="L738" i="2" s="1"/>
  <c r="H750" i="2"/>
  <c r="L750" i="2" s="1"/>
  <c r="F758" i="2"/>
  <c r="G762" i="2"/>
  <c r="G771" i="2"/>
  <c r="H774" i="2"/>
  <c r="L774" i="2" s="1"/>
  <c r="G758" i="2"/>
  <c r="F766" i="2"/>
  <c r="G754" i="2"/>
  <c r="H766" i="2"/>
  <c r="L766" i="2" s="1"/>
  <c r="H780" i="2"/>
  <c r="K780" i="2" s="1"/>
  <c r="F783" i="2"/>
  <c r="H784" i="2"/>
  <c r="L784" i="2" s="1"/>
  <c r="F791" i="2"/>
  <c r="H792" i="2"/>
  <c r="L792" i="2" s="1"/>
  <c r="H800" i="2"/>
  <c r="L800" i="2" s="1"/>
  <c r="L775" i="2"/>
  <c r="K775" i="2"/>
  <c r="G737" i="2"/>
  <c r="F753" i="2"/>
  <c r="G757" i="2"/>
  <c r="K758" i="2"/>
  <c r="H763" i="2"/>
  <c r="F770" i="2"/>
  <c r="F775" i="2"/>
  <c r="H782" i="2"/>
  <c r="G790" i="2"/>
  <c r="G798" i="2"/>
  <c r="G735" i="2"/>
  <c r="F749" i="2"/>
  <c r="F765" i="2"/>
  <c r="G775" i="2"/>
  <c r="G787" i="2"/>
  <c r="G795" i="2"/>
  <c r="G803" i="2"/>
  <c r="G734" i="2"/>
  <c r="H735" i="2"/>
  <c r="G749" i="2"/>
  <c r="H755" i="2"/>
  <c r="F761" i="2"/>
  <c r="G765" i="2"/>
  <c r="H772" i="2"/>
  <c r="H776" i="2"/>
  <c r="L776" i="2" s="1"/>
  <c r="G779" i="2"/>
  <c r="F786" i="2"/>
  <c r="H787" i="2"/>
  <c r="H788" i="2"/>
  <c r="H795" i="2"/>
  <c r="H796" i="2"/>
  <c r="H803" i="2"/>
  <c r="H804" i="2"/>
  <c r="K793" i="2"/>
  <c r="K733" i="2"/>
  <c r="K801" i="2"/>
  <c r="H743" i="2"/>
  <c r="L743" i="2" s="1"/>
  <c r="K737" i="2"/>
  <c r="K765" i="2"/>
  <c r="K756" i="2"/>
  <c r="K771" i="2"/>
  <c r="K798" i="2"/>
  <c r="K805" i="2"/>
  <c r="K781" i="2"/>
  <c r="K789" i="2"/>
  <c r="K754" i="2"/>
  <c r="K736" i="2"/>
  <c r="K764" i="2"/>
  <c r="K779" i="2"/>
  <c r="K734" i="2"/>
  <c r="K757" i="2"/>
  <c r="K749" i="2"/>
  <c r="K744" i="2"/>
  <c r="K762" i="2"/>
  <c r="K790" i="2"/>
  <c r="K797" i="2"/>
  <c r="K773" i="2"/>
  <c r="F739" i="2"/>
  <c r="G740" i="2"/>
  <c r="F751" i="2"/>
  <c r="G752" i="2"/>
  <c r="H753" i="2"/>
  <c r="L753" i="2" s="1"/>
  <c r="F759" i="2"/>
  <c r="G760" i="2"/>
  <c r="H761" i="2"/>
  <c r="L761" i="2" s="1"/>
  <c r="F768" i="2"/>
  <c r="G769" i="2"/>
  <c r="H770" i="2"/>
  <c r="L770" i="2" s="1"/>
  <c r="F776" i="2"/>
  <c r="F784" i="2"/>
  <c r="G785" i="2"/>
  <c r="H786" i="2"/>
  <c r="L786" i="2" s="1"/>
  <c r="F792" i="2"/>
  <c r="F800" i="2"/>
  <c r="H740" i="2"/>
  <c r="L740" i="2" s="1"/>
  <c r="H752" i="2"/>
  <c r="L752" i="2" s="1"/>
  <c r="H760" i="2"/>
  <c r="L760" i="2" s="1"/>
  <c r="H769" i="2"/>
  <c r="L769" i="2" s="1"/>
  <c r="H785" i="2"/>
  <c r="L785" i="2" s="1"/>
  <c r="F744" i="2"/>
  <c r="F756" i="2"/>
  <c r="F764" i="2"/>
  <c r="F773" i="2"/>
  <c r="F781" i="2"/>
  <c r="F789" i="2"/>
  <c r="F797" i="2"/>
  <c r="F805" i="2"/>
  <c r="G736" i="2"/>
  <c r="F743" i="2"/>
  <c r="G744" i="2"/>
  <c r="F755" i="2"/>
  <c r="G756" i="2"/>
  <c r="F763" i="2"/>
  <c r="G764" i="2"/>
  <c r="F772" i="2"/>
  <c r="G773" i="2"/>
  <c r="F780" i="2"/>
  <c r="G781" i="2"/>
  <c r="F788" i="2"/>
  <c r="G789" i="2"/>
  <c r="F796" i="2"/>
  <c r="G797" i="2"/>
  <c r="F804" i="2"/>
  <c r="G805" i="2"/>
  <c r="F736" i="2"/>
  <c r="F734" i="2"/>
  <c r="F754" i="2"/>
  <c r="F762" i="2"/>
  <c r="F771" i="2"/>
  <c r="F779" i="2"/>
  <c r="K739" i="2" l="1"/>
  <c r="L780" i="2"/>
  <c r="K759" i="2"/>
  <c r="K768" i="2"/>
  <c r="K783" i="2"/>
  <c r="K791" i="2"/>
  <c r="K776" i="2"/>
  <c r="K784" i="2"/>
  <c r="K799" i="2"/>
  <c r="K766" i="2"/>
  <c r="K774" i="2"/>
  <c r="K751" i="2"/>
  <c r="K800" i="2"/>
  <c r="K738" i="2"/>
  <c r="K792" i="2"/>
  <c r="K750" i="2"/>
  <c r="L803" i="2"/>
  <c r="K803" i="2"/>
  <c r="L787" i="2"/>
  <c r="K787" i="2"/>
  <c r="K772" i="2"/>
  <c r="L772" i="2"/>
  <c r="K755" i="2"/>
  <c r="L755" i="2"/>
  <c r="K763" i="2"/>
  <c r="L763" i="2"/>
  <c r="K796" i="2"/>
  <c r="L796" i="2"/>
  <c r="K782" i="2"/>
  <c r="L782" i="2"/>
  <c r="L795" i="2"/>
  <c r="K795" i="2"/>
  <c r="K804" i="2"/>
  <c r="L804" i="2"/>
  <c r="K788" i="2"/>
  <c r="L788" i="2"/>
  <c r="K735" i="2"/>
  <c r="L735" i="2"/>
  <c r="K743" i="2"/>
  <c r="K785" i="2"/>
  <c r="K786" i="2"/>
  <c r="K769" i="2"/>
  <c r="K760" i="2"/>
  <c r="K753" i="2"/>
  <c r="K752" i="2"/>
  <c r="K740" i="2"/>
  <c r="K770" i="2"/>
  <c r="K761" i="2"/>
  <c r="J18" i="2" l="1"/>
  <c r="I18" i="2"/>
  <c r="H18" i="2" s="1"/>
  <c r="J1428" i="2"/>
  <c r="I1428" i="2"/>
  <c r="G1428" i="2" s="1"/>
  <c r="H1428" i="2"/>
  <c r="F1428" i="2"/>
  <c r="J1427" i="2"/>
  <c r="I1427" i="2"/>
  <c r="H1427" i="2" s="1"/>
  <c r="L1427" i="2" s="1"/>
  <c r="J1426" i="2"/>
  <c r="I1426" i="2"/>
  <c r="G1426" i="2" s="1"/>
  <c r="H1426" i="2"/>
  <c r="F1426" i="2"/>
  <c r="J1425" i="2"/>
  <c r="I1425" i="2"/>
  <c r="G1425" i="2" s="1"/>
  <c r="H1425" i="2"/>
  <c r="F1425" i="2"/>
  <c r="J1424" i="2"/>
  <c r="I1424" i="2"/>
  <c r="G1424" i="2" s="1"/>
  <c r="H1424" i="2"/>
  <c r="F1424" i="2"/>
  <c r="J1423" i="2"/>
  <c r="I1423" i="2"/>
  <c r="G1423" i="2" s="1"/>
  <c r="H1423" i="2"/>
  <c r="F1423" i="2"/>
  <c r="J1422" i="2"/>
  <c r="I1422" i="2"/>
  <c r="F1422" i="2" s="1"/>
  <c r="J1421" i="2"/>
  <c r="I1421" i="2"/>
  <c r="G1421" i="2" s="1"/>
  <c r="H1421" i="2"/>
  <c r="F1421" i="2"/>
  <c r="J1420" i="2"/>
  <c r="I1420" i="2"/>
  <c r="G1420" i="2" s="1"/>
  <c r="H1420" i="2"/>
  <c r="F1420" i="2"/>
  <c r="J1419" i="2"/>
  <c r="I1419" i="2"/>
  <c r="H1419" i="2" s="1"/>
  <c r="L1419" i="2" s="1"/>
  <c r="J1418" i="2"/>
  <c r="I1418" i="2"/>
  <c r="G1418" i="2" s="1"/>
  <c r="J1417" i="2"/>
  <c r="I1417" i="2"/>
  <c r="H1417" i="2" s="1"/>
  <c r="L1417" i="2" s="1"/>
  <c r="J1416" i="2"/>
  <c r="I1416" i="2"/>
  <c r="H1416" i="2" s="1"/>
  <c r="L1416" i="2" s="1"/>
  <c r="J1415" i="2"/>
  <c r="I1415" i="2"/>
  <c r="G1415" i="2" s="1"/>
  <c r="J1414" i="2"/>
  <c r="I1414" i="2"/>
  <c r="F1414" i="2" s="1"/>
  <c r="J1413" i="2"/>
  <c r="I1413" i="2"/>
  <c r="F1413" i="2" s="1"/>
  <c r="J1412" i="2"/>
  <c r="I1412" i="2"/>
  <c r="G1412" i="2" s="1"/>
  <c r="J1411" i="2"/>
  <c r="I1411" i="2"/>
  <c r="H1411" i="2" s="1"/>
  <c r="L1411" i="2" s="1"/>
  <c r="J1410" i="2"/>
  <c r="I1410" i="2"/>
  <c r="G1410" i="2" s="1"/>
  <c r="H1410" i="2"/>
  <c r="F1410" i="2"/>
  <c r="J1409" i="2"/>
  <c r="I1409" i="2"/>
  <c r="G1409" i="2" s="1"/>
  <c r="H1409" i="2"/>
  <c r="F1409" i="2"/>
  <c r="J1408" i="2"/>
  <c r="I1408" i="2"/>
  <c r="H1408" i="2" s="1"/>
  <c r="L1408" i="2" s="1"/>
  <c r="J1407" i="2"/>
  <c r="I1407" i="2"/>
  <c r="G1407" i="2" s="1"/>
  <c r="J1406" i="2"/>
  <c r="I1406" i="2"/>
  <c r="F1406" i="2" s="1"/>
  <c r="J1405" i="2"/>
  <c r="I1405" i="2"/>
  <c r="H1405" i="2" s="1"/>
  <c r="L1405" i="2" s="1"/>
  <c r="J1404" i="2"/>
  <c r="I1404" i="2"/>
  <c r="H1404" i="2" s="1"/>
  <c r="L1404" i="2" s="1"/>
  <c r="J1403" i="2"/>
  <c r="I1403" i="2"/>
  <c r="H1403" i="2" s="1"/>
  <c r="L1403" i="2" s="1"/>
  <c r="J1402" i="2"/>
  <c r="I1402" i="2"/>
  <c r="H1402" i="2" s="1"/>
  <c r="L1402" i="2" s="1"/>
  <c r="J1401" i="2"/>
  <c r="I1401" i="2"/>
  <c r="H1401" i="2" s="1"/>
  <c r="L1401" i="2" s="1"/>
  <c r="J1400" i="2"/>
  <c r="I1400" i="2"/>
  <c r="H1400" i="2" s="1"/>
  <c r="L1400" i="2" s="1"/>
  <c r="J1399" i="2"/>
  <c r="I1399" i="2"/>
  <c r="G1399" i="2" s="1"/>
  <c r="J1398" i="2"/>
  <c r="I1398" i="2"/>
  <c r="F1398" i="2" s="1"/>
  <c r="J1397" i="2"/>
  <c r="I1397" i="2"/>
  <c r="H1397" i="2" s="1"/>
  <c r="L1397" i="2" s="1"/>
  <c r="J1396" i="2"/>
  <c r="I1396" i="2"/>
  <c r="H1396" i="2" s="1"/>
  <c r="L1396" i="2" s="1"/>
  <c r="J1395" i="2"/>
  <c r="I1395" i="2"/>
  <c r="H1395" i="2" s="1"/>
  <c r="L1395" i="2" s="1"/>
  <c r="J1394" i="2"/>
  <c r="I1394" i="2"/>
  <c r="G1394" i="2" s="1"/>
  <c r="H1394" i="2"/>
  <c r="F1394" i="2"/>
  <c r="J1393" i="2"/>
  <c r="I1393" i="2"/>
  <c r="G1393" i="2" s="1"/>
  <c r="H1393" i="2"/>
  <c r="F1393" i="2"/>
  <c r="J1392" i="2"/>
  <c r="I1392" i="2"/>
  <c r="H1392" i="2" s="1"/>
  <c r="L1392" i="2" s="1"/>
  <c r="J1391" i="2"/>
  <c r="I1391" i="2"/>
  <c r="G1391" i="2" s="1"/>
  <c r="J1390" i="2"/>
  <c r="I1390" i="2"/>
  <c r="G1390" i="2" s="1"/>
  <c r="H1390" i="2"/>
  <c r="F1390" i="2"/>
  <c r="J1389" i="2"/>
  <c r="I1389" i="2"/>
  <c r="G1389" i="2" s="1"/>
  <c r="H1389" i="2"/>
  <c r="F1389" i="2"/>
  <c r="J1388" i="2"/>
  <c r="I1388" i="2"/>
  <c r="H1388" i="2" s="1"/>
  <c r="L1388" i="2" s="1"/>
  <c r="J1387" i="2"/>
  <c r="I1387" i="2"/>
  <c r="H1387" i="2" s="1"/>
  <c r="L1387" i="2" s="1"/>
  <c r="J1386" i="2"/>
  <c r="I1386" i="2"/>
  <c r="G1386" i="2" s="1"/>
  <c r="H1386" i="2"/>
  <c r="F1386" i="2"/>
  <c r="J1385" i="2"/>
  <c r="I1385" i="2"/>
  <c r="G1385" i="2" s="1"/>
  <c r="H1385" i="2"/>
  <c r="F1385" i="2"/>
  <c r="J1384" i="2"/>
  <c r="I1384" i="2"/>
  <c r="H1384" i="2" s="1"/>
  <c r="L1384" i="2" s="1"/>
  <c r="J1383" i="2"/>
  <c r="I1383" i="2"/>
  <c r="G1383" i="2" s="1"/>
  <c r="J1382" i="2"/>
  <c r="I1382" i="2"/>
  <c r="F1382" i="2" s="1"/>
  <c r="J1381" i="2"/>
  <c r="I1381" i="2"/>
  <c r="H1381" i="2" s="1"/>
  <c r="L1381" i="2" s="1"/>
  <c r="J1380" i="2"/>
  <c r="I1380" i="2"/>
  <c r="H1380" i="2" s="1"/>
  <c r="L1380" i="2" s="1"/>
  <c r="J1379" i="2"/>
  <c r="I1379" i="2"/>
  <c r="H1379" i="2" s="1"/>
  <c r="L1379" i="2" s="1"/>
  <c r="J1378" i="2"/>
  <c r="I1378" i="2"/>
  <c r="G1378" i="2" s="1"/>
  <c r="H1378" i="2"/>
  <c r="F1378" i="2"/>
  <c r="J1377" i="2"/>
  <c r="I1377" i="2"/>
  <c r="G1377" i="2" s="1"/>
  <c r="H1377" i="2"/>
  <c r="F1377" i="2"/>
  <c r="J1376" i="2"/>
  <c r="I1376" i="2"/>
  <c r="H1376" i="2" s="1"/>
  <c r="L1376" i="2" s="1"/>
  <c r="J1375" i="2"/>
  <c r="I1375" i="2"/>
  <c r="G1375" i="2" s="1"/>
  <c r="J1374" i="2"/>
  <c r="I1374" i="2"/>
  <c r="F1374" i="2" s="1"/>
  <c r="J1373" i="2"/>
  <c r="I1373" i="2"/>
  <c r="G1373" i="2" s="1"/>
  <c r="H1373" i="2"/>
  <c r="F1373" i="2"/>
  <c r="L690" i="2"/>
  <c r="L691" i="2"/>
  <c r="L695" i="2"/>
  <c r="L696" i="2"/>
  <c r="L702" i="2"/>
  <c r="L703" i="2"/>
  <c r="L708" i="2"/>
  <c r="L709" i="2"/>
  <c r="L712" i="2"/>
  <c r="L713" i="2"/>
  <c r="L715" i="2"/>
  <c r="L716" i="2"/>
  <c r="L724" i="2"/>
  <c r="L725" i="2"/>
  <c r="L728" i="2"/>
  <c r="L729" i="2"/>
  <c r="J1011" i="2"/>
  <c r="I1011" i="2"/>
  <c r="H1011" i="2" s="1"/>
  <c r="J1010" i="2"/>
  <c r="I1010" i="2"/>
  <c r="G1010" i="2" s="1"/>
  <c r="J1009" i="2"/>
  <c r="I1009" i="2"/>
  <c r="H1009" i="2" s="1"/>
  <c r="J1008" i="2"/>
  <c r="I1008" i="2"/>
  <c r="G1008" i="2" s="1"/>
  <c r="L1137" i="2"/>
  <c r="L1138" i="2"/>
  <c r="J1149" i="2"/>
  <c r="I1149" i="2"/>
  <c r="G1149" i="2" s="1"/>
  <c r="H1149" i="2"/>
  <c r="F1149" i="2"/>
  <c r="J1148" i="2"/>
  <c r="I1148" i="2"/>
  <c r="H1148" i="2" s="1"/>
  <c r="L1148" i="2" s="1"/>
  <c r="J1147" i="2"/>
  <c r="I1147" i="2"/>
  <c r="H1147" i="2" s="1"/>
  <c r="L1147" i="2" s="1"/>
  <c r="J1146" i="2"/>
  <c r="I1146" i="2"/>
  <c r="G1146" i="2" s="1"/>
  <c r="J1145" i="2"/>
  <c r="I1145" i="2"/>
  <c r="F1145" i="2" s="1"/>
  <c r="J1144" i="2"/>
  <c r="I1144" i="2"/>
  <c r="G1144" i="2" s="1"/>
  <c r="J1143" i="2"/>
  <c r="I1143" i="2"/>
  <c r="H1143" i="2" s="1"/>
  <c r="L1143" i="2" s="1"/>
  <c r="J1142" i="2"/>
  <c r="I1142" i="2"/>
  <c r="H1142" i="2" s="1"/>
  <c r="J1141" i="2"/>
  <c r="I1141" i="2"/>
  <c r="H1141" i="2" s="1"/>
  <c r="J1140" i="2"/>
  <c r="I1140" i="2"/>
  <c r="H1140" i="2" s="1"/>
  <c r="L1140" i="2" s="1"/>
  <c r="J1139" i="2"/>
  <c r="I1139" i="2"/>
  <c r="H1139" i="2" s="1"/>
  <c r="L1139" i="2" s="1"/>
  <c r="J1138" i="2"/>
  <c r="I1138" i="2"/>
  <c r="G1138" i="2" s="1"/>
  <c r="H1138" i="2"/>
  <c r="F1138" i="2"/>
  <c r="F1381" i="2" l="1"/>
  <c r="F1008" i="2"/>
  <c r="G1388" i="2"/>
  <c r="H1407" i="2"/>
  <c r="L1407" i="2" s="1"/>
  <c r="K1426" i="2"/>
  <c r="K1394" i="2"/>
  <c r="F1411" i="2"/>
  <c r="H1010" i="2"/>
  <c r="K1010" i="2" s="1"/>
  <c r="K1386" i="2"/>
  <c r="K1385" i="2"/>
  <c r="K1377" i="2"/>
  <c r="K1409" i="2"/>
  <c r="G1374" i="2"/>
  <c r="F1388" i="2"/>
  <c r="K1425" i="2"/>
  <c r="K1378" i="2"/>
  <c r="G1413" i="2"/>
  <c r="G1427" i="2"/>
  <c r="F1140" i="2"/>
  <c r="G1381" i="2"/>
  <c r="H1391" i="2"/>
  <c r="H1413" i="2"/>
  <c r="L1413" i="2" s="1"/>
  <c r="H1375" i="2"/>
  <c r="L1375" i="2" s="1"/>
  <c r="F1379" i="2"/>
  <c r="G1397" i="2"/>
  <c r="H1406" i="2"/>
  <c r="L1406" i="2" s="1"/>
  <c r="H1412" i="2"/>
  <c r="L1412" i="2" s="1"/>
  <c r="K1373" i="2"/>
  <c r="F1419" i="2"/>
  <c r="G1422" i="2"/>
  <c r="F1387" i="2"/>
  <c r="F1404" i="2"/>
  <c r="G1419" i="2"/>
  <c r="H1422" i="2"/>
  <c r="L1422" i="2" s="1"/>
  <c r="F1427" i="2"/>
  <c r="G1398" i="2"/>
  <c r="H1398" i="2"/>
  <c r="L1398" i="2" s="1"/>
  <c r="K1421" i="2"/>
  <c r="K1393" i="2"/>
  <c r="F1412" i="2"/>
  <c r="K1423" i="2"/>
  <c r="K1424" i="2"/>
  <c r="H1399" i="2"/>
  <c r="L1399" i="2" s="1"/>
  <c r="G1406" i="2"/>
  <c r="K1410" i="2"/>
  <c r="K1402" i="2"/>
  <c r="L18" i="2"/>
  <c r="K18" i="2"/>
  <c r="G1379" i="2"/>
  <c r="F1395" i="2"/>
  <c r="F1403" i="2"/>
  <c r="H1145" i="2"/>
  <c r="L1145" i="2" s="1"/>
  <c r="H1383" i="2"/>
  <c r="G1395" i="2"/>
  <c r="F1397" i="2"/>
  <c r="F1402" i="2"/>
  <c r="G1403" i="2"/>
  <c r="F1405" i="2"/>
  <c r="K1420" i="2"/>
  <c r="F18" i="2"/>
  <c r="G1402" i="2"/>
  <c r="G1405" i="2"/>
  <c r="G1414" i="2"/>
  <c r="G18" i="2"/>
  <c r="H1374" i="2"/>
  <c r="L1374" i="2" s="1"/>
  <c r="F1380" i="2"/>
  <c r="G1387" i="2"/>
  <c r="K1390" i="2"/>
  <c r="H1414" i="2"/>
  <c r="L1414" i="2" s="1"/>
  <c r="G1380" i="2"/>
  <c r="F1396" i="2"/>
  <c r="G1382" i="2"/>
  <c r="K1389" i="2"/>
  <c r="G1396" i="2"/>
  <c r="G1404" i="2"/>
  <c r="G1411" i="2"/>
  <c r="F1418" i="2"/>
  <c r="K1428" i="2"/>
  <c r="H1382" i="2"/>
  <c r="H1415" i="2"/>
  <c r="L1415" i="2" s="1"/>
  <c r="H1418" i="2"/>
  <c r="L1418" i="2" s="1"/>
  <c r="K1379" i="2"/>
  <c r="K1417" i="2"/>
  <c r="K1384" i="2"/>
  <c r="K1387" i="2"/>
  <c r="K1400" i="2"/>
  <c r="K1408" i="2"/>
  <c r="K1419" i="2"/>
  <c r="K1376" i="2"/>
  <c r="K1416" i="2"/>
  <c r="K1392" i="2"/>
  <c r="K1411" i="2"/>
  <c r="K1427" i="2"/>
  <c r="K1395" i="2"/>
  <c r="K1403" i="2"/>
  <c r="K1401" i="2"/>
  <c r="K1138" i="2"/>
  <c r="G1141" i="2"/>
  <c r="H1144" i="2"/>
  <c r="L1144" i="2" s="1"/>
  <c r="H1008" i="2"/>
  <c r="F1401" i="2"/>
  <c r="F1417" i="2"/>
  <c r="F1384" i="2"/>
  <c r="K1397" i="2"/>
  <c r="F1400" i="2"/>
  <c r="G1401" i="2"/>
  <c r="G1417" i="2"/>
  <c r="F1376" i="2"/>
  <c r="K1381" i="2"/>
  <c r="F1392" i="2"/>
  <c r="K1405" i="2"/>
  <c r="F1408" i="2"/>
  <c r="F1416" i="2"/>
  <c r="F1375" i="2"/>
  <c r="G1376" i="2"/>
  <c r="K1380" i="2"/>
  <c r="F1383" i="2"/>
  <c r="G1384" i="2"/>
  <c r="K1388" i="2"/>
  <c r="F1391" i="2"/>
  <c r="G1392" i="2"/>
  <c r="K1396" i="2"/>
  <c r="F1399" i="2"/>
  <c r="G1400" i="2"/>
  <c r="K1404" i="2"/>
  <c r="F1407" i="2"/>
  <c r="G1408" i="2"/>
  <c r="F1415" i="2"/>
  <c r="G1416" i="2"/>
  <c r="G1142" i="2"/>
  <c r="G1145" i="2"/>
  <c r="F1148" i="2"/>
  <c r="G1009" i="2"/>
  <c r="K1011" i="2"/>
  <c r="K1009" i="2"/>
  <c r="L1141" i="2"/>
  <c r="K1141" i="2"/>
  <c r="K1142" i="2"/>
  <c r="L1142" i="2"/>
  <c r="F1011" i="2"/>
  <c r="F1144" i="2"/>
  <c r="F1010" i="2"/>
  <c r="G1011" i="2"/>
  <c r="F1142" i="2"/>
  <c r="H1146" i="2"/>
  <c r="L1146" i="2" s="1"/>
  <c r="F1009" i="2"/>
  <c r="F1141" i="2"/>
  <c r="K1143" i="2"/>
  <c r="K1148" i="2"/>
  <c r="K1140" i="2"/>
  <c r="K1139" i="2"/>
  <c r="K1147" i="2"/>
  <c r="F1143" i="2"/>
  <c r="G1143" i="2"/>
  <c r="F1139" i="2"/>
  <c r="G1140" i="2"/>
  <c r="F1147" i="2"/>
  <c r="G1148" i="2"/>
  <c r="G1139" i="2"/>
  <c r="F1146" i="2"/>
  <c r="G1147" i="2"/>
  <c r="K1407" i="2" l="1"/>
  <c r="K1422" i="2"/>
  <c r="K1406" i="2"/>
  <c r="K1382" i="2"/>
  <c r="L1382" i="2"/>
  <c r="K1383" i="2"/>
  <c r="L1383" i="2"/>
  <c r="K1391" i="2"/>
  <c r="L1391" i="2"/>
  <c r="K1146" i="2"/>
  <c r="K1144" i="2"/>
  <c r="K1413" i="2"/>
  <c r="K1414" i="2"/>
  <c r="K1415" i="2"/>
  <c r="K1412" i="2"/>
  <c r="K1375" i="2"/>
  <c r="K1399" i="2"/>
  <c r="K1145" i="2"/>
  <c r="K1398" i="2"/>
  <c r="K1374" i="2"/>
  <c r="K1418" i="2"/>
  <c r="K1008" i="2"/>
  <c r="J732" i="2"/>
  <c r="I732" i="2"/>
  <c r="G732" i="2" s="1"/>
  <c r="H732" i="2"/>
  <c r="K732" i="2" s="1"/>
  <c r="F732" i="2"/>
  <c r="J731" i="2"/>
  <c r="I731" i="2"/>
  <c r="H731" i="2" s="1"/>
  <c r="L731" i="2" s="1"/>
  <c r="J730" i="2"/>
  <c r="I730" i="2"/>
  <c r="F730" i="2" s="1"/>
  <c r="J729" i="2"/>
  <c r="I729" i="2"/>
  <c r="G729" i="2" s="1"/>
  <c r="H729" i="2"/>
  <c r="K729" i="2" s="1"/>
  <c r="F729" i="2"/>
  <c r="J728" i="2"/>
  <c r="I728" i="2"/>
  <c r="G728" i="2" s="1"/>
  <c r="H728" i="2"/>
  <c r="K728" i="2" s="1"/>
  <c r="F728" i="2"/>
  <c r="J727" i="2"/>
  <c r="I727" i="2"/>
  <c r="F727" i="2" s="1"/>
  <c r="J726" i="2"/>
  <c r="I726" i="2"/>
  <c r="G726" i="2" s="1"/>
  <c r="J725" i="2"/>
  <c r="I725" i="2"/>
  <c r="G725" i="2" s="1"/>
  <c r="H725" i="2"/>
  <c r="K725" i="2" s="1"/>
  <c r="F725" i="2"/>
  <c r="J724" i="2"/>
  <c r="I724" i="2"/>
  <c r="G724" i="2" s="1"/>
  <c r="H724" i="2"/>
  <c r="F724" i="2"/>
  <c r="J722" i="2"/>
  <c r="I722" i="2"/>
  <c r="G722" i="2" s="1"/>
  <c r="J721" i="2"/>
  <c r="I721" i="2"/>
  <c r="F721" i="2" s="1"/>
  <c r="J720" i="2"/>
  <c r="I720" i="2"/>
  <c r="H720" i="2" s="1"/>
  <c r="L720" i="2" s="1"/>
  <c r="J719" i="2"/>
  <c r="I719" i="2"/>
  <c r="G719" i="2" s="1"/>
  <c r="J718" i="2"/>
  <c r="I718" i="2"/>
  <c r="F718" i="2" s="1"/>
  <c r="J717" i="2"/>
  <c r="I717" i="2"/>
  <c r="H717" i="2" s="1"/>
  <c r="J716" i="2"/>
  <c r="I716" i="2"/>
  <c r="G716" i="2" s="1"/>
  <c r="H716" i="2"/>
  <c r="K716" i="2" s="1"/>
  <c r="F716" i="2"/>
  <c r="G717" i="2" l="1"/>
  <c r="H721" i="2"/>
  <c r="K721" i="2" s="1"/>
  <c r="H722" i="2"/>
  <c r="K722" i="2" s="1"/>
  <c r="K717" i="2"/>
  <c r="L717" i="2"/>
  <c r="H718" i="2"/>
  <c r="G721" i="2"/>
  <c r="G727" i="2"/>
  <c r="F717" i="2"/>
  <c r="H719" i="2"/>
  <c r="K724" i="2"/>
  <c r="H727" i="2"/>
  <c r="G718" i="2"/>
  <c r="H726" i="2"/>
  <c r="L726" i="2" s="1"/>
  <c r="F726" i="2"/>
  <c r="G730" i="2"/>
  <c r="H730" i="2"/>
  <c r="K731" i="2"/>
  <c r="K720" i="2"/>
  <c r="F722" i="2"/>
  <c r="F731" i="2"/>
  <c r="G731" i="2"/>
  <c r="F720" i="2"/>
  <c r="F719" i="2"/>
  <c r="G720" i="2"/>
  <c r="L722" i="2" l="1"/>
  <c r="L721" i="2"/>
  <c r="K726" i="2"/>
  <c r="K718" i="2"/>
  <c r="L718" i="2"/>
  <c r="K727" i="2"/>
  <c r="L727" i="2"/>
  <c r="K719" i="2"/>
  <c r="L719" i="2"/>
  <c r="K730" i="2"/>
  <c r="L730" i="2"/>
  <c r="J107" i="2"/>
  <c r="I107" i="2"/>
  <c r="H107" i="2" s="1"/>
  <c r="L107" i="2" s="1"/>
  <c r="J1260" i="2"/>
  <c r="I1260" i="2"/>
  <c r="H1260" i="2" s="1"/>
  <c r="L1260" i="2" s="1"/>
  <c r="J1259" i="2"/>
  <c r="I1259" i="2"/>
  <c r="H1259" i="2" s="1"/>
  <c r="L1259" i="2" s="1"/>
  <c r="L1309" i="2"/>
  <c r="L1310" i="2"/>
  <c r="L1322" i="2"/>
  <c r="L1323" i="2"/>
  <c r="L1325" i="2"/>
  <c r="L1326" i="2"/>
  <c r="L1328" i="2"/>
  <c r="L1329" i="2"/>
  <c r="L1333" i="2"/>
  <c r="L1334" i="2"/>
  <c r="L1340" i="2"/>
  <c r="L1341" i="2"/>
  <c r="L1353" i="2"/>
  <c r="L1354" i="2"/>
  <c r="L1356" i="2"/>
  <c r="L1357" i="2"/>
  <c r="L1362" i="2"/>
  <c r="L1363" i="2"/>
  <c r="J1321" i="2"/>
  <c r="I1321" i="2"/>
  <c r="H1321" i="2" s="1"/>
  <c r="L1321" i="2" s="1"/>
  <c r="J1295" i="2"/>
  <c r="I1295" i="2"/>
  <c r="H1295" i="2" s="1"/>
  <c r="L1295" i="2" s="1"/>
  <c r="J1308" i="2"/>
  <c r="I1308" i="2"/>
  <c r="H1308" i="2" s="1"/>
  <c r="L1308" i="2" s="1"/>
  <c r="J1372" i="2"/>
  <c r="I1372" i="2"/>
  <c r="G1372" i="2" s="1"/>
  <c r="H1372" i="2"/>
  <c r="F1372" i="2"/>
  <c r="J1371" i="2"/>
  <c r="I1371" i="2"/>
  <c r="G1371" i="2" s="1"/>
  <c r="J1370" i="2"/>
  <c r="I1370" i="2"/>
  <c r="H1370" i="2" s="1"/>
  <c r="L1370" i="2" s="1"/>
  <c r="J1369" i="2"/>
  <c r="I1369" i="2"/>
  <c r="G1369" i="2" s="1"/>
  <c r="J1368" i="2"/>
  <c r="I1368" i="2"/>
  <c r="F1368" i="2" s="1"/>
  <c r="J1367" i="2"/>
  <c r="I1367" i="2"/>
  <c r="F1367" i="2" s="1"/>
  <c r="J1366" i="2"/>
  <c r="I1366" i="2"/>
  <c r="H1366" i="2" s="1"/>
  <c r="L1366" i="2" s="1"/>
  <c r="J1365" i="2"/>
  <c r="I1365" i="2"/>
  <c r="H1365" i="2" s="1"/>
  <c r="L1365" i="2" s="1"/>
  <c r="J1364" i="2"/>
  <c r="I1364" i="2"/>
  <c r="F1364" i="2" s="1"/>
  <c r="J1363" i="2"/>
  <c r="I1363" i="2"/>
  <c r="G1363" i="2" s="1"/>
  <c r="H1363" i="2"/>
  <c r="F1363" i="2"/>
  <c r="J1362" i="2"/>
  <c r="I1362" i="2"/>
  <c r="G1362" i="2" s="1"/>
  <c r="H1362" i="2"/>
  <c r="F1362" i="2"/>
  <c r="J1361" i="2"/>
  <c r="I1361" i="2"/>
  <c r="G1361" i="2" s="1"/>
  <c r="J1360" i="2"/>
  <c r="I1360" i="2"/>
  <c r="F1360" i="2" s="1"/>
  <c r="J1359" i="2"/>
  <c r="I1359" i="2"/>
  <c r="G1359" i="2" s="1"/>
  <c r="J1358" i="2"/>
  <c r="I1358" i="2"/>
  <c r="H1358" i="2" s="1"/>
  <c r="L1358" i="2" s="1"/>
  <c r="J1357" i="2"/>
  <c r="I1357" i="2"/>
  <c r="G1357" i="2" s="1"/>
  <c r="H1357" i="2"/>
  <c r="F1357" i="2"/>
  <c r="J1356" i="2"/>
  <c r="I1356" i="2"/>
  <c r="G1356" i="2" s="1"/>
  <c r="H1356" i="2"/>
  <c r="F1356" i="2"/>
  <c r="J1355" i="2"/>
  <c r="I1355" i="2"/>
  <c r="H1355" i="2" s="1"/>
  <c r="L1355" i="2" s="1"/>
  <c r="J1354" i="2"/>
  <c r="I1354" i="2"/>
  <c r="G1354" i="2" s="1"/>
  <c r="H1354" i="2"/>
  <c r="F1354" i="2"/>
  <c r="J1353" i="2"/>
  <c r="I1353" i="2"/>
  <c r="G1353" i="2" s="1"/>
  <c r="H1353" i="2"/>
  <c r="F1353" i="2"/>
  <c r="J1352" i="2"/>
  <c r="I1352" i="2"/>
  <c r="F1352" i="2" s="1"/>
  <c r="J1351" i="2"/>
  <c r="I1351" i="2"/>
  <c r="H1351" i="2" s="1"/>
  <c r="L1351" i="2" s="1"/>
  <c r="J1350" i="2"/>
  <c r="I1350" i="2"/>
  <c r="H1350" i="2" s="1"/>
  <c r="L1350" i="2" s="1"/>
  <c r="J1349" i="2"/>
  <c r="I1349" i="2"/>
  <c r="H1349" i="2" s="1"/>
  <c r="L1349" i="2" s="1"/>
  <c r="J1348" i="2"/>
  <c r="I1348" i="2"/>
  <c r="F1348" i="2" s="1"/>
  <c r="J1347" i="2"/>
  <c r="I1347" i="2"/>
  <c r="G1347" i="2" s="1"/>
  <c r="J1346" i="2"/>
  <c r="I1346" i="2"/>
  <c r="H1346" i="2" s="1"/>
  <c r="L1346" i="2" s="1"/>
  <c r="J1345" i="2"/>
  <c r="I1345" i="2"/>
  <c r="G1345" i="2" s="1"/>
  <c r="J1344" i="2"/>
  <c r="I1344" i="2"/>
  <c r="F1344" i="2" s="1"/>
  <c r="J1343" i="2"/>
  <c r="I1343" i="2"/>
  <c r="G1343" i="2" s="1"/>
  <c r="J1342" i="2"/>
  <c r="I1342" i="2"/>
  <c r="H1342" i="2" s="1"/>
  <c r="L1342" i="2" s="1"/>
  <c r="J1341" i="2"/>
  <c r="I1341" i="2"/>
  <c r="G1341" i="2" s="1"/>
  <c r="H1341" i="2"/>
  <c r="F1341" i="2"/>
  <c r="J1340" i="2"/>
  <c r="I1340" i="2"/>
  <c r="G1340" i="2" s="1"/>
  <c r="H1340" i="2"/>
  <c r="F1340" i="2"/>
  <c r="J1339" i="2"/>
  <c r="I1339" i="2"/>
  <c r="G1339" i="2" s="1"/>
  <c r="J1338" i="2"/>
  <c r="I1338" i="2"/>
  <c r="H1338" i="2" s="1"/>
  <c r="L1338" i="2" s="1"/>
  <c r="J1337" i="2"/>
  <c r="I1337" i="2"/>
  <c r="G1337" i="2" s="1"/>
  <c r="J1336" i="2"/>
  <c r="I1336" i="2"/>
  <c r="F1336" i="2" s="1"/>
  <c r="J1335" i="2"/>
  <c r="I1335" i="2"/>
  <c r="F1335" i="2" s="1"/>
  <c r="J1334" i="2"/>
  <c r="I1334" i="2"/>
  <c r="G1334" i="2" s="1"/>
  <c r="H1334" i="2"/>
  <c r="F1334" i="2"/>
  <c r="J1333" i="2"/>
  <c r="I1333" i="2"/>
  <c r="G1333" i="2" s="1"/>
  <c r="H1333" i="2"/>
  <c r="F1333" i="2"/>
  <c r="J1332" i="2"/>
  <c r="I1332" i="2"/>
  <c r="F1332" i="2" s="1"/>
  <c r="J1331" i="2"/>
  <c r="I1331" i="2"/>
  <c r="F1331" i="2" s="1"/>
  <c r="J1330" i="2"/>
  <c r="I1330" i="2"/>
  <c r="H1330" i="2" s="1"/>
  <c r="L1330" i="2" s="1"/>
  <c r="J1329" i="2"/>
  <c r="I1329" i="2"/>
  <c r="G1329" i="2" s="1"/>
  <c r="H1329" i="2"/>
  <c r="F1329" i="2"/>
  <c r="J1328" i="2"/>
  <c r="I1328" i="2"/>
  <c r="G1328" i="2" s="1"/>
  <c r="H1328" i="2"/>
  <c r="F1328" i="2"/>
  <c r="J1327" i="2"/>
  <c r="I1327" i="2"/>
  <c r="H1327" i="2" s="1"/>
  <c r="L1327" i="2" s="1"/>
  <c r="J1326" i="2"/>
  <c r="I1326" i="2"/>
  <c r="G1326" i="2" s="1"/>
  <c r="H1326" i="2"/>
  <c r="F1326" i="2"/>
  <c r="J1325" i="2"/>
  <c r="I1325" i="2"/>
  <c r="G1325" i="2" s="1"/>
  <c r="H1325" i="2"/>
  <c r="F1325" i="2"/>
  <c r="J1324" i="2"/>
  <c r="I1324" i="2"/>
  <c r="F1324" i="2" s="1"/>
  <c r="J1323" i="2"/>
  <c r="I1323" i="2"/>
  <c r="G1323" i="2" s="1"/>
  <c r="H1323" i="2"/>
  <c r="F1323" i="2"/>
  <c r="J1322" i="2"/>
  <c r="I1322" i="2"/>
  <c r="G1322" i="2" s="1"/>
  <c r="H1322" i="2"/>
  <c r="F1322" i="2"/>
  <c r="J1320" i="2"/>
  <c r="I1320" i="2"/>
  <c r="G1320" i="2" s="1"/>
  <c r="J1319" i="2"/>
  <c r="I1319" i="2"/>
  <c r="F1319" i="2" s="1"/>
  <c r="J1318" i="2"/>
  <c r="I1318" i="2"/>
  <c r="H1318" i="2" s="1"/>
  <c r="L1318" i="2" s="1"/>
  <c r="J1317" i="2"/>
  <c r="I1317" i="2"/>
  <c r="H1317" i="2" s="1"/>
  <c r="L1317" i="2" s="1"/>
  <c r="J1316" i="2"/>
  <c r="I1316" i="2"/>
  <c r="H1316" i="2" s="1"/>
  <c r="L1316" i="2" s="1"/>
  <c r="J1315" i="2"/>
  <c r="I1315" i="2"/>
  <c r="F1315" i="2" s="1"/>
  <c r="J1314" i="2"/>
  <c r="I1314" i="2"/>
  <c r="G1314" i="2" s="1"/>
  <c r="J1313" i="2"/>
  <c r="I1313" i="2"/>
  <c r="H1313" i="2" s="1"/>
  <c r="L1313" i="2" s="1"/>
  <c r="J1312" i="2"/>
  <c r="I1312" i="2"/>
  <c r="G1312" i="2" s="1"/>
  <c r="J1311" i="2"/>
  <c r="I1311" i="2"/>
  <c r="F1311" i="2" s="1"/>
  <c r="J1310" i="2"/>
  <c r="I1310" i="2"/>
  <c r="G1310" i="2" s="1"/>
  <c r="H1310" i="2"/>
  <c r="F1310" i="2"/>
  <c r="J1309" i="2"/>
  <c r="I1309" i="2"/>
  <c r="G1309" i="2" s="1"/>
  <c r="H1309" i="2"/>
  <c r="F1309" i="2"/>
  <c r="J1305" i="2"/>
  <c r="I1305" i="2"/>
  <c r="H1305" i="2" s="1"/>
  <c r="L1305" i="2" s="1"/>
  <c r="J1304" i="2"/>
  <c r="I1304" i="2"/>
  <c r="F1304" i="2" s="1"/>
  <c r="J1303" i="2"/>
  <c r="I1303" i="2"/>
  <c r="F1303" i="2" s="1"/>
  <c r="J1302" i="2"/>
  <c r="I1302" i="2"/>
  <c r="H1302" i="2" s="1"/>
  <c r="L1302" i="2" s="1"/>
  <c r="J1301" i="2"/>
  <c r="I1301" i="2"/>
  <c r="G1301" i="2" s="1"/>
  <c r="J1300" i="2"/>
  <c r="I1300" i="2"/>
  <c r="F1300" i="2" s="1"/>
  <c r="J1299" i="2"/>
  <c r="I1299" i="2"/>
  <c r="G1299" i="2" s="1"/>
  <c r="J1298" i="2"/>
  <c r="I1298" i="2"/>
  <c r="H1298" i="2" s="1"/>
  <c r="L1298" i="2" s="1"/>
  <c r="J1297" i="2"/>
  <c r="I1297" i="2"/>
  <c r="H1297" i="2" s="1"/>
  <c r="L1297" i="2" s="1"/>
  <c r="J1294" i="2"/>
  <c r="I1294" i="2"/>
  <c r="F1294" i="2" s="1"/>
  <c r="J1293" i="2"/>
  <c r="I1293" i="2"/>
  <c r="F1293" i="2" s="1"/>
  <c r="J1292" i="2"/>
  <c r="I1292" i="2"/>
  <c r="H1292" i="2" s="1"/>
  <c r="L1292" i="2" s="1"/>
  <c r="J1291" i="2"/>
  <c r="I1291" i="2"/>
  <c r="G1291" i="2" s="1"/>
  <c r="H1291" i="2"/>
  <c r="F1291" i="2"/>
  <c r="L1290" i="2"/>
  <c r="J1290" i="2"/>
  <c r="I1290" i="2"/>
  <c r="G1290" i="2" s="1"/>
  <c r="H1290" i="2"/>
  <c r="F1290" i="2"/>
  <c r="J1289" i="2"/>
  <c r="I1289" i="2"/>
  <c r="H1289" i="2" s="1"/>
  <c r="L1288" i="2"/>
  <c r="J1288" i="2"/>
  <c r="I1288" i="2"/>
  <c r="G1288" i="2" s="1"/>
  <c r="H1288" i="2"/>
  <c r="F1288" i="2"/>
  <c r="J1175" i="2"/>
  <c r="I1175" i="2"/>
  <c r="H1175" i="2" s="1"/>
  <c r="J1174" i="2"/>
  <c r="I1174" i="2"/>
  <c r="H1174" i="2" s="1"/>
  <c r="J1173" i="2"/>
  <c r="I1173" i="2"/>
  <c r="H1173" i="2" s="1"/>
  <c r="J1172" i="2"/>
  <c r="I1172" i="2"/>
  <c r="G1172" i="2" s="1"/>
  <c r="J1171" i="2"/>
  <c r="I1171" i="2"/>
  <c r="H1171" i="2" s="1"/>
  <c r="J1170" i="2"/>
  <c r="I1170" i="2"/>
  <c r="H1170" i="2" s="1"/>
  <c r="J715" i="2"/>
  <c r="I715" i="2"/>
  <c r="G715" i="2" s="1"/>
  <c r="H715" i="2"/>
  <c r="K715" i="2" s="1"/>
  <c r="F715" i="2"/>
  <c r="J714" i="2"/>
  <c r="I714" i="2"/>
  <c r="H714" i="2" s="1"/>
  <c r="L714" i="2" s="1"/>
  <c r="J713" i="2"/>
  <c r="I713" i="2"/>
  <c r="G713" i="2" s="1"/>
  <c r="H713" i="2"/>
  <c r="K713" i="2" s="1"/>
  <c r="F713" i="2"/>
  <c r="J712" i="2"/>
  <c r="I712" i="2"/>
  <c r="G712" i="2" s="1"/>
  <c r="H712" i="2"/>
  <c r="K712" i="2" s="1"/>
  <c r="F712" i="2"/>
  <c r="J711" i="2"/>
  <c r="I711" i="2"/>
  <c r="H711" i="2" s="1"/>
  <c r="L711" i="2" s="1"/>
  <c r="J710" i="2"/>
  <c r="I710" i="2"/>
  <c r="H710" i="2" s="1"/>
  <c r="L710" i="2" s="1"/>
  <c r="J709" i="2"/>
  <c r="I709" i="2"/>
  <c r="G709" i="2" s="1"/>
  <c r="H709" i="2"/>
  <c r="F709" i="2"/>
  <c r="J708" i="2"/>
  <c r="I708" i="2"/>
  <c r="G708" i="2" s="1"/>
  <c r="H708" i="2"/>
  <c r="K708" i="2" s="1"/>
  <c r="F708" i="2"/>
  <c r="J707" i="2"/>
  <c r="I707" i="2"/>
  <c r="G707" i="2" s="1"/>
  <c r="J706" i="2"/>
  <c r="I706" i="2"/>
  <c r="H706" i="2" s="1"/>
  <c r="L706" i="2" s="1"/>
  <c r="J705" i="2"/>
  <c r="I705" i="2"/>
  <c r="G705" i="2" s="1"/>
  <c r="J704" i="2"/>
  <c r="I704" i="2"/>
  <c r="F704" i="2" s="1"/>
  <c r="J703" i="2"/>
  <c r="I703" i="2"/>
  <c r="G703" i="2" s="1"/>
  <c r="H703" i="2"/>
  <c r="K703" i="2" s="1"/>
  <c r="F703" i="2"/>
  <c r="J702" i="2"/>
  <c r="I702" i="2"/>
  <c r="G702" i="2" s="1"/>
  <c r="H702" i="2"/>
  <c r="K702" i="2" s="1"/>
  <c r="F702" i="2"/>
  <c r="J701" i="2"/>
  <c r="I701" i="2"/>
  <c r="H701" i="2" s="1"/>
  <c r="L701" i="2" s="1"/>
  <c r="J700" i="2"/>
  <c r="I700" i="2"/>
  <c r="H700" i="2" s="1"/>
  <c r="L700" i="2" s="1"/>
  <c r="J699" i="2"/>
  <c r="I699" i="2"/>
  <c r="G699" i="2" s="1"/>
  <c r="J698" i="2"/>
  <c r="I698" i="2"/>
  <c r="H698" i="2" s="1"/>
  <c r="L698" i="2" s="1"/>
  <c r="J697" i="2"/>
  <c r="I697" i="2"/>
  <c r="G697" i="2" s="1"/>
  <c r="J696" i="2"/>
  <c r="I696" i="2"/>
  <c r="G696" i="2" s="1"/>
  <c r="H696" i="2"/>
  <c r="K696" i="2" s="1"/>
  <c r="F696" i="2"/>
  <c r="J695" i="2"/>
  <c r="I695" i="2"/>
  <c r="G695" i="2" s="1"/>
  <c r="H695" i="2"/>
  <c r="F695" i="2"/>
  <c r="J694" i="2"/>
  <c r="I694" i="2"/>
  <c r="G694" i="2" s="1"/>
  <c r="J693" i="2"/>
  <c r="I693" i="2"/>
  <c r="G693" i="2" s="1"/>
  <c r="J692" i="2"/>
  <c r="I692" i="2"/>
  <c r="H692" i="2" s="1"/>
  <c r="L692" i="2" s="1"/>
  <c r="J691" i="2"/>
  <c r="I691" i="2"/>
  <c r="G691" i="2" s="1"/>
  <c r="H691" i="2"/>
  <c r="F691" i="2"/>
  <c r="K1354" i="2" l="1"/>
  <c r="K1288" i="2"/>
  <c r="K1341" i="2"/>
  <c r="K1310" i="2"/>
  <c r="K1322" i="2"/>
  <c r="F1260" i="2"/>
  <c r="K107" i="2"/>
  <c r="K1325" i="2"/>
  <c r="F107" i="2"/>
  <c r="G107" i="2"/>
  <c r="G1348" i="2"/>
  <c r="K1259" i="2"/>
  <c r="K1260" i="2"/>
  <c r="F1259" i="2"/>
  <c r="G1260" i="2"/>
  <c r="G1259" i="2"/>
  <c r="K1321" i="2"/>
  <c r="K1333" i="2"/>
  <c r="F1343" i="2"/>
  <c r="K1353" i="2"/>
  <c r="H1359" i="2"/>
  <c r="L1359" i="2" s="1"/>
  <c r="K1362" i="2"/>
  <c r="F1321" i="2"/>
  <c r="G1321" i="2"/>
  <c r="K1290" i="2"/>
  <c r="K1323" i="2"/>
  <c r="K1340" i="2"/>
  <c r="H1293" i="2"/>
  <c r="F1318" i="2"/>
  <c r="G1342" i="2"/>
  <c r="G1366" i="2"/>
  <c r="K1309" i="2"/>
  <c r="G1318" i="2"/>
  <c r="F1349" i="2"/>
  <c r="K1295" i="2"/>
  <c r="H1300" i="2"/>
  <c r="L1300" i="2" s="1"/>
  <c r="H1332" i="2"/>
  <c r="L1332" i="2" s="1"/>
  <c r="H1336" i="2"/>
  <c r="H1339" i="2"/>
  <c r="L1339" i="2" s="1"/>
  <c r="G1355" i="2"/>
  <c r="F1359" i="2"/>
  <c r="K1326" i="2"/>
  <c r="F1330" i="2"/>
  <c r="K1334" i="2"/>
  <c r="H1343" i="2"/>
  <c r="L1343" i="2" s="1"/>
  <c r="K1357" i="2"/>
  <c r="H1364" i="2"/>
  <c r="G1367" i="2"/>
  <c r="G1295" i="2"/>
  <c r="F1295" i="2"/>
  <c r="G1293" i="2"/>
  <c r="F1327" i="2"/>
  <c r="H1347" i="2"/>
  <c r="L1347" i="2" s="1"/>
  <c r="H1371" i="2"/>
  <c r="L1371" i="2" s="1"/>
  <c r="G1327" i="2"/>
  <c r="F1313" i="2"/>
  <c r="H1319" i="2"/>
  <c r="L1319" i="2" s="1"/>
  <c r="F1342" i="2"/>
  <c r="F1350" i="2"/>
  <c r="K1363" i="2"/>
  <c r="G1332" i="2"/>
  <c r="F1339" i="2"/>
  <c r="F1355" i="2"/>
  <c r="G1317" i="2"/>
  <c r="F1316" i="2"/>
  <c r="H1315" i="2"/>
  <c r="F1314" i="2"/>
  <c r="H1314" i="2"/>
  <c r="H1311" i="2"/>
  <c r="L1311" i="2" s="1"/>
  <c r="K1308" i="2"/>
  <c r="K1355" i="2"/>
  <c r="K1329" i="2"/>
  <c r="G1331" i="2"/>
  <c r="G1335" i="2"/>
  <c r="H1344" i="2"/>
  <c r="L1344" i="2" s="1"/>
  <c r="F1347" i="2"/>
  <c r="H1348" i="2"/>
  <c r="L1348" i="2" s="1"/>
  <c r="G1350" i="2"/>
  <c r="H1352" i="2"/>
  <c r="L1352" i="2" s="1"/>
  <c r="F1358" i="2"/>
  <c r="F1365" i="2"/>
  <c r="H1367" i="2"/>
  <c r="L1367" i="2" s="1"/>
  <c r="F1370" i="2"/>
  <c r="K1356" i="2"/>
  <c r="K1291" i="2"/>
  <c r="G1315" i="2"/>
  <c r="F1317" i="2"/>
  <c r="H1331" i="2"/>
  <c r="L1331" i="2" s="1"/>
  <c r="H1335" i="2"/>
  <c r="L1335" i="2" s="1"/>
  <c r="F1338" i="2"/>
  <c r="G1358" i="2"/>
  <c r="H1360" i="2"/>
  <c r="L1360" i="2" s="1"/>
  <c r="G1370" i="2"/>
  <c r="F1308" i="2"/>
  <c r="G1308" i="2"/>
  <c r="K1328" i="2"/>
  <c r="F1351" i="2"/>
  <c r="G1364" i="2"/>
  <c r="F1366" i="2"/>
  <c r="H1368" i="2"/>
  <c r="L1368" i="2" s="1"/>
  <c r="G1294" i="2"/>
  <c r="G1324" i="2"/>
  <c r="G1351" i="2"/>
  <c r="F1371" i="2"/>
  <c r="H1294" i="2"/>
  <c r="L1294" i="2" s="1"/>
  <c r="F1299" i="2"/>
  <c r="H1324" i="2"/>
  <c r="L1324" i="2" s="1"/>
  <c r="F1346" i="2"/>
  <c r="F1305" i="2"/>
  <c r="G1304" i="2"/>
  <c r="H1304" i="2"/>
  <c r="L1304" i="2" s="1"/>
  <c r="F1302" i="2"/>
  <c r="H1303" i="2"/>
  <c r="L1303" i="2" s="1"/>
  <c r="G1303" i="2"/>
  <c r="H1299" i="2"/>
  <c r="L1299" i="2" s="1"/>
  <c r="G1298" i="2"/>
  <c r="F1298" i="2"/>
  <c r="F1297" i="2"/>
  <c r="F1292" i="2"/>
  <c r="G1292" i="2"/>
  <c r="K1298" i="2"/>
  <c r="K1316" i="2"/>
  <c r="K1313" i="2"/>
  <c r="K1342" i="2"/>
  <c r="K1350" i="2"/>
  <c r="K1365" i="2"/>
  <c r="K1338" i="2"/>
  <c r="K1358" i="2"/>
  <c r="K1370" i="2"/>
  <c r="K1297" i="2"/>
  <c r="K1305" i="2"/>
  <c r="K1317" i="2"/>
  <c r="K1292" i="2"/>
  <c r="K1302" i="2"/>
  <c r="K1330" i="2"/>
  <c r="K1349" i="2"/>
  <c r="K1366" i="2"/>
  <c r="K1346" i="2"/>
  <c r="G1300" i="2"/>
  <c r="H1301" i="2"/>
  <c r="L1301" i="2" s="1"/>
  <c r="G1311" i="2"/>
  <c r="H1312" i="2"/>
  <c r="L1312" i="2" s="1"/>
  <c r="G1319" i="2"/>
  <c r="H1320" i="2"/>
  <c r="L1320" i="2" s="1"/>
  <c r="G1336" i="2"/>
  <c r="H1337" i="2"/>
  <c r="L1337" i="2" s="1"/>
  <c r="G1344" i="2"/>
  <c r="H1345" i="2"/>
  <c r="L1345" i="2" s="1"/>
  <c r="G1352" i="2"/>
  <c r="G1360" i="2"/>
  <c r="H1361" i="2"/>
  <c r="L1361" i="2" s="1"/>
  <c r="G1368" i="2"/>
  <c r="H1369" i="2"/>
  <c r="L1369" i="2" s="1"/>
  <c r="G1297" i="2"/>
  <c r="G1305" i="2"/>
  <c r="G1316" i="2"/>
  <c r="G1349" i="2"/>
  <c r="G1365" i="2"/>
  <c r="K1351" i="2"/>
  <c r="K1318" i="2"/>
  <c r="K1327" i="2"/>
  <c r="F1301" i="2"/>
  <c r="G1302" i="2"/>
  <c r="F1312" i="2"/>
  <c r="G1313" i="2"/>
  <c r="F1320" i="2"/>
  <c r="G1330" i="2"/>
  <c r="F1337" i="2"/>
  <c r="G1338" i="2"/>
  <c r="F1345" i="2"/>
  <c r="G1346" i="2"/>
  <c r="F1361" i="2"/>
  <c r="F1369" i="2"/>
  <c r="G1289" i="2"/>
  <c r="K1289" i="2"/>
  <c r="L1289" i="2"/>
  <c r="F1289" i="2"/>
  <c r="H1172" i="2"/>
  <c r="L1172" i="2" s="1"/>
  <c r="G1175" i="2"/>
  <c r="F1174" i="2"/>
  <c r="F1170" i="2"/>
  <c r="K1175" i="2"/>
  <c r="L1175" i="2"/>
  <c r="L1173" i="2"/>
  <c r="K1173" i="2"/>
  <c r="L1174" i="2"/>
  <c r="K1174" i="2"/>
  <c r="F1175" i="2"/>
  <c r="F1173" i="2"/>
  <c r="G1174" i="2"/>
  <c r="F1172" i="2"/>
  <c r="G1173" i="2"/>
  <c r="L1171" i="2"/>
  <c r="K1171" i="2"/>
  <c r="F1171" i="2"/>
  <c r="G1171" i="2"/>
  <c r="G1170" i="2"/>
  <c r="L1170" i="2"/>
  <c r="K1170" i="2"/>
  <c r="F711" i="2"/>
  <c r="F701" i="2"/>
  <c r="H693" i="2"/>
  <c r="H694" i="2"/>
  <c r="H699" i="2"/>
  <c r="G704" i="2"/>
  <c r="F693" i="2"/>
  <c r="K710" i="2"/>
  <c r="K711" i="2"/>
  <c r="K701" i="2"/>
  <c r="F697" i="2"/>
  <c r="H697" i="2"/>
  <c r="L697" i="2" s="1"/>
  <c r="H704" i="2"/>
  <c r="F707" i="2"/>
  <c r="G711" i="2"/>
  <c r="H707" i="2"/>
  <c r="L707" i="2" s="1"/>
  <c r="F710" i="2"/>
  <c r="K691" i="2"/>
  <c r="G710" i="2"/>
  <c r="H705" i="2"/>
  <c r="L705" i="2" s="1"/>
  <c r="F694" i="2"/>
  <c r="K695" i="2"/>
  <c r="F699" i="2"/>
  <c r="G701" i="2"/>
  <c r="K709" i="2"/>
  <c r="K692" i="2"/>
  <c r="K714" i="2"/>
  <c r="K706" i="2"/>
  <c r="K700" i="2"/>
  <c r="K698" i="2"/>
  <c r="F692" i="2"/>
  <c r="F700" i="2"/>
  <c r="G692" i="2"/>
  <c r="G700" i="2"/>
  <c r="F698" i="2"/>
  <c r="F706" i="2"/>
  <c r="F714" i="2"/>
  <c r="G698" i="2"/>
  <c r="F705" i="2"/>
  <c r="G706" i="2"/>
  <c r="G714" i="2"/>
  <c r="K1359" i="2" l="1"/>
  <c r="K699" i="2"/>
  <c r="L699" i="2"/>
  <c r="K704" i="2"/>
  <c r="L704" i="2"/>
  <c r="K694" i="2"/>
  <c r="L694" i="2"/>
  <c r="K693" i="2"/>
  <c r="L693" i="2"/>
  <c r="K1339" i="2"/>
  <c r="K1300" i="2"/>
  <c r="K1368" i="2"/>
  <c r="K1352" i="2"/>
  <c r="K1314" i="2"/>
  <c r="L1314" i="2"/>
  <c r="K1364" i="2"/>
  <c r="L1364" i="2"/>
  <c r="K1293" i="2"/>
  <c r="L1293" i="2"/>
  <c r="K1315" i="2"/>
  <c r="L1315" i="2"/>
  <c r="K1371" i="2"/>
  <c r="K1344" i="2"/>
  <c r="K1311" i="2"/>
  <c r="K1336" i="2"/>
  <c r="L1336" i="2"/>
  <c r="K1319" i="2"/>
  <c r="K1360" i="2"/>
  <c r="K1299" i="2"/>
  <c r="K1347" i="2"/>
  <c r="K1332" i="2"/>
  <c r="K1367" i="2"/>
  <c r="K1343" i="2"/>
  <c r="K1331" i="2"/>
  <c r="K1335" i="2"/>
  <c r="K1324" i="2"/>
  <c r="K1348" i="2"/>
  <c r="K1294" i="2"/>
  <c r="K1304" i="2"/>
  <c r="K1303" i="2"/>
  <c r="K1345" i="2"/>
  <c r="K1301" i="2"/>
  <c r="K1337" i="2"/>
  <c r="K1369" i="2"/>
  <c r="K1320" i="2"/>
  <c r="K1361" i="2"/>
  <c r="K1312" i="2"/>
  <c r="K1172" i="2"/>
  <c r="K705" i="2"/>
  <c r="K707" i="2"/>
  <c r="K697" i="2"/>
  <c r="L1264" i="2"/>
  <c r="L1265" i="2"/>
  <c r="L1269" i="2"/>
  <c r="L1270" i="2"/>
  <c r="L1277" i="2"/>
  <c r="L1278" i="2"/>
  <c r="L1287" i="2"/>
  <c r="L1429" i="2"/>
  <c r="L1430" i="2"/>
  <c r="L1441" i="2"/>
  <c r="L1442" i="2"/>
  <c r="L1457" i="2"/>
  <c r="L1458" i="2"/>
  <c r="L1473" i="2"/>
  <c r="L1474" i="2"/>
  <c r="L1489" i="2"/>
  <c r="L1490" i="2"/>
  <c r="L1504" i="2"/>
  <c r="J1287" i="2"/>
  <c r="I1287" i="2"/>
  <c r="G1287" i="2" s="1"/>
  <c r="H1287" i="2"/>
  <c r="F1287" i="2"/>
  <c r="J1286" i="2"/>
  <c r="I1286" i="2"/>
  <c r="F1286" i="2" s="1"/>
  <c r="J1285" i="2"/>
  <c r="I1285" i="2"/>
  <c r="H1285" i="2" s="1"/>
  <c r="L1285" i="2" s="1"/>
  <c r="J1284" i="2"/>
  <c r="I1284" i="2"/>
  <c r="G1284" i="2" s="1"/>
  <c r="J1283" i="2"/>
  <c r="I1283" i="2"/>
  <c r="F1283" i="2" s="1"/>
  <c r="J1282" i="2"/>
  <c r="I1282" i="2"/>
  <c r="H1282" i="2" s="1"/>
  <c r="L1282" i="2" s="1"/>
  <c r="J1281" i="2"/>
  <c r="I1281" i="2"/>
  <c r="G1281" i="2" s="1"/>
  <c r="J1280" i="2"/>
  <c r="I1280" i="2"/>
  <c r="H1280" i="2" s="1"/>
  <c r="L1280" i="2" s="1"/>
  <c r="J1279" i="2"/>
  <c r="I1279" i="2"/>
  <c r="G1279" i="2" s="1"/>
  <c r="J1278" i="2"/>
  <c r="I1278" i="2"/>
  <c r="G1278" i="2" s="1"/>
  <c r="H1278" i="2"/>
  <c r="F1278" i="2"/>
  <c r="J1277" i="2"/>
  <c r="I1277" i="2"/>
  <c r="G1277" i="2" s="1"/>
  <c r="H1277" i="2"/>
  <c r="F1277" i="2"/>
  <c r="J1276" i="2"/>
  <c r="I1276" i="2"/>
  <c r="G1276" i="2" s="1"/>
  <c r="J1275" i="2"/>
  <c r="I1275" i="2"/>
  <c r="F1275" i="2" s="1"/>
  <c r="J1274" i="2"/>
  <c r="I1274" i="2"/>
  <c r="H1274" i="2" s="1"/>
  <c r="L1274" i="2" s="1"/>
  <c r="J1273" i="2"/>
  <c r="I1273" i="2"/>
  <c r="H1273" i="2" s="1"/>
  <c r="J1272" i="2"/>
  <c r="I1272" i="2"/>
  <c r="H1272" i="2" s="1"/>
  <c r="L1272" i="2" s="1"/>
  <c r="J1271" i="2"/>
  <c r="I1271" i="2"/>
  <c r="G1271" i="2" s="1"/>
  <c r="J1270" i="2"/>
  <c r="I1270" i="2"/>
  <c r="G1270" i="2" s="1"/>
  <c r="H1270" i="2"/>
  <c r="F1270" i="2"/>
  <c r="J1269" i="2"/>
  <c r="I1269" i="2"/>
  <c r="G1269" i="2" s="1"/>
  <c r="H1269" i="2"/>
  <c r="F1269" i="2"/>
  <c r="J1268" i="2"/>
  <c r="I1268" i="2"/>
  <c r="G1268" i="2" s="1"/>
  <c r="J1267" i="2"/>
  <c r="I1267" i="2"/>
  <c r="F1267" i="2" s="1"/>
  <c r="J1266" i="2"/>
  <c r="I1266" i="2"/>
  <c r="H1266" i="2" s="1"/>
  <c r="J1265" i="2"/>
  <c r="I1265" i="2"/>
  <c r="G1265" i="2" s="1"/>
  <c r="H1265" i="2"/>
  <c r="F1265" i="2"/>
  <c r="K1277" i="2" l="1"/>
  <c r="H1283" i="2"/>
  <c r="K1283" i="2" s="1"/>
  <c r="H1279" i="2"/>
  <c r="L1279" i="2" s="1"/>
  <c r="H1271" i="2"/>
  <c r="L1271" i="2" s="1"/>
  <c r="H1275" i="2"/>
  <c r="K1275" i="2" s="1"/>
  <c r="K1269" i="2"/>
  <c r="F1266" i="2"/>
  <c r="H1284" i="2"/>
  <c r="L1284" i="2" s="1"/>
  <c r="K1270" i="2"/>
  <c r="L1273" i="2"/>
  <c r="K1273" i="2"/>
  <c r="K1266" i="2"/>
  <c r="L1266" i="2"/>
  <c r="G1266" i="2"/>
  <c r="F1268" i="2"/>
  <c r="G1286" i="2"/>
  <c r="H1268" i="2"/>
  <c r="L1268" i="2" s="1"/>
  <c r="F1274" i="2"/>
  <c r="F1276" i="2"/>
  <c r="F1282" i="2"/>
  <c r="F1284" i="2"/>
  <c r="H1286" i="2"/>
  <c r="G1274" i="2"/>
  <c r="H1276" i="2"/>
  <c r="L1276" i="2" s="1"/>
  <c r="G1282" i="2"/>
  <c r="L1283" i="2"/>
  <c r="F1273" i="2"/>
  <c r="G1267" i="2"/>
  <c r="G1273" i="2"/>
  <c r="F1281" i="2"/>
  <c r="K1265" i="2"/>
  <c r="H1267" i="2"/>
  <c r="G1275" i="2"/>
  <c r="H1281" i="2"/>
  <c r="G1283" i="2"/>
  <c r="F1285" i="2"/>
  <c r="K1278" i="2"/>
  <c r="K1287" i="2"/>
  <c r="K1280" i="2"/>
  <c r="K1274" i="2"/>
  <c r="K1282" i="2"/>
  <c r="K1272" i="2"/>
  <c r="K1285" i="2"/>
  <c r="F1272" i="2"/>
  <c r="F1280" i="2"/>
  <c r="F1271" i="2"/>
  <c r="G1272" i="2"/>
  <c r="F1279" i="2"/>
  <c r="G1280" i="2"/>
  <c r="G1285" i="2"/>
  <c r="K1279" i="2" l="1"/>
  <c r="K1271" i="2"/>
  <c r="K1284" i="2"/>
  <c r="K1268" i="2"/>
  <c r="L1275" i="2"/>
  <c r="K1267" i="2"/>
  <c r="L1267" i="2"/>
  <c r="K1286" i="2"/>
  <c r="L1286" i="2"/>
  <c r="K1276" i="2"/>
  <c r="L1281" i="2"/>
  <c r="K1281" i="2"/>
  <c r="J1504" i="2"/>
  <c r="I1504" i="2"/>
  <c r="G1504" i="2" s="1"/>
  <c r="H1504" i="2"/>
  <c r="K1504" i="2" s="1"/>
  <c r="F1504" i="2"/>
  <c r="J1503" i="2"/>
  <c r="I1503" i="2"/>
  <c r="G1503" i="2" s="1"/>
  <c r="J1502" i="2"/>
  <c r="I1502" i="2"/>
  <c r="H1502" i="2" s="1"/>
  <c r="L1502" i="2" s="1"/>
  <c r="J1501" i="2"/>
  <c r="I1501" i="2"/>
  <c r="H1501" i="2" s="1"/>
  <c r="J1500" i="2"/>
  <c r="I1500" i="2"/>
  <c r="H1500" i="2" s="1"/>
  <c r="J1499" i="2"/>
  <c r="I1499" i="2"/>
  <c r="G1499" i="2" s="1"/>
  <c r="J1498" i="2"/>
  <c r="I1498" i="2"/>
  <c r="F1498" i="2" s="1"/>
  <c r="J1497" i="2"/>
  <c r="I1497" i="2"/>
  <c r="H1497" i="2" s="1"/>
  <c r="J1496" i="2"/>
  <c r="I1496" i="2"/>
  <c r="H1496" i="2" s="1"/>
  <c r="L1496" i="2" s="1"/>
  <c r="J1495" i="2"/>
  <c r="I1495" i="2"/>
  <c r="G1495" i="2" s="1"/>
  <c r="J1494" i="2"/>
  <c r="I1494" i="2"/>
  <c r="H1494" i="2" s="1"/>
  <c r="L1494" i="2" s="1"/>
  <c r="J1493" i="2"/>
  <c r="I1493" i="2"/>
  <c r="H1493" i="2" s="1"/>
  <c r="J1492" i="2"/>
  <c r="I1492" i="2"/>
  <c r="H1492" i="2" s="1"/>
  <c r="J1491" i="2"/>
  <c r="I1491" i="2"/>
  <c r="G1491" i="2" s="1"/>
  <c r="J1490" i="2"/>
  <c r="I1490" i="2"/>
  <c r="G1490" i="2" s="1"/>
  <c r="H1490" i="2"/>
  <c r="K1490" i="2" s="1"/>
  <c r="F1490" i="2"/>
  <c r="J1489" i="2"/>
  <c r="I1489" i="2"/>
  <c r="G1489" i="2" s="1"/>
  <c r="H1489" i="2"/>
  <c r="K1489" i="2" s="1"/>
  <c r="F1489" i="2"/>
  <c r="J1488" i="2"/>
  <c r="I1488" i="2"/>
  <c r="H1488" i="2" s="1"/>
  <c r="L1488" i="2" s="1"/>
  <c r="J1487" i="2"/>
  <c r="I1487" i="2"/>
  <c r="G1487" i="2" s="1"/>
  <c r="J1486" i="2"/>
  <c r="I1486" i="2"/>
  <c r="H1486" i="2" s="1"/>
  <c r="L1486" i="2" s="1"/>
  <c r="J1485" i="2"/>
  <c r="I1485" i="2"/>
  <c r="G1485" i="2" s="1"/>
  <c r="J1484" i="2"/>
  <c r="I1484" i="2"/>
  <c r="F1484" i="2" s="1"/>
  <c r="J1483" i="2"/>
  <c r="I1483" i="2"/>
  <c r="G1483" i="2" s="1"/>
  <c r="J1482" i="2"/>
  <c r="I1482" i="2"/>
  <c r="F1482" i="2" s="1"/>
  <c r="J1481" i="2"/>
  <c r="I1481" i="2"/>
  <c r="G1481" i="2" s="1"/>
  <c r="J1480" i="2"/>
  <c r="I1480" i="2"/>
  <c r="H1480" i="2" s="1"/>
  <c r="L1480" i="2" s="1"/>
  <c r="J1479" i="2"/>
  <c r="I1479" i="2"/>
  <c r="G1479" i="2" s="1"/>
  <c r="J1478" i="2"/>
  <c r="I1478" i="2"/>
  <c r="H1478" i="2" s="1"/>
  <c r="L1478" i="2" s="1"/>
  <c r="J1477" i="2"/>
  <c r="I1477" i="2"/>
  <c r="G1477" i="2" s="1"/>
  <c r="J1476" i="2"/>
  <c r="I1476" i="2"/>
  <c r="H1476" i="2" s="1"/>
  <c r="J1475" i="2"/>
  <c r="I1475" i="2"/>
  <c r="G1475" i="2" s="1"/>
  <c r="J1474" i="2"/>
  <c r="I1474" i="2"/>
  <c r="G1474" i="2" s="1"/>
  <c r="H1474" i="2"/>
  <c r="K1474" i="2" s="1"/>
  <c r="F1474" i="2"/>
  <c r="J1473" i="2"/>
  <c r="I1473" i="2"/>
  <c r="G1473" i="2" s="1"/>
  <c r="H1473" i="2"/>
  <c r="K1473" i="2" s="1"/>
  <c r="F1473" i="2"/>
  <c r="J1472" i="2"/>
  <c r="I1472" i="2"/>
  <c r="H1472" i="2" s="1"/>
  <c r="L1472" i="2" s="1"/>
  <c r="J1471" i="2"/>
  <c r="I1471" i="2"/>
  <c r="G1471" i="2" s="1"/>
  <c r="J1470" i="2"/>
  <c r="I1470" i="2"/>
  <c r="H1470" i="2" s="1"/>
  <c r="L1470" i="2" s="1"/>
  <c r="J1469" i="2"/>
  <c r="I1469" i="2"/>
  <c r="H1469" i="2" s="1"/>
  <c r="J1468" i="2"/>
  <c r="I1468" i="2"/>
  <c r="H1468" i="2" s="1"/>
  <c r="J1467" i="2"/>
  <c r="I1467" i="2"/>
  <c r="G1467" i="2" s="1"/>
  <c r="J1466" i="2"/>
  <c r="I1466" i="2"/>
  <c r="F1466" i="2" s="1"/>
  <c r="J1465" i="2"/>
  <c r="I1465" i="2"/>
  <c r="F1465" i="2" s="1"/>
  <c r="J1464" i="2"/>
  <c r="I1464" i="2"/>
  <c r="H1464" i="2" s="1"/>
  <c r="L1464" i="2" s="1"/>
  <c r="J1463" i="2"/>
  <c r="I1463" i="2"/>
  <c r="G1463" i="2" s="1"/>
  <c r="J1462" i="2"/>
  <c r="I1462" i="2"/>
  <c r="H1462" i="2" s="1"/>
  <c r="L1462" i="2" s="1"/>
  <c r="J1461" i="2"/>
  <c r="I1461" i="2"/>
  <c r="G1461" i="2" s="1"/>
  <c r="J1460" i="2"/>
  <c r="I1460" i="2"/>
  <c r="G1460" i="2" s="1"/>
  <c r="J1459" i="2"/>
  <c r="I1459" i="2"/>
  <c r="G1459" i="2" s="1"/>
  <c r="J1458" i="2"/>
  <c r="I1458" i="2"/>
  <c r="G1458" i="2" s="1"/>
  <c r="H1458" i="2"/>
  <c r="K1458" i="2" s="1"/>
  <c r="F1458" i="2"/>
  <c r="J1457" i="2"/>
  <c r="I1457" i="2"/>
  <c r="G1457" i="2" s="1"/>
  <c r="H1457" i="2"/>
  <c r="K1457" i="2" s="1"/>
  <c r="F1457" i="2"/>
  <c r="J1456" i="2"/>
  <c r="I1456" i="2"/>
  <c r="H1456" i="2" s="1"/>
  <c r="L1456" i="2" s="1"/>
  <c r="J1455" i="2"/>
  <c r="I1455" i="2"/>
  <c r="G1455" i="2" s="1"/>
  <c r="J1454" i="2"/>
  <c r="I1454" i="2"/>
  <c r="H1454" i="2" s="1"/>
  <c r="L1454" i="2" s="1"/>
  <c r="J1453" i="2"/>
  <c r="I1453" i="2"/>
  <c r="H1453" i="2" s="1"/>
  <c r="J1452" i="2"/>
  <c r="I1452" i="2"/>
  <c r="H1452" i="2" s="1"/>
  <c r="J1451" i="2"/>
  <c r="I1451" i="2"/>
  <c r="G1451" i="2" s="1"/>
  <c r="J1450" i="2"/>
  <c r="I1450" i="2"/>
  <c r="F1450" i="2" s="1"/>
  <c r="J1449" i="2"/>
  <c r="I1449" i="2"/>
  <c r="F1449" i="2" s="1"/>
  <c r="J1448" i="2"/>
  <c r="I1448" i="2"/>
  <c r="H1448" i="2" s="1"/>
  <c r="L1448" i="2" s="1"/>
  <c r="J1447" i="2"/>
  <c r="I1447" i="2"/>
  <c r="G1447" i="2" s="1"/>
  <c r="J1446" i="2"/>
  <c r="I1446" i="2"/>
  <c r="H1446" i="2" s="1"/>
  <c r="L1446" i="2" s="1"/>
  <c r="J1445" i="2"/>
  <c r="I1445" i="2"/>
  <c r="G1445" i="2" s="1"/>
  <c r="J1444" i="2"/>
  <c r="I1444" i="2"/>
  <c r="G1444" i="2" s="1"/>
  <c r="J1443" i="2"/>
  <c r="I1443" i="2"/>
  <c r="F1443" i="2" s="1"/>
  <c r="J1442" i="2"/>
  <c r="I1442" i="2"/>
  <c r="G1442" i="2" s="1"/>
  <c r="H1442" i="2"/>
  <c r="K1442" i="2" s="1"/>
  <c r="F1442" i="2"/>
  <c r="J368" i="2"/>
  <c r="I368" i="2"/>
  <c r="H368" i="2" s="1"/>
  <c r="J367" i="2"/>
  <c r="I367" i="2"/>
  <c r="H367" i="2" s="1"/>
  <c r="J366" i="2"/>
  <c r="I366" i="2"/>
  <c r="F366" i="2" s="1"/>
  <c r="K50" i="2"/>
  <c r="J1231" i="2"/>
  <c r="I1231" i="2"/>
  <c r="H1231" i="2" s="1"/>
  <c r="J1235" i="2"/>
  <c r="I1235" i="2"/>
  <c r="H1235" i="2" s="1"/>
  <c r="F1444" i="2" l="1"/>
  <c r="G1456" i="2"/>
  <c r="F1476" i="2"/>
  <c r="H1450" i="2"/>
  <c r="L1450" i="2" s="1"/>
  <c r="G1484" i="2"/>
  <c r="H1460" i="2"/>
  <c r="K1460" i="2" s="1"/>
  <c r="H1477" i="2"/>
  <c r="L1477" i="2" s="1"/>
  <c r="H1484" i="2"/>
  <c r="K1484" i="2" s="1"/>
  <c r="H1455" i="2"/>
  <c r="K1455" i="2" s="1"/>
  <c r="F1460" i="2"/>
  <c r="H1471" i="2"/>
  <c r="K1471" i="2" s="1"/>
  <c r="G1476" i="2"/>
  <c r="H1445" i="2"/>
  <c r="L1445" i="2" s="1"/>
  <c r="K1476" i="2"/>
  <c r="L1476" i="2"/>
  <c r="K1452" i="2"/>
  <c r="L1452" i="2"/>
  <c r="K1492" i="2"/>
  <c r="L1492" i="2"/>
  <c r="F1471" i="2"/>
  <c r="H1481" i="2"/>
  <c r="G1496" i="2"/>
  <c r="H1503" i="2"/>
  <c r="H1461" i="2"/>
  <c r="K1468" i="2"/>
  <c r="L1468" i="2"/>
  <c r="K1500" i="2"/>
  <c r="L1500" i="2"/>
  <c r="K1497" i="2"/>
  <c r="L1497" i="2"/>
  <c r="K1453" i="2"/>
  <c r="L1453" i="2"/>
  <c r="H1444" i="2"/>
  <c r="K1469" i="2"/>
  <c r="L1469" i="2"/>
  <c r="F1472" i="2"/>
  <c r="H1485" i="2"/>
  <c r="K1501" i="2"/>
  <c r="L1501" i="2"/>
  <c r="K1493" i="2"/>
  <c r="L1493" i="2"/>
  <c r="F1455" i="2"/>
  <c r="H1466" i="2"/>
  <c r="L1466" i="2" s="1"/>
  <c r="G1472" i="2"/>
  <c r="H1495" i="2"/>
  <c r="H1498" i="2"/>
  <c r="L1498" i="2" s="1"/>
  <c r="F1445" i="2"/>
  <c r="F1447" i="2"/>
  <c r="G1449" i="2"/>
  <c r="G1453" i="2"/>
  <c r="F1461" i="2"/>
  <c r="F1463" i="2"/>
  <c r="G1465" i="2"/>
  <c r="G1469" i="2"/>
  <c r="F1477" i="2"/>
  <c r="F1479" i="2"/>
  <c r="F1481" i="2"/>
  <c r="F1485" i="2"/>
  <c r="F1487" i="2"/>
  <c r="F1453" i="2"/>
  <c r="F1469" i="2"/>
  <c r="H1447" i="2"/>
  <c r="L1447" i="2" s="1"/>
  <c r="H1449" i="2"/>
  <c r="F1452" i="2"/>
  <c r="H1463" i="2"/>
  <c r="H1465" i="2"/>
  <c r="F1468" i="2"/>
  <c r="H1479" i="2"/>
  <c r="H1487" i="2"/>
  <c r="F1493" i="2"/>
  <c r="F1495" i="2"/>
  <c r="F1497" i="2"/>
  <c r="F1501" i="2"/>
  <c r="F1503" i="2"/>
  <c r="G1452" i="2"/>
  <c r="G1468" i="2"/>
  <c r="G1493" i="2"/>
  <c r="G1497" i="2"/>
  <c r="G1501" i="2"/>
  <c r="F1456" i="2"/>
  <c r="F1492" i="2"/>
  <c r="F1500" i="2"/>
  <c r="F1448" i="2"/>
  <c r="F1464" i="2"/>
  <c r="F1480" i="2"/>
  <c r="F1488" i="2"/>
  <c r="G1492" i="2"/>
  <c r="G1500" i="2"/>
  <c r="G1448" i="2"/>
  <c r="G1464" i="2"/>
  <c r="G1480" i="2"/>
  <c r="H1482" i="2"/>
  <c r="L1482" i="2" s="1"/>
  <c r="G1488" i="2"/>
  <c r="F1496" i="2"/>
  <c r="K1464" i="2"/>
  <c r="K1470" i="2"/>
  <c r="K1472" i="2"/>
  <c r="K1494" i="2"/>
  <c r="K1496" i="2"/>
  <c r="K1446" i="2"/>
  <c r="K1448" i="2"/>
  <c r="K1454" i="2"/>
  <c r="K1456" i="2"/>
  <c r="K1502" i="2"/>
  <c r="K1478" i="2"/>
  <c r="K1480" i="2"/>
  <c r="K1486" i="2"/>
  <c r="K1488" i="2"/>
  <c r="K1462" i="2"/>
  <c r="F1459" i="2"/>
  <c r="F1467" i="2"/>
  <c r="F1491" i="2"/>
  <c r="F1499" i="2"/>
  <c r="G1443" i="2"/>
  <c r="H1443" i="2"/>
  <c r="L1443" i="2" s="1"/>
  <c r="G1450" i="2"/>
  <c r="H1451" i="2"/>
  <c r="L1451" i="2" s="1"/>
  <c r="H1459" i="2"/>
  <c r="L1459" i="2" s="1"/>
  <c r="G1466" i="2"/>
  <c r="H1467" i="2"/>
  <c r="L1467" i="2" s="1"/>
  <c r="H1475" i="2"/>
  <c r="L1475" i="2" s="1"/>
  <c r="G1482" i="2"/>
  <c r="H1483" i="2"/>
  <c r="L1483" i="2" s="1"/>
  <c r="H1491" i="2"/>
  <c r="L1491" i="2" s="1"/>
  <c r="G1498" i="2"/>
  <c r="H1499" i="2"/>
  <c r="L1499" i="2" s="1"/>
  <c r="F1446" i="2"/>
  <c r="F1454" i="2"/>
  <c r="F1462" i="2"/>
  <c r="F1470" i="2"/>
  <c r="F1478" i="2"/>
  <c r="F1486" i="2"/>
  <c r="F1494" i="2"/>
  <c r="F1502" i="2"/>
  <c r="G1446" i="2"/>
  <c r="G1454" i="2"/>
  <c r="G1462" i="2"/>
  <c r="G1470" i="2"/>
  <c r="G1478" i="2"/>
  <c r="G1486" i="2"/>
  <c r="G1494" i="2"/>
  <c r="G1502" i="2"/>
  <c r="F1451" i="2"/>
  <c r="F1475" i="2"/>
  <c r="F1483" i="2"/>
  <c r="F367" i="2"/>
  <c r="G367" i="2"/>
  <c r="L368" i="2"/>
  <c r="K368" i="2"/>
  <c r="K367" i="2"/>
  <c r="L367" i="2"/>
  <c r="G366" i="2"/>
  <c r="H366" i="2"/>
  <c r="F368" i="2"/>
  <c r="G368" i="2"/>
  <c r="L1231" i="2"/>
  <c r="K1231" i="2"/>
  <c r="F1231" i="2"/>
  <c r="G1231" i="2"/>
  <c r="K1235" i="2"/>
  <c r="L1235" i="2"/>
  <c r="F1235" i="2"/>
  <c r="G1235" i="2"/>
  <c r="L1181" i="2"/>
  <c r="L1182" i="2"/>
  <c r="L1189" i="2"/>
  <c r="L1190" i="2"/>
  <c r="L1199" i="2"/>
  <c r="L1200" i="2"/>
  <c r="L1202" i="2"/>
  <c r="L1203" i="2"/>
  <c r="L1211" i="2"/>
  <c r="L1212" i="2"/>
  <c r="L1215" i="2"/>
  <c r="L1216" i="2"/>
  <c r="L1227" i="2"/>
  <c r="L1228" i="2"/>
  <c r="L1241" i="2"/>
  <c r="L1242" i="2"/>
  <c r="L1250" i="2"/>
  <c r="L1251" i="2"/>
  <c r="L1254" i="2"/>
  <c r="L1255" i="2"/>
  <c r="L1261" i="2"/>
  <c r="L1262" i="2"/>
  <c r="L1151" i="2"/>
  <c r="L527" i="2"/>
  <c r="L528" i="2"/>
  <c r="L340" i="2"/>
  <c r="L341" i="2"/>
  <c r="L358" i="2"/>
  <c r="L360" i="2"/>
  <c r="L361" i="2"/>
  <c r="L375" i="2"/>
  <c r="L376" i="2"/>
  <c r="L384" i="2"/>
  <c r="L385" i="2"/>
  <c r="L390" i="2"/>
  <c r="L391" i="2"/>
  <c r="L394" i="2"/>
  <c r="L395" i="2"/>
  <c r="L403" i="2"/>
  <c r="L404" i="2"/>
  <c r="L409" i="2"/>
  <c r="L410" i="2"/>
  <c r="L412" i="2"/>
  <c r="L413" i="2"/>
  <c r="L419" i="2"/>
  <c r="L420" i="2"/>
  <c r="L432" i="2"/>
  <c r="L433" i="2"/>
  <c r="L438" i="2"/>
  <c r="L439" i="2"/>
  <c r="L441" i="2"/>
  <c r="J1169" i="2"/>
  <c r="I1169" i="2"/>
  <c r="H1169" i="2" s="1"/>
  <c r="L1169" i="2" s="1"/>
  <c r="K1477" i="2" l="1"/>
  <c r="K1445" i="2"/>
  <c r="L1455" i="2"/>
  <c r="L1460" i="2"/>
  <c r="K1466" i="2"/>
  <c r="L1471" i="2"/>
  <c r="K1498" i="2"/>
  <c r="K1450" i="2"/>
  <c r="L1484" i="2"/>
  <c r="K1447" i="2"/>
  <c r="K1482" i="2"/>
  <c r="K1463" i="2"/>
  <c r="L1463" i="2"/>
  <c r="K1444" i="2"/>
  <c r="L1444" i="2"/>
  <c r="K1503" i="2"/>
  <c r="L1503" i="2"/>
  <c r="K1449" i="2"/>
  <c r="L1449" i="2"/>
  <c r="K1481" i="2"/>
  <c r="L1481" i="2"/>
  <c r="K1487" i="2"/>
  <c r="L1487" i="2"/>
  <c r="K1495" i="2"/>
  <c r="L1495" i="2"/>
  <c r="K1485" i="2"/>
  <c r="L1485" i="2"/>
  <c r="K1479" i="2"/>
  <c r="L1479" i="2"/>
  <c r="K1465" i="2"/>
  <c r="L1465" i="2"/>
  <c r="K1461" i="2"/>
  <c r="L1461" i="2"/>
  <c r="K1451" i="2"/>
  <c r="K1499" i="2"/>
  <c r="K1475" i="2"/>
  <c r="K1443" i="2"/>
  <c r="K1467" i="2"/>
  <c r="K1491" i="2"/>
  <c r="K1483" i="2"/>
  <c r="K1459" i="2"/>
  <c r="K366" i="2"/>
  <c r="L366" i="2"/>
  <c r="G1169" i="2"/>
  <c r="K1169" i="2"/>
  <c r="F1169" i="2"/>
  <c r="J1441" i="2" l="1"/>
  <c r="I1441" i="2"/>
  <c r="G1441" i="2" s="1"/>
  <c r="H1441" i="2"/>
  <c r="K1441" i="2" s="1"/>
  <c r="F1441" i="2"/>
  <c r="J1440" i="2"/>
  <c r="I1440" i="2"/>
  <c r="H1440" i="2" s="1"/>
  <c r="L1440" i="2" s="1"/>
  <c r="J1439" i="2"/>
  <c r="I1439" i="2"/>
  <c r="G1439" i="2" s="1"/>
  <c r="J1438" i="2"/>
  <c r="I1438" i="2"/>
  <c r="F1438" i="2" s="1"/>
  <c r="J1437" i="2"/>
  <c r="I1437" i="2"/>
  <c r="H1437" i="2" s="1"/>
  <c r="L1437" i="2" s="1"/>
  <c r="J1436" i="2"/>
  <c r="I1436" i="2"/>
  <c r="G1436" i="2" s="1"/>
  <c r="J1435" i="2"/>
  <c r="I1435" i="2"/>
  <c r="F1435" i="2" s="1"/>
  <c r="J1434" i="2"/>
  <c r="I1434" i="2"/>
  <c r="H1434" i="2" s="1"/>
  <c r="L1434" i="2" s="1"/>
  <c r="J1433" i="2"/>
  <c r="I1433" i="2"/>
  <c r="H1433" i="2" s="1"/>
  <c r="L1433" i="2" s="1"/>
  <c r="J1432" i="2"/>
  <c r="I1432" i="2"/>
  <c r="H1432" i="2" s="1"/>
  <c r="L1432" i="2" s="1"/>
  <c r="J1431" i="2"/>
  <c r="I1431" i="2"/>
  <c r="G1431" i="2" s="1"/>
  <c r="J1430" i="2"/>
  <c r="I1430" i="2"/>
  <c r="G1430" i="2" s="1"/>
  <c r="H1430" i="2"/>
  <c r="F1430" i="2"/>
  <c r="J1429" i="2"/>
  <c r="I1429" i="2"/>
  <c r="G1429" i="2" s="1"/>
  <c r="H1429" i="2"/>
  <c r="F1429" i="2"/>
  <c r="J1264" i="2"/>
  <c r="I1264" i="2"/>
  <c r="G1264" i="2" s="1"/>
  <c r="H1264" i="2"/>
  <c r="F1264" i="2"/>
  <c r="J1263" i="2"/>
  <c r="I1263" i="2"/>
  <c r="F1263" i="2" s="1"/>
  <c r="J1262" i="2"/>
  <c r="I1262" i="2"/>
  <c r="G1262" i="2" s="1"/>
  <c r="H1262" i="2"/>
  <c r="K1262" i="2" s="1"/>
  <c r="F1262" i="2"/>
  <c r="J1261" i="2"/>
  <c r="I1261" i="2"/>
  <c r="G1261" i="2" s="1"/>
  <c r="H1261" i="2"/>
  <c r="F1261" i="2"/>
  <c r="J1258" i="2"/>
  <c r="I1258" i="2"/>
  <c r="H1258" i="2" s="1"/>
  <c r="L1258" i="2" s="1"/>
  <c r="J1257" i="2"/>
  <c r="I1257" i="2"/>
  <c r="G1257" i="2" s="1"/>
  <c r="J1256" i="2"/>
  <c r="I1256" i="2"/>
  <c r="F1256" i="2" s="1"/>
  <c r="J1255" i="2"/>
  <c r="I1255" i="2"/>
  <c r="G1255" i="2" s="1"/>
  <c r="H1255" i="2"/>
  <c r="K1255" i="2" s="1"/>
  <c r="F1255" i="2"/>
  <c r="J1254" i="2"/>
  <c r="I1254" i="2"/>
  <c r="G1254" i="2" s="1"/>
  <c r="H1254" i="2"/>
  <c r="F1254" i="2"/>
  <c r="J1253" i="2"/>
  <c r="I1253" i="2"/>
  <c r="F1253" i="2" s="1"/>
  <c r="J1252" i="2"/>
  <c r="I1252" i="2"/>
  <c r="H1252" i="2" s="1"/>
  <c r="L1252" i="2" s="1"/>
  <c r="J1251" i="2"/>
  <c r="I1251" i="2"/>
  <c r="G1251" i="2" s="1"/>
  <c r="H1251" i="2"/>
  <c r="F1251" i="2"/>
  <c r="J1250" i="2"/>
  <c r="I1250" i="2"/>
  <c r="G1250" i="2" s="1"/>
  <c r="H1250" i="2"/>
  <c r="F1250" i="2"/>
  <c r="J1249" i="2"/>
  <c r="I1249" i="2"/>
  <c r="G1249" i="2" s="1"/>
  <c r="J1248" i="2"/>
  <c r="I1248" i="2"/>
  <c r="F1248" i="2" s="1"/>
  <c r="J1247" i="2"/>
  <c r="I1247" i="2"/>
  <c r="H1247" i="2" s="1"/>
  <c r="L1247" i="2" s="1"/>
  <c r="J1246" i="2"/>
  <c r="I1246" i="2"/>
  <c r="G1246" i="2" s="1"/>
  <c r="J1245" i="2"/>
  <c r="I1245" i="2"/>
  <c r="F1245" i="2" s="1"/>
  <c r="J1244" i="2"/>
  <c r="I1244" i="2"/>
  <c r="G1244" i="2" s="1"/>
  <c r="J1243" i="2"/>
  <c r="I1243" i="2"/>
  <c r="G1243" i="2" s="1"/>
  <c r="J1242" i="2"/>
  <c r="I1242" i="2"/>
  <c r="G1242" i="2" s="1"/>
  <c r="H1242" i="2"/>
  <c r="K1242" i="2" s="1"/>
  <c r="F1242" i="2"/>
  <c r="H1253" i="2" l="1"/>
  <c r="K1253" i="2" s="1"/>
  <c r="F1434" i="2"/>
  <c r="H1244" i="2"/>
  <c r="L1244" i="2" s="1"/>
  <c r="G1253" i="2"/>
  <c r="H1249" i="2"/>
  <c r="L1249" i="2" s="1"/>
  <c r="G1434" i="2"/>
  <c r="H1246" i="2"/>
  <c r="L1246" i="2" s="1"/>
  <c r="G1263" i="2"/>
  <c r="H1263" i="2"/>
  <c r="G1433" i="2"/>
  <c r="K1261" i="2"/>
  <c r="F1433" i="2"/>
  <c r="H1438" i="2"/>
  <c r="L1438" i="2" s="1"/>
  <c r="G1245" i="2"/>
  <c r="F1243" i="2"/>
  <c r="H1245" i="2"/>
  <c r="L1245" i="2" s="1"/>
  <c r="K1430" i="2"/>
  <c r="H1243" i="2"/>
  <c r="L1243" i="2" s="1"/>
  <c r="H1248" i="2"/>
  <c r="L1248" i="2" s="1"/>
  <c r="H1431" i="2"/>
  <c r="L1431" i="2" s="1"/>
  <c r="G1256" i="2"/>
  <c r="H1436" i="2"/>
  <c r="L1436" i="2" s="1"/>
  <c r="H1256" i="2"/>
  <c r="L1256" i="2" s="1"/>
  <c r="K1264" i="2"/>
  <c r="K1251" i="2"/>
  <c r="K1433" i="2"/>
  <c r="K1252" i="2"/>
  <c r="F1252" i="2"/>
  <c r="G1252" i="2"/>
  <c r="K1250" i="2"/>
  <c r="F1244" i="2"/>
  <c r="G1248" i="2"/>
  <c r="K1434" i="2"/>
  <c r="H1439" i="2"/>
  <c r="L1439" i="2" s="1"/>
  <c r="G1435" i="2"/>
  <c r="K1254" i="2"/>
  <c r="H1257" i="2"/>
  <c r="L1257" i="2" s="1"/>
  <c r="H1435" i="2"/>
  <c r="L1435" i="2" s="1"/>
  <c r="G1438" i="2"/>
  <c r="K1258" i="2"/>
  <c r="K1247" i="2"/>
  <c r="K1437" i="2"/>
  <c r="K1432" i="2"/>
  <c r="K1440" i="2"/>
  <c r="F1258" i="2"/>
  <c r="F1440" i="2"/>
  <c r="F1249" i="2"/>
  <c r="F1431" i="2"/>
  <c r="G1432" i="2"/>
  <c r="F1439" i="2"/>
  <c r="G1440" i="2"/>
  <c r="F1432" i="2"/>
  <c r="F1257" i="2"/>
  <c r="G1258" i="2"/>
  <c r="F1437" i="2"/>
  <c r="F1247" i="2"/>
  <c r="F1246" i="2"/>
  <c r="G1247" i="2"/>
  <c r="F1436" i="2"/>
  <c r="G1437" i="2"/>
  <c r="K1244" i="2" l="1"/>
  <c r="L1253" i="2"/>
  <c r="K1249" i="2"/>
  <c r="K1435" i="2"/>
  <c r="K1243" i="2"/>
  <c r="K1248" i="2"/>
  <c r="K1438" i="2"/>
  <c r="K1246" i="2"/>
  <c r="K1263" i="2"/>
  <c r="L1263" i="2"/>
  <c r="K1436" i="2"/>
  <c r="K1245" i="2"/>
  <c r="K1256" i="2"/>
  <c r="K1431" i="2"/>
  <c r="K1439" i="2"/>
  <c r="K1257" i="2"/>
  <c r="J643" i="2" l="1"/>
  <c r="I643" i="2"/>
  <c r="H643" i="2" s="1"/>
  <c r="J647" i="2"/>
  <c r="I647" i="2"/>
  <c r="H647" i="2" s="1"/>
  <c r="J637" i="2"/>
  <c r="I637" i="2"/>
  <c r="H637" i="2" s="1"/>
  <c r="J633" i="2"/>
  <c r="I633" i="2"/>
  <c r="G633" i="2" s="1"/>
  <c r="L643" i="2" l="1"/>
  <c r="K643" i="2"/>
  <c r="F643" i="2"/>
  <c r="G643" i="2"/>
  <c r="K647" i="2"/>
  <c r="L647" i="2"/>
  <c r="F647" i="2"/>
  <c r="G647" i="2"/>
  <c r="L637" i="2"/>
  <c r="K637" i="2"/>
  <c r="F637" i="2"/>
  <c r="G637" i="2"/>
  <c r="H633" i="2"/>
  <c r="K633" i="2" s="1"/>
  <c r="F633" i="2"/>
  <c r="L631" i="2"/>
  <c r="L632" i="2"/>
  <c r="L638" i="2"/>
  <c r="L639" i="2"/>
  <c r="L644" i="2"/>
  <c r="L645" i="2"/>
  <c r="L651" i="2"/>
  <c r="J651" i="2"/>
  <c r="I651" i="2"/>
  <c r="G651" i="2" s="1"/>
  <c r="H651" i="2"/>
  <c r="F651" i="2"/>
  <c r="J650" i="2"/>
  <c r="I650" i="2"/>
  <c r="G650" i="2" s="1"/>
  <c r="J648" i="2"/>
  <c r="I648" i="2"/>
  <c r="H648" i="2" s="1"/>
  <c r="L648" i="2" s="1"/>
  <c r="J649" i="2"/>
  <c r="I649" i="2"/>
  <c r="G649" i="2" s="1"/>
  <c r="J646" i="2"/>
  <c r="I646" i="2"/>
  <c r="H646" i="2" s="1"/>
  <c r="L646" i="2" s="1"/>
  <c r="J645" i="2"/>
  <c r="I645" i="2"/>
  <c r="G645" i="2" s="1"/>
  <c r="H645" i="2"/>
  <c r="F645" i="2"/>
  <c r="J644" i="2"/>
  <c r="I644" i="2"/>
  <c r="G644" i="2" s="1"/>
  <c r="H644" i="2"/>
  <c r="F644" i="2"/>
  <c r="J642" i="2"/>
  <c r="I642" i="2"/>
  <c r="H642" i="2" s="1"/>
  <c r="L642" i="2" s="1"/>
  <c r="J641" i="2"/>
  <c r="I641" i="2"/>
  <c r="H641" i="2" s="1"/>
  <c r="L641" i="2" s="1"/>
  <c r="J640" i="2"/>
  <c r="I640" i="2"/>
  <c r="H640" i="2" s="1"/>
  <c r="J639" i="2"/>
  <c r="I639" i="2"/>
  <c r="G639" i="2" s="1"/>
  <c r="H639" i="2"/>
  <c r="F639" i="2"/>
  <c r="J638" i="2"/>
  <c r="I638" i="2"/>
  <c r="G638" i="2" s="1"/>
  <c r="H638" i="2"/>
  <c r="F638" i="2"/>
  <c r="J636" i="2"/>
  <c r="I636" i="2"/>
  <c r="H636" i="2" s="1"/>
  <c r="L636" i="2" s="1"/>
  <c r="J635" i="2"/>
  <c r="I635" i="2"/>
  <c r="G635" i="2" s="1"/>
  <c r="J634" i="2"/>
  <c r="I634" i="2"/>
  <c r="H634" i="2" s="1"/>
  <c r="J632" i="2"/>
  <c r="I632" i="2"/>
  <c r="G632" i="2" s="1"/>
  <c r="H632" i="2"/>
  <c r="F632" i="2"/>
  <c r="L633" i="2" l="1"/>
  <c r="F649" i="2"/>
  <c r="K632" i="2"/>
  <c r="K644" i="2"/>
  <c r="H635" i="2"/>
  <c r="L635" i="2" s="1"/>
  <c r="F641" i="2"/>
  <c r="H650" i="2"/>
  <c r="K650" i="2" s="1"/>
  <c r="H649" i="2"/>
  <c r="L649" i="2" s="1"/>
  <c r="F642" i="2"/>
  <c r="G642" i="2"/>
  <c r="K645" i="2"/>
  <c r="K640" i="2"/>
  <c r="L640" i="2"/>
  <c r="K639" i="2"/>
  <c r="F640" i="2"/>
  <c r="G640" i="2"/>
  <c r="F635" i="2"/>
  <c r="L634" i="2"/>
  <c r="K634" i="2"/>
  <c r="F634" i="2"/>
  <c r="G634" i="2"/>
  <c r="K638" i="2"/>
  <c r="K651" i="2"/>
  <c r="K648" i="2"/>
  <c r="K636" i="2"/>
  <c r="K642" i="2"/>
  <c r="K641" i="2"/>
  <c r="K646" i="2"/>
  <c r="G641" i="2"/>
  <c r="F650" i="2"/>
  <c r="F648" i="2"/>
  <c r="G648" i="2"/>
  <c r="F636" i="2"/>
  <c r="F646" i="2"/>
  <c r="G636" i="2"/>
  <c r="G646" i="2"/>
  <c r="K635" i="2" l="1"/>
  <c r="K649" i="2"/>
  <c r="L650" i="2"/>
  <c r="J1241" i="2"/>
  <c r="I1241" i="2"/>
  <c r="G1241" i="2" s="1"/>
  <c r="H1241" i="2"/>
  <c r="F1241" i="2"/>
  <c r="J1240" i="2"/>
  <c r="I1240" i="2"/>
  <c r="F1240" i="2" s="1"/>
  <c r="J1239" i="2"/>
  <c r="I1239" i="2"/>
  <c r="H1239" i="2" s="1"/>
  <c r="L1239" i="2" s="1"/>
  <c r="J1238" i="2"/>
  <c r="I1238" i="2"/>
  <c r="G1238" i="2" s="1"/>
  <c r="J1237" i="2"/>
  <c r="I1237" i="2"/>
  <c r="F1237" i="2" s="1"/>
  <c r="J1236" i="2"/>
  <c r="I1236" i="2"/>
  <c r="G1236" i="2" s="1"/>
  <c r="J1234" i="2"/>
  <c r="I1234" i="2"/>
  <c r="H1234" i="2" s="1"/>
  <c r="L1234" i="2" s="1"/>
  <c r="J1233" i="2"/>
  <c r="I1233" i="2"/>
  <c r="H1233" i="2" s="1"/>
  <c r="L1233" i="2" s="1"/>
  <c r="J1232" i="2"/>
  <c r="I1232" i="2"/>
  <c r="G1232" i="2" s="1"/>
  <c r="J1230" i="2"/>
  <c r="I1230" i="2"/>
  <c r="F1230" i="2" s="1"/>
  <c r="J1229" i="2"/>
  <c r="I1229" i="2"/>
  <c r="H1229" i="2" s="1"/>
  <c r="L1229" i="2" s="1"/>
  <c r="J1228" i="2"/>
  <c r="I1228" i="2"/>
  <c r="G1228" i="2" s="1"/>
  <c r="H1228" i="2"/>
  <c r="F1228" i="2"/>
  <c r="J1227" i="2"/>
  <c r="I1227" i="2"/>
  <c r="G1227" i="2" s="1"/>
  <c r="H1227" i="2"/>
  <c r="F1227" i="2"/>
  <c r="J1226" i="2"/>
  <c r="I1226" i="2"/>
  <c r="G1226" i="2" s="1"/>
  <c r="J1225" i="2"/>
  <c r="I1225" i="2"/>
  <c r="H1225" i="2" s="1"/>
  <c r="L1225" i="2" s="1"/>
  <c r="J1224" i="2"/>
  <c r="I1224" i="2"/>
  <c r="H1224" i="2" s="1"/>
  <c r="L1224" i="2" s="1"/>
  <c r="J1223" i="2"/>
  <c r="I1223" i="2"/>
  <c r="G1223" i="2" s="1"/>
  <c r="J1222" i="2"/>
  <c r="I1222" i="2"/>
  <c r="F1222" i="2" s="1"/>
  <c r="J1221" i="2"/>
  <c r="I1221" i="2"/>
  <c r="H1221" i="2" s="1"/>
  <c r="L1221" i="2" s="1"/>
  <c r="J1220" i="2"/>
  <c r="I1220" i="2"/>
  <c r="G1220" i="2" s="1"/>
  <c r="J1219" i="2"/>
  <c r="I1219" i="2"/>
  <c r="F1219" i="2" s="1"/>
  <c r="J1218" i="2"/>
  <c r="I1218" i="2"/>
  <c r="G1218" i="2" s="1"/>
  <c r="J1217" i="2"/>
  <c r="I1217" i="2"/>
  <c r="H1217" i="2" s="1"/>
  <c r="L1217" i="2" s="1"/>
  <c r="J1216" i="2"/>
  <c r="I1216" i="2"/>
  <c r="G1216" i="2" s="1"/>
  <c r="H1216" i="2"/>
  <c r="F1216" i="2"/>
  <c r="J1215" i="2"/>
  <c r="I1215" i="2"/>
  <c r="G1215" i="2" s="1"/>
  <c r="H1215" i="2"/>
  <c r="F1215" i="2"/>
  <c r="J1214" i="2"/>
  <c r="I1214" i="2"/>
  <c r="F1214" i="2" s="1"/>
  <c r="J1213" i="2"/>
  <c r="I1213" i="2"/>
  <c r="H1213" i="2" s="1"/>
  <c r="L1213" i="2" s="1"/>
  <c r="J1212" i="2"/>
  <c r="I1212" i="2"/>
  <c r="G1212" i="2" s="1"/>
  <c r="H1212" i="2"/>
  <c r="F1212" i="2"/>
  <c r="J1211" i="2"/>
  <c r="I1211" i="2"/>
  <c r="G1211" i="2" s="1"/>
  <c r="H1211" i="2"/>
  <c r="F1211" i="2"/>
  <c r="J1210" i="2"/>
  <c r="I1210" i="2"/>
  <c r="G1210" i="2" s="1"/>
  <c r="J1209" i="2"/>
  <c r="I1209" i="2"/>
  <c r="G1209" i="2" s="1"/>
  <c r="J1208" i="2"/>
  <c r="I1208" i="2"/>
  <c r="H1208" i="2" s="1"/>
  <c r="L1208" i="2" s="1"/>
  <c r="J1207" i="2"/>
  <c r="I1207" i="2"/>
  <c r="G1207" i="2" s="1"/>
  <c r="J1206" i="2"/>
  <c r="I1206" i="2"/>
  <c r="F1206" i="2" s="1"/>
  <c r="J1205" i="2"/>
  <c r="I1205" i="2"/>
  <c r="H1205" i="2" s="1"/>
  <c r="L1205" i="2" s="1"/>
  <c r="J1204" i="2"/>
  <c r="I1204" i="2"/>
  <c r="G1204" i="2" s="1"/>
  <c r="J1203" i="2"/>
  <c r="I1203" i="2"/>
  <c r="G1203" i="2" s="1"/>
  <c r="H1203" i="2"/>
  <c r="F1203" i="2"/>
  <c r="J1202" i="2"/>
  <c r="I1202" i="2"/>
  <c r="G1202" i="2" s="1"/>
  <c r="H1202" i="2"/>
  <c r="F1202" i="2"/>
  <c r="J1201" i="2"/>
  <c r="I1201" i="2"/>
  <c r="H1201" i="2" s="1"/>
  <c r="L1201" i="2" s="1"/>
  <c r="J1200" i="2"/>
  <c r="I1200" i="2"/>
  <c r="G1200" i="2" s="1"/>
  <c r="H1200" i="2"/>
  <c r="F1200" i="2"/>
  <c r="J1199" i="2"/>
  <c r="I1199" i="2"/>
  <c r="G1199" i="2" s="1"/>
  <c r="H1199" i="2"/>
  <c r="F1199" i="2"/>
  <c r="J1198" i="2"/>
  <c r="I1198" i="2"/>
  <c r="F1198" i="2" s="1"/>
  <c r="J1197" i="2"/>
  <c r="I1197" i="2"/>
  <c r="H1197" i="2" s="1"/>
  <c r="L1197" i="2" s="1"/>
  <c r="J1196" i="2"/>
  <c r="I1196" i="2"/>
  <c r="G1196" i="2" s="1"/>
  <c r="J1195" i="2"/>
  <c r="I1195" i="2"/>
  <c r="H1195" i="2" s="1"/>
  <c r="L1195" i="2" s="1"/>
  <c r="J1194" i="2"/>
  <c r="I1194" i="2"/>
  <c r="G1194" i="2" s="1"/>
  <c r="J1193" i="2"/>
  <c r="I1193" i="2"/>
  <c r="H1193" i="2" s="1"/>
  <c r="L1193" i="2" s="1"/>
  <c r="J1192" i="2"/>
  <c r="I1192" i="2"/>
  <c r="H1192" i="2" s="1"/>
  <c r="L1192" i="2" s="1"/>
  <c r="J1191" i="2"/>
  <c r="I1191" i="2"/>
  <c r="G1191" i="2" s="1"/>
  <c r="J1190" i="2"/>
  <c r="I1190" i="2"/>
  <c r="G1190" i="2" s="1"/>
  <c r="H1190" i="2"/>
  <c r="F1190" i="2"/>
  <c r="J1189" i="2"/>
  <c r="I1189" i="2"/>
  <c r="G1189" i="2" s="1"/>
  <c r="H1189" i="2"/>
  <c r="F1189" i="2"/>
  <c r="J1188" i="2"/>
  <c r="I1188" i="2"/>
  <c r="G1188" i="2" s="1"/>
  <c r="J1187" i="2"/>
  <c r="I1187" i="2"/>
  <c r="H1187" i="2" s="1"/>
  <c r="L1187" i="2" s="1"/>
  <c r="J1186" i="2"/>
  <c r="I1186" i="2"/>
  <c r="G1186" i="2" s="1"/>
  <c r="J1185" i="2"/>
  <c r="I1185" i="2"/>
  <c r="F1185" i="2" s="1"/>
  <c r="J1184" i="2"/>
  <c r="I1184" i="2"/>
  <c r="H1184" i="2" s="1"/>
  <c r="L1184" i="2" s="1"/>
  <c r="J1183" i="2"/>
  <c r="I1183" i="2"/>
  <c r="G1183" i="2" s="1"/>
  <c r="J1182" i="2"/>
  <c r="I1182" i="2"/>
  <c r="G1182" i="2" s="1"/>
  <c r="H1182" i="2"/>
  <c r="F1182" i="2"/>
  <c r="J1181" i="2"/>
  <c r="I1181" i="2"/>
  <c r="G1181" i="2" s="1"/>
  <c r="H1181" i="2"/>
  <c r="F1181" i="2"/>
  <c r="J1168" i="2"/>
  <c r="I1168" i="2"/>
  <c r="H1168" i="2" s="1"/>
  <c r="L1168" i="2" s="1"/>
  <c r="J1167" i="2"/>
  <c r="I1167" i="2"/>
  <c r="H1167" i="2" s="1"/>
  <c r="L1167" i="2" s="1"/>
  <c r="J1166" i="2"/>
  <c r="I1166" i="2"/>
  <c r="G1166" i="2" s="1"/>
  <c r="J1165" i="2"/>
  <c r="I1165" i="2"/>
  <c r="F1165" i="2" s="1"/>
  <c r="J1164" i="2"/>
  <c r="I1164" i="2"/>
  <c r="H1164" i="2" s="1"/>
  <c r="L1164" i="2" s="1"/>
  <c r="J1163" i="2"/>
  <c r="I1163" i="2"/>
  <c r="G1163" i="2" s="1"/>
  <c r="J1162" i="2"/>
  <c r="I1162" i="2"/>
  <c r="F1162" i="2" s="1"/>
  <c r="J1161" i="2"/>
  <c r="I1161" i="2"/>
  <c r="H1161" i="2" s="1"/>
  <c r="L1161" i="2" s="1"/>
  <c r="J1160" i="2"/>
  <c r="I1160" i="2"/>
  <c r="F1160" i="2" s="1"/>
  <c r="J1159" i="2"/>
  <c r="I1159" i="2"/>
  <c r="H1159" i="2" s="1"/>
  <c r="L1159" i="2" s="1"/>
  <c r="J1158" i="2"/>
  <c r="I1158" i="2"/>
  <c r="G1158" i="2" s="1"/>
  <c r="J1157" i="2"/>
  <c r="I1157" i="2"/>
  <c r="F1157" i="2" s="1"/>
  <c r="J1155" i="2"/>
  <c r="I1155" i="2"/>
  <c r="H1155" i="2" s="1"/>
  <c r="L1155" i="2" s="1"/>
  <c r="J1154" i="2"/>
  <c r="I1154" i="2"/>
  <c r="G1154" i="2" s="1"/>
  <c r="J1152" i="2"/>
  <c r="I1152" i="2"/>
  <c r="F1152" i="2" s="1"/>
  <c r="J1151" i="2"/>
  <c r="I1151" i="2"/>
  <c r="G1151" i="2" s="1"/>
  <c r="H1151" i="2"/>
  <c r="F1151" i="2"/>
  <c r="J1150" i="2"/>
  <c r="I1150" i="2"/>
  <c r="G1150" i="2" s="1"/>
  <c r="H1150" i="2"/>
  <c r="F1150" i="2"/>
  <c r="K1199" i="2" l="1"/>
  <c r="K1189" i="2"/>
  <c r="K1228" i="2"/>
  <c r="G1192" i="2"/>
  <c r="G1168" i="2"/>
  <c r="H1188" i="2"/>
  <c r="L1188" i="2" s="1"/>
  <c r="G1206" i="2"/>
  <c r="F1197" i="2"/>
  <c r="H1223" i="2"/>
  <c r="L1223" i="2" s="1"/>
  <c r="H1232" i="2"/>
  <c r="L1232" i="2" s="1"/>
  <c r="K1151" i="2"/>
  <c r="G1160" i="2"/>
  <c r="G1167" i="2"/>
  <c r="K1202" i="2"/>
  <c r="K1215" i="2"/>
  <c r="G1157" i="2"/>
  <c r="H1160" i="2"/>
  <c r="L1160" i="2" s="1"/>
  <c r="F1183" i="2"/>
  <c r="G1217" i="2"/>
  <c r="F1229" i="2"/>
  <c r="F1213" i="2"/>
  <c r="F1204" i="2"/>
  <c r="G1162" i="2"/>
  <c r="H1196" i="2"/>
  <c r="L1196" i="2" s="1"/>
  <c r="K1216" i="2"/>
  <c r="H1206" i="2"/>
  <c r="G1214" i="2"/>
  <c r="G1234" i="2"/>
  <c r="F1161" i="2"/>
  <c r="K1181" i="2"/>
  <c r="H1214" i="2"/>
  <c r="K1200" i="2"/>
  <c r="H1157" i="2"/>
  <c r="L1157" i="2" s="1"/>
  <c r="H1162" i="2"/>
  <c r="G1184" i="2"/>
  <c r="F1201" i="2"/>
  <c r="H1204" i="2"/>
  <c r="L1204" i="2" s="1"/>
  <c r="F1221" i="2"/>
  <c r="K1227" i="2"/>
  <c r="G1240" i="2"/>
  <c r="K1182" i="2"/>
  <c r="F1193" i="2"/>
  <c r="G1201" i="2"/>
  <c r="K1212" i="2"/>
  <c r="F1154" i="2"/>
  <c r="F1188" i="2"/>
  <c r="F1191" i="2"/>
  <c r="G1193" i="2"/>
  <c r="F1196" i="2"/>
  <c r="G1198" i="2"/>
  <c r="H1207" i="2"/>
  <c r="L1207" i="2" s="1"/>
  <c r="G1225" i="2"/>
  <c r="H1163" i="2"/>
  <c r="L1163" i="2" s="1"/>
  <c r="H1185" i="2"/>
  <c r="L1185" i="2" s="1"/>
  <c r="H1191" i="2"/>
  <c r="L1191" i="2" s="1"/>
  <c r="H1198" i="2"/>
  <c r="F1205" i="2"/>
  <c r="G1219" i="2"/>
  <c r="H1238" i="2"/>
  <c r="L1238" i="2" s="1"/>
  <c r="K1168" i="2"/>
  <c r="H1152" i="2"/>
  <c r="G1159" i="2"/>
  <c r="F1163" i="2"/>
  <c r="H1165" i="2"/>
  <c r="L1165" i="2" s="1"/>
  <c r="F1168" i="2"/>
  <c r="G1185" i="2"/>
  <c r="G1195" i="2"/>
  <c r="K1203" i="2"/>
  <c r="F1207" i="2"/>
  <c r="H1209" i="2"/>
  <c r="L1209" i="2" s="1"/>
  <c r="F1225" i="2"/>
  <c r="F1234" i="2"/>
  <c r="H1237" i="2"/>
  <c r="L1237" i="2" s="1"/>
  <c r="F1239" i="2"/>
  <c r="K1241" i="2"/>
  <c r="H1183" i="2"/>
  <c r="L1183" i="2" s="1"/>
  <c r="F1217" i="2"/>
  <c r="H1219" i="2"/>
  <c r="L1219" i="2" s="1"/>
  <c r="F1223" i="2"/>
  <c r="F1232" i="2"/>
  <c r="H1154" i="2"/>
  <c r="L1154" i="2" s="1"/>
  <c r="G1164" i="2"/>
  <c r="F1238" i="2"/>
  <c r="H1240" i="2"/>
  <c r="G1187" i="2"/>
  <c r="K1190" i="2"/>
  <c r="F1209" i="2"/>
  <c r="F1220" i="2"/>
  <c r="G1222" i="2"/>
  <c r="G1230" i="2"/>
  <c r="G1152" i="2"/>
  <c r="G1155" i="2"/>
  <c r="G1165" i="2"/>
  <c r="K1211" i="2"/>
  <c r="H1220" i="2"/>
  <c r="L1220" i="2" s="1"/>
  <c r="H1222" i="2"/>
  <c r="H1230" i="2"/>
  <c r="G1237" i="2"/>
  <c r="K1224" i="2"/>
  <c r="K1233" i="2"/>
  <c r="K1187" i="2"/>
  <c r="K1208" i="2"/>
  <c r="K1164" i="2"/>
  <c r="K1184" i="2"/>
  <c r="K1192" i="2"/>
  <c r="K1155" i="2"/>
  <c r="K1239" i="2"/>
  <c r="K1221" i="2"/>
  <c r="K1229" i="2"/>
  <c r="K1167" i="2"/>
  <c r="K1195" i="2"/>
  <c r="K1197" i="2"/>
  <c r="K1205" i="2"/>
  <c r="K1213" i="2"/>
  <c r="K1159" i="2"/>
  <c r="K1161" i="2"/>
  <c r="F1158" i="2"/>
  <c r="F1166" i="2"/>
  <c r="F1194" i="2"/>
  <c r="F1226" i="2"/>
  <c r="F1155" i="2"/>
  <c r="H1158" i="2"/>
  <c r="L1158" i="2" s="1"/>
  <c r="F1164" i="2"/>
  <c r="H1166" i="2"/>
  <c r="L1166" i="2" s="1"/>
  <c r="F1184" i="2"/>
  <c r="H1186" i="2"/>
  <c r="L1186" i="2" s="1"/>
  <c r="F1192" i="2"/>
  <c r="H1194" i="2"/>
  <c r="L1194" i="2" s="1"/>
  <c r="F1208" i="2"/>
  <c r="H1210" i="2"/>
  <c r="L1210" i="2" s="1"/>
  <c r="H1218" i="2"/>
  <c r="L1218" i="2" s="1"/>
  <c r="F1224" i="2"/>
  <c r="H1226" i="2"/>
  <c r="L1226" i="2" s="1"/>
  <c r="F1233" i="2"/>
  <c r="H1236" i="2"/>
  <c r="L1236" i="2" s="1"/>
  <c r="G1208" i="2"/>
  <c r="G1224" i="2"/>
  <c r="G1233" i="2"/>
  <c r="K1193" i="2"/>
  <c r="G1197" i="2"/>
  <c r="K1201" i="2"/>
  <c r="G1205" i="2"/>
  <c r="G1213" i="2"/>
  <c r="K1217" i="2"/>
  <c r="G1221" i="2"/>
  <c r="K1225" i="2"/>
  <c r="G1229" i="2"/>
  <c r="K1234" i="2"/>
  <c r="G1239" i="2"/>
  <c r="G1161" i="2"/>
  <c r="F1159" i="2"/>
  <c r="F1167" i="2"/>
  <c r="F1187" i="2"/>
  <c r="F1195" i="2"/>
  <c r="F1186" i="2"/>
  <c r="F1210" i="2"/>
  <c r="F1218" i="2"/>
  <c r="F1236" i="2"/>
  <c r="K1214" i="2" l="1"/>
  <c r="L1214" i="2"/>
  <c r="K1230" i="2"/>
  <c r="L1230" i="2"/>
  <c r="K1152" i="2"/>
  <c r="L1152" i="2"/>
  <c r="K1240" i="2"/>
  <c r="L1240" i="2"/>
  <c r="K1222" i="2"/>
  <c r="L1222" i="2"/>
  <c r="K1198" i="2"/>
  <c r="L1198" i="2"/>
  <c r="K1162" i="2"/>
  <c r="L1162" i="2"/>
  <c r="K1206" i="2"/>
  <c r="L1206" i="2"/>
  <c r="K1232" i="2"/>
  <c r="K1204" i="2"/>
  <c r="K1157" i="2"/>
  <c r="K1163" i="2"/>
  <c r="K1191" i="2"/>
  <c r="K1154" i="2"/>
  <c r="K1188" i="2"/>
  <c r="K1183" i="2"/>
  <c r="K1160" i="2"/>
  <c r="K1223" i="2"/>
  <c r="K1196" i="2"/>
  <c r="K1165" i="2"/>
  <c r="K1207" i="2"/>
  <c r="K1185" i="2"/>
  <c r="K1238" i="2"/>
  <c r="K1220" i="2"/>
  <c r="K1209" i="2"/>
  <c r="K1219" i="2"/>
  <c r="K1237" i="2"/>
  <c r="K1226" i="2"/>
  <c r="K1158" i="2"/>
  <c r="K1194" i="2"/>
  <c r="K1218" i="2"/>
  <c r="K1186" i="2"/>
  <c r="K1236" i="2"/>
  <c r="K1210" i="2"/>
  <c r="K1166" i="2"/>
  <c r="L538" i="2" l="1"/>
  <c r="L539" i="2"/>
  <c r="L542" i="2"/>
  <c r="L543" i="2"/>
  <c r="L545" i="2"/>
  <c r="L546" i="2"/>
  <c r="L548" i="2"/>
  <c r="L549" i="2"/>
  <c r="L551" i="2"/>
  <c r="L552" i="2"/>
  <c r="L554" i="2"/>
  <c r="L555" i="2"/>
  <c r="L570" i="2"/>
  <c r="L571" i="2"/>
  <c r="L581" i="2"/>
  <c r="L582" i="2"/>
  <c r="L602" i="2"/>
  <c r="L603" i="2"/>
  <c r="L604" i="2"/>
  <c r="L607" i="2"/>
  <c r="L608" i="2"/>
  <c r="L611" i="2"/>
  <c r="L612" i="2"/>
  <c r="L614" i="2"/>
  <c r="L615" i="2"/>
  <c r="L617" i="2"/>
  <c r="L618" i="2"/>
  <c r="L621" i="2"/>
  <c r="L622" i="2"/>
  <c r="L624" i="2"/>
  <c r="L625" i="2"/>
  <c r="L628" i="2"/>
  <c r="L629" i="2"/>
  <c r="L652" i="2"/>
  <c r="L674" i="2"/>
  <c r="L675" i="2"/>
  <c r="J690" i="2"/>
  <c r="I690" i="2"/>
  <c r="G690" i="2" s="1"/>
  <c r="H690" i="2"/>
  <c r="F690" i="2"/>
  <c r="J683" i="2"/>
  <c r="I683" i="2"/>
  <c r="G683" i="2" s="1"/>
  <c r="J682" i="2"/>
  <c r="I682" i="2"/>
  <c r="F682" i="2" s="1"/>
  <c r="J681" i="2"/>
  <c r="I681" i="2"/>
  <c r="G681" i="2" s="1"/>
  <c r="J680" i="2"/>
  <c r="I680" i="2"/>
  <c r="H680" i="2" s="1"/>
  <c r="L680" i="2" s="1"/>
  <c r="J679" i="2"/>
  <c r="I679" i="2"/>
  <c r="G679" i="2" s="1"/>
  <c r="J678" i="2"/>
  <c r="I678" i="2"/>
  <c r="H678" i="2" s="1"/>
  <c r="J677" i="2"/>
  <c r="I677" i="2"/>
  <c r="G677" i="2" s="1"/>
  <c r="J676" i="2"/>
  <c r="I676" i="2"/>
  <c r="H676" i="2" s="1"/>
  <c r="L676" i="2" s="1"/>
  <c r="J675" i="2"/>
  <c r="I675" i="2"/>
  <c r="G675" i="2" s="1"/>
  <c r="H675" i="2"/>
  <c r="F675" i="2"/>
  <c r="J674" i="2"/>
  <c r="I674" i="2"/>
  <c r="G674" i="2" s="1"/>
  <c r="H674" i="2"/>
  <c r="F674" i="2"/>
  <c r="J673" i="2"/>
  <c r="I673" i="2"/>
  <c r="G673" i="2" s="1"/>
  <c r="J672" i="2"/>
  <c r="I672" i="2"/>
  <c r="H672" i="2" s="1"/>
  <c r="L672" i="2" s="1"/>
  <c r="J671" i="2"/>
  <c r="I671" i="2"/>
  <c r="G671" i="2" s="1"/>
  <c r="J670" i="2"/>
  <c r="I670" i="2"/>
  <c r="H670" i="2" s="1"/>
  <c r="K670" i="2" s="1"/>
  <c r="J669" i="2"/>
  <c r="I669" i="2"/>
  <c r="G669" i="2" s="1"/>
  <c r="J668" i="2"/>
  <c r="I668" i="2"/>
  <c r="H668" i="2" s="1"/>
  <c r="L668" i="2" s="1"/>
  <c r="J666" i="2"/>
  <c r="I666" i="2"/>
  <c r="G666" i="2" s="1"/>
  <c r="J665" i="2"/>
  <c r="I665" i="2"/>
  <c r="F665" i="2" s="1"/>
  <c r="J664" i="2"/>
  <c r="I664" i="2"/>
  <c r="H664" i="2" s="1"/>
  <c r="J663" i="2"/>
  <c r="I663" i="2"/>
  <c r="F663" i="2" s="1"/>
  <c r="J662" i="2"/>
  <c r="I662" i="2"/>
  <c r="G662" i="2" s="1"/>
  <c r="J661" i="2"/>
  <c r="I661" i="2"/>
  <c r="G661" i="2" s="1"/>
  <c r="J660" i="2"/>
  <c r="I660" i="2"/>
  <c r="F660" i="2" s="1"/>
  <c r="J659" i="2"/>
  <c r="I659" i="2"/>
  <c r="H659" i="2" s="1"/>
  <c r="L659" i="2" s="1"/>
  <c r="J658" i="2"/>
  <c r="I658" i="2"/>
  <c r="G658" i="2" s="1"/>
  <c r="J657" i="2"/>
  <c r="I657" i="2"/>
  <c r="F657" i="2" s="1"/>
  <c r="J656" i="2"/>
  <c r="I656" i="2"/>
  <c r="H656" i="2" s="1"/>
  <c r="L656" i="2" s="1"/>
  <c r="J655" i="2"/>
  <c r="I655" i="2"/>
  <c r="F655" i="2" s="1"/>
  <c r="J654" i="2"/>
  <c r="I654" i="2"/>
  <c r="G654" i="2" s="1"/>
  <c r="J653" i="2"/>
  <c r="I653" i="2"/>
  <c r="F653" i="2" s="1"/>
  <c r="J652" i="2"/>
  <c r="I652" i="2"/>
  <c r="G652" i="2" s="1"/>
  <c r="H652" i="2"/>
  <c r="F652" i="2"/>
  <c r="J303" i="2"/>
  <c r="I303" i="2"/>
  <c r="H303" i="2" s="1"/>
  <c r="K674" i="2" l="1"/>
  <c r="G664" i="2"/>
  <c r="H666" i="2"/>
  <c r="K666" i="2" s="1"/>
  <c r="K690" i="2"/>
  <c r="G655" i="2"/>
  <c r="H658" i="2"/>
  <c r="K658" i="2" s="1"/>
  <c r="H655" i="2"/>
  <c r="L655" i="2" s="1"/>
  <c r="G657" i="2"/>
  <c r="F664" i="2"/>
  <c r="F662" i="2"/>
  <c r="G663" i="2"/>
  <c r="G665" i="2"/>
  <c r="H663" i="2"/>
  <c r="L663" i="2" s="1"/>
  <c r="H665" i="2"/>
  <c r="L665" i="2" s="1"/>
  <c r="H669" i="2"/>
  <c r="F679" i="2"/>
  <c r="F672" i="2"/>
  <c r="F670" i="2"/>
  <c r="F656" i="2"/>
  <c r="G670" i="2"/>
  <c r="F678" i="2"/>
  <c r="K652" i="2"/>
  <c r="F654" i="2"/>
  <c r="G656" i="2"/>
  <c r="G678" i="2"/>
  <c r="H681" i="2"/>
  <c r="L678" i="2"/>
  <c r="K678" i="2"/>
  <c r="K664" i="2"/>
  <c r="L664" i="2"/>
  <c r="H653" i="2"/>
  <c r="H661" i="2"/>
  <c r="H673" i="2"/>
  <c r="H677" i="2"/>
  <c r="H682" i="2"/>
  <c r="L682" i="2" s="1"/>
  <c r="L670" i="2"/>
  <c r="H657" i="2"/>
  <c r="L657" i="2" s="1"/>
  <c r="G660" i="2"/>
  <c r="F669" i="2"/>
  <c r="G672" i="2"/>
  <c r="F681" i="2"/>
  <c r="H660" i="2"/>
  <c r="H683" i="2"/>
  <c r="L683" i="2" s="1"/>
  <c r="F680" i="2"/>
  <c r="F671" i="2"/>
  <c r="F673" i="2"/>
  <c r="F677" i="2"/>
  <c r="G680" i="2"/>
  <c r="F661" i="2"/>
  <c r="G682" i="2"/>
  <c r="K675" i="2"/>
  <c r="K659" i="2"/>
  <c r="K668" i="2"/>
  <c r="K676" i="2"/>
  <c r="G653" i="2"/>
  <c r="H654" i="2"/>
  <c r="L654" i="2" s="1"/>
  <c r="H662" i="2"/>
  <c r="L662" i="2" s="1"/>
  <c r="H671" i="2"/>
  <c r="L671" i="2" s="1"/>
  <c r="H679" i="2"/>
  <c r="L679" i="2" s="1"/>
  <c r="K656" i="2"/>
  <c r="F676" i="2"/>
  <c r="F658" i="2"/>
  <c r="G659" i="2"/>
  <c r="F666" i="2"/>
  <c r="G668" i="2"/>
  <c r="K672" i="2"/>
  <c r="G676" i="2"/>
  <c r="K680" i="2"/>
  <c r="F683" i="2"/>
  <c r="F659" i="2"/>
  <c r="F668" i="2"/>
  <c r="K303" i="2"/>
  <c r="L303" i="2"/>
  <c r="F303" i="2"/>
  <c r="G303" i="2"/>
  <c r="J261" i="2"/>
  <c r="I261" i="2"/>
  <c r="H261" i="2" s="1"/>
  <c r="J228" i="2"/>
  <c r="I228" i="2"/>
  <c r="H228" i="2" s="1"/>
  <c r="J106" i="2"/>
  <c r="I106" i="2"/>
  <c r="H106" i="2" s="1"/>
  <c r="L106" i="2" s="1"/>
  <c r="J631" i="2"/>
  <c r="I631" i="2"/>
  <c r="G631" i="2" s="1"/>
  <c r="H631" i="2"/>
  <c r="F631" i="2"/>
  <c r="J630" i="2"/>
  <c r="I630" i="2"/>
  <c r="G630" i="2" s="1"/>
  <c r="J629" i="2"/>
  <c r="I629" i="2"/>
  <c r="G629" i="2" s="1"/>
  <c r="H629" i="2"/>
  <c r="F629" i="2"/>
  <c r="J628" i="2"/>
  <c r="I628" i="2"/>
  <c r="G628" i="2" s="1"/>
  <c r="H628" i="2"/>
  <c r="F628" i="2"/>
  <c r="J627" i="2"/>
  <c r="I627" i="2"/>
  <c r="H627" i="2" s="1"/>
  <c r="L627" i="2" s="1"/>
  <c r="J626" i="2"/>
  <c r="I626" i="2"/>
  <c r="G626" i="2" s="1"/>
  <c r="J625" i="2"/>
  <c r="I625" i="2"/>
  <c r="G625" i="2" s="1"/>
  <c r="H625" i="2"/>
  <c r="F625" i="2"/>
  <c r="J624" i="2"/>
  <c r="I624" i="2"/>
  <c r="G624" i="2" s="1"/>
  <c r="H624" i="2"/>
  <c r="K624" i="2" s="1"/>
  <c r="F624" i="2"/>
  <c r="J623" i="2"/>
  <c r="I623" i="2"/>
  <c r="H623" i="2" s="1"/>
  <c r="L623" i="2" s="1"/>
  <c r="J622" i="2"/>
  <c r="I622" i="2"/>
  <c r="G622" i="2" s="1"/>
  <c r="H622" i="2"/>
  <c r="K622" i="2" s="1"/>
  <c r="F622" i="2"/>
  <c r="J621" i="2"/>
  <c r="I621" i="2"/>
  <c r="G621" i="2" s="1"/>
  <c r="H621" i="2"/>
  <c r="F621" i="2"/>
  <c r="J620" i="2"/>
  <c r="I620" i="2"/>
  <c r="H620" i="2" s="1"/>
  <c r="L620" i="2" s="1"/>
  <c r="J619" i="2"/>
  <c r="I619" i="2"/>
  <c r="H619" i="2" s="1"/>
  <c r="L619" i="2" s="1"/>
  <c r="J618" i="2"/>
  <c r="I618" i="2"/>
  <c r="G618" i="2" s="1"/>
  <c r="H618" i="2"/>
  <c r="F618" i="2"/>
  <c r="J617" i="2"/>
  <c r="I617" i="2"/>
  <c r="G617" i="2" s="1"/>
  <c r="H617" i="2"/>
  <c r="F617" i="2"/>
  <c r="J616" i="2"/>
  <c r="I616" i="2"/>
  <c r="H616" i="2" s="1"/>
  <c r="L616" i="2" s="1"/>
  <c r="J615" i="2"/>
  <c r="I615" i="2"/>
  <c r="G615" i="2" s="1"/>
  <c r="H615" i="2"/>
  <c r="F615" i="2"/>
  <c r="J614" i="2"/>
  <c r="I614" i="2"/>
  <c r="G614" i="2" s="1"/>
  <c r="H614" i="2"/>
  <c r="F614" i="2"/>
  <c r="J613" i="2"/>
  <c r="I613" i="2"/>
  <c r="F613" i="2" s="1"/>
  <c r="J612" i="2"/>
  <c r="I612" i="2"/>
  <c r="G612" i="2" s="1"/>
  <c r="H612" i="2"/>
  <c r="F612" i="2"/>
  <c r="J611" i="2"/>
  <c r="I611" i="2"/>
  <c r="G611" i="2" s="1"/>
  <c r="H611" i="2"/>
  <c r="F611" i="2"/>
  <c r="J610" i="2"/>
  <c r="I610" i="2"/>
  <c r="G610" i="2" s="1"/>
  <c r="J609" i="2"/>
  <c r="I609" i="2"/>
  <c r="F609" i="2" s="1"/>
  <c r="J608" i="2"/>
  <c r="I608" i="2"/>
  <c r="G608" i="2" s="1"/>
  <c r="H608" i="2"/>
  <c r="F608" i="2"/>
  <c r="J607" i="2"/>
  <c r="I607" i="2"/>
  <c r="G607" i="2" s="1"/>
  <c r="H607" i="2"/>
  <c r="F607" i="2"/>
  <c r="J606" i="2"/>
  <c r="I606" i="2"/>
  <c r="G606" i="2" s="1"/>
  <c r="J605" i="2"/>
  <c r="I605" i="2"/>
  <c r="F605" i="2" s="1"/>
  <c r="J603" i="2"/>
  <c r="I603" i="2"/>
  <c r="G603" i="2" s="1"/>
  <c r="H603" i="2"/>
  <c r="F603" i="2"/>
  <c r="J593" i="2"/>
  <c r="I593" i="2"/>
  <c r="H593" i="2" s="1"/>
  <c r="L593" i="2" s="1"/>
  <c r="J592" i="2"/>
  <c r="I592" i="2"/>
  <c r="F592" i="2" s="1"/>
  <c r="J591" i="2"/>
  <c r="I591" i="2"/>
  <c r="H591" i="2" s="1"/>
  <c r="L591" i="2" s="1"/>
  <c r="J590" i="2"/>
  <c r="I590" i="2"/>
  <c r="H590" i="2" s="1"/>
  <c r="L590" i="2" s="1"/>
  <c r="J589" i="2"/>
  <c r="I589" i="2"/>
  <c r="H589" i="2" s="1"/>
  <c r="J588" i="2"/>
  <c r="I588" i="2"/>
  <c r="F588" i="2" s="1"/>
  <c r="J587" i="2"/>
  <c r="I587" i="2"/>
  <c r="H587" i="2" s="1"/>
  <c r="L587" i="2" s="1"/>
  <c r="J586" i="2"/>
  <c r="I586" i="2"/>
  <c r="H586" i="2" s="1"/>
  <c r="L586" i="2" s="1"/>
  <c r="J585" i="2"/>
  <c r="I585" i="2"/>
  <c r="F585" i="2" s="1"/>
  <c r="J584" i="2"/>
  <c r="I584" i="2"/>
  <c r="F584" i="2" s="1"/>
  <c r="J583" i="2"/>
  <c r="I583" i="2"/>
  <c r="H583" i="2" s="1"/>
  <c r="L583" i="2" s="1"/>
  <c r="J582" i="2"/>
  <c r="I582" i="2"/>
  <c r="H582" i="2"/>
  <c r="F582" i="2"/>
  <c r="J581" i="2"/>
  <c r="I581" i="2"/>
  <c r="H581" i="2"/>
  <c r="F581" i="2"/>
  <c r="J580" i="2"/>
  <c r="I580" i="2"/>
  <c r="F580" i="2" s="1"/>
  <c r="J579" i="2"/>
  <c r="I579" i="2"/>
  <c r="H579" i="2" s="1"/>
  <c r="L579" i="2" s="1"/>
  <c r="J578" i="2"/>
  <c r="I578" i="2"/>
  <c r="H578" i="2" s="1"/>
  <c r="L578" i="2" s="1"/>
  <c r="J577" i="2"/>
  <c r="I577" i="2"/>
  <c r="H577" i="2" s="1"/>
  <c r="J576" i="2"/>
  <c r="I576" i="2"/>
  <c r="F576" i="2" s="1"/>
  <c r="J575" i="2"/>
  <c r="I575" i="2"/>
  <c r="H575" i="2" s="1"/>
  <c r="L575" i="2" s="1"/>
  <c r="J573" i="2"/>
  <c r="I573" i="2"/>
  <c r="H573" i="2" s="1"/>
  <c r="J572" i="2"/>
  <c r="I572" i="2"/>
  <c r="F572" i="2" s="1"/>
  <c r="J571" i="2"/>
  <c r="I571" i="2"/>
  <c r="H571" i="2"/>
  <c r="F571" i="2"/>
  <c r="J570" i="2"/>
  <c r="I570" i="2"/>
  <c r="H570" i="2"/>
  <c r="F570" i="2"/>
  <c r="J569" i="2"/>
  <c r="I569" i="2"/>
  <c r="H569" i="2" s="1"/>
  <c r="L569" i="2" s="1"/>
  <c r="J568" i="2"/>
  <c r="I568" i="2"/>
  <c r="F568" i="2" s="1"/>
  <c r="J567" i="2"/>
  <c r="I567" i="2"/>
  <c r="H567" i="2" s="1"/>
  <c r="L567" i="2" s="1"/>
  <c r="J566" i="2"/>
  <c r="I566" i="2"/>
  <c r="H566" i="2" s="1"/>
  <c r="L566" i="2" s="1"/>
  <c r="J565" i="2"/>
  <c r="I565" i="2"/>
  <c r="H565" i="2" s="1"/>
  <c r="L565" i="2" s="1"/>
  <c r="J564" i="2"/>
  <c r="I564" i="2"/>
  <c r="F564" i="2" s="1"/>
  <c r="J563" i="2"/>
  <c r="I563" i="2"/>
  <c r="H563" i="2" s="1"/>
  <c r="L563" i="2" s="1"/>
  <c r="J562" i="2"/>
  <c r="I562" i="2"/>
  <c r="H562" i="2" s="1"/>
  <c r="L562" i="2" s="1"/>
  <c r="J561" i="2"/>
  <c r="I561" i="2"/>
  <c r="H561" i="2" s="1"/>
  <c r="L561" i="2" s="1"/>
  <c r="J560" i="2"/>
  <c r="I560" i="2"/>
  <c r="F560" i="2" s="1"/>
  <c r="J559" i="2"/>
  <c r="I559" i="2"/>
  <c r="H559" i="2" s="1"/>
  <c r="L559" i="2" s="1"/>
  <c r="J558" i="2"/>
  <c r="I558" i="2"/>
  <c r="F558" i="2" s="1"/>
  <c r="J557" i="2"/>
  <c r="I557" i="2"/>
  <c r="H557" i="2" s="1"/>
  <c r="L557" i="2" s="1"/>
  <c r="J556" i="2"/>
  <c r="I556" i="2"/>
  <c r="F556" i="2" s="1"/>
  <c r="K681" i="2" l="1"/>
  <c r="L681" i="2"/>
  <c r="K663" i="2"/>
  <c r="L666" i="2"/>
  <c r="L658" i="2"/>
  <c r="K665" i="2"/>
  <c r="K655" i="2"/>
  <c r="K682" i="2"/>
  <c r="K669" i="2"/>
  <c r="L669" i="2"/>
  <c r="K589" i="2"/>
  <c r="L589" i="2"/>
  <c r="K683" i="2"/>
  <c r="K660" i="2"/>
  <c r="L660" i="2"/>
  <c r="K677" i="2"/>
  <c r="L677" i="2"/>
  <c r="K661" i="2"/>
  <c r="L661" i="2"/>
  <c r="K653" i="2"/>
  <c r="L653" i="2"/>
  <c r="K573" i="2"/>
  <c r="L573" i="2"/>
  <c r="K577" i="2"/>
  <c r="L577" i="2"/>
  <c r="K673" i="2"/>
  <c r="L673" i="2"/>
  <c r="K657" i="2"/>
  <c r="K654" i="2"/>
  <c r="K679" i="2"/>
  <c r="K671" i="2"/>
  <c r="K662" i="2"/>
  <c r="F577" i="2"/>
  <c r="L261" i="2"/>
  <c r="K261" i="2"/>
  <c r="F566" i="2"/>
  <c r="F261" i="2"/>
  <c r="G261" i="2"/>
  <c r="H580" i="2"/>
  <c r="H605" i="2"/>
  <c r="F578" i="2"/>
  <c r="K608" i="2"/>
  <c r="K607" i="2"/>
  <c r="H558" i="2"/>
  <c r="L558" i="2" s="1"/>
  <c r="K617" i="2"/>
  <c r="G620" i="2"/>
  <c r="H613" i="2"/>
  <c r="L613" i="2" s="1"/>
  <c r="G609" i="2"/>
  <c r="K615" i="2"/>
  <c r="K625" i="2"/>
  <c r="K628" i="2"/>
  <c r="K570" i="2"/>
  <c r="H606" i="2"/>
  <c r="L228" i="2"/>
  <c r="K228" i="2"/>
  <c r="K571" i="2"/>
  <c r="F589" i="2"/>
  <c r="G605" i="2"/>
  <c r="F228" i="2"/>
  <c r="G228" i="2"/>
  <c r="K581" i="2"/>
  <c r="K612" i="2"/>
  <c r="K621" i="2"/>
  <c r="K629" i="2"/>
  <c r="F616" i="2"/>
  <c r="K603" i="2"/>
  <c r="G616" i="2"/>
  <c r="F620" i="2"/>
  <c r="K620" i="2"/>
  <c r="K106" i="2"/>
  <c r="F562" i="2"/>
  <c r="F573" i="2"/>
  <c r="H585" i="2"/>
  <c r="L585" i="2" s="1"/>
  <c r="K614" i="2"/>
  <c r="H630" i="2"/>
  <c r="H610" i="2"/>
  <c r="L610" i="2" s="1"/>
  <c r="G613" i="2"/>
  <c r="F106" i="2"/>
  <c r="G106" i="2"/>
  <c r="K631" i="2"/>
  <c r="F593" i="2"/>
  <c r="H609" i="2"/>
  <c r="L609" i="2" s="1"/>
  <c r="K611" i="2"/>
  <c r="K618" i="2"/>
  <c r="H626" i="2"/>
  <c r="L626" i="2" s="1"/>
  <c r="K623" i="2"/>
  <c r="K569" i="2"/>
  <c r="K557" i="2"/>
  <c r="K619" i="2"/>
  <c r="K627" i="2"/>
  <c r="K561" i="2"/>
  <c r="K616" i="2"/>
  <c r="K565" i="2"/>
  <c r="F623" i="2"/>
  <c r="F557" i="2"/>
  <c r="F561" i="2"/>
  <c r="F565" i="2"/>
  <c r="F569" i="2"/>
  <c r="H572" i="2"/>
  <c r="L572" i="2" s="1"/>
  <c r="H576" i="2"/>
  <c r="L576" i="2" s="1"/>
  <c r="F606" i="2"/>
  <c r="G623" i="2"/>
  <c r="F630" i="2"/>
  <c r="H584" i="2"/>
  <c r="L584" i="2" s="1"/>
  <c r="H588" i="2"/>
  <c r="L588" i="2" s="1"/>
  <c r="H592" i="2"/>
  <c r="L592" i="2" s="1"/>
  <c r="H556" i="2"/>
  <c r="L556" i="2" s="1"/>
  <c r="H560" i="2"/>
  <c r="L560" i="2" s="1"/>
  <c r="H564" i="2"/>
  <c r="L564" i="2" s="1"/>
  <c r="H568" i="2"/>
  <c r="L568" i="2" s="1"/>
  <c r="K582" i="2"/>
  <c r="F586" i="2"/>
  <c r="F590" i="2"/>
  <c r="F619" i="2"/>
  <c r="F627" i="2"/>
  <c r="F610" i="2"/>
  <c r="G619" i="2"/>
  <c r="F626" i="2"/>
  <c r="G627" i="2"/>
  <c r="K563" i="2"/>
  <c r="K559" i="2"/>
  <c r="K567" i="2"/>
  <c r="K579" i="2"/>
  <c r="K583" i="2"/>
  <c r="K587" i="2"/>
  <c r="K593" i="2"/>
  <c r="K575" i="2"/>
  <c r="K591" i="2"/>
  <c r="K562" i="2"/>
  <c r="K566" i="2"/>
  <c r="K578" i="2"/>
  <c r="K586" i="2"/>
  <c r="K590" i="2"/>
  <c r="F559" i="2"/>
  <c r="F563" i="2"/>
  <c r="F567" i="2"/>
  <c r="F575" i="2"/>
  <c r="F579" i="2"/>
  <c r="F583" i="2"/>
  <c r="F587" i="2"/>
  <c r="F591" i="2"/>
  <c r="J1117" i="2"/>
  <c r="I1117" i="2"/>
  <c r="G1117" i="2" s="1"/>
  <c r="J1108" i="2"/>
  <c r="I1108" i="2"/>
  <c r="H1108" i="2" s="1"/>
  <c r="J1097" i="2"/>
  <c r="I1097" i="2"/>
  <c r="H1097" i="2" s="1"/>
  <c r="L1025" i="2"/>
  <c r="L1026" i="2"/>
  <c r="L1032" i="2"/>
  <c r="L1033" i="2"/>
  <c r="L1035" i="2"/>
  <c r="L1036" i="2"/>
  <c r="L1048" i="2"/>
  <c r="L1049" i="2"/>
  <c r="L1051" i="2"/>
  <c r="L1052" i="2"/>
  <c r="L1066" i="2"/>
  <c r="L1067" i="2"/>
  <c r="L1090" i="2"/>
  <c r="L1091" i="2"/>
  <c r="L1110" i="2"/>
  <c r="L1111" i="2"/>
  <c r="L1119" i="2"/>
  <c r="L1120" i="2"/>
  <c r="J1084" i="2"/>
  <c r="I1084" i="2"/>
  <c r="H1084" i="2" s="1"/>
  <c r="L1084" i="2" s="1"/>
  <c r="J1072" i="2"/>
  <c r="I1072" i="2"/>
  <c r="H1072" i="2" s="1"/>
  <c r="L1072" i="2" s="1"/>
  <c r="J1066" i="2"/>
  <c r="I1066" i="2"/>
  <c r="G1066" i="2" s="1"/>
  <c r="H1066" i="2"/>
  <c r="F1066" i="2"/>
  <c r="J1065" i="2"/>
  <c r="I1065" i="2"/>
  <c r="G1065" i="2" s="1"/>
  <c r="J1064" i="2"/>
  <c r="I1064" i="2"/>
  <c r="F1064" i="2" s="1"/>
  <c r="J1063" i="2"/>
  <c r="I1063" i="2"/>
  <c r="H1063" i="2" s="1"/>
  <c r="L1063" i="2" s="1"/>
  <c r="J1062" i="2"/>
  <c r="I1062" i="2"/>
  <c r="G1062" i="2" s="1"/>
  <c r="J1061" i="2"/>
  <c r="I1061" i="2"/>
  <c r="F1061" i="2" s="1"/>
  <c r="J1060" i="2"/>
  <c r="I1060" i="2"/>
  <c r="G1060" i="2" s="1"/>
  <c r="J1059" i="2"/>
  <c r="I1059" i="2"/>
  <c r="H1059" i="2" s="1"/>
  <c r="L1059" i="2" s="1"/>
  <c r="J1058" i="2"/>
  <c r="I1058" i="2"/>
  <c r="H1058" i="2" s="1"/>
  <c r="L1058" i="2" s="1"/>
  <c r="J1057" i="2"/>
  <c r="I1057" i="2"/>
  <c r="G1057" i="2" s="1"/>
  <c r="J1056" i="2"/>
  <c r="I1056" i="2"/>
  <c r="F1056" i="2" s="1"/>
  <c r="J1055" i="2"/>
  <c r="I1055" i="2"/>
  <c r="H1055" i="2" s="1"/>
  <c r="L1055" i="2" s="1"/>
  <c r="J1054" i="2"/>
  <c r="I1054" i="2"/>
  <c r="H1054" i="2" s="1"/>
  <c r="L1054" i="2" s="1"/>
  <c r="J1053" i="2"/>
  <c r="I1053" i="2"/>
  <c r="F1053" i="2" s="1"/>
  <c r="J1052" i="2"/>
  <c r="I1052" i="2"/>
  <c r="G1052" i="2" s="1"/>
  <c r="H1052" i="2"/>
  <c r="F1052" i="2"/>
  <c r="J1051" i="2"/>
  <c r="I1051" i="2"/>
  <c r="G1051" i="2" s="1"/>
  <c r="H1051" i="2"/>
  <c r="F1051" i="2"/>
  <c r="J1050" i="2"/>
  <c r="I1050" i="2"/>
  <c r="H1050" i="2" s="1"/>
  <c r="L1050" i="2" s="1"/>
  <c r="J1049" i="2"/>
  <c r="I1049" i="2"/>
  <c r="G1049" i="2" s="1"/>
  <c r="H1049" i="2"/>
  <c r="F1049" i="2"/>
  <c r="J1048" i="2"/>
  <c r="I1048" i="2"/>
  <c r="G1048" i="2" s="1"/>
  <c r="H1048" i="2"/>
  <c r="F1048" i="2"/>
  <c r="J1047" i="2"/>
  <c r="I1047" i="2"/>
  <c r="H1047" i="2" s="1"/>
  <c r="L1047" i="2" s="1"/>
  <c r="J1046" i="2"/>
  <c r="I1046" i="2"/>
  <c r="H1046" i="2" s="1"/>
  <c r="L1046" i="2" s="1"/>
  <c r="J1045" i="2"/>
  <c r="I1045" i="2"/>
  <c r="F1045" i="2" s="1"/>
  <c r="J1044" i="2"/>
  <c r="I1044" i="2"/>
  <c r="G1044" i="2" s="1"/>
  <c r="J1043" i="2"/>
  <c r="I1043" i="2"/>
  <c r="H1043" i="2" s="1"/>
  <c r="L1043" i="2" s="1"/>
  <c r="J1042" i="2"/>
  <c r="I1042" i="2"/>
  <c r="H1042" i="2" s="1"/>
  <c r="L1042" i="2" s="1"/>
  <c r="J1041" i="2"/>
  <c r="I1041" i="2"/>
  <c r="G1041" i="2" s="1"/>
  <c r="J1040" i="2"/>
  <c r="I1040" i="2"/>
  <c r="H1040" i="2" s="1"/>
  <c r="L1040" i="2" s="1"/>
  <c r="J1039" i="2"/>
  <c r="I1039" i="2"/>
  <c r="H1039" i="2" s="1"/>
  <c r="L1039" i="2" s="1"/>
  <c r="J1038" i="2"/>
  <c r="I1038" i="2"/>
  <c r="H1038" i="2" s="1"/>
  <c r="J1037" i="2"/>
  <c r="I1037" i="2"/>
  <c r="F1037" i="2" s="1"/>
  <c r="J1036" i="2"/>
  <c r="I1036" i="2"/>
  <c r="G1036" i="2" s="1"/>
  <c r="H1036" i="2"/>
  <c r="F1036" i="2"/>
  <c r="J1035" i="2"/>
  <c r="I1035" i="2"/>
  <c r="G1035" i="2" s="1"/>
  <c r="H1035" i="2"/>
  <c r="F1035" i="2"/>
  <c r="J1034" i="2"/>
  <c r="I1034" i="2"/>
  <c r="H1034" i="2" s="1"/>
  <c r="L1034" i="2" s="1"/>
  <c r="J1033" i="2"/>
  <c r="I1033" i="2"/>
  <c r="G1033" i="2" s="1"/>
  <c r="H1033" i="2"/>
  <c r="F1033" i="2"/>
  <c r="J1032" i="2"/>
  <c r="I1032" i="2"/>
  <c r="G1032" i="2" s="1"/>
  <c r="H1032" i="2"/>
  <c r="F1032" i="2"/>
  <c r="J1031" i="2"/>
  <c r="I1031" i="2"/>
  <c r="H1031" i="2" s="1"/>
  <c r="L1031" i="2" s="1"/>
  <c r="J1030" i="2"/>
  <c r="I1030" i="2"/>
  <c r="H1030" i="2" s="1"/>
  <c r="K1030" i="2" s="1"/>
  <c r="J1029" i="2"/>
  <c r="I1029" i="2"/>
  <c r="F1029" i="2" s="1"/>
  <c r="J1028" i="2"/>
  <c r="I1028" i="2"/>
  <c r="G1028" i="2" s="1"/>
  <c r="J1027" i="2"/>
  <c r="I1027" i="2"/>
  <c r="F1027" i="2" s="1"/>
  <c r="J1026" i="2"/>
  <c r="I1026" i="2"/>
  <c r="G1026" i="2" s="1"/>
  <c r="H1026" i="2"/>
  <c r="F1026" i="2"/>
  <c r="K558" i="2" l="1"/>
  <c r="K605" i="2"/>
  <c r="L605" i="2"/>
  <c r="K580" i="2"/>
  <c r="L580" i="2"/>
  <c r="K626" i="2"/>
  <c r="K606" i="2"/>
  <c r="L606" i="2"/>
  <c r="K613" i="2"/>
  <c r="K630" i="2"/>
  <c r="L630" i="2"/>
  <c r="K585" i="2"/>
  <c r="K610" i="2"/>
  <c r="K609" i="2"/>
  <c r="K588" i="2"/>
  <c r="K572" i="2"/>
  <c r="K584" i="2"/>
  <c r="K568" i="2"/>
  <c r="K564" i="2"/>
  <c r="K560" i="2"/>
  <c r="K556" i="2"/>
  <c r="K592" i="2"/>
  <c r="K576" i="2"/>
  <c r="H1117" i="2"/>
  <c r="L1117" i="2" s="1"/>
  <c r="F1117" i="2"/>
  <c r="K1049" i="2"/>
  <c r="F1108" i="2"/>
  <c r="L1108" i="2"/>
  <c r="K1108" i="2"/>
  <c r="G1108" i="2"/>
  <c r="H1062" i="2"/>
  <c r="L1062" i="2" s="1"/>
  <c r="K1036" i="2"/>
  <c r="G1059" i="2"/>
  <c r="H1044" i="2"/>
  <c r="K1044" i="2" s="1"/>
  <c r="F1059" i="2"/>
  <c r="F1041" i="2"/>
  <c r="F1097" i="2"/>
  <c r="L1097" i="2"/>
  <c r="K1097" i="2"/>
  <c r="G1097" i="2"/>
  <c r="K1026" i="2"/>
  <c r="K1038" i="2"/>
  <c r="L1038" i="2"/>
  <c r="G1034" i="2"/>
  <c r="G1050" i="2"/>
  <c r="L1030" i="2"/>
  <c r="G1027" i="2"/>
  <c r="F1038" i="2"/>
  <c r="G1054" i="2"/>
  <c r="G1038" i="2"/>
  <c r="F1034" i="2"/>
  <c r="H1041" i="2"/>
  <c r="L1041" i="2" s="1"/>
  <c r="F1084" i="2"/>
  <c r="K1084" i="2"/>
  <c r="H1057" i="2"/>
  <c r="L1057" i="2" s="1"/>
  <c r="G1084" i="2"/>
  <c r="H1027" i="2"/>
  <c r="L1027" i="2" s="1"/>
  <c r="K1066" i="2"/>
  <c r="K1033" i="2"/>
  <c r="K1051" i="2"/>
  <c r="G1056" i="2"/>
  <c r="H1064" i="2"/>
  <c r="F1042" i="2"/>
  <c r="K1048" i="2"/>
  <c r="H1056" i="2"/>
  <c r="L1056" i="2" s="1"/>
  <c r="G1042" i="2"/>
  <c r="F1050" i="2"/>
  <c r="F1054" i="2"/>
  <c r="K1046" i="2"/>
  <c r="K1054" i="2"/>
  <c r="K1072" i="2"/>
  <c r="F1043" i="2"/>
  <c r="F1030" i="2"/>
  <c r="G1043" i="2"/>
  <c r="K1052" i="2"/>
  <c r="F1058" i="2"/>
  <c r="F1065" i="2"/>
  <c r="G1030" i="2"/>
  <c r="K1032" i="2"/>
  <c r="K1035" i="2"/>
  <c r="F1046" i="2"/>
  <c r="G1058" i="2"/>
  <c r="H1060" i="2"/>
  <c r="H1065" i="2"/>
  <c r="L1065" i="2" s="1"/>
  <c r="F1072" i="2"/>
  <c r="F1028" i="2"/>
  <c r="G1046" i="2"/>
  <c r="G1072" i="2"/>
  <c r="H1028" i="2"/>
  <c r="G1040" i="2"/>
  <c r="F1057" i="2"/>
  <c r="G1064" i="2"/>
  <c r="K1039" i="2"/>
  <c r="K1063" i="2"/>
  <c r="K1040" i="2"/>
  <c r="K1031" i="2"/>
  <c r="K1034" i="2"/>
  <c r="K1042" i="2"/>
  <c r="K1058" i="2"/>
  <c r="K1055" i="2"/>
  <c r="K1047" i="2"/>
  <c r="K1050" i="2"/>
  <c r="G1029" i="2"/>
  <c r="G1037" i="2"/>
  <c r="F1044" i="2"/>
  <c r="G1045" i="2"/>
  <c r="G1053" i="2"/>
  <c r="F1060" i="2"/>
  <c r="G1061" i="2"/>
  <c r="H1029" i="2"/>
  <c r="L1029" i="2" s="1"/>
  <c r="H1037" i="2"/>
  <c r="L1037" i="2" s="1"/>
  <c r="H1045" i="2"/>
  <c r="L1045" i="2" s="1"/>
  <c r="H1053" i="2"/>
  <c r="L1053" i="2" s="1"/>
  <c r="H1061" i="2"/>
  <c r="L1061" i="2" s="1"/>
  <c r="F1040" i="2"/>
  <c r="F1031" i="2"/>
  <c r="F1039" i="2"/>
  <c r="F1063" i="2"/>
  <c r="G1031" i="2"/>
  <c r="G1039" i="2"/>
  <c r="K1043" i="2"/>
  <c r="G1047" i="2"/>
  <c r="G1055" i="2"/>
  <c r="K1059" i="2"/>
  <c r="F1062" i="2"/>
  <c r="G1063" i="2"/>
  <c r="F1047" i="2"/>
  <c r="F1055" i="2"/>
  <c r="K1062" i="2" l="1"/>
  <c r="K1117" i="2"/>
  <c r="K1027" i="2"/>
  <c r="K1041" i="2"/>
  <c r="L1044" i="2"/>
  <c r="K1064" i="2"/>
  <c r="L1064" i="2"/>
  <c r="K1060" i="2"/>
  <c r="L1060" i="2"/>
  <c r="K1028" i="2"/>
  <c r="L1028" i="2"/>
  <c r="K1057" i="2"/>
  <c r="K1056" i="2"/>
  <c r="K1065" i="2"/>
  <c r="K1053" i="2"/>
  <c r="K1045" i="2"/>
  <c r="K1037" i="2"/>
  <c r="K1061" i="2"/>
  <c r="K1029" i="2"/>
  <c r="J1137" i="2" l="1"/>
  <c r="I1137" i="2"/>
  <c r="G1137" i="2" s="1"/>
  <c r="H1137" i="2"/>
  <c r="F1137" i="2"/>
  <c r="J1136" i="2"/>
  <c r="I1136" i="2"/>
  <c r="H1136" i="2" s="1"/>
  <c r="L1136" i="2" s="1"/>
  <c r="J1135" i="2"/>
  <c r="I1135" i="2"/>
  <c r="G1135" i="2" s="1"/>
  <c r="J1134" i="2"/>
  <c r="I1134" i="2"/>
  <c r="H1134" i="2" s="1"/>
  <c r="L1134" i="2" s="1"/>
  <c r="J1133" i="2"/>
  <c r="I1133" i="2"/>
  <c r="G1133" i="2" s="1"/>
  <c r="J1132" i="2"/>
  <c r="I1132" i="2"/>
  <c r="G1132" i="2" s="1"/>
  <c r="J1131" i="2"/>
  <c r="I1131" i="2"/>
  <c r="F1131" i="2" s="1"/>
  <c r="J1130" i="2"/>
  <c r="I1130" i="2"/>
  <c r="F1130" i="2" s="1"/>
  <c r="J1129" i="2"/>
  <c r="I1129" i="2"/>
  <c r="F1129" i="2" s="1"/>
  <c r="J1126" i="2"/>
  <c r="I1126" i="2"/>
  <c r="H1126" i="2" s="1"/>
  <c r="L1126" i="2" s="1"/>
  <c r="J1128" i="2"/>
  <c r="I1128" i="2"/>
  <c r="G1128" i="2" s="1"/>
  <c r="J1127" i="2"/>
  <c r="I1127" i="2"/>
  <c r="H1127" i="2" s="1"/>
  <c r="L1127" i="2" s="1"/>
  <c r="J1125" i="2"/>
  <c r="I1125" i="2"/>
  <c r="G1125" i="2" s="1"/>
  <c r="J1124" i="2"/>
  <c r="I1124" i="2"/>
  <c r="G1124" i="2" s="1"/>
  <c r="J1123" i="2"/>
  <c r="I1123" i="2"/>
  <c r="F1123" i="2" s="1"/>
  <c r="J1122" i="2"/>
  <c r="I1122" i="2"/>
  <c r="F1122" i="2" s="1"/>
  <c r="J1121" i="2"/>
  <c r="I1121" i="2"/>
  <c r="H1121" i="2" s="1"/>
  <c r="J1120" i="2"/>
  <c r="I1120" i="2"/>
  <c r="G1120" i="2" s="1"/>
  <c r="H1120" i="2"/>
  <c r="F1120" i="2"/>
  <c r="J1119" i="2"/>
  <c r="I1119" i="2"/>
  <c r="G1119" i="2" s="1"/>
  <c r="H1119" i="2"/>
  <c r="K1119" i="2" s="1"/>
  <c r="F1119" i="2"/>
  <c r="J1118" i="2"/>
  <c r="I1118" i="2"/>
  <c r="H1118" i="2" s="1"/>
  <c r="L1118" i="2" s="1"/>
  <c r="J1116" i="2"/>
  <c r="I1116" i="2"/>
  <c r="G1116" i="2" s="1"/>
  <c r="J1115" i="2"/>
  <c r="I1115" i="2"/>
  <c r="G1115" i="2" s="1"/>
  <c r="J1114" i="2"/>
  <c r="I1114" i="2"/>
  <c r="F1114" i="2" s="1"/>
  <c r="J1113" i="2"/>
  <c r="I1113" i="2"/>
  <c r="F1113" i="2" s="1"/>
  <c r="J1112" i="2"/>
  <c r="I1112" i="2"/>
  <c r="F1112" i="2" s="1"/>
  <c r="J1111" i="2"/>
  <c r="I1111" i="2"/>
  <c r="G1111" i="2" s="1"/>
  <c r="H1111" i="2"/>
  <c r="K1111" i="2" s="1"/>
  <c r="F1111" i="2"/>
  <c r="J1110" i="2"/>
  <c r="I1110" i="2"/>
  <c r="G1110" i="2" s="1"/>
  <c r="H1110" i="2"/>
  <c r="F1110" i="2"/>
  <c r="J1109" i="2"/>
  <c r="I1109" i="2"/>
  <c r="G1109" i="2" s="1"/>
  <c r="J1107" i="2"/>
  <c r="I1107" i="2"/>
  <c r="G1107" i="2" s="1"/>
  <c r="J1106" i="2"/>
  <c r="I1106" i="2"/>
  <c r="F1106" i="2" s="1"/>
  <c r="J1105" i="2"/>
  <c r="I1105" i="2"/>
  <c r="F1105" i="2" s="1"/>
  <c r="J1104" i="2"/>
  <c r="I1104" i="2"/>
  <c r="G1104" i="2" s="1"/>
  <c r="J1103" i="2"/>
  <c r="I1103" i="2"/>
  <c r="H1103" i="2" s="1"/>
  <c r="L1103" i="2" s="1"/>
  <c r="J1102" i="2"/>
  <c r="I1102" i="2"/>
  <c r="H1102" i="2" s="1"/>
  <c r="L1102" i="2" s="1"/>
  <c r="J1101" i="2"/>
  <c r="I1101" i="2"/>
  <c r="H1101" i="2" s="1"/>
  <c r="L1101" i="2" s="1"/>
  <c r="J1100" i="2"/>
  <c r="I1100" i="2"/>
  <c r="G1100" i="2" s="1"/>
  <c r="J1099" i="2"/>
  <c r="I1099" i="2"/>
  <c r="G1099" i="2" s="1"/>
  <c r="J1098" i="2"/>
  <c r="I1098" i="2"/>
  <c r="G1098" i="2" s="1"/>
  <c r="J1096" i="2"/>
  <c r="I1096" i="2"/>
  <c r="F1096" i="2" s="1"/>
  <c r="J1095" i="2"/>
  <c r="I1095" i="2"/>
  <c r="H1095" i="2" s="1"/>
  <c r="J1094" i="2"/>
  <c r="I1094" i="2"/>
  <c r="H1094" i="2" s="1"/>
  <c r="L1094" i="2" s="1"/>
  <c r="J1093" i="2"/>
  <c r="I1093" i="2"/>
  <c r="H1093" i="2" s="1"/>
  <c r="L1093" i="2" s="1"/>
  <c r="J1092" i="2"/>
  <c r="I1092" i="2"/>
  <c r="H1092" i="2" s="1"/>
  <c r="L1092" i="2" s="1"/>
  <c r="J1091" i="2"/>
  <c r="I1091" i="2"/>
  <c r="G1091" i="2" s="1"/>
  <c r="H1091" i="2"/>
  <c r="K1091" i="2" s="1"/>
  <c r="F1091" i="2"/>
  <c r="J1090" i="2"/>
  <c r="I1090" i="2"/>
  <c r="G1090" i="2" s="1"/>
  <c r="H1090" i="2"/>
  <c r="F1090" i="2"/>
  <c r="J1080" i="2"/>
  <c r="I1080" i="2"/>
  <c r="G1080" i="2" s="1"/>
  <c r="J1079" i="2"/>
  <c r="I1079" i="2"/>
  <c r="F1079" i="2" s="1"/>
  <c r="J1078" i="2"/>
  <c r="I1078" i="2"/>
  <c r="F1078" i="2" s="1"/>
  <c r="J1077" i="2"/>
  <c r="I1077" i="2"/>
  <c r="H1077" i="2" s="1"/>
  <c r="L1077" i="2" s="1"/>
  <c r="J1089" i="2"/>
  <c r="I1089" i="2"/>
  <c r="G1089" i="2" s="1"/>
  <c r="J1088" i="2"/>
  <c r="I1088" i="2"/>
  <c r="H1088" i="2" s="1"/>
  <c r="L1088" i="2" s="1"/>
  <c r="J1087" i="2"/>
  <c r="I1087" i="2"/>
  <c r="G1087" i="2" s="1"/>
  <c r="J1086" i="2"/>
  <c r="I1086" i="2"/>
  <c r="G1086" i="2" s="1"/>
  <c r="J1085" i="2"/>
  <c r="I1085" i="2"/>
  <c r="F1085" i="2" s="1"/>
  <c r="J1083" i="2"/>
  <c r="I1083" i="2"/>
  <c r="F1083" i="2" s="1"/>
  <c r="J1082" i="2"/>
  <c r="I1082" i="2"/>
  <c r="H1082" i="2" s="1"/>
  <c r="L1082" i="2" s="1"/>
  <c r="J1081" i="2"/>
  <c r="I1081" i="2"/>
  <c r="H1081" i="2" s="1"/>
  <c r="L1081" i="2" s="1"/>
  <c r="J1076" i="2"/>
  <c r="I1076" i="2"/>
  <c r="H1076" i="2" s="1"/>
  <c r="L1076" i="2" s="1"/>
  <c r="J1075" i="2"/>
  <c r="I1075" i="2"/>
  <c r="H1075" i="2" s="1"/>
  <c r="L1075" i="2" s="1"/>
  <c r="J1074" i="2"/>
  <c r="I1074" i="2"/>
  <c r="G1074" i="2" s="1"/>
  <c r="J1073" i="2"/>
  <c r="I1073" i="2"/>
  <c r="F1073" i="2" s="1"/>
  <c r="J1071" i="2"/>
  <c r="I1071" i="2"/>
  <c r="G1071" i="2" s="1"/>
  <c r="J1070" i="2"/>
  <c r="I1070" i="2"/>
  <c r="F1070" i="2" s="1"/>
  <c r="J1069" i="2"/>
  <c r="I1069" i="2"/>
  <c r="H1069" i="2" s="1"/>
  <c r="L1069" i="2" s="1"/>
  <c r="J1068" i="2"/>
  <c r="I1068" i="2"/>
  <c r="H1068" i="2" s="1"/>
  <c r="L1068" i="2" s="1"/>
  <c r="J1067" i="2"/>
  <c r="I1067" i="2"/>
  <c r="G1067" i="2" s="1"/>
  <c r="H1067" i="2"/>
  <c r="F1067" i="2"/>
  <c r="G1082" i="2" l="1"/>
  <c r="H1074" i="2"/>
  <c r="L1074" i="2" s="1"/>
  <c r="H1098" i="2"/>
  <c r="L1098" i="2" s="1"/>
  <c r="H1128" i="2"/>
  <c r="L1128" i="2" s="1"/>
  <c r="F1121" i="2"/>
  <c r="G1068" i="2"/>
  <c r="F1082" i="2"/>
  <c r="H1096" i="2"/>
  <c r="L1096" i="2" s="1"/>
  <c r="H1100" i="2"/>
  <c r="L1100" i="2" s="1"/>
  <c r="H1131" i="2"/>
  <c r="L1131" i="2" s="1"/>
  <c r="G1078" i="2"/>
  <c r="H1080" i="2"/>
  <c r="L1080" i="2" s="1"/>
  <c r="H1114" i="2"/>
  <c r="L1114" i="2" s="1"/>
  <c r="H1130" i="2"/>
  <c r="L1130" i="2" s="1"/>
  <c r="H1133" i="2"/>
  <c r="L1133" i="2" s="1"/>
  <c r="K1095" i="2"/>
  <c r="L1095" i="2"/>
  <c r="F1068" i="2"/>
  <c r="H1087" i="2"/>
  <c r="L1087" i="2" s="1"/>
  <c r="G1103" i="2"/>
  <c r="H1106" i="2"/>
  <c r="L1106" i="2" s="1"/>
  <c r="G1121" i="2"/>
  <c r="G1081" i="2"/>
  <c r="H1104" i="2"/>
  <c r="H1113" i="2"/>
  <c r="L1113" i="2" s="1"/>
  <c r="H1116" i="2"/>
  <c r="L1116" i="2" s="1"/>
  <c r="K1121" i="2"/>
  <c r="L1121" i="2"/>
  <c r="K1090" i="2"/>
  <c r="G1095" i="2"/>
  <c r="K1120" i="2"/>
  <c r="F1126" i="2"/>
  <c r="G1096" i="2"/>
  <c r="F1103" i="2"/>
  <c r="G1126" i="2"/>
  <c r="G1129" i="2"/>
  <c r="F1095" i="2"/>
  <c r="K1067" i="2"/>
  <c r="H1070" i="2"/>
  <c r="L1070" i="2" s="1"/>
  <c r="H1078" i="2"/>
  <c r="H1123" i="2"/>
  <c r="L1123" i="2" s="1"/>
  <c r="G1136" i="2"/>
  <c r="G1112" i="2"/>
  <c r="H1129" i="2"/>
  <c r="F1076" i="2"/>
  <c r="H1112" i="2"/>
  <c r="F1135" i="2"/>
  <c r="G1070" i="2"/>
  <c r="H1083" i="2"/>
  <c r="L1083" i="2" s="1"/>
  <c r="F1136" i="2"/>
  <c r="K1069" i="2"/>
  <c r="K1082" i="2"/>
  <c r="H1085" i="2"/>
  <c r="L1085" i="2" s="1"/>
  <c r="F1093" i="2"/>
  <c r="F1077" i="2"/>
  <c r="G1105" i="2"/>
  <c r="F1069" i="2"/>
  <c r="F1081" i="2"/>
  <c r="G1077" i="2"/>
  <c r="H1105" i="2"/>
  <c r="L1105" i="2" s="1"/>
  <c r="H1109" i="2"/>
  <c r="L1109" i="2" s="1"/>
  <c r="G1113" i="2"/>
  <c r="F1128" i="2"/>
  <c r="G1130" i="2"/>
  <c r="H1135" i="2"/>
  <c r="L1135" i="2" s="1"/>
  <c r="G1069" i="2"/>
  <c r="F1089" i="2"/>
  <c r="G1079" i="2"/>
  <c r="F1094" i="2"/>
  <c r="F1104" i="2"/>
  <c r="G1122" i="2"/>
  <c r="H1071" i="2"/>
  <c r="L1071" i="2" s="1"/>
  <c r="G1083" i="2"/>
  <c r="H1089" i="2"/>
  <c r="L1089" i="2" s="1"/>
  <c r="H1079" i="2"/>
  <c r="L1079" i="2" s="1"/>
  <c r="G1094" i="2"/>
  <c r="F1102" i="2"/>
  <c r="K1110" i="2"/>
  <c r="H1122" i="2"/>
  <c r="L1122" i="2" s="1"/>
  <c r="H1125" i="2"/>
  <c r="L1125" i="2" s="1"/>
  <c r="K1137" i="2"/>
  <c r="K1068" i="2"/>
  <c r="K1076" i="2"/>
  <c r="K1127" i="2"/>
  <c r="K1088" i="2"/>
  <c r="K1093" i="2"/>
  <c r="K1103" i="2"/>
  <c r="K1136" i="2"/>
  <c r="K1126" i="2"/>
  <c r="K1077" i="2"/>
  <c r="K1081" i="2"/>
  <c r="K1075" i="2"/>
  <c r="K1094" i="2"/>
  <c r="K1102" i="2"/>
  <c r="K1092" i="2"/>
  <c r="K1101" i="2"/>
  <c r="K1118" i="2"/>
  <c r="K1134" i="2"/>
  <c r="F1071" i="2"/>
  <c r="G1073" i="2"/>
  <c r="F1080" i="2"/>
  <c r="F1098" i="2"/>
  <c r="H1073" i="2"/>
  <c r="L1073" i="2" s="1"/>
  <c r="G1085" i="2"/>
  <c r="H1086" i="2"/>
  <c r="L1086" i="2" s="1"/>
  <c r="H1099" i="2"/>
  <c r="L1099" i="2" s="1"/>
  <c r="G1106" i="2"/>
  <c r="H1107" i="2"/>
  <c r="L1107" i="2" s="1"/>
  <c r="G1114" i="2"/>
  <c r="H1115" i="2"/>
  <c r="L1115" i="2" s="1"/>
  <c r="G1123" i="2"/>
  <c r="H1124" i="2"/>
  <c r="L1124" i="2" s="1"/>
  <c r="G1131" i="2"/>
  <c r="H1132" i="2"/>
  <c r="L1132" i="2" s="1"/>
  <c r="F1075" i="2"/>
  <c r="G1076" i="2"/>
  <c r="F1088" i="2"/>
  <c r="F1092" i="2"/>
  <c r="G1093" i="2"/>
  <c r="F1101" i="2"/>
  <c r="G1102" i="2"/>
  <c r="K1114" i="2"/>
  <c r="F1118" i="2"/>
  <c r="F1127" i="2"/>
  <c r="F1134" i="2"/>
  <c r="F1074" i="2"/>
  <c r="G1075" i="2"/>
  <c r="F1087" i="2"/>
  <c r="G1088" i="2"/>
  <c r="G1092" i="2"/>
  <c r="F1100" i="2"/>
  <c r="G1101" i="2"/>
  <c r="F1109" i="2"/>
  <c r="F1116" i="2"/>
  <c r="G1118" i="2"/>
  <c r="F1125" i="2"/>
  <c r="G1127" i="2"/>
  <c r="F1133" i="2"/>
  <c r="G1134" i="2"/>
  <c r="F1086" i="2"/>
  <c r="F1099" i="2"/>
  <c r="F1107" i="2"/>
  <c r="F1115" i="2"/>
  <c r="F1124" i="2"/>
  <c r="F1132" i="2"/>
  <c r="K1098" i="2" l="1"/>
  <c r="K1096" i="2"/>
  <c r="K1071" i="2"/>
  <c r="K1130" i="2"/>
  <c r="K1106" i="2"/>
  <c r="K1113" i="2"/>
  <c r="K1100" i="2"/>
  <c r="K1131" i="2"/>
  <c r="K1070" i="2"/>
  <c r="K1128" i="2"/>
  <c r="K1080" i="2"/>
  <c r="K1133" i="2"/>
  <c r="K1074" i="2"/>
  <c r="K1087" i="2"/>
  <c r="K1079" i="2"/>
  <c r="K1078" i="2"/>
  <c r="L1078" i="2"/>
  <c r="K1123" i="2"/>
  <c r="K1112" i="2"/>
  <c r="L1112" i="2"/>
  <c r="K1104" i="2"/>
  <c r="L1104" i="2"/>
  <c r="K1105" i="2"/>
  <c r="K1129" i="2"/>
  <c r="L1129" i="2"/>
  <c r="K1116" i="2"/>
  <c r="K1083" i="2"/>
  <c r="K1085" i="2"/>
  <c r="K1135" i="2"/>
  <c r="K1109" i="2"/>
  <c r="K1089" i="2"/>
  <c r="K1122" i="2"/>
  <c r="K1125" i="2"/>
  <c r="K1107" i="2"/>
  <c r="K1115" i="2"/>
  <c r="K1073" i="2"/>
  <c r="K1132" i="2"/>
  <c r="K1099" i="2"/>
  <c r="K1086" i="2"/>
  <c r="K1124" i="2"/>
  <c r="L954" i="2" l="1"/>
  <c r="L955" i="2"/>
  <c r="L966" i="2"/>
  <c r="L967" i="2"/>
  <c r="L976" i="2"/>
  <c r="L977" i="2"/>
  <c r="L987" i="2"/>
  <c r="L988" i="2"/>
  <c r="L1012" i="2"/>
  <c r="L1013" i="2"/>
  <c r="L1015" i="2"/>
  <c r="L1016" i="2"/>
  <c r="J1003" i="2"/>
  <c r="I1003" i="2"/>
  <c r="F1003" i="2" s="1"/>
  <c r="J554" i="2"/>
  <c r="I554" i="2"/>
  <c r="G554" i="2" s="1"/>
  <c r="H554" i="2"/>
  <c r="F554" i="2"/>
  <c r="J553" i="2"/>
  <c r="I553" i="2"/>
  <c r="F553" i="2" s="1"/>
  <c r="J552" i="2"/>
  <c r="I552" i="2"/>
  <c r="G552" i="2" s="1"/>
  <c r="H552" i="2"/>
  <c r="F552" i="2"/>
  <c r="J551" i="2"/>
  <c r="I551" i="2"/>
  <c r="G551" i="2" s="1"/>
  <c r="H551" i="2"/>
  <c r="F551" i="2"/>
  <c r="J550" i="2"/>
  <c r="I550" i="2"/>
  <c r="H550" i="2" s="1"/>
  <c r="L550" i="2" s="1"/>
  <c r="J549" i="2"/>
  <c r="I549" i="2"/>
  <c r="G549" i="2" s="1"/>
  <c r="H549" i="2"/>
  <c r="F549" i="2"/>
  <c r="J548" i="2"/>
  <c r="I548" i="2"/>
  <c r="G548" i="2" s="1"/>
  <c r="H548" i="2"/>
  <c r="F548" i="2"/>
  <c r="J547" i="2"/>
  <c r="I547" i="2"/>
  <c r="H547" i="2" s="1"/>
  <c r="L547" i="2" s="1"/>
  <c r="J546" i="2"/>
  <c r="I546" i="2"/>
  <c r="G546" i="2" s="1"/>
  <c r="H546" i="2"/>
  <c r="F546" i="2"/>
  <c r="J545" i="2"/>
  <c r="I545" i="2"/>
  <c r="G545" i="2" s="1"/>
  <c r="H545" i="2"/>
  <c r="F545" i="2"/>
  <c r="J544" i="2"/>
  <c r="I544" i="2"/>
  <c r="H544" i="2" s="1"/>
  <c r="L544" i="2" s="1"/>
  <c r="J543" i="2"/>
  <c r="I543" i="2"/>
  <c r="G543" i="2" s="1"/>
  <c r="H543" i="2"/>
  <c r="F543" i="2"/>
  <c r="J542" i="2"/>
  <c r="I542" i="2"/>
  <c r="G542" i="2" s="1"/>
  <c r="H542" i="2"/>
  <c r="F542" i="2"/>
  <c r="J541" i="2"/>
  <c r="I541" i="2"/>
  <c r="G541" i="2" s="1"/>
  <c r="J540" i="2"/>
  <c r="I540" i="2"/>
  <c r="G540" i="2" s="1"/>
  <c r="J539" i="2"/>
  <c r="I539" i="2"/>
  <c r="G539" i="2" s="1"/>
  <c r="H539" i="2"/>
  <c r="F539" i="2"/>
  <c r="J538" i="2"/>
  <c r="I538" i="2"/>
  <c r="G538" i="2" s="1"/>
  <c r="H538" i="2"/>
  <c r="F538" i="2"/>
  <c r="J537" i="2"/>
  <c r="I537" i="2"/>
  <c r="F537" i="2" s="1"/>
  <c r="J536" i="2"/>
  <c r="I536" i="2"/>
  <c r="G536" i="2" s="1"/>
  <c r="J535" i="2"/>
  <c r="I535" i="2"/>
  <c r="H535" i="2" s="1"/>
  <c r="L535" i="2" s="1"/>
  <c r="J534" i="2"/>
  <c r="I534" i="2"/>
  <c r="H534" i="2" s="1"/>
  <c r="L534" i="2" s="1"/>
  <c r="J533" i="2"/>
  <c r="I533" i="2"/>
  <c r="G533" i="2" s="1"/>
  <c r="H533" i="2"/>
  <c r="F533" i="2"/>
  <c r="J532" i="2"/>
  <c r="I532" i="2"/>
  <c r="G532" i="2" s="1"/>
  <c r="H532" i="2"/>
  <c r="F532" i="2"/>
  <c r="J531" i="2"/>
  <c r="I531" i="2"/>
  <c r="H531" i="2" s="1"/>
  <c r="L531" i="2" s="1"/>
  <c r="J530" i="2"/>
  <c r="I530" i="2"/>
  <c r="G530" i="2" s="1"/>
  <c r="J529" i="2"/>
  <c r="I529" i="2"/>
  <c r="F529" i="2" s="1"/>
  <c r="J528" i="2"/>
  <c r="I528" i="2"/>
  <c r="G528" i="2" s="1"/>
  <c r="H528" i="2"/>
  <c r="F528" i="2"/>
  <c r="J1025" i="2"/>
  <c r="I1025" i="2"/>
  <c r="G1025" i="2" s="1"/>
  <c r="H1025" i="2"/>
  <c r="F1025" i="2"/>
  <c r="J1024" i="2"/>
  <c r="I1024" i="2"/>
  <c r="H1024" i="2" s="1"/>
  <c r="L1024" i="2" s="1"/>
  <c r="J1023" i="2"/>
  <c r="I1023" i="2"/>
  <c r="G1023" i="2" s="1"/>
  <c r="J1022" i="2"/>
  <c r="I1022" i="2"/>
  <c r="G1022" i="2" s="1"/>
  <c r="J1021" i="2"/>
  <c r="I1021" i="2"/>
  <c r="F1021" i="2" s="1"/>
  <c r="J1020" i="2"/>
  <c r="I1020" i="2"/>
  <c r="F1020" i="2" s="1"/>
  <c r="J1019" i="2"/>
  <c r="I1019" i="2"/>
  <c r="H1019" i="2" s="1"/>
  <c r="L1019" i="2" s="1"/>
  <c r="J1018" i="2"/>
  <c r="I1018" i="2"/>
  <c r="H1018" i="2" s="1"/>
  <c r="K1018" i="2" s="1"/>
  <c r="J1017" i="2"/>
  <c r="I1017" i="2"/>
  <c r="H1017" i="2" s="1"/>
  <c r="L1017" i="2" s="1"/>
  <c r="J1016" i="2"/>
  <c r="I1016" i="2"/>
  <c r="G1016" i="2" s="1"/>
  <c r="H1016" i="2"/>
  <c r="F1016" i="2"/>
  <c r="J1015" i="2"/>
  <c r="I1015" i="2"/>
  <c r="G1015" i="2" s="1"/>
  <c r="H1015" i="2"/>
  <c r="F1015" i="2"/>
  <c r="J1014" i="2"/>
  <c r="I1014" i="2"/>
  <c r="G1014" i="2" s="1"/>
  <c r="J1013" i="2"/>
  <c r="I1013" i="2"/>
  <c r="G1013" i="2" s="1"/>
  <c r="H1013" i="2"/>
  <c r="F1013" i="2"/>
  <c r="J1012" i="2"/>
  <c r="I1012" i="2"/>
  <c r="G1012" i="2" s="1"/>
  <c r="H1012" i="2"/>
  <c r="F1012" i="2"/>
  <c r="J1007" i="2"/>
  <c r="I1007" i="2"/>
  <c r="H1007" i="2" s="1"/>
  <c r="L1007" i="2" s="1"/>
  <c r="J1006" i="2"/>
  <c r="I1006" i="2"/>
  <c r="H1006" i="2" s="1"/>
  <c r="K1006" i="2" s="1"/>
  <c r="J1005" i="2"/>
  <c r="I1005" i="2"/>
  <c r="F1005" i="2" s="1"/>
  <c r="J1004" i="2"/>
  <c r="I1004" i="2"/>
  <c r="H1004" i="2" s="1"/>
  <c r="L1004" i="2" s="1"/>
  <c r="J1002" i="2"/>
  <c r="I1002" i="2"/>
  <c r="G1002" i="2" s="1"/>
  <c r="J1001" i="2"/>
  <c r="I1001" i="2"/>
  <c r="G1001" i="2" s="1"/>
  <c r="J1000" i="2"/>
  <c r="I1000" i="2"/>
  <c r="F1000" i="2" s="1"/>
  <c r="J999" i="2"/>
  <c r="I999" i="2"/>
  <c r="F999" i="2" s="1"/>
  <c r="J998" i="2"/>
  <c r="I998" i="2"/>
  <c r="G998" i="2" s="1"/>
  <c r="J997" i="2"/>
  <c r="I997" i="2"/>
  <c r="G997" i="2" s="1"/>
  <c r="J996" i="2"/>
  <c r="I996" i="2"/>
  <c r="G996" i="2" s="1"/>
  <c r="J995" i="2"/>
  <c r="I995" i="2"/>
  <c r="H995" i="2" s="1"/>
  <c r="L995" i="2" s="1"/>
  <c r="J994" i="2"/>
  <c r="I994" i="2"/>
  <c r="G994" i="2" s="1"/>
  <c r="J993" i="2"/>
  <c r="I993" i="2"/>
  <c r="G993" i="2" s="1"/>
  <c r="J992" i="2"/>
  <c r="I992" i="2"/>
  <c r="F992" i="2" s="1"/>
  <c r="J991" i="2"/>
  <c r="I991" i="2"/>
  <c r="F991" i="2" s="1"/>
  <c r="J990" i="2"/>
  <c r="I990" i="2"/>
  <c r="H990" i="2" s="1"/>
  <c r="L990" i="2" s="1"/>
  <c r="J989" i="2"/>
  <c r="I989" i="2"/>
  <c r="G989" i="2" s="1"/>
  <c r="J988" i="2"/>
  <c r="I988" i="2"/>
  <c r="G988" i="2" s="1"/>
  <c r="H988" i="2"/>
  <c r="F988" i="2"/>
  <c r="J987" i="2"/>
  <c r="I987" i="2"/>
  <c r="G987" i="2" s="1"/>
  <c r="H987" i="2"/>
  <c r="F987" i="2"/>
  <c r="J986" i="2"/>
  <c r="I986" i="2"/>
  <c r="G986" i="2" s="1"/>
  <c r="J985" i="2"/>
  <c r="I985" i="2"/>
  <c r="G985" i="2" s="1"/>
  <c r="J984" i="2"/>
  <c r="I984" i="2"/>
  <c r="F984" i="2" s="1"/>
  <c r="J983" i="2"/>
  <c r="I983" i="2"/>
  <c r="F983" i="2" s="1"/>
  <c r="J982" i="2"/>
  <c r="I982" i="2"/>
  <c r="H982" i="2" s="1"/>
  <c r="L982" i="2" s="1"/>
  <c r="J981" i="2"/>
  <c r="I981" i="2"/>
  <c r="F981" i="2" s="1"/>
  <c r="J980" i="2"/>
  <c r="I980" i="2"/>
  <c r="G980" i="2" s="1"/>
  <c r="J979" i="2"/>
  <c r="I979" i="2"/>
  <c r="H979" i="2" s="1"/>
  <c r="L979" i="2" s="1"/>
  <c r="J978" i="2"/>
  <c r="I978" i="2"/>
  <c r="H978" i="2" s="1"/>
  <c r="L978" i="2" s="1"/>
  <c r="J977" i="2"/>
  <c r="I977" i="2"/>
  <c r="G977" i="2" s="1"/>
  <c r="H977" i="2"/>
  <c r="F977" i="2"/>
  <c r="J976" i="2"/>
  <c r="I976" i="2"/>
  <c r="G976" i="2" s="1"/>
  <c r="H976" i="2"/>
  <c r="F976" i="2"/>
  <c r="J975" i="2"/>
  <c r="I975" i="2"/>
  <c r="F975" i="2" s="1"/>
  <c r="J974" i="2"/>
  <c r="I974" i="2"/>
  <c r="H974" i="2" s="1"/>
  <c r="L974" i="2" s="1"/>
  <c r="J973" i="2"/>
  <c r="I973" i="2"/>
  <c r="H973" i="2" s="1"/>
  <c r="K973" i="2" s="1"/>
  <c r="J972" i="2"/>
  <c r="I972" i="2"/>
  <c r="H972" i="2" s="1"/>
  <c r="L972" i="2" s="1"/>
  <c r="J971" i="2"/>
  <c r="I971" i="2"/>
  <c r="H971" i="2" s="1"/>
  <c r="L971" i="2" s="1"/>
  <c r="J970" i="2"/>
  <c r="I970" i="2"/>
  <c r="H970" i="2" s="1"/>
  <c r="L970" i="2" s="1"/>
  <c r="J969" i="2"/>
  <c r="I969" i="2"/>
  <c r="G969" i="2" s="1"/>
  <c r="J968" i="2"/>
  <c r="I968" i="2"/>
  <c r="F968" i="2" s="1"/>
  <c r="J967" i="2"/>
  <c r="I967" i="2"/>
  <c r="G967" i="2" s="1"/>
  <c r="H967" i="2"/>
  <c r="F967" i="2"/>
  <c r="J966" i="2"/>
  <c r="I966" i="2"/>
  <c r="G966" i="2" s="1"/>
  <c r="H966" i="2"/>
  <c r="F966" i="2"/>
  <c r="J965" i="2"/>
  <c r="I965" i="2"/>
  <c r="G965" i="2" s="1"/>
  <c r="J964" i="2"/>
  <c r="I964" i="2"/>
  <c r="H964" i="2" s="1"/>
  <c r="L964" i="2" s="1"/>
  <c r="J963" i="2"/>
  <c r="I963" i="2"/>
  <c r="H963" i="2" s="1"/>
  <c r="L963" i="2" s="1"/>
  <c r="J962" i="2"/>
  <c r="I962" i="2"/>
  <c r="G962" i="2" s="1"/>
  <c r="J961" i="2"/>
  <c r="I961" i="2"/>
  <c r="G961" i="2" s="1"/>
  <c r="J960" i="2"/>
  <c r="I960" i="2"/>
  <c r="F960" i="2" s="1"/>
  <c r="J959" i="2"/>
  <c r="I959" i="2"/>
  <c r="F959" i="2" s="1"/>
  <c r="J958" i="2"/>
  <c r="I958" i="2"/>
  <c r="H958" i="2" s="1"/>
  <c r="L958" i="2" s="1"/>
  <c r="J957" i="2"/>
  <c r="I957" i="2"/>
  <c r="G957" i="2" s="1"/>
  <c r="J956" i="2"/>
  <c r="I956" i="2"/>
  <c r="G956" i="2" s="1"/>
  <c r="J955" i="2"/>
  <c r="I955" i="2"/>
  <c r="G955" i="2" s="1"/>
  <c r="H955" i="2"/>
  <c r="F955" i="2"/>
  <c r="J954" i="2"/>
  <c r="I954" i="2"/>
  <c r="G954" i="2" s="1"/>
  <c r="H954" i="2"/>
  <c r="F954" i="2"/>
  <c r="J458" i="2"/>
  <c r="I458" i="2"/>
  <c r="H458" i="2" s="1"/>
  <c r="L458" i="2" s="1"/>
  <c r="J449" i="2"/>
  <c r="I449" i="2"/>
  <c r="G449" i="2" s="1"/>
  <c r="L505" i="2"/>
  <c r="L504" i="2"/>
  <c r="L501" i="2"/>
  <c r="L498" i="2"/>
  <c r="L497" i="2"/>
  <c r="L494" i="2"/>
  <c r="J527" i="2"/>
  <c r="I527" i="2"/>
  <c r="G527" i="2" s="1"/>
  <c r="H527" i="2"/>
  <c r="F527" i="2"/>
  <c r="J526" i="2"/>
  <c r="I526" i="2"/>
  <c r="H526" i="2" s="1"/>
  <c r="L526" i="2" s="1"/>
  <c r="J525" i="2"/>
  <c r="I525" i="2"/>
  <c r="G525" i="2" s="1"/>
  <c r="H525" i="2"/>
  <c r="F525" i="2"/>
  <c r="J524" i="2"/>
  <c r="I524" i="2"/>
  <c r="G524" i="2" s="1"/>
  <c r="H524" i="2"/>
  <c r="F524" i="2"/>
  <c r="J523" i="2"/>
  <c r="I523" i="2"/>
  <c r="G523" i="2" s="1"/>
  <c r="J522" i="2"/>
  <c r="I522" i="2"/>
  <c r="G522" i="2" s="1"/>
  <c r="H522" i="2"/>
  <c r="F522" i="2"/>
  <c r="J521" i="2"/>
  <c r="I521" i="2"/>
  <c r="G521" i="2" s="1"/>
  <c r="H521" i="2"/>
  <c r="F521" i="2"/>
  <c r="J520" i="2"/>
  <c r="I520" i="2"/>
  <c r="H520" i="2" s="1"/>
  <c r="L520" i="2" s="1"/>
  <c r="J519" i="2"/>
  <c r="I519" i="2"/>
  <c r="G519" i="2" s="1"/>
  <c r="J518" i="2"/>
  <c r="I518" i="2"/>
  <c r="G518" i="2" s="1"/>
  <c r="H518" i="2"/>
  <c r="F518" i="2"/>
  <c r="J517" i="2"/>
  <c r="I517" i="2"/>
  <c r="G517" i="2" s="1"/>
  <c r="H517" i="2"/>
  <c r="F517" i="2"/>
  <c r="J516" i="2"/>
  <c r="I516" i="2"/>
  <c r="H516" i="2" s="1"/>
  <c r="L516" i="2" s="1"/>
  <c r="J515" i="2"/>
  <c r="I515" i="2"/>
  <c r="G515" i="2" s="1"/>
  <c r="J514" i="2"/>
  <c r="I514" i="2"/>
  <c r="F514" i="2" s="1"/>
  <c r="J513" i="2"/>
  <c r="I513" i="2"/>
  <c r="G513" i="2" s="1"/>
  <c r="H513" i="2"/>
  <c r="F513" i="2"/>
  <c r="J511" i="2"/>
  <c r="I511" i="2"/>
  <c r="G511" i="2" s="1"/>
  <c r="H511" i="2"/>
  <c r="F511" i="2"/>
  <c r="J510" i="2"/>
  <c r="I510" i="2"/>
  <c r="G510" i="2" s="1"/>
  <c r="H510" i="2"/>
  <c r="F510" i="2"/>
  <c r="J509" i="2"/>
  <c r="I509" i="2"/>
  <c r="H509" i="2" s="1"/>
  <c r="L509" i="2" s="1"/>
  <c r="J508" i="2"/>
  <c r="I508" i="2"/>
  <c r="G508" i="2" s="1"/>
  <c r="J507" i="2"/>
  <c r="I507" i="2"/>
  <c r="G507" i="2" s="1"/>
  <c r="H507" i="2"/>
  <c r="F507" i="2"/>
  <c r="F1004" i="2" l="1"/>
  <c r="F964" i="2"/>
  <c r="G1017" i="2"/>
  <c r="G981" i="2"/>
  <c r="G544" i="2"/>
  <c r="H965" i="2"/>
  <c r="K965" i="2" s="1"/>
  <c r="H984" i="2"/>
  <c r="L984" i="2" s="1"/>
  <c r="H541" i="2"/>
  <c r="K533" i="2"/>
  <c r="F997" i="2"/>
  <c r="H530" i="2"/>
  <c r="L530" i="2" s="1"/>
  <c r="F544" i="2"/>
  <c r="F956" i="2"/>
  <c r="H956" i="2"/>
  <c r="K956" i="2" s="1"/>
  <c r="F995" i="2"/>
  <c r="H957" i="2"/>
  <c r="K957" i="2" s="1"/>
  <c r="K549" i="2"/>
  <c r="H553" i="2"/>
  <c r="K528" i="2"/>
  <c r="K546" i="2"/>
  <c r="K548" i="2"/>
  <c r="K987" i="2"/>
  <c r="K955" i="2"/>
  <c r="F965" i="2"/>
  <c r="H980" i="2"/>
  <c r="K980" i="2" s="1"/>
  <c r="G983" i="2"/>
  <c r="G1007" i="2"/>
  <c r="F449" i="2"/>
  <c r="G963" i="2"/>
  <c r="F974" i="2"/>
  <c r="F1017" i="2"/>
  <c r="K532" i="2"/>
  <c r="H536" i="2"/>
  <c r="L536" i="2" s="1"/>
  <c r="H540" i="2"/>
  <c r="L540" i="2" s="1"/>
  <c r="K551" i="2"/>
  <c r="L1018" i="2"/>
  <c r="L1006" i="2"/>
  <c r="L956" i="2"/>
  <c r="G458" i="2"/>
  <c r="G958" i="2"/>
  <c r="G973" i="2"/>
  <c r="K543" i="2"/>
  <c r="K1025" i="2"/>
  <c r="F536" i="2"/>
  <c r="K538" i="2"/>
  <c r="K552" i="2"/>
  <c r="G1003" i="2"/>
  <c r="K954" i="2"/>
  <c r="H997" i="2"/>
  <c r="H529" i="2"/>
  <c r="F540" i="2"/>
  <c r="H1003" i="2"/>
  <c r="L1003" i="2" s="1"/>
  <c r="L973" i="2"/>
  <c r="G1005" i="2"/>
  <c r="K1015" i="2"/>
  <c r="K964" i="2"/>
  <c r="K970" i="2"/>
  <c r="G964" i="2"/>
  <c r="F970" i="2"/>
  <c r="G979" i="2"/>
  <c r="G529" i="2"/>
  <c r="F535" i="2"/>
  <c r="K539" i="2"/>
  <c r="F957" i="2"/>
  <c r="G959" i="2"/>
  <c r="F962" i="2"/>
  <c r="G970" i="2"/>
  <c r="G975" i="2"/>
  <c r="F982" i="2"/>
  <c r="K1016" i="2"/>
  <c r="F1018" i="2"/>
  <c r="G537" i="2"/>
  <c r="H959" i="2"/>
  <c r="L959" i="2" s="1"/>
  <c r="K966" i="2"/>
  <c r="F973" i="2"/>
  <c r="H996" i="2"/>
  <c r="L996" i="2" s="1"/>
  <c r="G1018" i="2"/>
  <c r="H537" i="2"/>
  <c r="K542" i="2"/>
  <c r="K545" i="2"/>
  <c r="G553" i="2"/>
  <c r="H998" i="2"/>
  <c r="L998" i="2" s="1"/>
  <c r="H994" i="2"/>
  <c r="L994" i="2" s="1"/>
  <c r="H991" i="2"/>
  <c r="L991" i="2" s="1"/>
  <c r="F989" i="2"/>
  <c r="H989" i="2"/>
  <c r="K554" i="2"/>
  <c r="K544" i="2"/>
  <c r="K535" i="2"/>
  <c r="K531" i="2"/>
  <c r="K547" i="2"/>
  <c r="K550" i="2"/>
  <c r="K534" i="2"/>
  <c r="K972" i="2"/>
  <c r="K988" i="2"/>
  <c r="F1019" i="2"/>
  <c r="F531" i="2"/>
  <c r="F547" i="2"/>
  <c r="H449" i="2"/>
  <c r="K449" i="2" s="1"/>
  <c r="K967" i="2"/>
  <c r="F971" i="2"/>
  <c r="G974" i="2"/>
  <c r="K976" i="2"/>
  <c r="K977" i="2"/>
  <c r="F980" i="2"/>
  <c r="H981" i="2"/>
  <c r="H983" i="2"/>
  <c r="L983" i="2" s="1"/>
  <c r="F986" i="2"/>
  <c r="F990" i="2"/>
  <c r="H992" i="2"/>
  <c r="L992" i="2" s="1"/>
  <c r="F998" i="2"/>
  <c r="H1005" i="2"/>
  <c r="L1005" i="2" s="1"/>
  <c r="G1019" i="2"/>
  <c r="H1021" i="2"/>
  <c r="L1021" i="2" s="1"/>
  <c r="F530" i="2"/>
  <c r="G531" i="2"/>
  <c r="G547" i="2"/>
  <c r="K1012" i="2"/>
  <c r="F520" i="2"/>
  <c r="F963" i="2"/>
  <c r="G971" i="2"/>
  <c r="F978" i="2"/>
  <c r="H986" i="2"/>
  <c r="L986" i="2" s="1"/>
  <c r="G990" i="2"/>
  <c r="H1000" i="2"/>
  <c r="L1000" i="2" s="1"/>
  <c r="F1007" i="2"/>
  <c r="H962" i="2"/>
  <c r="L962" i="2" s="1"/>
  <c r="H968" i="2"/>
  <c r="L968" i="2" s="1"/>
  <c r="F972" i="2"/>
  <c r="H975" i="2"/>
  <c r="L975" i="2" s="1"/>
  <c r="F979" i="2"/>
  <c r="G982" i="2"/>
  <c r="G991" i="2"/>
  <c r="F1006" i="2"/>
  <c r="K1013" i="2"/>
  <c r="G1020" i="2"/>
  <c r="F534" i="2"/>
  <c r="G535" i="2"/>
  <c r="F550" i="2"/>
  <c r="G972" i="2"/>
  <c r="F996" i="2"/>
  <c r="G999" i="2"/>
  <c r="G1006" i="2"/>
  <c r="H1020" i="2"/>
  <c r="L1020" i="2" s="1"/>
  <c r="H1023" i="2"/>
  <c r="L1023" i="2" s="1"/>
  <c r="G534" i="2"/>
  <c r="F541" i="2"/>
  <c r="G550" i="2"/>
  <c r="H519" i="2"/>
  <c r="K519" i="2" s="1"/>
  <c r="F958" i="2"/>
  <c r="H960" i="2"/>
  <c r="L960" i="2" s="1"/>
  <c r="H999" i="2"/>
  <c r="L999" i="2" s="1"/>
  <c r="H1002" i="2"/>
  <c r="L1002" i="2" s="1"/>
  <c r="K511" i="2"/>
  <c r="K525" i="2"/>
  <c r="K524" i="2"/>
  <c r="K1017" i="2"/>
  <c r="K974" i="2"/>
  <c r="K971" i="2"/>
  <c r="K978" i="2"/>
  <c r="K990" i="2"/>
  <c r="K1024" i="2"/>
  <c r="K963" i="2"/>
  <c r="K995" i="2"/>
  <c r="K1007" i="2"/>
  <c r="K979" i="2"/>
  <c r="K958" i="2"/>
  <c r="K1004" i="2"/>
  <c r="K982" i="2"/>
  <c r="F458" i="2"/>
  <c r="G960" i="2"/>
  <c r="H961" i="2"/>
  <c r="L961" i="2" s="1"/>
  <c r="G968" i="2"/>
  <c r="H969" i="2"/>
  <c r="L969" i="2" s="1"/>
  <c r="G984" i="2"/>
  <c r="H985" i="2"/>
  <c r="L985" i="2" s="1"/>
  <c r="G992" i="2"/>
  <c r="H993" i="2"/>
  <c r="L993" i="2" s="1"/>
  <c r="G1000" i="2"/>
  <c r="H1001" i="2"/>
  <c r="L1001" i="2" s="1"/>
  <c r="H1014" i="2"/>
  <c r="L1014" i="2" s="1"/>
  <c r="G1021" i="2"/>
  <c r="H1022" i="2"/>
  <c r="L1022" i="2" s="1"/>
  <c r="F1024" i="2"/>
  <c r="F994" i="2"/>
  <c r="G995" i="2"/>
  <c r="F1002" i="2"/>
  <c r="G1004" i="2"/>
  <c r="F1023" i="2"/>
  <c r="G1024" i="2"/>
  <c r="F961" i="2"/>
  <c r="F969" i="2"/>
  <c r="G978" i="2"/>
  <c r="F985" i="2"/>
  <c r="F993" i="2"/>
  <c r="F1001" i="2"/>
  <c r="F1014" i="2"/>
  <c r="K1019" i="2"/>
  <c r="F1022" i="2"/>
  <c r="K518" i="2"/>
  <c r="K458" i="2"/>
  <c r="G514" i="2"/>
  <c r="K507" i="2"/>
  <c r="K521" i="2"/>
  <c r="F508" i="2"/>
  <c r="K510" i="2"/>
  <c r="F523" i="2"/>
  <c r="H508" i="2"/>
  <c r="L508" i="2" s="1"/>
  <c r="H523" i="2"/>
  <c r="L523" i="2" s="1"/>
  <c r="K517" i="2"/>
  <c r="G520" i="2"/>
  <c r="F515" i="2"/>
  <c r="K513" i="2"/>
  <c r="H515" i="2"/>
  <c r="L515" i="2" s="1"/>
  <c r="F519" i="2"/>
  <c r="K527" i="2"/>
  <c r="K522" i="2"/>
  <c r="K520" i="2"/>
  <c r="K526" i="2"/>
  <c r="K509" i="2"/>
  <c r="K516" i="2"/>
  <c r="H514" i="2"/>
  <c r="L514" i="2" s="1"/>
  <c r="F526" i="2"/>
  <c r="F509" i="2"/>
  <c r="G509" i="2"/>
  <c r="G526" i="2"/>
  <c r="F516" i="2"/>
  <c r="G516" i="2"/>
  <c r="J374" i="2"/>
  <c r="I374" i="2"/>
  <c r="H374" i="2" s="1"/>
  <c r="L374" i="2" s="1"/>
  <c r="J373" i="2"/>
  <c r="I373" i="2"/>
  <c r="G373" i="2" s="1"/>
  <c r="J372" i="2"/>
  <c r="I372" i="2"/>
  <c r="H372" i="2" s="1"/>
  <c r="L372" i="2" s="1"/>
  <c r="J371" i="2"/>
  <c r="I371" i="2"/>
  <c r="H371" i="2" s="1"/>
  <c r="L371" i="2" s="1"/>
  <c r="J370" i="2"/>
  <c r="I370" i="2"/>
  <c r="H370" i="2" s="1"/>
  <c r="L370" i="2" s="1"/>
  <c r="J369" i="2"/>
  <c r="I369" i="2"/>
  <c r="G369" i="2" s="1"/>
  <c r="J365" i="2"/>
  <c r="I365" i="2"/>
  <c r="F365" i="2" s="1"/>
  <c r="J364" i="2"/>
  <c r="I364" i="2"/>
  <c r="H364" i="2" s="1"/>
  <c r="L364" i="2" s="1"/>
  <c r="J363" i="2"/>
  <c r="I363" i="2"/>
  <c r="F363" i="2" s="1"/>
  <c r="J362" i="2"/>
  <c r="I362" i="2"/>
  <c r="G362" i="2" s="1"/>
  <c r="K361" i="2"/>
  <c r="K360" i="2"/>
  <c r="J359" i="2"/>
  <c r="I359" i="2"/>
  <c r="F359" i="2" s="1"/>
  <c r="K358" i="2"/>
  <c r="J357" i="2"/>
  <c r="I357" i="2"/>
  <c r="G357" i="2" s="1"/>
  <c r="J356" i="2"/>
  <c r="I356" i="2"/>
  <c r="F356" i="2" s="1"/>
  <c r="J355" i="2"/>
  <c r="I355" i="2"/>
  <c r="H355" i="2" s="1"/>
  <c r="L355" i="2" s="1"/>
  <c r="J354" i="2"/>
  <c r="I354" i="2"/>
  <c r="G354" i="2" s="1"/>
  <c r="J353" i="2"/>
  <c r="I353" i="2"/>
  <c r="H353" i="2" s="1"/>
  <c r="L353" i="2" s="1"/>
  <c r="J352" i="2"/>
  <c r="I352" i="2"/>
  <c r="G352" i="2" s="1"/>
  <c r="J351" i="2"/>
  <c r="I351" i="2"/>
  <c r="H351" i="2" s="1"/>
  <c r="L351" i="2" s="1"/>
  <c r="J350" i="2"/>
  <c r="I350" i="2"/>
  <c r="H350" i="2" s="1"/>
  <c r="L350" i="2" s="1"/>
  <c r="J349" i="2"/>
  <c r="I349" i="2"/>
  <c r="G349" i="2" s="1"/>
  <c r="J348" i="2"/>
  <c r="I348" i="2"/>
  <c r="F348" i="2" s="1"/>
  <c r="J347" i="2"/>
  <c r="I347" i="2"/>
  <c r="G347" i="2" s="1"/>
  <c r="J346" i="2"/>
  <c r="I346" i="2"/>
  <c r="F346" i="2" s="1"/>
  <c r="J345" i="2"/>
  <c r="I345" i="2"/>
  <c r="H345" i="2" s="1"/>
  <c r="L345" i="2" s="1"/>
  <c r="J344" i="2"/>
  <c r="I344" i="2"/>
  <c r="G344" i="2" s="1"/>
  <c r="J343" i="2"/>
  <c r="I343" i="2"/>
  <c r="H343" i="2" s="1"/>
  <c r="L343" i="2" s="1"/>
  <c r="J342" i="2"/>
  <c r="I342" i="2"/>
  <c r="H342" i="2" s="1"/>
  <c r="L342" i="2" s="1"/>
  <c r="J105" i="2"/>
  <c r="I105" i="2"/>
  <c r="H105" i="2" s="1"/>
  <c r="L105" i="2" s="1"/>
  <c r="J104" i="2"/>
  <c r="I104" i="2"/>
  <c r="H104" i="2" s="1"/>
  <c r="L104" i="2" s="1"/>
  <c r="K103" i="2"/>
  <c r="K102" i="2"/>
  <c r="K101" i="2"/>
  <c r="J100" i="2"/>
  <c r="I100" i="2"/>
  <c r="G100" i="2" s="1"/>
  <c r="K99" i="2"/>
  <c r="J98" i="2"/>
  <c r="I98" i="2"/>
  <c r="H98" i="2" s="1"/>
  <c r="L98" i="2" s="1"/>
  <c r="J97" i="2"/>
  <c r="I97" i="2"/>
  <c r="G97" i="2" s="1"/>
  <c r="J96" i="2"/>
  <c r="I96" i="2"/>
  <c r="G96" i="2" s="1"/>
  <c r="J38" i="2"/>
  <c r="I38" i="2"/>
  <c r="G38" i="2" s="1"/>
  <c r="K541" i="2" l="1"/>
  <c r="L541" i="2"/>
  <c r="K553" i="2"/>
  <c r="L553" i="2"/>
  <c r="L957" i="2"/>
  <c r="L965" i="2"/>
  <c r="K984" i="2"/>
  <c r="K991" i="2"/>
  <c r="K530" i="2"/>
  <c r="L519" i="2"/>
  <c r="K1021" i="2"/>
  <c r="K1003" i="2"/>
  <c r="L980" i="2"/>
  <c r="K997" i="2"/>
  <c r="L997" i="2"/>
  <c r="K981" i="2"/>
  <c r="L981" i="2"/>
  <c r="K540" i="2"/>
  <c r="L449" i="2"/>
  <c r="K983" i="2"/>
  <c r="K989" i="2"/>
  <c r="L989" i="2"/>
  <c r="K975" i="2"/>
  <c r="K536" i="2"/>
  <c r="K1020" i="2"/>
  <c r="K529" i="2"/>
  <c r="L529" i="2"/>
  <c r="K537" i="2"/>
  <c r="L537" i="2"/>
  <c r="H373" i="2"/>
  <c r="K959" i="2"/>
  <c r="K996" i="2"/>
  <c r="K960" i="2"/>
  <c r="K999" i="2"/>
  <c r="K998" i="2"/>
  <c r="K994" i="2"/>
  <c r="K992" i="2"/>
  <c r="K968" i="2"/>
  <c r="K986" i="2"/>
  <c r="K1002" i="2"/>
  <c r="K1023" i="2"/>
  <c r="K1005" i="2"/>
  <c r="K1000" i="2"/>
  <c r="K962" i="2"/>
  <c r="K1022" i="2"/>
  <c r="K1014" i="2"/>
  <c r="K985" i="2"/>
  <c r="K523" i="2"/>
  <c r="K961" i="2"/>
  <c r="K1001" i="2"/>
  <c r="K508" i="2"/>
  <c r="H363" i="2"/>
  <c r="L363" i="2" s="1"/>
  <c r="K993" i="2"/>
  <c r="H348" i="2"/>
  <c r="L348" i="2" s="1"/>
  <c r="K969" i="2"/>
  <c r="H347" i="2"/>
  <c r="L347" i="2" s="1"/>
  <c r="H362" i="2"/>
  <c r="L362" i="2" s="1"/>
  <c r="G353" i="2"/>
  <c r="G363" i="2"/>
  <c r="K515" i="2"/>
  <c r="H97" i="2"/>
  <c r="F362" i="2"/>
  <c r="G346" i="2"/>
  <c r="H365" i="2"/>
  <c r="L365" i="2" s="1"/>
  <c r="F353" i="2"/>
  <c r="H344" i="2"/>
  <c r="L344" i="2" s="1"/>
  <c r="H346" i="2"/>
  <c r="L346" i="2" s="1"/>
  <c r="G365" i="2"/>
  <c r="G356" i="2"/>
  <c r="G359" i="2"/>
  <c r="F345" i="2"/>
  <c r="H356" i="2"/>
  <c r="L356" i="2" s="1"/>
  <c r="H359" i="2"/>
  <c r="L359" i="2" s="1"/>
  <c r="H369" i="2"/>
  <c r="G348" i="2"/>
  <c r="H354" i="2"/>
  <c r="L354" i="2" s="1"/>
  <c r="K514" i="2"/>
  <c r="K372" i="2"/>
  <c r="F355" i="2"/>
  <c r="F374" i="2"/>
  <c r="G345" i="2"/>
  <c r="F347" i="2"/>
  <c r="F352" i="2"/>
  <c r="G355" i="2"/>
  <c r="H357" i="2"/>
  <c r="F373" i="2"/>
  <c r="G374" i="2"/>
  <c r="F344" i="2"/>
  <c r="H349" i="2"/>
  <c r="H352" i="2"/>
  <c r="L352" i="2" s="1"/>
  <c r="F364" i="2"/>
  <c r="F372" i="2"/>
  <c r="F354" i="2"/>
  <c r="G364" i="2"/>
  <c r="G372" i="2"/>
  <c r="K350" i="2"/>
  <c r="K342" i="2"/>
  <c r="K351" i="2"/>
  <c r="K343" i="2"/>
  <c r="K371" i="2"/>
  <c r="K345" i="2"/>
  <c r="K370" i="2"/>
  <c r="K353" i="2"/>
  <c r="F343" i="2"/>
  <c r="F351" i="2"/>
  <c r="F371" i="2"/>
  <c r="F342" i="2"/>
  <c r="G343" i="2"/>
  <c r="F350" i="2"/>
  <c r="G351" i="2"/>
  <c r="K355" i="2"/>
  <c r="K364" i="2"/>
  <c r="F370" i="2"/>
  <c r="G371" i="2"/>
  <c r="G342" i="2"/>
  <c r="F349" i="2"/>
  <c r="G350" i="2"/>
  <c r="F357" i="2"/>
  <c r="F369" i="2"/>
  <c r="G370" i="2"/>
  <c r="K374" i="2"/>
  <c r="H100" i="2"/>
  <c r="F104" i="2"/>
  <c r="F105" i="2"/>
  <c r="G105" i="2"/>
  <c r="K104" i="2"/>
  <c r="K98" i="2"/>
  <c r="K105" i="2"/>
  <c r="H96" i="2"/>
  <c r="L96" i="2" s="1"/>
  <c r="G104" i="2"/>
  <c r="F98" i="2"/>
  <c r="F97" i="2"/>
  <c r="G98" i="2"/>
  <c r="F100" i="2"/>
  <c r="F96" i="2"/>
  <c r="F38" i="2"/>
  <c r="H38" i="2"/>
  <c r="K97" i="2" l="1"/>
  <c r="L97" i="2"/>
  <c r="K100" i="2"/>
  <c r="L100" i="2"/>
  <c r="K357" i="2"/>
  <c r="L357" i="2"/>
  <c r="K349" i="2"/>
  <c r="L349" i="2"/>
  <c r="K373" i="2"/>
  <c r="L373" i="2"/>
  <c r="K369" i="2"/>
  <c r="L369" i="2"/>
  <c r="K347" i="2"/>
  <c r="K365" i="2"/>
  <c r="K363" i="2"/>
  <c r="K362" i="2"/>
  <c r="K359" i="2"/>
  <c r="K348" i="2"/>
  <c r="K346" i="2"/>
  <c r="K356" i="2"/>
  <c r="K354" i="2"/>
  <c r="K344" i="2"/>
  <c r="K352" i="2"/>
  <c r="K96" i="2"/>
  <c r="K38" i="2"/>
  <c r="J16" i="2" l="1"/>
  <c r="I16" i="2"/>
  <c r="H16" i="2" s="1"/>
  <c r="L492" i="2"/>
  <c r="J492" i="2"/>
  <c r="I492" i="2"/>
  <c r="G492" i="2" s="1"/>
  <c r="H492" i="2"/>
  <c r="F492" i="2"/>
  <c r="J506" i="2"/>
  <c r="I506" i="2"/>
  <c r="G506" i="2" s="1"/>
  <c r="H506" i="2"/>
  <c r="F506" i="2"/>
  <c r="J503" i="2"/>
  <c r="I503" i="2"/>
  <c r="G503" i="2" s="1"/>
  <c r="H503" i="2"/>
  <c r="F503" i="2"/>
  <c r="J502" i="2"/>
  <c r="I502" i="2"/>
  <c r="G502" i="2" s="1"/>
  <c r="H502" i="2"/>
  <c r="F502" i="2"/>
  <c r="J500" i="2"/>
  <c r="I500" i="2"/>
  <c r="G500" i="2" s="1"/>
  <c r="H500" i="2"/>
  <c r="F500" i="2"/>
  <c r="J499" i="2"/>
  <c r="I499" i="2"/>
  <c r="G499" i="2" s="1"/>
  <c r="H499" i="2"/>
  <c r="F499" i="2"/>
  <c r="J496" i="2"/>
  <c r="I496" i="2"/>
  <c r="G496" i="2" s="1"/>
  <c r="H496" i="2"/>
  <c r="F496" i="2"/>
  <c r="J495" i="2"/>
  <c r="I495" i="2"/>
  <c r="G495" i="2" s="1"/>
  <c r="H495" i="2"/>
  <c r="F495" i="2"/>
  <c r="J493" i="2"/>
  <c r="I493" i="2"/>
  <c r="G493" i="2" s="1"/>
  <c r="H493" i="2"/>
  <c r="F493" i="2"/>
  <c r="K493" i="2" l="1"/>
  <c r="K492" i="2"/>
  <c r="F16" i="2"/>
  <c r="L16" i="2"/>
  <c r="K16" i="2"/>
  <c r="G16" i="2"/>
  <c r="K500" i="2"/>
  <c r="K503" i="2"/>
  <c r="K506" i="2"/>
  <c r="K496" i="2"/>
  <c r="J39" i="2"/>
  <c r="I39" i="2"/>
  <c r="J23" i="2"/>
  <c r="I23" i="2"/>
  <c r="G23" i="2" s="1"/>
  <c r="J22" i="2"/>
  <c r="I22" i="2"/>
  <c r="H22" i="2" s="1"/>
  <c r="H39" i="2" l="1"/>
  <c r="K39" i="2" s="1"/>
  <c r="F39" i="2"/>
  <c r="H23" i="2"/>
  <c r="K23" i="2" s="1"/>
  <c r="G39" i="2"/>
  <c r="F23" i="2"/>
  <c r="K22" i="2"/>
  <c r="L22" i="2"/>
  <c r="F22" i="2"/>
  <c r="G22" i="2"/>
  <c r="L23" i="2" l="1"/>
  <c r="L39" i="2"/>
  <c r="J441" i="2"/>
  <c r="I441" i="2"/>
  <c r="G441" i="2" s="1"/>
  <c r="H441" i="2"/>
  <c r="F441" i="2"/>
  <c r="J440" i="2"/>
  <c r="I440" i="2"/>
  <c r="H440" i="2" s="1"/>
  <c r="L440" i="2" s="1"/>
  <c r="J439" i="2"/>
  <c r="I439" i="2"/>
  <c r="G439" i="2" s="1"/>
  <c r="H439" i="2"/>
  <c r="F439" i="2"/>
  <c r="K441" i="2" l="1"/>
  <c r="K439" i="2"/>
  <c r="G440" i="2"/>
  <c r="F440" i="2"/>
  <c r="K440" i="2"/>
  <c r="J438" i="2" l="1"/>
  <c r="I438" i="2"/>
  <c r="G438" i="2" s="1"/>
  <c r="H438" i="2"/>
  <c r="F438" i="2"/>
  <c r="J437" i="2"/>
  <c r="I437" i="2"/>
  <c r="H437" i="2" s="1"/>
  <c r="L437" i="2" s="1"/>
  <c r="J436" i="2"/>
  <c r="I436" i="2"/>
  <c r="G436" i="2" s="1"/>
  <c r="J435" i="2"/>
  <c r="I435" i="2"/>
  <c r="H435" i="2" s="1"/>
  <c r="L435" i="2" s="1"/>
  <c r="J434" i="2"/>
  <c r="I434" i="2"/>
  <c r="H434" i="2" s="1"/>
  <c r="L434" i="2" s="1"/>
  <c r="J433" i="2"/>
  <c r="I433" i="2"/>
  <c r="G433" i="2" s="1"/>
  <c r="H433" i="2"/>
  <c r="F433" i="2"/>
  <c r="J432" i="2"/>
  <c r="I432" i="2"/>
  <c r="G432" i="2" s="1"/>
  <c r="H432" i="2"/>
  <c r="F432" i="2"/>
  <c r="J431" i="2"/>
  <c r="I431" i="2"/>
  <c r="G431" i="2" s="1"/>
  <c r="J430" i="2"/>
  <c r="I430" i="2"/>
  <c r="G430" i="2" s="1"/>
  <c r="J429" i="2"/>
  <c r="I429" i="2"/>
  <c r="H429" i="2" s="1"/>
  <c r="L429" i="2" s="1"/>
  <c r="J428" i="2"/>
  <c r="I428" i="2"/>
  <c r="G428" i="2" s="1"/>
  <c r="J427" i="2"/>
  <c r="I427" i="2"/>
  <c r="H427" i="2" s="1"/>
  <c r="L427" i="2" s="1"/>
  <c r="J426" i="2"/>
  <c r="I426" i="2"/>
  <c r="H426" i="2" s="1"/>
  <c r="L426" i="2" s="1"/>
  <c r="J425" i="2"/>
  <c r="I425" i="2"/>
  <c r="G425" i="2" s="1"/>
  <c r="J424" i="2"/>
  <c r="I424" i="2"/>
  <c r="F424" i="2" s="1"/>
  <c r="J423" i="2"/>
  <c r="I423" i="2"/>
  <c r="G423" i="2" s="1"/>
  <c r="J422" i="2"/>
  <c r="I422" i="2"/>
  <c r="H422" i="2" s="1"/>
  <c r="L422" i="2" s="1"/>
  <c r="J421" i="2"/>
  <c r="I421" i="2"/>
  <c r="H421" i="2" s="1"/>
  <c r="L421" i="2" s="1"/>
  <c r="J420" i="2"/>
  <c r="I420" i="2"/>
  <c r="G420" i="2" s="1"/>
  <c r="H420" i="2"/>
  <c r="F420" i="2"/>
  <c r="G422" i="2" l="1"/>
  <c r="F429" i="2"/>
  <c r="H424" i="2"/>
  <c r="L424" i="2" s="1"/>
  <c r="H431" i="2"/>
  <c r="L431" i="2" s="1"/>
  <c r="K420" i="2"/>
  <c r="H428" i="2"/>
  <c r="L428" i="2" s="1"/>
  <c r="H430" i="2"/>
  <c r="L430" i="2" s="1"/>
  <c r="F421" i="2"/>
  <c r="H423" i="2"/>
  <c r="L423" i="2" s="1"/>
  <c r="F422" i="2"/>
  <c r="G424" i="2"/>
  <c r="G427" i="2"/>
  <c r="K433" i="2"/>
  <c r="F436" i="2"/>
  <c r="F430" i="2"/>
  <c r="H436" i="2"/>
  <c r="L436" i="2" s="1"/>
  <c r="K432" i="2"/>
  <c r="G421" i="2"/>
  <c r="F423" i="2"/>
  <c r="G429" i="2"/>
  <c r="F431" i="2"/>
  <c r="K438" i="2"/>
  <c r="H425" i="2"/>
  <c r="L425" i="2" s="1"/>
  <c r="F428" i="2"/>
  <c r="G435" i="2"/>
  <c r="F437" i="2"/>
  <c r="K427" i="2"/>
  <c r="K421" i="2"/>
  <c r="K429" i="2"/>
  <c r="K426" i="2"/>
  <c r="K437" i="2"/>
  <c r="K434" i="2"/>
  <c r="K435" i="2"/>
  <c r="G437" i="2"/>
  <c r="F427" i="2"/>
  <c r="F435" i="2"/>
  <c r="F426" i="2"/>
  <c r="F434" i="2"/>
  <c r="K422" i="2"/>
  <c r="F425" i="2"/>
  <c r="G426" i="2"/>
  <c r="G434" i="2"/>
  <c r="K431" i="2" l="1"/>
  <c r="K424" i="2"/>
  <c r="K428" i="2"/>
  <c r="K430" i="2"/>
  <c r="K436" i="2"/>
  <c r="K423" i="2"/>
  <c r="K425" i="2"/>
  <c r="J17" i="2"/>
  <c r="I17" i="2"/>
  <c r="H17" i="2" s="1"/>
  <c r="F17" i="2" l="1"/>
  <c r="K17" i="2"/>
  <c r="L17" i="2"/>
  <c r="G17" i="2"/>
  <c r="J37" i="2" l="1"/>
  <c r="I37" i="2"/>
  <c r="J36" i="2"/>
  <c r="I36" i="2"/>
  <c r="J29" i="2"/>
  <c r="I29" i="2"/>
  <c r="H29" i="2" l="1"/>
  <c r="K29" i="2" s="1"/>
  <c r="F29" i="2"/>
  <c r="H36" i="2"/>
  <c r="L36" i="2" s="1"/>
  <c r="F36" i="2"/>
  <c r="H37" i="2"/>
  <c r="K37" i="2" s="1"/>
  <c r="F37" i="2"/>
  <c r="G37" i="2"/>
  <c r="G36" i="2"/>
  <c r="G29" i="2"/>
  <c r="F419" i="2"/>
  <c r="H419" i="2"/>
  <c r="I419" i="2"/>
  <c r="G419" i="2" s="1"/>
  <c r="J419" i="2"/>
  <c r="F442" i="2"/>
  <c r="H442" i="2"/>
  <c r="I442" i="2"/>
  <c r="G442" i="2" s="1"/>
  <c r="J442" i="2"/>
  <c r="L442" i="2"/>
  <c r="F443" i="2"/>
  <c r="H443" i="2"/>
  <c r="I443" i="2"/>
  <c r="G443" i="2" s="1"/>
  <c r="J443" i="2"/>
  <c r="L443" i="2"/>
  <c r="I444" i="2"/>
  <c r="H444" i="2" s="1"/>
  <c r="J444" i="2"/>
  <c r="I445" i="2"/>
  <c r="F445" i="2" s="1"/>
  <c r="J445" i="2"/>
  <c r="I446" i="2"/>
  <c r="F446" i="2" s="1"/>
  <c r="J446" i="2"/>
  <c r="I447" i="2"/>
  <c r="F447" i="2" s="1"/>
  <c r="J447" i="2"/>
  <c r="I448" i="2"/>
  <c r="G448" i="2" s="1"/>
  <c r="J448" i="2"/>
  <c r="I450" i="2"/>
  <c r="F450" i="2" s="1"/>
  <c r="J450" i="2"/>
  <c r="I451" i="2"/>
  <c r="G451" i="2" s="1"/>
  <c r="J451" i="2"/>
  <c r="F452" i="2"/>
  <c r="H452" i="2"/>
  <c r="I452" i="2"/>
  <c r="G452" i="2" s="1"/>
  <c r="J452" i="2"/>
  <c r="L452" i="2"/>
  <c r="F453" i="2"/>
  <c r="H453" i="2"/>
  <c r="I453" i="2"/>
  <c r="G453" i="2" s="1"/>
  <c r="J453" i="2"/>
  <c r="L453" i="2"/>
  <c r="I454" i="2"/>
  <c r="H454" i="2" s="1"/>
  <c r="K454" i="2" s="1"/>
  <c r="J454" i="2"/>
  <c r="I455" i="2"/>
  <c r="F455" i="2" s="1"/>
  <c r="J455" i="2"/>
  <c r="I456" i="2"/>
  <c r="F456" i="2" s="1"/>
  <c r="J456" i="2"/>
  <c r="I457" i="2"/>
  <c r="G457" i="2" s="1"/>
  <c r="J457" i="2"/>
  <c r="I459" i="2"/>
  <c r="F459" i="2" s="1"/>
  <c r="J459" i="2"/>
  <c r="F460" i="2"/>
  <c r="H460" i="2"/>
  <c r="I460" i="2"/>
  <c r="G460" i="2" s="1"/>
  <c r="J460" i="2"/>
  <c r="L460" i="2"/>
  <c r="F461" i="2"/>
  <c r="H461" i="2"/>
  <c r="I461" i="2"/>
  <c r="G461" i="2" s="1"/>
  <c r="J461" i="2"/>
  <c r="L461" i="2"/>
  <c r="I462" i="2"/>
  <c r="H462" i="2" s="1"/>
  <c r="J462" i="2"/>
  <c r="F463" i="2"/>
  <c r="H463" i="2"/>
  <c r="I463" i="2"/>
  <c r="G463" i="2" s="1"/>
  <c r="J463" i="2"/>
  <c r="L463" i="2"/>
  <c r="F464" i="2"/>
  <c r="H464" i="2"/>
  <c r="I464" i="2"/>
  <c r="G464" i="2" s="1"/>
  <c r="J464" i="2"/>
  <c r="L464" i="2"/>
  <c r="I465" i="2"/>
  <c r="F465" i="2" s="1"/>
  <c r="J465" i="2"/>
  <c r="F466" i="2"/>
  <c r="H466" i="2"/>
  <c r="I466" i="2"/>
  <c r="G466" i="2" s="1"/>
  <c r="J466" i="2"/>
  <c r="L466" i="2"/>
  <c r="F467" i="2"/>
  <c r="H467" i="2"/>
  <c r="I467" i="2"/>
  <c r="G467" i="2" s="1"/>
  <c r="J467" i="2"/>
  <c r="L467" i="2"/>
  <c r="I468" i="2"/>
  <c r="G468" i="2" s="1"/>
  <c r="J468" i="2"/>
  <c r="F469" i="2"/>
  <c r="H469" i="2"/>
  <c r="I469" i="2"/>
  <c r="G469" i="2" s="1"/>
  <c r="J469" i="2"/>
  <c r="L469" i="2"/>
  <c r="F470" i="2"/>
  <c r="H470" i="2"/>
  <c r="I470" i="2"/>
  <c r="G470" i="2" s="1"/>
  <c r="J470" i="2"/>
  <c r="L470" i="2"/>
  <c r="I471" i="2"/>
  <c r="F471" i="2" s="1"/>
  <c r="J471" i="2"/>
  <c r="F472" i="2"/>
  <c r="H472" i="2"/>
  <c r="I472" i="2"/>
  <c r="G472" i="2" s="1"/>
  <c r="J472" i="2"/>
  <c r="L472" i="2"/>
  <c r="F473" i="2"/>
  <c r="H473" i="2"/>
  <c r="I473" i="2"/>
  <c r="G473" i="2" s="1"/>
  <c r="J473" i="2"/>
  <c r="L473" i="2"/>
  <c r="I474" i="2"/>
  <c r="G474" i="2" s="1"/>
  <c r="J474" i="2"/>
  <c r="F475" i="2"/>
  <c r="H475" i="2"/>
  <c r="I475" i="2"/>
  <c r="G475" i="2" s="1"/>
  <c r="J475" i="2"/>
  <c r="L475" i="2"/>
  <c r="F476" i="2"/>
  <c r="H476" i="2"/>
  <c r="I476" i="2"/>
  <c r="G476" i="2" s="1"/>
  <c r="J476" i="2"/>
  <c r="L476" i="2"/>
  <c r="I477" i="2"/>
  <c r="H477" i="2" s="1"/>
  <c r="J477" i="2"/>
  <c r="I478" i="2"/>
  <c r="H478" i="2" s="1"/>
  <c r="J478" i="2"/>
  <c r="I479" i="2"/>
  <c r="F479" i="2" s="1"/>
  <c r="J479" i="2"/>
  <c r="I480" i="2"/>
  <c r="F480" i="2" s="1"/>
  <c r="J480" i="2"/>
  <c r="F481" i="2"/>
  <c r="H481" i="2"/>
  <c r="I481" i="2"/>
  <c r="G481" i="2" s="1"/>
  <c r="J481" i="2"/>
  <c r="L481" i="2"/>
  <c r="F482" i="2"/>
  <c r="H482" i="2"/>
  <c r="I482" i="2"/>
  <c r="G482" i="2" s="1"/>
  <c r="J482" i="2"/>
  <c r="L482" i="2"/>
  <c r="I483" i="2"/>
  <c r="F483" i="2" s="1"/>
  <c r="J483" i="2"/>
  <c r="F484" i="2"/>
  <c r="H484" i="2"/>
  <c r="I484" i="2"/>
  <c r="G484" i="2" s="1"/>
  <c r="J484" i="2"/>
  <c r="L484" i="2"/>
  <c r="F485" i="2"/>
  <c r="H485" i="2"/>
  <c r="I485" i="2"/>
  <c r="G485" i="2" s="1"/>
  <c r="J485" i="2"/>
  <c r="L485" i="2"/>
  <c r="I486" i="2"/>
  <c r="H486" i="2" s="1"/>
  <c r="J486" i="2"/>
  <c r="F487" i="2"/>
  <c r="H487" i="2"/>
  <c r="I487" i="2"/>
  <c r="G487" i="2" s="1"/>
  <c r="J487" i="2"/>
  <c r="L487" i="2"/>
  <c r="F488" i="2"/>
  <c r="H488" i="2"/>
  <c r="I488" i="2"/>
  <c r="G488" i="2" s="1"/>
  <c r="J488" i="2"/>
  <c r="L488" i="2"/>
  <c r="I489" i="2"/>
  <c r="F489" i="2" s="1"/>
  <c r="J489" i="2"/>
  <c r="I490" i="2"/>
  <c r="G490" i="2" s="1"/>
  <c r="J490" i="2"/>
  <c r="I491" i="2"/>
  <c r="F491" i="2" s="1"/>
  <c r="J491" i="2"/>
  <c r="J64" i="2"/>
  <c r="I64" i="2"/>
  <c r="G64" i="2" s="1"/>
  <c r="J63" i="2"/>
  <c r="I63" i="2"/>
  <c r="H63" i="2" s="1"/>
  <c r="J62" i="2"/>
  <c r="I62" i="2"/>
  <c r="G62" i="2" s="1"/>
  <c r="I402" i="2"/>
  <c r="F402" i="2" s="1"/>
  <c r="J402" i="2"/>
  <c r="I401" i="2"/>
  <c r="F401" i="2" s="1"/>
  <c r="J401" i="2"/>
  <c r="J417" i="2"/>
  <c r="I417" i="2"/>
  <c r="H417" i="2" s="1"/>
  <c r="L417" i="2" s="1"/>
  <c r="J416" i="2"/>
  <c r="I416" i="2"/>
  <c r="F416" i="2" s="1"/>
  <c r="J415" i="2"/>
  <c r="I415" i="2"/>
  <c r="G415" i="2" s="1"/>
  <c r="J414" i="2"/>
  <c r="I414" i="2"/>
  <c r="H414" i="2" s="1"/>
  <c r="L414" i="2" s="1"/>
  <c r="J413" i="2"/>
  <c r="I413" i="2"/>
  <c r="G413" i="2" s="1"/>
  <c r="H413" i="2"/>
  <c r="F413" i="2"/>
  <c r="J412" i="2"/>
  <c r="I412" i="2"/>
  <c r="G412" i="2" s="1"/>
  <c r="H412" i="2"/>
  <c r="F412" i="2"/>
  <c r="J411" i="2"/>
  <c r="I411" i="2"/>
  <c r="H411" i="2" s="1"/>
  <c r="L411" i="2" s="1"/>
  <c r="J410" i="2"/>
  <c r="I410" i="2"/>
  <c r="G410" i="2" s="1"/>
  <c r="H410" i="2"/>
  <c r="F410" i="2"/>
  <c r="J409" i="2"/>
  <c r="I409" i="2"/>
  <c r="G409" i="2" s="1"/>
  <c r="H409" i="2"/>
  <c r="F409" i="2"/>
  <c r="J408" i="2"/>
  <c r="I408" i="2"/>
  <c r="F408" i="2" s="1"/>
  <c r="J407" i="2"/>
  <c r="I407" i="2"/>
  <c r="F407" i="2" s="1"/>
  <c r="J406" i="2"/>
  <c r="I406" i="2"/>
  <c r="H406" i="2" s="1"/>
  <c r="L406" i="2" s="1"/>
  <c r="J405" i="2"/>
  <c r="I405" i="2"/>
  <c r="H405" i="2" s="1"/>
  <c r="L405" i="2" s="1"/>
  <c r="J404" i="2"/>
  <c r="I404" i="2"/>
  <c r="G404" i="2" s="1"/>
  <c r="H404" i="2"/>
  <c r="F404" i="2"/>
  <c r="J400" i="2"/>
  <c r="I400" i="2"/>
  <c r="G400" i="2" s="1"/>
  <c r="J399" i="2"/>
  <c r="I399" i="2"/>
  <c r="G399" i="2" s="1"/>
  <c r="J398" i="2"/>
  <c r="I398" i="2"/>
  <c r="F398" i="2" s="1"/>
  <c r="J397" i="2"/>
  <c r="I397" i="2"/>
  <c r="F397" i="2" s="1"/>
  <c r="J396" i="2"/>
  <c r="I396" i="2"/>
  <c r="H396" i="2" s="1"/>
  <c r="L396" i="2" s="1"/>
  <c r="J395" i="2"/>
  <c r="I395" i="2"/>
  <c r="G395" i="2" s="1"/>
  <c r="H395" i="2"/>
  <c r="F395" i="2"/>
  <c r="J394" i="2"/>
  <c r="I394" i="2"/>
  <c r="G394" i="2" s="1"/>
  <c r="H394" i="2"/>
  <c r="F394" i="2"/>
  <c r="L29" i="2" l="1"/>
  <c r="L37" i="2"/>
  <c r="K36" i="2"/>
  <c r="G450" i="2"/>
  <c r="K469" i="2"/>
  <c r="K461" i="2"/>
  <c r="K452" i="2"/>
  <c r="K443" i="2"/>
  <c r="K442" i="2"/>
  <c r="H451" i="2"/>
  <c r="K451" i="2" s="1"/>
  <c r="K473" i="2"/>
  <c r="G486" i="2"/>
  <c r="K482" i="2"/>
  <c r="K470" i="2"/>
  <c r="F462" i="2"/>
  <c r="H456" i="2"/>
  <c r="L456" i="2" s="1"/>
  <c r="G478" i="2"/>
  <c r="F474" i="2"/>
  <c r="G459" i="2"/>
  <c r="K467" i="2"/>
  <c r="K466" i="2"/>
  <c r="G462" i="2"/>
  <c r="F457" i="2"/>
  <c r="K487" i="2"/>
  <c r="K476" i="2"/>
  <c r="K460" i="2"/>
  <c r="G454" i="2"/>
  <c r="G471" i="2"/>
  <c r="H483" i="2"/>
  <c r="K483" i="2" s="1"/>
  <c r="K463" i="2"/>
  <c r="F454" i="2"/>
  <c r="K475" i="2"/>
  <c r="K453" i="2"/>
  <c r="H491" i="2"/>
  <c r="K491" i="2" s="1"/>
  <c r="K464" i="2"/>
  <c r="G444" i="2"/>
  <c r="K486" i="2"/>
  <c r="L486" i="2"/>
  <c r="G491" i="2"/>
  <c r="F486" i="2"/>
  <c r="G483" i="2"/>
  <c r="H479" i="2"/>
  <c r="K479" i="2" s="1"/>
  <c r="K472" i="2"/>
  <c r="F448" i="2"/>
  <c r="H445" i="2"/>
  <c r="K445" i="2" s="1"/>
  <c r="K485" i="2"/>
  <c r="K484" i="2"/>
  <c r="G479" i="2"/>
  <c r="F477" i="2"/>
  <c r="G445" i="2"/>
  <c r="K488" i="2"/>
  <c r="K481" i="2"/>
  <c r="F490" i="2"/>
  <c r="H465" i="2"/>
  <c r="L465" i="2" s="1"/>
  <c r="H447" i="2"/>
  <c r="L447" i="2" s="1"/>
  <c r="H471" i="2"/>
  <c r="K471" i="2" s="1"/>
  <c r="H468" i="2"/>
  <c r="K468" i="2" s="1"/>
  <c r="K419" i="2"/>
  <c r="H489" i="2"/>
  <c r="L489" i="2" s="1"/>
  <c r="F478" i="2"/>
  <c r="F444" i="2"/>
  <c r="K462" i="2"/>
  <c r="L462" i="2"/>
  <c r="K478" i="2"/>
  <c r="L478" i="2"/>
  <c r="K444" i="2"/>
  <c r="L444" i="2"/>
  <c r="K477" i="2"/>
  <c r="L477" i="2"/>
  <c r="G477" i="2"/>
  <c r="F468" i="2"/>
  <c r="F451" i="2"/>
  <c r="H480" i="2"/>
  <c r="H455" i="2"/>
  <c r="H446" i="2"/>
  <c r="G455" i="2"/>
  <c r="G446" i="2"/>
  <c r="G480" i="2"/>
  <c r="H490" i="2"/>
  <c r="G489" i="2"/>
  <c r="H474" i="2"/>
  <c r="G465" i="2"/>
  <c r="H457" i="2"/>
  <c r="G456" i="2"/>
  <c r="H448" i="2"/>
  <c r="G447" i="2"/>
  <c r="H459" i="2"/>
  <c r="L454" i="2"/>
  <c r="H450" i="2"/>
  <c r="F64" i="2"/>
  <c r="H64" i="2"/>
  <c r="L64" i="2" s="1"/>
  <c r="F63" i="2"/>
  <c r="L63" i="2"/>
  <c r="K63" i="2"/>
  <c r="G63" i="2"/>
  <c r="H62" i="2"/>
  <c r="F62" i="2"/>
  <c r="K412" i="2"/>
  <c r="H416" i="2"/>
  <c r="L416" i="2" s="1"/>
  <c r="K394" i="2"/>
  <c r="G397" i="2"/>
  <c r="H397" i="2"/>
  <c r="L397" i="2" s="1"/>
  <c r="G417" i="2"/>
  <c r="F417" i="2"/>
  <c r="G411" i="2"/>
  <c r="G408" i="2"/>
  <c r="H408" i="2"/>
  <c r="L408" i="2" s="1"/>
  <c r="H407" i="2"/>
  <c r="L407" i="2" s="1"/>
  <c r="F406" i="2"/>
  <c r="G406" i="2"/>
  <c r="H402" i="2"/>
  <c r="L402" i="2" s="1"/>
  <c r="G402" i="2"/>
  <c r="K395" i="2"/>
  <c r="K413" i="2"/>
  <c r="H401" i="2"/>
  <c r="L401" i="2" s="1"/>
  <c r="G401" i="2"/>
  <c r="K410" i="2"/>
  <c r="F400" i="2"/>
  <c r="H400" i="2"/>
  <c r="L400" i="2" s="1"/>
  <c r="G398" i="2"/>
  <c r="K417" i="2"/>
  <c r="K406" i="2"/>
  <c r="H399" i="2"/>
  <c r="L399" i="2" s="1"/>
  <c r="G407" i="2"/>
  <c r="F411" i="2"/>
  <c r="H415" i="2"/>
  <c r="L415" i="2" s="1"/>
  <c r="G416" i="2"/>
  <c r="H398" i="2"/>
  <c r="L398" i="2" s="1"/>
  <c r="F399" i="2"/>
  <c r="K404" i="2"/>
  <c r="K409" i="2"/>
  <c r="F415" i="2"/>
  <c r="K414" i="2"/>
  <c r="K411" i="2"/>
  <c r="F414" i="2"/>
  <c r="G414" i="2"/>
  <c r="K405" i="2"/>
  <c r="F405" i="2"/>
  <c r="G405" i="2"/>
  <c r="K396" i="2"/>
  <c r="F396" i="2"/>
  <c r="G396" i="2"/>
  <c r="I11" i="2"/>
  <c r="H11" i="2" s="1"/>
  <c r="J11" i="2"/>
  <c r="I12" i="2"/>
  <c r="H12" i="2" s="1"/>
  <c r="J12" i="2"/>
  <c r="I13" i="2"/>
  <c r="H13" i="2" s="1"/>
  <c r="J13" i="2"/>
  <c r="I14" i="2"/>
  <c r="H14" i="2" s="1"/>
  <c r="J14" i="2"/>
  <c r="I15" i="2"/>
  <c r="H15" i="2" s="1"/>
  <c r="J15" i="2"/>
  <c r="I19" i="2"/>
  <c r="H19" i="2" s="1"/>
  <c r="K19" i="2" s="1"/>
  <c r="J19" i="2"/>
  <c r="I20" i="2"/>
  <c r="H20" i="2" s="1"/>
  <c r="J20" i="2"/>
  <c r="I21" i="2"/>
  <c r="H21" i="2" s="1"/>
  <c r="J21" i="2"/>
  <c r="I24" i="2"/>
  <c r="H24" i="2" s="1"/>
  <c r="J24" i="2"/>
  <c r="I25" i="2"/>
  <c r="H25" i="2" s="1"/>
  <c r="J25" i="2"/>
  <c r="H26" i="2"/>
  <c r="I26" i="2"/>
  <c r="J26" i="2"/>
  <c r="L26" i="2"/>
  <c r="H27" i="2"/>
  <c r="I27" i="2"/>
  <c r="G27" i="2" s="1"/>
  <c r="J27" i="2"/>
  <c r="L27" i="2"/>
  <c r="I28" i="2"/>
  <c r="J28" i="2"/>
  <c r="I30" i="2"/>
  <c r="J30" i="2"/>
  <c r="I31" i="2"/>
  <c r="J31" i="2"/>
  <c r="I32" i="2"/>
  <c r="J32" i="2"/>
  <c r="I33" i="2"/>
  <c r="J33" i="2"/>
  <c r="I34" i="2"/>
  <c r="F34" i="2" s="1"/>
  <c r="J34" i="2"/>
  <c r="I35" i="2"/>
  <c r="J35" i="2"/>
  <c r="I40" i="2"/>
  <c r="J40" i="2"/>
  <c r="I41" i="2"/>
  <c r="J41" i="2"/>
  <c r="I42" i="2"/>
  <c r="J42" i="2"/>
  <c r="I43" i="2"/>
  <c r="J43" i="2"/>
  <c r="I44" i="2"/>
  <c r="J44" i="2"/>
  <c r="I45" i="2"/>
  <c r="J45" i="2"/>
  <c r="I46" i="2"/>
  <c r="J46" i="2"/>
  <c r="I47" i="2"/>
  <c r="J47" i="2"/>
  <c r="I48" i="2"/>
  <c r="J48" i="2"/>
  <c r="I49" i="2"/>
  <c r="J49" i="2"/>
  <c r="H52" i="2"/>
  <c r="I52" i="2"/>
  <c r="G52" i="2" s="1"/>
  <c r="J52" i="2"/>
  <c r="H53" i="2"/>
  <c r="I53" i="2"/>
  <c r="G53" i="2" s="1"/>
  <c r="J53" i="2"/>
  <c r="I54" i="2"/>
  <c r="H54" i="2" s="1"/>
  <c r="J54" i="2"/>
  <c r="I55" i="2"/>
  <c r="H55" i="2" s="1"/>
  <c r="J55" i="2"/>
  <c r="I56" i="2"/>
  <c r="H56" i="2" s="1"/>
  <c r="J56" i="2"/>
  <c r="I57" i="2"/>
  <c r="H57" i="2" s="1"/>
  <c r="J57" i="2"/>
  <c r="I58" i="2"/>
  <c r="H58" i="2" s="1"/>
  <c r="J58" i="2"/>
  <c r="I59" i="2"/>
  <c r="H59" i="2" s="1"/>
  <c r="J59" i="2"/>
  <c r="I60" i="2"/>
  <c r="H60" i="2" s="1"/>
  <c r="K60" i="2" s="1"/>
  <c r="J60" i="2"/>
  <c r="I61" i="2"/>
  <c r="H61" i="2" s="1"/>
  <c r="J61" i="2"/>
  <c r="H67" i="2"/>
  <c r="I67" i="2"/>
  <c r="G67" i="2" s="1"/>
  <c r="J67" i="2"/>
  <c r="L67" i="2"/>
  <c r="H68" i="2"/>
  <c r="I68" i="2"/>
  <c r="G68" i="2" s="1"/>
  <c r="J68" i="2"/>
  <c r="L68" i="2"/>
  <c r="H69" i="2"/>
  <c r="I69" i="2"/>
  <c r="G69" i="2" s="1"/>
  <c r="J69" i="2"/>
  <c r="L69" i="2"/>
  <c r="H70" i="2"/>
  <c r="I70" i="2"/>
  <c r="G70" i="2" s="1"/>
  <c r="J70" i="2"/>
  <c r="L70" i="2"/>
  <c r="I71" i="2"/>
  <c r="H71" i="2" s="1"/>
  <c r="J71" i="2"/>
  <c r="H72" i="2"/>
  <c r="I72" i="2"/>
  <c r="G72" i="2" s="1"/>
  <c r="J72" i="2"/>
  <c r="L72" i="2"/>
  <c r="H73" i="2"/>
  <c r="I73" i="2"/>
  <c r="G73" i="2" s="1"/>
  <c r="J73" i="2"/>
  <c r="L73" i="2"/>
  <c r="I74" i="2"/>
  <c r="H74" i="2" s="1"/>
  <c r="J74" i="2"/>
  <c r="I75" i="2"/>
  <c r="H75" i="2" s="1"/>
  <c r="K75" i="2" s="1"/>
  <c r="J75" i="2"/>
  <c r="I76" i="2"/>
  <c r="H76" i="2" s="1"/>
  <c r="J76" i="2"/>
  <c r="I77" i="2"/>
  <c r="H77" i="2" s="1"/>
  <c r="J77" i="2"/>
  <c r="I78" i="2"/>
  <c r="H78" i="2" s="1"/>
  <c r="J78" i="2"/>
  <c r="H79" i="2"/>
  <c r="I79" i="2"/>
  <c r="G79" i="2" s="1"/>
  <c r="J79" i="2"/>
  <c r="L79" i="2"/>
  <c r="H80" i="2"/>
  <c r="I80" i="2"/>
  <c r="G80" i="2" s="1"/>
  <c r="J80" i="2"/>
  <c r="L80" i="2"/>
  <c r="I81" i="2"/>
  <c r="H81" i="2" s="1"/>
  <c r="K81" i="2" s="1"/>
  <c r="J81" i="2"/>
  <c r="I82" i="2"/>
  <c r="H82" i="2" s="1"/>
  <c r="J82" i="2"/>
  <c r="I83" i="2"/>
  <c r="H83" i="2" s="1"/>
  <c r="K83" i="2" s="1"/>
  <c r="J83" i="2"/>
  <c r="H84" i="2"/>
  <c r="I84" i="2"/>
  <c r="G84" i="2" s="1"/>
  <c r="J84" i="2"/>
  <c r="L84" i="2"/>
  <c r="I85" i="2"/>
  <c r="H85" i="2" s="1"/>
  <c r="J85" i="2"/>
  <c r="I86" i="2"/>
  <c r="H86" i="2" s="1"/>
  <c r="J86" i="2"/>
  <c r="I87" i="2"/>
  <c r="G87" i="2" s="1"/>
  <c r="J87" i="2"/>
  <c r="I88" i="2"/>
  <c r="H88" i="2" s="1"/>
  <c r="J88" i="2"/>
  <c r="I89" i="2"/>
  <c r="F89" i="2" s="1"/>
  <c r="J89" i="2"/>
  <c r="I90" i="2"/>
  <c r="H90" i="2" s="1"/>
  <c r="J90" i="2"/>
  <c r="I91" i="2"/>
  <c r="H91" i="2" s="1"/>
  <c r="K91" i="2" s="1"/>
  <c r="J91" i="2"/>
  <c r="I92" i="2"/>
  <c r="H92" i="2" s="1"/>
  <c r="J92" i="2"/>
  <c r="I93" i="2"/>
  <c r="H93" i="2" s="1"/>
  <c r="J93" i="2"/>
  <c r="H94" i="2"/>
  <c r="I94" i="2"/>
  <c r="G94" i="2" s="1"/>
  <c r="J94" i="2"/>
  <c r="H95" i="2"/>
  <c r="I95" i="2"/>
  <c r="G95" i="2" s="1"/>
  <c r="J95" i="2"/>
  <c r="H108" i="2"/>
  <c r="I108" i="2"/>
  <c r="G108" i="2" s="1"/>
  <c r="J108" i="2"/>
  <c r="H109" i="2"/>
  <c r="I109" i="2"/>
  <c r="G109" i="2" s="1"/>
  <c r="J109" i="2"/>
  <c r="L109" i="2"/>
  <c r="I110" i="2"/>
  <c r="H110" i="2" s="1"/>
  <c r="J110" i="2"/>
  <c r="I111" i="2"/>
  <c r="F111" i="2" s="1"/>
  <c r="J111" i="2"/>
  <c r="I112" i="2"/>
  <c r="H112" i="2" s="1"/>
  <c r="J112" i="2"/>
  <c r="I113" i="2"/>
  <c r="H113" i="2" s="1"/>
  <c r="K113" i="2" s="1"/>
  <c r="J113" i="2"/>
  <c r="I114" i="2"/>
  <c r="H114" i="2" s="1"/>
  <c r="J114" i="2"/>
  <c r="I115" i="2"/>
  <c r="H115" i="2" s="1"/>
  <c r="K115" i="2" s="1"/>
  <c r="J115" i="2"/>
  <c r="H116" i="2"/>
  <c r="I116" i="2"/>
  <c r="G116" i="2" s="1"/>
  <c r="J116" i="2"/>
  <c r="L116" i="2"/>
  <c r="H117" i="2"/>
  <c r="I117" i="2"/>
  <c r="G117" i="2" s="1"/>
  <c r="J117" i="2"/>
  <c r="L117" i="2"/>
  <c r="I118" i="2"/>
  <c r="H118" i="2" s="1"/>
  <c r="J118" i="2"/>
  <c r="I119" i="2"/>
  <c r="H119" i="2" s="1"/>
  <c r="J119" i="2"/>
  <c r="I120" i="2"/>
  <c r="H120" i="2" s="1"/>
  <c r="J120" i="2"/>
  <c r="H121" i="2"/>
  <c r="I121" i="2"/>
  <c r="G121" i="2" s="1"/>
  <c r="J121" i="2"/>
  <c r="L121" i="2"/>
  <c r="H122" i="2"/>
  <c r="I122" i="2"/>
  <c r="G122" i="2" s="1"/>
  <c r="J122" i="2"/>
  <c r="L122" i="2"/>
  <c r="I123" i="2"/>
  <c r="H123" i="2" s="1"/>
  <c r="K123" i="2" s="1"/>
  <c r="J123" i="2"/>
  <c r="I124" i="2"/>
  <c r="H124" i="2" s="1"/>
  <c r="J124" i="2"/>
  <c r="I125" i="2"/>
  <c r="H125" i="2" s="1"/>
  <c r="J125" i="2"/>
  <c r="I126" i="2"/>
  <c r="H126" i="2" s="1"/>
  <c r="J126" i="2"/>
  <c r="H127" i="2"/>
  <c r="I127" i="2"/>
  <c r="G127" i="2" s="1"/>
  <c r="J127" i="2"/>
  <c r="L127" i="2"/>
  <c r="H128" i="2"/>
  <c r="I128" i="2"/>
  <c r="G128" i="2" s="1"/>
  <c r="J128" i="2"/>
  <c r="L128" i="2"/>
  <c r="I129" i="2"/>
  <c r="H129" i="2" s="1"/>
  <c r="K129" i="2" s="1"/>
  <c r="J129" i="2"/>
  <c r="H130" i="2"/>
  <c r="I130" i="2"/>
  <c r="G130" i="2" s="1"/>
  <c r="J130" i="2"/>
  <c r="L130" i="2"/>
  <c r="H131" i="2"/>
  <c r="I131" i="2"/>
  <c r="G131" i="2" s="1"/>
  <c r="J131" i="2"/>
  <c r="L131" i="2"/>
  <c r="I132" i="2"/>
  <c r="H132" i="2" s="1"/>
  <c r="J132" i="2"/>
  <c r="H133" i="2"/>
  <c r="I133" i="2"/>
  <c r="G133" i="2" s="1"/>
  <c r="J133" i="2"/>
  <c r="L133" i="2"/>
  <c r="H134" i="2"/>
  <c r="I134" i="2"/>
  <c r="G134" i="2" s="1"/>
  <c r="J134" i="2"/>
  <c r="L134" i="2"/>
  <c r="I135" i="2"/>
  <c r="H135" i="2" s="1"/>
  <c r="J135" i="2"/>
  <c r="I136" i="2"/>
  <c r="G136" i="2" s="1"/>
  <c r="J136" i="2"/>
  <c r="I137" i="2"/>
  <c r="H137" i="2" s="1"/>
  <c r="K137" i="2" s="1"/>
  <c r="J137" i="2"/>
  <c r="I138" i="2"/>
  <c r="H138" i="2" s="1"/>
  <c r="J138" i="2"/>
  <c r="I139" i="2"/>
  <c r="H139" i="2" s="1"/>
  <c r="K139" i="2" s="1"/>
  <c r="J139" i="2"/>
  <c r="I140" i="2"/>
  <c r="H140" i="2" s="1"/>
  <c r="J140" i="2"/>
  <c r="I141" i="2"/>
  <c r="F141" i="2" s="1"/>
  <c r="J141" i="2"/>
  <c r="I142" i="2"/>
  <c r="H142" i="2" s="1"/>
  <c r="J142" i="2"/>
  <c r="I143" i="2"/>
  <c r="H143" i="2" s="1"/>
  <c r="J143" i="2"/>
  <c r="H144" i="2"/>
  <c r="I144" i="2"/>
  <c r="G144" i="2" s="1"/>
  <c r="J144" i="2"/>
  <c r="L144" i="2"/>
  <c r="H145" i="2"/>
  <c r="I145" i="2"/>
  <c r="G145" i="2" s="1"/>
  <c r="J145" i="2"/>
  <c r="L145" i="2"/>
  <c r="I146" i="2"/>
  <c r="H146" i="2" s="1"/>
  <c r="L146" i="2" s="1"/>
  <c r="J146" i="2"/>
  <c r="I147" i="2"/>
  <c r="H147" i="2" s="1"/>
  <c r="K147" i="2" s="1"/>
  <c r="J147" i="2"/>
  <c r="I148" i="2"/>
  <c r="H148" i="2" s="1"/>
  <c r="J148" i="2"/>
  <c r="I149" i="2"/>
  <c r="H149" i="2" s="1"/>
  <c r="J149" i="2"/>
  <c r="I150" i="2"/>
  <c r="H150" i="2" s="1"/>
  <c r="J150" i="2"/>
  <c r="I151" i="2"/>
  <c r="H151" i="2" s="1"/>
  <c r="J151" i="2"/>
  <c r="I152" i="2"/>
  <c r="H152" i="2" s="1"/>
  <c r="L152" i="2" s="1"/>
  <c r="J152" i="2"/>
  <c r="I153" i="2"/>
  <c r="H153" i="2" s="1"/>
  <c r="L153" i="2" s="1"/>
  <c r="J153" i="2"/>
  <c r="H154" i="2"/>
  <c r="I154" i="2"/>
  <c r="G154" i="2" s="1"/>
  <c r="J154" i="2"/>
  <c r="L154" i="2"/>
  <c r="H155" i="2"/>
  <c r="I155" i="2"/>
  <c r="G155" i="2" s="1"/>
  <c r="J155" i="2"/>
  <c r="L155" i="2"/>
  <c r="I156" i="2"/>
  <c r="H156" i="2" s="1"/>
  <c r="K156" i="2" s="1"/>
  <c r="J156" i="2"/>
  <c r="I157" i="2"/>
  <c r="H157" i="2" s="1"/>
  <c r="J157" i="2"/>
  <c r="I158" i="2"/>
  <c r="H158" i="2" s="1"/>
  <c r="K158" i="2" s="1"/>
  <c r="J158" i="2"/>
  <c r="I159" i="2"/>
  <c r="H159" i="2" s="1"/>
  <c r="J159" i="2"/>
  <c r="I160" i="2"/>
  <c r="H160" i="2" s="1"/>
  <c r="L160" i="2" s="1"/>
  <c r="J160" i="2"/>
  <c r="I161" i="2"/>
  <c r="H161" i="2" s="1"/>
  <c r="J161" i="2"/>
  <c r="H162" i="2"/>
  <c r="I162" i="2"/>
  <c r="G162" i="2" s="1"/>
  <c r="J162" i="2"/>
  <c r="L162" i="2"/>
  <c r="H163" i="2"/>
  <c r="I163" i="2"/>
  <c r="G163" i="2" s="1"/>
  <c r="J163" i="2"/>
  <c r="L163" i="2"/>
  <c r="I164" i="2"/>
  <c r="H164" i="2" s="1"/>
  <c r="K164" i="2" s="1"/>
  <c r="J164" i="2"/>
  <c r="I165" i="2"/>
  <c r="F165" i="2" s="1"/>
  <c r="J165" i="2"/>
  <c r="I166" i="2"/>
  <c r="H166" i="2" s="1"/>
  <c r="J166" i="2"/>
  <c r="I167" i="2"/>
  <c r="H167" i="2" s="1"/>
  <c r="J167" i="2"/>
  <c r="I168" i="2"/>
  <c r="G168" i="2" s="1"/>
  <c r="J168" i="2"/>
  <c r="I169" i="2"/>
  <c r="H169" i="2" s="1"/>
  <c r="J169" i="2"/>
  <c r="H170" i="2"/>
  <c r="I170" i="2"/>
  <c r="G170" i="2" s="1"/>
  <c r="J170" i="2"/>
  <c r="L170" i="2"/>
  <c r="H171" i="2"/>
  <c r="I171" i="2"/>
  <c r="G171" i="2" s="1"/>
  <c r="J171" i="2"/>
  <c r="L171" i="2"/>
  <c r="I172" i="2"/>
  <c r="H172" i="2" s="1"/>
  <c r="K172" i="2" s="1"/>
  <c r="J172" i="2"/>
  <c r="I173" i="2"/>
  <c r="H173" i="2" s="1"/>
  <c r="J173" i="2"/>
  <c r="I174" i="2"/>
  <c r="G174" i="2" s="1"/>
  <c r="J174" i="2"/>
  <c r="I175" i="2"/>
  <c r="H175" i="2" s="1"/>
  <c r="J175" i="2"/>
  <c r="I176" i="2"/>
  <c r="H176" i="2" s="1"/>
  <c r="L176" i="2" s="1"/>
  <c r="J176" i="2"/>
  <c r="I177" i="2"/>
  <c r="H177" i="2" s="1"/>
  <c r="L177" i="2" s="1"/>
  <c r="J177" i="2"/>
  <c r="I178" i="2"/>
  <c r="H178" i="2" s="1"/>
  <c r="L178" i="2" s="1"/>
  <c r="J178" i="2"/>
  <c r="H179" i="2"/>
  <c r="I179" i="2"/>
  <c r="G179" i="2" s="1"/>
  <c r="J179" i="2"/>
  <c r="L179" i="2"/>
  <c r="H180" i="2"/>
  <c r="I180" i="2"/>
  <c r="G180" i="2" s="1"/>
  <c r="J180" i="2"/>
  <c r="L180" i="2"/>
  <c r="I181" i="2"/>
  <c r="H181" i="2" s="1"/>
  <c r="J181" i="2"/>
  <c r="I182" i="2"/>
  <c r="H182" i="2" s="1"/>
  <c r="J182" i="2"/>
  <c r="I183" i="2"/>
  <c r="H183" i="2" s="1"/>
  <c r="J183" i="2"/>
  <c r="I184" i="2"/>
  <c r="H184" i="2" s="1"/>
  <c r="L184" i="2" s="1"/>
  <c r="J184" i="2"/>
  <c r="I185" i="2"/>
  <c r="H185" i="2" s="1"/>
  <c r="L185" i="2" s="1"/>
  <c r="J185" i="2"/>
  <c r="I186" i="2"/>
  <c r="H186" i="2" s="1"/>
  <c r="L186" i="2" s="1"/>
  <c r="J186" i="2"/>
  <c r="I187" i="2"/>
  <c r="H187" i="2" s="1"/>
  <c r="J187" i="2"/>
  <c r="I188" i="2"/>
  <c r="H188" i="2" s="1"/>
  <c r="K188" i="2" s="1"/>
  <c r="J188" i="2"/>
  <c r="H189" i="2"/>
  <c r="I189" i="2"/>
  <c r="G189" i="2" s="1"/>
  <c r="J189" i="2"/>
  <c r="L189" i="2"/>
  <c r="H190" i="2"/>
  <c r="I190" i="2"/>
  <c r="G190" i="2" s="1"/>
  <c r="J190" i="2"/>
  <c r="L190" i="2"/>
  <c r="I191" i="2"/>
  <c r="H191" i="2" s="1"/>
  <c r="J191" i="2"/>
  <c r="I192" i="2"/>
  <c r="H192" i="2" s="1"/>
  <c r="L192" i="2" s="1"/>
  <c r="J192" i="2"/>
  <c r="I193" i="2"/>
  <c r="H193" i="2" s="1"/>
  <c r="L193" i="2" s="1"/>
  <c r="J193" i="2"/>
  <c r="I194" i="2"/>
  <c r="H194" i="2" s="1"/>
  <c r="J194" i="2"/>
  <c r="I195" i="2"/>
  <c r="H195" i="2" s="1"/>
  <c r="K195" i="2" s="1"/>
  <c r="J195" i="2"/>
  <c r="I196" i="2"/>
  <c r="H196" i="2" s="1"/>
  <c r="K196" i="2" s="1"/>
  <c r="J196" i="2"/>
  <c r="I197" i="2"/>
  <c r="F197" i="2" s="1"/>
  <c r="J197" i="2"/>
  <c r="I198" i="2"/>
  <c r="H198" i="2" s="1"/>
  <c r="J198" i="2"/>
  <c r="I199" i="2"/>
  <c r="H199" i="2" s="1"/>
  <c r="J199" i="2"/>
  <c r="I200" i="2"/>
  <c r="H200" i="2" s="1"/>
  <c r="L200" i="2" s="1"/>
  <c r="J200" i="2"/>
  <c r="I201" i="2"/>
  <c r="H201" i="2" s="1"/>
  <c r="J201" i="2"/>
  <c r="H202" i="2"/>
  <c r="I202" i="2"/>
  <c r="G202" i="2" s="1"/>
  <c r="J202" i="2"/>
  <c r="L202" i="2"/>
  <c r="H203" i="2"/>
  <c r="I203" i="2"/>
  <c r="G203" i="2" s="1"/>
  <c r="J203" i="2"/>
  <c r="L203" i="2"/>
  <c r="I204" i="2"/>
  <c r="H204" i="2" s="1"/>
  <c r="K204" i="2" s="1"/>
  <c r="J204" i="2"/>
  <c r="I205" i="2"/>
  <c r="H205" i="2" s="1"/>
  <c r="K205" i="2" s="1"/>
  <c r="J205" i="2"/>
  <c r="I206" i="2"/>
  <c r="H206" i="2" s="1"/>
  <c r="J206" i="2"/>
  <c r="I207" i="2"/>
  <c r="H207" i="2" s="1"/>
  <c r="J207" i="2"/>
  <c r="I208" i="2"/>
  <c r="H208" i="2" s="1"/>
  <c r="L208" i="2" s="1"/>
  <c r="J208" i="2"/>
  <c r="I209" i="2"/>
  <c r="H209" i="2" s="1"/>
  <c r="J209" i="2"/>
  <c r="I210" i="2"/>
  <c r="H210" i="2" s="1"/>
  <c r="L210" i="2" s="1"/>
  <c r="J210" i="2"/>
  <c r="I211" i="2"/>
  <c r="H211" i="2" s="1"/>
  <c r="K211" i="2" s="1"/>
  <c r="J211" i="2"/>
  <c r="I212" i="2"/>
  <c r="H212" i="2" s="1"/>
  <c r="J212" i="2"/>
  <c r="I213" i="2"/>
  <c r="H213" i="2" s="1"/>
  <c r="J213" i="2"/>
  <c r="I221" i="2"/>
  <c r="H221" i="2" s="1"/>
  <c r="J221" i="2"/>
  <c r="I222" i="2"/>
  <c r="H222" i="2" s="1"/>
  <c r="J222" i="2"/>
  <c r="I223" i="2"/>
  <c r="H223" i="2" s="1"/>
  <c r="J223" i="2"/>
  <c r="I224" i="2"/>
  <c r="H224" i="2" s="1"/>
  <c r="K224" i="2" s="1"/>
  <c r="J224" i="2"/>
  <c r="I225" i="2"/>
  <c r="H225" i="2" s="1"/>
  <c r="J225" i="2"/>
  <c r="I226" i="2"/>
  <c r="G226" i="2" s="1"/>
  <c r="J226" i="2"/>
  <c r="I227" i="2"/>
  <c r="G227" i="2" s="1"/>
  <c r="J227" i="2"/>
  <c r="H229" i="2"/>
  <c r="I229" i="2"/>
  <c r="G229" i="2" s="1"/>
  <c r="J229" i="2"/>
  <c r="L229" i="2"/>
  <c r="H230" i="2"/>
  <c r="I230" i="2"/>
  <c r="G230" i="2" s="1"/>
  <c r="J230" i="2"/>
  <c r="L230" i="2"/>
  <c r="I231" i="2"/>
  <c r="H231" i="2" s="1"/>
  <c r="L231" i="2" s="1"/>
  <c r="J231" i="2"/>
  <c r="I232" i="2"/>
  <c r="H232" i="2" s="1"/>
  <c r="L232" i="2" s="1"/>
  <c r="J232" i="2"/>
  <c r="I233" i="2"/>
  <c r="H233" i="2" s="1"/>
  <c r="K233" i="2" s="1"/>
  <c r="J233" i="2"/>
  <c r="I234" i="2"/>
  <c r="H234" i="2" s="1"/>
  <c r="J234" i="2"/>
  <c r="I235" i="2"/>
  <c r="H235" i="2" s="1"/>
  <c r="J235" i="2"/>
  <c r="I236" i="2"/>
  <c r="H236" i="2" s="1"/>
  <c r="J236" i="2"/>
  <c r="H237" i="2"/>
  <c r="I237" i="2"/>
  <c r="G237" i="2" s="1"/>
  <c r="J237" i="2"/>
  <c r="L237" i="2"/>
  <c r="H238" i="2"/>
  <c r="I238" i="2"/>
  <c r="G238" i="2" s="1"/>
  <c r="J238" i="2"/>
  <c r="L238" i="2"/>
  <c r="I239" i="2"/>
  <c r="H239" i="2" s="1"/>
  <c r="L239" i="2" s="1"/>
  <c r="J239" i="2"/>
  <c r="H240" i="2"/>
  <c r="I240" i="2"/>
  <c r="G240" i="2" s="1"/>
  <c r="J240" i="2"/>
  <c r="L240" i="2"/>
  <c r="H241" i="2"/>
  <c r="I241" i="2"/>
  <c r="G241" i="2" s="1"/>
  <c r="J241" i="2"/>
  <c r="L241" i="2"/>
  <c r="I242" i="2"/>
  <c r="H242" i="2" s="1"/>
  <c r="K242" i="2" s="1"/>
  <c r="J242" i="2"/>
  <c r="I243" i="2"/>
  <c r="H243" i="2" s="1"/>
  <c r="J243" i="2"/>
  <c r="I244" i="2"/>
  <c r="H244" i="2" s="1"/>
  <c r="J244" i="2"/>
  <c r="I245" i="2"/>
  <c r="H245" i="2" s="1"/>
  <c r="J245" i="2"/>
  <c r="I246" i="2"/>
  <c r="H246" i="2" s="1"/>
  <c r="L246" i="2" s="1"/>
  <c r="J246" i="2"/>
  <c r="I247" i="2"/>
  <c r="H247" i="2" s="1"/>
  <c r="L247" i="2" s="1"/>
  <c r="J247" i="2"/>
  <c r="I248" i="2"/>
  <c r="H248" i="2" s="1"/>
  <c r="L248" i="2" s="1"/>
  <c r="J248" i="2"/>
  <c r="I249" i="2"/>
  <c r="H249" i="2" s="1"/>
  <c r="K249" i="2" s="1"/>
  <c r="J249" i="2"/>
  <c r="I250" i="2"/>
  <c r="H250" i="2" s="1"/>
  <c r="K250" i="2" s="1"/>
  <c r="J250" i="2"/>
  <c r="H251" i="2"/>
  <c r="I251" i="2"/>
  <c r="G251" i="2" s="1"/>
  <c r="J251" i="2"/>
  <c r="L251" i="2"/>
  <c r="H252" i="2"/>
  <c r="I252" i="2"/>
  <c r="G252" i="2" s="1"/>
  <c r="J252" i="2"/>
  <c r="L252" i="2"/>
  <c r="I253" i="2"/>
  <c r="H253" i="2" s="1"/>
  <c r="J253" i="2"/>
  <c r="I254" i="2"/>
  <c r="F254" i="2" s="1"/>
  <c r="J254" i="2"/>
  <c r="I255" i="2"/>
  <c r="H255" i="2" s="1"/>
  <c r="L255" i="2" s="1"/>
  <c r="J255" i="2"/>
  <c r="I256" i="2"/>
  <c r="H256" i="2" s="1"/>
  <c r="K256" i="2" s="1"/>
  <c r="J256" i="2"/>
  <c r="H257" i="2"/>
  <c r="I257" i="2"/>
  <c r="J257" i="2"/>
  <c r="L257" i="2"/>
  <c r="H258" i="2"/>
  <c r="I258" i="2"/>
  <c r="G258" i="2" s="1"/>
  <c r="J258" i="2"/>
  <c r="L258" i="2"/>
  <c r="I259" i="2"/>
  <c r="J259" i="2"/>
  <c r="I260" i="2"/>
  <c r="J260"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H275" i="2"/>
  <c r="I275" i="2"/>
  <c r="J275" i="2"/>
  <c r="L275" i="2"/>
  <c r="H276" i="2"/>
  <c r="I276" i="2"/>
  <c r="J276" i="2"/>
  <c r="L276" i="2"/>
  <c r="I277" i="2"/>
  <c r="H277" i="2" s="1"/>
  <c r="J277" i="2"/>
  <c r="I278" i="2"/>
  <c r="F278" i="2" s="1"/>
  <c r="J278" i="2"/>
  <c r="I279" i="2"/>
  <c r="H279" i="2" s="1"/>
  <c r="L279" i="2" s="1"/>
  <c r="J279" i="2"/>
  <c r="I280" i="2"/>
  <c r="H280" i="2" s="1"/>
  <c r="J280" i="2"/>
  <c r="I281" i="2"/>
  <c r="H281" i="2" s="1"/>
  <c r="K281" i="2" s="1"/>
  <c r="J281" i="2"/>
  <c r="I282" i="2"/>
  <c r="H282" i="2" s="1"/>
  <c r="J282" i="2"/>
  <c r="I283" i="2"/>
  <c r="F283" i="2" s="1"/>
  <c r="J283" i="2"/>
  <c r="I284" i="2"/>
  <c r="H284" i="2" s="1"/>
  <c r="K284" i="2" s="1"/>
  <c r="J284" i="2"/>
  <c r="I285" i="2"/>
  <c r="H285" i="2" s="1"/>
  <c r="L285" i="2" s="1"/>
  <c r="J285" i="2"/>
  <c r="H286" i="2"/>
  <c r="I286" i="2"/>
  <c r="G286" i="2" s="1"/>
  <c r="J286" i="2"/>
  <c r="L286" i="2"/>
  <c r="H287" i="2"/>
  <c r="I287" i="2"/>
  <c r="J287" i="2"/>
  <c r="L287" i="2"/>
  <c r="I288" i="2"/>
  <c r="G288" i="2" s="1"/>
  <c r="J288" i="2"/>
  <c r="I289" i="2"/>
  <c r="H289" i="2" s="1"/>
  <c r="K289" i="2" s="1"/>
  <c r="J289" i="2"/>
  <c r="I290" i="2"/>
  <c r="G290" i="2" s="1"/>
  <c r="J290" i="2"/>
  <c r="I291" i="2"/>
  <c r="H291" i="2" s="1"/>
  <c r="K291" i="2" s="1"/>
  <c r="J291" i="2"/>
  <c r="I292" i="2"/>
  <c r="H292" i="2" s="1"/>
  <c r="L292" i="2" s="1"/>
  <c r="J292" i="2"/>
  <c r="I293" i="2"/>
  <c r="H293" i="2" s="1"/>
  <c r="J293" i="2"/>
  <c r="I294" i="2"/>
  <c r="H294" i="2" s="1"/>
  <c r="J294" i="2"/>
  <c r="I295" i="2"/>
  <c r="H295" i="2" s="1"/>
  <c r="J295" i="2"/>
  <c r="I296" i="2"/>
  <c r="H296" i="2" s="1"/>
  <c r="J296" i="2"/>
  <c r="I297" i="2"/>
  <c r="H297" i="2" s="1"/>
  <c r="J297" i="2"/>
  <c r="H298" i="2"/>
  <c r="I298" i="2"/>
  <c r="G298" i="2" s="1"/>
  <c r="J298" i="2"/>
  <c r="L298" i="2"/>
  <c r="H299" i="2"/>
  <c r="I299" i="2"/>
  <c r="J299" i="2"/>
  <c r="L299" i="2"/>
  <c r="I300" i="2"/>
  <c r="H300" i="2" s="1"/>
  <c r="J300" i="2"/>
  <c r="I301" i="2"/>
  <c r="H301" i="2" s="1"/>
  <c r="J301" i="2"/>
  <c r="I302" i="2"/>
  <c r="H302" i="2" s="1"/>
  <c r="J302" i="2"/>
  <c r="I304" i="2"/>
  <c r="G304" i="2" s="1"/>
  <c r="J304" i="2"/>
  <c r="I305" i="2"/>
  <c r="G305" i="2" s="1"/>
  <c r="J305" i="2"/>
  <c r="I306" i="2"/>
  <c r="H306" i="2" s="1"/>
  <c r="K306" i="2" s="1"/>
  <c r="J306" i="2"/>
  <c r="I307" i="2"/>
  <c r="H307" i="2" s="1"/>
  <c r="J307" i="2"/>
  <c r="I308" i="2"/>
  <c r="H308" i="2" s="1"/>
  <c r="J308" i="2"/>
  <c r="I309" i="2"/>
  <c r="H309" i="2" s="1"/>
  <c r="J309" i="2"/>
  <c r="H310" i="2"/>
  <c r="I310" i="2"/>
  <c r="J310" i="2"/>
  <c r="L310" i="2"/>
  <c r="H311" i="2"/>
  <c r="I311" i="2"/>
  <c r="G311" i="2" s="1"/>
  <c r="J311" i="2"/>
  <c r="L311" i="2"/>
  <c r="I312" i="2"/>
  <c r="H312" i="2" s="1"/>
  <c r="J312" i="2"/>
  <c r="H313" i="2"/>
  <c r="I313" i="2"/>
  <c r="G313" i="2" s="1"/>
  <c r="J313" i="2"/>
  <c r="L313" i="2"/>
  <c r="H314" i="2"/>
  <c r="I314" i="2"/>
  <c r="G314" i="2" s="1"/>
  <c r="J314" i="2"/>
  <c r="L314" i="2"/>
  <c r="I315" i="2"/>
  <c r="H315" i="2" s="1"/>
  <c r="J315" i="2"/>
  <c r="H316" i="2"/>
  <c r="I316" i="2"/>
  <c r="J316" i="2"/>
  <c r="L316" i="2"/>
  <c r="H317" i="2"/>
  <c r="I317" i="2"/>
  <c r="G317" i="2" s="1"/>
  <c r="J317" i="2"/>
  <c r="L317" i="2"/>
  <c r="I318" i="2"/>
  <c r="H318" i="2" s="1"/>
  <c r="K318" i="2" s="1"/>
  <c r="J318" i="2"/>
  <c r="I319" i="2"/>
  <c r="H319" i="2" s="1"/>
  <c r="J319" i="2"/>
  <c r="H320" i="2"/>
  <c r="I320" i="2"/>
  <c r="G320" i="2" s="1"/>
  <c r="J320" i="2"/>
  <c r="L320" i="2"/>
  <c r="H321" i="2"/>
  <c r="I321" i="2"/>
  <c r="G321" i="2" s="1"/>
  <c r="J321" i="2"/>
  <c r="L321" i="2"/>
  <c r="I322" i="2"/>
  <c r="H322" i="2" s="1"/>
  <c r="J322" i="2"/>
  <c r="I323" i="2"/>
  <c r="H323" i="2" s="1"/>
  <c r="L323" i="2" s="1"/>
  <c r="J323" i="2"/>
  <c r="I324" i="2"/>
  <c r="G324" i="2" s="1"/>
  <c r="J324" i="2"/>
  <c r="I325" i="2"/>
  <c r="H325" i="2" s="1"/>
  <c r="J325" i="2"/>
  <c r="I326" i="2"/>
  <c r="J326" i="2"/>
  <c r="I327" i="2"/>
  <c r="H327" i="2" s="1"/>
  <c r="J327" i="2"/>
  <c r="I328" i="2"/>
  <c r="H328" i="2" s="1"/>
  <c r="J328" i="2"/>
  <c r="I329" i="2"/>
  <c r="H329" i="2" s="1"/>
  <c r="J329" i="2"/>
  <c r="I330" i="2"/>
  <c r="H330" i="2" s="1"/>
  <c r="L330" i="2" s="1"/>
  <c r="J330" i="2"/>
  <c r="H331" i="2"/>
  <c r="I331" i="2"/>
  <c r="J331" i="2"/>
  <c r="L331" i="2"/>
  <c r="H332" i="2"/>
  <c r="I332" i="2"/>
  <c r="J332" i="2"/>
  <c r="L332" i="2"/>
  <c r="I333" i="2"/>
  <c r="H333" i="2" s="1"/>
  <c r="J333" i="2"/>
  <c r="I334" i="2"/>
  <c r="G334" i="2" s="1"/>
  <c r="J334" i="2"/>
  <c r="I335" i="2"/>
  <c r="G335" i="2" s="1"/>
  <c r="J335" i="2"/>
  <c r="I336" i="2"/>
  <c r="H336" i="2" s="1"/>
  <c r="J336" i="2"/>
  <c r="H337" i="2"/>
  <c r="I337" i="2"/>
  <c r="G337" i="2" s="1"/>
  <c r="J337" i="2"/>
  <c r="L337" i="2"/>
  <c r="H338" i="2"/>
  <c r="I338" i="2"/>
  <c r="J338" i="2"/>
  <c r="L338" i="2"/>
  <c r="I339" i="2"/>
  <c r="H339" i="2" s="1"/>
  <c r="J339" i="2"/>
  <c r="H340" i="2"/>
  <c r="I340" i="2"/>
  <c r="J340" i="2"/>
  <c r="H341" i="2"/>
  <c r="I341" i="2"/>
  <c r="J341" i="2"/>
  <c r="H375" i="2"/>
  <c r="I375" i="2"/>
  <c r="G375" i="2" s="1"/>
  <c r="J375" i="2"/>
  <c r="H376" i="2"/>
  <c r="I376" i="2"/>
  <c r="G376" i="2" s="1"/>
  <c r="J376" i="2"/>
  <c r="I377" i="2"/>
  <c r="H377" i="2" s="1"/>
  <c r="L377" i="2" s="1"/>
  <c r="J377" i="2"/>
  <c r="I378" i="2"/>
  <c r="H378" i="2" s="1"/>
  <c r="L378" i="2" s="1"/>
  <c r="J378" i="2"/>
  <c r="I379" i="2"/>
  <c r="H379" i="2" s="1"/>
  <c r="L379" i="2" s="1"/>
  <c r="J379" i="2"/>
  <c r="I380" i="2"/>
  <c r="H380" i="2" s="1"/>
  <c r="J380" i="2"/>
  <c r="I381" i="2"/>
  <c r="H381" i="2" s="1"/>
  <c r="L381" i="2" s="1"/>
  <c r="J381" i="2"/>
  <c r="I382" i="2"/>
  <c r="G382" i="2" s="1"/>
  <c r="J382" i="2"/>
  <c r="I383" i="2"/>
  <c r="H383" i="2" s="1"/>
  <c r="L383" i="2" s="1"/>
  <c r="J383" i="2"/>
  <c r="H384" i="2"/>
  <c r="I384" i="2"/>
  <c r="G384" i="2" s="1"/>
  <c r="J384" i="2"/>
  <c r="H385" i="2"/>
  <c r="I385" i="2"/>
  <c r="G385" i="2" s="1"/>
  <c r="J385" i="2"/>
  <c r="I386" i="2"/>
  <c r="H386" i="2" s="1"/>
  <c r="L386" i="2" s="1"/>
  <c r="J386" i="2"/>
  <c r="I387" i="2"/>
  <c r="F387" i="2" s="1"/>
  <c r="J387" i="2"/>
  <c r="I388" i="2"/>
  <c r="H388" i="2" s="1"/>
  <c r="J388" i="2"/>
  <c r="I389" i="2"/>
  <c r="H389" i="2" s="1"/>
  <c r="L389" i="2" s="1"/>
  <c r="J389" i="2"/>
  <c r="H390" i="2"/>
  <c r="I390" i="2"/>
  <c r="G390" i="2" s="1"/>
  <c r="J390" i="2"/>
  <c r="H391" i="2"/>
  <c r="I391" i="2"/>
  <c r="G391" i="2" s="1"/>
  <c r="J391" i="2"/>
  <c r="I392" i="2"/>
  <c r="H392" i="2" s="1"/>
  <c r="L392" i="2" s="1"/>
  <c r="J392" i="2"/>
  <c r="I393" i="2"/>
  <c r="H393" i="2" s="1"/>
  <c r="L393" i="2" s="1"/>
  <c r="J393" i="2"/>
  <c r="G284" i="2"/>
  <c r="F391" i="2"/>
  <c r="F390" i="2"/>
  <c r="F385" i="2"/>
  <c r="F384" i="2"/>
  <c r="F376" i="2"/>
  <c r="F375" i="2"/>
  <c r="F321" i="2"/>
  <c r="F320" i="2"/>
  <c r="F317" i="2"/>
  <c r="F314" i="2"/>
  <c r="F310" i="2"/>
  <c r="F298" i="2"/>
  <c r="F275" i="2"/>
  <c r="F258" i="2"/>
  <c r="F252" i="2"/>
  <c r="F251" i="2"/>
  <c r="F241" i="2"/>
  <c r="F240" i="2"/>
  <c r="F238" i="2"/>
  <c r="F229" i="2"/>
  <c r="F230" i="2"/>
  <c r="F237" i="2"/>
  <c r="F27" i="2"/>
  <c r="F52" i="2"/>
  <c r="F53" i="2"/>
  <c r="F67" i="2"/>
  <c r="F68" i="2"/>
  <c r="F69" i="2"/>
  <c r="F70" i="2"/>
  <c r="F72" i="2"/>
  <c r="F73" i="2"/>
  <c r="F79" i="2"/>
  <c r="F80" i="2"/>
  <c r="F84" i="2"/>
  <c r="F94" i="2"/>
  <c r="F95" i="2"/>
  <c r="F108" i="2"/>
  <c r="F109" i="2"/>
  <c r="F116" i="2"/>
  <c r="F117" i="2"/>
  <c r="F121" i="2"/>
  <c r="F122" i="2"/>
  <c r="F127" i="2"/>
  <c r="F128" i="2"/>
  <c r="F130" i="2"/>
  <c r="F131" i="2"/>
  <c r="F133" i="2"/>
  <c r="F134" i="2"/>
  <c r="F144" i="2"/>
  <c r="F145" i="2"/>
  <c r="F154" i="2"/>
  <c r="F155" i="2"/>
  <c r="F162" i="2"/>
  <c r="F163" i="2"/>
  <c r="F170" i="2"/>
  <c r="F171" i="2"/>
  <c r="F179" i="2"/>
  <c r="F180" i="2"/>
  <c r="F189" i="2"/>
  <c r="F190" i="2"/>
  <c r="F202" i="2"/>
  <c r="F203" i="2"/>
  <c r="I10" i="2"/>
  <c r="G10" i="2" s="1"/>
  <c r="J10" i="2"/>
  <c r="K54" i="2" l="1"/>
  <c r="L54" i="2"/>
  <c r="K388" i="2"/>
  <c r="L388" i="2"/>
  <c r="K380" i="2"/>
  <c r="L380" i="2"/>
  <c r="H259" i="2"/>
  <c r="K259" i="2" s="1"/>
  <c r="F259" i="2"/>
  <c r="H271" i="2"/>
  <c r="K271" i="2" s="1"/>
  <c r="F271" i="2"/>
  <c r="H267" i="2"/>
  <c r="L267" i="2" s="1"/>
  <c r="F267" i="2"/>
  <c r="H263" i="2"/>
  <c r="K263" i="2" s="1"/>
  <c r="F263" i="2"/>
  <c r="H268" i="2"/>
  <c r="K268" i="2" s="1"/>
  <c r="F268" i="2"/>
  <c r="H274" i="2"/>
  <c r="K274" i="2" s="1"/>
  <c r="F274" i="2"/>
  <c r="H270" i="2"/>
  <c r="L270" i="2" s="1"/>
  <c r="F270" i="2"/>
  <c r="H266" i="2"/>
  <c r="K266" i="2" s="1"/>
  <c r="F266" i="2"/>
  <c r="H262" i="2"/>
  <c r="L262" i="2" s="1"/>
  <c r="F262" i="2"/>
  <c r="G264" i="2"/>
  <c r="F264" i="2"/>
  <c r="H272" i="2"/>
  <c r="K272" i="2" s="1"/>
  <c r="F272" i="2"/>
  <c r="H273" i="2"/>
  <c r="L273" i="2" s="1"/>
  <c r="F273" i="2"/>
  <c r="H269" i="2"/>
  <c r="K269" i="2" s="1"/>
  <c r="F269" i="2"/>
  <c r="H265" i="2"/>
  <c r="L265" i="2" s="1"/>
  <c r="F265" i="2"/>
  <c r="H260" i="2"/>
  <c r="K260" i="2" s="1"/>
  <c r="F260" i="2"/>
  <c r="H46" i="2"/>
  <c r="F46" i="2"/>
  <c r="H42" i="2"/>
  <c r="K42" i="2" s="1"/>
  <c r="F42" i="2"/>
  <c r="H30" i="2"/>
  <c r="K30" i="2" s="1"/>
  <c r="F30" i="2"/>
  <c r="H49" i="2"/>
  <c r="L49" i="2" s="1"/>
  <c r="F49" i="2"/>
  <c r="H45" i="2"/>
  <c r="F45" i="2"/>
  <c r="H41" i="2"/>
  <c r="K41" i="2" s="1"/>
  <c r="F41" i="2"/>
  <c r="H33" i="2"/>
  <c r="K33" i="2" s="1"/>
  <c r="F33" i="2"/>
  <c r="H28" i="2"/>
  <c r="L28" i="2" s="1"/>
  <c r="F28" i="2"/>
  <c r="H48" i="2"/>
  <c r="L48" i="2" s="1"/>
  <c r="F48" i="2"/>
  <c r="H44" i="2"/>
  <c r="F44" i="2"/>
  <c r="G40" i="2"/>
  <c r="F40" i="2"/>
  <c r="H32" i="2"/>
  <c r="K32" i="2" s="1"/>
  <c r="F32" i="2"/>
  <c r="H47" i="2"/>
  <c r="F47" i="2"/>
  <c r="H43" i="2"/>
  <c r="L43" i="2" s="1"/>
  <c r="F43" i="2"/>
  <c r="H35" i="2"/>
  <c r="K35" i="2" s="1"/>
  <c r="F35" i="2"/>
  <c r="H31" i="2"/>
  <c r="L31" i="2" s="1"/>
  <c r="F31" i="2"/>
  <c r="L471" i="2"/>
  <c r="L451" i="2"/>
  <c r="L479" i="2"/>
  <c r="L491" i="2"/>
  <c r="F125" i="2"/>
  <c r="K456" i="2"/>
  <c r="K447" i="2"/>
  <c r="K465" i="2"/>
  <c r="L445" i="2"/>
  <c r="G195" i="2"/>
  <c r="K489" i="2"/>
  <c r="L483" i="2"/>
  <c r="L468" i="2"/>
  <c r="G58" i="2"/>
  <c r="K490" i="2"/>
  <c r="L490" i="2"/>
  <c r="K480" i="2"/>
  <c r="L480" i="2"/>
  <c r="K448" i="2"/>
  <c r="L448" i="2"/>
  <c r="G186" i="2"/>
  <c r="L450" i="2"/>
  <c r="K450" i="2"/>
  <c r="K457" i="2"/>
  <c r="L457" i="2"/>
  <c r="K446" i="2"/>
  <c r="L446" i="2"/>
  <c r="K459" i="2"/>
  <c r="L459" i="2"/>
  <c r="K474" i="2"/>
  <c r="L474" i="2"/>
  <c r="K455" i="2"/>
  <c r="L455" i="2"/>
  <c r="F247" i="2"/>
  <c r="G291" i="2"/>
  <c r="K64" i="2"/>
  <c r="F85" i="2"/>
  <c r="F224" i="2"/>
  <c r="F119" i="2"/>
  <c r="G213" i="2"/>
  <c r="F291" i="2"/>
  <c r="G248" i="2"/>
  <c r="F205" i="2"/>
  <c r="F78" i="2"/>
  <c r="F157" i="2"/>
  <c r="F233" i="2"/>
  <c r="F200" i="2"/>
  <c r="G234" i="2"/>
  <c r="G270" i="2"/>
  <c r="G247" i="2"/>
  <c r="F56" i="2"/>
  <c r="L256" i="2"/>
  <c r="H226" i="2"/>
  <c r="K226" i="2" s="1"/>
  <c r="F188" i="2"/>
  <c r="F239" i="2"/>
  <c r="K407" i="2"/>
  <c r="F19" i="2"/>
  <c r="F142" i="2"/>
  <c r="G48" i="2"/>
  <c r="G12" i="2"/>
  <c r="K190" i="2"/>
  <c r="L188" i="2"/>
  <c r="F164" i="2"/>
  <c r="G239" i="2"/>
  <c r="G292" i="2"/>
  <c r="G259" i="2"/>
  <c r="K416" i="2"/>
  <c r="K62" i="2"/>
  <c r="L62" i="2"/>
  <c r="F159" i="2"/>
  <c r="F379" i="2"/>
  <c r="L139" i="2"/>
  <c r="G223" i="2"/>
  <c r="K311" i="2"/>
  <c r="G302" i="2"/>
  <c r="F55" i="2"/>
  <c r="K162" i="2"/>
  <c r="K128" i="2"/>
  <c r="F126" i="2"/>
  <c r="F77" i="2"/>
  <c r="G380" i="2"/>
  <c r="F114" i="2"/>
  <c r="F110" i="2"/>
  <c r="K108" i="2"/>
  <c r="K94" i="2"/>
  <c r="K248" i="2"/>
  <c r="F151" i="2"/>
  <c r="H141" i="2"/>
  <c r="L141" i="2" s="1"/>
  <c r="F211" i="2"/>
  <c r="G112" i="2"/>
  <c r="G92" i="2"/>
  <c r="H254" i="2"/>
  <c r="L254" i="2" s="1"/>
  <c r="G277" i="2"/>
  <c r="G388" i="2"/>
  <c r="K163" i="2"/>
  <c r="K116" i="2"/>
  <c r="F138" i="2"/>
  <c r="F118" i="2"/>
  <c r="K330" i="2"/>
  <c r="L211" i="2"/>
  <c r="F285" i="2"/>
  <c r="F282" i="2"/>
  <c r="F207" i="2"/>
  <c r="G194" i="2"/>
  <c r="F60" i="2"/>
  <c r="H305" i="2"/>
  <c r="L305" i="2" s="1"/>
  <c r="K241" i="2"/>
  <c r="H136" i="2"/>
  <c r="L136" i="2" s="1"/>
  <c r="H87" i="2"/>
  <c r="K87" i="2" s="1"/>
  <c r="F81" i="2"/>
  <c r="F21" i="2"/>
  <c r="F305" i="2"/>
  <c r="F167" i="2"/>
  <c r="F143" i="2"/>
  <c r="F57" i="2"/>
  <c r="F246" i="2"/>
  <c r="G325" i="2"/>
  <c r="K252" i="2"/>
  <c r="F191" i="2"/>
  <c r="G149" i="2"/>
  <c r="F11" i="2"/>
  <c r="G327" i="2"/>
  <c r="G279" i="2"/>
  <c r="K240" i="2"/>
  <c r="K279" i="2"/>
  <c r="L123" i="2"/>
  <c r="K322" i="2"/>
  <c r="L322" i="2"/>
  <c r="K243" i="2"/>
  <c r="L243" i="2"/>
  <c r="K173" i="2"/>
  <c r="L173" i="2"/>
  <c r="K166" i="2"/>
  <c r="L166" i="2"/>
  <c r="L88" i="2"/>
  <c r="K88" i="2"/>
  <c r="L327" i="2"/>
  <c r="K327" i="2"/>
  <c r="K244" i="2"/>
  <c r="L244" i="2"/>
  <c r="K206" i="2"/>
  <c r="L206" i="2"/>
  <c r="K397" i="2"/>
  <c r="F184" i="2"/>
  <c r="F175" i="2"/>
  <c r="G166" i="2"/>
  <c r="G158" i="2"/>
  <c r="G120" i="2"/>
  <c r="F71" i="2"/>
  <c r="F20" i="2"/>
  <c r="G329" i="2"/>
  <c r="H387" i="2"/>
  <c r="L387" i="2" s="1"/>
  <c r="H334" i="2"/>
  <c r="K334" i="2" s="1"/>
  <c r="H304" i="2"/>
  <c r="K304" i="2" s="1"/>
  <c r="H290" i="2"/>
  <c r="K290" i="2" s="1"/>
  <c r="L195" i="2"/>
  <c r="K192" i="2"/>
  <c r="H174" i="2"/>
  <c r="H168" i="2"/>
  <c r="L168" i="2" s="1"/>
  <c r="H165" i="2"/>
  <c r="K134" i="2"/>
  <c r="H89" i="2"/>
  <c r="K89" i="2" s="1"/>
  <c r="K53" i="2"/>
  <c r="H34" i="2"/>
  <c r="G212" i="2"/>
  <c r="G201" i="2"/>
  <c r="L289" i="2"/>
  <c r="L249" i="2"/>
  <c r="L91" i="2"/>
  <c r="L75" i="2"/>
  <c r="F75" i="2"/>
  <c r="G232" i="2"/>
  <c r="G296" i="2"/>
  <c r="F304" i="2"/>
  <c r="F334" i="2"/>
  <c r="G152" i="2"/>
  <c r="G236" i="2"/>
  <c r="K321" i="2"/>
  <c r="K320" i="2"/>
  <c r="K292" i="2"/>
  <c r="L291" i="2"/>
  <c r="K203" i="2"/>
  <c r="K202" i="2"/>
  <c r="K185" i="2"/>
  <c r="K179" i="2"/>
  <c r="K155" i="2"/>
  <c r="K154" i="2"/>
  <c r="K153" i="2"/>
  <c r="K130" i="2"/>
  <c r="K122" i="2"/>
  <c r="K415" i="2"/>
  <c r="L209" i="2"/>
  <c r="K209" i="2"/>
  <c r="K296" i="2"/>
  <c r="L296" i="2"/>
  <c r="L222" i="2"/>
  <c r="K222" i="2"/>
  <c r="K198" i="2"/>
  <c r="L198" i="2"/>
  <c r="K85" i="2"/>
  <c r="L85" i="2"/>
  <c r="L15" i="2"/>
  <c r="K15" i="2"/>
  <c r="K392" i="2"/>
  <c r="K319" i="2"/>
  <c r="L319" i="2"/>
  <c r="L315" i="2"/>
  <c r="K315" i="2"/>
  <c r="K125" i="2"/>
  <c r="L125" i="2"/>
  <c r="L277" i="2"/>
  <c r="K277" i="2"/>
  <c r="K379" i="2"/>
  <c r="L339" i="2"/>
  <c r="K339" i="2"/>
  <c r="K235" i="2"/>
  <c r="L235" i="2"/>
  <c r="L221" i="2"/>
  <c r="K221" i="2"/>
  <c r="L201" i="2"/>
  <c r="K201" i="2"/>
  <c r="K182" i="2"/>
  <c r="L182" i="2"/>
  <c r="L59" i="2"/>
  <c r="K59" i="2"/>
  <c r="G209" i="2"/>
  <c r="G160" i="2"/>
  <c r="G222" i="2"/>
  <c r="K297" i="2"/>
  <c r="L297" i="2"/>
  <c r="K287" i="2"/>
  <c r="K286" i="2"/>
  <c r="K285" i="2"/>
  <c r="L284" i="2"/>
  <c r="H227" i="2"/>
  <c r="K212" i="2"/>
  <c r="L212" i="2"/>
  <c r="L205" i="2"/>
  <c r="H197" i="2"/>
  <c r="K177" i="2"/>
  <c r="L158" i="2"/>
  <c r="K144" i="2"/>
  <c r="L120" i="2"/>
  <c r="K120" i="2"/>
  <c r="H111" i="2"/>
  <c r="K111" i="2" s="1"/>
  <c r="K93" i="2"/>
  <c r="L93" i="2"/>
  <c r="K70" i="2"/>
  <c r="K68" i="2"/>
  <c r="H40" i="2"/>
  <c r="K40" i="2" s="1"/>
  <c r="K21" i="2"/>
  <c r="L21" i="2"/>
  <c r="K150" i="2"/>
  <c r="L150" i="2"/>
  <c r="G318" i="2"/>
  <c r="G253" i="2"/>
  <c r="G315" i="2"/>
  <c r="G319" i="2"/>
  <c r="F335" i="2"/>
  <c r="K376" i="2"/>
  <c r="H335" i="2"/>
  <c r="K323" i="2"/>
  <c r="K316" i="2"/>
  <c r="K314" i="2"/>
  <c r="L306" i="2"/>
  <c r="H278" i="2"/>
  <c r="K278" i="2" s="1"/>
  <c r="K236" i="2"/>
  <c r="L236" i="2"/>
  <c r="K234" i="2"/>
  <c r="L234" i="2"/>
  <c r="K225" i="2"/>
  <c r="L225" i="2"/>
  <c r="L223" i="2"/>
  <c r="K223" i="2"/>
  <c r="K181" i="2"/>
  <c r="L181" i="2"/>
  <c r="L161" i="2"/>
  <c r="K161" i="2"/>
  <c r="K149" i="2"/>
  <c r="L149" i="2"/>
  <c r="L112" i="2"/>
  <c r="K112" i="2"/>
  <c r="K77" i="2"/>
  <c r="L77" i="2"/>
  <c r="L194" i="2"/>
  <c r="K194" i="2"/>
  <c r="F182" i="2"/>
  <c r="F146" i="2"/>
  <c r="G76" i="2"/>
  <c r="G235" i="2"/>
  <c r="F315" i="2"/>
  <c r="F280" i="2"/>
  <c r="F326" i="2"/>
  <c r="H326" i="2"/>
  <c r="K326" i="2" s="1"/>
  <c r="F86" i="2"/>
  <c r="F172" i="2"/>
  <c r="F150" i="2"/>
  <c r="F135" i="2"/>
  <c r="G294" i="2"/>
  <c r="F301" i="2"/>
  <c r="G377" i="2"/>
  <c r="G282" i="2"/>
  <c r="K385" i="2"/>
  <c r="K384" i="2"/>
  <c r="L300" i="2"/>
  <c r="K300" i="2"/>
  <c r="K213" i="2"/>
  <c r="L213" i="2"/>
  <c r="K187" i="2"/>
  <c r="L187" i="2"/>
  <c r="L169" i="2"/>
  <c r="K169" i="2"/>
  <c r="K157" i="2"/>
  <c r="L157" i="2"/>
  <c r="K80" i="2"/>
  <c r="K56" i="2"/>
  <c r="L56" i="2"/>
  <c r="K340" i="2"/>
  <c r="K338" i="2"/>
  <c r="K332" i="2"/>
  <c r="K331" i="2"/>
  <c r="K299" i="2"/>
  <c r="K275" i="2"/>
  <c r="K238" i="2"/>
  <c r="K171" i="2"/>
  <c r="K170" i="2"/>
  <c r="K84" i="2"/>
  <c r="K72" i="2"/>
  <c r="K26" i="2"/>
  <c r="K189" i="2"/>
  <c r="K52" i="2"/>
  <c r="K408" i="2"/>
  <c r="K402" i="2"/>
  <c r="K230" i="2"/>
  <c r="K229" i="2"/>
  <c r="K145" i="2"/>
  <c r="K69" i="2"/>
  <c r="K73" i="2"/>
  <c r="K401" i="2"/>
  <c r="K375" i="2"/>
  <c r="K341" i="2"/>
  <c r="K337" i="2"/>
  <c r="K313" i="2"/>
  <c r="K276" i="2"/>
  <c r="K237" i="2"/>
  <c r="K133" i="2"/>
  <c r="K117" i="2"/>
  <c r="K109" i="2"/>
  <c r="K391" i="2"/>
  <c r="K390" i="2"/>
  <c r="K317" i="2"/>
  <c r="K310" i="2"/>
  <c r="K180" i="2"/>
  <c r="K127" i="2"/>
  <c r="K121" i="2"/>
  <c r="K95" i="2"/>
  <c r="K79" i="2"/>
  <c r="K27" i="2"/>
  <c r="K400" i="2"/>
  <c r="K398" i="2"/>
  <c r="K399" i="2"/>
  <c r="K325" i="2"/>
  <c r="L325" i="2"/>
  <c r="K308" i="2"/>
  <c r="L308" i="2"/>
  <c r="K389" i="2"/>
  <c r="K307" i="2"/>
  <c r="L307" i="2"/>
  <c r="K280" i="2"/>
  <c r="L280" i="2"/>
  <c r="K393" i="2"/>
  <c r="K333" i="2"/>
  <c r="L333" i="2"/>
  <c r="K312" i="2"/>
  <c r="L312" i="2"/>
  <c r="L301" i="2"/>
  <c r="K301" i="2"/>
  <c r="K295" i="2"/>
  <c r="L295" i="2"/>
  <c r="K386" i="2"/>
  <c r="K329" i="2"/>
  <c r="L329" i="2"/>
  <c r="K294" i="2"/>
  <c r="L294" i="2"/>
  <c r="K381" i="2"/>
  <c r="K328" i="2"/>
  <c r="L328" i="2"/>
  <c r="K309" i="2"/>
  <c r="L309" i="2"/>
  <c r="L293" i="2"/>
  <c r="K293" i="2"/>
  <c r="K282" i="2"/>
  <c r="L282" i="2"/>
  <c r="K378" i="2"/>
  <c r="K267" i="2"/>
  <c r="K377" i="2"/>
  <c r="K336" i="2"/>
  <c r="L336" i="2"/>
  <c r="K302" i="2"/>
  <c r="L302" i="2"/>
  <c r="K143" i="2"/>
  <c r="L143" i="2"/>
  <c r="H288" i="2"/>
  <c r="H283" i="2"/>
  <c r="H264" i="2"/>
  <c r="K126" i="2"/>
  <c r="L126" i="2"/>
  <c r="K114" i="2"/>
  <c r="L114" i="2"/>
  <c r="K86" i="2"/>
  <c r="L86" i="2"/>
  <c r="K14" i="2"/>
  <c r="L14" i="2"/>
  <c r="K58" i="2"/>
  <c r="L58" i="2"/>
  <c r="F293" i="2"/>
  <c r="H324" i="2"/>
  <c r="K257" i="2"/>
  <c r="K246" i="2"/>
  <c r="L242" i="2"/>
  <c r="K232" i="2"/>
  <c r="K146" i="2"/>
  <c r="K142" i="2"/>
  <c r="L142" i="2"/>
  <c r="K132" i="2"/>
  <c r="L132" i="2"/>
  <c r="K119" i="2"/>
  <c r="L119" i="2"/>
  <c r="L83" i="2"/>
  <c r="K76" i="2"/>
  <c r="L76" i="2"/>
  <c r="K57" i="2"/>
  <c r="L57" i="2"/>
  <c r="K24" i="2"/>
  <c r="L24" i="2"/>
  <c r="K25" i="2"/>
  <c r="L25" i="2"/>
  <c r="K298" i="2"/>
  <c r="K253" i="2"/>
  <c r="L253" i="2"/>
  <c r="K207" i="2"/>
  <c r="L207" i="2"/>
  <c r="K199" i="2"/>
  <c r="L199" i="2"/>
  <c r="K175" i="2"/>
  <c r="L175" i="2"/>
  <c r="K167" i="2"/>
  <c r="L167" i="2"/>
  <c r="K159" i="2"/>
  <c r="L159" i="2"/>
  <c r="K151" i="2"/>
  <c r="L151" i="2"/>
  <c r="K71" i="2"/>
  <c r="L71" i="2"/>
  <c r="K13" i="2"/>
  <c r="L13" i="2"/>
  <c r="K245" i="2"/>
  <c r="L245" i="2"/>
  <c r="L318" i="2"/>
  <c r="K251" i="2"/>
  <c r="K183" i="2"/>
  <c r="L183" i="2"/>
  <c r="K118" i="2"/>
  <c r="L118" i="2"/>
  <c r="K78" i="2"/>
  <c r="L78" i="2"/>
  <c r="K67" i="2"/>
  <c r="F210" i="2"/>
  <c r="G178" i="2"/>
  <c r="G281" i="2"/>
  <c r="K383" i="2"/>
  <c r="H382" i="2"/>
  <c r="L382" i="2" s="1"/>
  <c r="L250" i="2"/>
  <c r="K231" i="2"/>
  <c r="K208" i="2"/>
  <c r="L204" i="2"/>
  <c r="K200" i="2"/>
  <c r="L196" i="2"/>
  <c r="K176" i="2"/>
  <c r="L172" i="2"/>
  <c r="L164" i="2"/>
  <c r="K160" i="2"/>
  <c r="L156" i="2"/>
  <c r="K152" i="2"/>
  <c r="K138" i="2"/>
  <c r="L138" i="2"/>
  <c r="L115" i="2"/>
  <c r="K110" i="2"/>
  <c r="L110" i="2"/>
  <c r="K90" i="2"/>
  <c r="L90" i="2"/>
  <c r="K12" i="2"/>
  <c r="L12" i="2"/>
  <c r="K191" i="2"/>
  <c r="L191" i="2"/>
  <c r="K55" i="2"/>
  <c r="L55" i="2"/>
  <c r="F281" i="2"/>
  <c r="L281" i="2"/>
  <c r="K258" i="2"/>
  <c r="K255" i="2"/>
  <c r="K247" i="2"/>
  <c r="K239" i="2"/>
  <c r="L224" i="2"/>
  <c r="K210" i="2"/>
  <c r="K193" i="2"/>
  <c r="K184" i="2"/>
  <c r="K178" i="2"/>
  <c r="K148" i="2"/>
  <c r="L148" i="2"/>
  <c r="K131" i="2"/>
  <c r="K82" i="2"/>
  <c r="L82" i="2"/>
  <c r="K61" i="2"/>
  <c r="L61" i="2"/>
  <c r="K140" i="2"/>
  <c r="L140" i="2"/>
  <c r="K92" i="2"/>
  <c r="L92" i="2"/>
  <c r="L233" i="2"/>
  <c r="K186" i="2"/>
  <c r="L147" i="2"/>
  <c r="K135" i="2"/>
  <c r="L135" i="2"/>
  <c r="K124" i="2"/>
  <c r="L124" i="2"/>
  <c r="K74" i="2"/>
  <c r="L74" i="2"/>
  <c r="K20" i="2"/>
  <c r="L20" i="2"/>
  <c r="K11" i="2"/>
  <c r="L11" i="2"/>
  <c r="L137" i="2"/>
  <c r="L129" i="2"/>
  <c r="L113" i="2"/>
  <c r="L81" i="2"/>
  <c r="L60" i="2"/>
  <c r="L19" i="2"/>
  <c r="F284" i="2"/>
  <c r="G280" i="2"/>
  <c r="F279" i="2"/>
  <c r="G283" i="2"/>
  <c r="G278" i="2"/>
  <c r="G309" i="2"/>
  <c r="F324" i="2"/>
  <c r="G316" i="2"/>
  <c r="F318" i="2"/>
  <c r="F292" i="2"/>
  <c r="F325" i="2"/>
  <c r="G267" i="2"/>
  <c r="F333" i="2"/>
  <c r="G333" i="2"/>
  <c r="G299" i="2"/>
  <c r="F276" i="2"/>
  <c r="G276" i="2"/>
  <c r="G260" i="2"/>
  <c r="G256" i="2"/>
  <c r="G262" i="2"/>
  <c r="F299" i="2"/>
  <c r="G308" i="2"/>
  <c r="F248" i="2"/>
  <c r="F308" i="2"/>
  <c r="G332" i="2"/>
  <c r="G273" i="2"/>
  <c r="G272" i="2"/>
  <c r="F309" i="2"/>
  <c r="F316" i="2"/>
  <c r="F331" i="2"/>
  <c r="F332" i="2"/>
  <c r="G245" i="2"/>
  <c r="G274" i="2"/>
  <c r="F339" i="2"/>
  <c r="G393" i="2"/>
  <c r="G266" i="2"/>
  <c r="F244" i="2"/>
  <c r="F253" i="2"/>
  <c r="G271" i="2"/>
  <c r="F288" i="2"/>
  <c r="F290" i="2"/>
  <c r="F392" i="2"/>
  <c r="F300" i="2"/>
  <c r="F307" i="2"/>
  <c r="F378" i="2"/>
  <c r="F386" i="2"/>
  <c r="G268" i="2"/>
  <c r="G300" i="2"/>
  <c r="G307" i="2"/>
  <c r="F323" i="2"/>
  <c r="G331" i="2"/>
  <c r="F377" i="2"/>
  <c r="G378" i="2"/>
  <c r="G386" i="2"/>
  <c r="F245" i="2"/>
  <c r="F250" i="2"/>
  <c r="G323" i="2"/>
  <c r="F393" i="2"/>
  <c r="G254" i="2"/>
  <c r="G263" i="2"/>
  <c r="G275" i="2"/>
  <c r="G285" i="2"/>
  <c r="G293" i="2"/>
  <c r="G301" i="2"/>
  <c r="G310" i="2"/>
  <c r="G326" i="2"/>
  <c r="G379" i="2"/>
  <c r="G387" i="2"/>
  <c r="F289" i="2"/>
  <c r="F297" i="2"/>
  <c r="F306" i="2"/>
  <c r="F322" i="2"/>
  <c r="F330" i="2"/>
  <c r="F338" i="2"/>
  <c r="G339" i="2"/>
  <c r="F383" i="2"/>
  <c r="G392" i="2"/>
  <c r="G269" i="2"/>
  <c r="G289" i="2"/>
  <c r="F296" i="2"/>
  <c r="G297" i="2"/>
  <c r="G306" i="2"/>
  <c r="F313" i="2"/>
  <c r="G322" i="2"/>
  <c r="F329" i="2"/>
  <c r="G330" i="2"/>
  <c r="F337" i="2"/>
  <c r="G338" i="2"/>
  <c r="F382" i="2"/>
  <c r="G383" i="2"/>
  <c r="G246" i="2"/>
  <c r="F287" i="2"/>
  <c r="F295" i="2"/>
  <c r="F312" i="2"/>
  <c r="F328" i="2"/>
  <c r="F336" i="2"/>
  <c r="F381" i="2"/>
  <c r="F389" i="2"/>
  <c r="G265" i="2"/>
  <c r="F277" i="2"/>
  <c r="F286" i="2"/>
  <c r="G287" i="2"/>
  <c r="F294" i="2"/>
  <c r="G295" i="2"/>
  <c r="F302" i="2"/>
  <c r="F311" i="2"/>
  <c r="G312" i="2"/>
  <c r="F319" i="2"/>
  <c r="F327" i="2"/>
  <c r="G328" i="2"/>
  <c r="G336" i="2"/>
  <c r="F380" i="2"/>
  <c r="G381" i="2"/>
  <c r="F388" i="2"/>
  <c r="G389" i="2"/>
  <c r="F208" i="2"/>
  <c r="F256" i="2"/>
  <c r="G208" i="2"/>
  <c r="F243" i="2"/>
  <c r="G244" i="2"/>
  <c r="F249" i="2"/>
  <c r="G250" i="2"/>
  <c r="F242" i="2"/>
  <c r="G243" i="2"/>
  <c r="G249" i="2"/>
  <c r="F255" i="2"/>
  <c r="F192" i="2"/>
  <c r="G242" i="2"/>
  <c r="G255" i="2"/>
  <c r="G192" i="2"/>
  <c r="F193" i="2"/>
  <c r="G193" i="2"/>
  <c r="G184" i="2"/>
  <c r="F93" i="2"/>
  <c r="G93" i="2"/>
  <c r="G25" i="2"/>
  <c r="F25" i="2"/>
  <c r="F231" i="2"/>
  <c r="G221" i="2"/>
  <c r="F221" i="2"/>
  <c r="G197" i="2"/>
  <c r="G231" i="2"/>
  <c r="F232" i="2"/>
  <c r="F234" i="2"/>
  <c r="F235" i="2"/>
  <c r="F236" i="2"/>
  <c r="G233" i="2"/>
  <c r="G225" i="2"/>
  <c r="F225" i="2"/>
  <c r="F227" i="2"/>
  <c r="F226" i="2"/>
  <c r="F222" i="2"/>
  <c r="F223" i="2"/>
  <c r="G224" i="2"/>
  <c r="F124" i="2"/>
  <c r="G71" i="2"/>
  <c r="F201" i="2"/>
  <c r="F195" i="2"/>
  <c r="G78" i="2"/>
  <c r="F186" i="2"/>
  <c r="F209" i="2"/>
  <c r="G119" i="2"/>
  <c r="G172" i="2"/>
  <c r="G45" i="2"/>
  <c r="G177" i="2"/>
  <c r="F87" i="2"/>
  <c r="G187" i="2"/>
  <c r="G151" i="2"/>
  <c r="F168" i="2"/>
  <c r="F212" i="2"/>
  <c r="F158" i="2"/>
  <c r="F213" i="2"/>
  <c r="G210" i="2"/>
  <c r="G191" i="2"/>
  <c r="F178" i="2"/>
  <c r="G176" i="2"/>
  <c r="G169" i="2"/>
  <c r="G167" i="2"/>
  <c r="F152" i="2"/>
  <c r="F83" i="2"/>
  <c r="F76" i="2"/>
  <c r="F183" i="2"/>
  <c r="F176" i="2"/>
  <c r="G159" i="2"/>
  <c r="F149" i="2"/>
  <c r="F92" i="2"/>
  <c r="G55" i="2"/>
  <c r="G164" i="2"/>
  <c r="G141" i="2"/>
  <c r="G129" i="2"/>
  <c r="F112" i="2"/>
  <c r="G30" i="2"/>
  <c r="G183" i="2"/>
  <c r="F174" i="2"/>
  <c r="G161" i="2"/>
  <c r="G143" i="2"/>
  <c r="F136" i="2"/>
  <c r="G124" i="2"/>
  <c r="G83" i="2"/>
  <c r="G59" i="2"/>
  <c r="G57" i="2"/>
  <c r="G32" i="2"/>
  <c r="F14" i="2"/>
  <c r="G196" i="2"/>
  <c r="G153" i="2"/>
  <c r="G132" i="2"/>
  <c r="G54" i="2"/>
  <c r="G49" i="2"/>
  <c r="G47" i="2"/>
  <c r="G28" i="2"/>
  <c r="G205" i="2"/>
  <c r="F196" i="2"/>
  <c r="F166" i="2"/>
  <c r="G156" i="2"/>
  <c r="G140" i="2"/>
  <c r="G135" i="2"/>
  <c r="F132" i="2"/>
  <c r="F120" i="2"/>
  <c r="F54" i="2"/>
  <c r="G42" i="2"/>
  <c r="G24" i="2"/>
  <c r="G188" i="2"/>
  <c r="G200" i="2"/>
  <c r="G175" i="2"/>
  <c r="F156" i="2"/>
  <c r="G148" i="2"/>
  <c r="F140" i="2"/>
  <c r="G137" i="2"/>
  <c r="G125" i="2"/>
  <c r="G111" i="2"/>
  <c r="G91" i="2"/>
  <c r="G86" i="2"/>
  <c r="G75" i="2"/>
  <c r="G44" i="2"/>
  <c r="F24" i="2"/>
  <c r="F160" i="2"/>
  <c r="F148" i="2"/>
  <c r="G113" i="2"/>
  <c r="F91" i="2"/>
  <c r="G88" i="2"/>
  <c r="F58" i="2"/>
  <c r="F12" i="2"/>
  <c r="G41" i="2"/>
  <c r="G35" i="2"/>
  <c r="G14" i="2"/>
  <c r="G19" i="2"/>
  <c r="G11" i="2"/>
  <c r="G13" i="2"/>
  <c r="G31" i="2"/>
  <c r="G204" i="2"/>
  <c r="F15" i="2"/>
  <c r="G15" i="2"/>
  <c r="G211" i="2"/>
  <c r="F204" i="2"/>
  <c r="F198" i="2"/>
  <c r="G198" i="2"/>
  <c r="F173" i="2"/>
  <c r="G173" i="2"/>
  <c r="F123" i="2"/>
  <c r="G123" i="2"/>
  <c r="F74" i="2"/>
  <c r="G74" i="2"/>
  <c r="F90" i="2"/>
  <c r="G90" i="2"/>
  <c r="G207" i="2"/>
  <c r="F181" i="2"/>
  <c r="G181" i="2"/>
  <c r="F194" i="2"/>
  <c r="F147" i="2"/>
  <c r="G147" i="2"/>
  <c r="F139" i="2"/>
  <c r="G139" i="2"/>
  <c r="G43" i="2"/>
  <c r="F185" i="2"/>
  <c r="F82" i="2"/>
  <c r="G82" i="2"/>
  <c r="F61" i="2"/>
  <c r="G61" i="2"/>
  <c r="G199" i="2"/>
  <c r="F187" i="2"/>
  <c r="G185" i="2"/>
  <c r="F206" i="2"/>
  <c r="G206" i="2"/>
  <c r="F199" i="2"/>
  <c r="G182" i="2"/>
  <c r="F115" i="2"/>
  <c r="G115" i="2"/>
  <c r="F177" i="2"/>
  <c r="F169" i="2"/>
  <c r="F161" i="2"/>
  <c r="F153" i="2"/>
  <c r="G146" i="2"/>
  <c r="G138" i="2"/>
  <c r="F137" i="2"/>
  <c r="F129" i="2"/>
  <c r="G114" i="2"/>
  <c r="F113" i="2"/>
  <c r="G89" i="2"/>
  <c r="F88" i="2"/>
  <c r="G81" i="2"/>
  <c r="G60" i="2"/>
  <c r="F59" i="2"/>
  <c r="F13" i="2"/>
  <c r="G165" i="2"/>
  <c r="G157" i="2"/>
  <c r="G33" i="2"/>
  <c r="G20" i="2"/>
  <c r="G150" i="2"/>
  <c r="G142" i="2"/>
  <c r="G126" i="2"/>
  <c r="G118" i="2"/>
  <c r="G110" i="2"/>
  <c r="G85" i="2"/>
  <c r="G77" i="2"/>
  <c r="G56" i="2"/>
  <c r="G46" i="2"/>
  <c r="G34" i="2"/>
  <c r="G21" i="2"/>
  <c r="F10" i="2"/>
  <c r="H10" i="2"/>
  <c r="K47" i="2" l="1"/>
  <c r="L47" i="2"/>
  <c r="K45" i="2"/>
  <c r="L45" i="2"/>
  <c r="K46" i="2"/>
  <c r="L46" i="2"/>
  <c r="K44" i="2"/>
  <c r="L44" i="2"/>
  <c r="L272" i="2"/>
  <c r="L42" i="2"/>
  <c r="L269" i="2"/>
  <c r="K43" i="2"/>
  <c r="K262" i="2"/>
  <c r="K270" i="2"/>
  <c r="L30" i="2"/>
  <c r="L33" i="2"/>
  <c r="L35" i="2"/>
  <c r="L274" i="2"/>
  <c r="L260" i="2"/>
  <c r="L271" i="2"/>
  <c r="L41" i="2"/>
  <c r="L259" i="2"/>
  <c r="L268" i="2"/>
  <c r="K265" i="2"/>
  <c r="K48" i="2"/>
  <c r="K273" i="2"/>
  <c r="L263" i="2"/>
  <c r="L266" i="2"/>
  <c r="K31" i="2"/>
  <c r="L32" i="2"/>
  <c r="K28" i="2"/>
  <c r="K49" i="2"/>
  <c r="L334" i="2"/>
  <c r="L278" i="2"/>
  <c r="L326" i="2"/>
  <c r="K254" i="2"/>
  <c r="L87" i="2"/>
  <c r="K168" i="2"/>
  <c r="L226" i="2"/>
  <c r="L89" i="2"/>
  <c r="L290" i="2"/>
  <c r="K136" i="2"/>
  <c r="K305" i="2"/>
  <c r="K141" i="2"/>
  <c r="L304" i="2"/>
  <c r="L111" i="2"/>
  <c r="K174" i="2"/>
  <c r="L174" i="2"/>
  <c r="K387" i="2"/>
  <c r="K34" i="2"/>
  <c r="L34" i="2"/>
  <c r="K165" i="2"/>
  <c r="L165" i="2"/>
  <c r="K197" i="2"/>
  <c r="L197" i="2"/>
  <c r="K227" i="2"/>
  <c r="L227" i="2"/>
  <c r="L40" i="2"/>
  <c r="K335" i="2"/>
  <c r="L335" i="2"/>
  <c r="L264" i="2"/>
  <c r="K264" i="2"/>
  <c r="K283" i="2"/>
  <c r="L283" i="2"/>
  <c r="K288" i="2"/>
  <c r="L288" i="2"/>
  <c r="K382" i="2"/>
  <c r="K324" i="2"/>
  <c r="L324" i="2"/>
  <c r="K10" i="2"/>
  <c r="L10" i="2"/>
  <c r="H9" i="2" l="1"/>
  <c r="I9" i="2"/>
  <c r="J9" i="2"/>
  <c r="L9" i="2"/>
  <c r="L6" i="2" s="1"/>
  <c r="L4" i="2" l="1"/>
  <c r="K9" i="2"/>
  <c r="L5" i="2" s="1"/>
  <c r="F9" i="2" l="1"/>
  <c r="B6" i="2" l="1"/>
  <c r="B5" i="2"/>
  <c r="B4" i="2"/>
  <c r="H41" i="5"/>
  <c r="G41" i="5"/>
  <c r="F41" i="5"/>
  <c r="D41" i="5"/>
  <c r="E41" i="5" s="1"/>
  <c r="B41" i="5"/>
  <c r="H40" i="5"/>
  <c r="G40" i="5"/>
  <c r="F40" i="5"/>
  <c r="D40" i="5"/>
  <c r="E40" i="5" s="1"/>
  <c r="B40" i="5"/>
  <c r="H39" i="5"/>
  <c r="G39" i="5"/>
  <c r="F39" i="5"/>
  <c r="D39" i="5"/>
  <c r="E39" i="5" s="1"/>
  <c r="B39" i="5"/>
  <c r="H38" i="5"/>
  <c r="G38" i="5"/>
  <c r="F38" i="5"/>
  <c r="D38" i="5"/>
  <c r="E38" i="5" s="1"/>
  <c r="B38" i="5"/>
  <c r="J32" i="3"/>
  <c r="K32" i="3" s="1"/>
  <c r="I38" i="5" s="1"/>
  <c r="J33" i="3"/>
  <c r="K33" i="3" s="1"/>
  <c r="I39" i="5" s="1"/>
  <c r="J34" i="3"/>
  <c r="K34" i="3" s="1"/>
  <c r="I40" i="5" s="1"/>
  <c r="J35" i="3"/>
  <c r="K35" i="3" s="1"/>
  <c r="I41" i="5" s="1"/>
  <c r="H29" i="5"/>
  <c r="G29" i="5"/>
  <c r="F29" i="5"/>
  <c r="D29" i="5"/>
  <c r="E29" i="5" s="1"/>
  <c r="B29" i="5"/>
  <c r="J23" i="3"/>
  <c r="K23" i="3" s="1"/>
  <c r="I29" i="5" s="1"/>
  <c r="H20" i="5"/>
  <c r="G20" i="5"/>
  <c r="F20" i="5"/>
  <c r="D20" i="5"/>
  <c r="E20" i="5" s="1"/>
  <c r="B20" i="5"/>
  <c r="J14" i="3"/>
  <c r="K14" i="3" s="1"/>
  <c r="I20" i="5" s="1"/>
  <c r="H21" i="5"/>
  <c r="G21" i="5"/>
  <c r="F21" i="5"/>
  <c r="D21" i="5"/>
  <c r="E21" i="5" s="1"/>
  <c r="B21" i="5"/>
  <c r="H17" i="5"/>
  <c r="G17" i="5"/>
  <c r="F17" i="5"/>
  <c r="D17" i="5"/>
  <c r="E17" i="5" s="1"/>
  <c r="B17" i="5"/>
  <c r="J7" i="3"/>
  <c r="K7" i="3" s="1"/>
  <c r="I13" i="5" s="1"/>
  <c r="J8" i="3"/>
  <c r="K8" i="3" s="1"/>
  <c r="I14" i="5" s="1"/>
  <c r="J9" i="3"/>
  <c r="K9" i="3" s="1"/>
  <c r="I15" i="5" s="1"/>
  <c r="J10" i="3"/>
  <c r="K10" i="3" s="1"/>
  <c r="I16" i="5" s="1"/>
  <c r="J11" i="3"/>
  <c r="K11" i="3" s="1"/>
  <c r="I17" i="5" s="1"/>
  <c r="J12" i="3"/>
  <c r="K12" i="3" s="1"/>
  <c r="I18" i="5" s="1"/>
  <c r="J13" i="3"/>
  <c r="K13" i="3" s="1"/>
  <c r="I19" i="5" s="1"/>
  <c r="J15" i="3"/>
  <c r="K15" i="3" s="1"/>
  <c r="I21" i="5" s="1"/>
  <c r="J16" i="3"/>
  <c r="K16" i="3" s="1"/>
  <c r="I22" i="5" s="1"/>
  <c r="J17" i="3"/>
  <c r="K17" i="3" s="1"/>
  <c r="I23" i="5" s="1"/>
  <c r="J18" i="3"/>
  <c r="K18" i="3" s="1"/>
  <c r="I24" i="5" s="1"/>
  <c r="J19" i="3"/>
  <c r="K19" i="3" s="1"/>
  <c r="I25" i="5" s="1"/>
  <c r="J20" i="3"/>
  <c r="K20" i="3" s="1"/>
  <c r="I26" i="5" s="1"/>
  <c r="J21" i="3"/>
  <c r="K21" i="3" s="1"/>
  <c r="I27" i="5" s="1"/>
  <c r="J22" i="3"/>
  <c r="K22" i="3"/>
  <c r="I28" i="5" s="1"/>
  <c r="J24" i="3"/>
  <c r="K24" i="3" s="1"/>
  <c r="I30" i="5" s="1"/>
  <c r="J25" i="3"/>
  <c r="K25" i="3" s="1"/>
  <c r="I31" i="5" s="1"/>
  <c r="J26" i="3"/>
  <c r="K26" i="3" s="1"/>
  <c r="I32" i="5" s="1"/>
  <c r="J27" i="3"/>
  <c r="K27" i="3" s="1"/>
  <c r="I33" i="5" s="1"/>
  <c r="J28" i="3"/>
  <c r="K28" i="3" s="1"/>
  <c r="I34" i="5" s="1"/>
  <c r="J29" i="3"/>
  <c r="K29" i="3" s="1"/>
  <c r="I35" i="5" s="1"/>
  <c r="J31" i="3"/>
  <c r="K31" i="3" s="1"/>
  <c r="I37" i="5" s="1"/>
  <c r="J36" i="3"/>
  <c r="K36" i="3" s="1"/>
  <c r="I42" i="5" s="1"/>
  <c r="J37" i="3"/>
  <c r="K37" i="3"/>
  <c r="I43" i="5" s="1"/>
  <c r="J38" i="3"/>
  <c r="K38" i="3"/>
  <c r="I44" i="5" s="1"/>
  <c r="J42" i="3"/>
  <c r="E47" i="5" s="1"/>
  <c r="L42" i="3"/>
  <c r="J43" i="3"/>
  <c r="E48" i="5" s="1"/>
  <c r="K43" i="3"/>
  <c r="L43" i="3"/>
  <c r="J44" i="3"/>
  <c r="E49" i="5" s="1"/>
  <c r="L44" i="3"/>
  <c r="J45" i="3"/>
  <c r="E50" i="5" s="1"/>
  <c r="K45" i="3"/>
  <c r="L45" i="3"/>
  <c r="J46" i="3"/>
  <c r="E51" i="5" s="1"/>
  <c r="K46" i="3"/>
  <c r="L46" i="3"/>
  <c r="J47" i="3"/>
  <c r="E52" i="5" s="1"/>
  <c r="K47" i="3"/>
  <c r="L47" i="3"/>
  <c r="J48" i="3"/>
  <c r="E53" i="5" s="1"/>
  <c r="K48" i="3"/>
  <c r="L48" i="3"/>
  <c r="J49" i="3"/>
  <c r="E54" i="5" s="1"/>
  <c r="K49" i="3"/>
  <c r="L49" i="3"/>
  <c r="J50" i="3"/>
  <c r="E55" i="5" s="1"/>
  <c r="K50" i="3"/>
  <c r="L50" i="3"/>
  <c r="J51" i="3"/>
  <c r="E56" i="5" s="1"/>
  <c r="K51" i="3"/>
  <c r="L51" i="3"/>
  <c r="J52" i="3"/>
  <c r="E57" i="5" s="1"/>
  <c r="K52" i="3"/>
  <c r="L52" i="3"/>
  <c r="J53" i="3"/>
  <c r="E58" i="5" s="1"/>
  <c r="K53" i="3"/>
  <c r="L53" i="3"/>
  <c r="J54" i="3"/>
  <c r="E59" i="5" s="1"/>
  <c r="K54" i="3"/>
  <c r="L54" i="3"/>
  <c r="J55" i="3"/>
  <c r="E60" i="5" s="1"/>
  <c r="K55" i="3"/>
  <c r="L55" i="3"/>
  <c r="J56" i="3"/>
  <c r="E61" i="5" s="1"/>
  <c r="K56" i="3"/>
  <c r="L56" i="3"/>
  <c r="J57" i="3"/>
  <c r="E62" i="5" s="1"/>
  <c r="K57" i="3"/>
  <c r="L57" i="3"/>
  <c r="J58" i="3"/>
  <c r="E63" i="5" s="1"/>
  <c r="K58" i="3"/>
  <c r="L58" i="3"/>
  <c r="J59" i="3"/>
  <c r="E64" i="5" s="1"/>
  <c r="K59" i="3"/>
  <c r="L59" i="3"/>
  <c r="J60" i="3"/>
  <c r="E65" i="5" s="1"/>
  <c r="K60" i="3"/>
  <c r="L60" i="3"/>
  <c r="J61" i="3"/>
  <c r="E66" i="5" s="1"/>
  <c r="K61" i="3"/>
  <c r="L61" i="3"/>
  <c r="J62" i="3"/>
  <c r="E67" i="5" s="1"/>
  <c r="K62" i="3"/>
  <c r="L62" i="3"/>
  <c r="J63" i="3"/>
  <c r="E68" i="5" s="1"/>
  <c r="K63" i="3"/>
  <c r="L63" i="3"/>
  <c r="J64" i="3"/>
  <c r="E69" i="5" s="1"/>
  <c r="K64" i="3"/>
  <c r="L64" i="3"/>
  <c r="A4" i="2"/>
  <c r="A5" i="2"/>
  <c r="A6" i="2"/>
  <c r="A4" i="4"/>
  <c r="F4" i="4"/>
  <c r="A5" i="4"/>
  <c r="F5" i="4"/>
  <c r="A6" i="4"/>
  <c r="F6" i="4"/>
  <c r="J10" i="4"/>
  <c r="J11" i="4"/>
  <c r="J12" i="4"/>
  <c r="J17" i="4"/>
  <c r="J18" i="4"/>
  <c r="J19" i="4"/>
  <c r="J24" i="4"/>
  <c r="J25" i="4"/>
  <c r="J26" i="4"/>
  <c r="J31" i="4"/>
  <c r="J32" i="4"/>
  <c r="J33" i="4"/>
  <c r="J38" i="4"/>
  <c r="J39" i="4"/>
  <c r="J40" i="4"/>
  <c r="A4" i="5"/>
  <c r="F4" i="5"/>
  <c r="A5" i="5"/>
  <c r="F5" i="5"/>
  <c r="A6" i="5"/>
  <c r="F6" i="5"/>
  <c r="B10" i="5"/>
  <c r="D10" i="5"/>
  <c r="E10" i="5" s="1"/>
  <c r="G10" i="5"/>
  <c r="H10" i="5"/>
  <c r="B11" i="5"/>
  <c r="D11" i="5"/>
  <c r="E11" i="5" s="1"/>
  <c r="G11" i="5"/>
  <c r="H11" i="5"/>
  <c r="B12" i="5"/>
  <c r="D12" i="5"/>
  <c r="E12" i="5" s="1"/>
  <c r="G12" i="5"/>
  <c r="H12" i="5"/>
  <c r="B13" i="5"/>
  <c r="D13" i="5"/>
  <c r="E13" i="5" s="1"/>
  <c r="F13" i="5"/>
  <c r="G13" i="5"/>
  <c r="H13" i="5"/>
  <c r="B14" i="5"/>
  <c r="D14" i="5"/>
  <c r="E14" i="5" s="1"/>
  <c r="F14" i="5"/>
  <c r="G14" i="5"/>
  <c r="H14" i="5"/>
  <c r="B15" i="5"/>
  <c r="D15" i="5"/>
  <c r="E15" i="5" s="1"/>
  <c r="F15" i="5"/>
  <c r="G15" i="5"/>
  <c r="H15" i="5"/>
  <c r="B16" i="5"/>
  <c r="D16" i="5"/>
  <c r="E16" i="5" s="1"/>
  <c r="F16" i="5"/>
  <c r="G16" i="5"/>
  <c r="H16" i="5"/>
  <c r="B18" i="5"/>
  <c r="D18" i="5"/>
  <c r="E18" i="5" s="1"/>
  <c r="F18" i="5"/>
  <c r="G18" i="5"/>
  <c r="H18" i="5"/>
  <c r="B19" i="5"/>
  <c r="D19" i="5"/>
  <c r="E19" i="5" s="1"/>
  <c r="F19" i="5"/>
  <c r="G19" i="5"/>
  <c r="H19" i="5"/>
  <c r="B22" i="5"/>
  <c r="D22" i="5"/>
  <c r="E22" i="5" s="1"/>
  <c r="F22" i="5"/>
  <c r="G22" i="5"/>
  <c r="H22" i="5"/>
  <c r="B23" i="5"/>
  <c r="D23" i="5"/>
  <c r="E23" i="5" s="1"/>
  <c r="F23" i="5"/>
  <c r="G23" i="5"/>
  <c r="H23" i="5"/>
  <c r="B24" i="5"/>
  <c r="D24" i="5"/>
  <c r="E24" i="5" s="1"/>
  <c r="F24" i="5"/>
  <c r="G24" i="5"/>
  <c r="H24" i="5"/>
  <c r="B25" i="5"/>
  <c r="D25" i="5"/>
  <c r="E25" i="5" s="1"/>
  <c r="F25" i="5"/>
  <c r="G25" i="5"/>
  <c r="H25" i="5"/>
  <c r="B26" i="5"/>
  <c r="D26" i="5"/>
  <c r="E26" i="5" s="1"/>
  <c r="F26" i="5"/>
  <c r="G26" i="5"/>
  <c r="H26" i="5"/>
  <c r="B27" i="5"/>
  <c r="D27" i="5"/>
  <c r="E27" i="5" s="1"/>
  <c r="F27" i="5"/>
  <c r="G27" i="5"/>
  <c r="H27" i="5"/>
  <c r="B28" i="5"/>
  <c r="D28" i="5"/>
  <c r="E28" i="5" s="1"/>
  <c r="F28" i="5"/>
  <c r="G28" i="5"/>
  <c r="H28" i="5"/>
  <c r="B30" i="5"/>
  <c r="D30" i="5"/>
  <c r="E30" i="5" s="1"/>
  <c r="F30" i="5"/>
  <c r="G30" i="5"/>
  <c r="H30" i="5"/>
  <c r="B31" i="5"/>
  <c r="D31" i="5"/>
  <c r="E31" i="5" s="1"/>
  <c r="F31" i="5"/>
  <c r="G31" i="5"/>
  <c r="H31" i="5"/>
  <c r="B32" i="5"/>
  <c r="D32" i="5"/>
  <c r="E32" i="5" s="1"/>
  <c r="F32" i="5"/>
  <c r="G32" i="5"/>
  <c r="H32" i="5"/>
  <c r="B33" i="5"/>
  <c r="D33" i="5"/>
  <c r="E33" i="5" s="1"/>
  <c r="F33" i="5"/>
  <c r="G33" i="5"/>
  <c r="H33" i="5"/>
  <c r="B34" i="5"/>
  <c r="D34" i="5"/>
  <c r="E34" i="5" s="1"/>
  <c r="F34" i="5"/>
  <c r="G34" i="5"/>
  <c r="H34" i="5"/>
  <c r="B35" i="5"/>
  <c r="D35" i="5"/>
  <c r="E35" i="5" s="1"/>
  <c r="F35" i="5"/>
  <c r="G35" i="5"/>
  <c r="H35" i="5"/>
  <c r="B36" i="5"/>
  <c r="D36" i="5"/>
  <c r="E36" i="5" s="1"/>
  <c r="G36" i="5"/>
  <c r="H36" i="5"/>
  <c r="B37" i="5"/>
  <c r="D37" i="5"/>
  <c r="E37" i="5" s="1"/>
  <c r="F37" i="5"/>
  <c r="G37" i="5"/>
  <c r="H37" i="5"/>
  <c r="B42" i="5"/>
  <c r="D42" i="5"/>
  <c r="E42" i="5" s="1"/>
  <c r="F42" i="5"/>
  <c r="G42" i="5"/>
  <c r="H42" i="5"/>
  <c r="B43" i="5"/>
  <c r="D43" i="5"/>
  <c r="E43" i="5" s="1"/>
  <c r="F43" i="5"/>
  <c r="G43" i="5"/>
  <c r="H43" i="5"/>
  <c r="B44" i="5"/>
  <c r="D44" i="5"/>
  <c r="E44" i="5" s="1"/>
  <c r="F44" i="5"/>
  <c r="G44" i="5"/>
  <c r="H44" i="5"/>
  <c r="B47" i="5"/>
  <c r="D47" i="5"/>
  <c r="H47" i="5"/>
  <c r="B48" i="5"/>
  <c r="D48" i="5"/>
  <c r="H48" i="5"/>
  <c r="B49" i="5"/>
  <c r="D49" i="5"/>
  <c r="H49" i="5"/>
  <c r="B50" i="5"/>
  <c r="D50" i="5"/>
  <c r="H50" i="5"/>
  <c r="I50" i="5" s="1"/>
  <c r="J50" i="5" s="1"/>
  <c r="B51" i="5"/>
  <c r="D51" i="5"/>
  <c r="H51" i="5"/>
  <c r="I51" i="5" s="1"/>
  <c r="J51" i="5" s="1"/>
  <c r="B52" i="5"/>
  <c r="D52" i="5"/>
  <c r="H52" i="5"/>
  <c r="I52" i="5" s="1"/>
  <c r="J52" i="5" s="1"/>
  <c r="B53" i="5"/>
  <c r="D53" i="5"/>
  <c r="H53" i="5"/>
  <c r="I53" i="5" s="1"/>
  <c r="J53" i="5" s="1"/>
  <c r="B54" i="5"/>
  <c r="D54" i="5"/>
  <c r="H54" i="5"/>
  <c r="I54" i="5" s="1"/>
  <c r="J54" i="5" s="1"/>
  <c r="B55" i="5"/>
  <c r="D55" i="5"/>
  <c r="H55" i="5"/>
  <c r="I55" i="5" s="1"/>
  <c r="J55" i="5" s="1"/>
  <c r="B56" i="5"/>
  <c r="D56" i="5"/>
  <c r="H56" i="5"/>
  <c r="I56" i="5" s="1"/>
  <c r="J56" i="5" s="1"/>
  <c r="B57" i="5"/>
  <c r="D57" i="5"/>
  <c r="H57" i="5"/>
  <c r="I57" i="5" s="1"/>
  <c r="J57" i="5" s="1"/>
  <c r="B58" i="5"/>
  <c r="D58" i="5"/>
  <c r="H58" i="5"/>
  <c r="I58" i="5" s="1"/>
  <c r="J58" i="5" s="1"/>
  <c r="B59" i="5"/>
  <c r="D59" i="5"/>
  <c r="H59" i="5"/>
  <c r="I59" i="5" s="1"/>
  <c r="J59" i="5" s="1"/>
  <c r="B60" i="5"/>
  <c r="D60" i="5"/>
  <c r="H60" i="5"/>
  <c r="I60" i="5" s="1"/>
  <c r="J60" i="5" s="1"/>
  <c r="B61" i="5"/>
  <c r="D61" i="5"/>
  <c r="H61" i="5"/>
  <c r="I61" i="5" s="1"/>
  <c r="J61" i="5" s="1"/>
  <c r="B62" i="5"/>
  <c r="D62" i="5"/>
  <c r="H62" i="5"/>
  <c r="I62" i="5" s="1"/>
  <c r="J62" i="5" s="1"/>
  <c r="B63" i="5"/>
  <c r="D63" i="5"/>
  <c r="H63" i="5"/>
  <c r="I63" i="5" s="1"/>
  <c r="J63" i="5" s="1"/>
  <c r="B64" i="5"/>
  <c r="D64" i="5"/>
  <c r="H64" i="5"/>
  <c r="I64" i="5" s="1"/>
  <c r="J64" i="5" s="1"/>
  <c r="B65" i="5"/>
  <c r="D65" i="5"/>
  <c r="H65" i="5"/>
  <c r="I65" i="5" s="1"/>
  <c r="J65" i="5" s="1"/>
  <c r="B66" i="5"/>
  <c r="D66" i="5"/>
  <c r="H66" i="5"/>
  <c r="I66" i="5" s="1"/>
  <c r="J66" i="5" s="1"/>
  <c r="B67" i="5"/>
  <c r="D67" i="5"/>
  <c r="H67" i="5"/>
  <c r="I67" i="5" s="1"/>
  <c r="J67" i="5" s="1"/>
  <c r="B68" i="5"/>
  <c r="D68" i="5"/>
  <c r="H68" i="5"/>
  <c r="I68" i="5" s="1"/>
  <c r="J68" i="5" s="1"/>
  <c r="B69" i="5"/>
  <c r="D69" i="5"/>
  <c r="H69" i="5"/>
  <c r="I69" i="5" s="1"/>
  <c r="J69" i="5" s="1"/>
  <c r="F11" i="5"/>
  <c r="J5" i="3"/>
  <c r="K5" i="3" s="1"/>
  <c r="I49" i="5" l="1"/>
  <c r="I48" i="5"/>
  <c r="I47" i="5"/>
  <c r="K33" i="4"/>
  <c r="I11" i="5"/>
  <c r="K18" i="4"/>
  <c r="K11" i="4"/>
  <c r="K19" i="4"/>
  <c r="K39" i="4"/>
  <c r="K40" i="4"/>
  <c r="K25" i="4"/>
  <c r="K32" i="4"/>
  <c r="K26" i="4"/>
  <c r="K42" i="3" l="1"/>
  <c r="K38" i="4"/>
  <c r="K42" i="4" s="1"/>
  <c r="C19" i="4"/>
  <c r="G19" i="4" s="1"/>
  <c r="C25" i="4"/>
  <c r="G25" i="4" s="1"/>
  <c r="C11" i="4"/>
  <c r="G11" i="4" s="1"/>
  <c r="C40" i="4"/>
  <c r="G40" i="4" s="1"/>
  <c r="C32" i="4"/>
  <c r="G32" i="4" s="1"/>
  <c r="J4" i="3"/>
  <c r="K4" i="3" s="1"/>
  <c r="C26" i="4"/>
  <c r="G26" i="4" s="1"/>
  <c r="C38" i="4"/>
  <c r="G38" i="4" s="1"/>
  <c r="C10" i="4"/>
  <c r="G10" i="4" s="1"/>
  <c r="J30" i="3"/>
  <c r="K30" i="3" s="1"/>
  <c r="I36" i="5" s="1"/>
  <c r="F36" i="5"/>
  <c r="C24" i="4"/>
  <c r="G24" i="4" s="1"/>
  <c r="C18" i="4"/>
  <c r="G18" i="4" s="1"/>
  <c r="C17" i="4"/>
  <c r="C12" i="4"/>
  <c r="G12" i="4" s="1"/>
  <c r="C33" i="4"/>
  <c r="G33" i="4" s="1"/>
  <c r="Q4" i="1"/>
  <c r="L14" i="5" s="1"/>
  <c r="F10" i="5"/>
  <c r="J6" i="3"/>
  <c r="K6" i="3" s="1"/>
  <c r="F12" i="5"/>
  <c r="K12" i="4"/>
  <c r="C31" i="4"/>
  <c r="C39" i="4"/>
  <c r="G39" i="4" s="1"/>
  <c r="I10" i="5" l="1"/>
  <c r="Q6" i="1"/>
  <c r="L11" i="5" s="1"/>
  <c r="K44" i="3"/>
  <c r="K24" i="4"/>
  <c r="K28" i="4" s="1"/>
  <c r="K17" i="4"/>
  <c r="K21" i="4" s="1"/>
  <c r="K31" i="4"/>
  <c r="K35" i="4" s="1"/>
  <c r="K10" i="4"/>
  <c r="K14" i="4" s="1"/>
  <c r="G28" i="4"/>
  <c r="I12" i="5"/>
  <c r="C21" i="4"/>
  <c r="C14" i="4"/>
  <c r="G17" i="4"/>
  <c r="G21" i="4" s="1"/>
  <c r="C28" i="4"/>
  <c r="G14" i="4"/>
  <c r="G46" i="4"/>
  <c r="G47" i="4"/>
  <c r="G31" i="4"/>
  <c r="G35" i="4" s="1"/>
  <c r="C35" i="4"/>
  <c r="G42" i="4"/>
  <c r="C42" i="4"/>
  <c r="Q5" i="1" l="1"/>
  <c r="J44" i="5"/>
  <c r="J35" i="5"/>
  <c r="J34" i="5"/>
  <c r="J39" i="5"/>
  <c r="J28" i="5"/>
  <c r="J30" i="5"/>
  <c r="J19" i="5"/>
  <c r="L14" i="4"/>
  <c r="J37" i="5"/>
  <c r="J32" i="5"/>
  <c r="J33" i="5"/>
  <c r="J36" i="5"/>
  <c r="J31" i="5"/>
  <c r="J12" i="5"/>
  <c r="J49" i="5"/>
  <c r="J24" i="5"/>
  <c r="J15" i="5"/>
  <c r="L42" i="4"/>
  <c r="J14" i="5"/>
  <c r="J18" i="5"/>
  <c r="J29" i="5"/>
  <c r="J27" i="5"/>
  <c r="J42" i="5"/>
  <c r="J47" i="5"/>
  <c r="J41" i="5"/>
  <c r="J13" i="5"/>
  <c r="J48" i="5"/>
  <c r="J22" i="5"/>
  <c r="L35" i="4"/>
  <c r="J26" i="5"/>
  <c r="J40" i="5"/>
  <c r="J23" i="5"/>
  <c r="J17" i="5"/>
  <c r="L28" i="4"/>
  <c r="L21" i="4"/>
  <c r="J11" i="5"/>
  <c r="J43" i="5"/>
  <c r="J20" i="5"/>
  <c r="J25" i="5"/>
  <c r="J10" i="5"/>
  <c r="J38" i="5"/>
  <c r="J16" i="5"/>
  <c r="J21" i="5"/>
  <c r="G45" i="4"/>
  <c r="H14" i="4" s="1"/>
  <c r="H28" i="4" l="1"/>
  <c r="H35" i="4"/>
  <c r="H21" i="4"/>
  <c r="H4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4" authorId="0" shapeId="0" xr:uid="{00000000-0006-0000-0000-000001000000}">
      <text>
        <r>
          <rPr>
            <b/>
            <sz val="8.5"/>
            <color indexed="63"/>
            <rFont val="Times New Roman"/>
            <family val="1"/>
          </rPr>
          <t xml:space="preserve">Ponto de Função IFPUG: </t>
        </r>
        <r>
          <rPr>
            <sz val="8.5"/>
            <color indexed="63"/>
            <rFont val="Times New Roman"/>
            <family val="1"/>
          </rPr>
          <t>medição baseada nas regras do IFPUG. Não considerada os deflatores nem os itens não mensuráveis. Caso a funcionalidade não tenha sido detalhada, será considerada a estimativa da NESMA.</t>
        </r>
      </text>
    </comment>
    <comment ref="Q5" authorId="0" shapeId="0" xr:uid="{00000000-0006-0000-0000-000002000000}">
      <text>
        <r>
          <rPr>
            <b/>
            <sz val="8.5"/>
            <color indexed="63"/>
            <rFont val="Times New Roman"/>
            <family val="1"/>
          </rPr>
          <t xml:space="preserve">Ponto de Função Local do EM: </t>
        </r>
        <r>
          <rPr>
            <sz val="8.5"/>
            <color indexed="63"/>
            <rFont val="Times New Roman"/>
            <family val="1"/>
          </rPr>
          <t>medição para remuneração do Escritório de Métricas.Equivalente à medição IFPUG. Porém, considera os itens não mensuráveis previstos em contrato.</t>
        </r>
      </text>
    </comment>
    <comment ref="Q6" authorId="0" shapeId="0" xr:uid="{00000000-0006-0000-0000-000003000000}">
      <text>
        <r>
          <rPr>
            <b/>
            <sz val="8.5"/>
            <rFont val="Times New Roman"/>
            <family val="1"/>
          </rPr>
          <t xml:space="preserve">Ponto de Função Local da FS: </t>
        </r>
        <r>
          <rPr>
            <sz val="8.5"/>
            <color indexed="81"/>
            <rFont val="Times New Roman"/>
            <family val="1"/>
          </rPr>
          <t>medição para remuneração da Fábrica de Software. Equivalente à medição IFPUG. Porém, considera os deflatores e os itens não mensuráveis previstos em contrato.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crp</author>
    <author>Luana Alves de Araújo Passos Aguiar</author>
    <author>cleriston alvarenga</author>
    <author>Ana Karyna da Silva Teixeira</author>
    <author>Dellano Henrique</author>
  </authors>
  <commentList>
    <comment ref="K4" authorId="0" shapeId="0" xr:uid="{00000000-0006-0000-0100-000001000000}">
      <text>
        <r>
          <rPr>
            <b/>
            <sz val="8"/>
            <color indexed="8"/>
            <rFont val="Tahoma"/>
            <family val="2"/>
          </rPr>
          <t xml:space="preserve">Ponto de Função IFPUG:
</t>
        </r>
        <r>
          <rPr>
            <sz val="8"/>
            <color indexed="8"/>
            <rFont val="Tahoma"/>
            <family val="2"/>
          </rPr>
          <t xml:space="preserve">Medição baseada nas regras do IFPUG. Não considerada os deflatores nem os itens não mensuráveis. Caso a funcionalidade não tenha sido detalhada, será considerada a estimativa da NESMA.
</t>
        </r>
      </text>
    </comment>
    <comment ref="K5" authorId="0" shapeId="0" xr:uid="{00000000-0006-0000-0100-000002000000}">
      <text>
        <r>
          <rPr>
            <b/>
            <sz val="8"/>
            <color indexed="8"/>
            <rFont val="Tahoma"/>
            <family val="2"/>
          </rPr>
          <t xml:space="preserve">Ponto de Função Local do EM:
</t>
        </r>
        <r>
          <rPr>
            <sz val="8"/>
            <color indexed="8"/>
            <rFont val="Tahoma"/>
            <family val="2"/>
          </rPr>
          <t>Medição para remuneração do Escritório de Métricas. Equivalente à medição IFPUG. Porém, considera os itens não mensuráveis previstos em contrato.</t>
        </r>
      </text>
    </comment>
    <comment ref="K6" authorId="0" shapeId="0" xr:uid="{00000000-0006-0000-0100-000003000000}">
      <text>
        <r>
          <rPr>
            <b/>
            <sz val="8"/>
            <color indexed="8"/>
            <rFont val="Tahoma"/>
            <family val="2"/>
          </rPr>
          <t xml:space="preserve">Ponto de Função Local da FS:
</t>
        </r>
        <r>
          <rPr>
            <sz val="8"/>
            <color indexed="8"/>
            <rFont val="Tahoma"/>
            <family val="2"/>
          </rPr>
          <t xml:space="preserve">Medição para remuneração da Fábrica de Software. Equivalente à medição IFPUG. Porém, considera os deflatores e os itens não mensuráveis previstos em contrato.
</t>
        </r>
      </text>
    </comment>
    <comment ref="A7" authorId="0" shapeId="0" xr:uid="{00000000-0006-0000-0100-000004000000}">
      <text>
        <r>
          <rPr>
            <b/>
            <sz val="8"/>
            <color indexed="8"/>
            <rFont val="Tahoma"/>
            <family val="2"/>
          </rPr>
          <t xml:space="preserve">Nome da Função:
</t>
        </r>
        <r>
          <rPr>
            <sz val="8"/>
            <color indexed="8"/>
            <rFont val="Tahoma"/>
            <family val="2"/>
          </rPr>
          <t>O processo é a menor unidade de atividade significativa para o usuário?
É auto-contido e deixa o negócio da aplicação em um estado consistente?</t>
        </r>
      </text>
    </comment>
    <comment ref="B7" authorId="0" shapeId="0" xr:uid="{00000000-0006-0000-0100-000005000000}">
      <text>
        <r>
          <rPr>
            <b/>
            <sz val="8"/>
            <color indexed="8"/>
            <rFont val="Tahoma"/>
            <family val="2"/>
          </rPr>
          <t xml:space="preserve">Tipo de Função: 
</t>
        </r>
        <r>
          <rPr>
            <sz val="8"/>
            <color indexed="8"/>
            <rFont val="Tahoma"/>
            <family val="2"/>
          </rPr>
          <t>ALI, AIE, EE, SE, CE
ou
Itens não mensuráveis</t>
        </r>
      </text>
    </comment>
    <comment ref="C7" authorId="0" shapeId="0" xr:uid="{00000000-0006-0000-0100-000006000000}">
      <text>
        <r>
          <rPr>
            <b/>
            <sz val="8"/>
            <color indexed="8"/>
            <rFont val="Tahoma"/>
            <family val="2"/>
          </rPr>
          <t xml:space="preserve">Tipo de Manutenção na função:
</t>
        </r>
        <r>
          <rPr>
            <sz val="8"/>
            <color indexed="8"/>
            <rFont val="Tahoma"/>
            <family val="2"/>
          </rPr>
          <t xml:space="preserve">I, A, E 
ou
Itens não mensuráveis
</t>
        </r>
      </text>
    </comment>
    <comment ref="D7" authorId="0" shapeId="0" xr:uid="{00000000-0006-0000-0100-000007000000}">
      <text>
        <r>
          <rPr>
            <b/>
            <sz val="8"/>
            <color indexed="8"/>
            <rFont val="Tahoma"/>
            <family val="2"/>
          </rPr>
          <t xml:space="preserve">Tipos de Dados (DETs)
</t>
        </r>
      </text>
    </comment>
    <comment ref="E7" authorId="0" shapeId="0" xr:uid="{00000000-0006-0000-0100-000008000000}">
      <text>
        <r>
          <rPr>
            <b/>
            <sz val="8"/>
            <color indexed="8"/>
            <rFont val="Tahoma"/>
            <family val="2"/>
          </rPr>
          <t xml:space="preserve">Arquivos Referenciados / Tipos de Registro
</t>
        </r>
      </text>
    </comment>
    <comment ref="F7" authorId="0" shapeId="0" xr:uid="{00000000-0006-0000-0100-000009000000}">
      <text>
        <r>
          <rPr>
            <b/>
            <sz val="8"/>
            <color indexed="8"/>
            <rFont val="Tahoma"/>
            <family val="2"/>
          </rPr>
          <t xml:space="preserve">Grau de complexidade específico atribuído a uma função.
</t>
        </r>
      </text>
    </comment>
    <comment ref="M7" authorId="0" shapeId="0" xr:uid="{00000000-0006-0000-0100-00000A000000}">
      <text>
        <r>
          <rPr>
            <b/>
            <sz val="8"/>
            <color indexed="8"/>
            <rFont val="Tahoma"/>
            <family val="2"/>
          </rPr>
          <t xml:space="preserve">Normalmente utilizado para contagem de baseline, onde o desenvolvimento foi realizado de forma incremental. Isto indica em qual(is) pacote(s) cada funcionalidade foi impactada. Em algumas situações pode ser informado o número do projeto, demanda ou incremento.
</t>
        </r>
      </text>
    </comment>
    <comment ref="N7" authorId="0" shapeId="0" xr:uid="{00000000-0006-0000-0100-00000B000000}">
      <text>
        <r>
          <rPr>
            <b/>
            <sz val="8"/>
            <color indexed="8"/>
            <rFont val="Tahoma"/>
            <family val="2"/>
          </rPr>
          <t xml:space="preserve">Referência ao documento que justifica a contagem da funcionalidade
</t>
        </r>
      </text>
    </comment>
    <comment ref="D10" authorId="1" shapeId="0" xr:uid="{00000000-0006-0000-0100-00000C000000}">
      <text>
        <r>
          <rPr>
            <b/>
            <sz val="9"/>
            <color indexed="81"/>
            <rFont val="Segoe UI"/>
            <family val="2"/>
          </rPr>
          <t xml:space="preserve">* Imóvel
</t>
        </r>
        <r>
          <rPr>
            <sz val="9"/>
            <color indexed="81"/>
            <rFont val="Segoe UI"/>
            <family val="2"/>
          </rPr>
          <t xml:space="preserve">01 - código
02 - nome do imóvel
03 - matrícula
04 - RIP
05 - código situação imóvel
06 - qtd piso
07 - código tipo imóvel
08 - descrição
09 - flag ativo
10 - flag edificado
11 - imagem fachada
12 - área total construída
13 - área total do terreno
14 - unidade de medida
15 - estado de conservação
16 - usuário cadastro
17 - usuário alteração
18 - data cadastro
19 - data alteração
20 - flag relatório assinado
21 - código formas de aquisição
</t>
        </r>
        <r>
          <rPr>
            <b/>
            <sz val="9"/>
            <color indexed="81"/>
            <rFont val="Segoe UI"/>
            <family val="2"/>
          </rPr>
          <t xml:space="preserve">* Formas de Aquisição
</t>
        </r>
        <r>
          <rPr>
            <sz val="9"/>
            <color indexed="81"/>
            <rFont val="Segoe UI"/>
            <family val="2"/>
          </rPr>
          <t xml:space="preserve">22 - código
23- descrição
</t>
        </r>
        <r>
          <rPr>
            <b/>
            <sz val="9"/>
            <color indexed="81"/>
            <rFont val="Segoe UI"/>
            <family val="2"/>
          </rPr>
          <t>* Situação Imóvel</t>
        </r>
        <r>
          <rPr>
            <sz val="9"/>
            <color indexed="81"/>
            <rFont val="Segoe UI"/>
            <family val="2"/>
          </rPr>
          <t xml:space="preserve">
24 - código
25 - descrição
26 - usuário cadastro
27 - usuário alteração
28 - data cadastro
29 - data alteração
</t>
        </r>
        <r>
          <rPr>
            <b/>
            <sz val="9"/>
            <color indexed="81"/>
            <rFont val="Segoe UI"/>
            <family val="2"/>
          </rPr>
          <t xml:space="preserve">
* Tipo de imóvel</t>
        </r>
        <r>
          <rPr>
            <sz val="9"/>
            <color indexed="81"/>
            <rFont val="Segoe UI"/>
            <family val="2"/>
          </rPr>
          <t xml:space="preserve">
30 - código
31 - descrição
32 - usuário cadastro
33 - usuário alteração
34 - data cadastro
35 - data alteração
</t>
        </r>
        <r>
          <rPr>
            <b/>
            <sz val="9"/>
            <color indexed="81"/>
            <rFont val="Segoe UI"/>
            <family val="2"/>
          </rPr>
          <t xml:space="preserve">* Localização
</t>
        </r>
        <r>
          <rPr>
            <sz val="9"/>
            <color indexed="81"/>
            <rFont val="Segoe UI"/>
            <family val="2"/>
          </rPr>
          <t xml:space="preserve">36 - código
37 - código do imóvel
38 - cep
39 - código município
40 - código ibge
41 - uf
42 - país
43 - logradouro
44 - número
45 - bairro
46 - distrito
47 - tipo de zoneamento
48 - latitude
49 - longitude
50 - matrícula
51 - usuário cadastro
52 - usuário alteração
53 - data cadastro
54 - data alteração
</t>
        </r>
        <r>
          <rPr>
            <b/>
            <sz val="9"/>
            <color indexed="81"/>
            <rFont val="Segoe UI"/>
            <family val="2"/>
          </rPr>
          <t xml:space="preserve">* Tipo Unidade de Medida
</t>
        </r>
        <r>
          <rPr>
            <sz val="9"/>
            <color indexed="81"/>
            <rFont val="Segoe UI"/>
            <family val="2"/>
          </rPr>
          <t xml:space="preserve">55 - código
56 - descrição
57 - usuário cadastro
58 - usuário alteração
59 - data cadastro
60 - data alteração
</t>
        </r>
        <r>
          <rPr>
            <b/>
            <sz val="9"/>
            <color indexed="81"/>
            <rFont val="Segoe UI"/>
            <family val="2"/>
          </rPr>
          <t xml:space="preserve">* Tipo Zoneamento
</t>
        </r>
        <r>
          <rPr>
            <sz val="9"/>
            <color indexed="81"/>
            <rFont val="Segoe UI"/>
            <family val="2"/>
          </rPr>
          <t xml:space="preserve">61 - código
62 - descrição
63 - usuário cadastro
64 - usuário alteração
65 - data cadastro
66 - data alteração
</t>
        </r>
        <r>
          <rPr>
            <b/>
            <sz val="9"/>
            <color indexed="81"/>
            <rFont val="Segoe UI"/>
            <family val="2"/>
          </rPr>
          <t>* Tipo Característica</t>
        </r>
        <r>
          <rPr>
            <sz val="9"/>
            <color indexed="81"/>
            <rFont val="Segoe UI"/>
            <family val="2"/>
          </rPr>
          <t xml:space="preserve">
67 - código
68 - descrição
69 - usuário cadastro
70 - usuário alteração
71 - data cadastro
72 - data alteração
</t>
        </r>
        <r>
          <rPr>
            <b/>
            <sz val="9"/>
            <color indexed="81"/>
            <rFont val="Segoe UI"/>
            <family val="2"/>
          </rPr>
          <t>* Características do Imóvel</t>
        </r>
        <r>
          <rPr>
            <sz val="9"/>
            <color indexed="81"/>
            <rFont val="Segoe UI"/>
            <family val="2"/>
          </rPr>
          <t xml:space="preserve">
73 - código
74 - código do imóvel
75 - código característica 
76 - usuário cadastro
77 - usuário alteração
78 - data cadastro
79 - data alteração
</t>
        </r>
        <r>
          <rPr>
            <b/>
            <sz val="9"/>
            <color indexed="81"/>
            <rFont val="Segoe UI"/>
            <family val="2"/>
          </rPr>
          <t xml:space="preserve">* Registro do Imóvel
</t>
        </r>
        <r>
          <rPr>
            <sz val="9"/>
            <color indexed="81"/>
            <rFont val="Segoe UI"/>
            <family val="2"/>
          </rPr>
          <t>80 - matricula unica</t>
        </r>
        <r>
          <rPr>
            <b/>
            <sz val="9"/>
            <color indexed="81"/>
            <rFont val="Segoe UI"/>
            <family val="2"/>
          </rPr>
          <t xml:space="preserve">
</t>
        </r>
        <r>
          <rPr>
            <sz val="9"/>
            <color indexed="81"/>
            <rFont val="Segoe UI"/>
            <family val="2"/>
          </rPr>
          <t xml:space="preserve">81 - código
82 - código do imovel
83 - código do cartório
84 - número do livro
85 - número da folha
86 - número da ficha
87 - data de registro
88 - objeto
89 - número registro municial
90 - número unidade consumidora de energia
91 - número unidade consumidora de energia
92 - usuário cadastro
93 - usuário alteração
94 - data cadastro
95 - data alteração
96 - anexo matricula
</t>
        </r>
        <r>
          <rPr>
            <b/>
            <sz val="9"/>
            <color indexed="81"/>
            <rFont val="Segoe UI"/>
            <family val="2"/>
          </rPr>
          <t xml:space="preserve">* Processos do Imóvel
</t>
        </r>
        <r>
          <rPr>
            <sz val="9"/>
            <color indexed="81"/>
            <rFont val="Segoe UI"/>
            <family val="2"/>
          </rPr>
          <t xml:space="preserve">97 - código
98 - código do imóvel
99 - título
100 - número do processo
101 - número do documento
102 - observações
103 - usuário cadastro
104 - usuário alteração
105 - data cadastro
106 - data alteração
</t>
        </r>
        <r>
          <rPr>
            <b/>
            <sz val="9"/>
            <color indexed="81"/>
            <rFont val="Segoe UI"/>
            <family val="2"/>
          </rPr>
          <t xml:space="preserve">* Documentos do Imóvel
</t>
        </r>
        <r>
          <rPr>
            <sz val="9"/>
            <color indexed="81"/>
            <rFont val="Segoe UI"/>
            <family val="2"/>
          </rPr>
          <t xml:space="preserve">107 - código
108 - código tipo de documento
109 - descrição
110 - documento anexo
111 - usuário cadastro
112 - usuário alteração
113 - data cadastro
114 - data alteração
</t>
        </r>
        <r>
          <rPr>
            <b/>
            <sz val="9"/>
            <color indexed="81"/>
            <rFont val="Segoe UI"/>
            <family val="2"/>
          </rPr>
          <t xml:space="preserve">* Tipo de Estado de Conservação
</t>
        </r>
        <r>
          <rPr>
            <sz val="9"/>
            <color indexed="81"/>
            <rFont val="Segoe UI"/>
            <family val="2"/>
          </rPr>
          <t xml:space="preserve">115 - código
116 - descrição
</t>
        </r>
        <r>
          <rPr>
            <b/>
            <sz val="9"/>
            <color indexed="81"/>
            <rFont val="Segoe UI"/>
            <family val="2"/>
          </rPr>
          <t>* Valor do Imóvel</t>
        </r>
        <r>
          <rPr>
            <sz val="9"/>
            <color indexed="81"/>
            <rFont val="Segoe UI"/>
            <family val="2"/>
          </rPr>
          <t xml:space="preserve">
117 - imóvel
118 - valor do terreno
119 - valor da edificação
120 - valor total
</t>
        </r>
        <r>
          <rPr>
            <b/>
            <sz val="9"/>
            <color indexed="81"/>
            <rFont val="Segoe UI"/>
            <family val="2"/>
          </rPr>
          <t>* Histórico de Valor do imóvel</t>
        </r>
        <r>
          <rPr>
            <sz val="9"/>
            <color indexed="81"/>
            <rFont val="Segoe UI"/>
            <family val="2"/>
          </rPr>
          <t xml:space="preserve">
121 - imóvel
122 - origem informação
123 - data
124 - tipo informação
125 - valor do terreno
126 - valor da edificação
127 - valor total
128 - depreciação
129 - valorização
130 - QRCode
131 - Nº Termo
132 - Valor da Locação
133 - Vigência Início
134 - Vigência Término
135 - Quantidade de pisos
136 - Acessibilidade
137 - Anexo Doc Escritura
138 - Anexo Registro Municipal
139 - Anexo Doc Energia
140 - Anexo Doc Agua
141 - Flag Inventariando imóvel
142 - Possui Matricula (compor matricula)
143 - Justificativa (compor matricula)
144 - Origem Matricula
145 -  Órgão pertencente
146 - Unidade pertencente
147 - Razão Social</t>
        </r>
      </text>
    </comment>
    <comment ref="E10" authorId="1" shapeId="0" xr:uid="{00000000-0006-0000-0100-00000D000000}">
      <text>
        <r>
          <rPr>
            <sz val="9"/>
            <color indexed="81"/>
            <rFont val="Segoe UI"/>
            <family val="2"/>
          </rPr>
          <t>01 - Imóvel
02 - Tipo Unidade de Medida
03 - Tipo Zoneamento
04 - Situação Imóvel
05 - Tipo de imóvel
06 - Localização
07 - Tipo Característica
08 - Características do Imóvel
09 - Formas de Aquisição
10 - Processos do Imóvel
11 - Documentos do Imóvel
12 - Tipo de Estado de Conservação
13 - Valor do Imóvel
14 - Histórico de Valor do imóvel
15 - Destinação</t>
        </r>
      </text>
    </comment>
    <comment ref="D11" authorId="1" shapeId="0" xr:uid="{00000000-0006-0000-0100-00000E000000}">
      <text>
        <r>
          <rPr>
            <b/>
            <sz val="9"/>
            <color indexed="81"/>
            <rFont val="Segoe UI"/>
            <family val="2"/>
          </rPr>
          <t xml:space="preserve">* Imóvel
</t>
        </r>
        <r>
          <rPr>
            <sz val="9"/>
            <color indexed="81"/>
            <rFont val="Segoe UI"/>
            <family val="2"/>
          </rPr>
          <t xml:space="preserve">01 - código
02 - nome do imóvel
03 - RIP
04 - código situação imóvel
05 - qtd piso
06 - código tipo imóvel
07 - flag edificado
08 - descrição
09 - flag ativo
10 - imagem fachada
11 - área total construída
12 - área total do terreno
13 - unidade de medida
14 - estado de conservação
15 - formas de aquisição
16 - usuário cadastro
17 - data cadastro
</t>
        </r>
        <r>
          <rPr>
            <b/>
            <sz val="9"/>
            <color indexed="81"/>
            <rFont val="Segoe UI"/>
            <family val="2"/>
          </rPr>
          <t>* Características do Imóvel</t>
        </r>
        <r>
          <rPr>
            <sz val="9"/>
            <color indexed="81"/>
            <rFont val="Segoe UI"/>
            <family val="2"/>
          </rPr>
          <t xml:space="preserve">
18 - código
19 - código do imóvel
20 - código característica 
21 - usuário cadastro
22 - data cadastro
23 - QRCode
24 - Nº Termo
25 - Valor da Locação
26 - Vigência Início
27 - Vigência Término
28 - Quantidade de pisos
29 - Acessibilidade
30 -  Órgão pertencente
31 - Unidade pertencente
32 - comando
33 - mensagem</t>
        </r>
      </text>
    </comment>
    <comment ref="E11" authorId="2" shapeId="0" xr:uid="{00000000-0006-0000-0100-00000F000000}">
      <text>
        <r>
          <rPr>
            <sz val="9"/>
            <color indexed="81"/>
            <rFont val="Segoe UI"/>
            <family val="2"/>
          </rPr>
          <t>01 - Imóvel</t>
        </r>
      </text>
    </comment>
    <comment ref="D12" authorId="1" shapeId="0" xr:uid="{00000000-0006-0000-0100-000010000000}">
      <text>
        <r>
          <rPr>
            <b/>
            <sz val="9"/>
            <color indexed="81"/>
            <rFont val="Segoe UI"/>
            <family val="2"/>
          </rPr>
          <t>* Tipo Estado de Conservação</t>
        </r>
        <r>
          <rPr>
            <sz val="9"/>
            <color indexed="81"/>
            <rFont val="Segoe UI"/>
            <family val="2"/>
          </rPr>
          <t xml:space="preserve">
01 - código
02 - descrição
</t>
        </r>
        <r>
          <rPr>
            <b/>
            <sz val="9"/>
            <color indexed="81"/>
            <rFont val="Segoe UI"/>
            <family val="2"/>
          </rPr>
          <t xml:space="preserve">
</t>
        </r>
        <r>
          <rPr>
            <sz val="9"/>
            <color indexed="81"/>
            <rFont val="Segoe UI"/>
            <family val="2"/>
          </rPr>
          <t xml:space="preserve">
</t>
        </r>
      </text>
    </comment>
    <comment ref="E12" authorId="2" shapeId="0" xr:uid="{00000000-0006-0000-0100-000011000000}">
      <text>
        <r>
          <rPr>
            <sz val="9"/>
            <color indexed="81"/>
            <rFont val="Segoe UI"/>
            <family val="2"/>
          </rPr>
          <t>01 - Imóvel</t>
        </r>
      </text>
    </comment>
    <comment ref="D13" authorId="1" shapeId="0" xr:uid="{00000000-0006-0000-0100-000012000000}">
      <text>
        <r>
          <rPr>
            <b/>
            <sz val="9"/>
            <color indexed="81"/>
            <rFont val="Segoe UI"/>
            <family val="2"/>
          </rPr>
          <t>* Situação Imóvel</t>
        </r>
        <r>
          <rPr>
            <sz val="9"/>
            <color indexed="81"/>
            <rFont val="Segoe UI"/>
            <family val="2"/>
          </rPr>
          <t xml:space="preserve">
01 - código
02 - descrição
</t>
        </r>
        <r>
          <rPr>
            <b/>
            <sz val="9"/>
            <color indexed="81"/>
            <rFont val="Segoe UI"/>
            <family val="2"/>
          </rPr>
          <t xml:space="preserve">
</t>
        </r>
        <r>
          <rPr>
            <sz val="9"/>
            <color indexed="81"/>
            <rFont val="Segoe UI"/>
            <family val="2"/>
          </rPr>
          <t xml:space="preserve">
</t>
        </r>
      </text>
    </comment>
    <comment ref="E13" authorId="2" shapeId="0" xr:uid="{00000000-0006-0000-0100-000013000000}">
      <text>
        <r>
          <rPr>
            <sz val="9"/>
            <color indexed="81"/>
            <rFont val="Segoe UI"/>
            <family val="2"/>
          </rPr>
          <t>01 - Imóvel</t>
        </r>
      </text>
    </comment>
    <comment ref="D14" authorId="1" shapeId="0" xr:uid="{00000000-0006-0000-0100-000014000000}">
      <text>
        <r>
          <rPr>
            <b/>
            <sz val="9"/>
            <color indexed="81"/>
            <rFont val="Segoe UI"/>
            <family val="2"/>
          </rPr>
          <t xml:space="preserve">* Tipo de imóvel
</t>
        </r>
        <r>
          <rPr>
            <sz val="9"/>
            <color indexed="81"/>
            <rFont val="Segoe UI"/>
            <family val="2"/>
          </rPr>
          <t xml:space="preserve">01 - código
02 - descrição
</t>
        </r>
      </text>
    </comment>
    <comment ref="E14" authorId="2" shapeId="0" xr:uid="{00000000-0006-0000-0100-000015000000}">
      <text>
        <r>
          <rPr>
            <sz val="9"/>
            <color indexed="81"/>
            <rFont val="Segoe UI"/>
            <family val="2"/>
          </rPr>
          <t>01 - Imóvel</t>
        </r>
      </text>
    </comment>
    <comment ref="D15" authorId="1" shapeId="0" xr:uid="{00000000-0006-0000-0100-000016000000}">
      <text>
        <r>
          <rPr>
            <b/>
            <sz val="9"/>
            <color indexed="81"/>
            <rFont val="Segoe UI"/>
            <family val="2"/>
          </rPr>
          <t xml:space="preserve">* Tipo Característica
</t>
        </r>
        <r>
          <rPr>
            <sz val="9"/>
            <color indexed="81"/>
            <rFont val="Segoe UI"/>
            <family val="2"/>
          </rPr>
          <t>01 - código
02 - descrição</t>
        </r>
      </text>
    </comment>
    <comment ref="E15" authorId="2" shapeId="0" xr:uid="{00000000-0006-0000-0100-000017000000}">
      <text>
        <r>
          <rPr>
            <sz val="9"/>
            <color indexed="81"/>
            <rFont val="Segoe UI"/>
            <family val="2"/>
          </rPr>
          <t>01 - Imóvel</t>
        </r>
      </text>
    </comment>
    <comment ref="D16" authorId="1" shapeId="0" xr:uid="{00000000-0006-0000-0100-000018000000}">
      <text>
        <r>
          <rPr>
            <b/>
            <sz val="9"/>
            <color indexed="81"/>
            <rFont val="Segoe UI"/>
            <family val="2"/>
          </rPr>
          <t xml:space="preserve">* Tipo Característica
</t>
        </r>
        <r>
          <rPr>
            <sz val="9"/>
            <color indexed="81"/>
            <rFont val="Segoe UI"/>
            <family val="2"/>
          </rPr>
          <t>01 - código
02 - descrição</t>
        </r>
      </text>
    </comment>
    <comment ref="E16" authorId="2" shapeId="0" xr:uid="{00000000-0006-0000-0100-000019000000}">
      <text>
        <r>
          <rPr>
            <sz val="9"/>
            <color indexed="81"/>
            <rFont val="Segoe UI"/>
            <family val="2"/>
          </rPr>
          <t>01 - Imóvel</t>
        </r>
      </text>
    </comment>
    <comment ref="D17" authorId="1" shapeId="0" xr:uid="{00000000-0006-0000-0100-00001A000000}">
      <text>
        <r>
          <rPr>
            <b/>
            <sz val="9"/>
            <color indexed="81"/>
            <rFont val="Segoe UI"/>
            <family val="2"/>
          </rPr>
          <t>* Destinação</t>
        </r>
        <r>
          <rPr>
            <sz val="9"/>
            <color indexed="81"/>
            <rFont val="Segoe UI"/>
            <family val="2"/>
          </rPr>
          <t xml:space="preserve">
01 - código
02 - descrição
03 - comando</t>
        </r>
      </text>
    </comment>
    <comment ref="E17" authorId="2" shapeId="0" xr:uid="{00000000-0006-0000-0100-00001B000000}">
      <text>
        <r>
          <rPr>
            <sz val="9"/>
            <color indexed="81"/>
            <rFont val="Segoe UI"/>
            <family val="2"/>
          </rPr>
          <t>01 - Destinação</t>
        </r>
      </text>
    </comment>
    <comment ref="D18" authorId="1" shapeId="0" xr:uid="{00000000-0006-0000-0100-00001C000000}">
      <text>
        <r>
          <rPr>
            <sz val="9"/>
            <color indexed="81"/>
            <rFont val="Segoe UI"/>
            <family val="2"/>
          </rPr>
          <t>01 - código
02 - descrição
03 - comando</t>
        </r>
      </text>
    </comment>
    <comment ref="E18" authorId="2" shapeId="0" xr:uid="{00000000-0006-0000-0100-00001D000000}">
      <text>
        <r>
          <rPr>
            <sz val="9"/>
            <color indexed="81"/>
            <rFont val="Segoe UI"/>
            <family val="2"/>
          </rPr>
          <t>01 - Forma Aquisição</t>
        </r>
      </text>
    </comment>
    <comment ref="D19" authorId="1" shapeId="0" xr:uid="{00000000-0006-0000-0100-00001E000000}">
      <text>
        <r>
          <rPr>
            <b/>
            <sz val="9"/>
            <color indexed="81"/>
            <rFont val="Segoe UI"/>
            <family val="2"/>
          </rPr>
          <t xml:space="preserve">* Imóvel
</t>
        </r>
        <r>
          <rPr>
            <sz val="9"/>
            <color indexed="81"/>
            <rFont val="Segoe UI"/>
            <family val="2"/>
          </rPr>
          <t xml:space="preserve">01 - código
02 - nome do imóvel
03 - RIP
04 - código situação imóvel
05 - qtd piso
06 - código tipo imóvel
07 - flag edificado
08 - descrição
09 - flag ativo
10 - imagem fachada
11 - área total construída
12 - área total do terreno
13 - unidade de medida
14 - estado de conservação
15 - formas de aquisição
16 - usuário alteração
17 - data alteração
</t>
        </r>
        <r>
          <rPr>
            <b/>
            <sz val="9"/>
            <color indexed="81"/>
            <rFont val="Segoe UI"/>
            <family val="2"/>
          </rPr>
          <t>* Características do Imóvel</t>
        </r>
        <r>
          <rPr>
            <sz val="9"/>
            <color indexed="81"/>
            <rFont val="Segoe UI"/>
            <family val="2"/>
          </rPr>
          <t xml:space="preserve">
18 - código
19 - código do imóvel
20 - código característica 
21 - usuário alteração
22 - data alteração
23 - Nº Termo
24 - Valor da Locação
25 - Vigência Início
26 - Vigência Término
27 - Quantidade de pisos
28 - Acessibilidade
29 - Flag Inventariando Imóvel
30 -  Órgão pertencente
31 - Unidade pertencente
32 - comando
33 - mensagem</t>
        </r>
      </text>
    </comment>
    <comment ref="E19" authorId="2" shapeId="0" xr:uid="{00000000-0006-0000-0100-00001F000000}">
      <text>
        <r>
          <rPr>
            <sz val="9"/>
            <color indexed="81"/>
            <rFont val="Segoe UI"/>
            <family val="2"/>
          </rPr>
          <t>01 - Imóvel</t>
        </r>
      </text>
    </comment>
    <comment ref="D20" authorId="1" shapeId="0" xr:uid="{00000000-0006-0000-0100-000020000000}">
      <text>
        <r>
          <rPr>
            <b/>
            <sz val="9"/>
            <color indexed="81"/>
            <rFont val="Segoe UI"/>
            <family val="2"/>
          </rPr>
          <t xml:space="preserve">* Imóvel
</t>
        </r>
        <r>
          <rPr>
            <sz val="9"/>
            <color indexed="81"/>
            <rFont val="Segoe UI"/>
            <family val="2"/>
          </rPr>
          <t xml:space="preserve">01 - código
02 - nome do imóvel
03 - RIP
04 - código situação imóvel
05 - qtd piso
06 - código tipo imóvel
07 - descrição
08 - flag ativo
09 - imagem fachada
10- flag edificado
11 - formas de aquisição
12 - área total construída
13 - área total do terreno
14 - unidade de medida
15 - estado de conservação
</t>
        </r>
        <r>
          <rPr>
            <b/>
            <sz val="9"/>
            <color indexed="81"/>
            <rFont val="Segoe UI"/>
            <family val="2"/>
          </rPr>
          <t xml:space="preserve">* Características do Imóvel
</t>
        </r>
        <r>
          <rPr>
            <sz val="9"/>
            <color indexed="81"/>
            <rFont val="Segoe UI"/>
            <family val="2"/>
          </rPr>
          <t xml:space="preserve">16 - código
17 - código característica 
18 - Nº Termo
19 - Valor da Locação
20 - Vigência Início
21 - Vigência Término
22 - Quantidade de pisos
23 - Acessibilidade
24 - Flag Inventariando Imóvel
25 - Código Demanda
26 - Exercício
27 - Objeto
28 - Situação
29 -  Órgão pertencente
30 - Unidade pertencente
</t>
        </r>
      </text>
    </comment>
    <comment ref="E20" authorId="2" shapeId="0" xr:uid="{00000000-0006-0000-0100-000021000000}">
      <text>
        <r>
          <rPr>
            <sz val="9"/>
            <color indexed="81"/>
            <rFont val="Segoe UI"/>
            <family val="2"/>
          </rPr>
          <t>01 - Imóvel
02 - Demanda de Inventário</t>
        </r>
      </text>
    </comment>
    <comment ref="D21" authorId="1" shapeId="0" xr:uid="{00000000-0006-0000-0100-000022000000}">
      <text>
        <r>
          <rPr>
            <sz val="9"/>
            <color indexed="81"/>
            <rFont val="Segoe UI"/>
            <family val="2"/>
          </rPr>
          <t>1 - Sigla - Descrição Órgão
2 - Descrição Setor
3 - Proprietário
4 - Nome Imóvel
5 - Município
6 - Ocupante
7 - Responsável Patrimonial
8 - Tipo de Uso
9 - Vínculos
10 - Situação
11 - Destinação
12 - Tipo de Regularização
13 - Em Regularização
14 - Nº Matricula do Imóvel
15 - Tooltip Matrículas
16 - RIP
17 - Última Avaliação
18 - Valor do Imóvel
19 - Área Total Construída
20 - Área Total do Terreno
21 - CMD
22 - MSG</t>
        </r>
      </text>
    </comment>
    <comment ref="E21" authorId="2" shapeId="0" xr:uid="{00000000-0006-0000-0100-000023000000}">
      <text>
        <r>
          <rPr>
            <sz val="9"/>
            <color indexed="81"/>
            <rFont val="Segoe UI"/>
            <family val="2"/>
          </rPr>
          <t>01 - Imóvel
02 - Identificação do Imóvel
03 - Órgão
04 - Município
05 - Avaliação Externa
06 - Vistorias do Imóvel
07 - Regularização Imobiliária</t>
        </r>
      </text>
    </comment>
    <comment ref="D22" authorId="1" shapeId="0" xr:uid="{00000000-0006-0000-0100-000024000000}">
      <text>
        <r>
          <rPr>
            <sz val="9"/>
            <color indexed="81"/>
            <rFont val="Segoe UI"/>
            <family val="2"/>
          </rPr>
          <t>1 - Sigla - Descrição Órgão
2 - Descrição Setor
3 - Proprietário
4 - Nome Imóvel
5 - Município
6 - Ocupante
7 - Responsável Patrimonial
8 - Tipo de Uso
9 - Vínculos
10 - Situação
11 - Destinação
12 - Tipo de Regularização
13 - Em Regularização
14 - Nº Matricula do Imóvel
15 - Tooltip Matrículas
16 - RIP
17 - Última Avaliação
18 - Valor do Imóvel
19 - Área Total Construída
20 - Área Total do Terreno
21 - CMD
22 - MSG</t>
        </r>
      </text>
    </comment>
    <comment ref="E22" authorId="2" shapeId="0" xr:uid="{00000000-0006-0000-0100-000025000000}">
      <text>
        <r>
          <rPr>
            <sz val="9"/>
            <color indexed="81"/>
            <rFont val="Segoe UI"/>
            <family val="2"/>
          </rPr>
          <t>01 - Imóvel
02 - Identificação do Imóvel
03 - Órgão
04 - Município
05 - Avaliação Externa
06 - Vistorias do Imóvel
07 - Regularização Imobiliária</t>
        </r>
      </text>
    </comment>
    <comment ref="D23" authorId="1" shapeId="0" xr:uid="{00000000-0006-0000-0100-000026000000}">
      <text>
        <r>
          <rPr>
            <b/>
            <sz val="9"/>
            <color indexed="81"/>
            <rFont val="Segoe UI"/>
            <family val="2"/>
          </rPr>
          <t xml:space="preserve">* Imóvel
</t>
        </r>
        <r>
          <rPr>
            <sz val="9"/>
            <color indexed="81"/>
            <rFont val="Segoe UI"/>
            <family val="2"/>
          </rPr>
          <t>01 - código</t>
        </r>
        <r>
          <rPr>
            <b/>
            <sz val="9"/>
            <color indexed="81"/>
            <rFont val="Segoe UI"/>
            <family val="2"/>
          </rPr>
          <t xml:space="preserve">
</t>
        </r>
        <r>
          <rPr>
            <sz val="9"/>
            <color indexed="81"/>
            <rFont val="Segoe UI"/>
            <family val="2"/>
          </rPr>
          <t xml:space="preserve">
02 - comando
03 - mensagem</t>
        </r>
      </text>
    </comment>
    <comment ref="E23" authorId="2" shapeId="0" xr:uid="{00000000-0006-0000-0100-000027000000}">
      <text>
        <r>
          <rPr>
            <sz val="9"/>
            <color indexed="81"/>
            <rFont val="Segoe UI"/>
            <family val="2"/>
          </rPr>
          <t>01 - Imóvel</t>
        </r>
      </text>
    </comment>
    <comment ref="D24" authorId="1" shapeId="0" xr:uid="{00000000-0006-0000-0100-000028000000}">
      <text>
        <r>
          <rPr>
            <b/>
            <sz val="9"/>
            <color indexed="81"/>
            <rFont val="Segoe UI"/>
            <family val="2"/>
          </rPr>
          <t xml:space="preserve">* Imóvel
</t>
        </r>
        <r>
          <rPr>
            <sz val="9"/>
            <color indexed="81"/>
            <rFont val="Segoe UI"/>
            <family val="2"/>
          </rPr>
          <t>01 - código</t>
        </r>
        <r>
          <rPr>
            <b/>
            <sz val="9"/>
            <color indexed="81"/>
            <rFont val="Segoe UI"/>
            <family val="2"/>
          </rPr>
          <t xml:space="preserve">
</t>
        </r>
        <r>
          <rPr>
            <sz val="9"/>
            <color indexed="81"/>
            <rFont val="Segoe UI"/>
            <family val="2"/>
          </rPr>
          <t xml:space="preserve">02 - nome do imóvel
03 - RIP
04 - código situação imóvel
05 - qtd piso
06 - código tipo imóvel
07 - descrição
08 - flag ativo
09 - imagem fachada
10 - área total construída
11 - área total do terreno
12 - unidade de medida
13 - estado de conservação
14 - flag edificado
15 - formas de aquisição
</t>
        </r>
        <r>
          <rPr>
            <b/>
            <sz val="9"/>
            <color indexed="81"/>
            <rFont val="Segoe UI"/>
            <family val="2"/>
          </rPr>
          <t xml:space="preserve">* Características do Imóvel
</t>
        </r>
        <r>
          <rPr>
            <sz val="9"/>
            <color indexed="81"/>
            <rFont val="Segoe UI"/>
            <family val="2"/>
          </rPr>
          <t xml:space="preserve">16 - código característica 
</t>
        </r>
        <r>
          <rPr>
            <b/>
            <sz val="9"/>
            <color indexed="81"/>
            <rFont val="Segoe UI"/>
            <family val="2"/>
          </rPr>
          <t xml:space="preserve">* Tipo Característica
</t>
        </r>
        <r>
          <rPr>
            <sz val="9"/>
            <color indexed="81"/>
            <rFont val="Segoe UI"/>
            <family val="2"/>
          </rPr>
          <t>17 - descrição
18 - Nº Termo
19 - Valor da Locação
20 - Vigência Início
21 - Vigência Término
22 - Quantidade de pisos
23 - Acessibilidade
24 - Flag Inventariando Imóvel
25 - Código Demanda
26 - Exercício
27 - Objeto
28 - Situação
29 -  Órgão pertencente
30 - Unidade pertencente
31 - comando
32 - mensagem</t>
        </r>
      </text>
    </comment>
    <comment ref="E24" authorId="2" shapeId="0" xr:uid="{00000000-0006-0000-0100-000029000000}">
      <text>
        <r>
          <rPr>
            <sz val="9"/>
            <color indexed="81"/>
            <rFont val="Segoe UI"/>
            <family val="2"/>
          </rPr>
          <t>01 - Imóvel
02 - Demanda de Inventário</t>
        </r>
      </text>
    </comment>
    <comment ref="D25" authorId="1" shapeId="0" xr:uid="{00000000-0006-0000-0100-00002A000000}">
      <text>
        <r>
          <rPr>
            <b/>
            <sz val="9"/>
            <color indexed="81"/>
            <rFont val="Segoe UI"/>
            <family val="2"/>
          </rPr>
          <t xml:space="preserve">* Imóvel
</t>
        </r>
        <r>
          <rPr>
            <sz val="9"/>
            <color indexed="81"/>
            <rFont val="Segoe UI"/>
            <family val="2"/>
          </rPr>
          <t>01 - código</t>
        </r>
        <r>
          <rPr>
            <b/>
            <sz val="9"/>
            <color indexed="81"/>
            <rFont val="Segoe UI"/>
            <family val="2"/>
          </rPr>
          <t xml:space="preserve">
</t>
        </r>
        <r>
          <rPr>
            <sz val="9"/>
            <color indexed="81"/>
            <rFont val="Segoe UI"/>
            <family val="2"/>
          </rPr>
          <t>02 - flag ativo
03 - Flag Inventariando Imóvel
04 - comando
05 - mensagem</t>
        </r>
      </text>
    </comment>
    <comment ref="E25" authorId="2" shapeId="0" xr:uid="{00000000-0006-0000-0100-00002B000000}">
      <text>
        <r>
          <rPr>
            <sz val="9"/>
            <color indexed="81"/>
            <rFont val="Segoe UI"/>
            <family val="2"/>
          </rPr>
          <t>01 - Imóvel</t>
        </r>
      </text>
    </comment>
    <comment ref="D28" authorId="1" shapeId="0" xr:uid="{00000000-0006-0000-0100-00002C000000}">
      <text>
        <r>
          <rPr>
            <b/>
            <sz val="9"/>
            <color indexed="81"/>
            <rFont val="Segoe UI"/>
            <family val="2"/>
          </rPr>
          <t xml:space="preserve">* Órgão
</t>
        </r>
        <r>
          <rPr>
            <sz val="9"/>
            <color indexed="81"/>
            <rFont val="Segoe UI"/>
            <family val="2"/>
          </rPr>
          <t>01 - código
02 - descrição
03 - cnpj
04 - tipo de órgão
05 - Sigla</t>
        </r>
      </text>
    </comment>
    <comment ref="E28" authorId="1" shapeId="0" xr:uid="{00000000-0006-0000-0100-00002D000000}">
      <text>
        <r>
          <rPr>
            <sz val="9"/>
            <color indexed="81"/>
            <rFont val="Segoe UI"/>
            <family val="2"/>
          </rPr>
          <t>01 - Órgão</t>
        </r>
      </text>
    </comment>
    <comment ref="D29" authorId="1" shapeId="0" xr:uid="{00000000-0006-0000-0100-00002E000000}">
      <text>
        <r>
          <rPr>
            <b/>
            <sz val="9"/>
            <color indexed="81"/>
            <rFont val="Segoe UI"/>
            <family val="2"/>
          </rPr>
          <t xml:space="preserve">* Órgão
</t>
        </r>
        <r>
          <rPr>
            <sz val="9"/>
            <color indexed="81"/>
            <rFont val="Segoe UI"/>
            <family val="2"/>
          </rPr>
          <t xml:space="preserve">01 - código
02 - descrição
03 - Sigla
04 - data fim
</t>
        </r>
      </text>
    </comment>
    <comment ref="E29" authorId="1" shapeId="0" xr:uid="{00000000-0006-0000-0100-00002F000000}">
      <text>
        <r>
          <rPr>
            <sz val="9"/>
            <color indexed="81"/>
            <rFont val="Segoe UI"/>
            <family val="2"/>
          </rPr>
          <t>01 - Unidade</t>
        </r>
      </text>
    </comment>
    <comment ref="D30" authorId="2" shapeId="0" xr:uid="{00000000-0006-0000-0100-000030000000}">
      <text>
        <r>
          <rPr>
            <b/>
            <sz val="9"/>
            <color indexed="81"/>
            <rFont val="Segoe UI"/>
            <family val="2"/>
          </rPr>
          <t>* Identificação do Imóvel</t>
        </r>
        <r>
          <rPr>
            <sz val="9"/>
            <color indexed="81"/>
            <rFont val="Segoe UI"/>
            <family val="2"/>
          </rPr>
          <t xml:space="preserve">
01 - código
02 - código imóvel
03 - código responsável patrimonial
04 - código tipo de ocupação
05 - usuário cadastro
06 - usuário alteração
07 - data cadastro
08 - data alteração
09 - Tipos de Cadastro
10 - Destinação
11 - Cedido a Cessionário / Concessionário
12 - Cedido - Tipos de Cadastro
13 - Cedido - Cessionário / Concessionário
14 - Cedido - CNPJ
15 - Código PF
16 - Nome
17 - Nome Social
18 - CPF
19 - Status PF
20 - Código PJ
21 - Razão Social
22 - Nome Fantasia
23 - CNPJ
24 - Status PF
</t>
        </r>
        <r>
          <rPr>
            <b/>
            <sz val="9"/>
            <color indexed="81"/>
            <rFont val="Segoe UI"/>
            <family val="2"/>
          </rPr>
          <t xml:space="preserve">* Ocupantes
</t>
        </r>
        <r>
          <rPr>
            <sz val="9"/>
            <color indexed="81"/>
            <rFont val="Segoe UI"/>
            <family val="2"/>
          </rPr>
          <t xml:space="preserve">25 - código
26 - código identificação
27 - ocupante
28 - código finalidade da ocupação
29 - código tipo outorga
30 - justificativa outorga
31 - oneroso
32 - número do contrato
33 - número do processo
34 - valor mensal do contrato
35 - valor anual do contrato
36- número documento
37 - início vigência
38 - fim vigência
39 - usuário cadastro
40 - usuário alteração
41 - data cadastro
42 - data alteração
43 - tipo cadastro
</t>
        </r>
        <r>
          <rPr>
            <b/>
            <sz val="9"/>
            <color indexed="81"/>
            <rFont val="Segoe UI"/>
            <family val="2"/>
          </rPr>
          <t>* Finalidade da Ocupação</t>
        </r>
        <r>
          <rPr>
            <sz val="9"/>
            <color indexed="81"/>
            <rFont val="Segoe UI"/>
            <family val="2"/>
          </rPr>
          <t xml:space="preserve">
44 - código
45 - descrição
46 - usuário cadastro
47 - usuário alteração
48 - data cadastro
49 - data alteração
</t>
        </r>
        <r>
          <rPr>
            <b/>
            <sz val="9"/>
            <color indexed="81"/>
            <rFont val="Segoe UI"/>
            <family val="2"/>
          </rPr>
          <t xml:space="preserve">* Tipo de Outorga
</t>
        </r>
        <r>
          <rPr>
            <sz val="9"/>
            <color indexed="81"/>
            <rFont val="Segoe UI"/>
            <family val="2"/>
          </rPr>
          <t xml:space="preserve">50 - código
51 - descrição
52 - usuário cadastro
53 - usuário alteração
54 - data cadastro
55 - data alteração
</t>
        </r>
        <r>
          <rPr>
            <b/>
            <sz val="9"/>
            <color indexed="81"/>
            <rFont val="Segoe UI"/>
            <family val="2"/>
          </rPr>
          <t xml:space="preserve">* Tipo de Ocupação
</t>
        </r>
        <r>
          <rPr>
            <sz val="9"/>
            <color indexed="81"/>
            <rFont val="Segoe UI"/>
            <family val="2"/>
          </rPr>
          <t>56 - código
57 - descrição
58 - usuário cadastro
59 - usuário alteração
60 - data cadastro
61 - data alteração</t>
        </r>
        <r>
          <rPr>
            <b/>
            <sz val="9"/>
            <color indexed="81"/>
            <rFont val="Segoe UI"/>
            <family val="2"/>
          </rPr>
          <t xml:space="preserve">
</t>
        </r>
      </text>
    </comment>
    <comment ref="E30" authorId="2" shapeId="0" xr:uid="{00000000-0006-0000-0100-000031000000}">
      <text>
        <r>
          <rPr>
            <sz val="9"/>
            <color indexed="81"/>
            <rFont val="Segoe UI"/>
            <family val="2"/>
          </rPr>
          <t>01 - Identificação do Imóvel
02 - Finalidade da Ocupação
03 - Tipo de Outorga
04 - Tipo de Ocupação
05 - Órgão/Entidade
06 - Unidade</t>
        </r>
      </text>
    </comment>
    <comment ref="D31" authorId="2" shapeId="0" xr:uid="{00000000-0006-0000-0100-000032000000}">
      <text>
        <r>
          <rPr>
            <b/>
            <sz val="9"/>
            <color indexed="81"/>
            <rFont val="Segoe UI"/>
            <family val="2"/>
          </rPr>
          <t>* Identificação do Imóvel</t>
        </r>
        <r>
          <rPr>
            <sz val="9"/>
            <color indexed="81"/>
            <rFont val="Segoe UI"/>
            <family val="2"/>
          </rPr>
          <t xml:space="preserve">
01 - código
02 - código imóvel
03 - responsável patrimonial
04 - sigla responsável patrimonial
05 - código tipo de ocupação
06 - usuário cadastro
07 - data cadastro
08 - Código PF
09 - Nome
10 - Nome Social
11 - CPF
12 - Status PF
13 - Código PJ
14 - Razão Social
15 - Nome Fantasia
16 - CNPJ
17 - Status PF
18 - comando
19 - mensagem
</t>
        </r>
      </text>
    </comment>
    <comment ref="E31" authorId="2" shapeId="0" xr:uid="{00000000-0006-0000-0100-000033000000}">
      <text>
        <r>
          <rPr>
            <sz val="9"/>
            <color indexed="81"/>
            <rFont val="Segoe UI"/>
            <family val="2"/>
          </rPr>
          <t>01 - Identificação
02 - Pessoa Jurídica
03 - Imóvel
04 - Pessoa Física</t>
        </r>
      </text>
    </comment>
    <comment ref="D32" authorId="1" shapeId="0" xr:uid="{00000000-0006-0000-0100-000034000000}">
      <text>
        <r>
          <rPr>
            <b/>
            <sz val="9"/>
            <color indexed="81"/>
            <rFont val="Segoe UI"/>
            <family val="2"/>
          </rPr>
          <t xml:space="preserve">* Órgão
</t>
        </r>
        <r>
          <rPr>
            <sz val="9"/>
            <color indexed="81"/>
            <rFont val="Segoe UI"/>
            <family val="2"/>
          </rPr>
          <t xml:space="preserve">01 - código
02 - descrição
03 - cnpj
04 - tipo de órgão
</t>
        </r>
      </text>
    </comment>
    <comment ref="E32" authorId="1" shapeId="0" xr:uid="{00000000-0006-0000-0100-000035000000}">
      <text>
        <r>
          <rPr>
            <sz val="9"/>
            <color indexed="81"/>
            <rFont val="Segoe UI"/>
            <family val="2"/>
          </rPr>
          <t>01 - Órgão</t>
        </r>
      </text>
    </comment>
    <comment ref="D33" authorId="1" shapeId="0" xr:uid="{00000000-0006-0000-0100-000036000000}">
      <text>
        <r>
          <rPr>
            <b/>
            <sz val="9"/>
            <color indexed="81"/>
            <rFont val="Segoe UI"/>
            <family val="2"/>
          </rPr>
          <t>* Pessoas</t>
        </r>
        <r>
          <rPr>
            <sz val="9"/>
            <color indexed="81"/>
            <rFont val="Segoe UI"/>
            <family val="2"/>
          </rPr>
          <t xml:space="preserve">
01 - código
02 - cnpj
03 - nome
04 - cpf
05 - flag ativo
</t>
        </r>
      </text>
    </comment>
    <comment ref="E33" authorId="1" shapeId="0" xr:uid="{00000000-0006-0000-0100-000037000000}">
      <text>
        <r>
          <rPr>
            <sz val="9"/>
            <color indexed="81"/>
            <rFont val="Segoe UI"/>
            <family val="2"/>
          </rPr>
          <t>01 - Pessoas</t>
        </r>
      </text>
    </comment>
    <comment ref="D34" authorId="1" shapeId="0" xr:uid="{00000000-0006-0000-0100-000038000000}">
      <text>
        <r>
          <rPr>
            <b/>
            <sz val="9"/>
            <color indexed="81"/>
            <rFont val="Segoe UI"/>
            <family val="2"/>
          </rPr>
          <t xml:space="preserve">* Entidade
</t>
        </r>
        <r>
          <rPr>
            <sz val="9"/>
            <color indexed="81"/>
            <rFont val="Segoe UI"/>
            <family val="2"/>
          </rPr>
          <t>01 - código
02 - código pessoa
03 - tipo de pessoa
04 - classificação entidade
05 - flag ativo</t>
        </r>
        <r>
          <rPr>
            <b/>
            <sz val="9"/>
            <color indexed="81"/>
            <rFont val="Segoe UI"/>
            <family val="2"/>
          </rPr>
          <t xml:space="preserve">
* Pessoa Física</t>
        </r>
        <r>
          <rPr>
            <sz val="9"/>
            <color indexed="81"/>
            <rFont val="Segoe UI"/>
            <family val="2"/>
          </rPr>
          <t xml:space="preserve">
06 - cpf
07 - nome
</t>
        </r>
        <r>
          <rPr>
            <sz val="9"/>
            <color indexed="81"/>
            <rFont val="Segoe UI"/>
            <family val="2"/>
          </rPr>
          <t xml:space="preserve">
</t>
        </r>
      </text>
    </comment>
    <comment ref="E34" authorId="1" shapeId="0" xr:uid="{00000000-0006-0000-0100-000039000000}">
      <text>
        <r>
          <rPr>
            <sz val="9"/>
            <color indexed="81"/>
            <rFont val="Segoe UI"/>
            <family val="2"/>
          </rPr>
          <t>01 - Pessoa Física
02 - Pessoa Jurídica
03 - Entidade</t>
        </r>
      </text>
    </comment>
    <comment ref="D35" authorId="1" shapeId="0" xr:uid="{00000000-0006-0000-0100-00003A000000}">
      <text>
        <r>
          <rPr>
            <b/>
            <sz val="9"/>
            <color indexed="81"/>
            <rFont val="Segoe UI"/>
            <family val="2"/>
          </rPr>
          <t xml:space="preserve">* Entidade
</t>
        </r>
        <r>
          <rPr>
            <sz val="9"/>
            <color indexed="81"/>
            <rFont val="Segoe UI"/>
            <family val="2"/>
          </rPr>
          <t>01 - código
02 - código pessoa
03 - tipo de pessoa
04 - classificação entidade
05 - flag ativo</t>
        </r>
        <r>
          <rPr>
            <b/>
            <sz val="9"/>
            <color indexed="81"/>
            <rFont val="Segoe UI"/>
            <family val="2"/>
          </rPr>
          <t xml:space="preserve">
</t>
        </r>
        <r>
          <rPr>
            <sz val="9"/>
            <color indexed="81"/>
            <rFont val="Segoe UI"/>
            <family val="2"/>
          </rPr>
          <t xml:space="preserve">
</t>
        </r>
        <r>
          <rPr>
            <b/>
            <sz val="9"/>
            <color indexed="81"/>
            <rFont val="Segoe UI"/>
            <family val="2"/>
          </rPr>
          <t>* Pessoa Jurídica</t>
        </r>
        <r>
          <rPr>
            <sz val="9"/>
            <color indexed="81"/>
            <rFont val="Segoe UI"/>
            <family val="2"/>
          </rPr>
          <t xml:space="preserve">
06 - cnpj
07 - razão social
</t>
        </r>
      </text>
    </comment>
    <comment ref="E35" authorId="1" shapeId="0" xr:uid="{00000000-0006-0000-0100-00003B000000}">
      <text>
        <r>
          <rPr>
            <sz val="9"/>
            <color indexed="81"/>
            <rFont val="Segoe UI"/>
            <family val="2"/>
          </rPr>
          <t>01 - Pessoa Física
02 - Pessoa Jurídica
03 - Entidade</t>
        </r>
      </text>
    </comment>
    <comment ref="D36" authorId="1" shapeId="0" xr:uid="{00000000-0006-0000-0100-00003C000000}">
      <text>
        <r>
          <rPr>
            <b/>
            <sz val="9"/>
            <color indexed="81"/>
            <rFont val="Segoe UI"/>
            <family val="2"/>
          </rPr>
          <t xml:space="preserve">* Órgão
</t>
        </r>
        <r>
          <rPr>
            <sz val="9"/>
            <color indexed="81"/>
            <rFont val="Segoe UI"/>
            <family val="2"/>
          </rPr>
          <t>01 - código órgão
02 - descrição órgão
03 - cnpj
04 - tipo de órgão
05 - Sigla
06 - comando</t>
        </r>
      </text>
    </comment>
    <comment ref="E36" authorId="1" shapeId="0" xr:uid="{00000000-0006-0000-0100-00003D000000}">
      <text>
        <r>
          <rPr>
            <sz val="9"/>
            <color indexed="81"/>
            <rFont val="Segoe UI"/>
            <family val="2"/>
          </rPr>
          <t xml:space="preserve">01 - Órgão/Entidade
</t>
        </r>
      </text>
    </comment>
    <comment ref="D37" authorId="1" shapeId="0" xr:uid="{00000000-0006-0000-0100-00003E000000}">
      <text>
        <r>
          <rPr>
            <b/>
            <sz val="9"/>
            <color indexed="81"/>
            <rFont val="Segoe UI"/>
            <family val="2"/>
          </rPr>
          <t xml:space="preserve">* Unidade
</t>
        </r>
        <r>
          <rPr>
            <sz val="9"/>
            <color indexed="81"/>
            <rFont val="Segoe UI"/>
            <family val="2"/>
          </rPr>
          <t xml:space="preserve">01 - código
02 - descrição
03 - data fim
04 - Data Fim
05 - Ativo
06 - comando
</t>
        </r>
      </text>
    </comment>
    <comment ref="E37" authorId="1" shapeId="0" xr:uid="{00000000-0006-0000-0100-00003F000000}">
      <text>
        <r>
          <rPr>
            <sz val="9"/>
            <color indexed="81"/>
            <rFont val="Segoe UI"/>
            <family val="2"/>
          </rPr>
          <t>01 - Unidade</t>
        </r>
      </text>
    </comment>
    <comment ref="D38" authorId="1" shapeId="0" xr:uid="{00000000-0006-0000-0100-000040000000}">
      <text>
        <r>
          <rPr>
            <b/>
            <sz val="9"/>
            <color indexed="81"/>
            <rFont val="Segoe UI"/>
            <family val="2"/>
          </rPr>
          <t xml:space="preserve">* Órgão
</t>
        </r>
        <r>
          <rPr>
            <sz val="9"/>
            <color indexed="81"/>
            <rFont val="Segoe UI"/>
            <family val="2"/>
          </rPr>
          <t xml:space="preserve">01 - código órgão
02 - descrição órgão
03 - cnpj
04 - tipo de órgão
</t>
        </r>
        <r>
          <rPr>
            <b/>
            <sz val="9"/>
            <color indexed="81"/>
            <rFont val="Segoe UI"/>
            <family val="2"/>
          </rPr>
          <t>* Unidade</t>
        </r>
        <r>
          <rPr>
            <sz val="9"/>
            <color indexed="81"/>
            <rFont val="Segoe UI"/>
            <family val="2"/>
          </rPr>
          <t xml:space="preserve">
05 - código unidade
06 - descrição unidade
07 - data fim
08 - ativo
09 - comando</t>
        </r>
      </text>
    </comment>
    <comment ref="E38" authorId="1" shapeId="0" xr:uid="{00000000-0006-0000-0100-000041000000}">
      <text>
        <r>
          <rPr>
            <sz val="9"/>
            <color indexed="81"/>
            <rFont val="Segoe UI"/>
            <family val="2"/>
          </rPr>
          <t>01 - Órgão/Entidade
02 - Unidade</t>
        </r>
      </text>
    </comment>
    <comment ref="D39" authorId="1" shapeId="0" xr:uid="{00000000-0006-0000-0100-000042000000}">
      <text>
        <r>
          <rPr>
            <b/>
            <sz val="9"/>
            <color indexed="81"/>
            <rFont val="Segoe UI"/>
            <family val="2"/>
          </rPr>
          <t xml:space="preserve">* Órgão
</t>
        </r>
        <r>
          <rPr>
            <sz val="9"/>
            <color indexed="81"/>
            <rFont val="Segoe UI"/>
            <family val="2"/>
          </rPr>
          <t>01 - código
02 -  Sigla
03 - Comando</t>
        </r>
      </text>
    </comment>
    <comment ref="E39" authorId="1" shapeId="0" xr:uid="{00000000-0006-0000-0100-000043000000}">
      <text>
        <r>
          <rPr>
            <sz val="9"/>
            <color indexed="81"/>
            <rFont val="Segoe UI"/>
            <family val="2"/>
          </rPr>
          <t>01 - Órgão
02 - Unidade</t>
        </r>
      </text>
    </comment>
    <comment ref="D40" authorId="2" shapeId="0" xr:uid="{00000000-0006-0000-0100-000044000000}">
      <text>
        <r>
          <rPr>
            <b/>
            <sz val="9"/>
            <color indexed="81"/>
            <rFont val="Segoe UI"/>
            <family val="2"/>
          </rPr>
          <t>* Identificação do Imóvel</t>
        </r>
        <r>
          <rPr>
            <sz val="9"/>
            <color indexed="81"/>
            <rFont val="Segoe UI"/>
            <family val="2"/>
          </rPr>
          <t xml:space="preserve">
01 - código
02 - código imóvel
03 - responsável patrimonial
04 - sigla responsável patrimonial
05 - código tipo de ocupação
06 - usuário alteração
07 - data alteração
08 - Tipos de Cadastro
09 - Destinação
10 - Cedido a Cessionário / Concessionário
11 - Data fim Unidade
12 - Cedido - Tipos de Cadastro
13 - Cedido - Cessionário / Concessionário
14 - Cedido - CNPJ
15 - Flag Inventariando Imóvel
16 - Código PF
17 - Nome
18 - Nome Social
19 - CPF
20 - Status PF
21 - Código PJ
22 - Razão Social
23 - Nome Fantasia
24 - CNPJ
25 - Status PF
26 - comando
27 - mensagem</t>
        </r>
      </text>
    </comment>
    <comment ref="E40" authorId="2" shapeId="0" xr:uid="{00000000-0006-0000-0100-000045000000}">
      <text>
        <r>
          <rPr>
            <sz val="9"/>
            <color indexed="81"/>
            <rFont val="Segoe UI"/>
            <family val="2"/>
          </rPr>
          <t>01 - Identificação
02 - Pessoa Jurídica
03 - Imóvel
04 - Pessoa Física
05 - Órgão/Entidade
06 - Unidade</t>
        </r>
      </text>
    </comment>
    <comment ref="D41" authorId="2" shapeId="0" xr:uid="{00000000-0006-0000-0100-000046000000}">
      <text>
        <r>
          <rPr>
            <b/>
            <sz val="9"/>
            <color indexed="81"/>
            <rFont val="Segoe UI"/>
            <family val="2"/>
          </rPr>
          <t>* Identificação do Imóvel</t>
        </r>
        <r>
          <rPr>
            <sz val="9"/>
            <color indexed="81"/>
            <rFont val="Segoe UI"/>
            <family val="2"/>
          </rPr>
          <t xml:space="preserve">
01 - código
02 - código imóvel
03 - responsável patrimonial
04 - sigla responsavel patrimonial
05 - Tipos de Cadastro
06 - Destinação
07 - Cedido a Cessionário / Concessionário
08 - Cedido - Tipos de Cadastro
09 - Cedido - Cessionário / Concessionário
10 - Cedido - CNPJ
11 - Código PF
12 - Nome
13 - Nome Social
14 - CPF
15 - Status PF
16 - Código PJ
17 - Razão Social
18 - Nome Fantasia
19 - CNPJ
20 - Status PF</t>
        </r>
      </text>
    </comment>
    <comment ref="E41" authorId="2" shapeId="0" xr:uid="{00000000-0006-0000-0100-000047000000}">
      <text>
        <r>
          <rPr>
            <sz val="9"/>
            <color indexed="81"/>
            <rFont val="Segoe UI"/>
            <family val="2"/>
          </rPr>
          <t>01 - Identificação
02 - Pessoa Jurídica
03 - Imóvel
04 - Pessoa Física
05 - Órgão/Entidade
06 - Unidade</t>
        </r>
      </text>
    </comment>
    <comment ref="D42" authorId="2" shapeId="0" xr:uid="{00000000-0006-0000-0100-000048000000}">
      <text>
        <r>
          <rPr>
            <b/>
            <sz val="9"/>
            <color indexed="81"/>
            <rFont val="Segoe UI"/>
            <family val="2"/>
          </rPr>
          <t xml:space="preserve">* Ocupantes
</t>
        </r>
        <r>
          <rPr>
            <sz val="9"/>
            <color indexed="81"/>
            <rFont val="Segoe UI"/>
            <family val="2"/>
          </rPr>
          <t xml:space="preserve">01 - código
02 - código identificação
03 - ocupante
04 - data fim unidade
05 - código finalidade da ocupação
06 - código tipo outorga
07 - número documento
08 - início vigência
09 - fim vigência
10 - Tipos de Cadastro
11 - comando
12 - mensagem
</t>
        </r>
      </text>
    </comment>
    <comment ref="E42" authorId="2" shapeId="0" xr:uid="{00000000-0006-0000-0100-000049000000}">
      <text>
        <r>
          <rPr>
            <sz val="9"/>
            <color indexed="81"/>
            <rFont val="Segoe UI"/>
            <family val="2"/>
          </rPr>
          <t>01 - Identificação
02 - Pessoa Jurídica
03 - Imóvel
04 - Pessoa Física
05 - Órgão/Entidade
06 - Unidade</t>
        </r>
      </text>
    </comment>
    <comment ref="D43" authorId="1" shapeId="0" xr:uid="{00000000-0006-0000-0100-00004A000000}">
      <text>
        <r>
          <rPr>
            <b/>
            <sz val="9"/>
            <color indexed="81"/>
            <rFont val="Segoe UI"/>
            <family val="2"/>
          </rPr>
          <t xml:space="preserve">* Finalidade da ocupação
</t>
        </r>
        <r>
          <rPr>
            <sz val="9"/>
            <color indexed="81"/>
            <rFont val="Segoe UI"/>
            <family val="2"/>
          </rPr>
          <t>01 - código
02 - descrição</t>
        </r>
        <r>
          <rPr>
            <b/>
            <sz val="9"/>
            <color indexed="81"/>
            <rFont val="Segoe UI"/>
            <family val="2"/>
          </rPr>
          <t xml:space="preserve">
</t>
        </r>
      </text>
    </comment>
    <comment ref="E43" authorId="2" shapeId="0" xr:uid="{00000000-0006-0000-0100-00004B000000}">
      <text>
        <r>
          <rPr>
            <sz val="9"/>
            <color indexed="81"/>
            <rFont val="Segoe UI"/>
            <family val="2"/>
          </rPr>
          <t xml:space="preserve">01 - Identificação
</t>
        </r>
      </text>
    </comment>
    <comment ref="D44" authorId="1" shapeId="0" xr:uid="{00000000-0006-0000-0100-00004C000000}">
      <text>
        <r>
          <rPr>
            <b/>
            <sz val="9"/>
            <color indexed="81"/>
            <rFont val="Segoe UI"/>
            <family val="2"/>
          </rPr>
          <t xml:space="preserve">* Tipo de outorga
</t>
        </r>
        <r>
          <rPr>
            <sz val="9"/>
            <color indexed="81"/>
            <rFont val="Segoe UI"/>
            <family val="2"/>
          </rPr>
          <t>01 - código
02 - descrição</t>
        </r>
        <r>
          <rPr>
            <b/>
            <sz val="9"/>
            <color indexed="81"/>
            <rFont val="Segoe UI"/>
            <family val="2"/>
          </rPr>
          <t xml:space="preserve">
</t>
        </r>
      </text>
    </comment>
    <comment ref="E44" authorId="2" shapeId="0" xr:uid="{00000000-0006-0000-0100-00004D000000}">
      <text>
        <r>
          <rPr>
            <sz val="9"/>
            <color indexed="81"/>
            <rFont val="Segoe UI"/>
            <family val="2"/>
          </rPr>
          <t xml:space="preserve">01 - Identificação
</t>
        </r>
      </text>
    </comment>
    <comment ref="D45" authorId="2" shapeId="0" xr:uid="{00000000-0006-0000-0100-00004E000000}">
      <text>
        <r>
          <rPr>
            <b/>
            <sz val="9"/>
            <color indexed="81"/>
            <rFont val="Segoe UI"/>
            <family val="2"/>
          </rPr>
          <t xml:space="preserve">* Ocupantes
</t>
        </r>
        <r>
          <rPr>
            <sz val="9"/>
            <color indexed="81"/>
            <rFont val="Segoe UI"/>
            <family val="2"/>
          </rPr>
          <t xml:space="preserve">01 - código
02 - código identificação
03 - ocupante
04- data fim unidade
05 - código finalidade da ocupação
06 - código tipo outorga
07 - justificativa outorga
08 - oneroso
09 - número do contrato
10 - número do processo
11 - valor mensal do contrato
12 - valor anual do contrato
13 - número documento
14 - início vigência
15 - fim vigência
16 - Tipos de Cadastro
17 - comando
18 - mensagem
</t>
        </r>
      </text>
    </comment>
    <comment ref="E45" authorId="2" shapeId="0" xr:uid="{00000000-0006-0000-0100-00004F000000}">
      <text>
        <r>
          <rPr>
            <sz val="9"/>
            <color indexed="81"/>
            <rFont val="Segoe UI"/>
            <family val="2"/>
          </rPr>
          <t>01 - Identificação
02 - Pessoa Jurídica
03 - Imóvel
04 - Pessoa Física
05 - Órgão/Entidade
06 - Unidade</t>
        </r>
      </text>
    </comment>
    <comment ref="D46" authorId="2" shapeId="0" xr:uid="{00000000-0006-0000-0100-000050000000}">
      <text>
        <r>
          <rPr>
            <b/>
            <sz val="9"/>
            <color indexed="81"/>
            <rFont val="Segoe UI"/>
            <family val="2"/>
          </rPr>
          <t xml:space="preserve">* Ocupantes
</t>
        </r>
        <r>
          <rPr>
            <sz val="9"/>
            <color indexed="81"/>
            <rFont val="Segoe UI"/>
            <family val="2"/>
          </rPr>
          <t>01 - código
02 - código identificação
03 - ocupante
04 - código finalidade da ocupação
05 - código tipo outorga
06 - oneroso
07 - número do contrato
08 - número do processo
09 - valor mensal do contrato
10 - valor anual do contrato
11 - número documento
12 - início vigência
13 - fim vigência
14 - Tipos de Cadastro</t>
        </r>
      </text>
    </comment>
    <comment ref="E46" authorId="2" shapeId="0" xr:uid="{00000000-0006-0000-0100-000051000000}">
      <text>
        <r>
          <rPr>
            <sz val="9"/>
            <color indexed="81"/>
            <rFont val="Segoe UI"/>
            <family val="2"/>
          </rPr>
          <t>01 - Identificação
02 - Pessoa Jurídica
03 - Pessoa Física
04 - Órgão/Entidade
05 - Unidade</t>
        </r>
      </text>
    </comment>
    <comment ref="D47" authorId="2" shapeId="0" xr:uid="{00000000-0006-0000-0100-000052000000}">
      <text>
        <r>
          <rPr>
            <b/>
            <sz val="9"/>
            <color indexed="81"/>
            <rFont val="Segoe UI"/>
            <family val="2"/>
          </rPr>
          <t xml:space="preserve">* Ocupantes
</t>
        </r>
        <r>
          <rPr>
            <sz val="9"/>
            <color indexed="81"/>
            <rFont val="Segoe UI"/>
            <family val="2"/>
          </rPr>
          <t xml:space="preserve">01 - código
02 - ocupante
03 - código finalidade da ocupação
04 - código tipo outorga
05 - número documento
06 - início vigência
07 - fim vigência
08 - Tipos de Cadastro
</t>
        </r>
        <r>
          <rPr>
            <b/>
            <sz val="9"/>
            <color indexed="81"/>
            <rFont val="Segoe UI"/>
            <family val="2"/>
          </rPr>
          <t>* Finalidade da ocupação</t>
        </r>
        <r>
          <rPr>
            <sz val="9"/>
            <color indexed="81"/>
            <rFont val="Segoe UI"/>
            <family val="2"/>
          </rPr>
          <t xml:space="preserve">
09 - descrição
</t>
        </r>
        <r>
          <rPr>
            <b/>
            <sz val="9"/>
            <color indexed="81"/>
            <rFont val="Segoe UI"/>
            <family val="2"/>
          </rPr>
          <t>* Tipo de outorga</t>
        </r>
        <r>
          <rPr>
            <sz val="9"/>
            <color indexed="81"/>
            <rFont val="Segoe UI"/>
            <family val="2"/>
          </rPr>
          <t xml:space="preserve">
10 - descrição
</t>
        </r>
        <r>
          <rPr>
            <b/>
            <sz val="9"/>
            <color indexed="81"/>
            <rFont val="Segoe UI"/>
            <family val="2"/>
          </rPr>
          <t xml:space="preserve">* Órgão
</t>
        </r>
        <r>
          <rPr>
            <sz val="9"/>
            <color indexed="81"/>
            <rFont val="Segoe UI"/>
            <family val="2"/>
          </rPr>
          <t>11 - descrição
12 - comando
13 - mensagem</t>
        </r>
      </text>
    </comment>
    <comment ref="E47" authorId="2" shapeId="0" xr:uid="{00000000-0006-0000-0100-000053000000}">
      <text>
        <r>
          <rPr>
            <sz val="9"/>
            <color indexed="81"/>
            <rFont val="Segoe UI"/>
            <family val="2"/>
          </rPr>
          <t>01 - Identificação
02 - Pessoa Jurídica
03 - Pessoa Física</t>
        </r>
      </text>
    </comment>
    <comment ref="D48" authorId="2" shapeId="0" xr:uid="{00000000-0006-0000-0100-000054000000}">
      <text>
        <r>
          <rPr>
            <b/>
            <sz val="9"/>
            <color indexed="81"/>
            <rFont val="Segoe UI"/>
            <family val="2"/>
          </rPr>
          <t xml:space="preserve">* Ocupantes
</t>
        </r>
        <r>
          <rPr>
            <sz val="9"/>
            <color indexed="81"/>
            <rFont val="Segoe UI"/>
            <family val="2"/>
          </rPr>
          <t xml:space="preserve">01 - código
02 - comando
03 - mensagem
</t>
        </r>
      </text>
    </comment>
    <comment ref="E48" authorId="2" shapeId="0" xr:uid="{00000000-0006-0000-0100-000055000000}">
      <text>
        <r>
          <rPr>
            <sz val="9"/>
            <color indexed="81"/>
            <rFont val="Segoe UI"/>
            <family val="2"/>
          </rPr>
          <t xml:space="preserve">01 - Identificação
</t>
        </r>
      </text>
    </comment>
    <comment ref="D49" authorId="2" shapeId="0" xr:uid="{00000000-0006-0000-0100-000056000000}">
      <text>
        <r>
          <rPr>
            <b/>
            <sz val="9"/>
            <color indexed="81"/>
            <rFont val="Segoe UI"/>
            <family val="2"/>
          </rPr>
          <t>* Identificação do Imóvel</t>
        </r>
        <r>
          <rPr>
            <sz val="9"/>
            <color indexed="81"/>
            <rFont val="Segoe UI"/>
            <family val="2"/>
          </rPr>
          <t xml:space="preserve">
01 - código
02 - código imóvel
03 - responsável patrimonial
04 - código tipo de ocupação
05 - Tipos de Cadastro
06 - Destinação
07 - Cedido a Cessionário / Concessionário
08 - Cedido - Tipos de Cadastro
09 - Cedido - Cessionário / Concessionário
10 - Cedido - CNPJ
11 - Código PF
12 - Nome
13 - Nome Social
14 - CPF
15 - Status PF
16 - Código PJ
17 - Razão Social
18 - Nome Fantasia
19 - CNPJ
20 - Status PF
</t>
        </r>
        <r>
          <rPr>
            <b/>
            <sz val="9"/>
            <color indexed="81"/>
            <rFont val="Segoe UI"/>
            <family val="2"/>
          </rPr>
          <t xml:space="preserve">* Ocupantes
</t>
        </r>
        <r>
          <rPr>
            <sz val="9"/>
            <color indexed="81"/>
            <rFont val="Segoe UI"/>
            <family val="2"/>
          </rPr>
          <t xml:space="preserve">21 - ocupante
22 - código finalidade da ocupação
23 - código tipo outorga
24 - oneroso
25 - número do contrato
26 - número do processo
27 - valor mensal do contrato
28 - valor anual do contrato
29- número documento
30 - número documento
31 - início vigência
32 - fim vigência
33 - Tipos de Cadastro
</t>
        </r>
        <r>
          <rPr>
            <b/>
            <sz val="9"/>
            <color indexed="81"/>
            <rFont val="Segoe UI"/>
            <family val="2"/>
          </rPr>
          <t>* Finalidade da Ocupação</t>
        </r>
        <r>
          <rPr>
            <sz val="9"/>
            <color indexed="81"/>
            <rFont val="Segoe UI"/>
            <family val="2"/>
          </rPr>
          <t xml:space="preserve">
34 - descrição
</t>
        </r>
        <r>
          <rPr>
            <b/>
            <sz val="9"/>
            <color indexed="81"/>
            <rFont val="Segoe UI"/>
            <family val="2"/>
          </rPr>
          <t>* Tipo de Outorga</t>
        </r>
        <r>
          <rPr>
            <sz val="9"/>
            <color indexed="81"/>
            <rFont val="Segoe UI"/>
            <family val="2"/>
          </rPr>
          <t xml:space="preserve">
35 - descrição
</t>
        </r>
        <r>
          <rPr>
            <b/>
            <sz val="9"/>
            <color indexed="81"/>
            <rFont val="Segoe UI"/>
            <family val="2"/>
          </rPr>
          <t xml:space="preserve">
* Tipo de Ocupação</t>
        </r>
        <r>
          <rPr>
            <sz val="9"/>
            <color indexed="81"/>
            <rFont val="Segoe UI"/>
            <family val="2"/>
          </rPr>
          <t xml:space="preserve">
36 - descrição
37 - comando
38 - mensagem
</t>
        </r>
      </text>
    </comment>
    <comment ref="E49" authorId="2" shapeId="0" xr:uid="{00000000-0006-0000-0100-000057000000}">
      <text>
        <r>
          <rPr>
            <sz val="9"/>
            <color indexed="81"/>
            <rFont val="Segoe UI"/>
            <family val="2"/>
          </rPr>
          <t>01 - Identificação
02 - Pessoa Jurídica
03 - Pessoa Física
04 - Órgão/Entidade
05 - Unidade</t>
        </r>
      </text>
    </comment>
    <comment ref="D50" authorId="1" shapeId="0" xr:uid="{00000000-0006-0000-0100-000058000000}">
      <text>
        <r>
          <rPr>
            <sz val="9"/>
            <color indexed="81"/>
            <rFont val="Segoe UI"/>
            <family val="2"/>
          </rPr>
          <t>1 - Código PF
2 - Nome
3 - Nome Social
4 - CPF
5 - Status PF
6 - Código PJ
7 - Razão Social
8 - Nome Fantasia
9 - CNPJ
10 - Status PF
11 - Ativo 
12 - comando
13 - mensagem</t>
        </r>
      </text>
    </comment>
    <comment ref="E50" authorId="1" shapeId="0" xr:uid="{00000000-0006-0000-0100-000059000000}">
      <text>
        <r>
          <rPr>
            <sz val="9"/>
            <color indexed="81"/>
            <rFont val="Segoe UI"/>
            <family val="2"/>
          </rPr>
          <t>01 - PF
02 - PJ</t>
        </r>
      </text>
    </comment>
    <comment ref="D51" authorId="3" shapeId="0" xr:uid="{3AE7BC41-1CBF-40AB-A24E-702CCCC45980}">
      <text>
        <r>
          <rPr>
            <sz val="9"/>
            <color indexed="81"/>
            <rFont val="Segoe UI"/>
            <family val="2"/>
          </rPr>
          <t>1 - Órgão
2 - Unidade
3 - Nome
4 - Razão Social
5 - CPF / CNPJ
6 - Nome Fantasia
7 - ID Seap
8 - Situação
9 - CMD
10 - MSG</t>
        </r>
      </text>
    </comment>
    <comment ref="E51" authorId="3" shapeId="0" xr:uid="{5B05CACA-3666-4671-A2E3-263E23F0F60C}">
      <text>
        <r>
          <rPr>
            <sz val="9"/>
            <color indexed="81"/>
            <rFont val="Segoe UI"/>
            <family val="2"/>
          </rPr>
          <t xml:space="preserve">
1-Entidade
2-Unidade</t>
        </r>
      </text>
    </comment>
    <comment ref="D54" authorId="1" shapeId="0" xr:uid="{00000000-0006-0000-0100-00005C000000}">
      <text>
        <r>
          <rPr>
            <b/>
            <sz val="9"/>
            <color indexed="81"/>
            <rFont val="Segoe UI"/>
            <family val="2"/>
          </rPr>
          <t xml:space="preserve">* Município
</t>
        </r>
        <r>
          <rPr>
            <sz val="9"/>
            <color indexed="81"/>
            <rFont val="Segoe UI"/>
            <family val="2"/>
          </rPr>
          <t>01 - código
02 - descrição
03 - código ibge
04 - uf</t>
        </r>
      </text>
    </comment>
    <comment ref="E54" authorId="1" shapeId="0" xr:uid="{00000000-0006-0000-0100-00005D000000}">
      <text>
        <r>
          <rPr>
            <sz val="9"/>
            <color indexed="81"/>
            <rFont val="Segoe UI"/>
            <family val="2"/>
          </rPr>
          <t xml:space="preserve">01 - Município
</t>
        </r>
      </text>
    </comment>
    <comment ref="D55" authorId="1" shapeId="0" xr:uid="{00000000-0006-0000-0100-00005E000000}">
      <text>
        <r>
          <rPr>
            <b/>
            <sz val="9"/>
            <color indexed="81"/>
            <rFont val="Segoe UI"/>
            <family val="2"/>
          </rPr>
          <t xml:space="preserve">* Localização
</t>
        </r>
        <r>
          <rPr>
            <sz val="9"/>
            <color indexed="81"/>
            <rFont val="Segoe UI"/>
            <family val="2"/>
          </rPr>
          <t xml:space="preserve">01 - código
02 - código do imóvel
03 - cep
04 - código município
05 - código ibge
06 - uf
07 - país
08 - logradouro
09 - número
10 - bairro
11 - distrito
12 - tipo de zoneamento
13 - latitude
14 - longitude
15 - usuário cadastro
16 - data cadastro
17 - comando
18 - mensagem
</t>
        </r>
      </text>
    </comment>
    <comment ref="E55" authorId="1" shapeId="0" xr:uid="{00000000-0006-0000-0100-00005F000000}">
      <text>
        <r>
          <rPr>
            <sz val="9"/>
            <color indexed="81"/>
            <rFont val="Segoe UI"/>
            <family val="2"/>
          </rPr>
          <t xml:space="preserve">01 - Imóvel
02 - Município
</t>
        </r>
      </text>
    </comment>
    <comment ref="D56" authorId="1" shapeId="0" xr:uid="{00000000-0006-0000-0100-000060000000}">
      <text>
        <r>
          <rPr>
            <b/>
            <sz val="9"/>
            <color indexed="81"/>
            <rFont val="Segoe UI"/>
            <family val="2"/>
          </rPr>
          <t xml:space="preserve">* Município
</t>
        </r>
        <r>
          <rPr>
            <sz val="9"/>
            <color indexed="81"/>
            <rFont val="Segoe UI"/>
            <family val="2"/>
          </rPr>
          <t>01 - código
02 - descrição
03 - código ibge
04 - uf</t>
        </r>
      </text>
    </comment>
    <comment ref="E56" authorId="1" shapeId="0" xr:uid="{00000000-0006-0000-0100-000061000000}">
      <text>
        <r>
          <rPr>
            <sz val="9"/>
            <color indexed="81"/>
            <rFont val="Segoe UI"/>
            <family val="2"/>
          </rPr>
          <t xml:space="preserve">01 - Município
</t>
        </r>
      </text>
    </comment>
    <comment ref="D57" authorId="1" shapeId="0" xr:uid="{00000000-0006-0000-0100-000062000000}">
      <text>
        <r>
          <rPr>
            <b/>
            <sz val="9"/>
            <color indexed="81"/>
            <rFont val="Segoe UI"/>
            <family val="2"/>
          </rPr>
          <t xml:space="preserve">* Tipo Zoneamento
</t>
        </r>
        <r>
          <rPr>
            <sz val="9"/>
            <color indexed="81"/>
            <rFont val="Segoe UI"/>
            <family val="2"/>
          </rPr>
          <t>01 - código
02 - descrição</t>
        </r>
      </text>
    </comment>
    <comment ref="E57" authorId="1" shapeId="0" xr:uid="{00000000-0006-0000-0100-000063000000}">
      <text>
        <r>
          <rPr>
            <sz val="9"/>
            <color indexed="81"/>
            <rFont val="Segoe UI"/>
            <family val="2"/>
          </rPr>
          <t>01 - Imóvel</t>
        </r>
        <r>
          <rPr>
            <b/>
            <sz val="9"/>
            <color indexed="81"/>
            <rFont val="Segoe UI"/>
            <family val="2"/>
          </rPr>
          <t xml:space="preserve">
</t>
        </r>
        <r>
          <rPr>
            <sz val="9"/>
            <color indexed="81"/>
            <rFont val="Segoe UI"/>
            <family val="2"/>
          </rPr>
          <t xml:space="preserve">
</t>
        </r>
      </text>
    </comment>
    <comment ref="D58" authorId="1" shapeId="0" xr:uid="{00000000-0006-0000-0100-000064000000}">
      <text>
        <r>
          <rPr>
            <b/>
            <sz val="9"/>
            <color indexed="81"/>
            <rFont val="Segoe UI"/>
            <family val="2"/>
          </rPr>
          <t xml:space="preserve">* Tipo Unidade de Medida
</t>
        </r>
        <r>
          <rPr>
            <sz val="9"/>
            <color indexed="81"/>
            <rFont val="Segoe UI"/>
            <family val="2"/>
          </rPr>
          <t xml:space="preserve">01 - código
02 - descrição
</t>
        </r>
      </text>
    </comment>
    <comment ref="E58" authorId="1" shapeId="0" xr:uid="{00000000-0006-0000-0100-000065000000}">
      <text>
        <r>
          <rPr>
            <sz val="9"/>
            <color indexed="81"/>
            <rFont val="Segoe UI"/>
            <family val="2"/>
          </rPr>
          <t>01 - Imóvel</t>
        </r>
        <r>
          <rPr>
            <b/>
            <sz val="9"/>
            <color indexed="81"/>
            <rFont val="Segoe UI"/>
            <family val="2"/>
          </rPr>
          <t xml:space="preserve">
</t>
        </r>
        <r>
          <rPr>
            <sz val="9"/>
            <color indexed="81"/>
            <rFont val="Segoe UI"/>
            <family val="2"/>
          </rPr>
          <t xml:space="preserve">
</t>
        </r>
      </text>
    </comment>
    <comment ref="D59" authorId="1" shapeId="0" xr:uid="{00000000-0006-0000-0100-000066000000}">
      <text>
        <r>
          <rPr>
            <b/>
            <sz val="9"/>
            <color indexed="81"/>
            <rFont val="Segoe UI"/>
            <family val="2"/>
          </rPr>
          <t xml:space="preserve">* Localização
</t>
        </r>
        <r>
          <rPr>
            <sz val="9"/>
            <color indexed="81"/>
            <rFont val="Segoe UI"/>
            <family val="2"/>
          </rPr>
          <t xml:space="preserve">01 - código
02 - código do imóvel
03 - cep
04 - código município
05 - código ibge
06 - uf
07 - país
08 - logradouro
09 - número
10 - bairro
11 - distrito
12 - tipo de zoneamento
13 - latitude
14 - longitude
15 - usuário alteração
16 - data alteração
17 - Flag Inventariando Imóvel
18 - comando
19 - mensagem
</t>
        </r>
      </text>
    </comment>
    <comment ref="E59" authorId="1" shapeId="0" xr:uid="{00000000-0006-0000-0100-000067000000}">
      <text>
        <r>
          <rPr>
            <sz val="9"/>
            <color indexed="81"/>
            <rFont val="Segoe UI"/>
            <family val="2"/>
          </rPr>
          <t xml:space="preserve">01 - Imóvel
02 - Município
</t>
        </r>
      </text>
    </comment>
    <comment ref="D60" authorId="1" shapeId="0" xr:uid="{00000000-0006-0000-0100-000068000000}">
      <text>
        <r>
          <rPr>
            <b/>
            <sz val="9"/>
            <color indexed="81"/>
            <rFont val="Segoe UI"/>
            <family val="2"/>
          </rPr>
          <t xml:space="preserve">* Localização
</t>
        </r>
        <r>
          <rPr>
            <sz val="9"/>
            <color indexed="81"/>
            <rFont val="Segoe UI"/>
            <family val="2"/>
          </rPr>
          <t xml:space="preserve">01 - código
02 - código do imóvel
03 - cep
04 - código município
05 - código ibge
06 - uf
07 - país
08 - logradouro
09 - número
10 - bairro
11 - distrito
12 - tipo de zoneamento
13 - latitude
14 - longitude
</t>
        </r>
      </text>
    </comment>
    <comment ref="E60" authorId="1" shapeId="0" xr:uid="{00000000-0006-0000-0100-000069000000}">
      <text>
        <r>
          <rPr>
            <sz val="9"/>
            <color indexed="81"/>
            <rFont val="Segoe UI"/>
            <family val="2"/>
          </rPr>
          <t>01 - Imóvel</t>
        </r>
        <r>
          <rPr>
            <b/>
            <sz val="9"/>
            <color indexed="81"/>
            <rFont val="Segoe UI"/>
            <family val="2"/>
          </rPr>
          <t xml:space="preserve">
</t>
        </r>
        <r>
          <rPr>
            <sz val="9"/>
            <color indexed="81"/>
            <rFont val="Segoe UI"/>
            <family val="2"/>
          </rPr>
          <t xml:space="preserve">
</t>
        </r>
      </text>
    </comment>
    <comment ref="D61" authorId="1" shapeId="0" xr:uid="{00000000-0006-0000-0100-00006A000000}">
      <text>
        <r>
          <rPr>
            <b/>
            <sz val="9"/>
            <color indexed="81"/>
            <rFont val="Segoe UI"/>
            <family val="2"/>
          </rPr>
          <t xml:space="preserve">* Localização
</t>
        </r>
        <r>
          <rPr>
            <sz val="9"/>
            <color indexed="81"/>
            <rFont val="Segoe UI"/>
            <family val="2"/>
          </rPr>
          <t xml:space="preserve">01 - código
02 - código do imóvel
03 - cep
04 - código município
05 - código ibge
06 - uf
07 - país
08 - logradouro
09 - número
10 - bairro
11 - distrito
12 - tipo de zoneamento
13 - latitude
14 - longitude
</t>
        </r>
        <r>
          <rPr>
            <b/>
            <sz val="9"/>
            <color indexed="81"/>
            <rFont val="Segoe UI"/>
            <family val="2"/>
          </rPr>
          <t>* Município</t>
        </r>
        <r>
          <rPr>
            <sz val="9"/>
            <color indexed="81"/>
            <rFont val="Segoe UI"/>
            <family val="2"/>
          </rPr>
          <t xml:space="preserve">
15 - descrição
</t>
        </r>
        <r>
          <rPr>
            <b/>
            <sz val="9"/>
            <color indexed="81"/>
            <rFont val="Segoe UI"/>
            <family val="2"/>
          </rPr>
          <t xml:space="preserve">
* Tipo Zoneamento</t>
        </r>
        <r>
          <rPr>
            <sz val="9"/>
            <color indexed="81"/>
            <rFont val="Segoe UI"/>
            <family val="2"/>
          </rPr>
          <t xml:space="preserve">
16 - descrição
</t>
        </r>
        <r>
          <rPr>
            <b/>
            <sz val="9"/>
            <color indexed="81"/>
            <rFont val="Segoe UI"/>
            <family val="2"/>
          </rPr>
          <t>* Tipo Unidade de Medida</t>
        </r>
        <r>
          <rPr>
            <sz val="9"/>
            <color indexed="81"/>
            <rFont val="Segoe UI"/>
            <family val="2"/>
          </rPr>
          <t xml:space="preserve">
17 - descrição
18 - comando
19 - mensagem</t>
        </r>
      </text>
    </comment>
    <comment ref="E61" authorId="1" shapeId="0" xr:uid="{00000000-0006-0000-0100-00006B000000}">
      <text>
        <r>
          <rPr>
            <sz val="9"/>
            <color indexed="81"/>
            <rFont val="Segoe UI"/>
            <family val="2"/>
          </rPr>
          <t>01 - Imóvel</t>
        </r>
        <r>
          <rPr>
            <b/>
            <sz val="9"/>
            <color indexed="81"/>
            <rFont val="Segoe UI"/>
            <family val="2"/>
          </rPr>
          <t xml:space="preserve">
</t>
        </r>
        <r>
          <rPr>
            <sz val="9"/>
            <color indexed="81"/>
            <rFont val="Segoe UI"/>
            <family val="2"/>
          </rPr>
          <t xml:space="preserve">02 - Município
</t>
        </r>
      </text>
    </comment>
    <comment ref="D62" authorId="1" shapeId="0" xr:uid="{00000000-0006-0000-0100-00006C000000}">
      <text>
        <r>
          <rPr>
            <b/>
            <sz val="9"/>
            <color indexed="81"/>
            <rFont val="Segoe UI"/>
            <family val="2"/>
          </rPr>
          <t xml:space="preserve">* Localização
</t>
        </r>
        <r>
          <rPr>
            <sz val="9"/>
            <color indexed="81"/>
            <rFont val="Segoe UI"/>
            <family val="2"/>
          </rPr>
          <t>01 - código do imóvel
02 - matricula
03 - livro
04 - folha
05 - descrição
06 - área total
07 - comando
08 - mensagem</t>
        </r>
      </text>
    </comment>
    <comment ref="E62" authorId="1" shapeId="0" xr:uid="{00000000-0006-0000-0100-00006D000000}">
      <text>
        <r>
          <rPr>
            <sz val="9"/>
            <color indexed="81"/>
            <rFont val="Segoe UI"/>
            <family val="2"/>
          </rPr>
          <t>01 - Imóvel</t>
        </r>
        <r>
          <rPr>
            <sz val="9"/>
            <color indexed="81"/>
            <rFont val="Segoe UI"/>
            <family val="2"/>
          </rPr>
          <t xml:space="preserve">
</t>
        </r>
      </text>
    </comment>
    <comment ref="D63" authorId="1" shapeId="0" xr:uid="{00000000-0006-0000-0100-00006E000000}">
      <text>
        <r>
          <rPr>
            <b/>
            <sz val="9"/>
            <color indexed="81"/>
            <rFont val="Segoe UI"/>
            <family val="2"/>
          </rPr>
          <t xml:space="preserve">* Localização
</t>
        </r>
        <r>
          <rPr>
            <sz val="9"/>
            <color indexed="81"/>
            <rFont val="Segoe UI"/>
            <family val="2"/>
          </rPr>
          <t>01 - código do imóvel
02 - matricula
03 - livro
04 - folha
05 - descrição
06 - área total
07 - comando
08 - mensagem</t>
        </r>
      </text>
    </comment>
    <comment ref="E63" authorId="1" shapeId="0" xr:uid="{00000000-0006-0000-0100-00006F000000}">
      <text>
        <r>
          <rPr>
            <sz val="9"/>
            <color indexed="81"/>
            <rFont val="Segoe UI"/>
            <family val="2"/>
          </rPr>
          <t>01 - Imóvel</t>
        </r>
        <r>
          <rPr>
            <sz val="9"/>
            <color indexed="81"/>
            <rFont val="Segoe UI"/>
            <family val="2"/>
          </rPr>
          <t xml:space="preserve">
</t>
        </r>
      </text>
    </comment>
    <comment ref="D64" authorId="1" shapeId="0" xr:uid="{00000000-0006-0000-0100-000070000000}">
      <text>
        <r>
          <rPr>
            <b/>
            <sz val="9"/>
            <color indexed="81"/>
            <rFont val="Segoe UI"/>
            <family val="2"/>
          </rPr>
          <t xml:space="preserve">* Localização
</t>
        </r>
        <r>
          <rPr>
            <sz val="9"/>
            <color indexed="81"/>
            <rFont val="Segoe UI"/>
            <family val="2"/>
          </rPr>
          <t>01 - código do imóvel
02 - comando
03 - mensagem</t>
        </r>
      </text>
    </comment>
    <comment ref="E64" authorId="1" shapeId="0" xr:uid="{00000000-0006-0000-0100-000071000000}">
      <text>
        <r>
          <rPr>
            <sz val="9"/>
            <color indexed="81"/>
            <rFont val="Segoe UI"/>
            <family val="2"/>
          </rPr>
          <t>01 - Imóvel</t>
        </r>
        <r>
          <rPr>
            <sz val="9"/>
            <color indexed="81"/>
            <rFont val="Segoe UI"/>
            <family val="2"/>
          </rPr>
          <t xml:space="preserve">
</t>
        </r>
      </text>
    </comment>
    <comment ref="D65" authorId="3" shapeId="0" xr:uid="{FB42329E-6C00-4735-8A2E-F3BB907C7655}">
      <text>
        <r>
          <rPr>
            <sz val="9"/>
            <color indexed="81"/>
            <rFont val="Segoe UI"/>
            <family val="2"/>
          </rPr>
          <t xml:space="preserve">
1-logradouro 
2-bairro 
3-município
4-UF 
5-CEP</t>
        </r>
      </text>
    </comment>
    <comment ref="E65" authorId="1" shapeId="0" xr:uid="{A9BE6A0B-9773-4002-95DD-145D78382896}">
      <text>
        <r>
          <rPr>
            <sz val="9"/>
            <color indexed="81"/>
            <rFont val="Segoe UI"/>
            <family val="2"/>
          </rPr>
          <t>1-ArcGIS - Endereço</t>
        </r>
      </text>
    </comment>
    <comment ref="D66" authorId="3" shapeId="0" xr:uid="{D0DF8EF9-9521-4398-92A1-8F047C04447E}">
      <text>
        <r>
          <rPr>
            <sz val="9"/>
            <color indexed="81"/>
            <rFont val="Segoe UI"/>
            <family val="2"/>
          </rPr>
          <t xml:space="preserve">
1-logradouro 
2-bairro 
3-município
4-UF 
5-CEP
6-CMD</t>
        </r>
      </text>
    </comment>
    <comment ref="E66" authorId="1" shapeId="0" xr:uid="{BE90A951-F715-4CA7-9ECD-EEEA10A4DF3E}">
      <text>
        <r>
          <rPr>
            <sz val="9"/>
            <color indexed="81"/>
            <rFont val="Segoe UI"/>
            <family val="2"/>
          </rPr>
          <t>1-ArcGIS - Endereço</t>
        </r>
      </text>
    </comment>
    <comment ref="D71" authorId="1" shapeId="0" xr:uid="{00000000-0006-0000-0100-000072000000}">
      <text>
        <r>
          <rPr>
            <b/>
            <sz val="9"/>
            <color indexed="81"/>
            <rFont val="Segoe UI"/>
            <family val="2"/>
          </rPr>
          <t xml:space="preserve">* Imóvel
</t>
        </r>
        <r>
          <rPr>
            <sz val="9"/>
            <color indexed="81"/>
            <rFont val="Segoe UI"/>
            <family val="2"/>
          </rPr>
          <t>01 - código
02 - matrícula
03 - RIP
04 - comando
05 - mensagem</t>
        </r>
      </text>
    </comment>
    <comment ref="E71" authorId="2" shapeId="0" xr:uid="{00000000-0006-0000-0100-000073000000}">
      <text>
        <r>
          <rPr>
            <sz val="9"/>
            <color indexed="81"/>
            <rFont val="Segoe UI"/>
            <family val="2"/>
          </rPr>
          <t>01 - Imóvel</t>
        </r>
      </text>
    </comment>
    <comment ref="D74" authorId="2" shapeId="0" xr:uid="{00000000-0006-0000-0100-000074000000}">
      <text>
        <r>
          <rPr>
            <sz val="9"/>
            <color indexed="81"/>
            <rFont val="Segoe UI"/>
            <family val="2"/>
          </rPr>
          <t>* Vínculo Imóvel
01 - código
02 - código matrícula pai
03 - código imóvel filho
04 - flag ativo
05 - usuário cadastro
06 - usuário alteração
07 - data cadastro
08 - data alteração
* Controle de Matrícula
09 - código
10 - código matrícula pai
11 - dígito atual
12 - usuário cadastro
13 - usuário alteração
14 - data cadastro
15 - data alteração
16 - N° Livro
17 - N° Folha
18 - Descrição
19 - Área Construída
20 - Nº Ficha
21 - Data de registro
22 - Cartório
23 - Objeto
24 - Anexo
25 - Data Vínculo</t>
        </r>
      </text>
    </comment>
    <comment ref="E74" authorId="1" shapeId="0" xr:uid="{00000000-0006-0000-0100-000075000000}">
      <text>
        <r>
          <rPr>
            <sz val="9"/>
            <color indexed="81"/>
            <rFont val="Segoe UI"/>
            <family val="2"/>
          </rPr>
          <t xml:space="preserve">01 - Vínculo Imóvel
02 - Controle de Matrícula
</t>
        </r>
      </text>
    </comment>
    <comment ref="D75" authorId="2" shapeId="0" xr:uid="{00000000-0006-0000-0100-000076000000}">
      <text>
        <r>
          <rPr>
            <b/>
            <sz val="9"/>
            <color indexed="81"/>
            <rFont val="Segoe UI"/>
            <family val="2"/>
          </rPr>
          <t xml:space="preserve">* Vínculo Imóvel
</t>
        </r>
        <r>
          <rPr>
            <sz val="9"/>
            <color indexed="81"/>
            <rFont val="Segoe UI"/>
            <family val="2"/>
          </rPr>
          <t xml:space="preserve">01 - código
02 - código matrícula pai
03 - código imóvel filho
04 - flag ativo
05 - usuário cadastro
06 - data cadastro
</t>
        </r>
        <r>
          <rPr>
            <b/>
            <sz val="9"/>
            <color indexed="81"/>
            <rFont val="Segoe UI"/>
            <family val="2"/>
          </rPr>
          <t xml:space="preserve">
* Controle de Matrícula
</t>
        </r>
        <r>
          <rPr>
            <sz val="9"/>
            <color indexed="81"/>
            <rFont val="Segoe UI"/>
            <family val="2"/>
          </rPr>
          <t xml:space="preserve">07 - código
08 - código matrícula pai
09 - dígito atual
10 - usuário cadastro
11 - data cadastro
</t>
        </r>
        <r>
          <rPr>
            <b/>
            <sz val="9"/>
            <color indexed="81"/>
            <rFont val="Segoe UI"/>
            <family val="2"/>
          </rPr>
          <t>* Imóvel</t>
        </r>
        <r>
          <rPr>
            <sz val="9"/>
            <color indexed="81"/>
            <rFont val="Segoe UI"/>
            <family val="2"/>
          </rPr>
          <t xml:space="preserve">
12 - código
13 - matrícula
14 - usuário cadastro
15 - usuário alteração
16 - Flag Inventariando Imóvel
17 - N° Livro
18 - N° Folha
19 - Descrição
20 - Área Construída
21 - Nº Ficha
22 - Data de registro
23 - Cartório
24 - Objeto
25 - Anexo
26 - Data Vínculo
27 - comando
28 - mensagem</t>
        </r>
      </text>
    </comment>
    <comment ref="E75" authorId="1" shapeId="0" xr:uid="{00000000-0006-0000-0100-000077000000}">
      <text>
        <r>
          <rPr>
            <sz val="9"/>
            <color indexed="81"/>
            <rFont val="Segoe UI"/>
            <family val="2"/>
          </rPr>
          <t>01 - Vínculo Imóvel
02 - Imóvel
03 - Matrícula Pai
04 - Cartório</t>
        </r>
      </text>
    </comment>
    <comment ref="D76" authorId="2" shapeId="0" xr:uid="{00000000-0006-0000-0100-000078000000}">
      <text>
        <r>
          <rPr>
            <b/>
            <sz val="9"/>
            <color indexed="81"/>
            <rFont val="Segoe UI"/>
            <family val="2"/>
          </rPr>
          <t xml:space="preserve">* Vínculo Imóvel
</t>
        </r>
        <r>
          <rPr>
            <sz val="9"/>
            <color indexed="81"/>
            <rFont val="Segoe UI"/>
            <family val="2"/>
          </rPr>
          <t xml:space="preserve">01 - código
02 - flag ativo
03 - usuário alteração
04 - data alteração
</t>
        </r>
        <r>
          <rPr>
            <b/>
            <sz val="9"/>
            <color indexed="81"/>
            <rFont val="Segoe UI"/>
            <family val="2"/>
          </rPr>
          <t>* Imóvel</t>
        </r>
        <r>
          <rPr>
            <sz val="9"/>
            <color indexed="81"/>
            <rFont val="Segoe UI"/>
            <family val="2"/>
          </rPr>
          <t xml:space="preserve">
05 - código
06 - matrícula
07 - usuário alteração
08 - data alteração
09 - Flag Inventariando Imóvel
10 - comando
11 - mensagem</t>
        </r>
      </text>
    </comment>
    <comment ref="E76" authorId="1" shapeId="0" xr:uid="{00000000-0006-0000-0100-000079000000}">
      <text>
        <r>
          <rPr>
            <sz val="9"/>
            <color indexed="81"/>
            <rFont val="Segoe UI"/>
            <family val="2"/>
          </rPr>
          <t>01 - Vínculo Imóvel
02 - Matrícula Pai
03 - Imóvel</t>
        </r>
      </text>
    </comment>
    <comment ref="D77" authorId="2" shapeId="0" xr:uid="{00000000-0006-0000-0100-00007A000000}">
      <text>
        <r>
          <rPr>
            <b/>
            <sz val="9"/>
            <color indexed="81"/>
            <rFont val="Segoe UI"/>
            <family val="2"/>
          </rPr>
          <t>* Vínculo Imóvel</t>
        </r>
        <r>
          <rPr>
            <sz val="9"/>
            <color indexed="81"/>
            <rFont val="Segoe UI"/>
            <family val="2"/>
          </rPr>
          <t xml:space="preserve">
01 - código imóvel pai
02 - código imóvel filho
03 - data do vínculo
04 - flag ativo
</t>
        </r>
        <r>
          <rPr>
            <b/>
            <sz val="9"/>
            <color indexed="81"/>
            <rFont val="Segoe UI"/>
            <family val="2"/>
          </rPr>
          <t>* Imóvel</t>
        </r>
        <r>
          <rPr>
            <sz val="9"/>
            <color indexed="81"/>
            <rFont val="Segoe UI"/>
            <family val="2"/>
          </rPr>
          <t xml:space="preserve">
05 - nome do imóvel
06 - matrícula
07 - RIP
</t>
        </r>
        <r>
          <rPr>
            <b/>
            <sz val="9"/>
            <color indexed="81"/>
            <rFont val="Segoe UI"/>
            <family val="2"/>
          </rPr>
          <t>* Identificação do Imóvel</t>
        </r>
        <r>
          <rPr>
            <sz val="9"/>
            <color indexed="81"/>
            <rFont val="Segoe UI"/>
            <family val="2"/>
          </rPr>
          <t xml:space="preserve">
08 - titularidade
09 - responsável patrimonial
</t>
        </r>
        <r>
          <rPr>
            <b/>
            <sz val="9"/>
            <color indexed="81"/>
            <rFont val="Segoe UI"/>
            <family val="2"/>
          </rPr>
          <t xml:space="preserve">* Pessoa 
</t>
        </r>
        <r>
          <rPr>
            <sz val="9"/>
            <color indexed="81"/>
            <rFont val="Segoe UI"/>
            <family val="2"/>
          </rPr>
          <t xml:space="preserve">10 - nome
</t>
        </r>
        <r>
          <rPr>
            <b/>
            <sz val="9"/>
            <color indexed="81"/>
            <rFont val="Segoe UI"/>
            <family val="2"/>
          </rPr>
          <t>* Localização</t>
        </r>
        <r>
          <rPr>
            <sz val="9"/>
            <color indexed="81"/>
            <rFont val="Segoe UI"/>
            <family val="2"/>
          </rPr>
          <t xml:space="preserve">
11 - código município
</t>
        </r>
        <r>
          <rPr>
            <b/>
            <sz val="9"/>
            <color indexed="81"/>
            <rFont val="Segoe UI"/>
            <family val="2"/>
          </rPr>
          <t xml:space="preserve">* Município
</t>
        </r>
        <r>
          <rPr>
            <sz val="9"/>
            <color indexed="81"/>
            <rFont val="Segoe UI"/>
            <family val="2"/>
          </rPr>
          <t xml:space="preserve">12 - descrição
</t>
        </r>
        <r>
          <rPr>
            <b/>
            <sz val="9"/>
            <color indexed="81"/>
            <rFont val="Segoe UI"/>
            <family val="2"/>
          </rPr>
          <t xml:space="preserve">
* Vistorias do Imóvel</t>
        </r>
        <r>
          <rPr>
            <sz val="9"/>
            <color indexed="81"/>
            <rFont val="Segoe UI"/>
            <family val="2"/>
          </rPr>
          <t xml:space="preserve">
13 - código imóvel
</t>
        </r>
        <r>
          <rPr>
            <b/>
            <sz val="9"/>
            <color indexed="81"/>
            <rFont val="Segoe UI"/>
            <family val="2"/>
          </rPr>
          <t xml:space="preserve">
* Avaliação</t>
        </r>
        <r>
          <rPr>
            <sz val="9"/>
            <color indexed="81"/>
            <rFont val="Segoe UI"/>
            <family val="2"/>
          </rPr>
          <t xml:space="preserve">
14 - valor do imóvel calculado
15 - Quantidade 
16 - Valor total
18 - comando
18 - mensagem1</t>
        </r>
      </text>
    </comment>
    <comment ref="E77" authorId="2" shapeId="0" xr:uid="{00000000-0006-0000-0100-00007B000000}">
      <text>
        <r>
          <rPr>
            <sz val="9"/>
            <color indexed="81"/>
            <rFont val="Segoe UI"/>
            <family val="2"/>
          </rPr>
          <t>01 - Vínculo Imóvel
02 - Imóvel
03 - Identificação
04 - Órgão
05 - Vistorias do Imóvel</t>
        </r>
      </text>
    </comment>
    <comment ref="D78" authorId="2" shapeId="0" xr:uid="{00000000-0006-0000-0100-00007C000000}">
      <text>
        <r>
          <rPr>
            <b/>
            <sz val="9"/>
            <color indexed="81"/>
            <rFont val="Segoe UI"/>
            <family val="2"/>
          </rPr>
          <t xml:space="preserve">* Vínculo Imóvel
</t>
        </r>
        <r>
          <rPr>
            <sz val="9"/>
            <color indexed="81"/>
            <rFont val="Segoe UI"/>
            <family val="2"/>
          </rPr>
          <t xml:space="preserve">01 - código
02 - código imóvel pai
03 - código imóvel filho
04 - flag ativo
</t>
        </r>
        <r>
          <rPr>
            <b/>
            <sz val="9"/>
            <color indexed="81"/>
            <rFont val="Segoe UI"/>
            <family val="2"/>
          </rPr>
          <t>* Matrícula Pai</t>
        </r>
        <r>
          <rPr>
            <sz val="9"/>
            <color indexed="81"/>
            <rFont val="Segoe UI"/>
            <family val="2"/>
          </rPr>
          <t xml:space="preserve">
05 - matrícula
06 - município
07 - área total do terreno
08 - descrição
09 - quantidade de vínculos 
</t>
        </r>
        <r>
          <rPr>
            <b/>
            <sz val="9"/>
            <color indexed="81"/>
            <rFont val="Segoe UI"/>
            <family val="2"/>
          </rPr>
          <t xml:space="preserve">* Município
</t>
        </r>
        <r>
          <rPr>
            <sz val="9"/>
            <color indexed="81"/>
            <rFont val="Segoe UI"/>
            <family val="2"/>
          </rPr>
          <t xml:space="preserve">10 - descrição
11 - comando
12 - mensagem
</t>
        </r>
      </text>
    </comment>
    <comment ref="E78" authorId="2" shapeId="0" xr:uid="{00000000-0006-0000-0100-00007D000000}">
      <text>
        <r>
          <rPr>
            <sz val="9"/>
            <color indexed="81"/>
            <rFont val="Segoe UI"/>
            <family val="2"/>
          </rPr>
          <t>01 - Vínculo Imóvel
02 - Matrícula Pai
03 - Município
04 - Imóvel</t>
        </r>
      </text>
    </comment>
    <comment ref="D81" authorId="2" shapeId="0" xr:uid="{00000000-0006-0000-0100-00007E000000}">
      <text>
        <r>
          <rPr>
            <b/>
            <sz val="9"/>
            <color indexed="81"/>
            <rFont val="Segoe UI"/>
            <family val="2"/>
          </rPr>
          <t xml:space="preserve">* Vistorias do Imóvel
</t>
        </r>
        <r>
          <rPr>
            <sz val="9"/>
            <color indexed="81"/>
            <rFont val="Segoe UI"/>
            <family val="2"/>
          </rPr>
          <t xml:space="preserve">01 - código
02 - código imóvel
03 - área total do terreno
04 - área construída
05 - vida útil aparente
06 - custo metro quadrado
07 - código estado de conservação
08 - custo cub metro quadrado
09 - usuário cadastro
10 - usuário alteração
11 - data cadastro
12 - data alteração
13 - avaliador
14 - cpf avalidador
15 - número do registro profissional do avaliador
16 - data da vistoria
</t>
        </r>
        <r>
          <rPr>
            <b/>
            <sz val="9"/>
            <color indexed="81"/>
            <rFont val="Segoe UI"/>
            <family val="2"/>
          </rPr>
          <t xml:space="preserve">
* Tipo Estado de Conservação</t>
        </r>
        <r>
          <rPr>
            <sz val="9"/>
            <color indexed="81"/>
            <rFont val="Segoe UI"/>
            <family val="2"/>
          </rPr>
          <t xml:space="preserve">
17 - código
18 - descrição
19 - usuário cadastro
20 - usuário alteração
21 - data cadastro
22 - data alteração
</t>
        </r>
        <r>
          <rPr>
            <b/>
            <sz val="9"/>
            <color indexed="81"/>
            <rFont val="Segoe UI"/>
            <family val="2"/>
          </rPr>
          <t xml:space="preserve">* Vistoria Idade por Estado
</t>
        </r>
        <r>
          <rPr>
            <sz val="9"/>
            <color indexed="81"/>
            <rFont val="Segoe UI"/>
            <family val="2"/>
          </rPr>
          <t xml:space="preserve">23 - código
24 - código tipo estado de conservação
25 - idade
26 - valor
27 - usuário cadastro
28 - usuário alteração
29 - data cadastro
30 - data alteração
</t>
        </r>
        <r>
          <rPr>
            <b/>
            <sz val="9"/>
            <color indexed="81"/>
            <rFont val="Segoe UI"/>
            <family val="2"/>
          </rPr>
          <t xml:space="preserve">* Avaliação
</t>
        </r>
        <r>
          <rPr>
            <sz val="9"/>
            <color indexed="81"/>
            <rFont val="Segoe UI"/>
            <family val="2"/>
          </rPr>
          <t xml:space="preserve">31 - código
32 - código vistoria
33 - valor do terreno calculado
34 - valor da edificação calculado
35 - valor do imóvel calculado
36 - valor idade em percentual duração calculado
37 - valor reedição edificação calculado
38 - valor fator depreciação calculado
39 - valor custo reedição edificação depreciação calculado
40 - valor fator serviços externos calculado
41 - valor estado de conservação imóvel calculado
42 - vida útil remanescente
43 - usuário cadastro
44 - usuário alteração
45 - data cadastro
46 - data alteração
47 - avaliador
48 - cpf avalidador
49 - número do registro profissional do avaliador
50 - data da vistoria
51 - número da vistoria 
</t>
        </r>
        <r>
          <rPr>
            <b/>
            <sz val="9"/>
            <color indexed="81"/>
            <rFont val="Segoe UI"/>
            <family val="2"/>
          </rPr>
          <t xml:space="preserve">* Documento Vistoria
</t>
        </r>
        <r>
          <rPr>
            <sz val="9"/>
            <color indexed="81"/>
            <rFont val="Segoe UI"/>
            <family val="2"/>
          </rPr>
          <t xml:space="preserve">52 - código
53 - código vistoria
54 - código tipo documento vistoria
55 - arquivo
56 - descrição
57 - tipo arquivo
58 - tamanho do arquivo
59 - usuário cadastro
60 - usuário alteração
61 - data cadastro
62 - data alteração
</t>
        </r>
        <r>
          <rPr>
            <b/>
            <sz val="9"/>
            <color indexed="81"/>
            <rFont val="Segoe UI"/>
            <family val="2"/>
          </rPr>
          <t xml:space="preserve">* Tipo Documento Vistoria
</t>
        </r>
        <r>
          <rPr>
            <sz val="9"/>
            <color indexed="81"/>
            <rFont val="Segoe UI"/>
            <family val="2"/>
          </rPr>
          <t xml:space="preserve">63 - código
64 - descrição
65 - usuário cadastro
66 - usuário alteração
67 - data cadastro
68 - data alteração
</t>
        </r>
      </text>
    </comment>
    <comment ref="E81" authorId="2" shapeId="0" xr:uid="{00000000-0006-0000-0100-00007F000000}">
      <text>
        <r>
          <rPr>
            <sz val="9"/>
            <color indexed="81"/>
            <rFont val="Segoe UI"/>
            <family val="2"/>
          </rPr>
          <t>01 - Vistorias do Imóvel
02 - Tipo Estado de Conservação
03 - Vistoria Idade por Estado
04 - Avaliação
05 - Documento Vistoria
06 - Tipo Documento Vistoria</t>
        </r>
      </text>
    </comment>
    <comment ref="D82" authorId="2" shapeId="0" xr:uid="{00000000-0006-0000-0100-000080000000}">
      <text>
        <r>
          <rPr>
            <b/>
            <sz val="9"/>
            <color indexed="81"/>
            <rFont val="Segoe UI"/>
            <family val="2"/>
          </rPr>
          <t xml:space="preserve">* Vistorias do Imóvel
</t>
        </r>
        <r>
          <rPr>
            <sz val="9"/>
            <color indexed="81"/>
            <rFont val="Segoe UI"/>
            <family val="2"/>
          </rPr>
          <t xml:space="preserve">01 - código
02 - código imóvel
03 - área total do terreno
04 - área construída
05 - vida útil aparente
06 - custo metro quadrado
07 - código estado de conservação
08 - custo cub metro quadrado
09 - usuário cadastro
10 - data cadastro
11 - avaliador
12 - cpf avalidador
13 - número do registro profissional do avaliador
14 - data da vistoria
</t>
        </r>
        <r>
          <rPr>
            <b/>
            <sz val="9"/>
            <color indexed="81"/>
            <rFont val="Segoe UI"/>
            <family val="2"/>
          </rPr>
          <t xml:space="preserve">* Imóvel
</t>
        </r>
        <r>
          <rPr>
            <sz val="9"/>
            <color indexed="81"/>
            <rFont val="Segoe UI"/>
            <family val="2"/>
          </rPr>
          <t xml:space="preserve">15 - flag edificado
16 - comando
17 - mensagem
</t>
        </r>
        <r>
          <rPr>
            <b/>
            <sz val="9"/>
            <color indexed="81"/>
            <rFont val="Segoe UI"/>
            <family val="2"/>
          </rPr>
          <t xml:space="preserve">
</t>
        </r>
        <r>
          <rPr>
            <sz val="9"/>
            <color indexed="81"/>
            <rFont val="Segoe UI"/>
            <family val="2"/>
          </rPr>
          <t xml:space="preserve">
</t>
        </r>
      </text>
    </comment>
    <comment ref="E82" authorId="2" shapeId="0" xr:uid="{00000000-0006-0000-0100-000081000000}">
      <text>
        <r>
          <rPr>
            <sz val="9"/>
            <color indexed="81"/>
            <rFont val="Segoe UI"/>
            <family val="2"/>
          </rPr>
          <t>01 - Vistorias do Imóvel
02 - Imóvel
03 - Avaliador</t>
        </r>
      </text>
    </comment>
    <comment ref="D83" authorId="2" shapeId="0" xr:uid="{00000000-0006-0000-0100-000082000000}">
      <text>
        <r>
          <rPr>
            <b/>
            <sz val="9"/>
            <color indexed="81"/>
            <rFont val="Segoe UI"/>
            <family val="2"/>
          </rPr>
          <t xml:space="preserve">* Tipo Estado de Conservação
</t>
        </r>
        <r>
          <rPr>
            <sz val="9"/>
            <color indexed="81"/>
            <rFont val="Segoe UI"/>
            <family val="2"/>
          </rPr>
          <t xml:space="preserve">01 - código
02 - descrição
</t>
        </r>
        <r>
          <rPr>
            <b/>
            <sz val="9"/>
            <color indexed="81"/>
            <rFont val="Segoe UI"/>
            <family val="2"/>
          </rPr>
          <t xml:space="preserve">
</t>
        </r>
        <r>
          <rPr>
            <sz val="9"/>
            <color indexed="81"/>
            <rFont val="Segoe UI"/>
            <family val="2"/>
          </rPr>
          <t xml:space="preserve">
</t>
        </r>
      </text>
    </comment>
    <comment ref="E83" authorId="2" shapeId="0" xr:uid="{00000000-0006-0000-0100-000083000000}">
      <text>
        <r>
          <rPr>
            <sz val="9"/>
            <color indexed="81"/>
            <rFont val="Segoe UI"/>
            <family val="2"/>
          </rPr>
          <t xml:space="preserve">01 - Vistorias do Imóvel
</t>
        </r>
      </text>
    </comment>
    <comment ref="D84" authorId="2" shapeId="0" xr:uid="{00000000-0006-0000-0100-000084000000}">
      <text>
        <r>
          <rPr>
            <b/>
            <sz val="9"/>
            <color indexed="81"/>
            <rFont val="Segoe UI"/>
            <family val="2"/>
          </rPr>
          <t xml:space="preserve">* Vistorias do Imóvel
</t>
        </r>
        <r>
          <rPr>
            <sz val="9"/>
            <color indexed="81"/>
            <rFont val="Segoe UI"/>
            <family val="2"/>
          </rPr>
          <t xml:space="preserve">01 - código
02 - código imóvel
03 - área total do terreno
04 - área construída
05 - vida útil aparente
06 - custo metro quadrado
07 - código estado de conservação
08 - custo cub metro quadrado
09 - usuário alteração
10 - data alteração
11 - avaliador
12 - cpf avalidador
13 - número do registro profissional do avaliador
14 - data da vistoria
</t>
        </r>
        <r>
          <rPr>
            <b/>
            <sz val="9"/>
            <color indexed="81"/>
            <rFont val="Segoe UI"/>
            <family val="2"/>
          </rPr>
          <t xml:space="preserve">* Imóvel
</t>
        </r>
        <r>
          <rPr>
            <sz val="9"/>
            <color indexed="81"/>
            <rFont val="Segoe UI"/>
            <family val="2"/>
          </rPr>
          <t xml:space="preserve">15 - flag edificado
16 - comando
17 - mensagem
</t>
        </r>
        <r>
          <rPr>
            <b/>
            <sz val="9"/>
            <color indexed="81"/>
            <rFont val="Segoe UI"/>
            <family val="2"/>
          </rPr>
          <t xml:space="preserve">
</t>
        </r>
        <r>
          <rPr>
            <sz val="9"/>
            <color indexed="81"/>
            <rFont val="Segoe UI"/>
            <family val="2"/>
          </rPr>
          <t xml:space="preserve">
</t>
        </r>
      </text>
    </comment>
    <comment ref="E84" authorId="2" shapeId="0" xr:uid="{00000000-0006-0000-0100-000085000000}">
      <text>
        <r>
          <rPr>
            <sz val="9"/>
            <color indexed="81"/>
            <rFont val="Segoe UI"/>
            <family val="2"/>
          </rPr>
          <t xml:space="preserve">01 - Vistorias do Imóvel
02 - Imóvel
03 - Avaliador
</t>
        </r>
      </text>
    </comment>
    <comment ref="D85" authorId="2" shapeId="0" xr:uid="{00000000-0006-0000-0100-000086000000}">
      <text>
        <r>
          <rPr>
            <b/>
            <sz val="9"/>
            <color indexed="81"/>
            <rFont val="Segoe UI"/>
            <family val="2"/>
          </rPr>
          <t xml:space="preserve">* Vistorias do Imóvel
</t>
        </r>
        <r>
          <rPr>
            <sz val="9"/>
            <color indexed="81"/>
            <rFont val="Segoe UI"/>
            <family val="2"/>
          </rPr>
          <t xml:space="preserve">01 - código
02 - código imóvel
03 - área total do terreno
04 - área construída
05 - vida útil aparente
06 - vida útil remanescente
07 - custo metro quadrado
08 - código estado de conservação
09 - custo cub metro quadrado
10 - flag edificado
</t>
        </r>
        <r>
          <rPr>
            <b/>
            <sz val="9"/>
            <color indexed="81"/>
            <rFont val="Segoe UI"/>
            <family val="2"/>
          </rPr>
          <t xml:space="preserve">
</t>
        </r>
        <r>
          <rPr>
            <sz val="9"/>
            <color indexed="81"/>
            <rFont val="Segoe UI"/>
            <family val="2"/>
          </rPr>
          <t xml:space="preserve">
</t>
        </r>
      </text>
    </comment>
    <comment ref="E85" authorId="2" shapeId="0" xr:uid="{00000000-0006-0000-0100-000087000000}">
      <text>
        <r>
          <rPr>
            <sz val="9"/>
            <color indexed="81"/>
            <rFont val="Segoe UI"/>
            <family val="2"/>
          </rPr>
          <t>01 - Vistorias do Imóvel
02 - Imóvel</t>
        </r>
      </text>
    </comment>
    <comment ref="D86" authorId="1" shapeId="0" xr:uid="{00000000-0006-0000-0100-000088000000}">
      <text>
        <r>
          <rPr>
            <b/>
            <sz val="9"/>
            <color indexed="81"/>
            <rFont val="Segoe UI"/>
            <family val="2"/>
          </rPr>
          <t xml:space="preserve">* Documento Vistoria
</t>
        </r>
        <r>
          <rPr>
            <sz val="9"/>
            <color indexed="81"/>
            <rFont val="Segoe UI"/>
            <family val="2"/>
          </rPr>
          <t xml:space="preserve">01 - código
02 - código vistoria
03 - código tipo documento vistoria
04 - arquivo
05 - descrição
06 - tipo arquivo
07 - tamanho do arquivo
08 - usuário cadastro
09 - data cadastro
10 - comando
11 - mensagem
</t>
        </r>
      </text>
    </comment>
    <comment ref="E86" authorId="2" shapeId="0" xr:uid="{00000000-0006-0000-0100-000089000000}">
      <text>
        <r>
          <rPr>
            <sz val="9"/>
            <color indexed="81"/>
            <rFont val="Segoe UI"/>
            <family val="2"/>
          </rPr>
          <t xml:space="preserve">01 - Vistorias do Imóvel
</t>
        </r>
      </text>
    </comment>
    <comment ref="D87" authorId="1" shapeId="0" xr:uid="{00000000-0006-0000-0100-00008A000000}">
      <text>
        <r>
          <rPr>
            <b/>
            <sz val="9"/>
            <color indexed="81"/>
            <rFont val="Segoe UI"/>
            <family val="2"/>
          </rPr>
          <t xml:space="preserve">* Tipo Documento Vistoria
</t>
        </r>
        <r>
          <rPr>
            <sz val="9"/>
            <color indexed="81"/>
            <rFont val="Segoe UI"/>
            <family val="2"/>
          </rPr>
          <t xml:space="preserve">01 - código
02 - descrição
</t>
        </r>
      </text>
    </comment>
    <comment ref="E87" authorId="2" shapeId="0" xr:uid="{00000000-0006-0000-0100-00008B000000}">
      <text>
        <r>
          <rPr>
            <sz val="9"/>
            <color indexed="81"/>
            <rFont val="Segoe UI"/>
            <family val="2"/>
          </rPr>
          <t xml:space="preserve">01 - Vistorias do Imóvel
</t>
        </r>
      </text>
    </comment>
    <comment ref="D88" authorId="1" shapeId="0" xr:uid="{00000000-0006-0000-0100-00008C000000}">
      <text>
        <r>
          <rPr>
            <b/>
            <sz val="9"/>
            <color indexed="81"/>
            <rFont val="Segoe UI"/>
            <family val="2"/>
          </rPr>
          <t xml:space="preserve">* Documento Vistoria
</t>
        </r>
        <r>
          <rPr>
            <sz val="9"/>
            <color indexed="81"/>
            <rFont val="Segoe UI"/>
            <family val="2"/>
          </rPr>
          <t>01 - código
02 - comando
03 - mensagem</t>
        </r>
      </text>
    </comment>
    <comment ref="E88" authorId="2" shapeId="0" xr:uid="{00000000-0006-0000-0100-00008D000000}">
      <text>
        <r>
          <rPr>
            <sz val="9"/>
            <color indexed="81"/>
            <rFont val="Segoe UI"/>
            <family val="2"/>
          </rPr>
          <t xml:space="preserve">01 - Vistorias do Imóvel
</t>
        </r>
      </text>
    </comment>
    <comment ref="D89" authorId="1" shapeId="0" xr:uid="{00000000-0006-0000-0100-00008E000000}">
      <text>
        <r>
          <rPr>
            <b/>
            <sz val="9"/>
            <color indexed="81"/>
            <rFont val="Segoe UI"/>
            <family val="2"/>
          </rPr>
          <t xml:space="preserve">* Documento Vistoria
</t>
        </r>
        <r>
          <rPr>
            <sz val="9"/>
            <color indexed="81"/>
            <rFont val="Segoe UI"/>
            <family val="2"/>
          </rPr>
          <t xml:space="preserve">01 - código
02 - código vistoria
03 - código tipo documento vistoria
04 - arquivo
05 - descrição
</t>
        </r>
        <r>
          <rPr>
            <b/>
            <sz val="9"/>
            <color indexed="81"/>
            <rFont val="Segoe UI"/>
            <family val="2"/>
          </rPr>
          <t>* Tipo Documento Vistoria</t>
        </r>
        <r>
          <rPr>
            <sz val="9"/>
            <color indexed="81"/>
            <rFont val="Segoe UI"/>
            <family val="2"/>
          </rPr>
          <t xml:space="preserve">
06 - descrição
</t>
        </r>
      </text>
    </comment>
    <comment ref="E89" authorId="2" shapeId="0" xr:uid="{00000000-0006-0000-0100-00008F000000}">
      <text>
        <r>
          <rPr>
            <sz val="9"/>
            <color indexed="81"/>
            <rFont val="Segoe UI"/>
            <family val="2"/>
          </rPr>
          <t xml:space="preserve">01 - Vistorias do Imóvel
</t>
        </r>
      </text>
    </comment>
    <comment ref="D90" authorId="2" shapeId="0" xr:uid="{00000000-0006-0000-0100-000090000000}">
      <text>
        <r>
          <rPr>
            <b/>
            <sz val="9"/>
            <color indexed="81"/>
            <rFont val="Segoe UI"/>
            <family val="2"/>
          </rPr>
          <t xml:space="preserve">* Vistorias do Imóvel
</t>
        </r>
        <r>
          <rPr>
            <sz val="9"/>
            <color indexed="81"/>
            <rFont val="Segoe UI"/>
            <family val="2"/>
          </rPr>
          <t xml:space="preserve">01 - código
02 - área total do terreno
04 - área construída
03 - vida útil aparente
04 - custo metro quadrado
05 - código estado de conservação
06 - custo cub metro quadrado
07 - avaliador
08 - cpf avalidador
09 - número do registro profissional do avaliador
10 - data da vistoria
</t>
        </r>
        <r>
          <rPr>
            <b/>
            <sz val="9"/>
            <color indexed="81"/>
            <rFont val="Segoe UI"/>
            <family val="2"/>
          </rPr>
          <t xml:space="preserve">
* Vistoria Idade por Estado
</t>
        </r>
        <r>
          <rPr>
            <sz val="9"/>
            <color indexed="81"/>
            <rFont val="Segoe UI"/>
            <family val="2"/>
          </rPr>
          <t xml:space="preserve">11 - idade
12 - valor
</t>
        </r>
        <r>
          <rPr>
            <b/>
            <sz val="9"/>
            <color indexed="81"/>
            <rFont val="Segoe UI"/>
            <family val="2"/>
          </rPr>
          <t>* Documento Vistoria</t>
        </r>
        <r>
          <rPr>
            <sz val="9"/>
            <color indexed="81"/>
            <rFont val="Segoe UI"/>
            <family val="2"/>
          </rPr>
          <t xml:space="preserve">
13 - arquivo
</t>
        </r>
        <r>
          <rPr>
            <b/>
            <sz val="9"/>
            <color indexed="81"/>
            <rFont val="Segoe UI"/>
            <family val="2"/>
          </rPr>
          <t xml:space="preserve">* Avaliação
</t>
        </r>
        <r>
          <rPr>
            <sz val="9"/>
            <color indexed="81"/>
            <rFont val="Segoe UI"/>
            <family val="2"/>
          </rPr>
          <t xml:space="preserve">14 - código
15 - código vistoria
16 - valor do terreno calculado
17 - valor da edificação calculado
18 - valor do imóvel calculado
19 - valor idade em percentual duração calculado
20 - valor reedição edificação calculado
21 - valor fator depreciação calculado
22 - valor custo reedição edificação depreciação calculado
23 - valor fator serviçso externos calculado
24 - valor estado de conservação imóvel calculado
25 - vida útil remanescente
26 - usuário cadastro
27 - data cadastro
28 - avaliador
29 - cpf avalidador
30 - número do registro profissional do avaliador
31 - número da vistoria 
</t>
        </r>
        <r>
          <rPr>
            <b/>
            <sz val="9"/>
            <color indexed="81"/>
            <rFont val="Segoe UI"/>
            <family val="2"/>
          </rPr>
          <t xml:space="preserve">* Imóvel
</t>
        </r>
        <r>
          <rPr>
            <sz val="9"/>
            <color indexed="81"/>
            <rFont val="Segoe UI"/>
            <family val="2"/>
          </rPr>
          <t xml:space="preserve">32 - código
33 - estado da conservação
34 - área construida
35 - valor do terreno
36 - valor da edificação
37 - valor total imovel
38 - histórico - data
39 - histórico - origem da informação
40 - histórico - tipo da informação
41 - histórico - valor do terreno
42 - histórico - valor da edificação
43 - histórico - valor total imovel
44 - historico - depreciação
45 - historico - valorização
46 - comando
47 - mensagem
</t>
        </r>
      </text>
    </comment>
    <comment ref="E90" authorId="2" shapeId="0" xr:uid="{00000000-0006-0000-0100-000091000000}">
      <text>
        <r>
          <rPr>
            <sz val="9"/>
            <color indexed="81"/>
            <rFont val="Segoe UI"/>
            <family val="2"/>
          </rPr>
          <t>01 - Vistorias do Imóvel
02 - Imóvel
03 - Avaliador</t>
        </r>
      </text>
    </comment>
    <comment ref="D91" authorId="1" shapeId="0" xr:uid="{00000000-0006-0000-0100-000092000000}">
      <text>
        <r>
          <rPr>
            <b/>
            <sz val="9"/>
            <color indexed="81"/>
            <rFont val="Segoe UI"/>
            <family val="2"/>
          </rPr>
          <t xml:space="preserve">* Vistorias do Imóvel
</t>
        </r>
        <r>
          <rPr>
            <sz val="9"/>
            <color indexed="81"/>
            <rFont val="Segoe UI"/>
            <family val="2"/>
          </rPr>
          <t xml:space="preserve">01 - código
02 - código imóvel
03 - área total do terreno
04 - área construída
05 - vida útil aparente
06 - custo metro quadrado
07 - código estado de conservação
08 - custo cub metro quadrado
09 - cpf avalidador
10 - número do registro profissional do avaliador
11 - número da vistoria 
</t>
        </r>
        <r>
          <rPr>
            <b/>
            <sz val="9"/>
            <color indexed="81"/>
            <rFont val="Segoe UI"/>
            <family val="2"/>
          </rPr>
          <t xml:space="preserve">
* Documento Vistoria
</t>
        </r>
        <r>
          <rPr>
            <sz val="9"/>
            <color indexed="81"/>
            <rFont val="Segoe UI"/>
            <family val="2"/>
          </rPr>
          <t>12 - código
13 - código vistoria
14 - código tipo documento vistoria
15 - arquivo
16 - descrição</t>
        </r>
        <r>
          <rPr>
            <b/>
            <sz val="9"/>
            <color indexed="81"/>
            <rFont val="Segoe UI"/>
            <family val="2"/>
          </rPr>
          <t xml:space="preserve">
* Tipo Documento Vistoria
</t>
        </r>
        <r>
          <rPr>
            <sz val="9"/>
            <color indexed="81"/>
            <rFont val="Segoe UI"/>
            <family val="2"/>
          </rPr>
          <t xml:space="preserve">17 - descrição
</t>
        </r>
        <r>
          <rPr>
            <b/>
            <sz val="9"/>
            <color indexed="81"/>
            <rFont val="Segoe UI"/>
            <family val="2"/>
          </rPr>
          <t xml:space="preserve">* Avaliador
</t>
        </r>
        <r>
          <rPr>
            <sz val="9"/>
            <color indexed="81"/>
            <rFont val="Segoe UI"/>
            <family val="2"/>
          </rPr>
          <t xml:space="preserve">18 - código pessoa
19 - número registro profissional
</t>
        </r>
        <r>
          <rPr>
            <b/>
            <sz val="9"/>
            <color indexed="81"/>
            <rFont val="Segoe UI"/>
            <family val="2"/>
          </rPr>
          <t xml:space="preserve">* Pessoa
</t>
        </r>
        <r>
          <rPr>
            <sz val="9"/>
            <color indexed="81"/>
            <rFont val="Segoe UI"/>
            <family val="2"/>
          </rPr>
          <t>20 - nome
21 - cpf
22 - comando
23 - mensagem</t>
        </r>
      </text>
    </comment>
    <comment ref="E91" authorId="2" shapeId="0" xr:uid="{00000000-0006-0000-0100-000093000000}">
      <text>
        <r>
          <rPr>
            <sz val="9"/>
            <color indexed="81"/>
            <rFont val="Segoe UI"/>
            <family val="2"/>
          </rPr>
          <t>01 - Vistorias do Imóvel
02 - Imóvel
03 - Avaliador
04 - Pessoa</t>
        </r>
      </text>
    </comment>
    <comment ref="D92" authorId="2" shapeId="0" xr:uid="{00000000-0006-0000-0100-000094000000}">
      <text>
        <r>
          <rPr>
            <b/>
            <sz val="9"/>
            <color indexed="81"/>
            <rFont val="Segoe UI"/>
            <family val="2"/>
          </rPr>
          <t xml:space="preserve">* Vistorias do Imóvel
</t>
        </r>
        <r>
          <rPr>
            <sz val="9"/>
            <color indexed="81"/>
            <rFont val="Segoe UI"/>
            <family val="2"/>
          </rPr>
          <t xml:space="preserve">01 - código
02 - área total do terreno
04 - área construída
03 - vida útil aparente
04 - custo metro quadrado
05 - código estado de conservação
06 - custo cub metro quadrado
07 - cpf avalidador
08 - número do registro profissional do avaliador
09 - número da vistoria 
</t>
        </r>
        <r>
          <rPr>
            <b/>
            <sz val="9"/>
            <color indexed="81"/>
            <rFont val="Segoe UI"/>
            <family val="2"/>
          </rPr>
          <t xml:space="preserve">
* Vistoria Idade por Estado
</t>
        </r>
        <r>
          <rPr>
            <sz val="9"/>
            <color indexed="81"/>
            <rFont val="Segoe UI"/>
            <family val="2"/>
          </rPr>
          <t xml:space="preserve">10 - idade
11 - valor
</t>
        </r>
        <r>
          <rPr>
            <b/>
            <sz val="9"/>
            <color indexed="81"/>
            <rFont val="Segoe UI"/>
            <family val="2"/>
          </rPr>
          <t>* Documento Vistoria</t>
        </r>
        <r>
          <rPr>
            <sz val="9"/>
            <color indexed="81"/>
            <rFont val="Segoe UI"/>
            <family val="2"/>
          </rPr>
          <t xml:space="preserve">
12 - arquivo
</t>
        </r>
        <r>
          <rPr>
            <b/>
            <sz val="9"/>
            <color indexed="81"/>
            <rFont val="Segoe UI"/>
            <family val="2"/>
          </rPr>
          <t xml:space="preserve">* Avaliação
</t>
        </r>
        <r>
          <rPr>
            <sz val="9"/>
            <color indexed="81"/>
            <rFont val="Segoe UI"/>
            <family val="2"/>
          </rPr>
          <t xml:space="preserve">13 - código
14 - código vistoria
15 - valor do terreno calculado
16 - valor da edificação calculado
17 - valor do imóvel calculado
18 - valor idade em percentual duração calculado
19 - valor reedição edificação calculado
20 - valor fator depreciação calculado
21 - valor custo reedição edificação depreciação calculado
22 - valor fator serviçso externos calculado
23 - valor estado de conservação imóvel calculado
24 - usuário cadastro
25 - data cadastro
26 - comando
27 - mensagem
</t>
        </r>
      </text>
    </comment>
    <comment ref="E92" authorId="2" shapeId="0" xr:uid="{00000000-0006-0000-0100-000095000000}">
      <text>
        <r>
          <rPr>
            <sz val="9"/>
            <color indexed="81"/>
            <rFont val="Segoe UI"/>
            <family val="2"/>
          </rPr>
          <t>01 - Vistorias do Imóvel
02 - Imóvel
03 - Avaliador
04 - Pessoa</t>
        </r>
      </text>
    </comment>
    <comment ref="D93" authorId="1" shapeId="0" xr:uid="{00000000-0006-0000-0100-000096000000}">
      <text>
        <r>
          <rPr>
            <b/>
            <sz val="9"/>
            <color indexed="81"/>
            <rFont val="Segoe UI"/>
            <family val="2"/>
          </rPr>
          <t>* Vistoria do Imóvel</t>
        </r>
        <r>
          <rPr>
            <sz val="9"/>
            <color indexed="81"/>
            <rFont val="Segoe UI"/>
            <family val="2"/>
          </rPr>
          <t xml:space="preserve">
01 - código
02 - comando
03 - mensagem
</t>
        </r>
        <r>
          <rPr>
            <b/>
            <sz val="9"/>
            <color indexed="81"/>
            <rFont val="Segoe UI"/>
            <family val="2"/>
          </rPr>
          <t xml:space="preserve">
</t>
        </r>
        <r>
          <rPr>
            <sz val="9"/>
            <color indexed="81"/>
            <rFont val="Segoe UI"/>
            <family val="2"/>
          </rPr>
          <t xml:space="preserve">
</t>
        </r>
      </text>
    </comment>
    <comment ref="E93" authorId="2" shapeId="0" xr:uid="{00000000-0006-0000-0100-000097000000}">
      <text>
        <r>
          <rPr>
            <sz val="9"/>
            <color indexed="81"/>
            <rFont val="Segoe UI"/>
            <family val="2"/>
          </rPr>
          <t>01 - Imóvel</t>
        </r>
      </text>
    </comment>
    <comment ref="D96" authorId="1" shapeId="0" xr:uid="{00000000-0006-0000-0100-000098000000}">
      <text>
        <r>
          <rPr>
            <b/>
            <sz val="9"/>
            <color indexed="81"/>
            <rFont val="Segoe UI"/>
            <family val="2"/>
          </rPr>
          <t xml:space="preserve">* Registro do Imóvel
</t>
        </r>
        <r>
          <rPr>
            <sz val="9"/>
            <color indexed="81"/>
            <rFont val="Segoe UI"/>
            <family val="2"/>
          </rPr>
          <t>01 - código
02 - código do imovel
03 - número registro municial
04 - número unidade consumidora de energia
05 - número unidade consumidora de água
06 - Anexo Doc Escritura
07 - Anexo Registro Municipal
08 - Anexo Doc Energia
09 - Anexo Doc Agua</t>
        </r>
        <r>
          <rPr>
            <b/>
            <sz val="9"/>
            <color indexed="81"/>
            <rFont val="Segoe UI"/>
            <family val="2"/>
          </rPr>
          <t xml:space="preserve">
</t>
        </r>
        <r>
          <rPr>
            <sz val="9"/>
            <color indexed="81"/>
            <rFont val="Segoe UI"/>
            <family val="2"/>
          </rPr>
          <t xml:space="preserve">
10 - comando
11 - mensagem
</t>
        </r>
      </text>
    </comment>
    <comment ref="E96" authorId="1" shapeId="0" xr:uid="{00000000-0006-0000-0100-000099000000}">
      <text>
        <r>
          <rPr>
            <sz val="9"/>
            <color indexed="81"/>
            <rFont val="Segoe UI"/>
            <family val="2"/>
          </rPr>
          <t xml:space="preserve">01 - Imóvel
</t>
        </r>
      </text>
    </comment>
    <comment ref="D97" authorId="1" shapeId="0" xr:uid="{00000000-0006-0000-0100-00009A000000}">
      <text>
        <r>
          <rPr>
            <b/>
            <sz val="9"/>
            <color indexed="81"/>
            <rFont val="Segoe UI"/>
            <family val="2"/>
          </rPr>
          <t xml:space="preserve">* Registro do Imóvel
</t>
        </r>
        <r>
          <rPr>
            <sz val="9"/>
            <color indexed="81"/>
            <rFont val="Segoe UI"/>
            <family val="2"/>
          </rPr>
          <t>01 - código
02 - código do imovel
03 - número registro municial
04 - número unidade consumidora de energia
05 - número unidade consumidora de água
06 - Anexo Doc Escritura
07 - Anexo Registro Municipal
08 - Anexo Doc Energia
09 - Anexo Doc Agua</t>
        </r>
        <r>
          <rPr>
            <b/>
            <sz val="9"/>
            <color indexed="81"/>
            <rFont val="Segoe UI"/>
            <family val="2"/>
          </rPr>
          <t xml:space="preserve">
</t>
        </r>
        <r>
          <rPr>
            <sz val="9"/>
            <color indexed="81"/>
            <rFont val="Segoe UI"/>
            <family val="2"/>
          </rPr>
          <t xml:space="preserve">
10 - comando
11 - mensagem
</t>
        </r>
      </text>
    </comment>
    <comment ref="E97" authorId="1" shapeId="0" xr:uid="{00000000-0006-0000-0100-00009B000000}">
      <text>
        <r>
          <rPr>
            <sz val="9"/>
            <color indexed="81"/>
            <rFont val="Segoe UI"/>
            <family val="2"/>
          </rPr>
          <t xml:space="preserve">01 - Imóvel
</t>
        </r>
      </text>
    </comment>
    <comment ref="D98" authorId="1" shapeId="0" xr:uid="{00000000-0006-0000-0100-00009C000000}">
      <text>
        <r>
          <rPr>
            <b/>
            <sz val="9"/>
            <color indexed="81"/>
            <rFont val="Segoe UI"/>
            <family val="2"/>
          </rPr>
          <t xml:space="preserve">* Registro do Imóvel
</t>
        </r>
        <r>
          <rPr>
            <sz val="9"/>
            <color indexed="81"/>
            <rFont val="Segoe UI"/>
            <family val="2"/>
          </rPr>
          <t xml:space="preserve">01 - código
02 - código do imovel
03 - número registro municial
04 - número unidade consumidora de energia
05 - número unidade consumidora de água
06 - Anexo Doc Escritura
07 - Anexo Registro Municipal
08 - Anexo Doc Energia
09 - Anexo Doc Agua
</t>
        </r>
      </text>
    </comment>
    <comment ref="E98" authorId="1" shapeId="0" xr:uid="{00000000-0006-0000-0100-00009D000000}">
      <text>
        <r>
          <rPr>
            <sz val="9"/>
            <color indexed="81"/>
            <rFont val="Segoe UI"/>
            <family val="2"/>
          </rPr>
          <t xml:space="preserve">01 - Imóvel
</t>
        </r>
      </text>
    </comment>
    <comment ref="D99" authorId="1" shapeId="0" xr:uid="{00000000-0006-0000-0100-00009E000000}">
      <text>
        <r>
          <rPr>
            <sz val="9"/>
            <color indexed="81"/>
            <rFont val="Segoe UI"/>
            <family val="2"/>
          </rPr>
          <t>01 - código do imóvel
02 - matricula
03 - ficha
04 - área construida
05 - data de registro
06 - livro
07 - folha
08 - descrição
09 - Possui Matricula
10 - Justificativa
11 - cartorio
12 - CNPJ
13 - Municipio
14 - UF
15 - Objeto
16 - anexo
17 - origem amtricula
18 - comando
19 - mensagem</t>
        </r>
      </text>
    </comment>
    <comment ref="E99" authorId="1" shapeId="0" xr:uid="{00000000-0006-0000-0100-00009F000000}">
      <text>
        <r>
          <rPr>
            <sz val="9"/>
            <color indexed="81"/>
            <rFont val="Segoe UI"/>
            <family val="2"/>
          </rPr>
          <t>01 - Imóvel
02 - Cartório
03 - Municipio</t>
        </r>
      </text>
    </comment>
    <comment ref="D100" authorId="1" shapeId="0" xr:uid="{00000000-0006-0000-0100-0000A0000000}">
      <text>
        <r>
          <rPr>
            <b/>
            <sz val="9"/>
            <color indexed="81"/>
            <rFont val="Segoe UI"/>
            <family val="2"/>
          </rPr>
          <t xml:space="preserve">* Cartório
</t>
        </r>
        <r>
          <rPr>
            <sz val="9"/>
            <color indexed="81"/>
            <rFont val="Segoe UI"/>
            <family val="2"/>
          </rPr>
          <t>01 - código
02 - nome do cartório
03 - CNPJ
04 - município
05 - uf
06 - municpio atendido
07 - cartório regional</t>
        </r>
      </text>
    </comment>
    <comment ref="D101" authorId="1" shapeId="0" xr:uid="{00000000-0006-0000-0100-0000A1000000}">
      <text>
        <r>
          <rPr>
            <sz val="9"/>
            <color indexed="81"/>
            <rFont val="Segoe UI"/>
            <family val="2"/>
          </rPr>
          <t xml:space="preserve">01 - código do imóvel
02 - matricula
03 - livro
04 - folha
05 - descrição
06 - área construida
07 - área total do terremo
08 - cartorio
09 - CNPJ
10 - Municipio
11 - anexo
12 - área total do terremo
13 - área total construída
14 - Origem matricula
15 - comando
16 - mensagem
</t>
        </r>
      </text>
    </comment>
    <comment ref="E101" authorId="1" shapeId="0" xr:uid="{00000000-0006-0000-0100-0000A2000000}">
      <text>
        <r>
          <rPr>
            <sz val="9"/>
            <color indexed="81"/>
            <rFont val="Segoe UI"/>
            <family val="2"/>
          </rPr>
          <t>01 - Imóvel
02 - Cartório
03 - Municipio</t>
        </r>
      </text>
    </comment>
    <comment ref="D102" authorId="1" shapeId="0" xr:uid="{00000000-0006-0000-0100-0000A3000000}">
      <text>
        <r>
          <rPr>
            <sz val="9"/>
            <color indexed="81"/>
            <rFont val="Segoe UI"/>
            <family val="2"/>
          </rPr>
          <t>01 - código do imóvel
02 - código da matricula
03 - origem
04 - comando
05 - mensagem</t>
        </r>
      </text>
    </comment>
    <comment ref="E102" authorId="1" shapeId="0" xr:uid="{00000000-0006-0000-0100-0000A4000000}">
      <text>
        <r>
          <rPr>
            <sz val="9"/>
            <color indexed="81"/>
            <rFont val="Segoe UI"/>
            <family val="2"/>
          </rPr>
          <t>01 - Imóvel</t>
        </r>
        <r>
          <rPr>
            <sz val="9"/>
            <color indexed="81"/>
            <rFont val="Segoe UI"/>
            <family val="2"/>
          </rPr>
          <t xml:space="preserve">
</t>
        </r>
      </text>
    </comment>
    <comment ref="D103" authorId="1" shapeId="0" xr:uid="{00000000-0006-0000-0100-0000A5000000}">
      <text>
        <r>
          <rPr>
            <sz val="9"/>
            <color indexed="81"/>
            <rFont val="Segoe UI"/>
            <family val="2"/>
          </rPr>
          <t xml:space="preserve">01 - código
02 - documento anexo
03 - comando
04 - mensagem
</t>
        </r>
      </text>
    </comment>
    <comment ref="E103" authorId="1" shapeId="0" xr:uid="{00000000-0006-0000-0100-0000A6000000}">
      <text>
        <r>
          <rPr>
            <sz val="9"/>
            <color indexed="81"/>
            <rFont val="Segoe UI"/>
            <family val="2"/>
          </rPr>
          <t>01 - Imóvel</t>
        </r>
      </text>
    </comment>
    <comment ref="D104" authorId="1" shapeId="0" xr:uid="{00000000-0006-0000-0100-0000A7000000}">
      <text>
        <r>
          <rPr>
            <sz val="9"/>
            <color indexed="81"/>
            <rFont val="Segoe UI"/>
            <family val="2"/>
          </rPr>
          <t>01 - código do imóvel
02 - matricula
03 - ficha
04 - área construida
05 - data de registro
06 - livro
07 - folha
08 - descrição
09 - Possui Matricula
10 - Justificativa
11 - cartorio
12 - CNPJ
13 - Municipio
14 - UF
15 - Objeto
16 - anexo
17 - origem amtrícula
18 - comando
19 - mensagem</t>
        </r>
      </text>
    </comment>
    <comment ref="E104" authorId="1" shapeId="0" xr:uid="{00000000-0006-0000-0100-0000A8000000}">
      <text>
        <r>
          <rPr>
            <sz val="9"/>
            <color indexed="81"/>
            <rFont val="Segoe UI"/>
            <family val="2"/>
          </rPr>
          <t>01 - Imóvel
02 - Cartório
03 - Municipio</t>
        </r>
      </text>
    </comment>
    <comment ref="D105" authorId="1" shapeId="0" xr:uid="{00000000-0006-0000-0100-0000A9000000}">
      <text>
        <r>
          <rPr>
            <sz val="9"/>
            <color indexed="81"/>
            <rFont val="Segoe UI"/>
            <family val="2"/>
          </rPr>
          <t>01 - código do imóvel
02 - matricula
03 - ficha
04 - área construida
05 - data de registro
06 - livro
07 - folha
08 - descrição
09 - Possui Matricula
10 - Justificativa
11 - cartorio
12 - CNPJ
13 - Municipio
14 - UF
15 - Objeto
16 - anexo
17 - comando
18 - mensagem</t>
        </r>
      </text>
    </comment>
    <comment ref="E105" authorId="1" shapeId="0" xr:uid="{00000000-0006-0000-0100-0000AA000000}">
      <text>
        <r>
          <rPr>
            <sz val="9"/>
            <color indexed="81"/>
            <rFont val="Segoe UI"/>
            <family val="2"/>
          </rPr>
          <t>01 - Imóvel
02 - Cartório
03 - Municipio</t>
        </r>
      </text>
    </comment>
    <comment ref="D106" authorId="1" shapeId="0" xr:uid="{00000000-0006-0000-0100-0000AB000000}">
      <text>
        <r>
          <rPr>
            <sz val="9"/>
            <color indexed="81"/>
            <rFont val="Segoe UI"/>
            <family val="2"/>
          </rPr>
          <t xml:space="preserve">01 - código do imóvel
02 - matricula
03 - ficha
04 - área construida
05 - data de registro
06 - livro
07 - folha
08 - descrição
09 - Possui Matricula
10 - Justificativa
11 - cartorio
12 - CNPJ
13 - Municipio
14 - UF
15 - Objeto
16 - anexo
17 - origem amtrícula
</t>
        </r>
      </text>
    </comment>
    <comment ref="E106" authorId="1" shapeId="0" xr:uid="{00000000-0006-0000-0100-0000AC000000}">
      <text>
        <r>
          <rPr>
            <sz val="9"/>
            <color indexed="81"/>
            <rFont val="Segoe UI"/>
            <family val="2"/>
          </rPr>
          <t>01 - Imóvel
02 - Cartório
03 - Municipio</t>
        </r>
      </text>
    </comment>
    <comment ref="D107" authorId="3" shapeId="0" xr:uid="{00000000-0006-0000-0100-0000AD000000}">
      <text>
        <r>
          <rPr>
            <sz val="9"/>
            <color indexed="81"/>
            <rFont val="Segoe UI"/>
            <family val="2"/>
          </rPr>
          <t xml:space="preserve">
1-Imóvel
2-Arquivo
3 -CMD</t>
        </r>
      </text>
    </comment>
    <comment ref="E107" authorId="3" shapeId="0" xr:uid="{00000000-0006-0000-0100-0000AE000000}">
      <text>
        <r>
          <rPr>
            <sz val="9"/>
            <color indexed="81"/>
            <rFont val="Segoe UI"/>
            <family val="2"/>
          </rPr>
          <t xml:space="preserve">
1-Imóvel
</t>
        </r>
      </text>
    </comment>
    <comment ref="D110" authorId="1" shapeId="0" xr:uid="{00000000-0006-0000-0100-0000AF000000}">
      <text>
        <r>
          <rPr>
            <b/>
            <sz val="9"/>
            <color indexed="81"/>
            <rFont val="Segoe UI"/>
            <family val="2"/>
          </rPr>
          <t xml:space="preserve">* Cartório
</t>
        </r>
        <r>
          <rPr>
            <sz val="9"/>
            <color indexed="81"/>
            <rFont val="Segoe UI"/>
            <family val="2"/>
          </rPr>
          <t>01- código
02- nome do cartório
03 - CNPJ
04 - complemento do nome
05- razão social
06 - nome tabelião
07 - CPF
08 - número telefone
09 - celular
10 - site
11- endereço de e-mail
12 - cep
13 - município
14 - código município
15 - uf
16 - país
17 - logradouro
18 - número
19 - bairrro
20 - complemento
21 - data cadastro
22 - usuário cadastro 
23 - data alteração
23 - usuário alteração
24 - Cartório Regional
25 - Municípios Atendidos</t>
        </r>
      </text>
    </comment>
    <comment ref="E110" authorId="1" shapeId="0" xr:uid="{00000000-0006-0000-0100-0000B0000000}">
      <text>
        <r>
          <rPr>
            <sz val="9"/>
            <color indexed="81"/>
            <rFont val="Segoe UI"/>
            <family val="2"/>
          </rPr>
          <t xml:space="preserve">01 - Cartório
</t>
        </r>
      </text>
    </comment>
    <comment ref="D111" authorId="1" shapeId="0" xr:uid="{00000000-0006-0000-0100-0000B1000000}">
      <text>
        <r>
          <rPr>
            <b/>
            <sz val="9"/>
            <color indexed="81"/>
            <rFont val="Segoe UI"/>
            <family val="2"/>
          </rPr>
          <t xml:space="preserve">* Cartório
</t>
        </r>
        <r>
          <rPr>
            <sz val="9"/>
            <color indexed="81"/>
            <rFont val="Segoe UI"/>
            <family val="2"/>
          </rPr>
          <t xml:space="preserve">01- código
02- nome do cartório
03 - CNPJ
04 - complemento do nome
05- razão social
06 - nome tabelião
07 - CPF
08 - número telefone
09 - celular
10 - site
11- endereço de e-mail
12 - cep
13 - município
14 - código município
15 - uf
16 - país
17 - logradouro
18 - número
19 - bairrro
20 - complemento
21 - data cadastro
22 - usuário cadastro
23 - Cartório Regional
24 - Municípios Atendidos
25 - comando
26 - mensagem
</t>
        </r>
      </text>
    </comment>
    <comment ref="E111" authorId="1" shapeId="0" xr:uid="{00000000-0006-0000-0100-0000B2000000}">
      <text>
        <r>
          <rPr>
            <sz val="9"/>
            <color indexed="81"/>
            <rFont val="Segoe UI"/>
            <family val="2"/>
          </rPr>
          <t xml:space="preserve">01 - Cartório
02 - Município
</t>
        </r>
      </text>
    </comment>
    <comment ref="D112" authorId="1" shapeId="0" xr:uid="{00000000-0006-0000-0100-0000B3000000}">
      <text>
        <r>
          <rPr>
            <b/>
            <sz val="9"/>
            <color indexed="81"/>
            <rFont val="Segoe UI"/>
            <family val="2"/>
          </rPr>
          <t xml:space="preserve">* Cartório
</t>
        </r>
        <r>
          <rPr>
            <sz val="9"/>
            <color indexed="81"/>
            <rFont val="Segoe UI"/>
            <family val="2"/>
          </rPr>
          <t xml:space="preserve">01- código
02- nome do cartório
03 - CNPJ
04 - complemento do nome
05- razão social
06 - nome tabelião
07 - CPF
08 - número telefone
09 - celular
10 - site
11- endereço de e-mail
12 - cep
13 - município
14 - código município
15 - uf
16 - país
17 - logradouro
18 - número
19 - bairrro
20 - complemento
21 - data alteração
22 - usuário alteração 
23 - Cartório Regional
24 - Municípios Atendidos
25 - comando
26 - mensagem
</t>
        </r>
      </text>
    </comment>
    <comment ref="E112" authorId="1" shapeId="0" xr:uid="{00000000-0006-0000-0100-0000B4000000}">
      <text>
        <r>
          <rPr>
            <sz val="9"/>
            <color indexed="81"/>
            <rFont val="Segoe UI"/>
            <family val="2"/>
          </rPr>
          <t xml:space="preserve">01 - Cartório
02 - Município
</t>
        </r>
      </text>
    </comment>
    <comment ref="D113" authorId="1" shapeId="0" xr:uid="{00000000-0006-0000-0100-0000B5000000}">
      <text>
        <r>
          <rPr>
            <b/>
            <sz val="9"/>
            <color indexed="81"/>
            <rFont val="Segoe UI"/>
            <family val="2"/>
          </rPr>
          <t xml:space="preserve">* Cartório
</t>
        </r>
        <r>
          <rPr>
            <sz val="9"/>
            <color indexed="81"/>
            <rFont val="Segoe UI"/>
            <family val="2"/>
          </rPr>
          <t xml:space="preserve">01- código
02- nome do cartório
03 - CNPJ
04 - complemento do nome
05- razão social
06 - nome tabelião
07 - CPF
08 - número telefone
09 - celular
10 - site
11- endereço de e-mail
12 - cep
13 - município
14 - código município
15 - uf
16 - país
17 - logradouro
18 - número
19 - bairrro
20 - complemento
</t>
        </r>
        <r>
          <rPr>
            <b/>
            <sz val="9"/>
            <color indexed="81"/>
            <rFont val="Segoe UI"/>
            <family val="2"/>
          </rPr>
          <t xml:space="preserve">* Município
</t>
        </r>
        <r>
          <rPr>
            <sz val="9"/>
            <color indexed="81"/>
            <rFont val="Segoe UI"/>
            <family val="2"/>
          </rPr>
          <t>21 - descrição
22 - Cartório Regional
23 - Municípios Atendidos</t>
        </r>
      </text>
    </comment>
    <comment ref="E113" authorId="1" shapeId="0" xr:uid="{00000000-0006-0000-0100-0000B6000000}">
      <text>
        <r>
          <rPr>
            <sz val="9"/>
            <color indexed="81"/>
            <rFont val="Segoe UI"/>
            <family val="2"/>
          </rPr>
          <t xml:space="preserve">01 - Cartório
02 - Município
</t>
        </r>
      </text>
    </comment>
    <comment ref="D114" authorId="1" shapeId="0" xr:uid="{00000000-0006-0000-0100-0000B7000000}">
      <text>
        <r>
          <rPr>
            <b/>
            <sz val="9"/>
            <color indexed="81"/>
            <rFont val="Segoe UI"/>
            <family val="2"/>
          </rPr>
          <t xml:space="preserve">* Cartório
</t>
        </r>
        <r>
          <rPr>
            <sz val="9"/>
            <color indexed="81"/>
            <rFont val="Segoe UI"/>
            <family val="2"/>
          </rPr>
          <t xml:space="preserve">01- código
02- nome do cartório
03 - complemento do nome
04 - nome tabelião
05 - código município
</t>
        </r>
        <r>
          <rPr>
            <b/>
            <sz val="9"/>
            <color indexed="81"/>
            <rFont val="Segoe UI"/>
            <family val="2"/>
          </rPr>
          <t xml:space="preserve">* Município
</t>
        </r>
        <r>
          <rPr>
            <sz val="9"/>
            <color indexed="81"/>
            <rFont val="Segoe UI"/>
            <family val="2"/>
          </rPr>
          <t xml:space="preserve">06 - descrição
07 - Cartório Regional
08 - comando
09 - mensagem
</t>
        </r>
      </text>
    </comment>
    <comment ref="E114" authorId="1" shapeId="0" xr:uid="{00000000-0006-0000-0100-0000B8000000}">
      <text>
        <r>
          <rPr>
            <sz val="9"/>
            <color indexed="81"/>
            <rFont val="Segoe UI"/>
            <family val="2"/>
          </rPr>
          <t xml:space="preserve">01 - Cartório
02 - Município
</t>
        </r>
      </text>
    </comment>
    <comment ref="D115" authorId="1" shapeId="0" xr:uid="{00000000-0006-0000-0100-0000B9000000}">
      <text>
        <r>
          <rPr>
            <b/>
            <sz val="9"/>
            <color indexed="81"/>
            <rFont val="Segoe UI"/>
            <family val="2"/>
          </rPr>
          <t xml:space="preserve">* Cartório
</t>
        </r>
        <r>
          <rPr>
            <sz val="9"/>
            <color indexed="81"/>
            <rFont val="Segoe UI"/>
            <family val="2"/>
          </rPr>
          <t xml:space="preserve">01- código
</t>
        </r>
        <r>
          <rPr>
            <sz val="9"/>
            <color indexed="81"/>
            <rFont val="Segoe UI"/>
            <family val="2"/>
          </rPr>
          <t>02- comando
03 -mensagem</t>
        </r>
      </text>
    </comment>
    <comment ref="E115" authorId="1" shapeId="0" xr:uid="{00000000-0006-0000-0100-0000BA000000}">
      <text>
        <r>
          <rPr>
            <sz val="9"/>
            <color indexed="81"/>
            <rFont val="Segoe UI"/>
            <family val="2"/>
          </rPr>
          <t xml:space="preserve">01 - Cartório
</t>
        </r>
      </text>
    </comment>
    <comment ref="D118" authorId="1" shapeId="0" xr:uid="{00000000-0006-0000-0100-0000BB000000}">
      <text>
        <r>
          <rPr>
            <b/>
            <sz val="9"/>
            <color indexed="81"/>
            <rFont val="Segoe UI"/>
            <family val="2"/>
          </rPr>
          <t xml:space="preserve">* Relatório do Imóvel
</t>
        </r>
        <r>
          <rPr>
            <sz val="9"/>
            <color indexed="81"/>
            <rFont val="Segoe UI"/>
            <family val="2"/>
          </rPr>
          <t>01 - código 
02 - código do imóvel
03 - código da vistoria
05 - data assinatura
06 - usuário assinatura
07 - arquivo pdf 
08 - nome relatório</t>
        </r>
        <r>
          <rPr>
            <b/>
            <sz val="9"/>
            <color indexed="81"/>
            <rFont val="Segoe UI"/>
            <family val="2"/>
          </rPr>
          <t xml:space="preserve">
</t>
        </r>
      </text>
    </comment>
    <comment ref="E118" authorId="2" shapeId="0" xr:uid="{00000000-0006-0000-0100-0000BC000000}">
      <text>
        <r>
          <rPr>
            <sz val="9"/>
            <color indexed="81"/>
            <rFont val="Segoe UI"/>
            <family val="2"/>
          </rPr>
          <t>01 - Relatório de Avaliação</t>
        </r>
      </text>
    </comment>
    <comment ref="D119" authorId="1" shapeId="0" xr:uid="{00000000-0006-0000-0100-0000BD000000}">
      <text>
        <r>
          <rPr>
            <b/>
            <sz val="9"/>
            <color indexed="81"/>
            <rFont val="Segoe UI"/>
            <family val="2"/>
          </rPr>
          <t xml:space="preserve">* Imóvel
</t>
        </r>
        <r>
          <rPr>
            <sz val="9"/>
            <color indexed="81"/>
            <rFont val="Segoe UI"/>
            <family val="2"/>
          </rPr>
          <t xml:space="preserve">01 - código
02 - nome do imóvel
03 - matrícula
04 - RIP
05 - flag ativo
</t>
        </r>
        <r>
          <rPr>
            <b/>
            <sz val="9"/>
            <color indexed="81"/>
            <rFont val="Segoe UI"/>
            <family val="2"/>
          </rPr>
          <t>* Localização</t>
        </r>
        <r>
          <rPr>
            <sz val="9"/>
            <color indexed="81"/>
            <rFont val="Segoe UI"/>
            <family val="2"/>
          </rPr>
          <t xml:space="preserve">
06 - código município
</t>
        </r>
        <r>
          <rPr>
            <b/>
            <sz val="9"/>
            <color indexed="81"/>
            <rFont val="Segoe UI"/>
            <family val="2"/>
          </rPr>
          <t>* Identificação do Imóvel</t>
        </r>
        <r>
          <rPr>
            <sz val="9"/>
            <color indexed="81"/>
            <rFont val="Segoe UI"/>
            <family val="2"/>
          </rPr>
          <t xml:space="preserve">
07 - titularidade
08 - responsável patrimonial
</t>
        </r>
        <r>
          <rPr>
            <b/>
            <sz val="9"/>
            <color indexed="81"/>
            <rFont val="Segoe UI"/>
            <family val="2"/>
          </rPr>
          <t>* Ocupantes</t>
        </r>
        <r>
          <rPr>
            <sz val="9"/>
            <color indexed="81"/>
            <rFont val="Segoe UI"/>
            <family val="2"/>
          </rPr>
          <t xml:space="preserve">
09 - código unidade administrativa
</t>
        </r>
        <r>
          <rPr>
            <b/>
            <sz val="9"/>
            <color indexed="81"/>
            <rFont val="Segoe UI"/>
            <family val="2"/>
          </rPr>
          <t>* Município</t>
        </r>
        <r>
          <rPr>
            <sz val="9"/>
            <color indexed="81"/>
            <rFont val="Segoe UI"/>
            <family val="2"/>
          </rPr>
          <t xml:space="preserve">
10 - descrição
</t>
        </r>
        <r>
          <rPr>
            <b/>
            <sz val="9"/>
            <color indexed="81"/>
            <rFont val="Segoe UI"/>
            <family val="2"/>
          </rPr>
          <t xml:space="preserve">
* Órgão</t>
        </r>
        <r>
          <rPr>
            <sz val="9"/>
            <color indexed="81"/>
            <rFont val="Segoe UI"/>
            <family val="2"/>
          </rPr>
          <t xml:space="preserve">
11 - descrição
</t>
        </r>
        <r>
          <rPr>
            <b/>
            <sz val="9"/>
            <color indexed="81"/>
            <rFont val="Segoe UI"/>
            <family val="2"/>
          </rPr>
          <t xml:space="preserve">* Vistorias do Imóveis
</t>
        </r>
        <r>
          <rPr>
            <sz val="9"/>
            <color indexed="81"/>
            <rFont val="Segoe UI"/>
            <family val="2"/>
          </rPr>
          <t xml:space="preserve">12 - código
</t>
        </r>
        <r>
          <rPr>
            <b/>
            <sz val="9"/>
            <color indexed="81"/>
            <rFont val="Segoe UI"/>
            <family val="2"/>
          </rPr>
          <t>* Avaliação</t>
        </r>
        <r>
          <rPr>
            <sz val="9"/>
            <color indexed="81"/>
            <rFont val="Segoe UI"/>
            <family val="2"/>
          </rPr>
          <t xml:space="preserve">
13 - valor do terreno calculado
14 - valor da edificação calculado
15 - valor do imóvel calculado
16 - avaliador
17 - comando
18 - mensagem</t>
        </r>
      </text>
    </comment>
    <comment ref="E119" authorId="2" shapeId="0" xr:uid="{00000000-0006-0000-0100-0000BE000000}">
      <text>
        <r>
          <rPr>
            <sz val="9"/>
            <color indexed="81"/>
            <rFont val="Segoe UI"/>
            <family val="2"/>
          </rPr>
          <t>01 - Imóvel
02 - Identificação do Imóvel
03 - Órgão
04 - Município
05 - Vistorias do Imóvel</t>
        </r>
      </text>
    </comment>
    <comment ref="D120" authorId="1" shapeId="0" xr:uid="{00000000-0006-0000-0100-0000BF000000}">
      <text>
        <r>
          <rPr>
            <b/>
            <sz val="9"/>
            <color indexed="81"/>
            <rFont val="Segoe UI"/>
            <family val="2"/>
          </rPr>
          <t xml:space="preserve">* Imóvel
</t>
        </r>
        <r>
          <rPr>
            <sz val="9"/>
            <color indexed="81"/>
            <rFont val="Segoe UI"/>
            <family val="2"/>
          </rPr>
          <t xml:space="preserve">01 - código
02 - nome do imóvel
03 - matrícula
04 - RIP
05 - código tipo imóvel
06 - flag edificado
07 - qtd piso
* Tipo de Imóvel
08 - descrição
</t>
        </r>
        <r>
          <rPr>
            <b/>
            <sz val="9"/>
            <color indexed="81"/>
            <rFont val="Segoe UI"/>
            <family val="2"/>
          </rPr>
          <t xml:space="preserve">
* Localização
</t>
        </r>
        <r>
          <rPr>
            <sz val="9"/>
            <color indexed="81"/>
            <rFont val="Segoe UI"/>
            <family val="2"/>
          </rPr>
          <t>09 - cep
10 - código município
11 - logradouro
12 - número
13 - bairro
14 - distrito
15 - latitude
16 - longitude</t>
        </r>
        <r>
          <rPr>
            <b/>
            <sz val="9"/>
            <color indexed="81"/>
            <rFont val="Segoe UI"/>
            <family val="2"/>
          </rPr>
          <t xml:space="preserve">
* Tipo Característica
</t>
        </r>
        <r>
          <rPr>
            <sz val="9"/>
            <color indexed="81"/>
            <rFont val="Segoe UI"/>
            <family val="2"/>
          </rPr>
          <t>17 - descrição</t>
        </r>
        <r>
          <rPr>
            <b/>
            <sz val="9"/>
            <color indexed="81"/>
            <rFont val="Segoe UI"/>
            <family val="2"/>
          </rPr>
          <t xml:space="preserve">
* Características do Imóvel
</t>
        </r>
        <r>
          <rPr>
            <sz val="9"/>
            <color indexed="81"/>
            <rFont val="Segoe UI"/>
            <family val="2"/>
          </rPr>
          <t xml:space="preserve">18 - código característica </t>
        </r>
        <r>
          <rPr>
            <b/>
            <sz val="9"/>
            <color indexed="81"/>
            <rFont val="Segoe UI"/>
            <family val="2"/>
          </rPr>
          <t xml:space="preserve">
* Município
</t>
        </r>
        <r>
          <rPr>
            <sz val="9"/>
            <color indexed="81"/>
            <rFont val="Segoe UI"/>
            <family val="2"/>
          </rPr>
          <t xml:space="preserve">19 - descrição
</t>
        </r>
        <r>
          <rPr>
            <b/>
            <sz val="9"/>
            <color indexed="81"/>
            <rFont val="Segoe UI"/>
            <family val="2"/>
          </rPr>
          <t>* Identificação do Imóvel</t>
        </r>
        <r>
          <rPr>
            <sz val="9"/>
            <color indexed="81"/>
            <rFont val="Segoe UI"/>
            <family val="2"/>
          </rPr>
          <t xml:space="preserve">
20 - código
</t>
        </r>
        <r>
          <rPr>
            <b/>
            <sz val="9"/>
            <color indexed="81"/>
            <rFont val="Segoe UI"/>
            <family val="2"/>
          </rPr>
          <t>* Ocupantes</t>
        </r>
        <r>
          <rPr>
            <sz val="9"/>
            <color indexed="81"/>
            <rFont val="Segoe UI"/>
            <family val="2"/>
          </rPr>
          <t xml:space="preserve">
21 - código unidade administrativa
</t>
        </r>
        <r>
          <rPr>
            <b/>
            <sz val="9"/>
            <color indexed="81"/>
            <rFont val="Segoe UI"/>
            <family val="2"/>
          </rPr>
          <t>* Órgão</t>
        </r>
        <r>
          <rPr>
            <sz val="9"/>
            <color indexed="81"/>
            <rFont val="Segoe UI"/>
            <family val="2"/>
          </rPr>
          <t xml:space="preserve">
22 - descrição
</t>
        </r>
        <r>
          <rPr>
            <b/>
            <sz val="9"/>
            <color indexed="81"/>
            <rFont val="Segoe UI"/>
            <family val="2"/>
          </rPr>
          <t>* Avaliação</t>
        </r>
        <r>
          <rPr>
            <sz val="9"/>
            <color indexed="81"/>
            <rFont val="Segoe UI"/>
            <family val="2"/>
          </rPr>
          <t xml:space="preserve">
23 - valor do terreno calculado
24 - valor da edificação calculado
25 - valor do imóvel calculado
</t>
        </r>
        <r>
          <rPr>
            <b/>
            <sz val="9"/>
            <color indexed="81"/>
            <rFont val="Segoe UI"/>
            <family val="2"/>
          </rPr>
          <t>* Vistorias do Imóvel</t>
        </r>
        <r>
          <rPr>
            <sz val="9"/>
            <color indexed="81"/>
            <rFont val="Segoe UI"/>
            <family val="2"/>
          </rPr>
          <t xml:space="preserve">
26 - código
27 - área total do terreno
28 - área construída
29 - vida útil aparente
30 - custo metro quadrado
31 - custo cub metro quadrado
32 - código estado de conservação
33 - registro profissional do avaliador
34 - número da vistoria
</t>
        </r>
        <r>
          <rPr>
            <b/>
            <sz val="9"/>
            <color indexed="81"/>
            <rFont val="Segoe UI"/>
            <family val="2"/>
          </rPr>
          <t>* Tipo Estado de Conservação</t>
        </r>
        <r>
          <rPr>
            <sz val="9"/>
            <color indexed="81"/>
            <rFont val="Segoe UI"/>
            <family val="2"/>
          </rPr>
          <t xml:space="preserve">
35 - descrição
36 - Metodologia
37 - comando
38 - mensagem
</t>
        </r>
      </text>
    </comment>
    <comment ref="E120" authorId="2" shapeId="0" xr:uid="{00000000-0006-0000-0100-0000C0000000}">
      <text>
        <r>
          <rPr>
            <sz val="9"/>
            <color indexed="81"/>
            <rFont val="Segoe UI"/>
            <family val="2"/>
          </rPr>
          <t>01 - Imóvel
02 - Identificação do Imóvel
03 - Órgão
04 - Município
05 - Vistorias do Imóvel
06 - Unidade</t>
        </r>
      </text>
    </comment>
    <comment ref="D123" authorId="2" shapeId="0" xr:uid="{00000000-0006-0000-0100-0000C1000000}">
      <text>
        <r>
          <rPr>
            <b/>
            <sz val="9"/>
            <color indexed="81"/>
            <rFont val="Segoe UI"/>
            <family val="2"/>
          </rPr>
          <t xml:space="preserve">* Vistorias do Imóvel
</t>
        </r>
        <r>
          <rPr>
            <sz val="9"/>
            <color indexed="81"/>
            <rFont val="Segoe UI"/>
            <family val="2"/>
          </rPr>
          <t xml:space="preserve">01 - código
02 - código imóvel
03 - área total do terreno
04 - custo metro quadrado
05 - usuário cadastro
06 - data cadastro
07 - avaliador
08 - cpf avalidador
09 - número do registro profissional do avaliador
10 - data da vistoria
</t>
        </r>
        <r>
          <rPr>
            <b/>
            <sz val="9"/>
            <color indexed="81"/>
            <rFont val="Segoe UI"/>
            <family val="2"/>
          </rPr>
          <t xml:space="preserve">* Imóvel
</t>
        </r>
        <r>
          <rPr>
            <sz val="9"/>
            <color indexed="81"/>
            <rFont val="Segoe UI"/>
            <family val="2"/>
          </rPr>
          <t xml:space="preserve">11 - flag edificado
12 - comando
13 - mensagem
</t>
        </r>
        <r>
          <rPr>
            <b/>
            <sz val="9"/>
            <color indexed="81"/>
            <rFont val="Segoe UI"/>
            <family val="2"/>
          </rPr>
          <t xml:space="preserve">
</t>
        </r>
        <r>
          <rPr>
            <sz val="9"/>
            <color indexed="81"/>
            <rFont val="Segoe UI"/>
            <family val="2"/>
          </rPr>
          <t xml:space="preserve">
</t>
        </r>
      </text>
    </comment>
    <comment ref="E123" authorId="2" shapeId="0" xr:uid="{00000000-0006-0000-0100-0000C2000000}">
      <text>
        <r>
          <rPr>
            <sz val="9"/>
            <color indexed="81"/>
            <rFont val="Segoe UI"/>
            <family val="2"/>
          </rPr>
          <t>01 - Vistorias do Imóvel
02 - Imóvel
03 - Avaliador</t>
        </r>
      </text>
    </comment>
    <comment ref="D124" authorId="2" shapeId="0" xr:uid="{00000000-0006-0000-0100-0000C3000000}">
      <text>
        <r>
          <rPr>
            <b/>
            <sz val="9"/>
            <color indexed="81"/>
            <rFont val="Segoe UI"/>
            <family val="2"/>
          </rPr>
          <t xml:space="preserve">* Vistorias do Imóvel
</t>
        </r>
        <r>
          <rPr>
            <sz val="9"/>
            <color indexed="81"/>
            <rFont val="Segoe UI"/>
            <family val="2"/>
          </rPr>
          <t xml:space="preserve">01 - código
02 - código imóvel
03 - área total do terreno
04 - custo metro quadrado
05 - usuário alteração
06 - data alteração
07 - avaliador
08 - cpf avalidador
09 - número do registro profissional do avaliador
10 - data da vistoria
</t>
        </r>
        <r>
          <rPr>
            <b/>
            <sz val="9"/>
            <color indexed="81"/>
            <rFont val="Segoe UI"/>
            <family val="2"/>
          </rPr>
          <t xml:space="preserve">* Imóvel
</t>
        </r>
        <r>
          <rPr>
            <sz val="9"/>
            <color indexed="81"/>
            <rFont val="Segoe UI"/>
            <family val="2"/>
          </rPr>
          <t xml:space="preserve">11 - flag edificado
12 - comando
13 - mensagem
</t>
        </r>
        <r>
          <rPr>
            <b/>
            <sz val="9"/>
            <color indexed="81"/>
            <rFont val="Segoe UI"/>
            <family val="2"/>
          </rPr>
          <t xml:space="preserve">
</t>
        </r>
        <r>
          <rPr>
            <sz val="9"/>
            <color indexed="81"/>
            <rFont val="Segoe UI"/>
            <family val="2"/>
          </rPr>
          <t xml:space="preserve">
</t>
        </r>
      </text>
    </comment>
    <comment ref="E124" authorId="2" shapeId="0" xr:uid="{00000000-0006-0000-0100-0000C4000000}">
      <text>
        <r>
          <rPr>
            <sz val="9"/>
            <color indexed="81"/>
            <rFont val="Segoe UI"/>
            <family val="2"/>
          </rPr>
          <t>01 - Vistorias do Imóvel
02 - Imóvel
03 - Avaliador</t>
        </r>
      </text>
    </comment>
    <comment ref="D125" authorId="2" shapeId="0" xr:uid="{00000000-0006-0000-0100-0000C5000000}">
      <text>
        <r>
          <rPr>
            <b/>
            <sz val="9"/>
            <color indexed="81"/>
            <rFont val="Segoe UI"/>
            <family val="2"/>
          </rPr>
          <t xml:space="preserve">* Vistorias do Imóvel
</t>
        </r>
        <r>
          <rPr>
            <sz val="9"/>
            <color indexed="81"/>
            <rFont val="Segoe UI"/>
            <family val="2"/>
          </rPr>
          <t xml:space="preserve">01 - código
02 - código imóvel
03 - área total do terreno
04 - custo metro quadrado
05 - flag edificado
</t>
        </r>
        <r>
          <rPr>
            <b/>
            <sz val="9"/>
            <color indexed="81"/>
            <rFont val="Segoe UI"/>
            <family val="2"/>
          </rPr>
          <t xml:space="preserve">
</t>
        </r>
        <r>
          <rPr>
            <sz val="9"/>
            <color indexed="81"/>
            <rFont val="Segoe UI"/>
            <family val="2"/>
          </rPr>
          <t xml:space="preserve">
</t>
        </r>
      </text>
    </comment>
    <comment ref="E125" authorId="2" shapeId="0" xr:uid="{00000000-0006-0000-0100-0000C6000000}">
      <text>
        <r>
          <rPr>
            <sz val="9"/>
            <color indexed="81"/>
            <rFont val="Segoe UI"/>
            <family val="2"/>
          </rPr>
          <t>01 - Vistorias do Imóvel
02 - Imóvel</t>
        </r>
      </text>
    </comment>
    <comment ref="D126" authorId="2" shapeId="0" xr:uid="{00000000-0006-0000-0100-0000C7000000}">
      <text>
        <r>
          <rPr>
            <b/>
            <sz val="9"/>
            <color indexed="81"/>
            <rFont val="Segoe UI"/>
            <family val="2"/>
          </rPr>
          <t xml:space="preserve">* Vistorias do Imóvel
</t>
        </r>
        <r>
          <rPr>
            <sz val="9"/>
            <color indexed="81"/>
            <rFont val="Segoe UI"/>
            <family val="2"/>
          </rPr>
          <t xml:space="preserve">01 - código
02 - área total do terreno
03 - custo metro quadrado
04 - avaliador
05 - cpf avalidador
06 - número do registro profissional do avaliador
07 - data da vistoria
</t>
        </r>
        <r>
          <rPr>
            <b/>
            <sz val="9"/>
            <color indexed="81"/>
            <rFont val="Segoe UI"/>
            <family val="2"/>
          </rPr>
          <t xml:space="preserve">* Avaliação
</t>
        </r>
        <r>
          <rPr>
            <sz val="9"/>
            <color indexed="81"/>
            <rFont val="Segoe UI"/>
            <family val="2"/>
          </rPr>
          <t xml:space="preserve">08 - código
09 - código vistoria
10 - valor do terreno calculado
11 - valor do imóvel calculado
12 - usuário cadastro
13 - data cadastro
14 - avaliador
15 - cpf avalidador
16 - número do registro profissional do avaliador
17 - data da vistoria
</t>
        </r>
        <r>
          <rPr>
            <b/>
            <sz val="9"/>
            <color indexed="81"/>
            <rFont val="Segoe UI"/>
            <family val="2"/>
          </rPr>
          <t xml:space="preserve">* Imóvel
</t>
        </r>
        <r>
          <rPr>
            <sz val="9"/>
            <color indexed="81"/>
            <rFont val="Segoe UI"/>
            <family val="2"/>
          </rPr>
          <t xml:space="preserve">18 - código
19 - comando
20 - mensagem
</t>
        </r>
      </text>
    </comment>
    <comment ref="E126" authorId="2" shapeId="0" xr:uid="{00000000-0006-0000-0100-0000C8000000}">
      <text>
        <r>
          <rPr>
            <sz val="9"/>
            <color indexed="81"/>
            <rFont val="Segoe UI"/>
            <family val="2"/>
          </rPr>
          <t>01 - Vistorias do Imóvel
02 - Imóvel
03 - Avaliador</t>
        </r>
      </text>
    </comment>
    <comment ref="D129" authorId="1" shapeId="0" xr:uid="{00000000-0006-0000-0100-0000C9000000}">
      <text>
        <r>
          <rPr>
            <b/>
            <sz val="9"/>
            <color indexed="81"/>
            <rFont val="Segoe UI"/>
            <family val="2"/>
          </rPr>
          <t xml:space="preserve">* Imóvel
</t>
        </r>
        <r>
          <rPr>
            <sz val="9"/>
            <color indexed="81"/>
            <rFont val="Segoe UI"/>
            <family val="2"/>
          </rPr>
          <t xml:space="preserve">01 - código
02 - nome do imóvel
03 - matrícula
04 - RIP
05 - código tipo imóvel
06 - flag edificado
07 - qtd piso
</t>
        </r>
        <r>
          <rPr>
            <b/>
            <sz val="9"/>
            <color indexed="81"/>
            <rFont val="Segoe UI"/>
            <family val="2"/>
          </rPr>
          <t>* Tipo de Imóvel</t>
        </r>
        <r>
          <rPr>
            <sz val="9"/>
            <color indexed="81"/>
            <rFont val="Segoe UI"/>
            <family val="2"/>
          </rPr>
          <t xml:space="preserve">
08 - descrição
</t>
        </r>
        <r>
          <rPr>
            <b/>
            <sz val="9"/>
            <color indexed="81"/>
            <rFont val="Segoe UI"/>
            <family val="2"/>
          </rPr>
          <t xml:space="preserve">
* Localização
</t>
        </r>
        <r>
          <rPr>
            <sz val="9"/>
            <color indexed="81"/>
            <rFont val="Segoe UI"/>
            <family val="2"/>
          </rPr>
          <t>09 - cep
10 - código município
11 - logradouro
12 - número
13 - bairro
14 - distrito
15 - latitude
16 - longitude</t>
        </r>
        <r>
          <rPr>
            <b/>
            <sz val="9"/>
            <color indexed="81"/>
            <rFont val="Segoe UI"/>
            <family val="2"/>
          </rPr>
          <t xml:space="preserve">
* Tipo Característica
</t>
        </r>
        <r>
          <rPr>
            <sz val="9"/>
            <color indexed="81"/>
            <rFont val="Segoe UI"/>
            <family val="2"/>
          </rPr>
          <t>17 - descrição</t>
        </r>
        <r>
          <rPr>
            <b/>
            <sz val="9"/>
            <color indexed="81"/>
            <rFont val="Segoe UI"/>
            <family val="2"/>
          </rPr>
          <t xml:space="preserve">
* Características do Imóvel
</t>
        </r>
        <r>
          <rPr>
            <sz val="9"/>
            <color indexed="81"/>
            <rFont val="Segoe UI"/>
            <family val="2"/>
          </rPr>
          <t xml:space="preserve">18 - código característica </t>
        </r>
        <r>
          <rPr>
            <b/>
            <sz val="9"/>
            <color indexed="81"/>
            <rFont val="Segoe UI"/>
            <family val="2"/>
          </rPr>
          <t xml:space="preserve">
* Município
</t>
        </r>
        <r>
          <rPr>
            <sz val="9"/>
            <color indexed="81"/>
            <rFont val="Segoe UI"/>
            <family val="2"/>
          </rPr>
          <t xml:space="preserve">19 - descrição
</t>
        </r>
        <r>
          <rPr>
            <b/>
            <sz val="9"/>
            <color indexed="81"/>
            <rFont val="Segoe UI"/>
            <family val="2"/>
          </rPr>
          <t>* Identificação do Imóvel</t>
        </r>
        <r>
          <rPr>
            <sz val="9"/>
            <color indexed="81"/>
            <rFont val="Segoe UI"/>
            <family val="2"/>
          </rPr>
          <t xml:space="preserve">
20 - código
</t>
        </r>
        <r>
          <rPr>
            <b/>
            <sz val="9"/>
            <color indexed="81"/>
            <rFont val="Segoe UI"/>
            <family val="2"/>
          </rPr>
          <t>* Ocupantes</t>
        </r>
        <r>
          <rPr>
            <sz val="9"/>
            <color indexed="81"/>
            <rFont val="Segoe UI"/>
            <family val="2"/>
          </rPr>
          <t xml:space="preserve">
21 - código unidade administrativa
</t>
        </r>
        <r>
          <rPr>
            <b/>
            <sz val="9"/>
            <color indexed="81"/>
            <rFont val="Segoe UI"/>
            <family val="2"/>
          </rPr>
          <t>* Órgão</t>
        </r>
        <r>
          <rPr>
            <sz val="9"/>
            <color indexed="81"/>
            <rFont val="Segoe UI"/>
            <family val="2"/>
          </rPr>
          <t xml:space="preserve">
22 - descrição
</t>
        </r>
        <r>
          <rPr>
            <b/>
            <sz val="9"/>
            <color indexed="81"/>
            <rFont val="Segoe UI"/>
            <family val="2"/>
          </rPr>
          <t>* Avaliação</t>
        </r>
        <r>
          <rPr>
            <sz val="9"/>
            <color indexed="81"/>
            <rFont val="Segoe UI"/>
            <family val="2"/>
          </rPr>
          <t xml:space="preserve">
23 - valor do terreno calculado
24 - valor da edificação calculado
25 - valor do imóvel calculado
26 - vida útil remanescente
27 - avaliador
28 - cpf avaliador
29 - número registro profissional do avaliador
</t>
        </r>
        <r>
          <rPr>
            <b/>
            <sz val="9"/>
            <color indexed="81"/>
            <rFont val="Segoe UI"/>
            <family val="2"/>
          </rPr>
          <t>* Vistorias do Imóvel</t>
        </r>
        <r>
          <rPr>
            <sz val="9"/>
            <color indexed="81"/>
            <rFont val="Segoe UI"/>
            <family val="2"/>
          </rPr>
          <t xml:space="preserve">
30 - código
31 - área total do terreno
32 - área construída
33 - vida útil aparente
34 - custo metro quadrado
35 - custo cub metro quadrado
36 - código estado de conservação
</t>
        </r>
        <r>
          <rPr>
            <b/>
            <sz val="9"/>
            <color indexed="81"/>
            <rFont val="Segoe UI"/>
            <family val="2"/>
          </rPr>
          <t>* Tipo Estado de Conservação</t>
        </r>
        <r>
          <rPr>
            <sz val="9"/>
            <color indexed="81"/>
            <rFont val="Segoe UI"/>
            <family val="2"/>
          </rPr>
          <t xml:space="preserve">
37 - descrição
</t>
        </r>
        <r>
          <rPr>
            <b/>
            <sz val="9"/>
            <color indexed="81"/>
            <rFont val="Segoe UI"/>
            <family val="2"/>
          </rPr>
          <t xml:space="preserve">
* Relatório do Imóvel</t>
        </r>
        <r>
          <rPr>
            <sz val="9"/>
            <color indexed="81"/>
            <rFont val="Segoe UI"/>
            <family val="2"/>
          </rPr>
          <t xml:space="preserve">
38 - código 
39 - código do imóvel
40 - código da vistoria
41 - data assinatura
42 - usuário assinatura
43 - arquivo pdf 
44 - nome relatório
</t>
        </r>
        <r>
          <rPr>
            <sz val="9"/>
            <color indexed="81"/>
            <rFont val="Segoe UI"/>
            <family val="2"/>
          </rPr>
          <t xml:space="preserve">
45 - login
46 - senha
</t>
        </r>
      </text>
    </comment>
    <comment ref="E129" authorId="2" shapeId="0" xr:uid="{00000000-0006-0000-0100-0000CA000000}">
      <text>
        <r>
          <rPr>
            <sz val="9"/>
            <color indexed="81"/>
            <rFont val="Segoe UI"/>
            <family val="2"/>
          </rPr>
          <t>01 - Imóvel
02 - Identificação do Imóvel
03 - Órgão
04 - Município
05 - Vistorias do Imóvel
06 - Usuário
07 - Avaliador</t>
        </r>
      </text>
    </comment>
    <comment ref="D132" authorId="2" shapeId="0" xr:uid="{00000000-0006-0000-0100-0000CB000000}">
      <text>
        <r>
          <rPr>
            <b/>
            <sz val="9"/>
            <color indexed="81"/>
            <rFont val="Segoe UI"/>
            <family val="2"/>
          </rPr>
          <t>* Identificação do Imóvel</t>
        </r>
        <r>
          <rPr>
            <sz val="9"/>
            <color indexed="81"/>
            <rFont val="Segoe UI"/>
            <family val="2"/>
          </rPr>
          <t xml:space="preserve">
01 - código
02 - código imóvel
03 - código titularidade
04 - código responsável patrimonial
05 - código tipo de ocupação
06 - usuário cadastro
07 - usuário alteração
08 - data cadastro
09 - data alteração
</t>
        </r>
        <r>
          <rPr>
            <b/>
            <sz val="9"/>
            <color indexed="81"/>
            <rFont val="Segoe UI"/>
            <family val="2"/>
          </rPr>
          <t xml:space="preserve">* Ocupantes
</t>
        </r>
        <r>
          <rPr>
            <sz val="9"/>
            <color indexed="81"/>
            <rFont val="Segoe UI"/>
            <family val="2"/>
          </rPr>
          <t xml:space="preserve">10 - código
11 - código identificação
12 - código unidade administrativa
13 - código finalidade da ocupação
14 - código tipo outorga
15 - número documento
16 - início vigência
17 - fim vigência
18 - usuário cadastro
19 - usuário alteração
20 - data cadastro
21 - data alteração
</t>
        </r>
        <r>
          <rPr>
            <b/>
            <sz val="9"/>
            <color indexed="81"/>
            <rFont val="Segoe UI"/>
            <family val="2"/>
          </rPr>
          <t>* Finalidade da Ocupação</t>
        </r>
        <r>
          <rPr>
            <sz val="9"/>
            <color indexed="81"/>
            <rFont val="Segoe UI"/>
            <family val="2"/>
          </rPr>
          <t xml:space="preserve">
22 - código
23 - descrição
24 - usuário cadastro
25 - usuário alteração
26 - data cadastro
27 - data alteração
</t>
        </r>
        <r>
          <rPr>
            <b/>
            <sz val="9"/>
            <color indexed="81"/>
            <rFont val="Segoe UI"/>
            <family val="2"/>
          </rPr>
          <t xml:space="preserve">* Tipo de Outorga
</t>
        </r>
        <r>
          <rPr>
            <sz val="9"/>
            <color indexed="81"/>
            <rFont val="Segoe UI"/>
            <family val="2"/>
          </rPr>
          <t xml:space="preserve">28 - código
29 - descrição
30 - usuário cadastro
31 - usuário alteração
32 - data cadastro
33 - data alteração
</t>
        </r>
        <r>
          <rPr>
            <b/>
            <sz val="9"/>
            <color indexed="81"/>
            <rFont val="Segoe UI"/>
            <family val="2"/>
          </rPr>
          <t xml:space="preserve">* Tipo de Ocupação
</t>
        </r>
        <r>
          <rPr>
            <sz val="9"/>
            <color indexed="81"/>
            <rFont val="Segoe UI"/>
            <family val="2"/>
          </rPr>
          <t>34 - código
35 - descrição
36 - usuário cadastro
37 - usuário alteração
38 - data cadastro
39 - data alteração</t>
        </r>
        <r>
          <rPr>
            <b/>
            <sz val="9"/>
            <color indexed="81"/>
            <rFont val="Segoe UI"/>
            <family val="2"/>
          </rPr>
          <t xml:space="preserve">
</t>
        </r>
        <r>
          <rPr>
            <sz val="9"/>
            <color indexed="81"/>
            <rFont val="Segoe UI"/>
            <family val="2"/>
          </rPr>
          <t xml:space="preserve">
</t>
        </r>
      </text>
    </comment>
    <comment ref="E132" authorId="2" shapeId="0" xr:uid="{00000000-0006-0000-0100-0000CC000000}">
      <text>
        <r>
          <rPr>
            <sz val="9"/>
            <color indexed="81"/>
            <rFont val="Segoe UI"/>
            <family val="2"/>
          </rPr>
          <t>01 - Identificação do Imóvel
02 - Finalidade da Ocupação
03 - Tipo de Outorga
04 - Tipo de Ocupação</t>
        </r>
      </text>
    </comment>
    <comment ref="D135" authorId="1" shapeId="0" xr:uid="{00000000-0006-0000-0100-0000CD000000}">
      <text>
        <r>
          <rPr>
            <b/>
            <sz val="9"/>
            <color indexed="81"/>
            <rFont val="Segoe UI"/>
            <family val="2"/>
          </rPr>
          <t>* Pessoa Física</t>
        </r>
        <r>
          <rPr>
            <sz val="9"/>
            <color indexed="81"/>
            <rFont val="Segoe UI"/>
            <family val="2"/>
          </rPr>
          <t xml:space="preserve">
01 - código
02 - nome
03 - flag ativo
04 - cpf
05 - sexo
06 - data de nascimento
07 - telefone pessoal
08 - telefone comercial
09 - celular
10 - e-mail
11 - usuário cadastro
12 - data cadastro
13 - usuário alteração
14 - data alteração
15 - flag servidor
16 - nome social
</t>
        </r>
      </text>
    </comment>
    <comment ref="E135" authorId="1" shapeId="0" xr:uid="{00000000-0006-0000-0100-0000CE000000}">
      <text>
        <r>
          <rPr>
            <sz val="9"/>
            <color indexed="81"/>
            <rFont val="Segoe UI"/>
            <family val="2"/>
          </rPr>
          <t>01 - Pessoa Física</t>
        </r>
      </text>
    </comment>
    <comment ref="D136" authorId="1" shapeId="0" xr:uid="{00000000-0006-0000-0100-0000CF000000}">
      <text>
        <r>
          <rPr>
            <b/>
            <sz val="9"/>
            <color indexed="81"/>
            <rFont val="Segoe UI"/>
            <family val="2"/>
          </rPr>
          <t>* Pessoa Física</t>
        </r>
        <r>
          <rPr>
            <sz val="9"/>
            <color indexed="81"/>
            <rFont val="Segoe UI"/>
            <family val="2"/>
          </rPr>
          <t xml:space="preserve">
01 - código
02 - nome
03 - flag ativo
04 - cpf
05 - sexo
06 - data de nascimento
07 - telefone pessoal
08 - telefone comercial
09 - celular
10 - e-mail
11 - usuário cadastro
12 - data cadastro
13 - nome social
</t>
        </r>
        <r>
          <rPr>
            <b/>
            <sz val="9"/>
            <color indexed="81"/>
            <rFont val="Segoe UI"/>
            <family val="2"/>
          </rPr>
          <t xml:space="preserve">
* Entidade</t>
        </r>
        <r>
          <rPr>
            <sz val="9"/>
            <color indexed="81"/>
            <rFont val="Segoe UI"/>
            <family val="2"/>
          </rPr>
          <t xml:space="preserve">
14 - código
15 - código pessoa
16 - tipo de pessoa
17 - classificação entidade
18 - comando
19 - mensagem</t>
        </r>
      </text>
    </comment>
    <comment ref="E136" authorId="1" shapeId="0" xr:uid="{00000000-0006-0000-0100-0000D0000000}">
      <text>
        <r>
          <rPr>
            <sz val="9"/>
            <color indexed="81"/>
            <rFont val="Segoe UI"/>
            <family val="2"/>
          </rPr>
          <t>01 - Pessoa Física
02 - Entidade</t>
        </r>
      </text>
    </comment>
    <comment ref="D137" authorId="1" shapeId="0" xr:uid="{00000000-0006-0000-0100-0000D1000000}">
      <text>
        <r>
          <rPr>
            <b/>
            <sz val="9"/>
            <color indexed="81"/>
            <rFont val="Segoe UI"/>
            <family val="2"/>
          </rPr>
          <t xml:space="preserve">* Área de Atuação
</t>
        </r>
        <r>
          <rPr>
            <sz val="9"/>
            <color indexed="81"/>
            <rFont val="Segoe UI"/>
            <family val="2"/>
          </rPr>
          <t>01 - código
02 - descrição</t>
        </r>
      </text>
    </comment>
    <comment ref="E137" authorId="1" shapeId="0" xr:uid="{00000000-0006-0000-0100-0000D2000000}">
      <text>
        <r>
          <rPr>
            <sz val="9"/>
            <color indexed="81"/>
            <rFont val="Segoe UI"/>
            <family val="2"/>
          </rPr>
          <t>01 - Pessoa Física</t>
        </r>
      </text>
    </comment>
    <comment ref="D138" authorId="1" shapeId="0" xr:uid="{00000000-0006-0000-0100-0000D3000000}">
      <text>
        <r>
          <rPr>
            <b/>
            <sz val="9"/>
            <color indexed="81"/>
            <rFont val="Segoe UI"/>
            <family val="2"/>
          </rPr>
          <t xml:space="preserve">* Tipo Pessoa
</t>
        </r>
        <r>
          <rPr>
            <sz val="9"/>
            <color indexed="81"/>
            <rFont val="Segoe UI"/>
            <family val="2"/>
          </rPr>
          <t>01 - código
02 - descrição</t>
        </r>
      </text>
    </comment>
    <comment ref="E138" authorId="1" shapeId="0" xr:uid="{00000000-0006-0000-0100-0000D4000000}">
      <text>
        <r>
          <rPr>
            <sz val="9"/>
            <color indexed="81"/>
            <rFont val="Segoe UI"/>
            <family val="2"/>
          </rPr>
          <t>01 - Pessoa Física</t>
        </r>
      </text>
    </comment>
    <comment ref="D139" authorId="1" shapeId="0" xr:uid="{00000000-0006-0000-0100-0000D5000000}">
      <text>
        <r>
          <rPr>
            <b/>
            <sz val="9"/>
            <color indexed="81"/>
            <rFont val="Segoe UI"/>
            <family val="2"/>
          </rPr>
          <t>* Pessoa Física</t>
        </r>
        <r>
          <rPr>
            <sz val="9"/>
            <color indexed="81"/>
            <rFont val="Segoe UI"/>
            <family val="2"/>
          </rPr>
          <t xml:space="preserve">
01 - código
02 - nome
03 - flag ativo
04 - cpf
05 - sexo
06 - data de nascimento
07 - telefone pessoal
08 - telefone comercial
09 - celular
10 - e-mail
11 - usuário alteração
12 - data alteração
13 - nome social
</t>
        </r>
        <r>
          <rPr>
            <b/>
            <sz val="9"/>
            <color indexed="81"/>
            <rFont val="Segoe UI"/>
            <family val="2"/>
          </rPr>
          <t xml:space="preserve">
* Entidade</t>
        </r>
        <r>
          <rPr>
            <sz val="9"/>
            <color indexed="81"/>
            <rFont val="Segoe UI"/>
            <family val="2"/>
          </rPr>
          <t xml:space="preserve">
14 - código
15 - código pessoa
16 - tipo de pessoa
17 - classificação entidade
18 - comando
19 - mensagem</t>
        </r>
      </text>
    </comment>
    <comment ref="E139" authorId="1" shapeId="0" xr:uid="{00000000-0006-0000-0100-0000D6000000}">
      <text>
        <r>
          <rPr>
            <sz val="9"/>
            <color indexed="81"/>
            <rFont val="Segoe UI"/>
            <family val="2"/>
          </rPr>
          <t>01 - Pessoa Física
02 - Entidade</t>
        </r>
      </text>
    </comment>
    <comment ref="D140" authorId="1" shapeId="0" xr:uid="{00000000-0006-0000-0100-0000D7000000}">
      <text>
        <r>
          <rPr>
            <b/>
            <sz val="9"/>
            <color indexed="81"/>
            <rFont val="Segoe UI"/>
            <family val="2"/>
          </rPr>
          <t>* Pessoa Física</t>
        </r>
        <r>
          <rPr>
            <sz val="9"/>
            <color indexed="81"/>
            <rFont val="Segoe UI"/>
            <family val="2"/>
          </rPr>
          <t xml:space="preserve">
01 - código
02 - nome
03 - flag ativo
04 - cpf
05 - sexo
06 - data de nascimento
07 - telefone pessoal
08 - telefone comercial
09 - celular
10 - e-mail
11 - usuário alteração
12 - data alteração
13 - nome social
</t>
        </r>
      </text>
    </comment>
    <comment ref="E140" authorId="1" shapeId="0" xr:uid="{00000000-0006-0000-0100-0000D8000000}">
      <text>
        <r>
          <rPr>
            <sz val="9"/>
            <color indexed="81"/>
            <rFont val="Segoe UI"/>
            <family val="2"/>
          </rPr>
          <t>01 - Pessoa Física</t>
        </r>
      </text>
    </comment>
    <comment ref="D141" authorId="1" shapeId="0" xr:uid="{00000000-0006-0000-0100-0000D9000000}">
      <text>
        <r>
          <rPr>
            <b/>
            <sz val="9"/>
            <color indexed="81"/>
            <rFont val="Segoe UI"/>
            <family val="2"/>
          </rPr>
          <t>* Pessoa Física</t>
        </r>
        <r>
          <rPr>
            <sz val="9"/>
            <color indexed="81"/>
            <rFont val="Segoe UI"/>
            <family val="2"/>
          </rPr>
          <t xml:space="preserve">
01 - código
02 - nome
03 - flag ativo
04 - cpf
05 - sexo
06 - flag servidor
07 - comando
08 - mensagem 
</t>
        </r>
      </text>
    </comment>
    <comment ref="E141" authorId="1" shapeId="0" xr:uid="{00000000-0006-0000-0100-0000DA000000}">
      <text>
        <r>
          <rPr>
            <sz val="9"/>
            <color indexed="81"/>
            <rFont val="Segoe UI"/>
            <family val="2"/>
          </rPr>
          <t>01 - Pessoa Física</t>
        </r>
      </text>
    </comment>
    <comment ref="D142" authorId="1" shapeId="0" xr:uid="{00000000-0006-0000-0100-0000DB000000}">
      <text>
        <r>
          <rPr>
            <b/>
            <sz val="9"/>
            <color indexed="81"/>
            <rFont val="Segoe UI"/>
            <family val="2"/>
          </rPr>
          <t>* Pessoa Física</t>
        </r>
        <r>
          <rPr>
            <sz val="9"/>
            <color indexed="81"/>
            <rFont val="Segoe UI"/>
            <family val="2"/>
          </rPr>
          <t xml:space="preserve">
01 - código
* Entidade
05 - código
03 - comando
04 - mensagem 
</t>
        </r>
      </text>
    </comment>
    <comment ref="E142" authorId="1" shapeId="0" xr:uid="{00000000-0006-0000-0100-0000DC000000}">
      <text>
        <r>
          <rPr>
            <sz val="9"/>
            <color indexed="81"/>
            <rFont val="Segoe UI"/>
            <family val="2"/>
          </rPr>
          <t>01 - Pessoa Física
02 - Entidade</t>
        </r>
      </text>
    </comment>
    <comment ref="D143" authorId="1" shapeId="0" xr:uid="{00000000-0006-0000-0100-0000DD000000}">
      <text>
        <r>
          <rPr>
            <b/>
            <sz val="9"/>
            <color indexed="81"/>
            <rFont val="Segoe UI"/>
            <family val="2"/>
          </rPr>
          <t>* Pessoa Física</t>
        </r>
        <r>
          <rPr>
            <sz val="9"/>
            <color indexed="81"/>
            <rFont val="Segoe UI"/>
            <family val="2"/>
          </rPr>
          <t xml:space="preserve">
01 - código
02 - nome
03 - flag ativo
04 - cpf
05 - sexo
06 - flag servidor
07 - nome social
08 - comando
09 - mensagem 
</t>
        </r>
      </text>
    </comment>
    <comment ref="E143" authorId="1" shapeId="0" xr:uid="{00000000-0006-0000-0100-0000DE000000}">
      <text>
        <r>
          <rPr>
            <sz val="9"/>
            <color indexed="81"/>
            <rFont val="Segoe UI"/>
            <family val="2"/>
          </rPr>
          <t>01 - Pessoa Física</t>
        </r>
      </text>
    </comment>
    <comment ref="D146" authorId="1" shapeId="0" xr:uid="{00000000-0006-0000-0100-0000DF000000}">
      <text>
        <r>
          <rPr>
            <b/>
            <sz val="9"/>
            <color indexed="81"/>
            <rFont val="Segoe UI"/>
            <family val="2"/>
          </rPr>
          <t>* Avaliador</t>
        </r>
        <r>
          <rPr>
            <sz val="9"/>
            <color indexed="81"/>
            <rFont val="Segoe UI"/>
            <family val="2"/>
          </rPr>
          <t xml:space="preserve">
01 - código
02 - código tipo avaliador
03 - flag ativo
04 - órgão
05 - avaliador
06 - número do registro profissional
07 - usuário cadastro
08 - data cadastro
09 - usuário alteração
10 - data alteração
</t>
        </r>
        <r>
          <rPr>
            <b/>
            <sz val="9"/>
            <color indexed="81"/>
            <rFont val="Segoe UI"/>
            <family val="2"/>
          </rPr>
          <t xml:space="preserve">* Tipo Avaliador
</t>
        </r>
        <r>
          <rPr>
            <sz val="9"/>
            <color indexed="81"/>
            <rFont val="Segoe UI"/>
            <family val="2"/>
          </rPr>
          <t>11 - código
12 - descrição</t>
        </r>
      </text>
    </comment>
    <comment ref="E146" authorId="1" shapeId="0" xr:uid="{00000000-0006-0000-0100-0000E0000000}">
      <text>
        <r>
          <rPr>
            <sz val="9"/>
            <color indexed="81"/>
            <rFont val="Segoe UI"/>
            <family val="2"/>
          </rPr>
          <t>01 - Avaliador
02 - Tipo Avaliador</t>
        </r>
      </text>
    </comment>
    <comment ref="D147" authorId="1" shapeId="0" xr:uid="{00000000-0006-0000-0100-0000E1000000}">
      <text>
        <r>
          <rPr>
            <b/>
            <sz val="9"/>
            <color indexed="81"/>
            <rFont val="Segoe UI"/>
            <family val="2"/>
          </rPr>
          <t>* Avaliador</t>
        </r>
        <r>
          <rPr>
            <sz val="9"/>
            <color indexed="81"/>
            <rFont val="Segoe UI"/>
            <family val="2"/>
          </rPr>
          <t xml:space="preserve">
01 - código
02 - código tipo avaliador
03 - flag ativo
04 - órgão
05 - avaliador
06 - número do registro profissional
07 - usuário cadastro
08 - data cadastro
</t>
        </r>
        <r>
          <rPr>
            <b/>
            <sz val="9"/>
            <color indexed="81"/>
            <rFont val="Segoe UI"/>
            <family val="2"/>
          </rPr>
          <t xml:space="preserve">* Tipo Avaliador
</t>
        </r>
        <r>
          <rPr>
            <sz val="9"/>
            <color indexed="81"/>
            <rFont val="Segoe UI"/>
            <family val="2"/>
          </rPr>
          <t>09 - código
10 - descrição
11 - comando
12 - mensagem</t>
        </r>
      </text>
    </comment>
    <comment ref="E147" authorId="1" shapeId="0" xr:uid="{00000000-0006-0000-0100-0000E2000000}">
      <text>
        <r>
          <rPr>
            <sz val="9"/>
            <color indexed="81"/>
            <rFont val="Segoe UI"/>
            <family val="2"/>
          </rPr>
          <t>01 - Avaliador
02 - Pessoa Física
03 - Pessoa Jurídica
04 - Órgão</t>
        </r>
      </text>
    </comment>
    <comment ref="D148" authorId="1" shapeId="0" xr:uid="{00000000-0006-0000-0100-0000E3000000}">
      <text>
        <r>
          <rPr>
            <b/>
            <sz val="9"/>
            <color indexed="81"/>
            <rFont val="Segoe UI"/>
            <family val="2"/>
          </rPr>
          <t xml:space="preserve">* Tipo Avaliador
</t>
        </r>
        <r>
          <rPr>
            <sz val="9"/>
            <color indexed="81"/>
            <rFont val="Segoe UI"/>
            <family val="2"/>
          </rPr>
          <t>01 - código
02 - descrição</t>
        </r>
      </text>
    </comment>
    <comment ref="E148" authorId="1" shapeId="0" xr:uid="{00000000-0006-0000-0100-0000E4000000}">
      <text>
        <r>
          <rPr>
            <sz val="9"/>
            <color indexed="81"/>
            <rFont val="Segoe UI"/>
            <family val="2"/>
          </rPr>
          <t>01 - Avaliador</t>
        </r>
      </text>
    </comment>
    <comment ref="D149" authorId="1" shapeId="0" xr:uid="{00000000-0006-0000-0100-0000E5000000}">
      <text>
        <r>
          <rPr>
            <b/>
            <sz val="9"/>
            <color indexed="81"/>
            <rFont val="Segoe UI"/>
            <family val="2"/>
          </rPr>
          <t>* Avaliador</t>
        </r>
        <r>
          <rPr>
            <sz val="9"/>
            <color indexed="81"/>
            <rFont val="Segoe UI"/>
            <family val="2"/>
          </rPr>
          <t xml:space="preserve">
01 - código
02 - código tipo avaliador
03 - flag ativo
04 - órgão
05 - avaliador
06 - número do registro profissional
07 - usuário alteração
08 - data alteração
</t>
        </r>
        <r>
          <rPr>
            <b/>
            <sz val="9"/>
            <color indexed="81"/>
            <rFont val="Segoe UI"/>
            <family val="2"/>
          </rPr>
          <t xml:space="preserve">* Tipo Avaliador
</t>
        </r>
        <r>
          <rPr>
            <sz val="9"/>
            <color indexed="81"/>
            <rFont val="Segoe UI"/>
            <family val="2"/>
          </rPr>
          <t>09 - código
10 - descrição
11 - comando
12 - mensagem</t>
        </r>
      </text>
    </comment>
    <comment ref="E149" authorId="1" shapeId="0" xr:uid="{00000000-0006-0000-0100-0000E6000000}">
      <text>
        <r>
          <rPr>
            <sz val="9"/>
            <color indexed="81"/>
            <rFont val="Segoe UI"/>
            <family val="2"/>
          </rPr>
          <t>01 - Avaliador
02 - Pessoa Física
03 - Pessoa Jurídica
04 - Órgão</t>
        </r>
      </text>
    </comment>
    <comment ref="D150" authorId="1" shapeId="0" xr:uid="{00000000-0006-0000-0100-0000E7000000}">
      <text>
        <r>
          <rPr>
            <b/>
            <sz val="9"/>
            <color indexed="81"/>
            <rFont val="Segoe UI"/>
            <family val="2"/>
          </rPr>
          <t>* Avaliador</t>
        </r>
        <r>
          <rPr>
            <sz val="9"/>
            <color indexed="81"/>
            <rFont val="Segoe UI"/>
            <family val="2"/>
          </rPr>
          <t xml:space="preserve">
01 - código
02 - código tipo avaliador
03 - flag ativo
04 - órgão
05 - avaliador
06 - número do registro profissional
</t>
        </r>
      </text>
    </comment>
    <comment ref="E150" authorId="1" shapeId="0" xr:uid="{00000000-0006-0000-0100-0000E8000000}">
      <text>
        <r>
          <rPr>
            <sz val="9"/>
            <color indexed="81"/>
            <rFont val="Segoe UI"/>
            <family val="2"/>
          </rPr>
          <t>01 - Avaliador</t>
        </r>
      </text>
    </comment>
    <comment ref="D151" authorId="1" shapeId="0" xr:uid="{00000000-0006-0000-0100-0000E9000000}">
      <text>
        <r>
          <rPr>
            <b/>
            <sz val="9"/>
            <color indexed="81"/>
            <rFont val="Segoe UI"/>
            <family val="2"/>
          </rPr>
          <t>* Avaliador</t>
        </r>
        <r>
          <rPr>
            <sz val="9"/>
            <color indexed="81"/>
            <rFont val="Segoe UI"/>
            <family val="2"/>
          </rPr>
          <t xml:space="preserve">
01 - código
02 - código tipo avaliador
03 - flag ativo
04 - órgão
</t>
        </r>
        <r>
          <rPr>
            <b/>
            <sz val="9"/>
            <color indexed="81"/>
            <rFont val="Segoe UI"/>
            <family val="2"/>
          </rPr>
          <t>* Tipo Avaliador</t>
        </r>
        <r>
          <rPr>
            <sz val="9"/>
            <color indexed="81"/>
            <rFont val="Segoe UI"/>
            <family val="2"/>
          </rPr>
          <t xml:space="preserve">
05 - descrição
</t>
        </r>
        <r>
          <rPr>
            <b/>
            <sz val="9"/>
            <color indexed="81"/>
            <rFont val="Segoe UI"/>
            <family val="2"/>
          </rPr>
          <t xml:space="preserve">* Pessoas
</t>
        </r>
        <r>
          <rPr>
            <sz val="9"/>
            <color indexed="81"/>
            <rFont val="Segoe UI"/>
            <family val="2"/>
          </rPr>
          <t xml:space="preserve">06 - cpf
07 - nome
</t>
        </r>
        <r>
          <rPr>
            <b/>
            <sz val="9"/>
            <color indexed="81"/>
            <rFont val="Segoe UI"/>
            <family val="2"/>
          </rPr>
          <t xml:space="preserve">* Órgão
</t>
        </r>
        <r>
          <rPr>
            <sz val="9"/>
            <color indexed="81"/>
            <rFont val="Segoe UI"/>
            <family val="2"/>
          </rPr>
          <t>08 - descrição
09 - comando
10 - mensagem</t>
        </r>
      </text>
    </comment>
    <comment ref="E151" authorId="1" shapeId="0" xr:uid="{00000000-0006-0000-0100-0000EA000000}">
      <text>
        <r>
          <rPr>
            <sz val="9"/>
            <color indexed="81"/>
            <rFont val="Segoe UI"/>
            <family val="2"/>
          </rPr>
          <t>01 - Avaliador
02 - Pessoa Física
03 - Pessoa Jurídica
04 - Órgão</t>
        </r>
      </text>
    </comment>
    <comment ref="D152" authorId="1" shapeId="0" xr:uid="{00000000-0006-0000-0100-0000EB000000}">
      <text>
        <r>
          <rPr>
            <b/>
            <sz val="9"/>
            <color indexed="81"/>
            <rFont val="Segoe UI"/>
            <family val="2"/>
          </rPr>
          <t>* Avaliador</t>
        </r>
        <r>
          <rPr>
            <sz val="9"/>
            <color indexed="81"/>
            <rFont val="Segoe UI"/>
            <family val="2"/>
          </rPr>
          <t xml:space="preserve">
01 - código
02 - comando
03 - mensagem</t>
        </r>
      </text>
    </comment>
    <comment ref="E152" authorId="1" shapeId="0" xr:uid="{00000000-0006-0000-0100-0000EC000000}">
      <text>
        <r>
          <rPr>
            <sz val="9"/>
            <color indexed="81"/>
            <rFont val="Segoe UI"/>
            <family val="2"/>
          </rPr>
          <t>01 - Avaliador</t>
        </r>
      </text>
    </comment>
    <comment ref="D153" authorId="1" shapeId="0" xr:uid="{00000000-0006-0000-0100-0000ED000000}">
      <text>
        <r>
          <rPr>
            <b/>
            <sz val="9"/>
            <color indexed="81"/>
            <rFont val="Segoe UI"/>
            <family val="2"/>
          </rPr>
          <t>* Avaliador</t>
        </r>
        <r>
          <rPr>
            <sz val="9"/>
            <color indexed="81"/>
            <rFont val="Segoe UI"/>
            <family val="2"/>
          </rPr>
          <t xml:space="preserve">
01 - código
02 - código tipo avaliador
03 - flag ativo
04 - órgão
05 - número do registro profissional
</t>
        </r>
        <r>
          <rPr>
            <b/>
            <sz val="9"/>
            <color indexed="81"/>
            <rFont val="Segoe UI"/>
            <family val="2"/>
          </rPr>
          <t>* Tipo Avaliador</t>
        </r>
        <r>
          <rPr>
            <sz val="9"/>
            <color indexed="81"/>
            <rFont val="Segoe UI"/>
            <family val="2"/>
          </rPr>
          <t xml:space="preserve">
06 - descrição
</t>
        </r>
        <r>
          <rPr>
            <b/>
            <sz val="9"/>
            <color indexed="81"/>
            <rFont val="Segoe UI"/>
            <family val="2"/>
          </rPr>
          <t xml:space="preserve">* Pessoas
</t>
        </r>
        <r>
          <rPr>
            <sz val="9"/>
            <color indexed="81"/>
            <rFont val="Segoe UI"/>
            <family val="2"/>
          </rPr>
          <t xml:space="preserve">07 - cpf
08 - nome
</t>
        </r>
        <r>
          <rPr>
            <b/>
            <sz val="9"/>
            <color indexed="81"/>
            <rFont val="Segoe UI"/>
            <family val="2"/>
          </rPr>
          <t xml:space="preserve">* Órgão
</t>
        </r>
        <r>
          <rPr>
            <sz val="9"/>
            <color indexed="81"/>
            <rFont val="Segoe UI"/>
            <family val="2"/>
          </rPr>
          <t>09 - descrição
10 - comando
11 - mensagem</t>
        </r>
      </text>
    </comment>
    <comment ref="E153" authorId="1" shapeId="0" xr:uid="{00000000-0006-0000-0100-0000EE000000}">
      <text>
        <r>
          <rPr>
            <sz val="9"/>
            <color indexed="81"/>
            <rFont val="Segoe UI"/>
            <family val="2"/>
          </rPr>
          <t>01 - Avaliador
02 - Pessoa Física
03 - Pessoa Jurídica
04 - Órgão</t>
        </r>
      </text>
    </comment>
    <comment ref="D156" authorId="1" shapeId="0" xr:uid="{00000000-0006-0000-0100-0000EF000000}">
      <text>
        <r>
          <rPr>
            <b/>
            <sz val="9"/>
            <color indexed="81"/>
            <rFont val="Segoe UI"/>
            <family val="2"/>
          </rPr>
          <t xml:space="preserve">* Processos do Imóvel
</t>
        </r>
        <r>
          <rPr>
            <sz val="9"/>
            <color indexed="81"/>
            <rFont val="Segoe UI"/>
            <family val="2"/>
          </rPr>
          <t xml:space="preserve">01 - código
02 - código do imóvel
03 - título
04 - número do processo
05 - número do documento
06 - observações
07 - usuário cadastro
08 - data cadastro
09 - comando
10 - mensagem
</t>
        </r>
      </text>
    </comment>
    <comment ref="E156" authorId="1" shapeId="0" xr:uid="{00000000-0006-0000-0100-0000F0000000}">
      <text>
        <r>
          <rPr>
            <sz val="9"/>
            <color indexed="81"/>
            <rFont val="Segoe UI"/>
            <family val="2"/>
          </rPr>
          <t>01 - Imóvel</t>
        </r>
      </text>
    </comment>
    <comment ref="D157" authorId="1" shapeId="0" xr:uid="{00000000-0006-0000-0100-0000F1000000}">
      <text>
        <r>
          <rPr>
            <b/>
            <sz val="9"/>
            <color indexed="81"/>
            <rFont val="Segoe UI"/>
            <family val="2"/>
          </rPr>
          <t xml:space="preserve">* Processos do Imóvel
</t>
        </r>
        <r>
          <rPr>
            <sz val="9"/>
            <color indexed="81"/>
            <rFont val="Segoe UI"/>
            <family val="2"/>
          </rPr>
          <t xml:space="preserve">01 - código
02 - código do imóvel
03 - título
04 - número do processo
05 - número do documento
06 - observações
07 - usuário alteração
08 - data alteração
09 - comando
10 - mensagem
</t>
        </r>
      </text>
    </comment>
    <comment ref="E157" authorId="1" shapeId="0" xr:uid="{00000000-0006-0000-0100-0000F2000000}">
      <text>
        <r>
          <rPr>
            <sz val="9"/>
            <color indexed="81"/>
            <rFont val="Segoe UI"/>
            <family val="2"/>
          </rPr>
          <t>01 - Imóvel</t>
        </r>
      </text>
    </comment>
    <comment ref="D158" authorId="1" shapeId="0" xr:uid="{00000000-0006-0000-0100-0000F3000000}">
      <text>
        <r>
          <rPr>
            <b/>
            <sz val="9"/>
            <color indexed="81"/>
            <rFont val="Segoe UI"/>
            <family val="2"/>
          </rPr>
          <t xml:space="preserve">* Processos do Imóvel
</t>
        </r>
        <r>
          <rPr>
            <sz val="9"/>
            <color indexed="81"/>
            <rFont val="Segoe UI"/>
            <family val="2"/>
          </rPr>
          <t xml:space="preserve">01 - código
02 - código do imóvel
03 - título
04 - número do processo
05 - número do documento
06 - observações
</t>
        </r>
      </text>
    </comment>
    <comment ref="E158" authorId="1" shapeId="0" xr:uid="{00000000-0006-0000-0100-0000F4000000}">
      <text>
        <r>
          <rPr>
            <sz val="9"/>
            <color indexed="81"/>
            <rFont val="Segoe UI"/>
            <family val="2"/>
          </rPr>
          <t>01 - Imóvel</t>
        </r>
      </text>
    </comment>
    <comment ref="D159" authorId="1" shapeId="0" xr:uid="{00000000-0006-0000-0100-0000F5000000}">
      <text>
        <r>
          <rPr>
            <b/>
            <sz val="9"/>
            <color indexed="81"/>
            <rFont val="Segoe UI"/>
            <family val="2"/>
          </rPr>
          <t xml:space="preserve">* Processos do Imóvel
</t>
        </r>
        <r>
          <rPr>
            <sz val="9"/>
            <color indexed="81"/>
            <rFont val="Segoe UI"/>
            <family val="2"/>
          </rPr>
          <t xml:space="preserve">01 - código
02 - código do imóvel
03 - título
04 - número do processo
05 - número do documento
06 - comando
07 - mensagem
</t>
        </r>
      </text>
    </comment>
    <comment ref="E159" authorId="1" shapeId="0" xr:uid="{00000000-0006-0000-0100-0000F6000000}">
      <text>
        <r>
          <rPr>
            <sz val="9"/>
            <color indexed="81"/>
            <rFont val="Segoe UI"/>
            <family val="2"/>
          </rPr>
          <t>01 - Imóvel</t>
        </r>
      </text>
    </comment>
    <comment ref="D160" authorId="1" shapeId="0" xr:uid="{00000000-0006-0000-0100-0000F7000000}">
      <text>
        <r>
          <rPr>
            <b/>
            <sz val="9"/>
            <color indexed="81"/>
            <rFont val="Segoe UI"/>
            <family val="2"/>
          </rPr>
          <t xml:space="preserve">* Processos do Imóvel
</t>
        </r>
        <r>
          <rPr>
            <sz val="9"/>
            <color indexed="81"/>
            <rFont val="Segoe UI"/>
            <family val="2"/>
          </rPr>
          <t xml:space="preserve">01 - código
02 - código do imóvel
03 - título
04 - número do processo
05 - número do documento
06 - observações
07 - comando
08 - mensagem
</t>
        </r>
      </text>
    </comment>
    <comment ref="E160" authorId="1" shapeId="0" xr:uid="{00000000-0006-0000-0100-0000F8000000}">
      <text>
        <r>
          <rPr>
            <sz val="9"/>
            <color indexed="81"/>
            <rFont val="Segoe UI"/>
            <family val="2"/>
          </rPr>
          <t>01 - Imóvel</t>
        </r>
      </text>
    </comment>
    <comment ref="D161" authorId="1" shapeId="0" xr:uid="{00000000-0006-0000-0100-0000F9000000}">
      <text>
        <r>
          <rPr>
            <b/>
            <sz val="9"/>
            <color indexed="81"/>
            <rFont val="Segoe UI"/>
            <family val="2"/>
          </rPr>
          <t xml:space="preserve">* Processos do Imóvel
</t>
        </r>
        <r>
          <rPr>
            <sz val="9"/>
            <color indexed="81"/>
            <rFont val="Segoe UI"/>
            <family val="2"/>
          </rPr>
          <t xml:space="preserve">01 - código
02 - comando
03 - mensagem
</t>
        </r>
      </text>
    </comment>
    <comment ref="E161" authorId="1" shapeId="0" xr:uid="{00000000-0006-0000-0100-0000FA000000}">
      <text>
        <r>
          <rPr>
            <sz val="9"/>
            <color indexed="81"/>
            <rFont val="Segoe UI"/>
            <family val="2"/>
          </rPr>
          <t>01 - Imóvel</t>
        </r>
      </text>
    </comment>
    <comment ref="D164" authorId="1" shapeId="0" xr:uid="{00000000-0006-0000-0100-0000FB000000}">
      <text>
        <r>
          <rPr>
            <b/>
            <sz val="9"/>
            <color indexed="81"/>
            <rFont val="Segoe UI"/>
            <family val="2"/>
          </rPr>
          <t xml:space="preserve">* Documentos do Imóvel
</t>
        </r>
        <r>
          <rPr>
            <sz val="9"/>
            <color indexed="81"/>
            <rFont val="Segoe UI"/>
            <family val="2"/>
          </rPr>
          <t xml:space="preserve">01 - código
02 - código tipo de documento
03 - descrição
04 - documento anexo
05 - usuário cadastro
06 - data cadastro
</t>
        </r>
        <r>
          <rPr>
            <b/>
            <sz val="9"/>
            <color indexed="81"/>
            <rFont val="Segoe UI"/>
            <family val="2"/>
          </rPr>
          <t>* Histórico</t>
        </r>
        <r>
          <rPr>
            <sz val="9"/>
            <color indexed="81"/>
            <rFont val="Segoe UI"/>
            <family val="2"/>
          </rPr>
          <t xml:space="preserve">
07 - código
08 - data de referencia
09 - data cadastro
10 - origem
11 - local
12 - usuário
13 - assunto
14 - descrição
15 - usuário cadastro
16 - usuário alteração
17 - data cadastro
18 - data alteração
19 - comando
20 - mensagem</t>
        </r>
      </text>
    </comment>
    <comment ref="E164" authorId="1" shapeId="0" xr:uid="{00000000-0006-0000-0100-0000FC000000}">
      <text>
        <r>
          <rPr>
            <sz val="9"/>
            <color indexed="81"/>
            <rFont val="Segoe UI"/>
            <family val="2"/>
          </rPr>
          <t>01 - Imóvel
02 - Histórico</t>
        </r>
      </text>
    </comment>
    <comment ref="D165" authorId="1" shapeId="0" xr:uid="{00000000-0006-0000-0100-0000FD000000}">
      <text>
        <r>
          <rPr>
            <b/>
            <sz val="9"/>
            <color indexed="81"/>
            <rFont val="Segoe UI"/>
            <family val="2"/>
          </rPr>
          <t xml:space="preserve">* Documentos do Imóvel
</t>
        </r>
        <r>
          <rPr>
            <sz val="9"/>
            <color indexed="81"/>
            <rFont val="Segoe UI"/>
            <family val="2"/>
          </rPr>
          <t xml:space="preserve">01 - código
02 - código tipo de documento
03 - descrição
04 - documento anexo
05 - usuário cadastro
06 - data cadastro
</t>
        </r>
        <r>
          <rPr>
            <b/>
            <sz val="9"/>
            <color indexed="81"/>
            <rFont val="Segoe UI"/>
            <family val="2"/>
          </rPr>
          <t>* Histórico</t>
        </r>
        <r>
          <rPr>
            <sz val="9"/>
            <color indexed="81"/>
            <rFont val="Segoe UI"/>
            <family val="2"/>
          </rPr>
          <t xml:space="preserve">
07 - código
08 - data de referencia
09 - data cadastro
10 - origem
11 - local
12 - usuário
13 - assunto
14 - descrição
15 - usuário cadastro
16 - usuário alteração
17 - data cadastro
18 - data alteração
19 - comando
20 - mensagem</t>
        </r>
      </text>
    </comment>
    <comment ref="E165" authorId="1" shapeId="0" xr:uid="{00000000-0006-0000-0100-0000FE000000}">
      <text>
        <r>
          <rPr>
            <sz val="9"/>
            <color indexed="81"/>
            <rFont val="Segoe UI"/>
            <family val="2"/>
          </rPr>
          <t>01 - Imóvel
02 - Histórico</t>
        </r>
      </text>
    </comment>
    <comment ref="D166" authorId="1" shapeId="0" xr:uid="{00000000-0006-0000-0100-0000FF000000}">
      <text>
        <r>
          <rPr>
            <b/>
            <sz val="9"/>
            <color indexed="81"/>
            <rFont val="Segoe UI"/>
            <family val="2"/>
          </rPr>
          <t xml:space="preserve">* Documentos do Imóvel
</t>
        </r>
        <r>
          <rPr>
            <sz val="9"/>
            <color indexed="81"/>
            <rFont val="Segoe UI"/>
            <family val="2"/>
          </rPr>
          <t xml:space="preserve">01 - código
02 - código tipo de documento
03 - descrição
04 - documento anexo
</t>
        </r>
      </text>
    </comment>
    <comment ref="E166" authorId="1" shapeId="0" xr:uid="{00000000-0006-0000-0100-000000010000}">
      <text>
        <r>
          <rPr>
            <sz val="9"/>
            <color indexed="81"/>
            <rFont val="Segoe UI"/>
            <family val="2"/>
          </rPr>
          <t>01 - Imóvel</t>
        </r>
      </text>
    </comment>
    <comment ref="D167" authorId="1" shapeId="0" xr:uid="{00000000-0006-0000-0100-000001010000}">
      <text>
        <r>
          <rPr>
            <b/>
            <sz val="9"/>
            <color indexed="81"/>
            <rFont val="Segoe UI"/>
            <family val="2"/>
          </rPr>
          <t xml:space="preserve">* Documentos do Imóvel
</t>
        </r>
        <r>
          <rPr>
            <sz val="9"/>
            <color indexed="81"/>
            <rFont val="Segoe UI"/>
            <family val="2"/>
          </rPr>
          <t xml:space="preserve">01 - código
02 - descrição
03 - documento anexo
04 - comando
05 - mensagem
</t>
        </r>
      </text>
    </comment>
    <comment ref="E167" authorId="1" shapeId="0" xr:uid="{00000000-0006-0000-0100-000002010000}">
      <text>
        <r>
          <rPr>
            <sz val="9"/>
            <color indexed="81"/>
            <rFont val="Segoe UI"/>
            <family val="2"/>
          </rPr>
          <t>01 - Imóvel</t>
        </r>
      </text>
    </comment>
    <comment ref="D168" authorId="1" shapeId="0" xr:uid="{00000000-0006-0000-0100-000003010000}">
      <text>
        <r>
          <rPr>
            <b/>
            <sz val="9"/>
            <color indexed="81"/>
            <rFont val="Segoe UI"/>
            <family val="2"/>
          </rPr>
          <t xml:space="preserve">* Documentos do Imóvel
</t>
        </r>
        <r>
          <rPr>
            <sz val="9"/>
            <color indexed="81"/>
            <rFont val="Segoe UI"/>
            <family val="2"/>
          </rPr>
          <t xml:space="preserve">01 - código
02 - documento anexo
03 - comando
04 - mensagem
</t>
        </r>
      </text>
    </comment>
    <comment ref="E168" authorId="1" shapeId="0" xr:uid="{00000000-0006-0000-0100-000004010000}">
      <text>
        <r>
          <rPr>
            <sz val="9"/>
            <color indexed="81"/>
            <rFont val="Segoe UI"/>
            <family val="2"/>
          </rPr>
          <t>01 - Imóvel</t>
        </r>
      </text>
    </comment>
    <comment ref="D169" authorId="1" shapeId="0" xr:uid="{00000000-0006-0000-0100-000005010000}">
      <text>
        <r>
          <rPr>
            <b/>
            <sz val="9"/>
            <color indexed="81"/>
            <rFont val="Segoe UI"/>
            <family val="2"/>
          </rPr>
          <t xml:space="preserve">* Documentos do Imóvel
</t>
        </r>
        <r>
          <rPr>
            <sz val="9"/>
            <color indexed="81"/>
            <rFont val="Segoe UI"/>
            <family val="2"/>
          </rPr>
          <t xml:space="preserve">01 - código
</t>
        </r>
        <r>
          <rPr>
            <b/>
            <sz val="9"/>
            <color indexed="81"/>
            <rFont val="Segoe UI"/>
            <family val="2"/>
          </rPr>
          <t>* Histórico</t>
        </r>
        <r>
          <rPr>
            <sz val="9"/>
            <color indexed="81"/>
            <rFont val="Segoe UI"/>
            <family val="2"/>
          </rPr>
          <t xml:space="preserve">
02 - código
03 - data de referencia
04 - data cadastro
05 - origem
06 - local
07 - usuário
08 - assunto
09 - descrição
10 - usuário cadastro
11 - usuário alteração
12 - data cadastro
13 - data alteração
14 - comando
15 - mensagem
</t>
        </r>
      </text>
    </comment>
    <comment ref="E169" authorId="1" shapeId="0" xr:uid="{00000000-0006-0000-0100-000006010000}">
      <text>
        <r>
          <rPr>
            <sz val="9"/>
            <color indexed="81"/>
            <rFont val="Segoe UI"/>
            <family val="2"/>
          </rPr>
          <t>01 - Imóvel
02 - Histórico</t>
        </r>
      </text>
    </comment>
    <comment ref="D172" authorId="1" shapeId="0" xr:uid="{00000000-0006-0000-0100-000007010000}">
      <text>
        <r>
          <rPr>
            <b/>
            <sz val="9"/>
            <color indexed="81"/>
            <rFont val="Segoe UI"/>
            <family val="2"/>
          </rPr>
          <t xml:space="preserve">* Tipos de Documento
</t>
        </r>
        <r>
          <rPr>
            <sz val="9"/>
            <color indexed="81"/>
            <rFont val="Segoe UI"/>
            <family val="2"/>
          </rPr>
          <t xml:space="preserve">01 - código
02 - descrição
03 - tipo de categoria
04 - flag ativo
05 - usuário cadastro
06 - data cadastro
07 - usuário alteração
08 - data alteração
</t>
        </r>
        <r>
          <rPr>
            <b/>
            <sz val="9"/>
            <color indexed="81"/>
            <rFont val="Segoe UI"/>
            <family val="2"/>
          </rPr>
          <t xml:space="preserve">* Categoria
</t>
        </r>
        <r>
          <rPr>
            <sz val="9"/>
            <color indexed="81"/>
            <rFont val="Segoe UI"/>
            <family val="2"/>
          </rPr>
          <t>09 - código
10 - descrição</t>
        </r>
      </text>
    </comment>
    <comment ref="E172" authorId="1" shapeId="0" xr:uid="{00000000-0006-0000-0100-000008010000}">
      <text>
        <r>
          <rPr>
            <sz val="9"/>
            <color indexed="81"/>
            <rFont val="Segoe UI"/>
            <family val="2"/>
          </rPr>
          <t xml:space="preserve">01 - Tipos de Documento
02 - Categoria
</t>
        </r>
      </text>
    </comment>
    <comment ref="D173" authorId="1" shapeId="0" xr:uid="{00000000-0006-0000-0100-000009010000}">
      <text>
        <r>
          <rPr>
            <b/>
            <sz val="9"/>
            <color indexed="81"/>
            <rFont val="Segoe UI"/>
            <family val="2"/>
          </rPr>
          <t xml:space="preserve">* Tipos de Documento
</t>
        </r>
        <r>
          <rPr>
            <sz val="9"/>
            <color indexed="81"/>
            <rFont val="Segoe UI"/>
            <family val="2"/>
          </rPr>
          <t xml:space="preserve">01 - código
02 - descrição
03 - tipo de categoria
04 - flag ativo
05 - usuário cadastro
06 - data cadastro
07 - comando
08 - mensagem
</t>
        </r>
      </text>
    </comment>
    <comment ref="E173" authorId="1" shapeId="0" xr:uid="{00000000-0006-0000-0100-00000A010000}">
      <text>
        <r>
          <rPr>
            <sz val="9"/>
            <color indexed="81"/>
            <rFont val="Segoe UI"/>
            <family val="2"/>
          </rPr>
          <t>01 - Tipos de Documento</t>
        </r>
      </text>
    </comment>
    <comment ref="D174" authorId="1" shapeId="0" xr:uid="{00000000-0006-0000-0100-00000B010000}">
      <text>
        <r>
          <rPr>
            <b/>
            <sz val="9"/>
            <color indexed="81"/>
            <rFont val="Segoe UI"/>
            <family val="2"/>
          </rPr>
          <t xml:space="preserve">* Categoria
</t>
        </r>
        <r>
          <rPr>
            <sz val="9"/>
            <color indexed="81"/>
            <rFont val="Segoe UI"/>
            <family val="2"/>
          </rPr>
          <t>01 - código
02 - descrição</t>
        </r>
      </text>
    </comment>
    <comment ref="E174" authorId="1" shapeId="0" xr:uid="{00000000-0006-0000-0100-00000C010000}">
      <text>
        <r>
          <rPr>
            <sz val="9"/>
            <color indexed="81"/>
            <rFont val="Segoe UI"/>
            <family val="2"/>
          </rPr>
          <t>01 - Tipos de Documento</t>
        </r>
      </text>
    </comment>
    <comment ref="D175" authorId="1" shapeId="0" xr:uid="{00000000-0006-0000-0100-00000D010000}">
      <text>
        <r>
          <rPr>
            <b/>
            <sz val="9"/>
            <color indexed="81"/>
            <rFont val="Segoe UI"/>
            <family val="2"/>
          </rPr>
          <t xml:space="preserve">* Tipos de Documento
</t>
        </r>
        <r>
          <rPr>
            <sz val="9"/>
            <color indexed="81"/>
            <rFont val="Segoe UI"/>
            <family val="2"/>
          </rPr>
          <t xml:space="preserve">01 - código
02 - descrição
03 - tipo de categoria
04 - flag ativo
05 - usuário alteração
06 - data alteração
07 - comando
08 - mensagem
</t>
        </r>
      </text>
    </comment>
    <comment ref="E175" authorId="1" shapeId="0" xr:uid="{00000000-0006-0000-0100-00000E010000}">
      <text>
        <r>
          <rPr>
            <sz val="9"/>
            <color indexed="81"/>
            <rFont val="Segoe UI"/>
            <family val="2"/>
          </rPr>
          <t>01 - Tipos de Documento</t>
        </r>
      </text>
    </comment>
    <comment ref="D176" authorId="1" shapeId="0" xr:uid="{00000000-0006-0000-0100-00000F010000}">
      <text>
        <r>
          <rPr>
            <b/>
            <sz val="9"/>
            <color indexed="81"/>
            <rFont val="Segoe UI"/>
            <family val="2"/>
          </rPr>
          <t xml:space="preserve">* Tipos de Documento
</t>
        </r>
        <r>
          <rPr>
            <sz val="9"/>
            <color indexed="81"/>
            <rFont val="Segoe UI"/>
            <family val="2"/>
          </rPr>
          <t xml:space="preserve">01 - código
02 - descrição
03 - tipo de categoria
04 - flag ativo
</t>
        </r>
      </text>
    </comment>
    <comment ref="E176" authorId="1" shapeId="0" xr:uid="{00000000-0006-0000-0100-000010010000}">
      <text>
        <r>
          <rPr>
            <sz val="9"/>
            <color indexed="81"/>
            <rFont val="Segoe UI"/>
            <family val="2"/>
          </rPr>
          <t>01 - Tipos de Documento</t>
        </r>
      </text>
    </comment>
    <comment ref="D177" authorId="1" shapeId="0" xr:uid="{00000000-0006-0000-0100-000011010000}">
      <text>
        <r>
          <rPr>
            <b/>
            <sz val="9"/>
            <color indexed="81"/>
            <rFont val="Segoe UI"/>
            <family val="2"/>
          </rPr>
          <t xml:space="preserve">* Tipos de Documento
</t>
        </r>
        <r>
          <rPr>
            <sz val="9"/>
            <color indexed="81"/>
            <rFont val="Segoe UI"/>
            <family val="2"/>
          </rPr>
          <t xml:space="preserve">01 - código
02 - descrição
03 - tipo de categoria
04 - flag ativo
</t>
        </r>
        <r>
          <rPr>
            <b/>
            <sz val="9"/>
            <color indexed="81"/>
            <rFont val="Segoe UI"/>
            <family val="2"/>
          </rPr>
          <t xml:space="preserve">* Categoria
</t>
        </r>
        <r>
          <rPr>
            <sz val="9"/>
            <color indexed="81"/>
            <rFont val="Segoe UI"/>
            <family val="2"/>
          </rPr>
          <t>05 - descrição
06 - comando
07 - mensagem</t>
        </r>
      </text>
    </comment>
    <comment ref="E177" authorId="1" shapeId="0" xr:uid="{00000000-0006-0000-0100-000012010000}">
      <text>
        <r>
          <rPr>
            <sz val="9"/>
            <color indexed="81"/>
            <rFont val="Segoe UI"/>
            <family val="2"/>
          </rPr>
          <t>01 - Tipos de Documento</t>
        </r>
      </text>
    </comment>
    <comment ref="D178" authorId="1" shapeId="0" xr:uid="{00000000-0006-0000-0100-000013010000}">
      <text>
        <r>
          <rPr>
            <b/>
            <sz val="9"/>
            <color indexed="81"/>
            <rFont val="Segoe UI"/>
            <family val="2"/>
          </rPr>
          <t xml:space="preserve">* Tipos de Documento
</t>
        </r>
        <r>
          <rPr>
            <sz val="9"/>
            <color indexed="81"/>
            <rFont val="Segoe UI"/>
            <family val="2"/>
          </rPr>
          <t>01 - código
02 - comando
03 - mensagem</t>
        </r>
      </text>
    </comment>
    <comment ref="E178" authorId="1" shapeId="0" xr:uid="{00000000-0006-0000-0100-000014010000}">
      <text>
        <r>
          <rPr>
            <sz val="9"/>
            <color indexed="81"/>
            <rFont val="Segoe UI"/>
            <family val="2"/>
          </rPr>
          <t>01 - Tipos de Documento</t>
        </r>
      </text>
    </comment>
    <comment ref="D181" authorId="1" shapeId="0" xr:uid="{00000000-0006-0000-0100-000015010000}">
      <text>
        <r>
          <rPr>
            <b/>
            <sz val="9"/>
            <color indexed="81"/>
            <rFont val="Segoe UI"/>
            <family val="2"/>
          </rPr>
          <t>* Entidade</t>
        </r>
        <r>
          <rPr>
            <sz val="9"/>
            <color indexed="81"/>
            <rFont val="Segoe UI"/>
            <family val="2"/>
          </rPr>
          <t xml:space="preserve">
01 - código
02 - código pessoa
03 - tipo de pessoa
04 - classificação entidade
</t>
        </r>
      </text>
    </comment>
    <comment ref="E181" authorId="1" shapeId="0" xr:uid="{00000000-0006-0000-0100-000016010000}">
      <text>
        <r>
          <rPr>
            <sz val="9"/>
            <color indexed="81"/>
            <rFont val="Segoe UI"/>
            <family val="2"/>
          </rPr>
          <t>01 - Entidade</t>
        </r>
      </text>
    </comment>
    <comment ref="D182" authorId="1" shapeId="0" xr:uid="{00000000-0006-0000-0100-000017010000}">
      <text>
        <r>
          <rPr>
            <b/>
            <sz val="9"/>
            <color indexed="81"/>
            <rFont val="Segoe UI"/>
            <family val="2"/>
          </rPr>
          <t>* Pessoa Jurídica</t>
        </r>
        <r>
          <rPr>
            <sz val="9"/>
            <color indexed="81"/>
            <rFont val="Segoe UI"/>
            <family val="2"/>
          </rPr>
          <t xml:space="preserve">
01 - código
02 - situação
03 - cnpj
04 - razão social
05 - nome fantasia
06 - inscrição estadual
07 - código classificação
08 - usuário cadastro
09 - data cadastro
10 - usuário alteração
11 - data alteração
</t>
        </r>
      </text>
    </comment>
    <comment ref="E182" authorId="1" shapeId="0" xr:uid="{00000000-0006-0000-0100-000018010000}">
      <text>
        <r>
          <rPr>
            <sz val="9"/>
            <color indexed="81"/>
            <rFont val="Segoe UI"/>
            <family val="2"/>
          </rPr>
          <t>01 - Pessoa Jurídica</t>
        </r>
      </text>
    </comment>
    <comment ref="D183" authorId="1" shapeId="0" xr:uid="{00000000-0006-0000-0100-000019010000}">
      <text>
        <r>
          <rPr>
            <b/>
            <sz val="9"/>
            <color indexed="81"/>
            <rFont val="Segoe UI"/>
            <family val="2"/>
          </rPr>
          <t>* Pessoa Jurídica</t>
        </r>
        <r>
          <rPr>
            <sz val="9"/>
            <color indexed="81"/>
            <rFont val="Segoe UI"/>
            <family val="2"/>
          </rPr>
          <t xml:space="preserve">
01 - código
02 - cnpj
03 - situação
04 - razão social
05 - nome fantasia
06 - inscrição estadual
07 - código classificação
08 - usuário cadastro
09 - data cadastro
</t>
        </r>
        <r>
          <rPr>
            <b/>
            <sz val="9"/>
            <color indexed="81"/>
            <rFont val="Segoe UI"/>
            <family val="2"/>
          </rPr>
          <t>* Entidade</t>
        </r>
        <r>
          <rPr>
            <sz val="9"/>
            <color indexed="81"/>
            <rFont val="Segoe UI"/>
            <family val="2"/>
          </rPr>
          <t xml:space="preserve">
10 - código
11 - código pessoa
12 - tipo de pessoa
13 - classificação entidade
14 - comando
15 - mensagem
</t>
        </r>
      </text>
    </comment>
    <comment ref="E183" authorId="1" shapeId="0" xr:uid="{00000000-0006-0000-0100-00001A010000}">
      <text>
        <r>
          <rPr>
            <sz val="9"/>
            <color indexed="81"/>
            <rFont val="Segoe UI"/>
            <family val="2"/>
          </rPr>
          <t xml:space="preserve">01 - Pessoa Jurídica
02 - Entidade
</t>
        </r>
      </text>
    </comment>
    <comment ref="D184" authorId="1" shapeId="0" xr:uid="{00000000-0006-0000-0100-00001B010000}">
      <text>
        <r>
          <rPr>
            <b/>
            <sz val="9"/>
            <color indexed="81"/>
            <rFont val="Segoe UI"/>
            <family val="2"/>
          </rPr>
          <t>* Pessoa Jurídica</t>
        </r>
        <r>
          <rPr>
            <sz val="9"/>
            <color indexed="81"/>
            <rFont val="Segoe UI"/>
            <family val="2"/>
          </rPr>
          <t xml:space="preserve">
01 - código
02 - cnpj
03 - situação
04 - razão social
05 - nome fantasia
06 - inscrição estadual
07 - código classificação
08 - usuário alteração
09 - data alteração
</t>
        </r>
        <r>
          <rPr>
            <b/>
            <sz val="9"/>
            <color indexed="81"/>
            <rFont val="Segoe UI"/>
            <family val="2"/>
          </rPr>
          <t>* Entidade</t>
        </r>
        <r>
          <rPr>
            <sz val="9"/>
            <color indexed="81"/>
            <rFont val="Segoe UI"/>
            <family val="2"/>
          </rPr>
          <t xml:space="preserve">
10 - código
11 - código pessoa
12 - tipo de pessoa
13 - classificação entidade
14 - comando
15 - mensagem
</t>
        </r>
      </text>
    </comment>
    <comment ref="E184" authorId="1" shapeId="0" xr:uid="{00000000-0006-0000-0100-00001C010000}">
      <text>
        <r>
          <rPr>
            <sz val="9"/>
            <color indexed="81"/>
            <rFont val="Segoe UI"/>
            <family val="2"/>
          </rPr>
          <t xml:space="preserve">01 - Pessoa Jurídica
02 - Entidade
</t>
        </r>
      </text>
    </comment>
    <comment ref="D185" authorId="1" shapeId="0" xr:uid="{00000000-0006-0000-0100-00001D010000}">
      <text>
        <r>
          <rPr>
            <b/>
            <sz val="9"/>
            <color indexed="81"/>
            <rFont val="Segoe UI"/>
            <family val="2"/>
          </rPr>
          <t>* Pessoa Jurídica</t>
        </r>
        <r>
          <rPr>
            <sz val="9"/>
            <color indexed="81"/>
            <rFont val="Segoe UI"/>
            <family val="2"/>
          </rPr>
          <t xml:space="preserve">
01 - código
02 - cnpj
03 - situação
04 - razão social
05 - nome fantasia
06 - inscrição estadual
07 - código classificação
</t>
        </r>
        <r>
          <rPr>
            <b/>
            <sz val="9"/>
            <color indexed="81"/>
            <rFont val="Segoe UI"/>
            <family val="2"/>
          </rPr>
          <t>* Entidade</t>
        </r>
        <r>
          <rPr>
            <sz val="9"/>
            <color indexed="81"/>
            <rFont val="Segoe UI"/>
            <family val="2"/>
          </rPr>
          <t xml:space="preserve">
08 - código
</t>
        </r>
      </text>
    </comment>
    <comment ref="E185" authorId="1" shapeId="0" xr:uid="{00000000-0006-0000-0100-00001E010000}">
      <text>
        <r>
          <rPr>
            <sz val="9"/>
            <color indexed="81"/>
            <rFont val="Segoe UI"/>
            <family val="2"/>
          </rPr>
          <t xml:space="preserve">01 - Pessoa Jurídica
02 - Entidade
</t>
        </r>
      </text>
    </comment>
    <comment ref="D186" authorId="1" shapeId="0" xr:uid="{00000000-0006-0000-0100-00001F010000}">
      <text>
        <r>
          <rPr>
            <b/>
            <sz val="9"/>
            <color indexed="81"/>
            <rFont val="Segoe UI"/>
            <family val="2"/>
          </rPr>
          <t>* Pessoa Jurídica</t>
        </r>
        <r>
          <rPr>
            <sz val="9"/>
            <color indexed="81"/>
            <rFont val="Segoe UI"/>
            <family val="2"/>
          </rPr>
          <t xml:space="preserve">
01 - código
02 - cnpj
03 - situação
04 - nome fantasia
05 - comando
06 - mensagem
</t>
        </r>
      </text>
    </comment>
    <comment ref="E186" authorId="1" shapeId="0" xr:uid="{00000000-0006-0000-0100-000020010000}">
      <text>
        <r>
          <rPr>
            <sz val="9"/>
            <color indexed="81"/>
            <rFont val="Segoe UI"/>
            <family val="2"/>
          </rPr>
          <t xml:space="preserve">01 - Pessoa Jurídica
</t>
        </r>
      </text>
    </comment>
    <comment ref="D187" authorId="1" shapeId="0" xr:uid="{00000000-0006-0000-0100-000021010000}">
      <text>
        <r>
          <rPr>
            <b/>
            <sz val="9"/>
            <color indexed="81"/>
            <rFont val="Segoe UI"/>
            <family val="2"/>
          </rPr>
          <t>* Pessoas</t>
        </r>
        <r>
          <rPr>
            <sz val="9"/>
            <color indexed="81"/>
            <rFont val="Segoe UI"/>
            <family val="2"/>
          </rPr>
          <t xml:space="preserve">
01 - código
</t>
        </r>
        <r>
          <rPr>
            <b/>
            <sz val="9"/>
            <color indexed="81"/>
            <rFont val="Segoe UI"/>
            <family val="2"/>
          </rPr>
          <t>* Entidade</t>
        </r>
        <r>
          <rPr>
            <sz val="9"/>
            <color indexed="81"/>
            <rFont val="Segoe UI"/>
            <family val="2"/>
          </rPr>
          <t xml:space="preserve">
03 - código
04 - comando
05 - mensagem</t>
        </r>
      </text>
    </comment>
    <comment ref="E187" authorId="1" shapeId="0" xr:uid="{00000000-0006-0000-0100-000022010000}">
      <text>
        <r>
          <rPr>
            <sz val="9"/>
            <color indexed="81"/>
            <rFont val="Segoe UI"/>
            <family val="2"/>
          </rPr>
          <t xml:space="preserve">01 - Pessoa Jurídica
02 - Entidade
</t>
        </r>
      </text>
    </comment>
    <comment ref="D188" authorId="1" shapeId="0" xr:uid="{00000000-0006-0000-0100-000023010000}">
      <text>
        <r>
          <rPr>
            <b/>
            <sz val="9"/>
            <color indexed="81"/>
            <rFont val="Segoe UI"/>
            <family val="2"/>
          </rPr>
          <t>* Pessoa Jurídica</t>
        </r>
        <r>
          <rPr>
            <sz val="9"/>
            <color indexed="81"/>
            <rFont val="Segoe UI"/>
            <family val="2"/>
          </rPr>
          <t xml:space="preserve">
01 - código
02 - cnpj
03 - situação
04 - razão social
05 - nome fantasia
06 - inscrição estadual
07 - código classificação
08 - comando
09 - mensagem
</t>
        </r>
      </text>
    </comment>
    <comment ref="E188" authorId="1" shapeId="0" xr:uid="{00000000-0006-0000-0100-000024010000}">
      <text>
        <r>
          <rPr>
            <sz val="9"/>
            <color indexed="81"/>
            <rFont val="Segoe UI"/>
            <family val="2"/>
          </rPr>
          <t xml:space="preserve">01 - Pessoa Jurídica
</t>
        </r>
      </text>
    </comment>
    <comment ref="D191" authorId="1" shapeId="0" xr:uid="{00000000-0006-0000-0100-000025010000}">
      <text>
        <r>
          <rPr>
            <b/>
            <sz val="9"/>
            <color indexed="81"/>
            <rFont val="Segoe UI"/>
            <family val="2"/>
          </rPr>
          <t xml:space="preserve">* Conta Contábil
</t>
        </r>
        <r>
          <rPr>
            <sz val="9"/>
            <color indexed="81"/>
            <rFont val="Segoe UI"/>
            <family val="2"/>
          </rPr>
          <t>01 - código
02 - conta
03 - exercício
04 - função</t>
        </r>
      </text>
    </comment>
    <comment ref="E191" authorId="1" shapeId="0" xr:uid="{00000000-0006-0000-0100-000026010000}">
      <text>
        <r>
          <rPr>
            <sz val="9"/>
            <color indexed="81"/>
            <rFont val="Segoe UI"/>
            <family val="2"/>
          </rPr>
          <t>01 - Conta Contábil</t>
        </r>
      </text>
    </comment>
    <comment ref="D192" authorId="1" shapeId="0" xr:uid="{00000000-0006-0000-0100-000027010000}">
      <text>
        <r>
          <rPr>
            <b/>
            <sz val="9"/>
            <color indexed="81"/>
            <rFont val="Segoe UI"/>
            <family val="2"/>
          </rPr>
          <t xml:space="preserve">* Exercício
</t>
        </r>
        <r>
          <rPr>
            <sz val="9"/>
            <color indexed="81"/>
            <rFont val="Segoe UI"/>
            <family val="2"/>
          </rPr>
          <t>01 - código
02 - descrição</t>
        </r>
      </text>
    </comment>
    <comment ref="E192" authorId="1" shapeId="0" xr:uid="{00000000-0006-0000-0100-000028010000}">
      <text>
        <r>
          <rPr>
            <sz val="9"/>
            <color indexed="81"/>
            <rFont val="Segoe UI"/>
            <family val="2"/>
          </rPr>
          <t>01 - Exercício</t>
        </r>
      </text>
    </comment>
    <comment ref="D193" authorId="1" shapeId="0" xr:uid="{00000000-0006-0000-0100-000029010000}">
      <text>
        <r>
          <rPr>
            <b/>
            <sz val="9"/>
            <color indexed="81"/>
            <rFont val="Segoe UI"/>
            <family val="2"/>
          </rPr>
          <t xml:space="preserve">* Conta Contábil
</t>
        </r>
        <r>
          <rPr>
            <sz val="9"/>
            <color indexed="81"/>
            <rFont val="Segoe UI"/>
            <family val="2"/>
          </rPr>
          <t>01 - código
02 - conta
03 - exercício
04 - função
05 - comando
06 - mensagem</t>
        </r>
      </text>
    </comment>
    <comment ref="E193" authorId="1" shapeId="0" xr:uid="{00000000-0006-0000-0100-00002A010000}">
      <text>
        <r>
          <rPr>
            <sz val="9"/>
            <color indexed="81"/>
            <rFont val="Segoe UI"/>
            <family val="2"/>
          </rPr>
          <t>01 - Conta Contábil</t>
        </r>
      </text>
    </comment>
    <comment ref="D194" authorId="1" shapeId="0" xr:uid="{00000000-0006-0000-0100-00002B010000}">
      <text>
        <r>
          <rPr>
            <b/>
            <sz val="9"/>
            <color indexed="81"/>
            <rFont val="Segoe UI"/>
            <family val="2"/>
          </rPr>
          <t xml:space="preserve">* Contabilização do Terreno
</t>
        </r>
        <r>
          <rPr>
            <sz val="9"/>
            <color indexed="81"/>
            <rFont val="Segoe UI"/>
            <family val="2"/>
          </rPr>
          <t>01- código
02 - código do imóvel
03 - conta contábil
04 - valor de aquisição/avaliação
05 - valor contábil
06 - data da contabilização
07 - observação
08 - usuário cadastro
09 - data cadastro
10 - data alteração
11 - usuário alteração 
12 - flag origem vistoria</t>
        </r>
      </text>
    </comment>
    <comment ref="E194" authorId="1" shapeId="0" xr:uid="{00000000-0006-0000-0100-00002C010000}">
      <text>
        <r>
          <rPr>
            <sz val="9"/>
            <color indexed="81"/>
            <rFont val="Segoe UI"/>
            <family val="2"/>
          </rPr>
          <t>01 - Contabilização do Terrreno</t>
        </r>
      </text>
    </comment>
    <comment ref="D195" authorId="1" shapeId="0" xr:uid="{00000000-0006-0000-0100-00002D010000}">
      <text>
        <r>
          <rPr>
            <b/>
            <sz val="9"/>
            <color indexed="81"/>
            <rFont val="Segoe UI"/>
            <family val="2"/>
          </rPr>
          <t xml:space="preserve">* Contabilização do Terreno
</t>
        </r>
        <r>
          <rPr>
            <sz val="9"/>
            <color indexed="81"/>
            <rFont val="Segoe UI"/>
            <family val="2"/>
          </rPr>
          <t>01- código
02 - código do imóvel
03 - conta contábil
04 - valor de aquisição/avaliação
05 - valor contábil
06 - data da contabilização
07 - observação
08 - usuário cadastro
09 - data cadastro
10 - flag origem vistoria
11 - situação
12 - comando
13 - mensagem</t>
        </r>
      </text>
    </comment>
    <comment ref="E195" authorId="1" shapeId="0" xr:uid="{00000000-0006-0000-0100-00002E010000}">
      <text>
        <r>
          <rPr>
            <sz val="9"/>
            <color indexed="81"/>
            <rFont val="Segoe UI"/>
            <family val="2"/>
          </rPr>
          <t>01 - Contabilização do Terrreno
02  - Imóvel</t>
        </r>
      </text>
    </comment>
    <comment ref="D196" authorId="1" shapeId="0" xr:uid="{00000000-0006-0000-0100-00002F010000}">
      <text>
        <r>
          <rPr>
            <b/>
            <sz val="9"/>
            <color indexed="81"/>
            <rFont val="Segoe UI"/>
            <family val="2"/>
          </rPr>
          <t xml:space="preserve">* Conta Contábil
</t>
        </r>
        <r>
          <rPr>
            <sz val="9"/>
            <color indexed="81"/>
            <rFont val="Segoe UI"/>
            <family val="2"/>
          </rPr>
          <t>01 - código
02 - conta
03 - situação</t>
        </r>
      </text>
    </comment>
    <comment ref="E196" authorId="1" shapeId="0" xr:uid="{00000000-0006-0000-0100-000030010000}">
      <text>
        <r>
          <rPr>
            <sz val="9"/>
            <color indexed="81"/>
            <rFont val="Segoe UI"/>
            <family val="2"/>
          </rPr>
          <t>01 - Conta Contábil</t>
        </r>
      </text>
    </comment>
    <comment ref="D197" authorId="1" shapeId="0" xr:uid="{00000000-0006-0000-0100-000031010000}">
      <text>
        <r>
          <rPr>
            <b/>
            <sz val="9"/>
            <color indexed="81"/>
            <rFont val="Segoe UI"/>
            <family val="2"/>
          </rPr>
          <t xml:space="preserve">* Contabilização do Terreno
</t>
        </r>
        <r>
          <rPr>
            <sz val="9"/>
            <color indexed="81"/>
            <rFont val="Segoe UI"/>
            <family val="2"/>
          </rPr>
          <t>01- código
02 - código do imóvel
03 - conta contábil
04 - valor de aquisição/avaliação
05 - valor contábil
06 - data da contabilização
07 - observação
08 - usuário alteração
09 - data alteração
10 - flag origem vistoria
11 - situação
12 - comando
13 - mensagem</t>
        </r>
      </text>
    </comment>
    <comment ref="E197" authorId="1" shapeId="0" xr:uid="{00000000-0006-0000-0100-000032010000}">
      <text>
        <r>
          <rPr>
            <sz val="9"/>
            <color indexed="81"/>
            <rFont val="Segoe UI"/>
            <family val="2"/>
          </rPr>
          <t>01 - Contabilização do Terrreno
02  - Imóvel</t>
        </r>
      </text>
    </comment>
    <comment ref="D198" authorId="1" shapeId="0" xr:uid="{00000000-0006-0000-0100-000033010000}">
      <text>
        <r>
          <rPr>
            <b/>
            <sz val="9"/>
            <color indexed="81"/>
            <rFont val="Segoe UI"/>
            <family val="2"/>
          </rPr>
          <t xml:space="preserve">* Contabilização do Terreno
</t>
        </r>
        <r>
          <rPr>
            <sz val="9"/>
            <color indexed="81"/>
            <rFont val="Segoe UI"/>
            <family val="2"/>
          </rPr>
          <t>01- código
02 - código do imóvel
03 - conta contábil
04 - valor de aquisição/avaliação
05 - valor contábil
06 - data da contabilização
07 - observação
08 - flag origem vistoria
09 - situação</t>
        </r>
      </text>
    </comment>
    <comment ref="E198" authorId="1" shapeId="0" xr:uid="{00000000-0006-0000-0100-000034010000}">
      <text>
        <r>
          <rPr>
            <sz val="9"/>
            <color indexed="81"/>
            <rFont val="Segoe UI"/>
            <family val="2"/>
          </rPr>
          <t>01 - Contabilização do Terrreno
02  - Imóvel</t>
        </r>
      </text>
    </comment>
    <comment ref="D199" authorId="1" shapeId="0" xr:uid="{00000000-0006-0000-0100-000035010000}">
      <text>
        <r>
          <rPr>
            <b/>
            <sz val="9"/>
            <color indexed="81"/>
            <rFont val="Segoe UI"/>
            <family val="2"/>
          </rPr>
          <t xml:space="preserve">* Contabilização do Terreno
</t>
        </r>
        <r>
          <rPr>
            <sz val="9"/>
            <color indexed="81"/>
            <rFont val="Segoe UI"/>
            <family val="2"/>
          </rPr>
          <t xml:space="preserve">01- código
02 - código do imóvel
03 - conta contábil
04 - valor contábil
05 - data da contabilização
06 - situação
07 - comando
08 - mensagem
</t>
        </r>
      </text>
    </comment>
    <comment ref="E199" authorId="1" shapeId="0" xr:uid="{00000000-0006-0000-0100-000036010000}">
      <text>
        <r>
          <rPr>
            <sz val="9"/>
            <color indexed="81"/>
            <rFont val="Segoe UI"/>
            <family val="2"/>
          </rPr>
          <t>01 - Contabilização do Terrreno
02  - Imóvel</t>
        </r>
      </text>
    </comment>
    <comment ref="D200" authorId="1" shapeId="0" xr:uid="{00000000-0006-0000-0100-000037010000}">
      <text>
        <r>
          <rPr>
            <b/>
            <sz val="9"/>
            <color indexed="81"/>
            <rFont val="Segoe UI"/>
            <family val="2"/>
          </rPr>
          <t xml:space="preserve">* Contabilização do Terreno
</t>
        </r>
        <r>
          <rPr>
            <sz val="9"/>
            <color indexed="81"/>
            <rFont val="Segoe UI"/>
            <family val="2"/>
          </rPr>
          <t xml:space="preserve">01- código
02 - comando
03 - mensagem
</t>
        </r>
      </text>
    </comment>
    <comment ref="E200" authorId="1" shapeId="0" xr:uid="{00000000-0006-0000-0100-000038010000}">
      <text>
        <r>
          <rPr>
            <sz val="9"/>
            <color indexed="81"/>
            <rFont val="Segoe UI"/>
            <family val="2"/>
          </rPr>
          <t>01 - Contabilização do Terrreno</t>
        </r>
      </text>
    </comment>
    <comment ref="D201" authorId="1" shapeId="0" xr:uid="{00000000-0006-0000-0100-000039010000}">
      <text>
        <r>
          <rPr>
            <b/>
            <sz val="9"/>
            <color indexed="81"/>
            <rFont val="Segoe UI"/>
            <family val="2"/>
          </rPr>
          <t xml:space="preserve">* Contabilização do Terreno
</t>
        </r>
        <r>
          <rPr>
            <sz val="9"/>
            <color indexed="81"/>
            <rFont val="Segoe UI"/>
            <family val="2"/>
          </rPr>
          <t>01- código
02 - código do imóvel
03 - conta contábil
04 - valor de aquisição/avaliação
05 - valor contábil
06 - data da contabilização
07 - observação
08 - flag origem vistoria
09 - situação
10 - comando
11 - mensagem</t>
        </r>
      </text>
    </comment>
    <comment ref="E201" authorId="1" shapeId="0" xr:uid="{00000000-0006-0000-0100-00003A010000}">
      <text>
        <r>
          <rPr>
            <sz val="9"/>
            <color indexed="81"/>
            <rFont val="Segoe UI"/>
            <family val="2"/>
          </rPr>
          <t>01 - Contabilização do Terrreno
02  - Imóvel</t>
        </r>
      </text>
    </comment>
    <comment ref="D204" authorId="1" shapeId="0" xr:uid="{00000000-0006-0000-0100-00003B010000}">
      <text>
        <r>
          <rPr>
            <b/>
            <sz val="9"/>
            <color indexed="81"/>
            <rFont val="Segoe UI"/>
            <family val="2"/>
          </rPr>
          <t xml:space="preserve">* Conta Depreciação
</t>
        </r>
        <r>
          <rPr>
            <sz val="9"/>
            <color indexed="81"/>
            <rFont val="Segoe UI"/>
            <family val="2"/>
          </rPr>
          <t>01 - código
02 - conta
03 - situação</t>
        </r>
      </text>
    </comment>
    <comment ref="E204" authorId="1" shapeId="0" xr:uid="{00000000-0006-0000-0100-00003C010000}">
      <text>
        <r>
          <rPr>
            <sz val="9"/>
            <color indexed="81"/>
            <rFont val="Segoe UI"/>
            <family val="2"/>
          </rPr>
          <t>01 - Conta Depreciação</t>
        </r>
      </text>
    </comment>
    <comment ref="D205" authorId="1" shapeId="0" xr:uid="{00000000-0006-0000-0100-00003D010000}">
      <text>
        <r>
          <rPr>
            <b/>
            <sz val="9"/>
            <color indexed="81"/>
            <rFont val="Segoe UI"/>
            <family val="2"/>
          </rPr>
          <t xml:space="preserve">* Contabilização da Edificação
</t>
        </r>
        <r>
          <rPr>
            <sz val="9"/>
            <color indexed="81"/>
            <rFont val="Segoe UI"/>
            <family val="2"/>
          </rPr>
          <t xml:space="preserve">01- código
02 - código do imóvel
03 - conta contábil
04 - conta depreciação
05 - data da contabilização
06 - valor de aquisição/avaliação
07 - percentual valor residual
08 - valor residual
09 - valor depreciável
10 - taxa anual de depreciação
11 - vida útil remanescente
12 - cota depreciação mensal
13 - observação
14 - usuário cadastro
15 - data cadastro
16 - data alteração
17 - usuário alteração 
</t>
        </r>
        <r>
          <rPr>
            <b/>
            <sz val="9"/>
            <color indexed="81"/>
            <rFont val="Segoe UI"/>
            <family val="2"/>
          </rPr>
          <t>* Parâmetros Depreciação</t>
        </r>
        <r>
          <rPr>
            <sz val="9"/>
            <color indexed="81"/>
            <rFont val="Segoe UI"/>
            <family val="2"/>
          </rPr>
          <t xml:space="preserve">
18 - código
19 - estado de conservação
20 - características
21 - vida útil remanescente
22 - taxa anual de depreciação
23 - data base depreciação
24 - origem valor</t>
        </r>
      </text>
    </comment>
    <comment ref="E205" authorId="1" shapeId="0" xr:uid="{00000000-0006-0000-0100-00003E010000}">
      <text>
        <r>
          <rPr>
            <sz val="9"/>
            <color indexed="81"/>
            <rFont val="Segoe UI"/>
            <family val="2"/>
          </rPr>
          <t>01 - Contabilização da Edificação
02 - Parâmetros Depreciação</t>
        </r>
      </text>
    </comment>
    <comment ref="D206" authorId="1" shapeId="0" xr:uid="{00000000-0006-0000-0100-00003F010000}">
      <text>
        <r>
          <rPr>
            <b/>
            <sz val="9"/>
            <color indexed="81"/>
            <rFont val="Segoe UI"/>
            <family val="2"/>
          </rPr>
          <t xml:space="preserve">* Contabilização da Edificação
</t>
        </r>
        <r>
          <rPr>
            <sz val="9"/>
            <color indexed="81"/>
            <rFont val="Segoe UI"/>
            <family val="2"/>
          </rPr>
          <t xml:space="preserve">01- código
02 - código do imóvel
03 - conta contábil
04 - conta depreciação
05 - data da contabilização
06 - valor de aquisição/avaliação
07 - percentual valor residual
08 - valor residual
09 - valor depreciável
10 - taxa anual de depreciação
11 - vida útil remanescente
12 - cota depreciação mensal
13 - observação
14 - usuário cadastro
15 - data cadastro 
16 - flag origem vistoria
17 - situação
</t>
        </r>
        <r>
          <rPr>
            <b/>
            <sz val="9"/>
            <color indexed="81"/>
            <rFont val="Segoe UI"/>
            <family val="2"/>
          </rPr>
          <t>* Parâmetros Depreciação</t>
        </r>
        <r>
          <rPr>
            <sz val="9"/>
            <color indexed="81"/>
            <rFont val="Segoe UI"/>
            <family val="2"/>
          </rPr>
          <t xml:space="preserve">
18 - código
19 - estado de conservação
20 - características
21 - vida útil remanescente 
22 - taxa anual de depreciação
23 - data base depreciação
24 - origem valor
25 - comando
26 - mensagem</t>
        </r>
      </text>
    </comment>
    <comment ref="E206" authorId="1" shapeId="0" xr:uid="{00000000-0006-0000-0100-000040010000}">
      <text>
        <r>
          <rPr>
            <sz val="9"/>
            <color indexed="81"/>
            <rFont val="Segoe UI"/>
            <family val="2"/>
          </rPr>
          <t>01 - Contabilização da Edificação
02  - Imóvel
03 - Documentos do Imóvel</t>
        </r>
      </text>
    </comment>
    <comment ref="D207" authorId="1" shapeId="0" xr:uid="{00000000-0006-0000-0100-000041010000}">
      <text>
        <r>
          <rPr>
            <b/>
            <sz val="9"/>
            <color indexed="81"/>
            <rFont val="Segoe UI"/>
            <family val="2"/>
          </rPr>
          <t xml:space="preserve">* Conta Depreciação
</t>
        </r>
        <r>
          <rPr>
            <sz val="9"/>
            <color indexed="81"/>
            <rFont val="Segoe UI"/>
            <family val="2"/>
          </rPr>
          <t>01 - código
02 - conta
03 - situação</t>
        </r>
      </text>
    </comment>
    <comment ref="E207" authorId="1" shapeId="0" xr:uid="{00000000-0006-0000-0100-000042010000}">
      <text>
        <r>
          <rPr>
            <sz val="9"/>
            <color indexed="81"/>
            <rFont val="Segoe UI"/>
            <family val="2"/>
          </rPr>
          <t>01 - Conta Depreciação</t>
        </r>
      </text>
    </comment>
    <comment ref="D208" authorId="1" shapeId="0" xr:uid="{00000000-0006-0000-0100-000043010000}">
      <text>
        <r>
          <rPr>
            <b/>
            <sz val="9"/>
            <color indexed="81"/>
            <rFont val="Segoe UI"/>
            <family val="2"/>
          </rPr>
          <t xml:space="preserve">* Tipos de Estado de Conservação
</t>
        </r>
        <r>
          <rPr>
            <sz val="9"/>
            <color indexed="81"/>
            <rFont val="Segoe UI"/>
            <family val="2"/>
          </rPr>
          <t>01- código
02- estado de conservação
03- vida útil remanescente
04- valor residual
05- número de cotas (mensal)
06- % mensal de depreciação
07- % anual de depreciação
08- comando
09- mensagem</t>
        </r>
      </text>
    </comment>
    <comment ref="E208" authorId="1" shapeId="0" xr:uid="{00000000-0006-0000-0100-000044010000}">
      <text>
        <r>
          <rPr>
            <sz val="9"/>
            <color indexed="81"/>
            <rFont val="Segoe UI"/>
            <family val="2"/>
          </rPr>
          <t>01 - Tipos de Estado de Conservação</t>
        </r>
      </text>
    </comment>
    <comment ref="D209" authorId="1" shapeId="0" xr:uid="{00000000-0006-0000-0100-000045010000}">
      <text>
        <r>
          <rPr>
            <b/>
            <sz val="9"/>
            <color indexed="81"/>
            <rFont val="Segoe UI"/>
            <family val="2"/>
          </rPr>
          <t xml:space="preserve">* Contabilização da Edificação
</t>
        </r>
        <r>
          <rPr>
            <sz val="9"/>
            <color indexed="81"/>
            <rFont val="Segoe UI"/>
            <family val="2"/>
          </rPr>
          <t xml:space="preserve">01- código
02 - código do imóvel
03 - conta contábil
04 - conta depreciação
05 - data da contabilização
06 - valor de aquisição/avaliação
07 - percentual valor residual
08 - valor residual
09 - valor depreciável
10 - taxa anual de depreciação
11 - vida útil remanescente
12 - cota depreciação mensal
13 - observação
14 - usuário alteração
15 - data alteração
16 - flag origem vistoria
17 - situação
</t>
        </r>
        <r>
          <rPr>
            <b/>
            <sz val="9"/>
            <color indexed="81"/>
            <rFont val="Segoe UI"/>
            <family val="2"/>
          </rPr>
          <t>* Parâmetros Depreciação</t>
        </r>
        <r>
          <rPr>
            <sz val="9"/>
            <color indexed="81"/>
            <rFont val="Segoe UI"/>
            <family val="2"/>
          </rPr>
          <t xml:space="preserve">
18 - código
19 - estado de conservação
20 - características
21 - vida útil remanescente 
22 - taxa anual de depreciação
23 - data base depreciação
24 - origem valor
25 - comando
26 - mensagem</t>
        </r>
      </text>
    </comment>
    <comment ref="E209" authorId="1" shapeId="0" xr:uid="{00000000-0006-0000-0100-000046010000}">
      <text>
        <r>
          <rPr>
            <sz val="9"/>
            <color indexed="81"/>
            <rFont val="Segoe UI"/>
            <family val="2"/>
          </rPr>
          <t>01 - Contabilização da Edificação
02  - Imóvel
03 - Documentos do Imóvel</t>
        </r>
      </text>
    </comment>
    <comment ref="D210" authorId="1" shapeId="0" xr:uid="{00000000-0006-0000-0100-000047010000}">
      <text>
        <r>
          <rPr>
            <b/>
            <sz val="9"/>
            <color indexed="81"/>
            <rFont val="Segoe UI"/>
            <family val="2"/>
          </rPr>
          <t xml:space="preserve">* Contabilização da Edificação
</t>
        </r>
        <r>
          <rPr>
            <sz val="9"/>
            <color indexed="81"/>
            <rFont val="Segoe UI"/>
            <family val="2"/>
          </rPr>
          <t>01- código
02 - código do imóvel
03 - conta contábil
04 - conta depreciação
05 - data da contabilização
06 - valor de aquisição/avaliação
07 - percentual valor residual
08 - valor residual
09 - valor depreciável
10 - taxa anual de depreciação
11 - vida útil remanescente
12 - cota depreciação mensal
13 - observação
14 - flag origem vistoria
15 - situação
16 - data base depreciação
17 - origem valor</t>
        </r>
      </text>
    </comment>
    <comment ref="E210" authorId="1" shapeId="0" xr:uid="{00000000-0006-0000-0100-000048010000}">
      <text>
        <r>
          <rPr>
            <sz val="9"/>
            <color indexed="81"/>
            <rFont val="Segoe UI"/>
            <family val="2"/>
          </rPr>
          <t xml:space="preserve">01 - Contabilização da Edificação
</t>
        </r>
      </text>
    </comment>
    <comment ref="D211" authorId="1" shapeId="0" xr:uid="{00000000-0006-0000-0100-000049010000}">
      <text>
        <r>
          <rPr>
            <b/>
            <sz val="9"/>
            <color indexed="81"/>
            <rFont val="Segoe UI"/>
            <family val="2"/>
          </rPr>
          <t xml:space="preserve">* Contabilização da Edificação
</t>
        </r>
        <r>
          <rPr>
            <sz val="9"/>
            <color indexed="81"/>
            <rFont val="Segoe UI"/>
            <family val="2"/>
          </rPr>
          <t xml:space="preserve">01- código
02 - código do imóvel
03 - conta contábil
04 - conta depreciação
05 - data da contabilização
09 - valor depreciável
11 - vida útil remanescente
12 - cota depreciação mensal
13 - situação
14 - comando
15 - mensagem
</t>
        </r>
      </text>
    </comment>
    <comment ref="E211" authorId="1" shapeId="0" xr:uid="{00000000-0006-0000-0100-00004A010000}">
      <text>
        <r>
          <rPr>
            <sz val="9"/>
            <color indexed="81"/>
            <rFont val="Segoe UI"/>
            <family val="2"/>
          </rPr>
          <t>01 - Contabilização da Edificação
02  - Imóvel</t>
        </r>
      </text>
    </comment>
    <comment ref="D212" authorId="1" shapeId="0" xr:uid="{00000000-0006-0000-0100-00004B010000}">
      <text>
        <r>
          <rPr>
            <b/>
            <sz val="9"/>
            <color indexed="81"/>
            <rFont val="Segoe UI"/>
            <family val="2"/>
          </rPr>
          <t xml:space="preserve">* Contabilização da Edificação
</t>
        </r>
        <r>
          <rPr>
            <sz val="9"/>
            <color indexed="81"/>
            <rFont val="Segoe UI"/>
            <family val="2"/>
          </rPr>
          <t xml:space="preserve">01- código
02 - comando
03 - mensagem
</t>
        </r>
      </text>
    </comment>
    <comment ref="E212" authorId="1" shapeId="0" xr:uid="{00000000-0006-0000-0100-00004C010000}">
      <text>
        <r>
          <rPr>
            <sz val="9"/>
            <color indexed="81"/>
            <rFont val="Segoe UI"/>
            <family val="2"/>
          </rPr>
          <t>01 - Contabilização da Edificação</t>
        </r>
      </text>
    </comment>
    <comment ref="D213" authorId="1" shapeId="0" xr:uid="{00000000-0006-0000-0100-00004D010000}">
      <text>
        <r>
          <rPr>
            <b/>
            <sz val="9"/>
            <color indexed="81"/>
            <rFont val="Segoe UI"/>
            <family val="2"/>
          </rPr>
          <t xml:space="preserve">* Contabilização da Edificação
</t>
        </r>
        <r>
          <rPr>
            <sz val="9"/>
            <color indexed="81"/>
            <rFont val="Segoe UI"/>
            <family val="2"/>
          </rPr>
          <t>01- código
02 - código do imóvel
03 - conta contábil
04 - conta depreciação
05 - data da contabilização
06 - valor de aquisição/avaliação
07 - percentual valor residual
08 - valor residual
09 - valor depreciável
10 - taxa anual de depreciação
11 - vida útil remanescente
12 - cota depreciação mensal
13 - observação
14 - flag origem vistoria
15 - situação
16 - data base depreciação
17 - origem valor
18 - comando
19 - mensagem</t>
        </r>
      </text>
    </comment>
    <comment ref="E213" authorId="1" shapeId="0" xr:uid="{00000000-0006-0000-0100-00004E010000}">
      <text>
        <r>
          <rPr>
            <sz val="9"/>
            <color indexed="81"/>
            <rFont val="Segoe UI"/>
            <family val="2"/>
          </rPr>
          <t xml:space="preserve">01 - Contabilização da Edificação
</t>
        </r>
      </text>
    </comment>
    <comment ref="D216" authorId="3" shapeId="0" xr:uid="{1F2BE62A-8EDE-4703-9944-7CD8501421FB}">
      <text>
        <r>
          <rPr>
            <sz val="9"/>
            <color indexed="81"/>
            <rFont val="Segoe UI"/>
            <family val="2"/>
          </rPr>
          <t xml:space="preserve">
1-Órgão/ Unidade Gestora
2-Almoxarifado
3-Natureza de Despesa
4-Material
5-Quantidade
6-exercicio
7-UO
8-CMD
9-MSG</t>
        </r>
      </text>
    </comment>
    <comment ref="E216" authorId="3" shapeId="0" xr:uid="{FAC599FD-A643-43EE-95F5-2420953C7B9A}">
      <text>
        <r>
          <rPr>
            <sz val="9"/>
            <color indexed="81"/>
            <rFont val="Segoe UI"/>
            <family val="2"/>
          </rPr>
          <t xml:space="preserve">
1-Orgão
2-Almoxarifado
3-Conta contabil
4-Material </t>
        </r>
      </text>
    </comment>
    <comment ref="D217" authorId="3" shapeId="0" xr:uid="{00000000-0006-0000-0100-000051010000}">
      <text>
        <r>
          <rPr>
            <sz val="9"/>
            <color indexed="81"/>
            <rFont val="Segoe UI"/>
            <family val="2"/>
          </rPr>
          <t xml:space="preserve">
1 -Órgão/ Unidade Gestora
2 -Almoxarifado
3 -Conta
4 -Item
5 -Material
6 -Última DT Entrada 
7 -U.M
8 -Qtde
9 -Valor
10-Valor da conta 
11-Valor total dos itens
12-CMD
13-MSG</t>
        </r>
      </text>
    </comment>
    <comment ref="E217" authorId="3" shapeId="0" xr:uid="{00000000-0006-0000-0100-000052010000}">
      <text>
        <r>
          <rPr>
            <sz val="9"/>
            <color indexed="81"/>
            <rFont val="Segoe UI"/>
            <family val="2"/>
          </rPr>
          <t xml:space="preserve">
1-Orgão
2-Almoxarifado
3-Conta contabil
4-Material </t>
        </r>
      </text>
    </comment>
    <comment ref="D218" authorId="3" shapeId="0" xr:uid="{00000000-0006-0000-0100-000053010000}">
      <text>
        <r>
          <rPr>
            <sz val="9"/>
            <color indexed="81"/>
            <rFont val="Segoe UI"/>
            <family val="2"/>
          </rPr>
          <t xml:space="preserve">
1 -Órgão/ Unidade Gestora
2 -Almoxarifado
3 -Conta
4 -Item
5 -Material
6 -Última DT Entrada 
7 -U.M
8 -Qtde
9 -Valor
10-Valor da conta 
11-Valor total dos itens
12-CMD
13-MSG</t>
        </r>
      </text>
    </comment>
    <comment ref="E218" authorId="3" shapeId="0" xr:uid="{00000000-0006-0000-0100-000054010000}">
      <text>
        <r>
          <rPr>
            <sz val="9"/>
            <color indexed="81"/>
            <rFont val="Segoe UI"/>
            <family val="2"/>
          </rPr>
          <t xml:space="preserve">
1-Orgão
2-Almoxarifado
3-Conta contabil
4-Material </t>
        </r>
      </text>
    </comment>
    <comment ref="D221" authorId="1" shapeId="0" xr:uid="{00000000-0006-0000-0100-000055010000}">
      <text>
        <r>
          <rPr>
            <b/>
            <sz val="9"/>
            <color indexed="81"/>
            <rFont val="Segoe UI"/>
            <family val="2"/>
          </rPr>
          <t xml:space="preserve">* Matrícula Pai
</t>
        </r>
        <r>
          <rPr>
            <sz val="9"/>
            <color indexed="81"/>
            <rFont val="Segoe UI"/>
            <family val="2"/>
          </rPr>
          <t xml:space="preserve">01 - código
02 - matrícula
03 - município
04 - área total do terreno
05 - descrição
06 - data cadastro
07 - usuário cadastro
08 - data alteração
09 - usuário alteração
</t>
        </r>
        <r>
          <rPr>
            <b/>
            <sz val="9"/>
            <color indexed="81"/>
            <rFont val="Segoe UI"/>
            <family val="2"/>
          </rPr>
          <t xml:space="preserve">* Histórico Alteração
</t>
        </r>
        <r>
          <rPr>
            <sz val="9"/>
            <color indexed="81"/>
            <rFont val="Segoe UI"/>
            <family val="2"/>
          </rPr>
          <t>10 - código
11 - justificativa alteração
12 - matrícula antiga
13 - matrícula nova
14 - data alteração
15 - usuário alteração
16 - N° Livro
17 - N° Folha
18 - Descrição
19 - Área Construída
20 - Nº Ficha
21 - Data de registro
22 - Cartório
23 - Objeto
24 - Anexo</t>
        </r>
      </text>
    </comment>
    <comment ref="E221" authorId="1" shapeId="0" xr:uid="{00000000-0006-0000-0100-000056010000}">
      <text>
        <r>
          <rPr>
            <sz val="9"/>
            <color indexed="81"/>
            <rFont val="Segoe UI"/>
            <family val="2"/>
          </rPr>
          <t>01 - Matrícula Pai
02 - Histórico Alteração</t>
        </r>
      </text>
    </comment>
    <comment ref="D222" authorId="1" shapeId="0" xr:uid="{00000000-0006-0000-0100-000057010000}">
      <text>
        <r>
          <rPr>
            <b/>
            <sz val="9"/>
            <color indexed="81"/>
            <rFont val="Segoe UI"/>
            <family val="2"/>
          </rPr>
          <t xml:space="preserve">* Matrícula Pai
</t>
        </r>
        <r>
          <rPr>
            <sz val="9"/>
            <color indexed="81"/>
            <rFont val="Segoe UI"/>
            <family val="2"/>
          </rPr>
          <t xml:space="preserve">01 - código
02 - matrícula
03 - município
04 - área total do terreno
05 - descrição
06 - data cadastro
07 - usuário cadastro
08 - N° Livro
09 - N° Folha
10 - Descrição
11 - Área Construída
12 - Nº Ficha
13 - Data de registro
14 - Cartório
15 - Objeto
16 - Anexo
17 - comando
18 - mensagem
</t>
        </r>
      </text>
    </comment>
    <comment ref="E222" authorId="1" shapeId="0" xr:uid="{00000000-0006-0000-0100-000058010000}">
      <text>
        <r>
          <rPr>
            <sz val="9"/>
            <color indexed="81"/>
            <rFont val="Segoe UI"/>
            <family val="2"/>
          </rPr>
          <t>01 - Matrícula Pai
02 - usuário
03 - Cartório</t>
        </r>
      </text>
    </comment>
    <comment ref="D223" authorId="1" shapeId="0" xr:uid="{00000000-0006-0000-0100-000059010000}">
      <text>
        <r>
          <rPr>
            <b/>
            <sz val="9"/>
            <color indexed="81"/>
            <rFont val="Segoe UI"/>
            <family val="2"/>
          </rPr>
          <t xml:space="preserve">* Matrícula Pai
</t>
        </r>
        <r>
          <rPr>
            <sz val="9"/>
            <color indexed="81"/>
            <rFont val="Segoe UI"/>
            <family val="2"/>
          </rPr>
          <t xml:space="preserve">01 - código
02 - matrícula
03 - data alteração
04 - usuário alteração
</t>
        </r>
        <r>
          <rPr>
            <b/>
            <sz val="9"/>
            <color indexed="81"/>
            <rFont val="Segoe UI"/>
            <family val="2"/>
          </rPr>
          <t xml:space="preserve">* Histórico Alteração
</t>
        </r>
        <r>
          <rPr>
            <sz val="9"/>
            <color indexed="81"/>
            <rFont val="Segoe UI"/>
            <family val="2"/>
          </rPr>
          <t>05 - código
06 - justificativa alteração
07 - matrícula antiga
08 - matrícula nova
09 - data alteração
10 - usuário alteração
11 - N° Livro
12 - N° Folha
13 - Descrição
14 - Área Construída
15 - Nº Ficha
16 - Data de registro
17 - Cartório
18 - Objeto
19 - Anexo
20 - comando
21 - mensagem</t>
        </r>
      </text>
    </comment>
    <comment ref="E223" authorId="1" shapeId="0" xr:uid="{00000000-0006-0000-0100-00005A010000}">
      <text>
        <r>
          <rPr>
            <sz val="9"/>
            <color indexed="81"/>
            <rFont val="Segoe UI"/>
            <family val="2"/>
          </rPr>
          <t>01 - Matrícula Pai
02 - Usuário
03 - Imóvel
04 - Cartório</t>
        </r>
      </text>
    </comment>
    <comment ref="D224" authorId="1" shapeId="0" xr:uid="{00000000-0006-0000-0100-00005B010000}">
      <text>
        <r>
          <rPr>
            <b/>
            <sz val="9"/>
            <color indexed="81"/>
            <rFont val="Segoe UI"/>
            <family val="2"/>
          </rPr>
          <t xml:space="preserve">* Matrícula Pai
</t>
        </r>
        <r>
          <rPr>
            <sz val="9"/>
            <color indexed="81"/>
            <rFont val="Segoe UI"/>
            <family val="2"/>
          </rPr>
          <t xml:space="preserve">01 - código
02 - matrícula
03 - data alteração
04 - usuário alteração
</t>
        </r>
        <r>
          <rPr>
            <b/>
            <sz val="9"/>
            <color indexed="81"/>
            <rFont val="Segoe UI"/>
            <family val="2"/>
          </rPr>
          <t xml:space="preserve">* Histórico Alteração
</t>
        </r>
        <r>
          <rPr>
            <sz val="9"/>
            <color indexed="81"/>
            <rFont val="Segoe UI"/>
            <family val="2"/>
          </rPr>
          <t>05 - código
06 - justificativa alteração
07 - matrícula antiga
08 - matrícula nova
09 - data alteração
10 - usuário alteração
11 - N° Livro
12 - N° Folha
13 - Descrição
14 - Área Construída
15 - Nº Ficha
16 - Data de registro
17 - Cartório
18 - Objeto
19 - Anexo</t>
        </r>
      </text>
    </comment>
    <comment ref="E224" authorId="1" shapeId="0" xr:uid="{00000000-0006-0000-0100-00005C010000}">
      <text>
        <r>
          <rPr>
            <sz val="9"/>
            <color indexed="81"/>
            <rFont val="Segoe UI"/>
            <family val="2"/>
          </rPr>
          <t>01 - Matrícula Pai
02 - Usuário
03 - Cartório</t>
        </r>
      </text>
    </comment>
    <comment ref="D225" authorId="1" shapeId="0" xr:uid="{00000000-0006-0000-0100-00005D010000}">
      <text>
        <r>
          <rPr>
            <b/>
            <sz val="9"/>
            <color indexed="81"/>
            <rFont val="Segoe UI"/>
            <family val="2"/>
          </rPr>
          <t xml:space="preserve">* Matrícula Pai
</t>
        </r>
        <r>
          <rPr>
            <sz val="9"/>
            <color indexed="81"/>
            <rFont val="Segoe UI"/>
            <family val="2"/>
          </rPr>
          <t xml:space="preserve">01 - código
02 - comando
03 - mensagem
</t>
        </r>
      </text>
    </comment>
    <comment ref="E225" authorId="1" shapeId="0" xr:uid="{00000000-0006-0000-0100-00005E010000}">
      <text>
        <r>
          <rPr>
            <sz val="9"/>
            <color indexed="81"/>
            <rFont val="Segoe UI"/>
            <family val="2"/>
          </rPr>
          <t>01 - Matrícula Pai
02 - Imóvel</t>
        </r>
      </text>
    </comment>
    <comment ref="D226" authorId="1" shapeId="0" xr:uid="{00000000-0006-0000-0100-00005F010000}">
      <text>
        <r>
          <rPr>
            <b/>
            <sz val="9"/>
            <color indexed="81"/>
            <rFont val="Segoe UI"/>
            <family val="2"/>
          </rPr>
          <t xml:space="preserve">* Matrícula Pai
</t>
        </r>
        <r>
          <rPr>
            <sz val="9"/>
            <color indexed="81"/>
            <rFont val="Segoe UI"/>
            <family val="2"/>
          </rPr>
          <t xml:space="preserve">01 - código
02 - matrícula
03 - município
04 - área total do terreno
05 - descrição
</t>
        </r>
        <r>
          <rPr>
            <b/>
            <sz val="9"/>
            <color indexed="81"/>
            <rFont val="Segoe UI"/>
            <family val="2"/>
          </rPr>
          <t>* Vínculo Imóvel</t>
        </r>
        <r>
          <rPr>
            <sz val="9"/>
            <color indexed="81"/>
            <rFont val="Segoe UI"/>
            <family val="2"/>
          </rPr>
          <t xml:space="preserve">
06 - código matrícula pai
07 - código imóvel filho
08 - flag ativo
</t>
        </r>
        <r>
          <rPr>
            <b/>
            <sz val="9"/>
            <color indexed="81"/>
            <rFont val="Segoe UI"/>
            <family val="2"/>
          </rPr>
          <t>* Imóvel</t>
        </r>
        <r>
          <rPr>
            <sz val="9"/>
            <color indexed="81"/>
            <rFont val="Segoe UI"/>
            <family val="2"/>
          </rPr>
          <t xml:space="preserve">
09 - nome do imóvel
10 - matrícula
11 - RIP
</t>
        </r>
        <r>
          <rPr>
            <b/>
            <sz val="9"/>
            <color indexed="81"/>
            <rFont val="Segoe UI"/>
            <family val="2"/>
          </rPr>
          <t>* Identificação do Imóvel</t>
        </r>
        <r>
          <rPr>
            <sz val="9"/>
            <color indexed="81"/>
            <rFont val="Segoe UI"/>
            <family val="2"/>
          </rPr>
          <t xml:space="preserve">
12 - titularidade
13 - responsável patrimonial
</t>
        </r>
        <r>
          <rPr>
            <b/>
            <sz val="9"/>
            <color indexed="81"/>
            <rFont val="Segoe UI"/>
            <family val="2"/>
          </rPr>
          <t>* Pessoa Física</t>
        </r>
        <r>
          <rPr>
            <sz val="9"/>
            <color indexed="81"/>
            <rFont val="Segoe UI"/>
            <family val="2"/>
          </rPr>
          <t xml:space="preserve">
14 - nome
</t>
        </r>
        <r>
          <rPr>
            <b/>
            <sz val="9"/>
            <color indexed="81"/>
            <rFont val="Segoe UI"/>
            <family val="2"/>
          </rPr>
          <t xml:space="preserve">
* Pessoa Jurídica</t>
        </r>
        <r>
          <rPr>
            <sz val="9"/>
            <color indexed="81"/>
            <rFont val="Segoe UI"/>
            <family val="2"/>
          </rPr>
          <t xml:space="preserve">
15 - nome
</t>
        </r>
        <r>
          <rPr>
            <b/>
            <sz val="9"/>
            <color indexed="81"/>
            <rFont val="Segoe UI"/>
            <family val="2"/>
          </rPr>
          <t>* Localização</t>
        </r>
        <r>
          <rPr>
            <sz val="9"/>
            <color indexed="81"/>
            <rFont val="Segoe UI"/>
            <family val="2"/>
          </rPr>
          <t xml:space="preserve">
16 - código município
</t>
        </r>
        <r>
          <rPr>
            <b/>
            <sz val="9"/>
            <color indexed="81"/>
            <rFont val="Segoe UI"/>
            <family val="2"/>
          </rPr>
          <t>* Município</t>
        </r>
        <r>
          <rPr>
            <sz val="9"/>
            <color indexed="81"/>
            <rFont val="Segoe UI"/>
            <family val="2"/>
          </rPr>
          <t xml:space="preserve">
17 - descrição
</t>
        </r>
        <r>
          <rPr>
            <b/>
            <sz val="9"/>
            <color indexed="81"/>
            <rFont val="Segoe UI"/>
            <family val="2"/>
          </rPr>
          <t>* Vistorias do Imóvel</t>
        </r>
        <r>
          <rPr>
            <sz val="9"/>
            <color indexed="81"/>
            <rFont val="Segoe UI"/>
            <family val="2"/>
          </rPr>
          <t xml:space="preserve">
18 - código imóvel
</t>
        </r>
        <r>
          <rPr>
            <b/>
            <sz val="9"/>
            <color indexed="81"/>
            <rFont val="Segoe UI"/>
            <family val="2"/>
          </rPr>
          <t>* Avaliação</t>
        </r>
        <r>
          <rPr>
            <sz val="9"/>
            <color indexed="81"/>
            <rFont val="Segoe UI"/>
            <family val="2"/>
          </rPr>
          <t xml:space="preserve">
19 - valor do imóvel calculado
20 - Quantidade 
21 - Valor total
22 - N° Livro
23 - N° Folha
24 - Descrição
25 - Área Construída
26 - Nº Ficha
27 - Data de registro
28 - Cartório
29 - Objeto
30 - Anexo
31 - comando
32 - mensagem</t>
        </r>
      </text>
    </comment>
    <comment ref="E226" authorId="2" shapeId="0" xr:uid="{00000000-0006-0000-0100-000060010000}">
      <text>
        <r>
          <rPr>
            <sz val="9"/>
            <color indexed="81"/>
            <rFont val="Segoe UI"/>
            <family val="2"/>
          </rPr>
          <t>01 - Vínculo Imóvel
02 - Imóvel
03 - Identificação
04 - Órgão
05 - Vistorias do Imóvel
06 - Matrícula Pai
07 - Cartório</t>
        </r>
      </text>
    </comment>
    <comment ref="D227" authorId="1" shapeId="0" xr:uid="{00000000-0006-0000-0100-000061010000}">
      <text>
        <r>
          <rPr>
            <b/>
            <sz val="9"/>
            <color indexed="81"/>
            <rFont val="Segoe UI"/>
            <family val="2"/>
          </rPr>
          <t xml:space="preserve">* Matrícula Pai
</t>
        </r>
        <r>
          <rPr>
            <sz val="9"/>
            <color indexed="81"/>
            <rFont val="Segoe UI"/>
            <family val="2"/>
          </rPr>
          <t xml:space="preserve">01 - código
02 - matrícula
03 - município
04 - área total do terreno
05 - descrição
</t>
        </r>
        <r>
          <rPr>
            <b/>
            <sz val="9"/>
            <color indexed="81"/>
            <rFont val="Segoe UI"/>
            <family val="2"/>
          </rPr>
          <t xml:space="preserve">* Histórico Alteração
</t>
        </r>
        <r>
          <rPr>
            <sz val="9"/>
            <color indexed="81"/>
            <rFont val="Segoe UI"/>
            <family val="2"/>
          </rPr>
          <t>06 - código
07 - justificativa alteração
08 - matrícula antiga
09 - matrícula nova
10 - data alteração
11 - usuário alteração
12 - comando
13 - mensagem</t>
        </r>
      </text>
    </comment>
    <comment ref="E227" authorId="1" shapeId="0" xr:uid="{00000000-0006-0000-0100-000062010000}">
      <text>
        <r>
          <rPr>
            <sz val="9"/>
            <color indexed="81"/>
            <rFont val="Segoe UI"/>
            <family val="2"/>
          </rPr>
          <t>01 - Matrícula Pai
02 - Usuário</t>
        </r>
      </text>
    </comment>
    <comment ref="D228" authorId="1" shapeId="0" xr:uid="{00000000-0006-0000-0100-000063010000}">
      <text>
        <r>
          <rPr>
            <sz val="9"/>
            <color indexed="81"/>
            <rFont val="Segoe UI"/>
            <family val="2"/>
          </rPr>
          <t>01 - Código
02 - Nº Matricula
03 - Município
04 - Descrição
05 - Cartório
06 - Área total do terreno
07 - Valor total
08 - Quantidade de vínculos
09 - Comando
10 - Mensagem</t>
        </r>
      </text>
    </comment>
    <comment ref="E228" authorId="1" shapeId="0" xr:uid="{00000000-0006-0000-0100-000064010000}">
      <text>
        <r>
          <rPr>
            <sz val="9"/>
            <color indexed="81"/>
            <rFont val="Segoe UI"/>
            <family val="2"/>
          </rPr>
          <t>01 - Matrícula Pai
02 - Cartório</t>
        </r>
      </text>
    </comment>
    <comment ref="D231" authorId="1" shapeId="0" xr:uid="{00000000-0006-0000-0100-000065010000}">
      <text>
        <r>
          <rPr>
            <b/>
            <sz val="9"/>
            <color indexed="81"/>
            <rFont val="Segoe UI"/>
            <family val="2"/>
          </rPr>
          <t xml:space="preserve">* Histórico
</t>
        </r>
        <r>
          <rPr>
            <sz val="9"/>
            <color indexed="81"/>
            <rFont val="Segoe UI"/>
            <family val="2"/>
          </rPr>
          <t xml:space="preserve">01 - código
02 - data de referência
03 - data de cadastro
04 - origem
05 - usuário
06 - assunto
07 - local
08 - descrição
09 - usuário cadastro
10 - usuário alteração
11 - data cadastro
12 - data alteração
</t>
        </r>
      </text>
    </comment>
    <comment ref="E231" authorId="1" shapeId="0" xr:uid="{00000000-0006-0000-0100-000066010000}">
      <text>
        <r>
          <rPr>
            <sz val="9"/>
            <color indexed="81"/>
            <rFont val="Segoe UI"/>
            <family val="2"/>
          </rPr>
          <t>01 - Histórico</t>
        </r>
      </text>
    </comment>
    <comment ref="D232" authorId="1" shapeId="0" xr:uid="{00000000-0006-0000-0100-000067010000}">
      <text>
        <r>
          <rPr>
            <b/>
            <sz val="9"/>
            <color indexed="81"/>
            <rFont val="Segoe UI"/>
            <family val="2"/>
          </rPr>
          <t xml:space="preserve">* Histórico
</t>
        </r>
        <r>
          <rPr>
            <sz val="9"/>
            <color indexed="81"/>
            <rFont val="Segoe UI"/>
            <family val="2"/>
          </rPr>
          <t xml:space="preserve">01 - código
02 - data de referência
03 - data de cadastro
04 - origem
05 - usuário
06 - assunto
07 - local
08 - descrição
09 - usuário cadastro
10 - data cadastro
11 - comando
12 - mensagem
</t>
        </r>
      </text>
    </comment>
    <comment ref="E232" authorId="1" shapeId="0" xr:uid="{00000000-0006-0000-0100-000068010000}">
      <text>
        <r>
          <rPr>
            <sz val="9"/>
            <color indexed="81"/>
            <rFont val="Segoe UI"/>
            <family val="2"/>
          </rPr>
          <t>01 - Histórico</t>
        </r>
      </text>
    </comment>
    <comment ref="D233" authorId="1" shapeId="0" xr:uid="{00000000-0006-0000-0100-000069010000}">
      <text>
        <r>
          <rPr>
            <b/>
            <sz val="9"/>
            <color indexed="81"/>
            <rFont val="Segoe UI"/>
            <family val="2"/>
          </rPr>
          <t xml:space="preserve">* Histórico
</t>
        </r>
        <r>
          <rPr>
            <sz val="9"/>
            <color indexed="81"/>
            <rFont val="Segoe UI"/>
            <family val="2"/>
          </rPr>
          <t xml:space="preserve">01 - código
02 - data de referência
03 - data de cadastro
04 - origem
05 - usuário
06 - assunto
07 - local
08 - descrição
09 - usuário alteração
10 - data alteração
11 - comando
12 - mensagem
</t>
        </r>
      </text>
    </comment>
    <comment ref="E233" authorId="1" shapeId="0" xr:uid="{00000000-0006-0000-0100-00006A010000}">
      <text>
        <r>
          <rPr>
            <sz val="9"/>
            <color indexed="81"/>
            <rFont val="Segoe UI"/>
            <family val="2"/>
          </rPr>
          <t>01 - Histórico</t>
        </r>
      </text>
    </comment>
    <comment ref="D234" authorId="1" shapeId="0" xr:uid="{00000000-0006-0000-0100-00006B010000}">
      <text>
        <r>
          <rPr>
            <b/>
            <sz val="9"/>
            <color indexed="81"/>
            <rFont val="Segoe UI"/>
            <family val="2"/>
          </rPr>
          <t xml:space="preserve">* Histórico
</t>
        </r>
        <r>
          <rPr>
            <sz val="9"/>
            <color indexed="81"/>
            <rFont val="Segoe UI"/>
            <family val="2"/>
          </rPr>
          <t xml:space="preserve">01 - código
02 - data de referência
03 - data de cadastro
04 - origem
05 - usuário
06 - assunto
07 - local
08 - descrição
</t>
        </r>
      </text>
    </comment>
    <comment ref="E234" authorId="1" shapeId="0" xr:uid="{00000000-0006-0000-0100-00006C010000}">
      <text>
        <r>
          <rPr>
            <sz val="9"/>
            <color indexed="81"/>
            <rFont val="Segoe UI"/>
            <family val="2"/>
          </rPr>
          <t>01 - Histórico</t>
        </r>
      </text>
    </comment>
    <comment ref="D235" authorId="1" shapeId="0" xr:uid="{00000000-0006-0000-0100-00006D010000}">
      <text>
        <r>
          <rPr>
            <b/>
            <sz val="9"/>
            <color indexed="81"/>
            <rFont val="Segoe UI"/>
            <family val="2"/>
          </rPr>
          <t xml:space="preserve">* Histórico
</t>
        </r>
        <r>
          <rPr>
            <sz val="9"/>
            <color indexed="81"/>
            <rFont val="Segoe UI"/>
            <family val="2"/>
          </rPr>
          <t xml:space="preserve">01 - código
02 - comando
03 - mensagem
</t>
        </r>
      </text>
    </comment>
    <comment ref="E235" authorId="1" shapeId="0" xr:uid="{00000000-0006-0000-0100-00006E010000}">
      <text>
        <r>
          <rPr>
            <sz val="9"/>
            <color indexed="81"/>
            <rFont val="Segoe UI"/>
            <family val="2"/>
          </rPr>
          <t>01 - Histórico</t>
        </r>
      </text>
    </comment>
    <comment ref="D236" authorId="1" shapeId="0" xr:uid="{00000000-0006-0000-0100-00006F010000}">
      <text>
        <r>
          <rPr>
            <b/>
            <sz val="9"/>
            <color indexed="81"/>
            <rFont val="Segoe UI"/>
            <family val="2"/>
          </rPr>
          <t xml:space="preserve">* Histórico
</t>
        </r>
        <r>
          <rPr>
            <sz val="9"/>
            <color indexed="81"/>
            <rFont val="Segoe UI"/>
            <family val="2"/>
          </rPr>
          <t xml:space="preserve">01 - código
02 - data de referência
03 - data de cadastro
04 - origem
05 - usuário
06 - assunto
07 - local
08 - descrição
09 - usuário cadastro
10 - data cadastro
09 - usuário alteração
10 - data alteração
</t>
        </r>
      </text>
    </comment>
    <comment ref="E236" authorId="1" shapeId="0" xr:uid="{00000000-0006-0000-0100-000070010000}">
      <text>
        <r>
          <rPr>
            <sz val="9"/>
            <color indexed="81"/>
            <rFont val="Segoe UI"/>
            <family val="2"/>
          </rPr>
          <t>01 - Histórico
02 - Usuário</t>
        </r>
      </text>
    </comment>
    <comment ref="D239" authorId="1" shapeId="0" xr:uid="{00000000-0006-0000-0100-000071010000}">
      <text>
        <r>
          <rPr>
            <b/>
            <sz val="9"/>
            <color indexed="81"/>
            <rFont val="Segoe UI"/>
            <family val="2"/>
          </rPr>
          <t xml:space="preserve">* Imóvel
</t>
        </r>
        <r>
          <rPr>
            <sz val="9"/>
            <color indexed="81"/>
            <rFont val="Segoe UI"/>
            <family val="2"/>
          </rPr>
          <t>01 - codigo
02 - RIP
03 - nome imóvel
04 - tipo
05 - data cadastro</t>
        </r>
        <r>
          <rPr>
            <b/>
            <sz val="9"/>
            <color indexed="81"/>
            <rFont val="Segoe UI"/>
            <family val="2"/>
          </rPr>
          <t xml:space="preserve">
* Localização
</t>
        </r>
        <r>
          <rPr>
            <sz val="9"/>
            <color indexed="81"/>
            <rFont val="Segoe UI"/>
            <family val="2"/>
          </rPr>
          <t>06 - matricula</t>
        </r>
        <r>
          <rPr>
            <b/>
            <sz val="9"/>
            <color indexed="81"/>
            <rFont val="Segoe UI"/>
            <family val="2"/>
          </rPr>
          <t xml:space="preserve">
* Identificação Imóvel
</t>
        </r>
        <r>
          <rPr>
            <sz val="9"/>
            <color indexed="81"/>
            <rFont val="Segoe UI"/>
            <family val="2"/>
          </rPr>
          <t>07 - titularidade
08 - comando
09 - mensagem</t>
        </r>
      </text>
    </comment>
    <comment ref="E239" authorId="1" shapeId="0" xr:uid="{00000000-0006-0000-0100-000072010000}">
      <text>
        <r>
          <rPr>
            <sz val="9"/>
            <color indexed="81"/>
            <rFont val="Segoe UI"/>
            <family val="2"/>
          </rPr>
          <t>01 - Imóvel
02 - Localização
03 - Identificação Imóvel</t>
        </r>
      </text>
    </comment>
    <comment ref="D242" authorId="1" shapeId="0" xr:uid="{00000000-0006-0000-0100-000073010000}">
      <text>
        <r>
          <rPr>
            <b/>
            <sz val="9"/>
            <color indexed="81"/>
            <rFont val="Segoe UI"/>
            <family val="2"/>
          </rPr>
          <t xml:space="preserve">* Vinculo Tipo de Unidade e CC
</t>
        </r>
        <r>
          <rPr>
            <sz val="9"/>
            <color indexed="81"/>
            <rFont val="Segoe UI"/>
            <family val="2"/>
          </rPr>
          <t>01 - código
02 - código tipo unidade
03 - código conta contabil
04 - usuário cadastro
05 - usuário alteração
06 - data cadastro
07 - data alteração
08 - situação</t>
        </r>
      </text>
    </comment>
    <comment ref="E242" authorId="1" shapeId="0" xr:uid="{00000000-0006-0000-0100-000074010000}">
      <text>
        <r>
          <rPr>
            <sz val="9"/>
            <color indexed="81"/>
            <rFont val="Segoe UI"/>
            <family val="2"/>
          </rPr>
          <t>01 - Vìnculo Tipo de Unidade e CC</t>
        </r>
      </text>
    </comment>
    <comment ref="D243" authorId="1" shapeId="0" xr:uid="{00000000-0006-0000-0100-000075010000}">
      <text>
        <r>
          <rPr>
            <b/>
            <sz val="9"/>
            <color indexed="81"/>
            <rFont val="Segoe UI"/>
            <family val="2"/>
          </rPr>
          <t xml:space="preserve">* Vinculo Tipo de Unidade e CC
</t>
        </r>
        <r>
          <rPr>
            <sz val="9"/>
            <color indexed="81"/>
            <rFont val="Segoe UI"/>
            <family val="2"/>
          </rPr>
          <t xml:space="preserve">01 - código
02 - código tipo unidade
03 - código conta contabil
04 - usuário cadastro
05 - data cadastro
06 - situação
07 - comando
08 - mensagem
</t>
        </r>
      </text>
    </comment>
    <comment ref="E243" authorId="1" shapeId="0" xr:uid="{00000000-0006-0000-0100-000076010000}">
      <text>
        <r>
          <rPr>
            <sz val="9"/>
            <color indexed="81"/>
            <rFont val="Segoe UI"/>
            <family val="2"/>
          </rPr>
          <t>01 - Vìnculo Tipo de Unidade e CC
02 - Conta Contábil
03 - Tipo Unidade</t>
        </r>
      </text>
    </comment>
    <comment ref="D244" authorId="1" shapeId="0" xr:uid="{00000000-0006-0000-0100-000077010000}">
      <text>
        <r>
          <rPr>
            <b/>
            <sz val="9"/>
            <color indexed="81"/>
            <rFont val="Segoe UI"/>
            <family val="2"/>
          </rPr>
          <t xml:space="preserve">* Tipo Unidade
</t>
        </r>
        <r>
          <rPr>
            <sz val="9"/>
            <color indexed="81"/>
            <rFont val="Segoe UI"/>
            <family val="2"/>
          </rPr>
          <t>01 - código
02 - tipo de unidade</t>
        </r>
      </text>
    </comment>
    <comment ref="E244" authorId="1" shapeId="0" xr:uid="{00000000-0006-0000-0100-000078010000}">
      <text>
        <r>
          <rPr>
            <sz val="9"/>
            <color indexed="81"/>
            <rFont val="Segoe UI"/>
            <family val="2"/>
          </rPr>
          <t>01 - Tipo Unidade</t>
        </r>
      </text>
    </comment>
    <comment ref="D245" authorId="1" shapeId="0" xr:uid="{00000000-0006-0000-0100-000079010000}">
      <text>
        <r>
          <rPr>
            <b/>
            <sz val="9"/>
            <color indexed="81"/>
            <rFont val="Segoe UI"/>
            <family val="2"/>
          </rPr>
          <t xml:space="preserve">* Vinculo Tipo de Unidade e CC
</t>
        </r>
        <r>
          <rPr>
            <sz val="9"/>
            <color indexed="81"/>
            <rFont val="Segoe UI"/>
            <family val="2"/>
          </rPr>
          <t xml:space="preserve">01 - código
02 - código tipo unidade
03 - código conta contabil
04 - usuário alteração
05 - data alteração
06 - situação
07 - comando
08 - mensagem
</t>
        </r>
      </text>
    </comment>
    <comment ref="E245" authorId="1" shapeId="0" xr:uid="{00000000-0006-0000-0100-00007A010000}">
      <text>
        <r>
          <rPr>
            <sz val="9"/>
            <color indexed="81"/>
            <rFont val="Segoe UI"/>
            <family val="2"/>
          </rPr>
          <t>01 - Vìnculo Tipo de Unidade e CC
02 - Conta Contábil
03 - Tipo Unidade</t>
        </r>
      </text>
    </comment>
    <comment ref="D246" authorId="1" shapeId="0" xr:uid="{00000000-0006-0000-0100-00007B010000}">
      <text>
        <r>
          <rPr>
            <b/>
            <sz val="9"/>
            <color indexed="81"/>
            <rFont val="Segoe UI"/>
            <family val="2"/>
          </rPr>
          <t xml:space="preserve">* Vinculo Tipo de Unidade e CC
</t>
        </r>
        <r>
          <rPr>
            <sz val="9"/>
            <color indexed="81"/>
            <rFont val="Segoe UI"/>
            <family val="2"/>
          </rPr>
          <t xml:space="preserve">01 - código
02 - código tipo unidade
03 - código conta contabil
04 - situação
</t>
        </r>
        <r>
          <rPr>
            <b/>
            <sz val="9"/>
            <color indexed="81"/>
            <rFont val="Segoe UI"/>
            <family val="2"/>
          </rPr>
          <t>* Conta Contábil</t>
        </r>
        <r>
          <rPr>
            <sz val="9"/>
            <color indexed="81"/>
            <rFont val="Segoe UI"/>
            <family val="2"/>
          </rPr>
          <t xml:space="preserve">
05 - descrição
</t>
        </r>
        <r>
          <rPr>
            <b/>
            <sz val="9"/>
            <color indexed="81"/>
            <rFont val="Segoe UI"/>
            <family val="2"/>
          </rPr>
          <t>* Tipo Unidade</t>
        </r>
        <r>
          <rPr>
            <sz val="9"/>
            <color indexed="81"/>
            <rFont val="Segoe UI"/>
            <family val="2"/>
          </rPr>
          <t xml:space="preserve">
06 - descrição
</t>
        </r>
      </text>
    </comment>
    <comment ref="E246" authorId="1" shapeId="0" xr:uid="{00000000-0006-0000-0100-00007C010000}">
      <text>
        <r>
          <rPr>
            <sz val="9"/>
            <color indexed="81"/>
            <rFont val="Segoe UI"/>
            <family val="2"/>
          </rPr>
          <t>01 - Vìnculo Tipo de Unidade e CC
02 - Conta Contábil
03 - Tipo Unidade</t>
        </r>
      </text>
    </comment>
    <comment ref="D247" authorId="1" shapeId="0" xr:uid="{00000000-0006-0000-0100-00007D010000}">
      <text>
        <r>
          <rPr>
            <b/>
            <sz val="9"/>
            <color indexed="81"/>
            <rFont val="Segoe UI"/>
            <family val="2"/>
          </rPr>
          <t xml:space="preserve">* Vinculo Tipo de Unidade e CC
</t>
        </r>
        <r>
          <rPr>
            <sz val="9"/>
            <color indexed="81"/>
            <rFont val="Segoe UI"/>
            <family val="2"/>
          </rPr>
          <t xml:space="preserve">01 - código
02 - código tipo unidade
03 - código conta contabil
04 - situação
</t>
        </r>
        <r>
          <rPr>
            <b/>
            <sz val="9"/>
            <color indexed="81"/>
            <rFont val="Segoe UI"/>
            <family val="2"/>
          </rPr>
          <t>* Conta Contábil</t>
        </r>
        <r>
          <rPr>
            <sz val="9"/>
            <color indexed="81"/>
            <rFont val="Segoe UI"/>
            <family val="2"/>
          </rPr>
          <t xml:space="preserve">
05 - descrição
</t>
        </r>
        <r>
          <rPr>
            <b/>
            <sz val="9"/>
            <color indexed="81"/>
            <rFont val="Segoe UI"/>
            <family val="2"/>
          </rPr>
          <t>* Tipo Unidade</t>
        </r>
        <r>
          <rPr>
            <sz val="9"/>
            <color indexed="81"/>
            <rFont val="Segoe UI"/>
            <family val="2"/>
          </rPr>
          <t xml:space="preserve">
06 - descrição
07 - comando
08 - mensagem</t>
        </r>
      </text>
    </comment>
    <comment ref="E247" authorId="1" shapeId="0" xr:uid="{00000000-0006-0000-0100-00007E010000}">
      <text>
        <r>
          <rPr>
            <sz val="9"/>
            <color indexed="81"/>
            <rFont val="Segoe UI"/>
            <family val="2"/>
          </rPr>
          <t>01 - Vìnculo Tipo de Unidade e CC
02 - Conta Contábil
03 - Tipo Unidade</t>
        </r>
      </text>
    </comment>
    <comment ref="D248" authorId="1" shapeId="0" xr:uid="{00000000-0006-0000-0100-00007F010000}">
      <text>
        <r>
          <rPr>
            <b/>
            <sz val="9"/>
            <color indexed="81"/>
            <rFont val="Segoe UI"/>
            <family val="2"/>
          </rPr>
          <t xml:space="preserve">* Vinculo Tipo Unidade e CC
</t>
        </r>
        <r>
          <rPr>
            <sz val="9"/>
            <color indexed="81"/>
            <rFont val="Segoe UI"/>
            <family val="2"/>
          </rPr>
          <t xml:space="preserve">01 - código
02 - comando
03 - mensagem
</t>
        </r>
      </text>
    </comment>
    <comment ref="E248" authorId="1" shapeId="0" xr:uid="{00000000-0006-0000-0100-000080010000}">
      <text>
        <r>
          <rPr>
            <sz val="9"/>
            <color indexed="81"/>
            <rFont val="Segoe UI"/>
            <family val="2"/>
          </rPr>
          <t>01 - Vìnculo Tipo de Unidade e CC</t>
        </r>
      </text>
    </comment>
    <comment ref="D249" authorId="1" shapeId="0" xr:uid="{00000000-0006-0000-0100-000081010000}">
      <text>
        <r>
          <rPr>
            <b/>
            <sz val="9"/>
            <color indexed="81"/>
            <rFont val="Segoe UI"/>
            <family val="2"/>
          </rPr>
          <t xml:space="preserve">* Vinculo Tipo de Unidade e CC
</t>
        </r>
        <r>
          <rPr>
            <sz val="9"/>
            <color indexed="81"/>
            <rFont val="Segoe UI"/>
            <family val="2"/>
          </rPr>
          <t xml:space="preserve">01 - código
02 - código tipo unidade
03 - código conta contabil
04 - situação
</t>
        </r>
        <r>
          <rPr>
            <b/>
            <sz val="9"/>
            <color indexed="81"/>
            <rFont val="Segoe UI"/>
            <family val="2"/>
          </rPr>
          <t>* Conta Contábil</t>
        </r>
        <r>
          <rPr>
            <sz val="9"/>
            <color indexed="81"/>
            <rFont val="Segoe UI"/>
            <family val="2"/>
          </rPr>
          <t xml:space="preserve">
05 - descrição
</t>
        </r>
        <r>
          <rPr>
            <b/>
            <sz val="9"/>
            <color indexed="81"/>
            <rFont val="Segoe UI"/>
            <family val="2"/>
          </rPr>
          <t>* Tipo Unidade</t>
        </r>
        <r>
          <rPr>
            <sz val="9"/>
            <color indexed="81"/>
            <rFont val="Segoe UI"/>
            <family val="2"/>
          </rPr>
          <t xml:space="preserve">
06 - descrição
07 - comando
08 - mensagem</t>
        </r>
      </text>
    </comment>
    <comment ref="E249" authorId="1" shapeId="0" xr:uid="{00000000-0006-0000-0100-000082010000}">
      <text>
        <r>
          <rPr>
            <sz val="9"/>
            <color indexed="81"/>
            <rFont val="Segoe UI"/>
            <family val="2"/>
          </rPr>
          <t>01 - Vìnculo Tipo de Unidade e CC
02 - Conta Contábil
03 - Tipo Unidade</t>
        </r>
      </text>
    </comment>
    <comment ref="D250" authorId="1" shapeId="0" xr:uid="{00000000-0006-0000-0100-000083010000}">
      <text>
        <r>
          <rPr>
            <b/>
            <sz val="9"/>
            <color indexed="81"/>
            <rFont val="Segoe UI"/>
            <family val="2"/>
          </rPr>
          <t xml:space="preserve">* Vinculo Tipo de Unidade e CC
</t>
        </r>
        <r>
          <rPr>
            <sz val="9"/>
            <color indexed="81"/>
            <rFont val="Segoe UI"/>
            <family val="2"/>
          </rPr>
          <t xml:space="preserve">01 - código
02 - código tipo unidade
03 - código conta contabil
04 - situação
</t>
        </r>
        <r>
          <rPr>
            <b/>
            <sz val="9"/>
            <color indexed="81"/>
            <rFont val="Segoe UI"/>
            <family val="2"/>
          </rPr>
          <t>* Conta Contábil</t>
        </r>
        <r>
          <rPr>
            <sz val="9"/>
            <color indexed="81"/>
            <rFont val="Segoe UI"/>
            <family val="2"/>
          </rPr>
          <t xml:space="preserve">
05 - descrição
</t>
        </r>
        <r>
          <rPr>
            <b/>
            <sz val="9"/>
            <color indexed="81"/>
            <rFont val="Segoe UI"/>
            <family val="2"/>
          </rPr>
          <t>* Tipo Unidade</t>
        </r>
        <r>
          <rPr>
            <sz val="9"/>
            <color indexed="81"/>
            <rFont val="Segoe UI"/>
            <family val="2"/>
          </rPr>
          <t xml:space="preserve">
06 - descrição
07 - comando
08 - mensagem</t>
        </r>
      </text>
    </comment>
    <comment ref="E250" authorId="1" shapeId="0" xr:uid="{00000000-0006-0000-0100-000084010000}">
      <text>
        <r>
          <rPr>
            <sz val="9"/>
            <color indexed="81"/>
            <rFont val="Segoe UI"/>
            <family val="2"/>
          </rPr>
          <t>01 - Vìnculo Tipo de Unidade e CC
02 - Conta Contábil
03 - Tipo Unidade</t>
        </r>
      </text>
    </comment>
    <comment ref="D253" authorId="1" shapeId="0" xr:uid="{00000000-0006-0000-0100-000085010000}">
      <text>
        <r>
          <rPr>
            <b/>
            <sz val="9"/>
            <color indexed="81"/>
            <rFont val="Segoe UI"/>
            <family val="2"/>
          </rPr>
          <t xml:space="preserve">* Depreciação
</t>
        </r>
        <r>
          <rPr>
            <sz val="9"/>
            <color indexed="81"/>
            <rFont val="Segoe UI"/>
            <family val="2"/>
          </rPr>
          <t xml:space="preserve">01 - código
02 - valor contábil
03 - valor depreciável
04 - valor residual
05 - cota depreciação mensal
06 - % depreciação mensal
07 - % depreciação anual
08 - vida útil remanescente
09 - data base depreciação
10 - última depreciação
11 - conta contábil depreciação
12 - código conta contábil
13 - depreciação acumulada
14 - valor contabil liquido
</t>
        </r>
        <r>
          <rPr>
            <b/>
            <sz val="9"/>
            <color indexed="81"/>
            <rFont val="Segoe UI"/>
            <family val="2"/>
          </rPr>
          <t>* Histórico Depreciação</t>
        </r>
        <r>
          <rPr>
            <sz val="9"/>
            <color indexed="81"/>
            <rFont val="Segoe UI"/>
            <family val="2"/>
          </rPr>
          <t xml:space="preserve">
15 - código
16 - data depreciação
17 - cota
18 - depreciação acumulada
19 - valor contabil liquido</t>
        </r>
      </text>
    </comment>
    <comment ref="E253" authorId="1" shapeId="0" xr:uid="{00000000-0006-0000-0100-000086010000}">
      <text>
        <r>
          <rPr>
            <sz val="9"/>
            <color indexed="81"/>
            <rFont val="Segoe UI"/>
            <family val="2"/>
          </rPr>
          <t>01 - Depreciação
02 - Histórico Depreciação</t>
        </r>
      </text>
    </comment>
    <comment ref="D254" authorId="1" shapeId="0" xr:uid="{00000000-0006-0000-0100-000087010000}">
      <text>
        <r>
          <rPr>
            <b/>
            <sz val="9"/>
            <color indexed="81"/>
            <rFont val="Segoe UI"/>
            <family val="2"/>
          </rPr>
          <t xml:space="preserve">* Histórico
</t>
        </r>
        <r>
          <rPr>
            <sz val="9"/>
            <color indexed="81"/>
            <rFont val="Segoe UI"/>
            <family val="2"/>
          </rPr>
          <t xml:space="preserve">01 - código
02 - data de referência
03 - data de cadastro
04 - origem
05 - usuário
06 - assunto
07 - local
08 - descrição
09 - usuário cadastro
10 - data cadastro
11 - comando
12 - mensagem
</t>
        </r>
      </text>
    </comment>
    <comment ref="E254" authorId="1" shapeId="0" xr:uid="{00000000-0006-0000-0100-000088010000}">
      <text>
        <r>
          <rPr>
            <sz val="9"/>
            <color indexed="81"/>
            <rFont val="Segoe UI"/>
            <family val="2"/>
          </rPr>
          <t>01 - Depreciação
02 - Imóvel</t>
        </r>
      </text>
    </comment>
    <comment ref="D255" authorId="1" shapeId="0" xr:uid="{00000000-0006-0000-0100-000089010000}">
      <text>
        <r>
          <rPr>
            <b/>
            <sz val="9"/>
            <color indexed="81"/>
            <rFont val="Segoe UI"/>
            <family val="2"/>
          </rPr>
          <t xml:space="preserve">* Histórico Depreciação
</t>
        </r>
        <r>
          <rPr>
            <sz val="9"/>
            <color indexed="81"/>
            <rFont val="Segoe UI"/>
            <family val="2"/>
          </rPr>
          <t>01 - código
02 - data depreciação
03 - cota
04 - depreciação acumulada
05 - valor contabil liquido
06 - comando
07 - mensagem</t>
        </r>
      </text>
    </comment>
    <comment ref="E255" authorId="1" shapeId="0" xr:uid="{00000000-0006-0000-0100-00008A010000}">
      <text>
        <r>
          <rPr>
            <sz val="9"/>
            <color indexed="81"/>
            <rFont val="Segoe UI"/>
            <family val="2"/>
          </rPr>
          <t>01 - Depreciação
02 - Imóvel</t>
        </r>
      </text>
    </comment>
    <comment ref="D256" authorId="1" shapeId="0" xr:uid="{00000000-0006-0000-0100-00008B010000}">
      <text>
        <r>
          <rPr>
            <b/>
            <sz val="9"/>
            <color indexed="81"/>
            <rFont val="Segoe UI"/>
            <family val="2"/>
          </rPr>
          <t xml:space="preserve">* Histórico Depreciação
</t>
        </r>
        <r>
          <rPr>
            <sz val="9"/>
            <color indexed="81"/>
            <rFont val="Segoe UI"/>
            <family val="2"/>
          </rPr>
          <t>01 - código
02 - data depreciação
03 - cota
04 - depreciação acumulada
05 - valor contabil liquido</t>
        </r>
        <r>
          <rPr>
            <b/>
            <sz val="9"/>
            <color indexed="81"/>
            <rFont val="Segoe UI"/>
            <family val="2"/>
          </rPr>
          <t xml:space="preserve">
* Depreciação
</t>
        </r>
        <r>
          <rPr>
            <sz val="9"/>
            <color indexed="81"/>
            <rFont val="Segoe UI"/>
            <family val="2"/>
          </rPr>
          <t xml:space="preserve">06 - código
07 - valor contábil
08 - valor depreciável
09 - valor residual
10 - cota depreciação mensal
11 - % depreciação mensal
12 - % depreciação anual
13 - vida útil remanescente
14 - data base depreciação
15 - última depreciação
16 - conta contábil depreciação
17 - código conta contábil
18 - depreciação acumulada
19 - valor contabil liquido
20 - Logo
21 - Título Relatorio
21 - comando
22 - mensagem
</t>
        </r>
      </text>
    </comment>
    <comment ref="E256" authorId="1" shapeId="0" xr:uid="{00000000-0006-0000-0100-00008C010000}">
      <text>
        <r>
          <rPr>
            <sz val="9"/>
            <color indexed="81"/>
            <rFont val="Segoe UI"/>
            <family val="2"/>
          </rPr>
          <t xml:space="preserve">01 - Depreciação
02 - Imóvel
</t>
        </r>
      </text>
    </comment>
    <comment ref="D259" authorId="3" shapeId="0" xr:uid="{00000000-0006-0000-0100-00008D010000}">
      <text>
        <r>
          <rPr>
            <sz val="9"/>
            <color indexed="81"/>
            <rFont val="Segoe UI"/>
            <family val="2"/>
          </rPr>
          <t>01 - Código
02 - Orgão
03 - Unidade
04 - Parametro
05 - Exercício
06 - Data inicio
07 - Data termino
08 - Resp Legal
09 - Resp Setorial
10 - Oficio
11 - OBS
12 - Motivo Cancelamento
13 - Setor
14 - Data de Cadastro
15 - Objeto
16 - Entidade / UA
* Finalização Inventário
17 - Objetivo
18 - Metodologia do Trabalho
19 - Observação Imóveis em Utilização Próprios
20 - Observação Imóveis em Utilização por Terceiros
21 - Observação Obras em Andamento
22 - Motivo Pendências Imóveis Locados
23 - Motivo Pendências Imóveis não Inventariados
24 - Razão Social</t>
        </r>
      </text>
    </comment>
    <comment ref="E259" authorId="3" shapeId="0" xr:uid="{00000000-0006-0000-0100-00008E010000}">
      <text>
        <r>
          <rPr>
            <sz val="9"/>
            <color indexed="81"/>
            <rFont val="Segoe UI"/>
            <family val="2"/>
          </rPr>
          <t>01 - Demanda de Inventario</t>
        </r>
      </text>
    </comment>
    <comment ref="D260" authorId="3" shapeId="0" xr:uid="{33B1F23C-27C7-4864-9A53-4889C42CCAD8}">
      <text>
        <r>
          <rPr>
            <sz val="9"/>
            <color indexed="81"/>
            <rFont val="Segoe UI"/>
            <family val="2"/>
          </rPr>
          <t>1  - Resp Patrimonial
2  - Razão Social
3  - Parametro
4  - Exercício
5  - Data inicio
6  - Data termino
7  - Objeto
8  - Resp Legal
9  - Resp Setorial
10 - Oficio
11 - OBS
12 - Comando
13 - Mensagem</t>
        </r>
      </text>
    </comment>
    <comment ref="E260" authorId="3" shapeId="0" xr:uid="{78C7ECE3-D9EF-46C3-AC5F-469523A91982}">
      <text>
        <r>
          <rPr>
            <sz val="9"/>
            <color indexed="81"/>
            <rFont val="Segoe UI"/>
            <family val="2"/>
          </rPr>
          <t>01 - Entidade
02 - Servidor
03 - Demanda de inventario
04 - Unidade</t>
        </r>
      </text>
    </comment>
    <comment ref="D261" authorId="3" shapeId="0" xr:uid="{00000000-0006-0000-0100-000091010000}">
      <text>
        <r>
          <rPr>
            <sz val="9"/>
            <color indexed="81"/>
            <rFont val="Segoe UI"/>
            <family val="2"/>
          </rPr>
          <t>01 - Código
02 - Parametro
03 - Tipo de Patrimônio
04 - Comando</t>
        </r>
      </text>
    </comment>
    <comment ref="E261" authorId="3" shapeId="0" xr:uid="{00000000-0006-0000-0100-000092010000}">
      <text>
        <r>
          <rPr>
            <sz val="9"/>
            <color indexed="81"/>
            <rFont val="Segoe UI"/>
            <family val="2"/>
          </rPr>
          <t>01 - Parametro de Inventario</t>
        </r>
      </text>
    </comment>
    <comment ref="D262" authorId="3" shapeId="0" xr:uid="{00000000-0006-0000-0100-000093010000}">
      <text>
        <r>
          <rPr>
            <sz val="9"/>
            <color indexed="81"/>
            <rFont val="Segoe UI"/>
            <family val="2"/>
          </rPr>
          <t>01 - Matricula
02 - Nome
03 - Comando
04 - Mensagem</t>
        </r>
      </text>
    </comment>
    <comment ref="E262" authorId="3" shapeId="0" xr:uid="{00000000-0006-0000-0100-000094010000}">
      <text>
        <r>
          <rPr>
            <sz val="9"/>
            <color indexed="81"/>
            <rFont val="Segoe UI"/>
            <family val="2"/>
          </rPr>
          <t>01 - Demanda de Inventario</t>
        </r>
      </text>
    </comment>
    <comment ref="D263" authorId="3" shapeId="0" xr:uid="{4612182D-811F-40FA-A375-80F56B403F08}">
      <text>
        <r>
          <rPr>
            <sz val="9"/>
            <color indexed="81"/>
            <rFont val="Segoe UI"/>
            <family val="2"/>
          </rPr>
          <t>1  - Resp Patrimonial
2  - Razão Social
3  - Parametro
4  - Exercício
5  - Data inicio
6  - Data termino
7  - Objeto
8  - Resp Legal
9  - Resp Setorial
10 - Oficio
11 - OBS
12 - Comando
13 - Mensagem</t>
        </r>
      </text>
    </comment>
    <comment ref="E263" authorId="3" shapeId="0" xr:uid="{3F658612-3A4E-47E8-BF0C-7BFE2DA8678E}">
      <text>
        <r>
          <rPr>
            <sz val="9"/>
            <color indexed="81"/>
            <rFont val="Segoe UI"/>
            <family val="2"/>
          </rPr>
          <t>01 - Entidade
02 - Servidor
03 - Demanda de inventario
04 - Unidade</t>
        </r>
      </text>
    </comment>
    <comment ref="D264" authorId="3" shapeId="0" xr:uid="{7997B7A8-699A-4125-8EE1-F9BDE5CE6C1C}">
      <text>
        <r>
          <rPr>
            <sz val="9"/>
            <color indexed="81"/>
            <rFont val="Segoe UI"/>
            <family val="2"/>
          </rPr>
          <t>1  - Resp Patrimonial
2  - Razão Social
3  - Parametro
4  - Exercício
5  - Data inicio
6  - Data termino
7  - Objeto
8  - Resp Legal
9  - Resp Setorial
10 - Oficio
11 - OBS</t>
        </r>
      </text>
    </comment>
    <comment ref="E264" authorId="3" shapeId="0" xr:uid="{69BA8F44-BF4E-43DE-B42F-5829EBD92C4E}">
      <text>
        <r>
          <rPr>
            <sz val="9"/>
            <color indexed="81"/>
            <rFont val="Segoe UI"/>
            <family val="2"/>
          </rPr>
          <t>01 - Entidade
02 - Servidor
03 - Demanda de inventario
04 - Unidade</t>
        </r>
      </text>
    </comment>
    <comment ref="D265" authorId="3" shapeId="0" xr:uid="{00000000-0006-0000-0100-000099010000}">
      <text>
        <r>
          <rPr>
            <sz val="9"/>
            <color indexed="81"/>
            <rFont val="Segoe UI"/>
            <family val="2"/>
          </rPr>
          <t>01 - Código
02 - Setor
03 - Comando
04 - Mensagem</t>
        </r>
      </text>
    </comment>
    <comment ref="E265" authorId="3" shapeId="0" xr:uid="{00000000-0006-0000-0100-00009A010000}">
      <text>
        <r>
          <rPr>
            <sz val="9"/>
            <color indexed="81"/>
            <rFont val="Segoe UI"/>
            <family val="2"/>
          </rPr>
          <t>01 - Setor
02 - Demanda de inventário</t>
        </r>
      </text>
    </comment>
    <comment ref="D266" authorId="3" shapeId="0" xr:uid="{00000000-0006-0000-0100-00009B010000}">
      <text>
        <r>
          <rPr>
            <sz val="9"/>
            <color indexed="81"/>
            <rFont val="Segoe UI"/>
            <family val="2"/>
          </rPr>
          <t>01 - código
02 - Setor</t>
        </r>
      </text>
    </comment>
    <comment ref="E266" authorId="3" shapeId="0" xr:uid="{00000000-0006-0000-0100-00009C010000}">
      <text>
        <r>
          <rPr>
            <sz val="9"/>
            <color indexed="81"/>
            <rFont val="Segoe UI"/>
            <family val="2"/>
          </rPr>
          <t>01 - Setor
02 - Demanda de inventário</t>
        </r>
      </text>
    </comment>
    <comment ref="D267" authorId="3" shapeId="0" xr:uid="{00000000-0006-0000-0100-00009D010000}">
      <text>
        <r>
          <rPr>
            <sz val="9"/>
            <color indexed="81"/>
            <rFont val="Segoe UI"/>
            <family val="2"/>
          </rPr>
          <t>01 - Código
02 - Setor
03 - Comando
04 - Mensagem</t>
        </r>
      </text>
    </comment>
    <comment ref="E267" authorId="3" shapeId="0" xr:uid="{00000000-0006-0000-0100-00009E010000}">
      <text>
        <r>
          <rPr>
            <sz val="9"/>
            <color indexed="81"/>
            <rFont val="Segoe UI"/>
            <family val="2"/>
          </rPr>
          <t>01 - Setor
02 - Demanda de inventário</t>
        </r>
      </text>
    </comment>
    <comment ref="D268" authorId="3" shapeId="0" xr:uid="{00000000-0006-0000-0100-00009F010000}">
      <text>
        <r>
          <rPr>
            <sz val="9"/>
            <color indexed="81"/>
            <rFont val="Segoe UI"/>
            <family val="2"/>
          </rPr>
          <t>01 - código
02 - Setor</t>
        </r>
      </text>
    </comment>
    <comment ref="E268" authorId="3" shapeId="0" xr:uid="{00000000-0006-0000-0100-0000A0010000}">
      <text>
        <r>
          <rPr>
            <sz val="9"/>
            <color indexed="81"/>
            <rFont val="Segoe UI"/>
            <family val="2"/>
          </rPr>
          <t>01 - Setor
02 - Demanda de inventário</t>
        </r>
      </text>
    </comment>
    <comment ref="D269" authorId="3" shapeId="0" xr:uid="{B3B099F2-C315-43FF-B4A7-064B37828F72}">
      <text>
        <r>
          <rPr>
            <sz val="9"/>
            <color indexed="81"/>
            <rFont val="Segoe UI"/>
            <family val="2"/>
          </rPr>
          <t>1  - Responsável 
2  - Razão Social
3  - Exercício
4  - Tipo inventario
5  - Situacao
6  - Objeto
7  - Data de Cadastro ini 
8  - Data de Cadastro Fim 
9  - Resp Setorial
10 - Resp Legal 
11 - Resp Cadastro 
12 - Comando
13 - Mensagem</t>
        </r>
      </text>
    </comment>
    <comment ref="E269" authorId="3" shapeId="0" xr:uid="{8DDBD729-BB77-4B77-B1B6-526A1A786D2C}">
      <text>
        <r>
          <rPr>
            <sz val="9"/>
            <color indexed="81"/>
            <rFont val="Segoe UI"/>
            <family val="2"/>
          </rPr>
          <t>01 - Entidade
02 - Servidor
03 - Demanda de inventario</t>
        </r>
      </text>
    </comment>
    <comment ref="D270" authorId="3" shapeId="0" xr:uid="{00000000-0006-0000-0100-0000A3010000}">
      <text>
        <r>
          <rPr>
            <sz val="9"/>
            <color indexed="81"/>
            <rFont val="Segoe UI"/>
            <family val="2"/>
          </rPr>
          <t>01 - Código
02 - Orgão
03 - Exercício
04 - Tipo inventario
05 - Situacao
06 - Resp Setorial
07 - Resp Cadastro
08 - Data de Cadastro
09 - Objeto
10 - Entidade / UA
11 - Razão Social
12 - Comando
13 - Mensagem</t>
        </r>
      </text>
    </comment>
    <comment ref="E270" authorId="3" shapeId="0" xr:uid="{00000000-0006-0000-0100-0000A4010000}">
      <text>
        <r>
          <rPr>
            <sz val="9"/>
            <color indexed="81"/>
            <rFont val="Segoe UI"/>
            <family val="2"/>
          </rPr>
          <t>01 - Entidade
02 - Servidor
03 - Demanda de inventario</t>
        </r>
      </text>
    </comment>
    <comment ref="D271" authorId="3" shapeId="0" xr:uid="{00000000-0006-0000-0100-0000A5010000}">
      <text>
        <r>
          <rPr>
            <sz val="9"/>
            <color indexed="81"/>
            <rFont val="Segoe UI"/>
            <family val="2"/>
          </rPr>
          <t>1  - Resp Patrimonial
2  - Razão Social
3  - Parametro
4  - Exercício
5  - Data inicio
6  - Data termino
7  - Objeto
8  - Resp Legal
9  - Resp Setorial
10 - Oficio
11 - OBS
12 - Comando
13 - Mensagem</t>
        </r>
      </text>
    </comment>
    <comment ref="E271" authorId="3" shapeId="0" xr:uid="{00000000-0006-0000-0100-0000A6010000}">
      <text>
        <r>
          <rPr>
            <sz val="9"/>
            <color indexed="81"/>
            <rFont val="Segoe UI"/>
            <family val="2"/>
          </rPr>
          <t>01 - Entidade
02 - Servidor
03 - Demanda de inventario
04 - Unidade</t>
        </r>
      </text>
    </comment>
    <comment ref="D272" authorId="3" shapeId="0" xr:uid="{00000000-0006-0000-0100-0000A7010000}">
      <text>
        <r>
          <rPr>
            <sz val="9"/>
            <color indexed="81"/>
            <rFont val="Segoe UI"/>
            <family val="2"/>
          </rPr>
          <t>01 - Código
02 - Setor
03 - Comando
04 - Mensagem</t>
        </r>
      </text>
    </comment>
    <comment ref="E272" authorId="3" shapeId="0" xr:uid="{00000000-0006-0000-0100-0000A8010000}">
      <text>
        <r>
          <rPr>
            <sz val="9"/>
            <color indexed="81"/>
            <rFont val="Segoe UI"/>
            <family val="2"/>
          </rPr>
          <t>01 - Setor
02 - Demanda de inventário</t>
        </r>
      </text>
    </comment>
    <comment ref="D273" authorId="3" shapeId="0" xr:uid="{00000000-0006-0000-0100-0000A9010000}">
      <text>
        <r>
          <rPr>
            <sz val="9"/>
            <color indexed="81"/>
            <rFont val="Segoe UI"/>
            <family val="2"/>
          </rPr>
          <t>01 - código demanda
02 - comando
03 - mensagem</t>
        </r>
      </text>
    </comment>
    <comment ref="E273" authorId="3" shapeId="0" xr:uid="{00000000-0006-0000-0100-0000AA010000}">
      <text>
        <r>
          <rPr>
            <sz val="9"/>
            <color indexed="81"/>
            <rFont val="Segoe UI"/>
            <family val="2"/>
          </rPr>
          <t>01 - Demanda de Inventario</t>
        </r>
      </text>
    </comment>
    <comment ref="D274" authorId="3" shapeId="0" xr:uid="{00000000-0006-0000-0100-0000AB010000}">
      <text>
        <r>
          <rPr>
            <sz val="9"/>
            <color indexed="81"/>
            <rFont val="Segoe UI"/>
            <family val="2"/>
          </rPr>
          <t>01 - código demanda
02 - motivo
03 - imóvel
04 - flag inventariando
05 - comando
06 - mensagem</t>
        </r>
      </text>
    </comment>
    <comment ref="E274" authorId="3" shapeId="0" xr:uid="{00000000-0006-0000-0100-0000AC010000}">
      <text>
        <r>
          <rPr>
            <sz val="9"/>
            <color indexed="81"/>
            <rFont val="Segoe UI"/>
            <family val="2"/>
          </rPr>
          <t>01 - Demanda de Inventario]
02 - Imóvel</t>
        </r>
      </text>
    </comment>
    <comment ref="D277" authorId="3" shapeId="0" xr:uid="{00000000-0006-0000-0100-0000AD010000}">
      <text>
        <r>
          <rPr>
            <sz val="9"/>
            <color indexed="81"/>
            <rFont val="Segoe UI"/>
            <family val="2"/>
          </rPr>
          <t>01 - Código
02 - Nome
03 - Matricula
04 - CPF
05 - Portaria
06 - Data portaria
07 - Resp Inclusão
08 - Tipo
09 - Situação Assinatura
10 - Data Assinatura</t>
        </r>
      </text>
    </comment>
    <comment ref="E277" authorId="3" shapeId="0" xr:uid="{00000000-0006-0000-0100-0000AE010000}">
      <text>
        <r>
          <rPr>
            <sz val="9"/>
            <color indexed="81"/>
            <rFont val="Segoe UI"/>
            <family val="2"/>
          </rPr>
          <t>01 - Comissão do Inventário</t>
        </r>
      </text>
    </comment>
    <comment ref="D278" authorId="3" shapeId="0" xr:uid="{00000000-0006-0000-0100-0000AF010000}">
      <text>
        <r>
          <rPr>
            <sz val="9"/>
            <color indexed="81"/>
            <rFont val="Segoe UI"/>
            <family val="2"/>
          </rPr>
          <t xml:space="preserve">01 - Código
02 - Portaria
03 - Data portaria
04 - Documento
05 - Servidor
06 - Tipo
07 - Comando
08 - Mensagem
</t>
        </r>
      </text>
    </comment>
    <comment ref="E278" authorId="3" shapeId="0" xr:uid="{00000000-0006-0000-0100-0000B0010000}">
      <text>
        <r>
          <rPr>
            <sz val="9"/>
            <color indexed="81"/>
            <rFont val="Segoe UI"/>
            <family val="2"/>
          </rPr>
          <t>01 - Comissão do Inventário
02 - Servidor
03 - Demanda de Inventario</t>
        </r>
      </text>
    </comment>
    <comment ref="D279" authorId="3" shapeId="0" xr:uid="{00000000-0006-0000-0100-0000B1010000}">
      <text>
        <r>
          <rPr>
            <sz val="9"/>
            <color indexed="81"/>
            <rFont val="Segoe UI"/>
            <family val="2"/>
          </rPr>
          <t>01 - Código
02 - Situacao
03 - Justificativa
04 - Tipo
05 - Comando
06 - Mensagem</t>
        </r>
      </text>
    </comment>
    <comment ref="E279" authorId="3" shapeId="0" xr:uid="{00000000-0006-0000-0100-0000B2010000}">
      <text>
        <r>
          <rPr>
            <sz val="9"/>
            <color indexed="81"/>
            <rFont val="Segoe UI"/>
            <family val="2"/>
          </rPr>
          <t>01 - Comissão do Inventário
02 - Servidor
03 - Demanda de Inventario</t>
        </r>
      </text>
    </comment>
    <comment ref="D280" authorId="3" shapeId="0" xr:uid="{00000000-0006-0000-0100-0000B3010000}">
      <text>
        <r>
          <rPr>
            <sz val="9"/>
            <color indexed="81"/>
            <rFont val="Segoe UI"/>
            <family val="2"/>
          </rPr>
          <t xml:space="preserve">01 - Código
02 - Portaria
03 - Data portaria
04 - Documento
05 - Servidor nome
06 - Servidor Matricula
07 - CPF
08 - Data inclusão
09 - Resp Inclusão
10 - Tipo
</t>
        </r>
      </text>
    </comment>
    <comment ref="E280" authorId="3" shapeId="0" xr:uid="{00000000-0006-0000-0100-0000B4010000}">
      <text>
        <r>
          <rPr>
            <sz val="9"/>
            <color indexed="81"/>
            <rFont val="Segoe UI"/>
            <family val="2"/>
          </rPr>
          <t>01 - Comissão do Inventário
02 - Servidor
03 - Usuário</t>
        </r>
      </text>
    </comment>
    <comment ref="D281" authorId="3" shapeId="0" xr:uid="{00000000-0006-0000-0100-0000B5010000}">
      <text>
        <r>
          <rPr>
            <sz val="9"/>
            <color indexed="81"/>
            <rFont val="Segoe UI"/>
            <family val="2"/>
          </rPr>
          <t>01 - Código
02 - Portaria
03 - Data portaria
04 - Documento
05 - Servidor nome
06 - Servidor Matricula
07 - CPF
08 - Data inclusão
09 - Resp Inclusão
10 - Tipo
11 - Comando
12 - Mensagem</t>
        </r>
      </text>
    </comment>
    <comment ref="E281" authorId="3" shapeId="0" xr:uid="{00000000-0006-0000-0100-0000B6010000}">
      <text>
        <r>
          <rPr>
            <sz val="9"/>
            <color indexed="81"/>
            <rFont val="Segoe UI"/>
            <family val="2"/>
          </rPr>
          <t>01 - Comissão do Inventário
02 - Servidor
03 - Usuário</t>
        </r>
      </text>
    </comment>
    <comment ref="D282" authorId="3" shapeId="0" xr:uid="{00000000-0006-0000-0100-0000B7010000}">
      <text>
        <r>
          <rPr>
            <sz val="9"/>
            <color indexed="81"/>
            <rFont val="Segoe UI"/>
            <family val="2"/>
          </rPr>
          <t>01 - Código
02 - Nome
03 - Matricula
04 - CPF
05 - Portaria
06 - Data portaria
07 - Resp Inclusão
08 - Tipo
09 - Comando
10 - Mensagem</t>
        </r>
      </text>
    </comment>
    <comment ref="E282" authorId="3" shapeId="0" xr:uid="{00000000-0006-0000-0100-0000B8010000}">
      <text>
        <r>
          <rPr>
            <sz val="9"/>
            <color indexed="81"/>
            <rFont val="Segoe UI"/>
            <family val="2"/>
          </rPr>
          <t>01 - Comissão do Inventário
02 - Servidor</t>
        </r>
      </text>
    </comment>
    <comment ref="D283" authorId="3" shapeId="0" xr:uid="{00000000-0006-0000-0100-0000B9010000}">
      <text>
        <r>
          <rPr>
            <sz val="9"/>
            <color indexed="81"/>
            <rFont val="Segoe UI"/>
            <family val="2"/>
          </rPr>
          <t>01 - Codigo
02 - Comando
03 - Mensagem</t>
        </r>
      </text>
    </comment>
    <comment ref="E283" authorId="3" shapeId="0" xr:uid="{00000000-0006-0000-0100-0000BA010000}">
      <text>
        <r>
          <rPr>
            <sz val="9"/>
            <color indexed="81"/>
            <rFont val="Segoe UI"/>
            <family val="2"/>
          </rPr>
          <t>01 - Comissão do Inventário</t>
        </r>
      </text>
    </comment>
    <comment ref="D284" authorId="3" shapeId="0" xr:uid="{00000000-0006-0000-0100-0000BB010000}">
      <text>
        <r>
          <rPr>
            <sz val="9"/>
            <color indexed="81"/>
            <rFont val="Segoe UI"/>
            <family val="2"/>
          </rPr>
          <t>01 - Código
02 - Documento
03 - Comando
04 - Mensagem</t>
        </r>
      </text>
    </comment>
    <comment ref="E284" authorId="3" shapeId="0" xr:uid="{00000000-0006-0000-0100-0000BC010000}">
      <text>
        <r>
          <rPr>
            <sz val="9"/>
            <color indexed="81"/>
            <rFont val="Segoe UI"/>
            <family val="2"/>
          </rPr>
          <t>01 - Comissão do Inventário</t>
        </r>
      </text>
    </comment>
    <comment ref="D285" authorId="3" shapeId="0" xr:uid="{00000000-0006-0000-0100-0000BD010000}">
      <text>
        <r>
          <rPr>
            <sz val="9"/>
            <color indexed="81"/>
            <rFont val="Segoe UI"/>
            <family val="2"/>
          </rPr>
          <t>01 - Código
02 - Nome
03 - Matricula
04 - CPF
05 - Portaria
06 - Data portaria
07 - Resp Inclusão
08 - Data Cadastro
09 - Data alteração
10 - Usuario Alteração
11 - Tipo
12 - Comando
13 - Mensagem</t>
        </r>
      </text>
    </comment>
    <comment ref="E285" authorId="3" shapeId="0" xr:uid="{00000000-0006-0000-0100-0000BE010000}">
      <text>
        <r>
          <rPr>
            <sz val="9"/>
            <color indexed="81"/>
            <rFont val="Segoe UI"/>
            <family val="2"/>
          </rPr>
          <t>01 - Comissão do Inventário
02 - Servidor
03 - Usuário</t>
        </r>
      </text>
    </comment>
    <comment ref="D288" authorId="3" shapeId="0" xr:uid="{00000000-0006-0000-0100-0000BF010000}">
      <text>
        <r>
          <rPr>
            <sz val="9"/>
            <color indexed="81"/>
            <rFont val="Segoe UI"/>
            <family val="2"/>
          </rPr>
          <t>01- Código
02 - Descrição
03 - Anexo
04 - Comando
05 - Mensagem</t>
        </r>
      </text>
    </comment>
    <comment ref="E288" authorId="3" shapeId="0" xr:uid="{00000000-0006-0000-0100-0000C0010000}">
      <text>
        <r>
          <rPr>
            <sz val="9"/>
            <color indexed="81"/>
            <rFont val="Segoe UI"/>
            <family val="2"/>
          </rPr>
          <t xml:space="preserve">01 - Inventário
</t>
        </r>
      </text>
    </comment>
    <comment ref="D289" authorId="3" shapeId="0" xr:uid="{00000000-0006-0000-0100-0000C1010000}">
      <text>
        <r>
          <rPr>
            <sz val="9"/>
            <color indexed="81"/>
            <rFont val="Segoe UI"/>
            <family val="2"/>
          </rPr>
          <t>01- Código
02 - Descrição
03 - Anexo
04 - Comando
05 - Mensagem</t>
        </r>
      </text>
    </comment>
    <comment ref="E289" authorId="3" shapeId="0" xr:uid="{00000000-0006-0000-0100-0000C2010000}">
      <text>
        <r>
          <rPr>
            <sz val="9"/>
            <color indexed="81"/>
            <rFont val="Segoe UI"/>
            <family val="2"/>
          </rPr>
          <t xml:space="preserve">01 - Inventário
</t>
        </r>
      </text>
    </comment>
    <comment ref="D290" authorId="3" shapeId="0" xr:uid="{00000000-0006-0000-0100-0000C3010000}">
      <text>
        <r>
          <rPr>
            <sz val="9"/>
            <color indexed="81"/>
            <rFont val="Segoe UI"/>
            <family val="2"/>
          </rPr>
          <t xml:space="preserve">01 - Código
02 - Descrição
03 - Anexo
</t>
        </r>
      </text>
    </comment>
    <comment ref="E290" authorId="3" shapeId="0" xr:uid="{00000000-0006-0000-0100-0000C4010000}">
      <text>
        <r>
          <rPr>
            <sz val="9"/>
            <color indexed="81"/>
            <rFont val="Segoe UI"/>
            <family val="2"/>
          </rPr>
          <t xml:space="preserve">01 - Inventário
</t>
        </r>
      </text>
    </comment>
    <comment ref="D291" authorId="3" shapeId="0" xr:uid="{00000000-0006-0000-0100-0000C5010000}">
      <text>
        <r>
          <rPr>
            <sz val="9"/>
            <color indexed="81"/>
            <rFont val="Segoe UI"/>
            <family val="2"/>
          </rPr>
          <t>01 - Código
02 - Descrição
03 - Nome arquivo
04 - Data Cadastro
05 - Usuario
06 - Comando
07 - Mensagem</t>
        </r>
      </text>
    </comment>
    <comment ref="E291" authorId="3" shapeId="0" xr:uid="{00000000-0006-0000-0100-0000C6010000}">
      <text>
        <r>
          <rPr>
            <sz val="9"/>
            <color indexed="81"/>
            <rFont val="Segoe UI"/>
            <family val="2"/>
          </rPr>
          <t>01 - Inventário
02 - Usuário</t>
        </r>
      </text>
    </comment>
    <comment ref="D292" authorId="3" shapeId="0" xr:uid="{00000000-0006-0000-0100-0000C7010000}">
      <text>
        <r>
          <rPr>
            <sz val="9"/>
            <color indexed="81"/>
            <rFont val="Segoe UI"/>
            <family val="2"/>
          </rPr>
          <t>01 - Código
02 - Descrição
03 - Anexo
04 - Comando
05 - Mensagem</t>
        </r>
      </text>
    </comment>
    <comment ref="E292" authorId="3" shapeId="0" xr:uid="{00000000-0006-0000-0100-0000C8010000}">
      <text>
        <r>
          <rPr>
            <sz val="9"/>
            <color indexed="81"/>
            <rFont val="Segoe UI"/>
            <family val="2"/>
          </rPr>
          <t xml:space="preserve">01 - Inventário
</t>
        </r>
      </text>
    </comment>
    <comment ref="D293" authorId="3" shapeId="0" xr:uid="{00000000-0006-0000-0100-0000C9010000}">
      <text>
        <r>
          <rPr>
            <sz val="9"/>
            <color indexed="81"/>
            <rFont val="Segoe UI"/>
            <family val="2"/>
          </rPr>
          <t>01 - codigo
02 - Comando
03 - Mensagem</t>
        </r>
      </text>
    </comment>
    <comment ref="E293" authorId="3" shapeId="0" xr:uid="{00000000-0006-0000-0100-0000CA010000}">
      <text>
        <r>
          <rPr>
            <sz val="9"/>
            <color indexed="81"/>
            <rFont val="Segoe UI"/>
            <family val="2"/>
          </rPr>
          <t xml:space="preserve">01 - Inventário
</t>
        </r>
      </text>
    </comment>
    <comment ref="D294" authorId="3" shapeId="0" xr:uid="{00000000-0006-0000-0100-0000CB010000}">
      <text>
        <r>
          <rPr>
            <sz val="9"/>
            <color indexed="81"/>
            <rFont val="Segoe UI"/>
            <family val="2"/>
          </rPr>
          <t>01 - Código
02 - Documento
03 - Comando
04 - Mensagem</t>
        </r>
      </text>
    </comment>
    <comment ref="E294" authorId="3" shapeId="0" xr:uid="{00000000-0006-0000-0100-0000CC010000}">
      <text>
        <r>
          <rPr>
            <sz val="9"/>
            <color indexed="81"/>
            <rFont val="Segoe UI"/>
            <family val="2"/>
          </rPr>
          <t xml:space="preserve">01 - Inventário
</t>
        </r>
      </text>
    </comment>
    <comment ref="D295" authorId="3" shapeId="0" xr:uid="{00000000-0006-0000-0100-0000CD010000}">
      <text>
        <r>
          <rPr>
            <sz val="9"/>
            <color indexed="81"/>
            <rFont val="Segoe UI"/>
            <family val="2"/>
          </rPr>
          <t>Dados do Imóvel
01 - Código
02 - Municipio 
03 - Matricula 
04 - Nome do imovel 
05 - RIP 
06 - situacao 
07 - Qtd de pavimentos 
08 - Tipo de imovel
09 - Forma de aquisição
10 - Edificado
11 - Estado de conservação
12 - Serviços urbanos
13 - Area total construida
14 - Unidade Medida
15 - Area total terreno 
16 - descrição
17 - Imagem
18 - Arquivo
Localização
19 - Código
20 - Pais
21 - UF
22 - CEP
23 - Logradouro
24 - Numero
25 - Bairro
26 - distrito
27 - Zoneamento
28 - Latitude
29 - Longitude
Matrícula / Registro
30 - Número Matricula
31 - Livro
32 - Folha
33 - Descrição
34 - Área Construida
35 - Área total do terro
36 - Cartorio
37 - CNPJ
38 - Municipio
39 - Anexo
40 - Descrição (vínculo)
41 - Matricula (vínculo)
42 - Municipio (vínculo)
43 - Área total do terreno (vínculo)
44 - Valor total (vínculo)
45 - Quantidade de vinculos (vínculo)
Proprietário/Responsável/Ocupante
46 - Titularidade
47 - CNPJ
48 - Responsável Patrimonial
49 - Entidade / UA
50 - Sigla
51 - CNPJ
52 - Entidade / UA (ocupante)
53 - Ocupante (ocupante)
54 - Ocupação (ocupante)
54 - Outorga (ocupante)
56 - Inicio Vigencia (ocupante)
57 - Fim Vigência (ocupante)
58 - Documento (ocupante)
Obras
59 - Código
60 - Numero RIP
61 - Existe obra em andamento
62 - Tipo da obra
63 - Conta contábil
64 - Data início
65 - Previsão término
66 - Orçamento Previsto
67 - Orçamento executado
68 - Anexo do contrato
69 -  Breve descrição da obra
70 - Código imóvel inventariar
71 - Situacao imóvel inventariar
72 - Comando
73 - Mensagem</t>
        </r>
      </text>
    </comment>
    <comment ref="E295" authorId="3" shapeId="0" xr:uid="{00000000-0006-0000-0100-0000CE010000}">
      <text>
        <r>
          <rPr>
            <sz val="9"/>
            <color indexed="81"/>
            <rFont val="Segoe UI"/>
            <family val="2"/>
          </rPr>
          <t>01 - Inventário
02 - Obras em Andamento</t>
        </r>
      </text>
    </comment>
    <comment ref="D296" authorId="3" shapeId="0" xr:uid="{00000000-0006-0000-0100-0000CF010000}">
      <text>
        <r>
          <rPr>
            <sz val="9"/>
            <color indexed="81"/>
            <rFont val="Segoe UI"/>
            <family val="2"/>
          </rPr>
          <t>Dados do Imóvel
01 - Código
02 - Municipio 
03 - Matricula 
04 - Nome do imovel 
05 - RIP 
06 - situacao 
07 - Qtd de pavimentos 
08 - Tipo de imovel
09 - Forma de aquisição
10 - Edificado
11 - Estado de conservação
12 - Serviços urbanos
13 - Area total construida
14 - Unidade Medida
15 - Area total terreno 
16 - descrição
17 - Imagem
18 - Arquivo
Localização
19 - Código
20 - Pais
21 - UF
22 - CEP
23 - Logradouro
24 - Numero
25 - Bairro
26 - distrito
27 - Zoneamento
28 - Latitude
29 - Longitude
Matrícula / Registro
30 - Número Matricula
31 - Livro
32 - Folha
33 - Descrição
34 - Área Construida
35 - Área total do terro
36 - Cartorio
37 - CNPJ
38 - Municipio
39 - Anexo
40 - Descrição (vínculo)
41 - Matricula (vínculo)
42 - Municipio (vínculo)
43 - Área total do terreno (vínculo)
44 - Valor total (vínculo)
45 - Quantidade de vinculos (vínculo)
Proprietário/Responsável/Ocupante
46 - Titularidade
47 - CNPJ
48 - Responsável Patrimonial
49 - Entidade / UA
50 - Sigla
51 - CNPJ
52 - Entidade / UA (ocupante)
53 - Ocupante (ocupante)
54 - Ocupação (ocupante)
54 - Outorga (ocupante)
56 - Inicio Vigencia (ocupante)
57 - Fim Vigência (ocupante)
58 - Documento (ocupante)
Obras
59 - Código
60 - Numero RIP
61 - Existe obra em andamento
62 - Tipo da obra
63 - Conta contábil
64 - Data início
65 - Previsão término
66 - Orçamento Previsto
67 - Orçamento executado
68 - Anexo do contrato
69 -  Breve descrição da obra
70 - Código imóvel inventariar
71 - Situacao imóvel inventariar
72 - Código imóvel
73 - Flag Inventariando Imóvel
74 - Comando
75 - Mensagem</t>
        </r>
      </text>
    </comment>
    <comment ref="E296" authorId="3" shapeId="0" xr:uid="{00000000-0006-0000-0100-0000D0010000}">
      <text>
        <r>
          <rPr>
            <sz val="9"/>
            <color indexed="81"/>
            <rFont val="Segoe UI"/>
            <family val="2"/>
          </rPr>
          <t>01 - Imóvel</t>
        </r>
      </text>
    </comment>
    <comment ref="D297" authorId="3" shapeId="0" xr:uid="{00000000-0006-0000-0100-0000D1010000}">
      <text>
        <r>
          <rPr>
            <sz val="9"/>
            <color indexed="81"/>
            <rFont val="Segoe UI"/>
            <family val="2"/>
          </rPr>
          <t>01 - Código
02 - Descrição
03 - Nome arquivo
04 - Data Cadastro
05 - Usuario
06 - Data alteração
07 - Usuario alteração
08 - Comando
09 - Mensagem</t>
        </r>
      </text>
    </comment>
    <comment ref="E297" authorId="3" shapeId="0" xr:uid="{00000000-0006-0000-0100-0000D2010000}">
      <text>
        <r>
          <rPr>
            <sz val="9"/>
            <color indexed="81"/>
            <rFont val="Segoe UI"/>
            <family val="2"/>
          </rPr>
          <t>01 - Inventário
02 - Usuário</t>
        </r>
      </text>
    </comment>
    <comment ref="D300" authorId="3" shapeId="0" xr:uid="{00000000-0006-0000-0100-0000D3010000}">
      <text>
        <r>
          <rPr>
            <sz val="9"/>
            <color indexed="81"/>
            <rFont val="Segoe UI"/>
            <family val="2"/>
          </rPr>
          <t xml:space="preserve">01 - Código
02 - Tipo
03 - Tipo de Patrimonio
04 - Exercicio
05 - Status
06 - Titulo
07 - Descrição
08 - Prazo de Conclusão
</t>
        </r>
      </text>
    </comment>
    <comment ref="E300" authorId="3" shapeId="0" xr:uid="{00000000-0006-0000-0100-0000D4010000}">
      <text>
        <r>
          <rPr>
            <sz val="9"/>
            <color indexed="81"/>
            <rFont val="Segoe UI"/>
            <family val="2"/>
          </rPr>
          <t>01 - Parametrização</t>
        </r>
      </text>
    </comment>
    <comment ref="D301" authorId="3" shapeId="0" xr:uid="{00000000-0006-0000-0100-0000D5010000}">
      <text>
        <r>
          <rPr>
            <sz val="9"/>
            <color indexed="81"/>
            <rFont val="Segoe UI"/>
            <family val="2"/>
          </rPr>
          <t>01 - Código
02 - Tipo
03 - Tipo de Patrimonio
04 - Exercicio
05 - Status
06 - Titulo
07 - Descrição
08 - Comando
09 - Mensagem</t>
        </r>
      </text>
    </comment>
    <comment ref="E301" authorId="3" shapeId="0" xr:uid="{00000000-0006-0000-0100-0000D6010000}">
      <text>
        <r>
          <rPr>
            <sz val="9"/>
            <color indexed="81"/>
            <rFont val="Segoe UI"/>
            <family val="2"/>
          </rPr>
          <t>01 - Parametrização</t>
        </r>
      </text>
    </comment>
    <comment ref="D302" authorId="3" shapeId="0" xr:uid="{00000000-0006-0000-0100-0000D7010000}">
      <text>
        <r>
          <rPr>
            <sz val="9"/>
            <color indexed="81"/>
            <rFont val="Segoe UI"/>
            <family val="2"/>
          </rPr>
          <t>01 - Código
02 - Tipo
03 - Tipo de Patrimonio
04 - Exercicio
05 - Status
06 - Titulo
07 - Descrição
08 - Comando
09 - Mensagem</t>
        </r>
      </text>
    </comment>
    <comment ref="E302" authorId="3" shapeId="0" xr:uid="{00000000-0006-0000-0100-0000D8010000}">
      <text>
        <r>
          <rPr>
            <sz val="9"/>
            <color indexed="81"/>
            <rFont val="Segoe UI"/>
            <family val="2"/>
          </rPr>
          <t>01 - Parametrização</t>
        </r>
      </text>
    </comment>
    <comment ref="D303" authorId="3" shapeId="0" xr:uid="{00000000-0006-0000-0100-0000D9010000}">
      <text>
        <r>
          <rPr>
            <sz val="9"/>
            <color indexed="81"/>
            <rFont val="Segoe UI"/>
            <family val="2"/>
          </rPr>
          <t>01 - Código
02 - Descrição
03 - Comando</t>
        </r>
      </text>
    </comment>
    <comment ref="E303" authorId="3" shapeId="0" xr:uid="{00000000-0006-0000-0100-0000DA010000}">
      <text>
        <r>
          <rPr>
            <sz val="9"/>
            <color indexed="81"/>
            <rFont val="Segoe UI"/>
            <family val="2"/>
          </rPr>
          <t>01 - Tipo de Patrimonio</t>
        </r>
      </text>
    </comment>
    <comment ref="D304" authorId="3" shapeId="0" xr:uid="{00000000-0006-0000-0100-0000DB010000}">
      <text>
        <r>
          <rPr>
            <sz val="9"/>
            <color indexed="81"/>
            <rFont val="Segoe UI"/>
            <family val="2"/>
          </rPr>
          <t>01 - Código
02 - Status
03 - Titulo
04 - Descrição
05 - Comando
06 - Mensagem</t>
        </r>
      </text>
    </comment>
    <comment ref="E304" authorId="3" shapeId="0" xr:uid="{00000000-0006-0000-0100-0000DC010000}">
      <text>
        <r>
          <rPr>
            <sz val="9"/>
            <color indexed="81"/>
            <rFont val="Segoe UI"/>
            <family val="2"/>
          </rPr>
          <t>01 - Parametrização</t>
        </r>
      </text>
    </comment>
    <comment ref="D305" authorId="3" shapeId="0" xr:uid="{00000000-0006-0000-0100-0000DD010000}">
      <text>
        <r>
          <rPr>
            <sz val="9"/>
            <color indexed="81"/>
            <rFont val="Segoe UI"/>
            <family val="2"/>
          </rPr>
          <t>01 - Código
02 - Tipo
03 - Tipo de Patrimonio
04 - Exercicio
05 - Status
06 - Titulo
07 - Descrição</t>
        </r>
      </text>
    </comment>
    <comment ref="E305" authorId="3" shapeId="0" xr:uid="{00000000-0006-0000-0100-0000DE010000}">
      <text>
        <r>
          <rPr>
            <sz val="9"/>
            <color indexed="81"/>
            <rFont val="Segoe UI"/>
            <family val="2"/>
          </rPr>
          <t>01 - Parametrização</t>
        </r>
      </text>
    </comment>
    <comment ref="D306" authorId="3" shapeId="0" xr:uid="{00000000-0006-0000-0100-0000DF010000}">
      <text>
        <r>
          <rPr>
            <sz val="9"/>
            <color indexed="81"/>
            <rFont val="Segoe UI"/>
            <family val="2"/>
          </rPr>
          <t xml:space="preserve">01 - Código
02 - Tipo
03 - Tipo de Patrimonio
04 - Exercicio
05 - Status
06 - Titulo
07 - Descrição
08 - Comando
09 - Mensagem
</t>
        </r>
      </text>
    </comment>
    <comment ref="E306" authorId="3" shapeId="0" xr:uid="{00000000-0006-0000-0100-0000E0010000}">
      <text>
        <r>
          <rPr>
            <sz val="9"/>
            <color indexed="81"/>
            <rFont val="Segoe UI"/>
            <family val="2"/>
          </rPr>
          <t>01 - Parametrização</t>
        </r>
      </text>
    </comment>
    <comment ref="D307" authorId="3" shapeId="0" xr:uid="{00000000-0006-0000-0100-0000E1010000}">
      <text>
        <r>
          <rPr>
            <sz val="9"/>
            <color indexed="81"/>
            <rFont val="Segoe UI"/>
            <family val="2"/>
          </rPr>
          <t xml:space="preserve">01 - Código
02 - Tipo
03 - Tipo de Patrimonio
04 - Exercicio
05 - Status
06 - Titulo
07 - Descrição
08 - Comando
09 - Mensagem
</t>
        </r>
      </text>
    </comment>
    <comment ref="E307" authorId="3" shapeId="0" xr:uid="{00000000-0006-0000-0100-0000E2010000}">
      <text>
        <r>
          <rPr>
            <sz val="9"/>
            <color indexed="81"/>
            <rFont val="Segoe UI"/>
            <family val="2"/>
          </rPr>
          <t>01 - Parametrização</t>
        </r>
      </text>
    </comment>
    <comment ref="D308" authorId="3" shapeId="0" xr:uid="{00000000-0006-0000-0100-0000E3010000}">
      <text>
        <r>
          <rPr>
            <sz val="9"/>
            <color indexed="81"/>
            <rFont val="Segoe UI"/>
            <family val="2"/>
          </rPr>
          <t>01 - codigo
02 - Comando
03 - Mensagem</t>
        </r>
      </text>
    </comment>
    <comment ref="E308" authorId="3" shapeId="0" xr:uid="{00000000-0006-0000-0100-0000E4010000}">
      <text>
        <r>
          <rPr>
            <sz val="9"/>
            <color indexed="81"/>
            <rFont val="Segoe UI"/>
            <family val="2"/>
          </rPr>
          <t>01 - Parametrização</t>
        </r>
      </text>
    </comment>
    <comment ref="D309" authorId="3" shapeId="0" xr:uid="{00000000-0006-0000-0100-0000E5010000}">
      <text>
        <r>
          <rPr>
            <sz val="9"/>
            <color indexed="81"/>
            <rFont val="Segoe UI"/>
            <family val="2"/>
          </rPr>
          <t>01 - Código
02 - Tipo
03 - Tipo de Patrimonio
04 - Exercicio
05 - Status
06 - Titulo
07 - Descrição
08 - Comando
09 - Mensagem</t>
        </r>
      </text>
    </comment>
    <comment ref="E309" authorId="3" shapeId="0" xr:uid="{00000000-0006-0000-0100-0000E6010000}">
      <text>
        <r>
          <rPr>
            <sz val="9"/>
            <color indexed="81"/>
            <rFont val="Segoe UI"/>
            <family val="2"/>
          </rPr>
          <t>01 - Parametrização</t>
        </r>
      </text>
    </comment>
    <comment ref="D312" authorId="3" shapeId="0" xr:uid="{00000000-0006-0000-0100-0000E7010000}">
      <text>
        <r>
          <rPr>
            <sz val="9"/>
            <color indexed="81"/>
            <rFont val="Segoe UI"/>
            <family val="2"/>
          </rPr>
          <t>01 - Imóvel
02 - Data depreciação
03 - Cota depreciação
04 - Depreciação acumulada
05 - Valor contabil
06 - valor atual do imóvel
07 - valor do terreno
08 - valor da edificação
09 - valor total
10 - origem informação
11 - data
12 - tipo informação
13 - valor do terreno
14 - valor da edificação
15 - valor total
16 - depreciação
17 - valorização
18 - Comando
19 - Mensagem</t>
        </r>
      </text>
    </comment>
    <comment ref="E312" authorId="3" shapeId="0" xr:uid="{00000000-0006-0000-0100-0000E8010000}">
      <text>
        <r>
          <rPr>
            <sz val="9"/>
            <color indexed="81"/>
            <rFont val="Segoe UI"/>
            <family val="2"/>
          </rPr>
          <t>01 - Histórico
02 - Configuração Contabilização 03 - Depreciação
03 - Imóvel</t>
        </r>
      </text>
    </comment>
    <comment ref="D315" authorId="3" shapeId="0" xr:uid="{00000000-0006-0000-0100-0000E9010000}">
      <text>
        <r>
          <rPr>
            <sz val="9"/>
            <color indexed="81"/>
            <rFont val="Segoe UI"/>
            <family val="2"/>
          </rPr>
          <t xml:space="preserve">01 - Código
02 - Responsável Patrimonial
03 - Parametro de inventario
04 - Exercicio
05 - Data inicio
06 - Data Término
07 - Responsável Legal
08 - Responsável da setorial
09 - Oficio
10 - OBS
11 - Qtd imoveis pendente
12 - Qtd imoveis aguardando revisão
13 - Qtd imoveis Revisados
14 - Total de imoveis do inventario
15 - Razão Social
16 - Comando
17 - Mensagem
</t>
        </r>
      </text>
    </comment>
    <comment ref="E315" authorId="3" shapeId="0" xr:uid="{00000000-0006-0000-0100-0000EA010000}">
      <text>
        <r>
          <rPr>
            <sz val="9"/>
            <color indexed="81"/>
            <rFont val="Segoe UI"/>
            <family val="2"/>
          </rPr>
          <t xml:space="preserve">01 - Inventario
02 - Servidor
</t>
        </r>
      </text>
    </comment>
    <comment ref="D318" authorId="3" shapeId="0" xr:uid="{00000000-0006-0000-0100-0000EB010000}">
      <text>
        <r>
          <rPr>
            <sz val="9"/>
            <color indexed="81"/>
            <rFont val="Segoe UI"/>
            <family val="2"/>
          </rPr>
          <t>01 - Para 
02 - Assunto
03 - Corpo de email 
04 - Responsável patrimonial
05 - Exercicio
06 - Data de inicio
07 - Data de termino
08 - Responsável legal
09 - Responsável setorial
10 - Oficio
11 - Data notificação
12 - Texto complementar
13 - Comando
14 - Mensagem</t>
        </r>
      </text>
    </comment>
    <comment ref="E318" authorId="3" shapeId="0" xr:uid="{00000000-0006-0000-0100-0000EC010000}">
      <text>
        <r>
          <rPr>
            <sz val="9"/>
            <color indexed="81"/>
            <rFont val="Segoe UI"/>
            <family val="2"/>
          </rPr>
          <t xml:space="preserve">01 - Inventario
02 - Servidor
</t>
        </r>
      </text>
    </comment>
    <comment ref="D319" authorId="3" shapeId="0" xr:uid="{00000000-0006-0000-0100-0000ED010000}">
      <text>
        <r>
          <rPr>
            <sz val="9"/>
            <color indexed="81"/>
            <rFont val="Segoe UI"/>
            <family val="2"/>
          </rPr>
          <t xml:space="preserve">01 - Email
02 - Nome
03 - Comando
04 - Mensagem
</t>
        </r>
      </text>
    </comment>
    <comment ref="E319" authorId="3" shapeId="0" xr:uid="{00000000-0006-0000-0100-0000EE010000}">
      <text>
        <r>
          <rPr>
            <sz val="9"/>
            <color indexed="81"/>
            <rFont val="Segoe UI"/>
            <family val="2"/>
          </rPr>
          <t>01 - Servidor</t>
        </r>
      </text>
    </comment>
    <comment ref="D322" authorId="3" shapeId="0" xr:uid="{00000000-0006-0000-0100-0000EF010000}">
      <text>
        <r>
          <rPr>
            <sz val="9"/>
            <color indexed="81"/>
            <rFont val="Segoe UI"/>
            <family val="2"/>
          </rPr>
          <t xml:space="preserve">01 - Código
02 - Nome
03 - Matricula
04 - CPF
05 - Ocupante 
06 - Resp Inclusão
07 - Data Inclusão
08 - Status
09 - Justificativa
</t>
        </r>
      </text>
    </comment>
    <comment ref="E322" authorId="3" shapeId="0" xr:uid="{00000000-0006-0000-0100-0000F0010000}">
      <text>
        <r>
          <rPr>
            <sz val="9"/>
            <color indexed="81"/>
            <rFont val="Segoe UI"/>
            <family val="2"/>
          </rPr>
          <t>01 - Subcomissão do Inventário</t>
        </r>
      </text>
    </comment>
    <comment ref="D323" authorId="3" shapeId="0" xr:uid="{00000000-0006-0000-0100-0000F1010000}">
      <text>
        <r>
          <rPr>
            <sz val="9"/>
            <color indexed="81"/>
            <rFont val="Segoe UI"/>
            <family val="2"/>
          </rPr>
          <t>01 - Código
02 - Servidor
03 - Matricula
04 - CPF
05 - Data Inclusão
06 - Resp Inclusão
07 - Status
08 - Justificativa
09 - Ocupante 
10 - Entidade / UA
11 - Comando
12 - Mensagem</t>
        </r>
      </text>
    </comment>
    <comment ref="E323" authorId="3" shapeId="0" xr:uid="{00000000-0006-0000-0100-0000F2010000}">
      <text>
        <r>
          <rPr>
            <sz val="9"/>
            <color indexed="81"/>
            <rFont val="Segoe UI"/>
            <family val="2"/>
          </rPr>
          <t>01 - Inventario
02 - Servidor
03 - Identificação</t>
        </r>
      </text>
    </comment>
    <comment ref="D324" authorId="3" shapeId="0" xr:uid="{00000000-0006-0000-0100-0000F3010000}">
      <text>
        <r>
          <rPr>
            <sz val="9"/>
            <color indexed="81"/>
            <rFont val="Segoe UI"/>
            <family val="2"/>
          </rPr>
          <t>01 - Código
02 - Ocupante
03 - Entidade / UA</t>
        </r>
      </text>
    </comment>
    <comment ref="E324" authorId="3" shapeId="0" xr:uid="{00000000-0006-0000-0100-0000F4010000}">
      <text>
        <r>
          <rPr>
            <sz val="9"/>
            <color indexed="81"/>
            <rFont val="Segoe UI"/>
            <family val="2"/>
          </rPr>
          <t xml:space="preserve">01 - Identificação
</t>
        </r>
      </text>
    </comment>
    <comment ref="D325" authorId="3" shapeId="0" xr:uid="{00000000-0006-0000-0100-0000F5010000}">
      <text>
        <r>
          <rPr>
            <sz val="9"/>
            <color indexed="81"/>
            <rFont val="Segoe UI"/>
            <family val="2"/>
          </rPr>
          <t>01 - Código
02 - Situacao 
03 - Ocupante 
04 - Entidade / UA
05 - Justificativa
06 - Comando
07 - Mensagem</t>
        </r>
      </text>
    </comment>
    <comment ref="E325" authorId="3" shapeId="0" xr:uid="{00000000-0006-0000-0100-0000F6010000}">
      <text>
        <r>
          <rPr>
            <sz val="9"/>
            <color indexed="81"/>
            <rFont val="Segoe UI"/>
            <family val="2"/>
          </rPr>
          <t>01 - Inventario
02 - Servidor
03 - Identificação</t>
        </r>
      </text>
    </comment>
    <comment ref="D326" authorId="3" shapeId="0" xr:uid="{00000000-0006-0000-0100-0000F7010000}">
      <text>
        <r>
          <rPr>
            <sz val="9"/>
            <color indexed="81"/>
            <rFont val="Segoe UI"/>
            <family val="2"/>
          </rPr>
          <t>01 - Código
02 - Servidor
03 - Matricula
04 - CPF
05 - Data Inclusão
06 - Resp Inclusão
07 - Status
08 - Justificativa
09 - Ocupante 
10 - Entidade / UA</t>
        </r>
      </text>
    </comment>
    <comment ref="E326" authorId="3" shapeId="0" xr:uid="{00000000-0006-0000-0100-0000F8010000}">
      <text>
        <r>
          <rPr>
            <sz val="9"/>
            <color indexed="81"/>
            <rFont val="Segoe UI"/>
            <family val="2"/>
          </rPr>
          <t>01 - Inventario
02 - Servidor
03 - Identificação</t>
        </r>
      </text>
    </comment>
    <comment ref="D327" authorId="3" shapeId="0" xr:uid="{00000000-0006-0000-0100-0000F9010000}">
      <text>
        <r>
          <rPr>
            <sz val="9"/>
            <color indexed="81"/>
            <rFont val="Segoe UI"/>
            <family val="2"/>
          </rPr>
          <t>01 - Código
02 - Nome
03 - Matricula
04 - CPF
05 - Ocupante 
06 - Resp Inclusão
07 - Data Inclusão
08 - Status
09 - Comando
10 - Mensagem</t>
        </r>
      </text>
    </comment>
    <comment ref="E327" authorId="3" shapeId="0" xr:uid="{00000000-0006-0000-0100-0000FA010000}">
      <text>
        <r>
          <rPr>
            <sz val="9"/>
            <color indexed="81"/>
            <rFont val="Segoe UI"/>
            <family val="2"/>
          </rPr>
          <t>01 - Inventario
02 - Servidor
03 - Identificação</t>
        </r>
      </text>
    </comment>
    <comment ref="D328" authorId="3" shapeId="0" xr:uid="{00000000-0006-0000-0100-0000FB010000}">
      <text>
        <r>
          <rPr>
            <sz val="9"/>
            <color indexed="81"/>
            <rFont val="Segoe UI"/>
            <family val="2"/>
          </rPr>
          <t>01 - Código
02 - Servidor
03 - Matricula
04 - CPF
05 - Data Inclusão
06 - Resp Inclusão
07 - Status
08 - Justificativa
09 - Ocupante 
10 - Comando
11 - Mensagem</t>
        </r>
      </text>
    </comment>
    <comment ref="E328" authorId="3" shapeId="0" xr:uid="{00000000-0006-0000-0100-0000FC010000}">
      <text>
        <r>
          <rPr>
            <sz val="9"/>
            <color indexed="81"/>
            <rFont val="Segoe UI"/>
            <family val="2"/>
          </rPr>
          <t>01 - Inventario
02 - Servidor
03 - Identificação</t>
        </r>
      </text>
    </comment>
    <comment ref="D329" authorId="3" shapeId="0" xr:uid="{00000000-0006-0000-0100-0000FD010000}">
      <text>
        <r>
          <rPr>
            <sz val="9"/>
            <color indexed="81"/>
            <rFont val="Segoe UI"/>
            <family val="2"/>
          </rPr>
          <t>01 - codigo
02 - Comando
03 - Mensagem</t>
        </r>
      </text>
    </comment>
    <comment ref="E329" authorId="3" shapeId="0" xr:uid="{00000000-0006-0000-0100-0000FE010000}">
      <text>
        <r>
          <rPr>
            <sz val="9"/>
            <color indexed="81"/>
            <rFont val="Segoe UI"/>
            <family val="2"/>
          </rPr>
          <t>01 - Parametrização</t>
        </r>
      </text>
    </comment>
    <comment ref="D330" authorId="3" shapeId="0" xr:uid="{00000000-0006-0000-0100-0000FF010000}">
      <text>
        <r>
          <rPr>
            <sz val="9"/>
            <color indexed="81"/>
            <rFont val="Segoe UI"/>
            <family val="2"/>
          </rPr>
          <t xml:space="preserve">01 - Código
02 - Nome
03 - Matricula
04 - CPF
05 - Ocupante 
06 - Resp Inclusão
07 - Data Inclusão
08 - Status
09 - Comando
10 - Mensagem
</t>
        </r>
      </text>
    </comment>
    <comment ref="E330" authorId="3" shapeId="0" xr:uid="{00000000-0006-0000-0100-000000020000}">
      <text>
        <r>
          <rPr>
            <sz val="9"/>
            <color indexed="81"/>
            <rFont val="Segoe UI"/>
            <family val="2"/>
          </rPr>
          <t>01 - Inventario
02 - Servidor
03 - Identificação</t>
        </r>
      </text>
    </comment>
    <comment ref="D333" authorId="3" shapeId="0" xr:uid="{00000000-0006-0000-0100-000001020000}">
      <text>
        <r>
          <rPr>
            <sz val="9"/>
            <color indexed="81"/>
            <rFont val="Segoe UI"/>
            <family val="2"/>
          </rPr>
          <t xml:space="preserve">01 - Código
02 - IP
03 - Porta
04 - Protocolo
05 - Conta
06 - Senha
</t>
        </r>
      </text>
    </comment>
    <comment ref="E333" authorId="3" shapeId="0" xr:uid="{00000000-0006-0000-0100-000002020000}">
      <text>
        <r>
          <rPr>
            <sz val="9"/>
            <color indexed="81"/>
            <rFont val="Segoe UI"/>
            <family val="2"/>
          </rPr>
          <t>01 - Configuração Email</t>
        </r>
      </text>
    </comment>
    <comment ref="D334" authorId="3" shapeId="0" xr:uid="{00000000-0006-0000-0100-000003020000}">
      <text>
        <r>
          <rPr>
            <sz val="9"/>
            <color indexed="81"/>
            <rFont val="Segoe UI"/>
            <family val="2"/>
          </rPr>
          <t xml:space="preserve">01 - Código
02 - IP
03 - Porta
04 - Protocolo
05 - Conta
06 - Senha
07 - Comando
08 - Mensagem
</t>
        </r>
      </text>
    </comment>
    <comment ref="E334" authorId="3" shapeId="0" xr:uid="{00000000-0006-0000-0100-000004020000}">
      <text>
        <r>
          <rPr>
            <sz val="9"/>
            <color indexed="81"/>
            <rFont val="Segoe UI"/>
            <family val="2"/>
          </rPr>
          <t>01 - Configuração Email</t>
        </r>
      </text>
    </comment>
    <comment ref="D335" authorId="3" shapeId="0" xr:uid="{00000000-0006-0000-0100-000005020000}">
      <text>
        <r>
          <rPr>
            <sz val="9"/>
            <color indexed="81"/>
            <rFont val="Segoe UI"/>
            <family val="2"/>
          </rPr>
          <t xml:space="preserve">01 - Código
02 - IP
03 - Porta
04 - Protocolo
05 - Conta
06 - Senha
07 - Comando
08 - Mensagem
</t>
        </r>
      </text>
    </comment>
    <comment ref="E335" authorId="3" shapeId="0" xr:uid="{00000000-0006-0000-0100-000006020000}">
      <text>
        <r>
          <rPr>
            <sz val="9"/>
            <color indexed="81"/>
            <rFont val="Segoe UI"/>
            <family val="2"/>
          </rPr>
          <t>01 - Configuração Email</t>
        </r>
      </text>
    </comment>
    <comment ref="D336" authorId="3" shapeId="0" xr:uid="{00000000-0006-0000-0100-000007020000}">
      <text>
        <r>
          <rPr>
            <sz val="9"/>
            <color indexed="81"/>
            <rFont val="Segoe UI"/>
            <family val="2"/>
          </rPr>
          <t xml:space="preserve">01 - Código
02 - IP
03 - Porta
04 - Protocolo
05 - Conta
06 - Senha
07 - Comando
08 - Mensagem
</t>
        </r>
      </text>
    </comment>
    <comment ref="E336" authorId="3" shapeId="0" xr:uid="{00000000-0006-0000-0100-000008020000}">
      <text>
        <r>
          <rPr>
            <sz val="9"/>
            <color indexed="81"/>
            <rFont val="Segoe UI"/>
            <family val="2"/>
          </rPr>
          <t>01 - Configuração Email</t>
        </r>
      </text>
    </comment>
    <comment ref="D339" authorId="3" shapeId="0" xr:uid="{00000000-0006-0000-0100-000009020000}">
      <text>
        <r>
          <rPr>
            <sz val="9"/>
            <color indexed="81"/>
            <rFont val="Segoe UI"/>
            <family val="2"/>
          </rPr>
          <t>01 - Código
02 - Exercício
03 - Resp Patrimonial
04 - Tipo de Inventário 
05 - Situação
06 - Prazo Termino
07 - Comando
08 - Mensagem</t>
        </r>
      </text>
    </comment>
    <comment ref="E339" authorId="3" shapeId="0" xr:uid="{00000000-0006-0000-0100-00000A020000}">
      <text>
        <r>
          <rPr>
            <sz val="9"/>
            <color indexed="81"/>
            <rFont val="Segoe UI"/>
            <family val="2"/>
          </rPr>
          <t>01 - Demanda de Inventário</t>
        </r>
        <r>
          <rPr>
            <b/>
            <sz val="9"/>
            <color indexed="81"/>
            <rFont val="Segoe UI"/>
            <family val="2"/>
          </rPr>
          <t xml:space="preserve">
</t>
        </r>
        <r>
          <rPr>
            <sz val="9"/>
            <color indexed="81"/>
            <rFont val="Segoe UI"/>
            <family val="2"/>
          </rPr>
          <t>02 - Entidade</t>
        </r>
      </text>
    </comment>
    <comment ref="D342" authorId="3" shapeId="0" xr:uid="{00000000-0006-0000-0100-00000B020000}">
      <text>
        <r>
          <rPr>
            <sz val="9"/>
            <color indexed="81"/>
            <rFont val="Segoe UI"/>
            <family val="2"/>
          </rPr>
          <t>* Inventário
01 - Código
02 - Municipio
03 - Nome Usual do imovel
04 - RIP
05 - Situacao
06 - Qtd de pavimentos
07 - Tipo de imovel
08 - Forma de aquisição
09 - Edificado
10 - Acessibilidade
11 - Nº Termo
12 - Valor da Mensal Locação
13 - Vigência Início
14 - Vigência Término
15 - Estado de conservação
16 - Serviços urbanos
17 - Area total construida
18 - Unidade Medida
19 - Area total terreno 
20 - Descrição
21 - Imagem
22 - Arquivo
23 - Ocupante
24 - Unidade ADM
25 - Tipo Unidae
26 - Finalidade ocupação
27 - Tipo Outorga
28 - Numero do documento
29 - Inicio vigencia
30 - Termino vigencia
31 - Pais
32 - UF
33 - CEP
34 - Logradouro
35 - Numero
36 - Bairro
37 - Distrito
38 - Zoneamento
39 - Latitude
40 - Longitude
41 - Número Matricula
42 - Livro
43 - Folha
44 - Descrição
45 - Área Construida
46 - Área total do terro
47 - Cartorio
48 - CNPJ
49 - Municipio
50 - Anexo
51 - Descrição (vínculo)
52 - Matricula (vínculo)
53 - Municipio (vínculo)
54 - Área total do terreno (vínculo)
55 - Valor total (vínculo)
56 - Quantidade de vinculos (vínculo)
57 - CNPJ
58 - Responsável Patrimonial
59 - Entidade / UA
60 - Sigla
61 - CNPJ
62 - Entidade / UA (ocupante)
63 - Ocupante (ocupante)
64 - Ocupação (ocupante)
65 - Outorga (ocupante)
66 - Inicio Vigencia (ocupante)
67 - Fim Vigência (ocupante)
68 - Documento (ocupante)
69 - Código PF
70 - Nome
71 - Nome Social
72 - CPF
73 - Status PF
74 - Código PJ
75 - Razão Social
76 - Nome Fantasia
77 - CNPJ
78 - Status PF
* Documentos Anexos
79 - Código
80 - Descrição
81 - Anexo
82 - Origem Matricula
83 - N° Livro
84 - N° Folha
85 - Descrição
86 - Cartório
87 - CNPJ
88 - Município(cartório)
89- Data de Registro
90 - Objeto
91 - Anexo Doc. Matrícula
92 - Órgão pertencente
93 - Unidade pertencente</t>
        </r>
      </text>
    </comment>
    <comment ref="E342" authorId="3" shapeId="0" xr:uid="{00000000-0006-0000-0100-00000C020000}">
      <text>
        <r>
          <rPr>
            <sz val="9"/>
            <color indexed="81"/>
            <rFont val="Segoe UI"/>
            <family val="2"/>
          </rPr>
          <t>01 - Inventario
02 - Documentos Anexos</t>
        </r>
      </text>
    </comment>
    <comment ref="D343" authorId="3" shapeId="0" xr:uid="{00000000-0006-0000-0100-00000D020000}">
      <text>
        <r>
          <rPr>
            <sz val="9"/>
            <color indexed="81"/>
            <rFont val="Segoe UI"/>
            <family val="2"/>
          </rPr>
          <t xml:space="preserve">01 - Código
02 - Municipio
03 - Matricula
04 - Nome usual do imovel
05 - RIP
06 - Situacao
07 - Qtd de pavimentos
08 - Tipo de imovel
09 - Forma de aquisição
10 - Edificado
11 - Estado de conservação
12 - Serviços urbanos
13 - area total construida
14 - Unidade Medida
15 - Area total terreno 
16 - descrição
17 - Imagem
18 - Arquivo
19 - Acessibilidade
20 - Nº Termo
21 - Valor da Mensal Locação
22 - Vigência Início
23 - Vigência Término
24 - Órgão pertencente
25 - Unidade pertencente
26 - Comando
27 - Mensagem
</t>
        </r>
      </text>
    </comment>
    <comment ref="E343" authorId="3" shapeId="0" xr:uid="{00000000-0006-0000-0100-00000E020000}">
      <text>
        <r>
          <rPr>
            <sz val="9"/>
            <color indexed="81"/>
            <rFont val="Segoe UI"/>
            <family val="2"/>
          </rPr>
          <t>01 - Imóvel
02 - Inventário</t>
        </r>
      </text>
    </comment>
    <comment ref="D344" authorId="3" shapeId="0" xr:uid="{00000000-0006-0000-0100-00000F020000}">
      <text>
        <r>
          <rPr>
            <sz val="9"/>
            <color indexed="81"/>
            <rFont val="Segoe UI"/>
            <family val="2"/>
          </rPr>
          <t>---Dados atuais---
01 - Código
02 - Municipio 
03 - Matricula 
04 - Nome do imovel 
05 - RIP 
06 - situacao 
07 - Qtd de pavimentos 
08 - Tipo de imovel
09 - Forma de aquisição
10 - Edificado
11 - Estado de conservação
12 - Serviços urbanos
13 - Area total construida
14 - Unidade Medida
15 - Area total terreno 
16 - descrição
17 - Imagem
18 - Arquivo
19 - Acessibilidade
20 - Nº Termo
21 - Valor da Mensal Locação
22 - Vigência Início
23 - Vigência Término
24 - Órgão pertencente
25 - Unidade pertencente</t>
        </r>
      </text>
    </comment>
    <comment ref="E344" authorId="3" shapeId="0" xr:uid="{00000000-0006-0000-0100-000010020000}">
      <text>
        <r>
          <rPr>
            <sz val="9"/>
            <color indexed="81"/>
            <rFont val="Segoe UI"/>
            <family val="2"/>
          </rPr>
          <t xml:space="preserve">01 - Imóvel
</t>
        </r>
      </text>
    </comment>
    <comment ref="D345" authorId="3" shapeId="0" xr:uid="{00000000-0006-0000-0100-000011020000}">
      <text>
        <r>
          <rPr>
            <sz val="9"/>
            <color indexed="81"/>
            <rFont val="Segoe UI"/>
            <family val="2"/>
          </rPr>
          <t>01 - Ocupante
02 - Unidade ADM
03 - Tipo Unidae
04 - Finalidade ocupação
05 - Tipo Outorga
06 - Numero do documento
07 - Inicio vigencia
08 - Termino vigencia
09 - Comando
10 - Mensagem</t>
        </r>
      </text>
    </comment>
    <comment ref="E345" authorId="3" shapeId="0" xr:uid="{00000000-0006-0000-0100-000012020000}">
      <text>
        <r>
          <rPr>
            <sz val="9"/>
            <color indexed="81"/>
            <rFont val="Segoe UI"/>
            <family val="2"/>
          </rPr>
          <t>01 - Imóvel
02 - Inventario
03 - Servidor
04 - Identificação</t>
        </r>
      </text>
    </comment>
    <comment ref="D346" authorId="3" shapeId="0" xr:uid="{00000000-0006-0000-0100-000013020000}">
      <text>
        <r>
          <rPr>
            <sz val="9"/>
            <color indexed="81"/>
            <rFont val="Segoe UI"/>
            <family val="2"/>
          </rPr>
          <t xml:space="preserve">--Dados atuais
01 - Código
02 - Ocupante
03 - Unidade ADM
04 - Tipo Unidae
05 - Finalidade ocupação
06 - Tipo Outorga
07 - Numero do documento
08 - Inicio vigencia
09 - Termino vigencia
</t>
        </r>
      </text>
    </comment>
    <comment ref="E346" authorId="3" shapeId="0" xr:uid="{00000000-0006-0000-0100-000014020000}">
      <text>
        <r>
          <rPr>
            <sz val="9"/>
            <color indexed="81"/>
            <rFont val="Segoe UI"/>
            <family val="2"/>
          </rPr>
          <t xml:space="preserve">01 - Imóvel
02 - Identificação
</t>
        </r>
      </text>
    </comment>
    <comment ref="D347" authorId="3" shapeId="0" xr:uid="{00000000-0006-0000-0100-000015020000}">
      <text>
        <r>
          <rPr>
            <sz val="9"/>
            <color indexed="81"/>
            <rFont val="Segoe UI"/>
            <family val="2"/>
          </rPr>
          <t>01 - Pais
02 - UF
03 - CEP
04 - Logradouro
05 - Numero
06 - Bairro
07 - distrito
08 - Zoneamento
09 - Latitude
10 - Longitude
11 - Comando
12 - Mensagem</t>
        </r>
      </text>
    </comment>
    <comment ref="E347" authorId="3" shapeId="0" xr:uid="{00000000-0006-0000-0100-000016020000}">
      <text>
        <r>
          <rPr>
            <sz val="9"/>
            <color indexed="81"/>
            <rFont val="Segoe UI"/>
            <family val="2"/>
          </rPr>
          <t>01 - Imóvel
02 - Inventário
03 - Servidor</t>
        </r>
      </text>
    </comment>
    <comment ref="D348" authorId="3" shapeId="0" xr:uid="{00000000-0006-0000-0100-000017020000}">
      <text>
        <r>
          <rPr>
            <sz val="9"/>
            <color indexed="81"/>
            <rFont val="Segoe UI"/>
            <family val="2"/>
          </rPr>
          <t xml:space="preserve">-- Dados atuais
01- Código
02 - Pais
03 - UF
04 - CEP
05 - Logradouro
06 - Numero
07 - Bairro
08 - distrito
09 - Zoneamento
10 - Latitude
11 - Longitude
</t>
        </r>
      </text>
    </comment>
    <comment ref="E348" authorId="3" shapeId="0" xr:uid="{00000000-0006-0000-0100-000018020000}">
      <text>
        <r>
          <rPr>
            <sz val="9"/>
            <color indexed="81"/>
            <rFont val="Segoe UI"/>
            <family val="2"/>
          </rPr>
          <t xml:space="preserve">01 - Imóvel
</t>
        </r>
      </text>
    </comment>
    <comment ref="D349" authorId="3" shapeId="0" xr:uid="{00000000-0006-0000-0100-000019020000}">
      <text>
        <r>
          <rPr>
            <sz val="9"/>
            <color indexed="81"/>
            <rFont val="Segoe UI"/>
            <family val="2"/>
          </rPr>
          <t>01 - Código
02 - Municipio
03 - Matricula
04 - Nome do imovel
05 - RIP
06 - situacao
07 - Qtd de pavimentos
08 - Tipo de imovel
09 - Forma de aquisição
10 - Edificado
11 - Estado de conservação
12 - Serviços urbanos
13 - area total construida
14 - Unidade Medida
15 - Area total terreno 
16 - descrição
17 - Imagem
18 - Arquivo
19 - Acessibilidade
20 - Nº Termo
21 - Valor da Mensal Locação
22 - Vigência Início
23 - Vigência Término
24 - Órgão pertencente
25 - Unidade pertencente
26 - Comando
27 - Mensagem</t>
        </r>
      </text>
    </comment>
    <comment ref="E349" authorId="3" shapeId="0" xr:uid="{00000000-0006-0000-0100-00001A020000}">
      <text>
        <r>
          <rPr>
            <sz val="9"/>
            <color indexed="81"/>
            <rFont val="Segoe UI"/>
            <family val="2"/>
          </rPr>
          <t>01 - Imóvel
02 - Inventário
03 - Servidor</t>
        </r>
      </text>
    </comment>
    <comment ref="D350" authorId="3" shapeId="0" xr:uid="{00000000-0006-0000-0100-00001B020000}">
      <text>
        <r>
          <rPr>
            <sz val="9"/>
            <color indexed="81"/>
            <rFont val="Segoe UI"/>
            <family val="2"/>
          </rPr>
          <t>01 - Código
02 - Municipio
03 - Matricula
04 - Nome do imovel
05 - RIP
06 - situacao
07 - Qtd de pavimentos
08 - Tipo de imovel
09 - Forma de aquisição
10 - Edificado
11 - Estado de conservação
12 - Serviços urbanos
13 - Area total construida
14 - Unidade Medida
15 - Area total terreno 
16 - Descrição
17 - Imagem
18 - Arquivo
19 - Acessibilidade
20 - Nº Termo
21 - Valor da Mensal Locação
22 - Vigência Início
23 - Vigência Término
---Dados atuais---
24 - Código
25 - Municipio 
26 - Matricula 
27 - Nome do imovel 
28 - RIP 
29 - situacao 
30 - Qtd de pavimentos 
31 - Tipo de imovel
32 - Forma de aquisição
33 - Edificado
34 - Estado de conservação
35 - Serviços urbanos
36 - Area total construida
37 - Unidade Medida
38 - Area total terreno 
39 - descrição
40 - Imagem
41 - Arquivo
42 - Acessibilidade
43 - Nº Termo
44 - Valor da Mensal Locação
45 - Vigência Início
46 - Vigência Término
47 - Órgão pertencente atual
48 - Unidade pertencente atual
49 - Órgão pertencente inventário
50 - Unidade pertencente inventário</t>
        </r>
      </text>
    </comment>
    <comment ref="E350" authorId="3" shapeId="0" xr:uid="{00000000-0006-0000-0100-00001C020000}">
      <text>
        <r>
          <rPr>
            <sz val="9"/>
            <color indexed="81"/>
            <rFont val="Segoe UI"/>
            <family val="2"/>
          </rPr>
          <t xml:space="preserve">01 - Imóvel
02 - Inventário
</t>
        </r>
      </text>
    </comment>
    <comment ref="D351" authorId="3" shapeId="0" xr:uid="{00000000-0006-0000-0100-00001D020000}">
      <text>
        <r>
          <rPr>
            <sz val="9"/>
            <color indexed="81"/>
            <rFont val="Segoe UI"/>
            <family val="2"/>
          </rPr>
          <t>01 - Código
02 - Ocupante
03 - Unidade ADM
04 - Tipo Unidae
05 - Finalidade ocupação
06 - Tipo Outorga
07 - Numero do documento
08 - Inicio vigencia
09 - Termino vigencia
10 - Comando
11 - Mensagem</t>
        </r>
      </text>
    </comment>
    <comment ref="E351" authorId="3" shapeId="0" xr:uid="{00000000-0006-0000-0100-00001E020000}">
      <text>
        <r>
          <rPr>
            <sz val="9"/>
            <color indexed="81"/>
            <rFont val="Segoe UI"/>
            <family val="2"/>
          </rPr>
          <t>01 - Imóvel
02 - Inventario
03 - Identificação
04 - Servidor</t>
        </r>
      </text>
    </comment>
    <comment ref="D352" authorId="3" shapeId="0" xr:uid="{00000000-0006-0000-0100-00001F020000}">
      <text>
        <r>
          <rPr>
            <sz val="9"/>
            <color indexed="81"/>
            <rFont val="Segoe UI"/>
            <family val="2"/>
          </rPr>
          <t>01 - Código
02 - Ocupante
03 - Unidade ADM
04 - Tipo Unidae
05 - Finalidade ocupação
06 - Tipo Outorga
07 - Numero do documento
08 - Inicio vigencia
09 - Termino vigencia
--Dados atuais
10 - Codigo
11 - Ocupante
12 - Unidade ADM
13 - Tipo Unidae
14 - Finalidade ocupação
15 - Tipo Outorga
16 - Numero do documento
17 - Inicio vigencia
18 - Termino vigencia</t>
        </r>
      </text>
    </comment>
    <comment ref="E352" authorId="3" shapeId="0" xr:uid="{00000000-0006-0000-0100-000020020000}">
      <text>
        <r>
          <rPr>
            <sz val="9"/>
            <color indexed="81"/>
            <rFont val="Segoe UI"/>
            <family val="2"/>
          </rPr>
          <t>01 - Imóvel
02 - Inventario
03 - Identificação</t>
        </r>
      </text>
    </comment>
    <comment ref="D353" authorId="3" shapeId="0" xr:uid="{00000000-0006-0000-0100-000021020000}">
      <text>
        <r>
          <rPr>
            <sz val="9"/>
            <color indexed="81"/>
            <rFont val="Segoe UI"/>
            <family val="2"/>
          </rPr>
          <t>01 - Código
02 - Pais
03 - UF
04 - CEP
05 - Logradouro
06 - Numero
07 - Bairro
08 - distrito
09 - Zoneamento
10 - Latitude
11 - Longitude
12 - Comando
13 - Mensagem</t>
        </r>
      </text>
    </comment>
    <comment ref="E353" authorId="3" shapeId="0" xr:uid="{00000000-0006-0000-0100-000022020000}">
      <text>
        <r>
          <rPr>
            <sz val="9"/>
            <color indexed="81"/>
            <rFont val="Segoe UI"/>
            <family val="2"/>
          </rPr>
          <t>01 - Imóvel
02 - Inventário
03 - Servidor</t>
        </r>
      </text>
    </comment>
    <comment ref="D354" authorId="3" shapeId="0" xr:uid="{00000000-0006-0000-0100-000023020000}">
      <text>
        <r>
          <rPr>
            <sz val="9"/>
            <color indexed="81"/>
            <rFont val="Segoe UI"/>
            <family val="2"/>
          </rPr>
          <t xml:space="preserve">01- Código
02 - Pais
03 - UF
04 - CEP
05 - Logradouro
06 - Numero
07 - Bairro
08 - distrito
09 - Zoneamento
10 - Latitude
11 - Longitude
-- Dados atuais
12 - Código
13 - Pais
14 - UF
15 - CEP
16 - Logradouro
17 - Numero
18 - Bairro
19 - distrito
20 - Zoneamento
21 - Latitude
22 - Longitude
</t>
        </r>
      </text>
    </comment>
    <comment ref="E354" authorId="3" shapeId="0" xr:uid="{00000000-0006-0000-0100-000024020000}">
      <text>
        <r>
          <rPr>
            <sz val="9"/>
            <color indexed="81"/>
            <rFont val="Segoe UI"/>
            <family val="2"/>
          </rPr>
          <t>01 - Imóvel
02 - Inventário</t>
        </r>
      </text>
    </comment>
    <comment ref="D355" authorId="3" shapeId="0" xr:uid="{00000000-0006-0000-0100-000025020000}">
      <text>
        <r>
          <rPr>
            <sz val="9"/>
            <color indexed="81"/>
            <rFont val="Segoe UI"/>
            <family val="2"/>
          </rPr>
          <t xml:space="preserve">01 - Código
02 - Municipio
03 - Matricula
04 - Nome do imovel
05 - RIP
06 - situacao
07 - Qtd de pavimentos
08 - Tipo de imovel
09 - Forma de aquisição
10 - Edificado
11 - Estado de conservação
12 - Serviços urbanos
13 - area total construida
14 - Unidade Medida
15 - Area total terreno 
16 - descrição
17 - Imagem
18 - Arquivo
19 - Acessibilidade
20 - Nº Termo
21 - Valor da Mensal Locação
22 - Vigência Início
23 - Vigência Término
---Dados atuais---
24 - Código
25 - Municipio 
26 - Matricula 
27 - Nome do imovel 
28 - RIP 
29 - situacao 
30 - Qtd de pavimentos 
31 - Tipo de imovel
32 - Forma de aquisição
33 - Edificado
34 - Estado de conservação
35 - Serviços urbanos
36 - Area total construida
37 - Unidade Medida
38 - Area total terreno 
39 - descrição
40 - Imagem
41 - Arquivo
42 - Acessibilidade
43 - Nº Termo
44 - Valor da Mensal Locação
45 - Vigência Início
46 - Vigência Término
47 - Órgão pertencente atual
48 - Unidade pertencente atual
49 - Órgão pertencente inventário
50 - Unidade pertencente inventário
51 - Comando
52 - Mensagem
</t>
        </r>
      </text>
    </comment>
    <comment ref="E355" authorId="3" shapeId="0" xr:uid="{00000000-0006-0000-0100-000026020000}">
      <text>
        <r>
          <rPr>
            <sz val="9"/>
            <color indexed="81"/>
            <rFont val="Segoe UI"/>
            <family val="2"/>
          </rPr>
          <t>01 - Imóvel
02 - Inventário</t>
        </r>
      </text>
    </comment>
    <comment ref="D356" authorId="3" shapeId="0" xr:uid="{00000000-0006-0000-0100-000027020000}">
      <text>
        <r>
          <rPr>
            <sz val="9"/>
            <color indexed="81"/>
            <rFont val="Segoe UI"/>
            <family val="2"/>
          </rPr>
          <t>01 - Código
02 - Ocupante
03 - Unidade ADM
04 - Tipo Unidae
05 - Finalidade ocupação
06 - Tipo Outorga
07 - Numero do documento
08 - Inicio vigencia
09 - Termino vigencia
--Dados atuais
10 - Código
11 - Ocupante
12 - Unidade ADM
13 - Tipo Unidae
14 - Finalidade ocupação
15 - Tipo Outorga
16 - Numero do documento
17 - Inicio vigencia
18 - Termino vigencia
19 - Comando
20 - Mensagem</t>
        </r>
      </text>
    </comment>
    <comment ref="E356" authorId="3" shapeId="0" xr:uid="{00000000-0006-0000-0100-000028020000}">
      <text>
        <r>
          <rPr>
            <sz val="9"/>
            <color indexed="81"/>
            <rFont val="Segoe UI"/>
            <family val="2"/>
          </rPr>
          <t>01 - Imóvel
02 - Inventario
03 - Identificação
04 - Entidade</t>
        </r>
      </text>
    </comment>
    <comment ref="D357" authorId="3" shapeId="0" xr:uid="{00000000-0006-0000-0100-000029020000}">
      <text>
        <r>
          <rPr>
            <sz val="9"/>
            <color indexed="81"/>
            <rFont val="Segoe UI"/>
            <family val="2"/>
          </rPr>
          <t xml:space="preserve">01 - Código
02 - Pais
03 - UF
04 - CEP
05 - Logradouro
06 - Numero
07 - Bairro
08 - distrito
09 - Zoneamento
10 - Latitude
11 - Longitude
-- Dados atuais
12 - Código
13 - Pais
14 - UF
15 - CEP
16 - Logradouro
17 - Numero
18 - Bairro
19 - distrito
20 - Zoneamento
21 - Latitude
22 - Longitude
23 - Comando
24 - Mensagem
</t>
        </r>
      </text>
    </comment>
    <comment ref="E357" authorId="3" shapeId="0" xr:uid="{00000000-0006-0000-0100-00002A020000}">
      <text>
        <r>
          <rPr>
            <sz val="9"/>
            <color indexed="81"/>
            <rFont val="Segoe UI"/>
            <family val="2"/>
          </rPr>
          <t>01 - Imóvel
02 - Inventário</t>
        </r>
      </text>
    </comment>
    <comment ref="D358" authorId="1" shapeId="0" xr:uid="{00000000-0006-0000-0100-00002B020000}">
      <text>
        <r>
          <rPr>
            <sz val="9"/>
            <color indexed="81"/>
            <rFont val="Segoe UI"/>
            <family val="2"/>
          </rPr>
          <t xml:space="preserve">01 - código do imóvel
02 - matricula
03 - livro
04 - folha
05 - descrição
06 - área construida
07 - área total do terremo
08 - cartorio
09 - CNPJ
10 - Municipio
11 - anexo
12 - área total do terremo
13 - área total construída
14 - origem
15 - comando
16 - mensagem
</t>
        </r>
      </text>
    </comment>
    <comment ref="E358" authorId="1" shapeId="0" xr:uid="{00000000-0006-0000-0100-00002C020000}">
      <text>
        <r>
          <rPr>
            <sz val="9"/>
            <color indexed="81"/>
            <rFont val="Segoe UI"/>
            <family val="2"/>
          </rPr>
          <t>01 - Imóvel Inventariar
02 - Cartório
03 - Municipio</t>
        </r>
      </text>
    </comment>
    <comment ref="D359" authorId="2" shapeId="0" xr:uid="{00000000-0006-0000-0100-00002D020000}">
      <text>
        <r>
          <rPr>
            <b/>
            <sz val="9"/>
            <color indexed="81"/>
            <rFont val="Segoe UI"/>
            <family val="2"/>
          </rPr>
          <t xml:space="preserve">* Vínculo Imóvel
</t>
        </r>
        <r>
          <rPr>
            <sz val="9"/>
            <color indexed="81"/>
            <rFont val="Segoe UI"/>
            <family val="2"/>
          </rPr>
          <t xml:space="preserve">01 - código
02 - código imóvel pai
03 - código imóvel filho
04 - flag ativo
</t>
        </r>
        <r>
          <rPr>
            <b/>
            <sz val="9"/>
            <color indexed="81"/>
            <rFont val="Segoe UI"/>
            <family val="2"/>
          </rPr>
          <t>* Matrícula Pai</t>
        </r>
        <r>
          <rPr>
            <sz val="9"/>
            <color indexed="81"/>
            <rFont val="Segoe UI"/>
            <family val="2"/>
          </rPr>
          <t xml:space="preserve">
05 - matrícula
06 - município
07 - área total do terreno
08 - descrição
09 - quantidade de vínculos 
</t>
        </r>
        <r>
          <rPr>
            <b/>
            <sz val="9"/>
            <color indexed="81"/>
            <rFont val="Segoe UI"/>
            <family val="2"/>
          </rPr>
          <t xml:space="preserve">* Município
</t>
        </r>
        <r>
          <rPr>
            <sz val="9"/>
            <color indexed="81"/>
            <rFont val="Segoe UI"/>
            <family val="2"/>
          </rPr>
          <t xml:space="preserve">10 - descrição
11 - comando
12 - mensagem
</t>
        </r>
      </text>
    </comment>
    <comment ref="E359" authorId="2" shapeId="0" xr:uid="{00000000-0006-0000-0100-00002E020000}">
      <text>
        <r>
          <rPr>
            <sz val="9"/>
            <color indexed="81"/>
            <rFont val="Segoe UI"/>
            <family val="2"/>
          </rPr>
          <t>01 - Vínculo Imóvel
02 - Matrícula Pai
03 - Município
04 - Imóvel Inventariar</t>
        </r>
      </text>
    </comment>
    <comment ref="D360" authorId="1" shapeId="0" xr:uid="{00000000-0006-0000-0100-00002F020000}">
      <text>
        <r>
          <rPr>
            <sz val="9"/>
            <color indexed="81"/>
            <rFont val="Segoe UI"/>
            <family val="2"/>
          </rPr>
          <t>01 - código do imóvel
02 - matricula
03 - ficha
04 - área construida
05 - data de registro
06 - livro
07 - folha
08 - descrição
09 - Possui Matricula
10 - Justificativa
11 - cartorio
12 - CNPJ
13 - Municipio
14 - UF
15 - Objeto
16 - anexo
17 - origem
18 - comando
9 - mensagem</t>
        </r>
      </text>
    </comment>
    <comment ref="E360" authorId="1" shapeId="0" xr:uid="{00000000-0006-0000-0100-000030020000}">
      <text>
        <r>
          <rPr>
            <sz val="9"/>
            <color indexed="81"/>
            <rFont val="Segoe UI"/>
            <family val="2"/>
          </rPr>
          <t>01 - Imóvel Inventariar
02 - Cartório
03 - Municipio</t>
        </r>
      </text>
    </comment>
    <comment ref="D361" authorId="1" shapeId="0" xr:uid="{00000000-0006-0000-0100-000031020000}">
      <text>
        <r>
          <rPr>
            <sz val="9"/>
            <color indexed="81"/>
            <rFont val="Segoe UI"/>
            <family val="2"/>
          </rPr>
          <t>01 - código do imóvel
02 - código da matricula
03 - origem
04 - comando
04 - mensagem</t>
        </r>
      </text>
    </comment>
    <comment ref="E361" authorId="1" shapeId="0" xr:uid="{00000000-0006-0000-0100-000032020000}">
      <text>
        <r>
          <rPr>
            <sz val="9"/>
            <color indexed="81"/>
            <rFont val="Segoe UI"/>
            <family val="2"/>
          </rPr>
          <t xml:space="preserve">01 - Imóvel Inventariar
</t>
        </r>
      </text>
    </comment>
    <comment ref="D362" authorId="1" shapeId="0" xr:uid="{00000000-0006-0000-0100-000033020000}">
      <text>
        <r>
          <rPr>
            <sz val="9"/>
            <color indexed="81"/>
            <rFont val="Segoe UI"/>
            <family val="2"/>
          </rPr>
          <t>01 - código do imóvel
02 - matricula
03 - ficha
04 - área construida
05 - data de registro
06 - livro
07 - folha
08 - descrição
09 - Possui Matricula
10 - Justificativa
11 - cartorio
12 - CNPJ
13 - Municipio
14 - UF
15 - Objeto
16 - anexo
17 - origem
18 - comando
19 - mensagem</t>
        </r>
      </text>
    </comment>
    <comment ref="E362" authorId="1" shapeId="0" xr:uid="{00000000-0006-0000-0100-000034020000}">
      <text>
        <r>
          <rPr>
            <sz val="9"/>
            <color indexed="81"/>
            <rFont val="Segoe UI"/>
            <family val="2"/>
          </rPr>
          <t>01 - Imóvel Inventariar
02 - Cartório
03 - Municipio</t>
        </r>
      </text>
    </comment>
    <comment ref="D363" authorId="1" shapeId="0" xr:uid="{00000000-0006-0000-0100-000035020000}">
      <text>
        <r>
          <rPr>
            <sz val="9"/>
            <color indexed="81"/>
            <rFont val="Segoe UI"/>
            <family val="2"/>
          </rPr>
          <t>01 - código do imóvel
02 - matricula
03 - ficha
04 - área construida
05 - data de registro
06 - livro
07 - folha
08 - descrição
09 - Possui Matricula
10 - Justificativa
11 - cartorio
12 - CNPJ
13 - Municipio
14 - UF
15 - Objeto
16 - anexo
17 - origem
18 - comando
19 - mensagem</t>
        </r>
      </text>
    </comment>
    <comment ref="E363" authorId="1" shapeId="0" xr:uid="{00000000-0006-0000-0100-000036020000}">
      <text>
        <r>
          <rPr>
            <sz val="9"/>
            <color indexed="81"/>
            <rFont val="Segoe UI"/>
            <family val="2"/>
          </rPr>
          <t>01 - Imóvel Inventariar
02 - Cartório
03 - Municipio</t>
        </r>
      </text>
    </comment>
    <comment ref="D364" authorId="2" shapeId="0" xr:uid="{00000000-0006-0000-0100-000037020000}">
      <text>
        <r>
          <rPr>
            <b/>
            <sz val="9"/>
            <color indexed="81"/>
            <rFont val="Segoe UI"/>
            <family val="2"/>
          </rPr>
          <t xml:space="preserve">* Vínculo Imóvel
</t>
        </r>
        <r>
          <rPr>
            <sz val="9"/>
            <color indexed="81"/>
            <rFont val="Segoe UI"/>
            <family val="2"/>
          </rPr>
          <t xml:space="preserve">01 - código
02 - código matrícula pai
03 - código imóvel filho
04 - flag ativo
05 - usuário cadastro
06 - data cadastro
</t>
        </r>
        <r>
          <rPr>
            <b/>
            <sz val="9"/>
            <color indexed="81"/>
            <rFont val="Segoe UI"/>
            <family val="2"/>
          </rPr>
          <t xml:space="preserve">
* Controle de Matrícula
</t>
        </r>
        <r>
          <rPr>
            <sz val="9"/>
            <color indexed="81"/>
            <rFont val="Segoe UI"/>
            <family val="2"/>
          </rPr>
          <t xml:space="preserve">07 - código
08 - código matrícula pai
09 - dígito atual
10 - usuário cadastro
11 - data cadastro
</t>
        </r>
        <r>
          <rPr>
            <b/>
            <sz val="9"/>
            <color indexed="81"/>
            <rFont val="Segoe UI"/>
            <family val="2"/>
          </rPr>
          <t>* Imóvel</t>
        </r>
        <r>
          <rPr>
            <sz val="9"/>
            <color indexed="81"/>
            <rFont val="Segoe UI"/>
            <family val="2"/>
          </rPr>
          <t xml:space="preserve">
12 - código
13 - matrícula
14 - usuário cadastro
15 - usuário alteração
16 - Flag Inventariando Imóvel
17 - N° Livro
18 - N° Folha
19 - Descrição
20 - Área Construída
21 - Nº Ficha
22 - Data de registro
23 - Cartório
24 - Objeto
25 - Anexo
26 - Data Vínculo
27 - comando
28 - mensagem</t>
        </r>
      </text>
    </comment>
    <comment ref="E364" authorId="1" shapeId="0" xr:uid="{00000000-0006-0000-0100-000038020000}">
      <text>
        <r>
          <rPr>
            <sz val="9"/>
            <color indexed="81"/>
            <rFont val="Segoe UI"/>
            <family val="2"/>
          </rPr>
          <t>01 - Vínculo Imóvel
02 - Imóvel Inventariar
03 - Matrícula Pai</t>
        </r>
      </text>
    </comment>
    <comment ref="D365" authorId="2" shapeId="0" xr:uid="{00000000-0006-0000-0100-000039020000}">
      <text>
        <r>
          <rPr>
            <b/>
            <sz val="9"/>
            <color indexed="81"/>
            <rFont val="Segoe UI"/>
            <family val="2"/>
          </rPr>
          <t xml:space="preserve">* Vínculo Imóvel
</t>
        </r>
        <r>
          <rPr>
            <sz val="9"/>
            <color indexed="81"/>
            <rFont val="Segoe UI"/>
            <family val="2"/>
          </rPr>
          <t xml:space="preserve">01 - código
02 - flag ativo
03 - usuário alteração
04 - data alteração
</t>
        </r>
        <r>
          <rPr>
            <b/>
            <sz val="9"/>
            <color indexed="81"/>
            <rFont val="Segoe UI"/>
            <family val="2"/>
          </rPr>
          <t>* Imóvel</t>
        </r>
        <r>
          <rPr>
            <sz val="9"/>
            <color indexed="81"/>
            <rFont val="Segoe UI"/>
            <family val="2"/>
          </rPr>
          <t xml:space="preserve">
05 - código
06 - matrícula
07 - usuário alteração
08 - data alteração
09 - Flag Inventariando Imóvel
10 - comando
11 - mensagem</t>
        </r>
      </text>
    </comment>
    <comment ref="E365" authorId="1" shapeId="0" xr:uid="{00000000-0006-0000-0100-00003A020000}">
      <text>
        <r>
          <rPr>
            <sz val="9"/>
            <color indexed="81"/>
            <rFont val="Segoe UI"/>
            <family val="2"/>
          </rPr>
          <t>01 - Vínculo Imóvel
02 - Matrícula Pai
03 - Imóvel Inventariar</t>
        </r>
      </text>
    </comment>
    <comment ref="D366" authorId="3" shapeId="0" xr:uid="{00000000-0006-0000-0100-00003B020000}">
      <text>
        <r>
          <rPr>
            <sz val="9"/>
            <color indexed="81"/>
            <rFont val="Segoe UI"/>
            <family val="2"/>
          </rPr>
          <t>1 - Código PF
2 - Nome
3 - Nome Social
4 - CPF
5 - Status PF
6 - Código PJ
7 - Razão Social
8 - Nome Fantasia
9 - CNPJ
10 - Status PF
11 - Responsável Patrimonial
12 -Sigla
13 - CNPJ
14 - CMD
15 - MSG</t>
        </r>
      </text>
    </comment>
    <comment ref="E366" authorId="3" shapeId="0" xr:uid="{00000000-0006-0000-0100-00003C020000}">
      <text>
        <r>
          <rPr>
            <sz val="9"/>
            <color indexed="81"/>
            <rFont val="Segoe UI"/>
            <family val="2"/>
          </rPr>
          <t>01 - Imóvel
02 - Inventario
03 - Identificação
04 - PF
05 - PJ</t>
        </r>
      </text>
    </comment>
    <comment ref="D367" authorId="3" shapeId="0" xr:uid="{00000000-0006-0000-0100-00003D020000}">
      <text>
        <r>
          <rPr>
            <sz val="9"/>
            <color indexed="81"/>
            <rFont val="Segoe UI"/>
            <family val="2"/>
          </rPr>
          <t>1 - Código PF
2 - Nome
3 - Nome Social
4 - CPF
5 - Status PF
6 - Código PJ
7 - Razão Social
8 - Nome Fantasia
9 - CNPJ
10 - Status PF
11 - Responsável Patrimonial
12 -Sigla
13 - CNPJ
14 - CMD
15 - MSG</t>
        </r>
      </text>
    </comment>
    <comment ref="E367" authorId="3" shapeId="0" xr:uid="{00000000-0006-0000-0100-00003E020000}">
      <text>
        <r>
          <rPr>
            <sz val="9"/>
            <color indexed="81"/>
            <rFont val="Segoe UI"/>
            <family val="2"/>
          </rPr>
          <t>01 - Imóvel
02 - Inventario
03 - Identificação
04 - PF
05 - PJ</t>
        </r>
      </text>
    </comment>
    <comment ref="D368" authorId="3" shapeId="0" xr:uid="{00000000-0006-0000-0100-00003F020000}">
      <text>
        <r>
          <rPr>
            <sz val="9"/>
            <color indexed="81"/>
            <rFont val="Segoe UI"/>
            <family val="2"/>
          </rPr>
          <t>1 - Código PF
2 - Nome
3 - Nome Social
4 - CPF
5 - Status PF
6 - Código PJ
7 - Razão Social
8 - Nome Fantasia
9 - CNPJ
10 - Status PF
11 - Responsável Patrimonial
12 -Sigla
13 - CNPJ</t>
        </r>
      </text>
    </comment>
    <comment ref="E368" authorId="3" shapeId="0" xr:uid="{00000000-0006-0000-0100-000040020000}">
      <text>
        <r>
          <rPr>
            <sz val="9"/>
            <color indexed="81"/>
            <rFont val="Segoe UI"/>
            <family val="2"/>
          </rPr>
          <t>01 - Imóvel
02 - Inventario
03 - Identificação
04 - PF
05 - PJ</t>
        </r>
      </text>
    </comment>
    <comment ref="D369" authorId="2" shapeId="0" xr:uid="{00000000-0006-0000-0100-000041020000}">
      <text>
        <r>
          <rPr>
            <b/>
            <sz val="9"/>
            <color indexed="81"/>
            <rFont val="Segoe UI"/>
            <family val="2"/>
          </rPr>
          <t xml:space="preserve">* Ocupantes
</t>
        </r>
        <r>
          <rPr>
            <sz val="9"/>
            <color indexed="81"/>
            <rFont val="Segoe UI"/>
            <family val="2"/>
          </rPr>
          <t xml:space="preserve">01 - código
02 - código identificação
03 - ocupante
04 - código finalidade da ocupação
05 - código tipo outorga
06 - número documento
07 - início vigência
08 - fim vigência
09 - Tipos de Cadastro
10 - data fim unidade
11 - comando
12 - mensagem
</t>
        </r>
      </text>
    </comment>
    <comment ref="E369" authorId="2" shapeId="0" xr:uid="{00000000-0006-0000-0100-000042020000}">
      <text>
        <r>
          <rPr>
            <sz val="9"/>
            <color indexed="81"/>
            <rFont val="Segoe UI"/>
            <family val="2"/>
          </rPr>
          <t>01 - Identificação Inventariar
02 - Pessoa Jurídica
03 - Imóvel Inventariar
04 - Pessoa Física
05 - Órgão/Entidade
06 - Unidade</t>
        </r>
      </text>
    </comment>
    <comment ref="D370" authorId="2" shapeId="0" xr:uid="{00000000-0006-0000-0100-000043020000}">
      <text>
        <r>
          <rPr>
            <b/>
            <sz val="9"/>
            <color indexed="81"/>
            <rFont val="Segoe UI"/>
            <family val="2"/>
          </rPr>
          <t xml:space="preserve">* Ocupantes
</t>
        </r>
        <r>
          <rPr>
            <sz val="9"/>
            <color indexed="81"/>
            <rFont val="Segoe UI"/>
            <family val="2"/>
          </rPr>
          <t xml:space="preserve">01 - código
02 - código identificação
03 - ocupante
04 - código finalidade da ocupação
05 - código tipo outorga
06 - justificativa outorga
07 - oneroso
08 - número do contrato
09 - número do processo
10 - valor mensal do contrato
11 - valor anual do contrato
12 - número documento
13 - início vigência
14 - fim vigência
15 - Tipos de Cadastro
16 - data fim unidade
17 - comando
18 - mensagem
</t>
        </r>
      </text>
    </comment>
    <comment ref="E370" authorId="2" shapeId="0" xr:uid="{00000000-0006-0000-0100-000044020000}">
      <text>
        <r>
          <rPr>
            <sz val="9"/>
            <color indexed="81"/>
            <rFont val="Segoe UI"/>
            <family val="2"/>
          </rPr>
          <t>01 - Identificação Inventariar
02 - Pessoa Jurídica
03 - Imóvel Inventariar
04 - Pessoa Física
05 - Órgão/Entidade
06 - Unidade</t>
        </r>
      </text>
    </comment>
    <comment ref="D371" authorId="2" shapeId="0" xr:uid="{00000000-0006-0000-0100-000045020000}">
      <text>
        <r>
          <rPr>
            <b/>
            <sz val="9"/>
            <color indexed="81"/>
            <rFont val="Segoe UI"/>
            <family val="2"/>
          </rPr>
          <t xml:space="preserve">* Ocupantes
</t>
        </r>
        <r>
          <rPr>
            <sz val="9"/>
            <color indexed="81"/>
            <rFont val="Segoe UI"/>
            <family val="2"/>
          </rPr>
          <t>01 - código
02 - código identificação
03 - ocupante
04 - código finalidade da ocupação
05 - código tipo outorga
06 - oneroso
07 - número do contrato
08 - número do processo
09 - valor mensal do contrato
10 - valor anual do contrato
11 - número documento
12 - início vigência
13 - fim vigência
14 - Tipos de Cadastro</t>
        </r>
      </text>
    </comment>
    <comment ref="E371" authorId="2" shapeId="0" xr:uid="{00000000-0006-0000-0100-000046020000}">
      <text>
        <r>
          <rPr>
            <sz val="9"/>
            <color indexed="81"/>
            <rFont val="Segoe UI"/>
            <family val="2"/>
          </rPr>
          <t>01 - Identificação Inventariar
02 - Pessoa Jurídica
03 - Pessoa Física
04 - Órgão/Entidade
05 - Unidade</t>
        </r>
      </text>
    </comment>
    <comment ref="D372" authorId="2" shapeId="0" xr:uid="{00000000-0006-0000-0100-000047020000}">
      <text>
        <r>
          <rPr>
            <b/>
            <sz val="9"/>
            <color indexed="81"/>
            <rFont val="Segoe UI"/>
            <family val="2"/>
          </rPr>
          <t xml:space="preserve">* Ocupantes
</t>
        </r>
        <r>
          <rPr>
            <sz val="9"/>
            <color indexed="81"/>
            <rFont val="Segoe UI"/>
            <family val="2"/>
          </rPr>
          <t xml:space="preserve">01 - código
02 - ocupante
03 - código finalidade da ocupação
04 - código tipo outorga
05 - número documento
06 - início vigência
07 - fim vigência
08 - Tipos de Cadastro
</t>
        </r>
        <r>
          <rPr>
            <b/>
            <sz val="9"/>
            <color indexed="81"/>
            <rFont val="Segoe UI"/>
            <family val="2"/>
          </rPr>
          <t>* Finalidade da ocupação</t>
        </r>
        <r>
          <rPr>
            <sz val="9"/>
            <color indexed="81"/>
            <rFont val="Segoe UI"/>
            <family val="2"/>
          </rPr>
          <t xml:space="preserve">
09 - descrição
</t>
        </r>
        <r>
          <rPr>
            <b/>
            <sz val="9"/>
            <color indexed="81"/>
            <rFont val="Segoe UI"/>
            <family val="2"/>
          </rPr>
          <t>* Tipo de outorga</t>
        </r>
        <r>
          <rPr>
            <sz val="9"/>
            <color indexed="81"/>
            <rFont val="Segoe UI"/>
            <family val="2"/>
          </rPr>
          <t xml:space="preserve">
10 - descrição
</t>
        </r>
        <r>
          <rPr>
            <b/>
            <sz val="9"/>
            <color indexed="81"/>
            <rFont val="Segoe UI"/>
            <family val="2"/>
          </rPr>
          <t xml:space="preserve">* Órgão
</t>
        </r>
        <r>
          <rPr>
            <sz val="9"/>
            <color indexed="81"/>
            <rFont val="Segoe UI"/>
            <family val="2"/>
          </rPr>
          <t>11 - descrição
12 - comando
13 - mensagem</t>
        </r>
      </text>
    </comment>
    <comment ref="E372" authorId="2" shapeId="0" xr:uid="{00000000-0006-0000-0100-000048020000}">
      <text>
        <r>
          <rPr>
            <sz val="9"/>
            <color indexed="81"/>
            <rFont val="Segoe UI"/>
            <family val="2"/>
          </rPr>
          <t>01 - Identificação Inventariar
02 - Pessoa Jurídica
03 - Pessoa Física</t>
        </r>
      </text>
    </comment>
    <comment ref="D373" authorId="2" shapeId="0" xr:uid="{00000000-0006-0000-0100-000049020000}">
      <text>
        <r>
          <rPr>
            <b/>
            <sz val="9"/>
            <color indexed="81"/>
            <rFont val="Segoe UI"/>
            <family val="2"/>
          </rPr>
          <t xml:space="preserve">* Ocupantes
</t>
        </r>
        <r>
          <rPr>
            <sz val="9"/>
            <color indexed="81"/>
            <rFont val="Segoe UI"/>
            <family val="2"/>
          </rPr>
          <t xml:space="preserve">01 - código
02 - comando
03 - mensagem
</t>
        </r>
      </text>
    </comment>
    <comment ref="E373" authorId="2" shapeId="0" xr:uid="{00000000-0006-0000-0100-00004A020000}">
      <text>
        <r>
          <rPr>
            <sz val="9"/>
            <color indexed="81"/>
            <rFont val="Segoe UI"/>
            <family val="2"/>
          </rPr>
          <t xml:space="preserve">01 - Identificação Inventariar
</t>
        </r>
      </text>
    </comment>
    <comment ref="D374" authorId="2" shapeId="0" xr:uid="{00000000-0006-0000-0100-00004B020000}">
      <text>
        <r>
          <rPr>
            <sz val="9"/>
            <color indexed="81"/>
            <rFont val="Segoe UI"/>
            <family val="2"/>
          </rPr>
          <t xml:space="preserve">01 - Código
02 - Tipo Titularidade
03 - Titularidade
04 - CNPJ
05 - Responsavel Patrimonial
06 - Entidade / UA
07-  Sigla
08 - CNPJ Resp Patrimonial
09 - Entidade / UA Ocupante
10 - Ocupante
11 - Ocupação
12 - Outorga
13 - Inicio Vigencia
14 - Fim Vigência
16 - Documento
17 - Comando
18 - Mensagem
</t>
        </r>
      </text>
    </comment>
    <comment ref="E374" authorId="2" shapeId="0" xr:uid="{00000000-0006-0000-0100-00004C020000}">
      <text>
        <r>
          <rPr>
            <sz val="9"/>
            <color indexed="81"/>
            <rFont val="Segoe UI"/>
            <family val="2"/>
          </rPr>
          <t>01 - Identificação Inventariar
02 - Pessoa Jurídica
03 - Pessoa Física
04 - Órgão/Entidade
05 - Unidade</t>
        </r>
      </text>
    </comment>
    <comment ref="D377" authorId="3" shapeId="0" xr:uid="{F1B61AC6-CD0F-4E4A-B2BE-6D9C959B5099}">
      <text>
        <r>
          <rPr>
            <sz val="9"/>
            <color indexed="81"/>
            <rFont val="Segoe UI"/>
            <family val="2"/>
          </rPr>
          <t>01 - Responsável
02 - Razão Social
03 - Demanda de inventario 
04 - Ocupante
05 - Entidade / UA do Responsavel Patrimonial 
06 - Comando
07 - Mensagem</t>
        </r>
      </text>
    </comment>
    <comment ref="E377" authorId="3" shapeId="0" xr:uid="{7B11DEA8-B952-4041-B83E-3E31E13A3179}">
      <text>
        <r>
          <rPr>
            <sz val="9"/>
            <color indexed="81"/>
            <rFont val="Segoe UI"/>
            <family val="2"/>
          </rPr>
          <t>01 - Entidade
02 - Demanda de inventário</t>
        </r>
      </text>
    </comment>
    <comment ref="D378" authorId="3" shapeId="0" xr:uid="{00000000-0006-0000-0100-00004F020000}">
      <text>
        <r>
          <rPr>
            <sz val="9"/>
            <color indexed="81"/>
            <rFont val="Segoe UI"/>
            <family val="2"/>
          </rPr>
          <t xml:space="preserve">01 - Código
02 - Descrição
</t>
        </r>
      </text>
    </comment>
    <comment ref="E378" authorId="3" shapeId="0" xr:uid="{00000000-0006-0000-0100-000050020000}">
      <text>
        <r>
          <rPr>
            <sz val="9"/>
            <color indexed="81"/>
            <rFont val="Segoe UI"/>
            <family val="2"/>
          </rPr>
          <t>01 - Entidade</t>
        </r>
      </text>
    </comment>
    <comment ref="D379" authorId="3" shapeId="0" xr:uid="{00000000-0006-0000-0100-000051020000}">
      <text>
        <r>
          <rPr>
            <sz val="9"/>
            <color indexed="81"/>
            <rFont val="Segoe UI"/>
            <family val="2"/>
          </rPr>
          <t xml:space="preserve">01 - Código
02 - Descrição
</t>
        </r>
      </text>
    </comment>
    <comment ref="E379" authorId="3" shapeId="0" xr:uid="{00000000-0006-0000-0100-000052020000}">
      <text>
        <r>
          <rPr>
            <sz val="9"/>
            <color indexed="81"/>
            <rFont val="Segoe UI"/>
            <family val="2"/>
          </rPr>
          <t>01 - Demanda de Inventário</t>
        </r>
      </text>
    </comment>
    <comment ref="D380" authorId="3" shapeId="0" xr:uid="{00000000-0006-0000-0100-000053020000}">
      <text>
        <r>
          <rPr>
            <sz val="9"/>
            <color indexed="81"/>
            <rFont val="Segoe UI"/>
            <family val="2"/>
          </rPr>
          <t xml:space="preserve">01 - Código
02 - Descrição
</t>
        </r>
      </text>
    </comment>
    <comment ref="E380" authorId="3" shapeId="0" xr:uid="{00000000-0006-0000-0100-000054020000}">
      <text>
        <r>
          <rPr>
            <sz val="9"/>
            <color indexed="81"/>
            <rFont val="Segoe UI"/>
            <family val="2"/>
          </rPr>
          <t>01 - Demanda de Inventário</t>
        </r>
      </text>
    </comment>
    <comment ref="D381" authorId="3" shapeId="0" xr:uid="{CA1FF230-445F-41A4-8EE6-D7B6C4C29510}">
      <text>
        <r>
          <rPr>
            <sz val="9"/>
            <color indexed="81"/>
            <rFont val="Segoe UI"/>
            <family val="2"/>
          </rPr>
          <t>01 - Código
02 - Ocupante
03 - Situacao
04 - Municipio
05 - Matricula
06 - Nome
07 - RIP
08 - Responsável Patrimonial
09 - Tooltip Matricula
10 - Razão Social
11 - Comando
12 - Mensagem</t>
        </r>
      </text>
    </comment>
    <comment ref="E381" authorId="3" shapeId="0" xr:uid="{56EBD003-702D-42E2-BE73-6CCCA286A21A}">
      <text>
        <r>
          <rPr>
            <sz val="9"/>
            <color indexed="81"/>
            <rFont val="Segoe UI"/>
            <family val="2"/>
          </rPr>
          <t>01 - Entidade
02 - Demanda de inventário</t>
        </r>
      </text>
    </comment>
    <comment ref="D382" authorId="3" shapeId="0" xr:uid="{00000000-0006-0000-0100-000057020000}">
      <text>
        <r>
          <rPr>
            <sz val="9"/>
            <color indexed="81"/>
            <rFont val="Segoe UI"/>
            <family val="2"/>
          </rPr>
          <t>01 - Imóvel
02 - Usuário
03 - Data de Cadastro
04 - Origem
05 - Local
06 - CMD
07 - MSG</t>
        </r>
      </text>
    </comment>
    <comment ref="E382" authorId="3" shapeId="0" xr:uid="{00000000-0006-0000-0100-000058020000}">
      <text>
        <r>
          <rPr>
            <sz val="9"/>
            <color indexed="81"/>
            <rFont val="Segoe UI"/>
            <family val="2"/>
          </rPr>
          <t>01 - Demanda de Inventário
02 - Histórico
03 - Usuário</t>
        </r>
      </text>
    </comment>
    <comment ref="D383" authorId="3" shapeId="0" xr:uid="{00000000-0006-0000-0100-000059020000}">
      <text>
        <r>
          <rPr>
            <sz val="9"/>
            <color indexed="81"/>
            <rFont val="Segoe UI"/>
            <family val="2"/>
          </rPr>
          <t>01 - Código
02 - Ocupante
03 - Situacao
04 - Municipio
05 - Matricula
06 - Nome
07 - RIP
08 - Responsável Patrimonial
09 - Data cadastro
10 - Usuario Cadastro
11 - Data Alteração
12 - Usuario Alteração
13 - Razão Social
14 - Comando
15 - Mensagem</t>
        </r>
      </text>
    </comment>
    <comment ref="E383" authorId="3" shapeId="0" xr:uid="{00000000-0006-0000-0100-00005A020000}">
      <text>
        <r>
          <rPr>
            <sz val="9"/>
            <color indexed="81"/>
            <rFont val="Segoe UI"/>
            <family val="2"/>
          </rPr>
          <t>01 - Entidade
02 - Demanda de inventário</t>
        </r>
      </text>
    </comment>
    <comment ref="D386" authorId="3" shapeId="0" xr:uid="{00000000-0006-0000-0100-00005B020000}">
      <text>
        <r>
          <rPr>
            <sz val="9"/>
            <color indexed="81"/>
            <rFont val="Segoe UI"/>
            <family val="2"/>
          </rPr>
          <t xml:space="preserve">01 - Código
02 - Exercicio
03 - Tipo Iventario
04 - Prazo termino
05 - Matricula
06 - Nome
07 - Ocupante
08 - Resp a iventariar
09 - Municipio
10 - RIP
11 - Situação
12 - Resp Revisão
13 - Situacao Imovel aguardando revisão
14 - Municipio Imovel aguardando revisão
15 - Matricula Imovel aguardando revisão
16 - Tooltip matricula
17 - Nome Imovel aguardando revisão
18 - RIP Imovel aguardando revisão
19 - Ocupante Imovel aguardando revisão
20 - Resp a Iventariar Imovel aguardando revisão
21 - Resp Revisão Imovel aguardando revisão
22 - Situacao Finalizado
23 - Municipio Finalizado
24 - Matricula Finalizado
25 - Tooltip Matricula
26 - Nome Finalizado
27 - RIP Finalizado
28 - Ocupante Finalizado
29 - Resp a Iventariar Finalizado
30 - Resp Revisão Finalizado
31 - Comando
32 - Mensagem
</t>
        </r>
      </text>
    </comment>
    <comment ref="E386" authorId="3" shapeId="0" xr:uid="{00000000-0006-0000-0100-00005C020000}">
      <text>
        <r>
          <rPr>
            <sz val="9"/>
            <color indexed="81"/>
            <rFont val="Segoe UI"/>
            <family val="2"/>
          </rPr>
          <t>01 - Inventário
02 - Servidor
03 - Imóvel</t>
        </r>
      </text>
    </comment>
    <comment ref="D387" authorId="3" shapeId="0" xr:uid="{00000000-0006-0000-0100-00005D020000}">
      <text>
        <r>
          <rPr>
            <sz val="9"/>
            <color indexed="81"/>
            <rFont val="Segoe UI"/>
            <family val="2"/>
          </rPr>
          <t>01 - Imóvel
02 - Usuário
03 - Data de Cadastro
04 - Origem
05 - Local
06 - CMD
07 - MSG</t>
        </r>
      </text>
    </comment>
    <comment ref="E387" authorId="3" shapeId="0" xr:uid="{00000000-0006-0000-0100-00005E020000}">
      <text>
        <r>
          <rPr>
            <sz val="9"/>
            <color indexed="81"/>
            <rFont val="Segoe UI"/>
            <family val="2"/>
          </rPr>
          <t>01 - Demanda de Inventário
02 - Histórico
03 - Usuário</t>
        </r>
      </text>
    </comment>
    <comment ref="D388" authorId="3" shapeId="0" xr:uid="{00000000-0006-0000-0100-00005F020000}">
      <text>
        <r>
          <rPr>
            <sz val="9"/>
            <color indexed="81"/>
            <rFont val="Segoe UI"/>
            <family val="2"/>
          </rPr>
          <t>01 - codigo
02 - Comando
03 - Mensagem</t>
        </r>
      </text>
    </comment>
    <comment ref="E388" authorId="3" shapeId="0" xr:uid="{00000000-0006-0000-0100-000060020000}">
      <text>
        <r>
          <rPr>
            <sz val="9"/>
            <color indexed="81"/>
            <rFont val="Segoe UI"/>
            <family val="2"/>
          </rPr>
          <t>01 - Demanda de Inventário</t>
        </r>
      </text>
    </comment>
    <comment ref="D389" authorId="3" shapeId="0" xr:uid="{00000000-0006-0000-0100-000061020000}">
      <text>
        <r>
          <rPr>
            <sz val="9"/>
            <color indexed="81"/>
            <rFont val="Segoe UI"/>
            <family val="2"/>
          </rPr>
          <t>01 - Código
02 - Exercicio
03 - Tipo Iventario
04 - Prazo termino
05 - Matricula
06 - Nome
07 - Ocupante
08 - Resp a iventariar
09 - Municipio
10 - RIP
11 - Situação
12 - Resp Revisão
13 - Situacao Imovel aguardando revisão
14 - Municipio Imovel aguardando revisão
15 - Matricula Imovel aguardando revisão
16 - Nome Imovel aguardando revisão
17 - RIP Imovel aguardando revisão
18 - Ocupante Imovel aguardando revisão
19 - Resp a Iventariar Imovel aguardando revisão
20 - Resp Revisão Imovel aguardando revisão
21 - Situacao Finalizado
22 - Municipio Finalizado
23 - Matricula Finalizado
24 - Nome Finalizado
25 - RIP Finalizado
26 - Ocupante Finalizado
27 - Resp a Iventariar Finalizado
28 - Resp Revisão Finalizado
29 - Data cadastro
30 - Usuario Cadastro
31 - Data Alteração
32 - Usuario Alteração
33 - Comando
34 - Mensagem</t>
        </r>
      </text>
    </comment>
    <comment ref="E389" authorId="3" shapeId="0" xr:uid="{00000000-0006-0000-0100-000062020000}">
      <text>
        <r>
          <rPr>
            <sz val="9"/>
            <color indexed="81"/>
            <rFont val="Segoe UI"/>
            <family val="2"/>
          </rPr>
          <t>01 - Inventário
02 - Servidor
03 - Imóvel</t>
        </r>
      </text>
    </comment>
    <comment ref="D392" authorId="3" shapeId="0" xr:uid="{00000000-0006-0000-0100-000063020000}">
      <text>
        <r>
          <rPr>
            <sz val="9"/>
            <color indexed="81"/>
            <rFont val="Segoe UI"/>
            <family val="2"/>
          </rPr>
          <t>01 - Para
02 - Assunto
03 - Anexo
04 - Resp Patrimonial
05 - Exercicio
06 - Data ini
07 - Data fim
08 - Resp Legal
09 - resp Setorial
10 - Oficio
11 - Data Notificação
12 - Matricula
13 - nome
14 - CPF
15 - Portaria
16 - Data portaria
17 - Res Inclsuão
18 - Texto Complementar
19 - Comando
20 - Mensagem</t>
        </r>
      </text>
    </comment>
    <comment ref="E392" authorId="3" shapeId="0" xr:uid="{00000000-0006-0000-0100-000064020000}">
      <text>
        <r>
          <rPr>
            <sz val="9"/>
            <color indexed="81"/>
            <rFont val="Segoe UI"/>
            <family val="2"/>
          </rPr>
          <t>01 - Inventário
02 - Servidor
03 - Imóvel</t>
        </r>
      </text>
    </comment>
    <comment ref="D393" authorId="3" shapeId="0" xr:uid="{00000000-0006-0000-0100-000065020000}">
      <text>
        <r>
          <rPr>
            <sz val="9"/>
            <color indexed="81"/>
            <rFont val="Segoe UI"/>
            <family val="2"/>
          </rPr>
          <t>01 - Código
02 - Resp Patrimonial
03 - Exercicio
04 - Data ini
05 - Data fim
06 - Resp Legal
07 - Resp Setorial
08 - Matricula
09 - Nome
10 - CPF
11 - Portaria
12 - Data portaria
12 - Res Inclusão
14 - Comando
15 - Mensagem</t>
        </r>
      </text>
    </comment>
    <comment ref="E393" authorId="3" shapeId="0" xr:uid="{00000000-0006-0000-0100-000066020000}">
      <text>
        <r>
          <rPr>
            <sz val="9"/>
            <color indexed="81"/>
            <rFont val="Segoe UI"/>
            <family val="2"/>
          </rPr>
          <t>01 - Inventário
02 - Servidor</t>
        </r>
      </text>
    </comment>
    <comment ref="D396" authorId="3" shapeId="0" xr:uid="{00000000-0006-0000-0100-000067020000}">
      <text>
        <r>
          <rPr>
            <sz val="9"/>
            <color indexed="81"/>
            <rFont val="Segoe UI"/>
            <family val="2"/>
          </rPr>
          <t>1. Código
2. Responsável patrimonial
3. Objetivo
4. Desenvolvimento/Metodologia
5. Nome imóvel Próprio
6. Municipio imóvel Próprio
7. Matricula imóvel Próprio
8. Proprietário imóvel Próprio
9. Ocupante imóvel Próprio
10. Area terreno imóvel Próprio
11. Area construída imóvel Próprio
12. Valor terreno imóvel Próprio
13. Valor edificação imóvel Próprio
14. Valor do Imóvel imóvel Próprio
15. Total valor terreno imóvel Próprio
16. Total Valor edificação imóvel Próprio
17. Total Valor do imóvel imóvel Próprio
18. Observação Próprio
19. Nome imóvel Terceiro
20. Municipio imóvel Terceiro
21. Matricula imóvel Terceiro
22. Proprietário imóvel Terceiro
23. Ocupante imóvel Terceiro
24. Area terreno imóvel Terceiro
25. Area construída imóvel Terceiro
26. Valor terreno imóvel Terceiro
27. Valor edificação imóvel Terceiro
28. Valor do Imóvel imóvel Terceiro
29. Total valor terreno imóvel Terceiro
30. Total Valor edificação imóvel Terceiro
31. Total Valor do imóvel imóvel Terceiro
32. Observação Terceiro
33. Nome imóvel Locado
34. Nome imóvel Obras em andamento
35. Municipio imóvel Obras em andamento
36. Matricula imóvel Obras em andamento
37. Proprietário imóvel Obras em andamento
38. Ocupante imóvel Obras em andamento
39. Orçamento Previsto
40. Orçamento Executado
41. Total Orçamento Previsto
42. Total Orçamento Executado
43. Observação Obra em Andamento
44. Municipio imóvel Locado
45. Matricula imóvel Locado
46. Proprietário imóvel Locado
47. Ocupante imóvel Locado
48. Area terreno imóvel Locado
49. Area construída imóvel Locado
50. Valor terreno imóvel Locado
51. Valor edificação imóvel Locado
52. Valor do Imóvel imóvel Locado
53. Total valor terreno imóvel Locado
54. Total Valor edificação imóvel Locado
55. Total Valor do imóvel imóvel Locado
56. Motivo Pendências Locado
57. Qtd imóveis Próprios edificados em uso
58. Valor imóveis Próprios edificados em uso
59. Qtd imóveis Próprios edificados sem utilização
60. Valor imóveis Próprios edificados sem utilização
61. Qtd imóveis Próprios não edificados em uso
62. Valor imóveis Próprios não edificados em uso
63. Qtd imóveis Próprios não edificados sem utilização
64. Valor imóveis Próprios não edificados sem utilização
65. Qtd imoves obras em andamento
66. Valor imoves obras em andamento
67. Qtd imóveis de terceiros cessão
68. Valor imóveis de terceiros cessão
69. Qtd imóveis de terceiros locação
70. Valor imóveis de terceiros locação
71. Total geral qtd
72. Valor geral total
73. Nome imóvel Não Iventariados
74. Municipio imóvel Não Iventariados
75. Matricula imóvel Não Iventariados
76. Proprietário imóvel Não Iventariados
77. Ocupante imóvel Não Iventariados
78. Area terreno imóvel Não Iventariados
79. Area construída imóvel Não Iventariados
80. Valor terreno imóvel Não Iventariados
81. Valor edificação imóvel Não Iventariados
82. Valor do Imóvel imóvel Não Iventariados
83. Total valor terreno imóvel Não Iventariados
84. Total Valor edificação imóvel Não Iventariados
85. Total Valor do imóvel imóvel Não Iventariados
86. Motivo Pendências Não Inventariado
87. Matricula
88. Nome
89. CPF
90. Portaria
91. Data portaria
92. Tipo
93. Situacao assinatura
94. Data assinatura
95. Entidade / UA do Resp. Patrimonial
96. Toottip Matricula - Proprio
97. Toottip Matricula - Terceiros em utilização
98. Toottip Matricula - Locados
99. Toottip Matricula - Obras em andamento
100. CMD
101. MSG</t>
        </r>
      </text>
    </comment>
    <comment ref="E396" authorId="3" shapeId="0" xr:uid="{00000000-0006-0000-0100-000068020000}">
      <text>
        <r>
          <rPr>
            <sz val="9"/>
            <color indexed="81"/>
            <rFont val="Segoe UI"/>
            <family val="2"/>
          </rPr>
          <t xml:space="preserve">01 - Imóvel
02 - Inventario
03 - Servidor
</t>
        </r>
      </text>
    </comment>
    <comment ref="D397" authorId="3" shapeId="0" xr:uid="{00000000-0006-0000-0100-000069020000}">
      <text>
        <r>
          <rPr>
            <sz val="9"/>
            <color indexed="81"/>
            <rFont val="Segoe UI"/>
            <family val="2"/>
          </rPr>
          <t>1. Código
2. Responsável patrimonial
3. Objetivo
4. Desenvolvimento/Metodologia
5. Nome imóvel Próprio
6. Municipio imóvel Próprio
7. Matricula imóvel Próprio
8. Proprietário imóvel Próprio
9. Ocupante imóvel Próprio
10. Area terreno imóvel Próprio
11. Area construída imóvel Próprio
12. Valor terreno imóvel Próprio
13. Valor edificação imóvel Próprio
14. Valor do Imóvel imóvel Próprio
15. Total valor terreno imóvel Próprio
16. Total Valor edificação imóvel Próprio
17. Total Valor do imóvel imóvel Próprio
18. Observação Próprio
19. Nome imóvel Terceiro
20. Municipio imóvel Terceiro
21. Matricula imóvel Terceiro
22. Proprietário imóvel Terceiro
23. Ocupante imóvel Terceiro
24. Area terreno imóvel Terceiro
25. Area construída imóvel Terceiro
26. Valor terreno imóvel Terceiro
27. Valor edificação imóvel Terceiro
28. Valor do Imóvel imóvel Terceiro
29. Total valor terreno imóvel Terceiro
30. Total Valor edificação imóvel Terceiro
31. Total Valor do imóvel imóvel Terceiro
32. Observação Terceiro
33. Nome imóvel Locado
34. Nome imóvel Obras em andamento
35. Municipio imóvel Obras em andamento
36. Matricula imóvel Obras em andamento
37. Proprietário imóvel Obras em andamento
38. Ocupante imóvel Obras em andamento
39. Orçamento Previsto
40. Orçamento Executado
41. Total Orçamento Previsto
42. Total Orçamento Executado
43. Observação Obra em Andamento
44. Municipio imóvel Locado
45. Matricula imóvel Locado
46. Proprietário imóvel Locado
47. Ocupante imóvel Locado
48. Area terreno imóvel Locado
49. Area construída imóvel Locado
50. Valor terreno imóvel Locado
51. Valor edificação imóvel Locado
52. Valor do Imóvel imóvel Locado
53. Total valor terreno imóvel Locado
54. Total Valor edificação imóvel Locado
55. Total Valor do imóvel imóvel Locado
56. Motivo Pendências Locado
57. Qtd imóveis Próprios edificados em uso
58. Valor imóveis Próprios edificados em uso
59. Qtd imóveis Próprios edificados sem utilização
60. Valor imóveis Próprios edificados sem utilização
61. Qtd imóveis Próprios não edificados em uso
62. Valor imóveis Próprios não edificados em uso
63. Qtd imóveis Próprios não edificados sem utilização
64. Valor imóveis Próprios não edificados sem utilização
65. Qtd imoves obras em andamento
66. Valor imoves obras em andamento
67. Qtd imóveis de terceiros cessão
68. Valor imóveis de terceiros cessão
69. Qtd imóveis de terceiros locação
70. Valor imóveis de terceiros locação
71. Total geral qtd
72. Valor geral total
73. Nome imóvel Não Iventariados
74. Municipio imóvel Não Iventariados
75. Matricula imóvel Não Iventariados
76. Proprietário imóvel Não Iventariados
77. Ocupante imóvel Não Iventariados
78. Area terreno imóvel Não Iventariados
79. Area construída imóvel Não Iventariados
80. Valor terreno imóvel Não Iventariados
81. Valor edificação imóvel Não Iventariados
82. Valor do Imóvel imóvel Não Iventariados
83. Total valor terreno imóvel Não Iventariados
84. Total Valor edificação imóvel Não Iventariados
85. Total Valor do imóvel imóvel Não Iventariados
86. Motivo Pendências Não Inventariado
87. Matricula
88. Nome
89. CPF
90. Portaria
91. Data portaria
92. Tipo
93. Situacao assinatura
94. Data assinatura
95. CMD
96. MSG</t>
        </r>
      </text>
    </comment>
    <comment ref="E397" authorId="3" shapeId="0" xr:uid="{00000000-0006-0000-0100-00006A020000}">
      <text>
        <r>
          <rPr>
            <sz val="9"/>
            <color indexed="81"/>
            <rFont val="Segoe UI"/>
            <family val="2"/>
          </rPr>
          <t xml:space="preserve">01 - Imóvel
02 - Inventario
03 - Servidor
</t>
        </r>
      </text>
    </comment>
    <comment ref="D398" authorId="3" shapeId="0" xr:uid="{00000000-0006-0000-0100-00006B020000}">
      <text>
        <r>
          <rPr>
            <sz val="9"/>
            <color indexed="81"/>
            <rFont val="Segoe UI"/>
            <family val="2"/>
          </rPr>
          <t xml:space="preserve">1. Código
2. Situacao
3. Flag Inventariando Imóvel
4. Não Edificado
5. Ocupante
6. CMD
7. MSG
</t>
        </r>
      </text>
    </comment>
    <comment ref="E398" authorId="3" shapeId="0" xr:uid="{00000000-0006-0000-0100-00006C020000}">
      <text>
        <r>
          <rPr>
            <sz val="9"/>
            <color indexed="81"/>
            <rFont val="Segoe UI"/>
            <family val="2"/>
          </rPr>
          <t xml:space="preserve">01 - Inventario
02 - Imóvel
</t>
        </r>
      </text>
    </comment>
    <comment ref="D399" authorId="3" shapeId="0" xr:uid="{00000000-0006-0000-0100-00006D020000}">
      <text>
        <r>
          <rPr>
            <sz val="9"/>
            <color indexed="81"/>
            <rFont val="Segoe UI"/>
            <family val="2"/>
          </rPr>
          <t>1. Código
2. Responsável patrimonial
3. Objetivo
4. Desenvolvimento/Metodologia
5. Nome imóvel Próprio
6. Municipio imóvel Próprio
7. Matricula imóvel Próprio
8. Proprietário imóvel Próprio
9. Ocupante imóvel Próprio
10. Area terreno imóvel Próprio
11. Area construída imóvel Próprio
12. Valor terreno imóvel Próprio
13. Valor edificação imóvel Próprio
14. Valor do Imóvel imóvel Próprio
15. Total valor terreno imóvel Próprio
16. Total Valor edificação imóvel Próprio
17. Total Valor do imóvel imóvel Próprio
18. Observação Próprio
19. Nome imóvel Terceiro
20. Municipio imóvel Terceiro
21. Matricula imóvel Terceiro
22. Proprietário imóvel Terceiro
23. Ocupante imóvel Terceiro
24. Area terreno imóvel Terceiro
25. Area construída imóvel Terceiro
26. Valor terreno imóvel Terceiro
27. Valor edificação imóvel Terceiro
28. Valor do Imóvel imóvel Terceiro
29. Total valor terreno imóvel Terceiro
30. Total Valor edificação imóvel Terceiro
31. Total Valor do imóvel imóvel Terceiro
32. Observação Terceiro
33. Nome imóvel Locado
34. Nome imóvel Obras em andamento
35. Municipio imóvel Obras em andamento
36. Matricula imóvel Obras em andamento
37. Proprietário imóvel Obras em andamento
38. Ocupante imóvel Obras em andamento
39. Orçamento Previsto
40. Orçamento Executado
41. Total Orçamento Previsto
42. Total Orçamento Executado
43. Observação Obra em Andamento
44. Municipio imóvel Locado
45. Matricula imóvel Locado
46. Proprietário imóvel Locado
47. Ocupante imóvel Locado
48. Area terreno imóvel Locado
49. Area construída imóvel Locado
50. Valor terreno imóvel Locado
51. Valor edificação imóvel Locado
52. Valor do Imóvel imóvel Locado
53. Total valor terreno imóvel Locado
54. Total Valor edificação imóvel Locado
55. Total Valor do imóvel imóvel Locado
56. Motivo Pendências Locado
57. Qtd imóveis Próprios edificados em uso
58. Valor imóveis Próprios edificados em uso
59. Qtd imóveis Próprios edificados sem utilização
60. Valor imóveis Próprios edificados sem utilização
61. Qtd imóveis Próprios não edificados em uso
62. Valor imóveis Próprios não edificados em uso
63. Qtd imóveis Próprios não edificados sem utilização
64. Valor imóveis Próprios não edificados sem utilização
65. Qtd imoves obras em andamento
66. Valor imoves obras em andamento
67. Qtd imóveis de terceiros cessão
68. Valor imóveis de terceiros cessão
69. Qtd imóveis de terceiros locação
70. Valor imóveis de terceiros locação
71. Total geral qtd
72. Valor geral total
73. Nome imóvel Não Iventariados
74. Municipio imóvel Não Iventariados
75. Matricula imóvel Não Iventariados
76. Proprietário imóvel Não Iventariados
77. Ocupante imóvel Não Iventariados
78. Area terreno imóvel Não Iventariados
79. Area construída imóvel Não Iventariados
80. Valor terreno imóvel Não Iventariados
81. Valor edificação imóvel Não Iventariados
82. Valor do Imóvel imóvel Não Iventariados
83. Total valor terreno imóvel Não Iventariados
84. Total Valor edificação imóvel Não Iventariados
85. Total Valor do imóvel imóvel Não Iventariados
86. Motivo Pendências Não Inventariado
87. Matricula
88. Nome
89. CPF
90. Portaria
91. Data portaria
92. Tipo
93. Situacao assinatura
94. Data assinatura
95. CMD
96. MSG</t>
        </r>
      </text>
    </comment>
    <comment ref="E399" authorId="3" shapeId="0" xr:uid="{00000000-0006-0000-0100-00006E020000}">
      <text>
        <r>
          <rPr>
            <sz val="9"/>
            <color indexed="81"/>
            <rFont val="Segoe UI"/>
            <family val="2"/>
          </rPr>
          <t xml:space="preserve">01 - Imóvel
02 - Inventario
03 - Servidor
</t>
        </r>
      </text>
    </comment>
    <comment ref="D400" authorId="3" shapeId="0" xr:uid="{00000000-0006-0000-0100-00006F020000}">
      <text>
        <r>
          <rPr>
            <sz val="9"/>
            <color indexed="81"/>
            <rFont val="Segoe UI"/>
            <family val="2"/>
          </rPr>
          <t>1. Código
2. Responsável patrimonial
3. Objetivo
4. Desenvolvimento/Metodologia
5. Nome imóvel Próprio
6. Municipio imóvel Próprio
7. Matricula imóvel Próprio
8. Proprietário imóvel Próprio
9. Ocupante imóvel Próprio
10. Area terreno imóvel Próprio
11. Area construída imóvel Próprio
12. Valor terreno imóvel Próprio
13. Valor edificação imóvel Próprio
14. Valor do Imóvel imóvel Próprio
15. Total valor terreno imóvel Próprio
16. Total Valor edificação imóvel Próprio
17. Total Valor do imóvel imóvel Próprio
18. Observação Próprio
19. Nome imóvel Terceiro
20. Municipio imóvel Terceiro
21. Matricula imóvel Terceiro
22. Proprietário imóvel Terceiro
23. Ocupante imóvel Terceiro
24. Area terreno imóvel Terceiro
25. Area construída imóvel Terceiro
26. Valor terreno imóvel Terceiro
27. Valor edificação imóvel Terceiro
28. Valor do Imóvel imóvel Terceiro
29. Total valor terreno imóvel Terceiro
30. Total Valor edificação imóvel Terceiro
31. Total Valor do imóvel imóvel Terceiro
32. Observação Terceiro
33. Nome imóvel Locado
34. Nome imóvel Obras em andamento
35. Municipio imóvel Obras em andamento
36. Matricula imóvel Obras em andamento
37. Proprietário imóvel Obras em andamento
38. Ocupante imóvel Obras em andamento
39. Orçamento Previsto
40. Orçamento Executado
41. Total Orçamento Previsto
42. Total Orçamento Executado
43. Observação Obra em Andamento
44. Municipio imóvel Locado
45. Matricula imóvel Locado
46. Proprietário imóvel Locado
47. Ocupante imóvel Locado
48. Area terreno imóvel Locado
49. Area construída imóvel Locado
50. Valor terreno imóvel Locado
51. Valor edificação imóvel Locado
52. Valor do Imóvel imóvel Locado
53. Total valor terreno imóvel Locado
54. Total Valor edificação imóvel Locado
55. Total Valor do imóvel imóvel Locado
56. Motivo Pendências Locado
57. Qtd imóveis Próprios edificados em uso
58. Valor imóveis Próprios edificados em uso
59. Qtd imóveis Próprios edificados sem utilização
60. Valor imóveis Próprios edificados sem utilização
61. Qtd imóveis Próprios não edificados em uso
62. Valor imóveis Próprios não edificados em uso
63. Qtd imóveis Próprios não edificados sem utilização
64. Valor imóveis Próprios não edificados sem utilização
65. Qtd imoves obras em andamento
66. Valor imoves obras em andamento
67. Qtd imóveis de terceiros cessão
68. Valor imóveis de terceiros cessão
69. Qtd imóveis de terceiros locação
70. Valor imóveis de terceiros locação
71. Total geral qtd
72. Valor geral total
73. Nome imóvel Não Iventariados
74. Municipio imóvel Não Iventariados
75. Matricula imóvel Não Iventariados
76. Proprietário imóvel Não Iventariados
77. Ocupante imóvel Não Iventariados
78. Area terreno imóvel Não Iventariados
79. Area construída imóvel Não Iventariados
80. Valor terreno imóvel Não Iventariados
81. Valor edificação imóvel Não Iventariados
82. Valor do Imóvel imóvel Não Iventariados
83. Total valor terreno imóvel Não Iventariados
84. Total Valor edificação imóvel Não Iventariados
85. Total Valor do imóvel imóvel Não Iventariados
86. Motivo Pendências Não Inventariado
87. Matricula
88. Nome
89. CPF
90. Portaria
91. Data portaria
92. Tipo
93. Situacao assinatura
94. Data assinatura
95. Entidade / UA do Resp. Patrimonial
96. Toottip Matricula - Proprio
97. Toottip Matricula - Terceiros em utilização
98. Toottip Matricula - Locados
99. Toottip Matricula - Obras em andamento</t>
        </r>
      </text>
    </comment>
    <comment ref="E400" authorId="3" shapeId="0" xr:uid="{00000000-0006-0000-0100-000070020000}">
      <text>
        <r>
          <rPr>
            <sz val="9"/>
            <color indexed="81"/>
            <rFont val="Segoe UI"/>
            <family val="2"/>
          </rPr>
          <t xml:space="preserve">01 - Imóvel
02 - Inventario
03 - Servidor
</t>
        </r>
      </text>
    </comment>
    <comment ref="D401" authorId="3" shapeId="0" xr:uid="{00000000-0006-0000-0100-000071020000}">
      <text>
        <r>
          <rPr>
            <sz val="9"/>
            <color indexed="81"/>
            <rFont val="Segoe UI"/>
            <family val="2"/>
          </rPr>
          <t xml:space="preserve">1. Código
2. Usuário
3. Senha
4. CMD
5. MSG
</t>
        </r>
      </text>
    </comment>
    <comment ref="E401" authorId="3" shapeId="0" xr:uid="{00000000-0006-0000-0100-000072020000}">
      <text>
        <r>
          <rPr>
            <sz val="9"/>
            <color indexed="81"/>
            <rFont val="Segoe UI"/>
            <family val="2"/>
          </rPr>
          <t xml:space="preserve">01 - Inventario
02 - Servidor
</t>
        </r>
      </text>
    </comment>
    <comment ref="D402" authorId="3" shapeId="0" xr:uid="{00000000-0006-0000-0100-000073020000}">
      <text>
        <r>
          <rPr>
            <sz val="9"/>
            <color indexed="81"/>
            <rFont val="Segoe UI"/>
            <family val="2"/>
          </rPr>
          <t>1. Código
2. Responsável patrimonial
3. Objetivo
4. Desenvolvimento/Metodologia
5. Nome imóvel Próprio
6. Municipio imóvel Próprio
7. Matricula imóvel Próprio
8. Proprietário imóvel Próprio
9. Ocupante imóvel Próprio
10. Area terreno imóvel Próprio
11. Area construída imóvel Próprio
12. Valor terreno imóvel Próprio
13. Valor edificação imóvel Próprio
14. Valor do Imóvel imóvel Próprio
15. Total valor terreno imóvel Próprio
16. Total Valor edificação imóvel Próprio
17. Total Valor do imóvel imóvel Próprio
18. Observação Próprio
19. Nome imóvel Terceiro
20. Municipio imóvel Terceiro
21. Matricula imóvel Terceiro
22. Proprietário imóvel Terceiro
23. Ocupante imóvel Terceiro
24. Area terreno imóvel Terceiro
25. Area construída imóvel Terceiro
26. Valor terreno imóvel Terceiro
27. Valor edificação imóvel Terceiro
28. Valor do Imóvel imóvel Terceiro
29. Total valor terreno imóvel Terceiro
30. Total Valor edificação imóvel Terceiro
31. Total Valor do imóvel imóvel Terceiro
32. Observação Terceiro
33. Nome imóvel Locado
34. Nome imóvel Obras em andamento
35. Municipio imóvel Obras em andamento
36. Matricula imóvel Obras em andamento
37. Proprietário imóvel Obras em andamento
38. Ocupante imóvel Obras em andamento
39. Orçamento Previsto
40. Orçamento Executado
41. Total Orçamento Previsto
42. Total Orçamento Executado
43. Observação Obra em Andamento
44. Municipio imóvel Locado
45. Matricula imóvel Locado
46. Proprietário imóvel Locado
47. Ocupante imóvel Locado
48. Area terreno imóvel Locado
49. Area construída imóvel Locado
50. Valor terreno imóvel Locado
51. Valor edificação imóvel Locado
52. Valor do Imóvel imóvel Locado
53. Total valor terreno imóvel Locado
54. Total Valor edificação imóvel Locado
55. Total Valor do imóvel imóvel Locado
56. Motivo Pendências Locado
57. Qtd imóveis Próprios edificados em uso
58. Valor imóveis Próprios edificados em uso
59. Qtd imóveis Próprios edificados sem utilização
60. Valor imóveis Próprios edificados sem utilização
61. Qtd imóveis Próprios não edificados em uso
62. Valor imóveis Próprios não edificados em uso
63. Qtd imóveis Próprios não edificados sem utilização
64. Valor imóveis Próprios não edificados sem utilização
65. Qtd imoves obras em andamento
66. Valor imoves obras em andamento
67. Qtd imóveis de terceiros cessão
68. Valor imóveis de terceiros cessão
69. Qtd imóveis de terceiros locação
70. Valor imóveis de terceiros locação
71. Total geral qtd
72. Valor geral total
73. Nome imóvel Não Iventariados
74. Municipio imóvel Não Iventariados
75. Matricula imóvel Não Iventariados
76. Proprietário imóvel Não Iventariados
77. Ocupante imóvel Não Iventariados
78. Area terreno imóvel Não Iventariados
79. Area construída imóvel Não Iventariados
80. Valor terreno imóvel Não Iventariados
81. Valor edificação imóvel Não Iventariados
82. Valor do Imóvel imóvel Não Iventariados
83. Total valor terreno imóvel Não Iventariados
84. Total Valor edificação imóvel Não Iventariados
85. Total Valor do imóvel imóvel Não Iventariados
86. Motivo Pendências Não Inventariado
87. Matricula
88. Nome
89. CPF
90. Portaria
91. Data portaria
92. Tipo
93. Situacao assinatura
94. Data assinatura
95. Entidade / UA do Resp. Patrimonial
96. Toottip Matricula - Proprio
97. Toottip Matricula - Terceiros em utilização
98. Toottip Matricula - Locados
99. Toottip Matricula - Obras em andamento
100. CMD
101. MSG</t>
        </r>
      </text>
    </comment>
    <comment ref="E402" authorId="3" shapeId="0" xr:uid="{00000000-0006-0000-0100-000074020000}">
      <text>
        <r>
          <rPr>
            <sz val="9"/>
            <color indexed="81"/>
            <rFont val="Segoe UI"/>
            <family val="2"/>
          </rPr>
          <t xml:space="preserve">01 - Imóvel
02 - Inventario
03 - Servidor
</t>
        </r>
      </text>
    </comment>
    <comment ref="D405" authorId="3" shapeId="0" xr:uid="{00000000-0006-0000-0100-000075020000}">
      <text>
        <r>
          <rPr>
            <sz val="9"/>
            <color indexed="81"/>
            <rFont val="Segoe UI"/>
            <family val="2"/>
          </rPr>
          <t xml:space="preserve">1. Código
2. Responsável patrimonial 
3. Exercicio
4. Data de inicio
5. Data termino
6. Responsável Legal
7. Responsável da setorial
8. Matricula
9. Nome
10. CPF
11. Ocupante
12. Data de inclusão
13. Responsável Inclusão
14. CMD
15. Mensagem
</t>
        </r>
      </text>
    </comment>
    <comment ref="E405" authorId="3" shapeId="0" xr:uid="{00000000-0006-0000-0100-000076020000}">
      <text>
        <r>
          <rPr>
            <sz val="9"/>
            <color indexed="81"/>
            <rFont val="Segoe UI"/>
            <family val="2"/>
          </rPr>
          <t>01 - Subcomissão do Inventário
02 - Servidor
03 - Setor</t>
        </r>
      </text>
    </comment>
    <comment ref="D406" authorId="3" shapeId="0" xr:uid="{00000000-0006-0000-0100-000077020000}">
      <text>
        <r>
          <rPr>
            <sz val="9"/>
            <color indexed="81"/>
            <rFont val="Segoe UI"/>
            <family val="2"/>
          </rPr>
          <t xml:space="preserve">1. Código
2. Responsável patrimonial 
3. Exercicio
4. Data de inicio
5. Data termino
6. Responsável Legal
7. Responsável da setorial
8. Matricula
9. Nome
10. CPF
11. Ocupante
12. Data de inclusão
13. Responsável Inclusão
14. Para
15. Assunto
16. Texto Complementar
17. CMD
18. MSG
</t>
        </r>
      </text>
    </comment>
    <comment ref="E406" authorId="3" shapeId="0" xr:uid="{00000000-0006-0000-0100-000078020000}">
      <text>
        <r>
          <rPr>
            <sz val="9"/>
            <color indexed="81"/>
            <rFont val="Segoe UI"/>
            <family val="2"/>
          </rPr>
          <t>01 - Subcomissão do Inventário
02 - Servidor
03 - Setor</t>
        </r>
      </text>
    </comment>
    <comment ref="D407" authorId="3" shapeId="0" xr:uid="{00000000-0006-0000-0100-000079020000}">
      <text>
        <r>
          <rPr>
            <sz val="9"/>
            <color indexed="81"/>
            <rFont val="Segoe UI"/>
            <family val="2"/>
          </rPr>
          <t xml:space="preserve">1. Código
2. Responsável patrimonial 
3. Exercicio
4. Data de inicio
5. Data termino
6. Responsável Legal
7. Responsável da setorial
8. Matricula
9. Nome
10. CPF
11. Ocupante
12. Data de inclusão
13. Responsável Inclusão
14. Para
15. Assunto
16. Texto Complementar
17. CMD
18. MSG
</t>
        </r>
      </text>
    </comment>
    <comment ref="E407" authorId="3" shapeId="0" xr:uid="{00000000-0006-0000-0100-00007A020000}">
      <text>
        <r>
          <rPr>
            <sz val="9"/>
            <color indexed="81"/>
            <rFont val="Segoe UI"/>
            <family val="2"/>
          </rPr>
          <t>01 - Subcomissão do Inventário
02 - Servidor
03 - Setor</t>
        </r>
      </text>
    </comment>
    <comment ref="D408" authorId="3" shapeId="0" xr:uid="{00000000-0006-0000-0100-00007B020000}">
      <text>
        <r>
          <rPr>
            <sz val="9"/>
            <color indexed="81"/>
            <rFont val="Segoe UI"/>
            <family val="2"/>
          </rPr>
          <t>1 - Email
2 - CMD</t>
        </r>
      </text>
    </comment>
    <comment ref="E408" authorId="3" shapeId="0" xr:uid="{00000000-0006-0000-0100-00007C020000}">
      <text>
        <r>
          <rPr>
            <sz val="9"/>
            <color indexed="81"/>
            <rFont val="Segoe UI"/>
            <family val="2"/>
          </rPr>
          <t>01 - Subcomissão do Inventário</t>
        </r>
      </text>
    </comment>
    <comment ref="D411" authorId="3" shapeId="0" xr:uid="{00000000-0006-0000-0100-00007D020000}">
      <text>
        <r>
          <rPr>
            <sz val="9"/>
            <color indexed="81"/>
            <rFont val="Segoe UI"/>
            <family val="2"/>
          </rPr>
          <t>1. Códig1. Código
2. Responsável patrimonial
3. Objetivo
4. Desenvolvimento/Metodologia
5. Nome imóvel Próprio
6. Municipio imóvel Próprio
7. Matricula imóvel Próprio
8. Proprietário imóvel Próprio
9. Ocupante imóvel Próprio
10. Area terreno imóvel Próprio
11. Area construída imóvel Próprio
12. Valor terreno imóvel Próprio
13. Valor edificação imóvel Próprio
14. Valor do Imóvel imóvel Próprio
15. Total valor terreno imóvel Próprio
16. Total Valor edificação imóvel Próprio
17. Total Valor do imóvel imóvel Próprio
18. Observação Próprio
19. Nome imóvel Terceiro
20. Municipio imóvel Terceiro
21. Matricula imóvel Terceiro
22. Proprietário imóvel Terceiro
23. Ocupante imóvel Terceiro
24. Area terreno imóvel Terceiro
25. Area construída imóvel Terceiro
26. Valor terreno imóvel Terceiro
27. Valor edificação imóvel Terceiro
28. Valor do Imóvel imóvel Terceiro
29. Total valor terreno imóvel Terceiro
30. Total Valor edificação imóvel Terceiro
31. Total Valor do imóvel imóvel Terceiro
32. Observação Terceiro
33. Nome imóvel Locado
34. Nome imóvel Obras em andamento
35. Municipio imóvel Obras em andamento
36. Matricula imóvel Obras em andamento
37. Proprietário imóvel Obras em andamento
38. Ocupante imóvel Obras em andamento
39. Orçamento Previsto
40. Orçamento Executado
41. Total Orçamento Previsto
42. Total Orçamento Executado
43. Observação Obra em Andamento
44. Municipio imóvel Locado
45. Matricula imóvel Locado
46. Proprietário imóvel Locado
47. Ocupante imóvel Locado
48. Area terreno imóvel Locado
49. Area construída imóvel Locado
50. Valor terreno imóvel Locado
51. Valor edificação imóvel Locado
52. Valor do Imóvel imóvel Locado
53. Total valor terreno imóvel Locado
54. Total Valor edificação imóvel Locado
55. Total Valor do imóvel imóvel Locado
56. Motivo Pendências Locado
57. Qtd imóveis Próprios edificados em uso
58. Valor imóveis Próprios edificados em uso
59. Qtd imóveis Próprios edificados sem utilização
60. Valor imóveis Próprios edificados sem utilização
61. Qtd imóveis Próprios não edificados em uso
62. Valor imóveis Próprios não edificados em uso
63. Qtd imóveis Próprios não edificados sem utilização
64. Valor imóveis Próprios não edificados sem utilização
65. Qtd imoves obras em andamento
66. Valor imoves obras em andamento
67. Qtd imóveis de terceiros cessão
68. Valor imóveis de terceiros cessão
69. Qtd imóveis de terceiros locação
70. Valor imóveis de terceiros locação
71. Total geral qtd
72. Valor geral total
73. Nome imóvel Não Iventariados
74. Municipio imóvel Não Iventariados
75. Matricula imóvel Não Iventariados
76. Proprietário imóvel Não Iventariados
77. Ocupante imóvel Não Iventariados
78. Area terreno imóvel Não Iventariados
79. Area construída imóvel Não Iventariados
80. Valor terreno imóvel Não Iventariados
81. Valor edificação imóvel Não Iventariados
82. Valor do Imóvel imóvel Não Iventariados
83. Total valor terreno imóvel Não Iventariados
84. Total Valor edificação imóvel Não Iventariados
85. Total Valor do imóvel imóvel Não Iventariados
86. Motivo Pendências Não Inventariado
87. Matricula
88. Nome
89. CPF
90. Portaria
91. Data portaria
92. Tipo
93. Situacao assinatura
94. Data assinatura
95. RIP Próprio
96. TIPO DE IMÓVEL Próprio
97. FORMA DE AQUISIÇÃO Próprio
98. ENDEREÇO Próprio
99. TIPO DE UNIDADE Próprio
100. FINALIDADE DA OCUPAÇÃO Próprio
101. ÁREA TERRENO Próprio
102. ÁREA CONSTRUÍDA Próprio
103. DATA DO LAUDO DE AVALIAÇÃO Próprio
104. DATA BASE DA DEPRECIAÇÃO Próprio
105. VIDA ÚTIL Próprio
106. RIP Cedido
107. TIPO DE IMÓVEL Cedido
108. FORMA DE AQUISIÇÃO Cedido
109. ENDEREÇO Cedido
110. TIPO DE OUTOGA Cedido
111. TIPO DE UNIDADE Cedido
112. FINALIDADE DA OCUPAÇÃO Cedido
113. ÁREA TERRENO Cedido
114. ÁREA CONSTRUÍDA Cedido
115. DATA DO LAUDO DE AVALIAÇÃO Cedido
116. DATA BASE DA DEPRECIAÇÃO Cedido
117. VIDA ÚTIL Cedido
118. RIP Terceiro
119. TIPO DE IMÓVEL Terceiro
120. N° DO CONTRATO Terceiro
121. VALOR DA LOCAÇÃO Terceiro
122. DATA DE VIGÊNCIA INÍCIO Terceiro
123. DATA VIGÊNCIA FIM Terceiro
124. FORMA DE AQUISIÇÃO Terceiro
125. ENDEREÇO Terceiro
126. TIPO DE UNIDADE Terceiro
127. FINALIDADE DA OCUPAÇÃO Terceiro
128. ÁREA TERRENO Terceiro
129. ÁREA CONSTRUÍDA Terceiro
130. DATA DO LAUDO DE AVALIAÇÃO Terceiro
131. DATA BASE DA DEPRECIAÇÃO Terceiro
132. VIDA ÚTIL Terceiro
133. CMD
134. MSG</t>
        </r>
      </text>
    </comment>
    <comment ref="E411" authorId="3" shapeId="0" xr:uid="{00000000-0006-0000-0100-00007E020000}">
      <text>
        <r>
          <rPr>
            <sz val="9"/>
            <color indexed="81"/>
            <rFont val="Segoe UI"/>
            <family val="2"/>
          </rPr>
          <t>01 - Imóvel
02 - Inventario
03 - Servidor
04 - Unidade
05 - Identificação
06 - Localização
07 - Avaliação</t>
        </r>
      </text>
    </comment>
    <comment ref="D414" authorId="3" shapeId="0" xr:uid="{00000000-0006-0000-0100-00007F020000}">
      <text>
        <r>
          <rPr>
            <sz val="9"/>
            <color indexed="81"/>
            <rFont val="Segoe UI"/>
            <family val="2"/>
          </rPr>
          <t xml:space="preserve">1. Código
2. Numero RIP
3. Existe obra em andamento
4. Tipo da obra
5. Conta contábil
6. Data início
7. Previsão término
8. Orçamento Previsto
9. Orçamento executado
10. Anexo do contrato
11. Breve descrição da obra
</t>
        </r>
      </text>
    </comment>
    <comment ref="E414" authorId="3" shapeId="0" xr:uid="{00000000-0006-0000-0100-000080020000}">
      <text>
        <r>
          <rPr>
            <sz val="9"/>
            <color indexed="81"/>
            <rFont val="Segoe UI"/>
            <family val="2"/>
          </rPr>
          <t>01 - Iventario Obras em Andamento</t>
        </r>
      </text>
    </comment>
    <comment ref="D415" authorId="3" shapeId="0" xr:uid="{00000000-0006-0000-0100-000081020000}">
      <text>
        <r>
          <rPr>
            <sz val="9"/>
            <color indexed="81"/>
            <rFont val="Segoe UI"/>
            <family val="2"/>
          </rPr>
          <t xml:space="preserve">1. Código
2. Numero RIP
3. Existe obra em andamento
4. Tipo da obra
5. Conta contábil
6. Data início
7. Previsão término
8. Orçamento Previsto
9. Orçamento executado
10. Anexo do contrato
11. Breve descrição da obra
12. CMD
13. MSG
</t>
        </r>
      </text>
    </comment>
    <comment ref="E415" authorId="3" shapeId="0" xr:uid="{00000000-0006-0000-0100-000082020000}">
      <text>
        <r>
          <rPr>
            <sz val="9"/>
            <color indexed="81"/>
            <rFont val="Segoe UI"/>
            <family val="2"/>
          </rPr>
          <t>01 - Iventario Obras em Andamento
02 - Conta Contábil</t>
        </r>
      </text>
    </comment>
    <comment ref="D416" authorId="3" shapeId="0" xr:uid="{00000000-0006-0000-0100-000083020000}">
      <text>
        <r>
          <rPr>
            <sz val="9"/>
            <color indexed="81"/>
            <rFont val="Segoe UI"/>
            <family val="2"/>
          </rPr>
          <t xml:space="preserve">1. Código
2. Numero RIP
3. Existe obra em andamento
4. Tipo da obra
5. Conta contábil
6. Data início
7. Previsão término
8. Orçamento Previsto
9. Orçamento executado
10. Anexo do contrato
11. Breve descrição da obra
12. CMD
13. MSG
</t>
        </r>
      </text>
    </comment>
    <comment ref="E416" authorId="3" shapeId="0" xr:uid="{00000000-0006-0000-0100-000084020000}">
      <text>
        <r>
          <rPr>
            <sz val="9"/>
            <color indexed="81"/>
            <rFont val="Segoe UI"/>
            <family val="2"/>
          </rPr>
          <t>01 - Iventario Obras em Andamento
02 - Conta Contábil</t>
        </r>
      </text>
    </comment>
    <comment ref="D417" authorId="3" shapeId="0" xr:uid="{00000000-0006-0000-0100-000085020000}">
      <text>
        <r>
          <rPr>
            <sz val="9"/>
            <color indexed="81"/>
            <rFont val="Segoe UI"/>
            <family val="2"/>
          </rPr>
          <t xml:space="preserve">1. Codigo
2. Numero RIP
3. Existe obra em andamento
4. Tipo da obra
5. Conta contábil
6. Data início
7. Previsão término
8. Orçamento Previsto
9. Orçamento executado
10. Anexo do contrato
11. Breve descrição da obra
</t>
        </r>
      </text>
    </comment>
    <comment ref="E417" authorId="3" shapeId="0" xr:uid="{00000000-0006-0000-0100-000086020000}">
      <text>
        <r>
          <rPr>
            <sz val="9"/>
            <color indexed="81"/>
            <rFont val="Segoe UI"/>
            <family val="2"/>
          </rPr>
          <t>01 - Iventario Obras em Andamento
02 - Conta Contábil</t>
        </r>
      </text>
    </comment>
    <comment ref="D418" authorId="3" shapeId="0" xr:uid="{00000000-0006-0000-0100-000087020000}">
      <text>
        <r>
          <rPr>
            <sz val="9"/>
            <color indexed="81"/>
            <rFont val="Segoe UI"/>
            <family val="2"/>
          </rPr>
          <t xml:space="preserve">
1-Exercicio
2-codigo
3-conta 
4-função
5-CMD
6-MSG</t>
        </r>
      </text>
    </comment>
    <comment ref="E418" authorId="3" shapeId="0" xr:uid="{00000000-0006-0000-0100-000088020000}">
      <text>
        <r>
          <rPr>
            <sz val="9"/>
            <color indexed="81"/>
            <rFont val="Segoe UI"/>
            <family val="2"/>
          </rPr>
          <t xml:space="preserve">
1-Conta contabil</t>
        </r>
      </text>
    </comment>
    <comment ref="D421" authorId="3" shapeId="0" xr:uid="{00000000-0006-0000-0100-000089020000}">
      <text>
        <r>
          <rPr>
            <b/>
            <sz val="9"/>
            <color indexed="81"/>
            <rFont val="Segoe UI"/>
            <family val="2"/>
          </rPr>
          <t>* Avaliação Externa</t>
        </r>
        <r>
          <rPr>
            <sz val="9"/>
            <color indexed="81"/>
            <rFont val="Segoe UI"/>
            <family val="2"/>
          </rPr>
          <t xml:space="preserve">
01 - código
02 - tipo de avaliação
03 - finalidade do laudo
04 - número do laudo
05 - número do processo
06 - anexo
07 - data emissão laudo
08 - breve descrição
09 - área construida
10 - estado conservação
11 - vida útil aparente
12 - valor do terreno
13 - valor da edificação
14 - situação
15 - data de finalização
16 - usuário cadastro</t>
        </r>
      </text>
    </comment>
    <comment ref="E421" authorId="3" shapeId="0" xr:uid="{00000000-0006-0000-0100-00008A020000}">
      <text>
        <r>
          <rPr>
            <sz val="9"/>
            <color indexed="81"/>
            <rFont val="Segoe UI"/>
            <family val="2"/>
          </rPr>
          <t>01 - Avaliação Externa
02 - Tipo Avaliação
03 - Finalidade Laudo
04 - Usuário</t>
        </r>
      </text>
    </comment>
    <comment ref="D422" authorId="3" shapeId="0" xr:uid="{00000000-0006-0000-0100-00008B020000}">
      <text>
        <r>
          <rPr>
            <b/>
            <sz val="9"/>
            <color indexed="81"/>
            <rFont val="Segoe UI"/>
            <family val="2"/>
          </rPr>
          <t>* Avaliação Externa</t>
        </r>
        <r>
          <rPr>
            <sz val="9"/>
            <color indexed="81"/>
            <rFont val="Segoe UI"/>
            <family val="2"/>
          </rPr>
          <t xml:space="preserve">
01 - código
02 - tipo de avaliação
03 - finalidade do laudo
04 - número do laudo
05 - data emissão laudo
06 - situação
07 - usuário cadastro
08 - Área Total do Terreno
09 - comando
10 - mensagem</t>
        </r>
      </text>
    </comment>
    <comment ref="E422" authorId="3" shapeId="0" xr:uid="{00000000-0006-0000-0100-00008C020000}">
      <text>
        <r>
          <rPr>
            <sz val="9"/>
            <color indexed="81"/>
            <rFont val="Segoe UI"/>
            <family val="2"/>
          </rPr>
          <t>01 - Avaliação Externa
02 - Tipo Avaliação
03 - Finalidade Laudo
04 - Usuário</t>
        </r>
      </text>
    </comment>
    <comment ref="D423" authorId="3" shapeId="0" xr:uid="{00000000-0006-0000-0100-00008D020000}">
      <text>
        <r>
          <rPr>
            <b/>
            <sz val="9"/>
            <color indexed="81"/>
            <rFont val="Segoe UI"/>
            <family val="2"/>
          </rPr>
          <t>* Avaliação Externa</t>
        </r>
        <r>
          <rPr>
            <sz val="9"/>
            <color indexed="81"/>
            <rFont val="Segoe UI"/>
            <family val="2"/>
          </rPr>
          <t xml:space="preserve">
01 - código
02 - tipo de avaliação
03 - finalidade do laudo
04 - número do laudo
05 - número do processo
06 - anexo
07 - data emissão laudo
08 - breve descrição
09 - área construida
10 - estado conservação
11 - vida útil aparente
12 - valor do terreno
13 - valor da edificação
14 - situação
15 - data de finalização
16 - usuário cadastro
17 -  Área Total do Terreno
18 - comando
19 - mensagem</t>
        </r>
      </text>
    </comment>
    <comment ref="E423" authorId="3" shapeId="0" xr:uid="{00000000-0006-0000-0100-00008E020000}">
      <text>
        <r>
          <rPr>
            <sz val="9"/>
            <color indexed="81"/>
            <rFont val="Segoe UI"/>
            <family val="2"/>
          </rPr>
          <t>01 - Avaliação Externa
02 - Tipo Avaliação
03 - Finalidade Laudo
04 - Usuário</t>
        </r>
      </text>
    </comment>
    <comment ref="D424" authorId="3" shapeId="0" xr:uid="{00000000-0006-0000-0100-00008F020000}">
      <text>
        <r>
          <rPr>
            <b/>
            <sz val="9"/>
            <color indexed="81"/>
            <rFont val="Segoe UI"/>
            <family val="2"/>
          </rPr>
          <t>* Tipo de Avaliação</t>
        </r>
        <r>
          <rPr>
            <sz val="9"/>
            <color indexed="81"/>
            <rFont val="Segoe UI"/>
            <family val="2"/>
          </rPr>
          <t xml:space="preserve">
1 - Código
2 - Descrição
3 - comando</t>
        </r>
      </text>
    </comment>
    <comment ref="E424" authorId="3" shapeId="0" xr:uid="{00000000-0006-0000-0100-000090020000}">
      <text>
        <r>
          <rPr>
            <sz val="9"/>
            <color indexed="81"/>
            <rFont val="Segoe UI"/>
            <family val="2"/>
          </rPr>
          <t xml:space="preserve">01 - Tipo Avaliação
</t>
        </r>
      </text>
    </comment>
    <comment ref="D425" authorId="3" shapeId="0" xr:uid="{00000000-0006-0000-0100-000091020000}">
      <text>
        <r>
          <rPr>
            <b/>
            <sz val="9"/>
            <color indexed="81"/>
            <rFont val="Segoe UI"/>
            <family val="2"/>
          </rPr>
          <t>* Finalidade do Laudo</t>
        </r>
        <r>
          <rPr>
            <sz val="9"/>
            <color indexed="81"/>
            <rFont val="Segoe UI"/>
            <family val="2"/>
          </rPr>
          <t xml:space="preserve">
1 - Código
2 - Descrição
3 - comando</t>
        </r>
      </text>
    </comment>
    <comment ref="E425" authorId="3" shapeId="0" xr:uid="{00000000-0006-0000-0100-000092020000}">
      <text>
        <r>
          <rPr>
            <sz val="9"/>
            <color indexed="81"/>
            <rFont val="Segoe UI"/>
            <family val="2"/>
          </rPr>
          <t>01 - Finalidade Laudo</t>
        </r>
      </text>
    </comment>
    <comment ref="D426" authorId="3" shapeId="0" xr:uid="{00000000-0006-0000-0100-000093020000}">
      <text>
        <r>
          <rPr>
            <b/>
            <sz val="9"/>
            <color indexed="81"/>
            <rFont val="Segoe UI"/>
            <family val="2"/>
          </rPr>
          <t>* Avaliação Externa</t>
        </r>
        <r>
          <rPr>
            <sz val="9"/>
            <color indexed="81"/>
            <rFont val="Segoe UI"/>
            <family val="2"/>
          </rPr>
          <t xml:space="preserve">
01 - código
02 - tipo de avaliação
03 - finalidade do laudo
04 - número do laudo
05 - número do processo
06 - anexo
07 - data emissão laudo
08 - breve descrição
09 - área construida
10 - estado conservação
11 - valor do terreno
12 - valor da edificação
13 - Área Total do Terreno
14 - comando
15 - mensagem
</t>
        </r>
      </text>
    </comment>
    <comment ref="E426" authorId="3" shapeId="0" xr:uid="{00000000-0006-0000-0100-000094020000}">
      <text>
        <r>
          <rPr>
            <sz val="9"/>
            <color indexed="81"/>
            <rFont val="Segoe UI"/>
            <family val="2"/>
          </rPr>
          <t xml:space="preserve">01 - Avaliação Externa
02 - Tipo Avaliação
03 - Finalidade Laudo
</t>
        </r>
      </text>
    </comment>
    <comment ref="D427" authorId="3" shapeId="0" xr:uid="{00000000-0006-0000-0100-000095020000}">
      <text>
        <r>
          <rPr>
            <b/>
            <sz val="9"/>
            <color indexed="81"/>
            <rFont val="Segoe UI"/>
            <family val="2"/>
          </rPr>
          <t>* Avaliação Externa</t>
        </r>
        <r>
          <rPr>
            <sz val="9"/>
            <color indexed="81"/>
            <rFont val="Segoe UI"/>
            <family val="2"/>
          </rPr>
          <t xml:space="preserve">
01 - código
02 - tipo de avaliação
03 - finalidade do laudo
04 - número do laudo
05 - número do processo
06 - anexo
07 - data emissão laudo
08 - breve descrição
09 - área construida
10 - estado conservação
11 - vida útil aparente
12 - valor do terreno
13 - valor da edificação
14 - situação
15 - data de finalização
16 - Área Total do Terreno</t>
        </r>
      </text>
    </comment>
    <comment ref="E427" authorId="3" shapeId="0" xr:uid="{00000000-0006-0000-0100-000096020000}">
      <text>
        <r>
          <rPr>
            <sz val="9"/>
            <color indexed="81"/>
            <rFont val="Segoe UI"/>
            <family val="2"/>
          </rPr>
          <t>01 - Avaliação Externa
02 - Tipo Avaliação
03 - Finalidade Laudo</t>
        </r>
      </text>
    </comment>
    <comment ref="D428" authorId="3" shapeId="0" xr:uid="{00000000-0006-0000-0100-000097020000}">
      <text>
        <r>
          <rPr>
            <b/>
            <sz val="9"/>
            <color indexed="81"/>
            <rFont val="Segoe UI"/>
            <family val="2"/>
          </rPr>
          <t>* Avaliação Externa</t>
        </r>
        <r>
          <rPr>
            <sz val="9"/>
            <color indexed="81"/>
            <rFont val="Segoe UI"/>
            <family val="2"/>
          </rPr>
          <t xml:space="preserve">
01 - código
02 - tipo de avaliação
03 - finalidade do laudo
04 - número do laudo
05 - número do processo
06 - anexo
07 - data emissão laudo
08 - breve descrição
09 - área construida
10 - estado conservação
11 - vida útil aparente
12 - valor do terreno
13 - valor da edificação
14 - situação
15 - data de finalização
16 - Área Total do Terreno
17 - comando
18 - mensagem</t>
        </r>
      </text>
    </comment>
    <comment ref="E428" authorId="3" shapeId="0" xr:uid="{00000000-0006-0000-0100-000098020000}">
      <text>
        <r>
          <rPr>
            <sz val="9"/>
            <color indexed="81"/>
            <rFont val="Segoe UI"/>
            <family val="2"/>
          </rPr>
          <t>01 - Avaliação Externa
02 - Tipo Avaliação
03 - Finalidade Laudo</t>
        </r>
      </text>
    </comment>
    <comment ref="D429" authorId="3" shapeId="0" xr:uid="{00000000-0006-0000-0100-000099020000}">
      <text>
        <r>
          <rPr>
            <b/>
            <sz val="9"/>
            <color indexed="81"/>
            <rFont val="Segoe UI"/>
            <family val="2"/>
          </rPr>
          <t>* Avaliação Externa</t>
        </r>
        <r>
          <rPr>
            <sz val="9"/>
            <color indexed="81"/>
            <rFont val="Segoe UI"/>
            <family val="2"/>
          </rPr>
          <t xml:space="preserve">
01 - código
02 - tipo de avaliação
03 - finalidade do laudo
04 - número do laudo
05 - data emissão laudo
06 - situação
07 - usuário cadastro
08 - Área Total do Terreno
09 - comando
10 - mensagem</t>
        </r>
      </text>
    </comment>
    <comment ref="E429" authorId="3" shapeId="0" xr:uid="{00000000-0006-0000-0100-00009A020000}">
      <text>
        <r>
          <rPr>
            <sz val="9"/>
            <color indexed="81"/>
            <rFont val="Segoe UI"/>
            <family val="2"/>
          </rPr>
          <t>01 - Avaliação Externa
02 - Tipo Avaliação
03 - Finalidade Laudo
04 - Usuário</t>
        </r>
      </text>
    </comment>
    <comment ref="D430" authorId="3" shapeId="0" xr:uid="{00000000-0006-0000-0100-00009B020000}">
      <text>
        <r>
          <rPr>
            <b/>
            <sz val="9"/>
            <color indexed="81"/>
            <rFont val="Segoe UI"/>
            <family val="2"/>
          </rPr>
          <t>* Avaliação Externa</t>
        </r>
        <r>
          <rPr>
            <sz val="9"/>
            <color indexed="81"/>
            <rFont val="Segoe UI"/>
            <family val="2"/>
          </rPr>
          <t xml:space="preserve">
01 - código
02 - situação
03 - comando
04 - mensagem</t>
        </r>
      </text>
    </comment>
    <comment ref="E430" authorId="3" shapeId="0" xr:uid="{00000000-0006-0000-0100-00009C020000}">
      <text>
        <r>
          <rPr>
            <sz val="9"/>
            <color indexed="81"/>
            <rFont val="Segoe UI"/>
            <family val="2"/>
          </rPr>
          <t>01 - Avaliação Externa</t>
        </r>
      </text>
    </comment>
    <comment ref="D431" authorId="3" shapeId="0" xr:uid="{00000000-0006-0000-0100-00009D020000}">
      <text>
        <r>
          <rPr>
            <b/>
            <sz val="9"/>
            <color indexed="81"/>
            <rFont val="Segoe UI"/>
            <family val="2"/>
          </rPr>
          <t>* Avaliação Externa</t>
        </r>
        <r>
          <rPr>
            <sz val="9"/>
            <color indexed="81"/>
            <rFont val="Segoe UI"/>
            <family val="2"/>
          </rPr>
          <t xml:space="preserve">
01 - código
02 - situação
</t>
        </r>
        <r>
          <rPr>
            <b/>
            <sz val="9"/>
            <color indexed="81"/>
            <rFont val="Segoe UI"/>
            <family val="2"/>
          </rPr>
          <t>* Contabilização Terreno</t>
        </r>
        <r>
          <rPr>
            <sz val="9"/>
            <color indexed="81"/>
            <rFont val="Segoe UI"/>
            <family val="2"/>
          </rPr>
          <t xml:space="preserve">
03 - imóvel
04 - valor contabil
05 - data contabilização
</t>
        </r>
        <r>
          <rPr>
            <b/>
            <sz val="9"/>
            <color indexed="81"/>
            <rFont val="Segoe UI"/>
            <family val="2"/>
          </rPr>
          <t>* Contabilização Edificação</t>
        </r>
        <r>
          <rPr>
            <sz val="9"/>
            <color indexed="81"/>
            <rFont val="Segoe UI"/>
            <family val="2"/>
          </rPr>
          <t xml:space="preserve">
06 - imóvel
07 - área construida
08 - estado conservação
09 - vida útil
10 - valor do terreno
11 - valor da edificação
12 - valor total imovel
13 - Área Total do Terreno
</t>
        </r>
        <r>
          <rPr>
            <b/>
            <sz val="9"/>
            <color indexed="81"/>
            <rFont val="Segoe UI"/>
            <family val="2"/>
          </rPr>
          <t>* Imóvel</t>
        </r>
        <r>
          <rPr>
            <sz val="9"/>
            <color indexed="81"/>
            <rFont val="Segoe UI"/>
            <family val="2"/>
          </rPr>
          <t xml:space="preserve">
14 - imóvel
15 - estado de conservação
16 - área construida
17 - valor do terreno
18 - valor da edificação
19 - valor total imovel
20 - histórico - data
21 - histórico - origem da informação
22 - histórico - tipo da informação
23 - histórico - valor do terreno
24 - histórico - valor da edificação
25 - histórico - valor total imovel
26 - historico - depreciação
27 - historico - valorização
</t>
        </r>
        <r>
          <rPr>
            <b/>
            <sz val="9"/>
            <color indexed="81"/>
            <rFont val="Segoe UI"/>
            <family val="2"/>
          </rPr>
          <t>* Depreciação</t>
        </r>
        <r>
          <rPr>
            <sz val="9"/>
            <color indexed="81"/>
            <rFont val="Segoe UI"/>
            <family val="2"/>
          </rPr>
          <t xml:space="preserve">
28 - imóvel
29 - data depreciação
30 - cota depreciação
31 - depreciação acumulada
32 - valor contabil
33 - comando
34 - mensagem</t>
        </r>
      </text>
    </comment>
    <comment ref="E431" authorId="3" shapeId="0" xr:uid="{00000000-0006-0000-0100-00009E020000}">
      <text>
        <r>
          <rPr>
            <sz val="9"/>
            <color indexed="81"/>
            <rFont val="Segoe UI"/>
            <family val="2"/>
          </rPr>
          <t xml:space="preserve">01 - Avaliação Externa
02 - Contabilização Terreno
03 - Contabilização Edificação
04 - Imóvel
05 - Depreciação
</t>
        </r>
      </text>
    </comment>
    <comment ref="D434" authorId="3" shapeId="0" xr:uid="{00000000-0006-0000-0100-00009F020000}">
      <text>
        <r>
          <rPr>
            <b/>
            <sz val="9"/>
            <color indexed="81"/>
            <rFont val="Segoe UI"/>
            <family val="2"/>
          </rPr>
          <t>* Valor do Imóvel</t>
        </r>
        <r>
          <rPr>
            <sz val="9"/>
            <color indexed="81"/>
            <rFont val="Segoe UI"/>
            <family val="2"/>
          </rPr>
          <t xml:space="preserve">
01 - imóvel
02 - valor do terreno
03 - valor da edificação
04 - valor total
05 - comando
06 - mensagem
</t>
        </r>
      </text>
    </comment>
    <comment ref="E434" authorId="3" shapeId="0" xr:uid="{00000000-0006-0000-0100-0000A0020000}">
      <text>
        <r>
          <rPr>
            <sz val="9"/>
            <color indexed="81"/>
            <rFont val="Segoe UI"/>
            <family val="2"/>
          </rPr>
          <t>01 - Imóvel
02 - Valor do Imóvel</t>
        </r>
      </text>
    </comment>
    <comment ref="D435" authorId="3" shapeId="0" xr:uid="{00000000-0006-0000-0100-0000A1020000}">
      <text>
        <r>
          <rPr>
            <sz val="9"/>
            <color indexed="81"/>
            <rFont val="Segoe UI"/>
            <family val="2"/>
          </rPr>
          <t xml:space="preserve">* Histórico de Valor do imóvel
01 - imóvel
02 - valor do terreno
03 - valor da edificação
04 - valor total
05 - comando
06 - mensagem
</t>
        </r>
      </text>
    </comment>
    <comment ref="E435" authorId="3" shapeId="0" xr:uid="{00000000-0006-0000-0100-0000A2020000}">
      <text>
        <r>
          <rPr>
            <sz val="9"/>
            <color indexed="81"/>
            <rFont val="Segoe UI"/>
            <family val="2"/>
          </rPr>
          <t>01 - Imóvel
02 - Histórico de Valor do imóvel</t>
        </r>
      </text>
    </comment>
    <comment ref="D436" authorId="3" shapeId="0" xr:uid="{00000000-0006-0000-0100-0000A3020000}">
      <text>
        <r>
          <rPr>
            <b/>
            <sz val="9"/>
            <color indexed="81"/>
            <rFont val="Segoe UI"/>
            <family val="2"/>
          </rPr>
          <t>* Histórico de Valor do imóvel</t>
        </r>
        <r>
          <rPr>
            <sz val="9"/>
            <color indexed="81"/>
            <rFont val="Segoe UI"/>
            <family val="2"/>
          </rPr>
          <t xml:space="preserve">
01 - imóvel
02 - origem informação
03 - data
04 - tipo informação
05 - valor do terreno
06 - valor da edificação
07 - valor total
08 - depreciação
09 - valorização
10 - comando
11 - mensagem
</t>
        </r>
      </text>
    </comment>
    <comment ref="E436" authorId="3" shapeId="0" xr:uid="{00000000-0006-0000-0100-0000A4020000}">
      <text>
        <r>
          <rPr>
            <sz val="9"/>
            <color indexed="81"/>
            <rFont val="Segoe UI"/>
            <family val="2"/>
          </rPr>
          <t>01 - Imóvel
02 - Histórico de Valor do imóvel</t>
        </r>
      </text>
    </comment>
    <comment ref="D437" authorId="3" shapeId="0" xr:uid="{00000000-0006-0000-0100-0000A5020000}">
      <text>
        <r>
          <rPr>
            <b/>
            <sz val="9"/>
            <color indexed="81"/>
            <rFont val="Segoe UI"/>
            <family val="2"/>
          </rPr>
          <t>* Histórico de Valor do imóvel</t>
        </r>
        <r>
          <rPr>
            <sz val="9"/>
            <color indexed="81"/>
            <rFont val="Segoe UI"/>
            <family val="2"/>
          </rPr>
          <t xml:space="preserve">
01 - imóvel
02 - origem informação
03 - data
04 - tipo informação
05 - valor do terreno
06 - valor da edificação
07 - valor total
08 - depreciação
09 - valorização
10 - comando
11 - mensagem
</t>
        </r>
      </text>
    </comment>
    <comment ref="E437" authorId="3" shapeId="0" xr:uid="{00000000-0006-0000-0100-0000A6020000}">
      <text>
        <r>
          <rPr>
            <sz val="9"/>
            <color indexed="81"/>
            <rFont val="Segoe UI"/>
            <family val="2"/>
          </rPr>
          <t>01 - Imóvel
02 - Histórico de Valor do imóvel</t>
        </r>
      </text>
    </comment>
    <comment ref="D440" authorId="3" shapeId="0" xr:uid="{00000000-0006-0000-0100-0000A7020000}">
      <text>
        <r>
          <rPr>
            <sz val="9"/>
            <color indexed="81"/>
            <rFont val="Segoe UI"/>
            <family val="2"/>
          </rPr>
          <t xml:space="preserve">1. Código
2. Nome Usual do Imóvel
3. RIP
4. Situação
5. Tipo de Imóvel
6. Edificado
7. Estado de Conservação
8. Área Total Construída
9. Área Total do Terreno
10. Valor do Terreno:
11. Valor da Edificação
12. Valor Total do Imóvel
13. Município
14. Bairro
15. Zoneamento
16. Nome Titularidade
17. CNPJ
18. Responsável Patrimonial
19. CNPJ Responsável Patrimonial
20. Ocupante
21. Tipo de Outorga
22. Numero do Documento
23. Início de Vigência
24. Termino de Vigência
25. Exercicio
26. Responsável patrimonial
27. Objeto
28. Tipo inventario
29. Situacao demanda de inventário
30. Imagem 
31. Nº Matricula
32. Nº Livro
33. Nº Folha
34. Descrição
35. Área Construída
36. Área total do terreno
37. Cartónio
38. CNPJ
39. Razão Social
40. Comando
41. Mensagem
</t>
        </r>
      </text>
    </comment>
    <comment ref="E440" authorId="3" shapeId="0" xr:uid="{00000000-0006-0000-0100-0000A8020000}">
      <text>
        <r>
          <rPr>
            <sz val="9"/>
            <color indexed="81"/>
            <rFont val="Segoe UI"/>
            <family val="2"/>
          </rPr>
          <t>1-Imovel
2-Identificacao
3-Demanda de inventário</t>
        </r>
      </text>
    </comment>
    <comment ref="D444" authorId="3" shapeId="0" xr:uid="{00000000-0006-0000-0100-0000A9020000}">
      <text>
        <r>
          <rPr>
            <sz val="9"/>
            <color indexed="81"/>
            <rFont val="Segoe UI"/>
            <family val="2"/>
          </rPr>
          <t>* Contrato
01. Órgão
02. Unidade Adm
03. Unidade Orçamentaria
04. Tipo de Instrumento
05. Tipo Contrato
06. Número Documento
07. Fornecedor
08. CNPF/CPF
09. Valor Documento
10. Situação
11. Vigência
12. Número Processo Licitatório
13. Objeto
14. Gestor
15. Fiscal
16. Código Item
17. Descrição Item
18. Natureza Despesa
19. Unidade
20. Valor Unitário
21. Quantidade
22. Valor Total
*Tipo de Contrato
23. Código
24. Código do contrato
25. Descrição
*Tipo de Instrumento
26. Código
27. Código do contrato
28. Descrição</t>
        </r>
      </text>
    </comment>
    <comment ref="E444" authorId="3" shapeId="0" xr:uid="{00000000-0006-0000-0100-0000AA020000}">
      <text>
        <r>
          <rPr>
            <sz val="9"/>
            <color indexed="81"/>
            <rFont val="Segoe UI"/>
            <family val="2"/>
          </rPr>
          <t>01. Contrato
02. Tipo de Contrato
03. Tipo de Instrumento</t>
        </r>
      </text>
    </comment>
    <comment ref="D445" authorId="3" shapeId="0" xr:uid="{00000000-0006-0000-0100-0000AB020000}">
      <text>
        <r>
          <rPr>
            <sz val="9"/>
            <color indexed="81"/>
            <rFont val="Segoe UI"/>
            <family val="2"/>
          </rPr>
          <t>* Fornecedor
01. Código
02. Fornecedor 
03. CNPJ/CPF
04. Telefone 
05. E-mail 
06. Endereço 
07. Responsável/preposto</t>
        </r>
      </text>
    </comment>
    <comment ref="E445" authorId="3" shapeId="0" xr:uid="{00000000-0006-0000-0100-0000AC020000}">
      <text>
        <r>
          <rPr>
            <sz val="9"/>
            <color indexed="81"/>
            <rFont val="Segoe UI"/>
            <family val="2"/>
          </rPr>
          <t>01. Fornecedor</t>
        </r>
      </text>
    </comment>
    <comment ref="D446" authorId="3" shapeId="0" xr:uid="{00000000-0006-0000-0100-0000AD020000}">
      <text>
        <r>
          <rPr>
            <sz val="9"/>
            <color indexed="81"/>
            <rFont val="Segoe UI"/>
            <family val="2"/>
          </rPr>
          <t>* Unidade Adm</t>
        </r>
        <r>
          <rPr>
            <sz val="9"/>
            <color indexed="81"/>
            <rFont val="Segoe UI"/>
            <family val="2"/>
          </rPr>
          <t xml:space="preserve">
01. Código
02. Descrição
03. Sigla</t>
        </r>
      </text>
    </comment>
    <comment ref="E446" authorId="3" shapeId="0" xr:uid="{00000000-0006-0000-0100-0000AE020000}">
      <text>
        <r>
          <rPr>
            <sz val="9"/>
            <color indexed="81"/>
            <rFont val="Segoe UI"/>
            <family val="2"/>
          </rPr>
          <t>01. Unidade Adm</t>
        </r>
      </text>
    </comment>
    <comment ref="D447" authorId="3" shapeId="0" xr:uid="{00000000-0006-0000-0100-0000AF020000}">
      <text>
        <r>
          <rPr>
            <sz val="9"/>
            <color indexed="81"/>
            <rFont val="Segoe UI"/>
            <family val="2"/>
          </rPr>
          <t>* Unidade Adm</t>
        </r>
        <r>
          <rPr>
            <sz val="9"/>
            <color indexed="81"/>
            <rFont val="Segoe UI"/>
            <family val="2"/>
          </rPr>
          <t xml:space="preserve">
01. Código
02. Descrição
03. Comando
</t>
        </r>
      </text>
    </comment>
    <comment ref="E447" authorId="3" shapeId="0" xr:uid="{00000000-0006-0000-0100-0000B0020000}">
      <text>
        <r>
          <rPr>
            <sz val="9"/>
            <color indexed="81"/>
            <rFont val="Segoe UI"/>
            <family val="2"/>
          </rPr>
          <t>01. Unidade Adm</t>
        </r>
      </text>
    </comment>
    <comment ref="D448" authorId="3" shapeId="0" xr:uid="{00000000-0006-0000-0100-0000B1020000}">
      <text>
        <r>
          <rPr>
            <sz val="9"/>
            <color indexed="81"/>
            <rFont val="Segoe UI"/>
            <family val="2"/>
          </rPr>
          <t>* Fornecedor</t>
        </r>
        <r>
          <rPr>
            <sz val="9"/>
            <color indexed="81"/>
            <rFont val="Segoe UI"/>
            <family val="2"/>
          </rPr>
          <t xml:space="preserve">
01. Código
02. Razão Social
03. Comando
</t>
        </r>
      </text>
    </comment>
    <comment ref="E448" authorId="3" shapeId="0" xr:uid="{00000000-0006-0000-0100-0000B2020000}">
      <text>
        <r>
          <rPr>
            <sz val="9"/>
            <color indexed="81"/>
            <rFont val="Segoe UI"/>
            <family val="2"/>
          </rPr>
          <t>01. Fornecedor</t>
        </r>
      </text>
    </comment>
    <comment ref="D449" authorId="3" shapeId="0" xr:uid="{00000000-0006-0000-0100-0000B3020000}">
      <text>
        <r>
          <rPr>
            <sz val="9"/>
            <color indexed="81"/>
            <rFont val="Segoe UI"/>
            <family val="2"/>
          </rPr>
          <t xml:space="preserve">01. Código
02. Descrição
03. Comando
</t>
        </r>
      </text>
    </comment>
    <comment ref="E449" authorId="3" shapeId="0" xr:uid="{00000000-0006-0000-0100-0000B4020000}">
      <text>
        <r>
          <rPr>
            <sz val="9"/>
            <color indexed="81"/>
            <rFont val="Segoe UI"/>
            <family val="2"/>
          </rPr>
          <t>01. Tipo de Contrato</t>
        </r>
      </text>
    </comment>
    <comment ref="D450" authorId="3" shapeId="0" xr:uid="{00000000-0006-0000-0100-0000B5020000}">
      <text>
        <r>
          <rPr>
            <sz val="9"/>
            <color indexed="81"/>
            <rFont val="Segoe UI"/>
            <family val="2"/>
          </rPr>
          <t>* Contrato
01. Órgão
02. Unidade Adm
03. Unidade Orçamentaria
04. Tipo de Instrumento
05. Tipo Contrato
06. Número Documento
07. Fornecedor
08. CNPF/CPF
09. Valor Documento
10. Situação
11. Vigência
12. Comando
13. Mensagem</t>
        </r>
      </text>
    </comment>
    <comment ref="E450" authorId="3" shapeId="0" xr:uid="{00000000-0006-0000-0100-0000B6020000}">
      <text>
        <r>
          <rPr>
            <sz val="9"/>
            <color indexed="81"/>
            <rFont val="Segoe UI"/>
            <family val="2"/>
          </rPr>
          <t>01. Orgão
02. Unidade Orcamentaria
03. Unidade Adm
04. Contrato
05. Fornecedor
06. Usuário</t>
        </r>
      </text>
    </comment>
    <comment ref="D451" authorId="3" shapeId="0" xr:uid="{00000000-0006-0000-0100-0000B7020000}">
      <text>
        <r>
          <rPr>
            <sz val="9"/>
            <color indexed="81"/>
            <rFont val="Segoe UI"/>
            <family val="2"/>
          </rPr>
          <t>* Contrato
01. Objeto
02. Gestor
03. Fiscal
04. Código Item
05. Descrição Item
06. Natureza Despesa
07. Unidade
08. Valor Unitário
09. Quantidade
10. Valor Total
11. Comando
12. Mensagem</t>
        </r>
      </text>
    </comment>
    <comment ref="E451" authorId="3" shapeId="0" xr:uid="{00000000-0006-0000-0100-0000B8020000}">
      <text>
        <r>
          <rPr>
            <sz val="9"/>
            <color indexed="81"/>
            <rFont val="Segoe UI"/>
            <family val="2"/>
          </rPr>
          <t xml:space="preserve">01. Contrato
02. Gestor/Fiscal
</t>
        </r>
      </text>
    </comment>
    <comment ref="D454" authorId="3" shapeId="0" xr:uid="{00000000-0006-0000-0100-0000B9020000}">
      <text>
        <r>
          <rPr>
            <sz val="9"/>
            <color indexed="81"/>
            <rFont val="Segoe UI"/>
            <family val="2"/>
          </rPr>
          <t>* RMF
01. Código Contrato
02. Código Item Contrato
03. Código RMF
04. Número RMF
05. Código Item RMF
06. Qtde Requerida Item
07. Valor Unitário Item
08. Local Entrega
09. Endereço
10. Responsavel pelo Recebimento
11. Telefone
12. Observação
13. Previsão Entrega
14. Email Entrega
15. Data Envio
16. Data Assinatura
17. Email Destinatario
18. Email Destinatario Adicional
19. Assunto Email
20. Conteudo Email
21. Situação
22. Data RMF
23. Solicitante
24. Justificativa
25. Data Cancelamento
26. Usuário Cancelamento
Historico
27-Data de referência 
28-Assunto 
29-Descrição 
30-Arquivo
31-Deseja cadastrar lembrete?
32-Data do lembre
33-Titulo do lembre
34 - Origem</t>
        </r>
      </text>
    </comment>
    <comment ref="E454" authorId="3" shapeId="0" xr:uid="{00000000-0006-0000-0100-0000BA020000}">
      <text>
        <r>
          <rPr>
            <sz val="9"/>
            <color indexed="81"/>
            <rFont val="Segoe UI"/>
            <family val="2"/>
          </rPr>
          <t>01. RMF
02. Item RMF
03. Historico RMF</t>
        </r>
      </text>
    </comment>
    <comment ref="D455" authorId="3" shapeId="0" xr:uid="{00000000-0006-0000-0100-0000BB020000}">
      <text>
        <r>
          <rPr>
            <sz val="9"/>
            <color indexed="81"/>
            <rFont val="Segoe UI"/>
            <family val="2"/>
          </rPr>
          <t>* RMF
01. Código Contrato
02. Código Item Contrato
03. Código RMF
04. Número RMF
05. Código Item RMF
06. Qtde Requerida Item
07. Valor Total Itens
08. Total Qtde Requeridas
09. Valor Total Requisição
10. Local Entrega
11. Endereço
12. Responsavel pelo Recebimento
13. Telefone
14. Observação
15. Previsão Entrega
16. Email Entrega
17. Situação
18. Data RMF
19. Solicitante
20. Comando
21. Mensagem</t>
        </r>
      </text>
    </comment>
    <comment ref="E455" authorId="3" shapeId="0" xr:uid="{00000000-0006-0000-0100-0000BC020000}">
      <text>
        <r>
          <rPr>
            <sz val="9"/>
            <color indexed="81"/>
            <rFont val="Segoe UI"/>
            <family val="2"/>
          </rPr>
          <t>01. Contrato
02. Fornecedor
03. Unidade ADM
04. RMF
05. Endereço de Entrega
06.Material</t>
        </r>
      </text>
    </comment>
    <comment ref="D456" authorId="3" shapeId="0" xr:uid="{00000000-0006-0000-0100-0000BD020000}">
      <text>
        <r>
          <rPr>
            <sz val="9"/>
            <color indexed="81"/>
            <rFont val="Segoe UI"/>
            <family val="2"/>
          </rPr>
          <t>* Tipo de Contrato</t>
        </r>
        <r>
          <rPr>
            <sz val="9"/>
            <color indexed="81"/>
            <rFont val="Segoe UI"/>
            <family val="2"/>
          </rPr>
          <t xml:space="preserve">
01. Código
02. Descrição
03. Comando
</t>
        </r>
      </text>
    </comment>
    <comment ref="E456" authorId="3" shapeId="0" xr:uid="{00000000-0006-0000-0100-0000BE020000}">
      <text>
        <r>
          <rPr>
            <sz val="9"/>
            <color indexed="81"/>
            <rFont val="Segoe UI"/>
            <family val="2"/>
          </rPr>
          <t>01. Contrato</t>
        </r>
      </text>
    </comment>
    <comment ref="D457" authorId="3" shapeId="0" xr:uid="{00000000-0006-0000-0100-0000BF020000}">
      <text>
        <r>
          <rPr>
            <sz val="9"/>
            <color indexed="81"/>
            <rFont val="Segoe UI"/>
            <family val="2"/>
          </rPr>
          <t>* Tipo de Instrumento</t>
        </r>
        <r>
          <rPr>
            <sz val="9"/>
            <color indexed="81"/>
            <rFont val="Segoe UI"/>
            <family val="2"/>
          </rPr>
          <t xml:space="preserve">
01. Código
02. Descrição
03. Comando
</t>
        </r>
      </text>
    </comment>
    <comment ref="E457" authorId="3" shapeId="0" xr:uid="{00000000-0006-0000-0100-0000C0020000}">
      <text>
        <r>
          <rPr>
            <sz val="9"/>
            <color indexed="81"/>
            <rFont val="Segoe UI"/>
            <family val="2"/>
          </rPr>
          <t>01. Contrato</t>
        </r>
      </text>
    </comment>
    <comment ref="D458" authorId="3" shapeId="0" xr:uid="{00000000-0006-0000-0100-0000C1020000}">
      <text>
        <r>
          <rPr>
            <sz val="9"/>
            <color indexed="81"/>
            <rFont val="Segoe UI"/>
            <family val="2"/>
          </rPr>
          <t xml:space="preserve">01. Código
02. Descrição
03. Comando
</t>
        </r>
      </text>
    </comment>
    <comment ref="E458" authorId="3" shapeId="0" xr:uid="{00000000-0006-0000-0100-0000C2020000}">
      <text>
        <r>
          <rPr>
            <sz val="9"/>
            <color indexed="81"/>
            <rFont val="Segoe UI"/>
            <family val="2"/>
          </rPr>
          <t>01. Endereço de Entrega</t>
        </r>
      </text>
    </comment>
    <comment ref="D459" authorId="3" shapeId="0" xr:uid="{00000000-0006-0000-0100-0000C3020000}">
      <text>
        <r>
          <rPr>
            <sz val="9"/>
            <color indexed="81"/>
            <rFont val="Segoe UI"/>
            <family val="2"/>
          </rPr>
          <t>01. Órgão
02. Und. Administrativa
03. Nº do documento
04. Vigência
05. Situação
06. Tipo de instrumento contratual
07. Tipo de contrato
08. Número do Processo Licitatório
09. Unidade Orçamentária
10. Objeto
11. Valor 
12. Gestor
13. Fiscal
14. Dotação orçamentária 
15. Natureza de despesa 
16. Fonte do recurso
17. Unidade gestora 
18. Exercício
19. Tipo de empenho
20. Número do empenho
21. Data de emissão
22. Valor original do empenho 
23. Situação (situação do empenho) 
24. Fornecedor 
25. CNPJ/CPF do fornecedor 
26. Telefone 
27. E-mail 
28. Endereço 
29. Responsável/preposto: nome do responsável pelo fornecedor 
30. Cód. Item
31 Tipo
32. Descrição
33. Natureza despesa
34. Unidade
35. Valor unit.
36. Qtde.
37. Valor total
38. Saldo do contrato
39. Qtde. Requerida
40. Valor total dos itens
41. Total Qtde. Requeridas
42. Valor total da requisição
43. Local de entrega
44. Endereço
45. Responsável pelo recebimento
46. Telefone
47. Observações
48. Previsão de entrega
49. E-mail</t>
        </r>
      </text>
    </comment>
    <comment ref="E459" authorId="3" shapeId="0" xr:uid="{00000000-0006-0000-0100-0000C4020000}">
      <text>
        <r>
          <rPr>
            <sz val="9"/>
            <color indexed="81"/>
            <rFont val="Segoe UI"/>
            <family val="2"/>
          </rPr>
          <t>01. Contrato
02. Fornecedor
03. Unidade  ADM
04. RMF</t>
        </r>
      </text>
    </comment>
    <comment ref="D462" authorId="3" shapeId="0" xr:uid="{00000000-0006-0000-0100-0000C5020000}">
      <text>
        <r>
          <rPr>
            <sz val="9"/>
            <color indexed="81"/>
            <rFont val="Segoe UI"/>
            <family val="2"/>
          </rPr>
          <t xml:space="preserve">* RMF
01. Código
02. Número da RMF
03. Órgão
04. Unidade Administrativa
05. Tipo do Contrato
06. Fornecedor
07. Período da requisição ini
08. Periodo da requisição fim
09. Situação da RMF
10. Solicitante
11. Comando
12. Mensagem
</t>
        </r>
      </text>
    </comment>
    <comment ref="E462" authorId="3" shapeId="0" xr:uid="{00000000-0006-0000-0100-0000C6020000}">
      <text>
        <r>
          <rPr>
            <sz val="9"/>
            <color indexed="81"/>
            <rFont val="Segoe UI"/>
            <family val="2"/>
          </rPr>
          <t>01. Contrato
02. Fornecedor
03. Unidade  ADM
04. RMF
05. Usuário</t>
        </r>
      </text>
    </comment>
    <comment ref="D465" authorId="3" shapeId="0" xr:uid="{00000000-0006-0000-0100-0000C7020000}">
      <text>
        <r>
          <rPr>
            <sz val="9"/>
            <color indexed="81"/>
            <rFont val="Segoe UI"/>
            <family val="2"/>
          </rPr>
          <t>* RMF
01. Código Contrato
02. Código Item Contrato
03. Código RMF
04. Número RMF
05. Código Item RMF
06. Qtde Requerida Item
07. Valor Total Itens
08. Total Qtde Requeridas
09. Valor Total Requisição
10. Local Entrega
11. Endereço
12. Responsavel pelo Recebimento
13. Telefone
14. Observação
15. Previsão Entrega
16. Email Entrega
17. Situação
18. Comando
19. Mensagem</t>
        </r>
      </text>
    </comment>
    <comment ref="E465" authorId="3" shapeId="0" xr:uid="{00000000-0006-0000-0100-0000C8020000}">
      <text>
        <r>
          <rPr>
            <sz val="9"/>
            <color indexed="81"/>
            <rFont val="Segoe UI"/>
            <family val="2"/>
          </rPr>
          <t>01. Contrato
02. Fornecedor
03. Unidade ADM
04. RMF
05. Endereço de Entrega</t>
        </r>
      </text>
    </comment>
    <comment ref="D468" authorId="3" shapeId="0" xr:uid="{00000000-0006-0000-0100-0000C9020000}">
      <text>
        <r>
          <rPr>
            <sz val="9"/>
            <color indexed="81"/>
            <rFont val="Segoe UI"/>
            <family val="2"/>
          </rPr>
          <t>01. Órgão
02. Und. Administrativa
03. Nº do documento
04. Vigência
05. Situação
06. Tipo de instrumento contratual
07. Tipo de contrato
08. Número do Processo Licitatório
09. Unidade Orçamentária
10. Objeto
11. Valor 
12. Gestor
13. Fiscal
14. Dotação orçamentária 
15. Natureza de despesa 
16. Fonte do recurso
17. Unidade gestora 
18. Exercício
19. Tipo de empenho
20. Número do empenho
21. Data de emissão
22. Valor original do empenho 
23. Situação (situação do empenho) 
24. Fornecedor 
25. CNPJ/CPF do fornecedor 
26. Telefone 
27. E-mail 
28. Endereço 
29. Responsável/preposto: nome do responsável pelo fornecedor 
30. Cód. Item
31 Tipo
32. Descrição
33. Natureza despesa
34. Unidade
35. Valor unit.
36. Qtde.
37. Valor total
38. Saldo do contrato
39. Qtde. Requerida
40. Valor total dos itens
41. Total Qtde. Requeridas
42. Valor total da requisição
43. Local de entrega
44. Endereço
45. Responsável pelo recebimento
46. Telefone
47. Observações
48. Previsão de entrega
49. E-mail
50. Comando
51. Mensagem</t>
        </r>
      </text>
    </comment>
    <comment ref="E468" authorId="3" shapeId="0" xr:uid="{00000000-0006-0000-0100-0000CA020000}">
      <text>
        <r>
          <rPr>
            <sz val="9"/>
            <color indexed="81"/>
            <rFont val="Segoe UI"/>
            <family val="2"/>
          </rPr>
          <t>01. Contrato
02. Fornecedor
03. Unidade ADM
04. RMF
05. Endereço de Entrega</t>
        </r>
      </text>
    </comment>
    <comment ref="D471" authorId="3" shapeId="0" xr:uid="{00000000-0006-0000-0100-0000CB020000}">
      <text>
        <r>
          <rPr>
            <sz val="9"/>
            <color indexed="81"/>
            <rFont val="Segoe UI"/>
            <family val="2"/>
          </rPr>
          <t>* RMF
01. Código
02. Senha
03. Data Criação
04. Código Sequencial
05. Data de referência 
06. Assunto 
07. Descrição 
08. Origem
09. Nome Usuário
10. Comando
11. Mensagem</t>
        </r>
      </text>
    </comment>
    <comment ref="E471" authorId="3" shapeId="0" xr:uid="{00000000-0006-0000-0100-0000CC020000}">
      <text>
        <r>
          <rPr>
            <sz val="9"/>
            <color indexed="81"/>
            <rFont val="Segoe UI"/>
            <family val="2"/>
          </rPr>
          <t>01. RMF
02. Usuário</t>
        </r>
      </text>
    </comment>
    <comment ref="D474" authorId="3" shapeId="0" xr:uid="{00000000-0006-0000-0100-0000CD020000}">
      <text>
        <r>
          <rPr>
            <sz val="9"/>
            <color indexed="81"/>
            <rFont val="Segoe UI"/>
            <family val="2"/>
          </rPr>
          <t>* RMF
01. Código
02. Justificativa
03. Situação
04. Data Cancelamento
05. Usuário Cancelamento
06. Comando
07. Mensagem</t>
        </r>
      </text>
    </comment>
    <comment ref="E474" authorId="3" shapeId="0" xr:uid="{00000000-0006-0000-0100-0000CE020000}">
      <text>
        <r>
          <rPr>
            <sz val="9"/>
            <color indexed="81"/>
            <rFont val="Segoe UI"/>
            <family val="2"/>
          </rPr>
          <t>01. RMF</t>
        </r>
      </text>
    </comment>
    <comment ref="D477" authorId="3" shapeId="0" xr:uid="{AF5C9721-1BFF-4673-8DDE-6DED34BD4046}">
      <text>
        <r>
          <rPr>
            <sz val="9"/>
            <color indexed="81"/>
            <rFont val="Segoe UI"/>
            <family val="2"/>
          </rPr>
          <t>1 . Código
2 . Descrição
3 . Telefone
4 . Unidade Adm
5 . CPF Responsável
6 . Nome Responsável
7 . Email Responsavel
8 . Flag Controle Financeiro
9 . Flag Bloqueio
10. Data Bloqueio
11. Flag Subalmoxarifado
12. Almoxarifado Superior
13.Órgão</t>
        </r>
      </text>
    </comment>
    <comment ref="E477" authorId="3" shapeId="0" xr:uid="{22B738F0-78F5-46DF-881C-331C45863C85}">
      <text>
        <r>
          <rPr>
            <sz val="9"/>
            <color indexed="81"/>
            <rFont val="Segoe UI"/>
            <family val="2"/>
          </rPr>
          <t>01. Almoxarifado</t>
        </r>
      </text>
    </comment>
    <comment ref="D478" authorId="3" shapeId="0" xr:uid="{00000000-0006-0000-0100-0000D1020000}">
      <text>
        <r>
          <rPr>
            <sz val="9"/>
            <color indexed="81"/>
            <rFont val="Segoe UI"/>
            <family val="2"/>
          </rPr>
          <t>* Pessoa
01. Código
02. CPF
03. Nome
04. Email</t>
        </r>
      </text>
    </comment>
    <comment ref="E478" authorId="3" shapeId="0" xr:uid="{00000000-0006-0000-0100-0000D2020000}">
      <text>
        <r>
          <rPr>
            <sz val="9"/>
            <color indexed="81"/>
            <rFont val="Segoe UI"/>
            <family val="2"/>
          </rPr>
          <t>01. Pessoa</t>
        </r>
      </text>
    </comment>
    <comment ref="D479" authorId="3" shapeId="0" xr:uid="{FAA33539-46AF-4EE8-B3B5-4321BC4652C9}">
      <text>
        <r>
          <rPr>
            <sz val="9"/>
            <color indexed="81"/>
            <rFont val="Segoe UI"/>
            <family val="2"/>
          </rPr>
          <t>1 .Exercicio
2 . Orgão
3 . Unidade orçamentária
4 . Código
5 . Descrição
6 . Telefone
7 . CPF Responsável
8 . Nome Responsável
9 . Email Responsavel
10. Flag Controle Financeiro
11. Flag Bloqueio
12. Data Bloqueio
13. Flag Subalmoxarifado
14. Almoxarifado Superior
15. Comando
16. Mensagem</t>
        </r>
      </text>
    </comment>
    <comment ref="E479" authorId="3" shapeId="0" xr:uid="{08923416-8CA7-4DED-B983-AE554E5A5155}">
      <text>
        <r>
          <rPr>
            <sz val="9"/>
            <color indexed="81"/>
            <rFont val="Segoe UI"/>
            <family val="2"/>
          </rPr>
          <t>01. Almoxarifado
02. Unidade ADM
03. Pessoa
04.Órgão</t>
        </r>
      </text>
    </comment>
    <comment ref="D480" authorId="3" shapeId="0" xr:uid="{00000000-0006-0000-0100-0000D5020000}">
      <text>
        <r>
          <rPr>
            <sz val="9"/>
            <color indexed="81"/>
            <rFont val="Segoe UI"/>
            <family val="2"/>
          </rPr>
          <t>* Pessoa
01. Código
02. CPF
03. Nome
04. Email
05. Comando
06. Mensagem</t>
        </r>
      </text>
    </comment>
    <comment ref="E480" authorId="3" shapeId="0" xr:uid="{00000000-0006-0000-0100-0000D6020000}">
      <text>
        <r>
          <rPr>
            <sz val="9"/>
            <color indexed="81"/>
            <rFont val="Segoe UI"/>
            <family val="2"/>
          </rPr>
          <t>01. Pessoa</t>
        </r>
      </text>
    </comment>
    <comment ref="D483" authorId="3" shapeId="0" xr:uid="{4E332F80-A97C-45D6-8C02-839107F5073D}">
      <text>
        <r>
          <rPr>
            <sz val="9"/>
            <color indexed="81"/>
            <rFont val="Segoe UI"/>
            <family val="2"/>
          </rPr>
          <t>1 . Código
2 . Exercicio
3 . Descrição
4 . Unidade Orçamentaria 
5 . Descrição Almoxarifado Superior
6 . Telefone
7 . Flag Controle Financeiro
8 . Data Bloqueio
9 .Órgão
10. Comando
11. Mensagem</t>
        </r>
      </text>
    </comment>
    <comment ref="E483" authorId="3" shapeId="0" xr:uid="{9BE87D93-F859-471B-BBD1-430680F16DA5}">
      <text>
        <r>
          <rPr>
            <sz val="9"/>
            <color indexed="81"/>
            <rFont val="Segoe UI"/>
            <family val="2"/>
          </rPr>
          <t>01. Almoxarifado
02. Unidade ADM
03.Órgão</t>
        </r>
      </text>
    </comment>
    <comment ref="D486" authorId="3" shapeId="0" xr:uid="{00000000-0006-0000-0100-0000D9020000}">
      <text>
        <r>
          <rPr>
            <sz val="9"/>
            <color indexed="81"/>
            <rFont val="Segoe UI"/>
            <family val="2"/>
          </rPr>
          <t>* Almoxarifado
01. Código
02. Descrição
03. Comando
04. Mensagem</t>
        </r>
      </text>
    </comment>
    <comment ref="E486" authorId="3" shapeId="0" xr:uid="{00000000-0006-0000-0100-0000DA020000}">
      <text>
        <r>
          <rPr>
            <sz val="9"/>
            <color indexed="81"/>
            <rFont val="Segoe UI"/>
            <family val="2"/>
          </rPr>
          <t>01. Almoxarifado</t>
        </r>
      </text>
    </comment>
    <comment ref="D489" authorId="3" shapeId="0" xr:uid="{3F4CD90F-421F-477F-B692-735BDCAEA7D1}">
      <text>
        <r>
          <rPr>
            <sz val="9"/>
            <color indexed="81"/>
            <rFont val="Segoe UI"/>
            <family val="2"/>
          </rPr>
          <t>1 .Exercicio
2 . Orgão
3 . Unidade orçamentária
4 . Código
5 . Descrição
6 . Telefone
7 . CPF Responsável
8 . Nome Responsável
9 . Email Responsavel
10. Flag Controle Financeiro
11. Flag Bloqueio
12. Data Bloqueio
13. Flag Subalmoxarifado
14. Almoxarifado Superior
15. Comando
16. Mensagem</t>
        </r>
      </text>
    </comment>
    <comment ref="E489" authorId="3" shapeId="0" xr:uid="{C359B424-12AE-4F60-8952-8A046229BA24}">
      <text>
        <r>
          <rPr>
            <sz val="9"/>
            <color indexed="81"/>
            <rFont val="Segoe UI"/>
            <family val="2"/>
          </rPr>
          <t>01. Almoxarifado
02. Unidade ADM
03. Pessoa
04.Órgão</t>
        </r>
      </text>
    </comment>
    <comment ref="D490" authorId="3" shapeId="0" xr:uid="{7823B533-A620-4EF9-A8D9-5D688B173236}">
      <text>
        <r>
          <rPr>
            <sz val="9"/>
            <color indexed="81"/>
            <rFont val="Segoe UI"/>
            <family val="2"/>
          </rPr>
          <t xml:space="preserve">1 .Exercicio
2 . Orgão
3 . Unidade orçamentária
4 . Código
5 . Descrição
6 . Telefone
7 . CPF Responsável
8 . Nome Responsável
9 . Email Responsavel
10. Flag Controle Financeiro
11. Flag Bloqueio
12. Data Bloqueio
13. Flag Subalmoxarifado
14. Almoxarifado Superior
</t>
        </r>
      </text>
    </comment>
    <comment ref="E490" authorId="3" shapeId="0" xr:uid="{133FF631-C184-45AB-A0CA-5D5812169DD6}">
      <text>
        <r>
          <rPr>
            <sz val="9"/>
            <color indexed="81"/>
            <rFont val="Segoe UI"/>
            <family val="2"/>
          </rPr>
          <t>01. Almoxarifado
02. Unidade ADM
03. Pessoa
04.Órgão</t>
        </r>
      </text>
    </comment>
    <comment ref="D491" authorId="3" shapeId="0" xr:uid="{00000000-0006-0000-0100-0000DF020000}">
      <text>
        <r>
          <rPr>
            <sz val="9"/>
            <color indexed="81"/>
            <rFont val="Segoe UI"/>
            <family val="2"/>
          </rPr>
          <t>* Almoxarifado
01. Código
02. Comando
03. Mensagem</t>
        </r>
      </text>
    </comment>
    <comment ref="E491" authorId="3" shapeId="0" xr:uid="{00000000-0006-0000-0100-0000E0020000}">
      <text>
        <r>
          <rPr>
            <sz val="9"/>
            <color indexed="81"/>
            <rFont val="Segoe UI"/>
            <family val="2"/>
          </rPr>
          <t>01. Almoxarifado</t>
        </r>
      </text>
    </comment>
    <comment ref="D494" authorId="3" shapeId="0" xr:uid="{00000000-0006-0000-0100-0000E1020000}">
      <text>
        <r>
          <rPr>
            <sz val="9"/>
            <color indexed="81"/>
            <rFont val="Segoe UI"/>
            <family val="2"/>
          </rPr>
          <t>01 - Código
02 - Data emissão
03 - Situacao 
04 - Requisição
05 - Órgão
06 - Und. Administrativa
07 - Nº Contrato
08 - Vigência
09 - Situação
10 - Tipo de instrumento contratual
11 - Tipo de contrato
12 - Número do Processo Licitatório
13 - Unidade Orçamentária
14 - Objeto
15 - Valor contrato
16 - Gestor/Fiscal
17 - Cód. Item 
18 - Tipo 
19 - Descrição 
20 - Natureza despesa 
21 - Unidade 
22 - Valor unit. 
23 - Qtde. 
24 - Valor total 
25 - Saldo do contrato 
26 - Qtde. Requerida
27 - Valor total dos itens
28 - Total Qtde. Requeridas
29 - Valor total da requisição
30 - Fornecedor 
31 - CNPJ/CPF do fornecedor 
32 - Telefone 
33 - E-mail 
34 - Endereço 
35 - Responsável/preposto
36 - Dotação orçamentária 
37 - Natureza de despesa 
38 - Fonte do recurso 
39 - Unidade gestora 
39 - Exercício 
40 - Tipo de empenho 
41 - Número do empenho 
42 - Data de emissão 
43 - Valor original do empenho 
44 - Situação (situação do empenho) 
45 - Endereço
46 - Responsável pelo recebimento
47 - Telefone
48 - Observações
49 - Previsão de entrega
50 - E-mail
51 - Assinatura
52 - Comando
53 - Mensagem</t>
        </r>
      </text>
    </comment>
    <comment ref="E494" authorId="3" shapeId="0" xr:uid="{00000000-0006-0000-0100-0000E2020000}">
      <text>
        <r>
          <rPr>
            <sz val="9"/>
            <color indexed="81"/>
            <rFont val="Segoe UI"/>
            <family val="2"/>
          </rPr>
          <t>01. Contrato
02. Fornecedor
03. Unidade ADM
04. RMF
05. Endereço de Entrega</t>
        </r>
      </text>
    </comment>
    <comment ref="D497" authorId="3" shapeId="0" xr:uid="{00000000-0006-0000-0100-0000E3020000}">
      <text>
        <r>
          <rPr>
            <sz val="9"/>
            <color indexed="81"/>
            <rFont val="Segoe UI"/>
            <family val="2"/>
          </rPr>
          <t>01 - Código
02 - Destinatário
03 - Adicional
04 - Assunto
05 - Conteúdo
06 - Nº requisição
07 - Contrato
08 - Lote
09. Data de referência 
10. Assunto 
11. Descrição 
12. Origem
13. Nome Usuário
14 - Comando
15 - Mensagem</t>
        </r>
      </text>
    </comment>
    <comment ref="E497" authorId="3" shapeId="0" xr:uid="{00000000-0006-0000-0100-0000E4020000}">
      <text>
        <r>
          <rPr>
            <sz val="9"/>
            <color indexed="81"/>
            <rFont val="Segoe UI"/>
            <family val="2"/>
          </rPr>
          <t>01. Fornecedor
02. RMF
03. Usuário</t>
        </r>
      </text>
    </comment>
    <comment ref="D498" authorId="3" shapeId="0" xr:uid="{00000000-0006-0000-0100-0000E5020000}">
      <text>
        <r>
          <rPr>
            <sz val="9"/>
            <color indexed="81"/>
            <rFont val="Segoe UI"/>
            <family val="2"/>
          </rPr>
          <t xml:space="preserve">01 - Código
02 - Destinatário
03 - Nº Requisição
04 - Nº Contrato
05 - Nº Lote
</t>
        </r>
      </text>
    </comment>
    <comment ref="E498" authorId="3" shapeId="0" xr:uid="{00000000-0006-0000-0100-0000E6020000}">
      <text>
        <r>
          <rPr>
            <sz val="9"/>
            <color indexed="81"/>
            <rFont val="Segoe UI"/>
            <family val="2"/>
          </rPr>
          <t>01. Fornecedor
02. RMF</t>
        </r>
      </text>
    </comment>
    <comment ref="D501" authorId="3" shapeId="0" xr:uid="{00000000-0006-0000-0100-0000E7020000}">
      <text>
        <r>
          <rPr>
            <sz val="9"/>
            <color indexed="81"/>
            <rFont val="Segoe UI"/>
            <family val="2"/>
          </rPr>
          <t>01 - Código
02 - Data limite da entrega
03 Anexo
04 - Comando
05 - Mensagem</t>
        </r>
      </text>
    </comment>
    <comment ref="E501" authorId="3" shapeId="0" xr:uid="{00000000-0006-0000-0100-0000E8020000}">
      <text>
        <r>
          <rPr>
            <sz val="9"/>
            <color indexed="81"/>
            <rFont val="Segoe UI"/>
            <family val="2"/>
          </rPr>
          <t>01. RMF</t>
        </r>
      </text>
    </comment>
    <comment ref="D504" authorId="3" shapeId="0" xr:uid="{00000000-0006-0000-0100-0000E9020000}">
      <text>
        <r>
          <rPr>
            <sz val="9"/>
            <color indexed="81"/>
            <rFont val="Segoe UI"/>
            <family val="2"/>
          </rPr>
          <t>01. Código
02. Status
03. Data de referência 
04. Assunto 
05. Descrição 
06. Origem
07. Nome Usuário
08 - Comando
09 - Mensagem</t>
        </r>
      </text>
    </comment>
    <comment ref="E504" authorId="3" shapeId="0" xr:uid="{00000000-0006-0000-0100-0000EA020000}">
      <text>
        <r>
          <rPr>
            <sz val="9"/>
            <color indexed="81"/>
            <rFont val="Segoe UI"/>
            <family val="2"/>
          </rPr>
          <t>01. RMF
02. Usuário</t>
        </r>
      </text>
    </comment>
    <comment ref="D505" authorId="3" shapeId="0" xr:uid="{00000000-0006-0000-0100-0000EB020000}">
      <text>
        <r>
          <rPr>
            <sz val="9"/>
            <color indexed="81"/>
            <rFont val="Segoe UI"/>
            <family val="2"/>
          </rPr>
          <t>01 - Código
02 - Data da confirmação
03 - Enviado por
04 - Destinatário
05 - Assunto
06 - Mensagem original</t>
        </r>
      </text>
    </comment>
    <comment ref="E505" authorId="3" shapeId="0" xr:uid="{00000000-0006-0000-0100-0000EC020000}">
      <text>
        <r>
          <rPr>
            <sz val="9"/>
            <color indexed="81"/>
            <rFont val="Segoe UI"/>
            <family val="2"/>
          </rPr>
          <t>01. Fornecedor
02. RMF</t>
        </r>
      </text>
    </comment>
    <comment ref="D508" authorId="3" shapeId="0" xr:uid="{00000000-0006-0000-0100-0000ED020000}">
      <text>
        <r>
          <rPr>
            <sz val="9"/>
            <color indexed="81"/>
            <rFont val="Segoe UI"/>
            <family val="2"/>
          </rPr>
          <t xml:space="preserve">
1-Data de referência 
2-Assunto 
3-Descrição 
4-Arquivo: 
5-Deseja cadastrar lembrete?
6-Data do lembre
7-Titulo do lembre
8-Enviar por email 
9-CMD
10-MSG</t>
        </r>
      </text>
    </comment>
    <comment ref="E508" authorId="3" shapeId="0" xr:uid="{00000000-0006-0000-0100-0000EE020000}">
      <text>
        <r>
          <rPr>
            <sz val="9"/>
            <color indexed="81"/>
            <rFont val="Segoe UI"/>
            <family val="2"/>
          </rPr>
          <t>01. RMF</t>
        </r>
      </text>
    </comment>
    <comment ref="D509" authorId="3" shapeId="0" xr:uid="{00000000-0006-0000-0100-0000EF020000}">
      <text>
        <r>
          <rPr>
            <sz val="9"/>
            <color indexed="81"/>
            <rFont val="Segoe UI"/>
            <family val="2"/>
          </rPr>
          <t xml:space="preserve">
1-Título
2-Data e hora 
3-Anexo
4-data de referência
5-Descrição
6-Usuário
7-Origem
8-CMD
</t>
        </r>
      </text>
    </comment>
    <comment ref="E509" authorId="3" shapeId="0" xr:uid="{00000000-0006-0000-0100-0000F0020000}">
      <text>
        <r>
          <rPr>
            <sz val="9"/>
            <color indexed="81"/>
            <rFont val="Segoe UI"/>
            <family val="2"/>
          </rPr>
          <t>01. RMF
02. Usuário</t>
        </r>
      </text>
    </comment>
    <comment ref="D514" authorId="3" shapeId="0" xr:uid="{00000000-0006-0000-0100-0000F1020000}">
      <text>
        <r>
          <rPr>
            <sz val="9"/>
            <color indexed="81"/>
            <rFont val="Segoe UI"/>
            <family val="2"/>
          </rPr>
          <t xml:space="preserve">
1 -Descrição
2 -Sigla
3 -Almoxarifado
4 -Tipo Logradouro
5 -Numero
6 -Bairro
7 -CEP
8 -UF
9 -Cidade
10-Responsável
11-Nome
12-Email
13-Bloquear
14-Código</t>
        </r>
      </text>
    </comment>
    <comment ref="E514" authorId="3" shapeId="0" xr:uid="{00000000-0006-0000-0100-0000F2020000}">
      <text>
        <r>
          <rPr>
            <sz val="9"/>
            <color indexed="81"/>
            <rFont val="Segoe UI"/>
            <family val="2"/>
          </rPr>
          <t xml:space="preserve">01. Endereço de entrega
02. Almoxarifado
</t>
        </r>
      </text>
    </comment>
    <comment ref="D515" authorId="3" shapeId="0" xr:uid="{00000000-0006-0000-0100-0000F3020000}">
      <text>
        <r>
          <rPr>
            <sz val="9"/>
            <color indexed="81"/>
            <rFont val="Segoe UI"/>
            <family val="2"/>
          </rPr>
          <t xml:space="preserve">
1 -Descrição
2 -Sigla
3 -Almoxarifado
4 -Tipo Logradouro
5 -Numero
6 -Bairro
7 -CEP
8 -UF
9 -Cidade
10-Responsável
11-Nome
12-Email
13-Bloquear
14-CMD
15-MSG</t>
        </r>
      </text>
    </comment>
    <comment ref="E515" authorId="3" shapeId="0" xr:uid="{00000000-0006-0000-0100-0000F4020000}">
      <text>
        <r>
          <rPr>
            <sz val="9"/>
            <color indexed="81"/>
            <rFont val="Segoe UI"/>
            <family val="2"/>
          </rPr>
          <t>01. Endereço de Entrega
02. Almoxarifado
03. Pessoa</t>
        </r>
      </text>
    </comment>
    <comment ref="D516" authorId="3" shapeId="0" xr:uid="{00000000-0006-0000-0100-0000F5020000}">
      <text>
        <r>
          <rPr>
            <sz val="9"/>
            <color indexed="81"/>
            <rFont val="Segoe UI"/>
            <family val="2"/>
          </rPr>
          <t xml:space="preserve">
1-Descrição
2-CMD</t>
        </r>
      </text>
    </comment>
    <comment ref="E516" authorId="3" shapeId="0" xr:uid="{00000000-0006-0000-0100-0000F6020000}">
      <text>
        <r>
          <rPr>
            <sz val="9"/>
            <color indexed="81"/>
            <rFont val="Segoe UI"/>
            <family val="2"/>
          </rPr>
          <t xml:space="preserve">01. Almoxarifado
</t>
        </r>
      </text>
    </comment>
    <comment ref="D519" authorId="3" shapeId="0" xr:uid="{00000000-0006-0000-0100-0000F7020000}">
      <text>
        <r>
          <rPr>
            <sz val="9"/>
            <color indexed="81"/>
            <rFont val="Segoe UI"/>
            <family val="2"/>
          </rPr>
          <t xml:space="preserve">
1 -Descrição
2 -Sigla
3 -Almoxarifado
4 -Tipo Logradouro
5 -Numero
6 -Bairro
7 -CEP
8 -UF
9 -Cidade
10-Responsável
11-Nome
12-Email
13-Bloquear
14-Código
15 - RMFs
16- CMD
17- MSG</t>
        </r>
      </text>
    </comment>
    <comment ref="E519" authorId="3" shapeId="0" xr:uid="{00000000-0006-0000-0100-0000F8020000}">
      <text>
        <r>
          <rPr>
            <sz val="9"/>
            <color indexed="81"/>
            <rFont val="Segoe UI"/>
            <family val="2"/>
          </rPr>
          <t>01. Endereço de Entrega
02. Almoxarifado
03. Pessoa
04. RMF</t>
        </r>
      </text>
    </comment>
    <comment ref="D520" authorId="3" shapeId="0" xr:uid="{00000000-0006-0000-0100-0000F9020000}">
      <text>
        <r>
          <rPr>
            <sz val="9"/>
            <color indexed="81"/>
            <rFont val="Segoe UI"/>
            <family val="2"/>
          </rPr>
          <t xml:space="preserve">
1 - Descrição
2 - Sigla
3 - Almoxarifado
4 - Tipo Logradouro
5 - Numero
6 - Bairro
7 - CEP
8 - UF
9 - Cidade
10- Responsável
11- Nome
12- Email
13- Bloquear
14- Código
</t>
        </r>
      </text>
    </comment>
    <comment ref="E520" authorId="3" shapeId="0" xr:uid="{00000000-0006-0000-0100-0000FA020000}">
      <text>
        <r>
          <rPr>
            <sz val="9"/>
            <color indexed="81"/>
            <rFont val="Segoe UI"/>
            <family val="2"/>
          </rPr>
          <t>01. Endereço de Entrega
02. Almoxarifado
03. Pessoa</t>
        </r>
      </text>
    </comment>
    <comment ref="D523" authorId="3" shapeId="0" xr:uid="{AE368476-9673-48BE-A7F0-4FFAE17D0A99}">
      <text>
        <r>
          <rPr>
            <sz val="9"/>
            <color indexed="81"/>
            <rFont val="Segoe UI"/>
            <family val="2"/>
          </rPr>
          <t>1 - Descrição
2 - Almoxarifado
3 - Tipo Logradouro
4 - Numero
5 - Bairro
6 - CEP
7 - UF
8 - Cidade
9 - Responsável
10- Nome
11- Email
12- Bloquear
13- Código
14- CMD
15- MSG</t>
        </r>
      </text>
    </comment>
    <comment ref="E523" authorId="3" shapeId="0" xr:uid="{C9B19AED-5CAD-41F6-A456-7A40B58DBA4E}">
      <text>
        <r>
          <rPr>
            <sz val="9"/>
            <color indexed="81"/>
            <rFont val="Segoe UI"/>
            <family val="2"/>
          </rPr>
          <t>01. Endereço de Entrega
02. Almoxarifado
03. Pessoa</t>
        </r>
      </text>
    </comment>
    <comment ref="D526" authorId="3" shapeId="0" xr:uid="{00000000-0006-0000-0100-0000FD020000}">
      <text>
        <r>
          <rPr>
            <sz val="9"/>
            <color indexed="81"/>
            <rFont val="Segoe UI"/>
            <family val="2"/>
          </rPr>
          <t xml:space="preserve">
1-Codigo
2-Descrição
3-CMD
4-MSG</t>
        </r>
      </text>
    </comment>
    <comment ref="E526" authorId="3" shapeId="0" xr:uid="{00000000-0006-0000-0100-0000FE020000}">
      <text>
        <r>
          <rPr>
            <sz val="9"/>
            <color indexed="81"/>
            <rFont val="Segoe UI"/>
            <family val="2"/>
          </rPr>
          <t xml:space="preserve">01. Endereço de Entrega
02. Almoxarifado
</t>
        </r>
      </text>
    </comment>
    <comment ref="D529" authorId="3" shapeId="0" xr:uid="{00000000-0006-0000-0100-0000FF020000}">
      <text>
        <r>
          <rPr>
            <sz val="9"/>
            <color indexed="81"/>
            <rFont val="Segoe UI"/>
            <family val="2"/>
          </rPr>
          <t xml:space="preserve">1-Cod Elemento
2-Elemento
3-Cod Subelemento
4-Subelemento
</t>
        </r>
      </text>
    </comment>
    <comment ref="E529" authorId="3" shapeId="0" xr:uid="{00000000-0006-0000-0100-000000030000}">
      <text>
        <r>
          <rPr>
            <sz val="9"/>
            <color indexed="81"/>
            <rFont val="Segoe UI"/>
            <family val="2"/>
          </rPr>
          <t xml:space="preserve">
1- Elemento / Subelemento
</t>
        </r>
      </text>
    </comment>
    <comment ref="D530" authorId="3" shapeId="0" xr:uid="{231D4F41-178D-43B1-ABFE-E89AA6793596}">
      <text>
        <r>
          <rPr>
            <sz val="9"/>
            <color indexed="81"/>
            <rFont val="Segoe UI"/>
            <family val="2"/>
          </rPr>
          <t xml:space="preserve">
1-Descrição
2-Situação
3-Cod Material
4-Elemento
5-Subelemento
6-sigla unidade
7-ID
8-Órgão
9-Almoxarifado</t>
        </r>
      </text>
    </comment>
    <comment ref="E530" authorId="3" shapeId="0" xr:uid="{413A1B2A-2051-4C15-9F95-1505EFF96F6B}">
      <text>
        <r>
          <rPr>
            <sz val="9"/>
            <color indexed="81"/>
            <rFont val="Segoe UI"/>
            <family val="2"/>
          </rPr>
          <t xml:space="preserve">
1-Catalogo
</t>
        </r>
      </text>
    </comment>
    <comment ref="D531" authorId="3" shapeId="0" xr:uid="{4DE4C337-57DF-4027-BFE0-4182C763D224}">
      <text>
        <r>
          <rPr>
            <sz val="9"/>
            <color indexed="81"/>
            <rFont val="Segoe UI"/>
            <family val="2"/>
          </rPr>
          <t xml:space="preserve">
1-Descrição
2-Situação
3-Cod Material
4-Desc Material
5-Elemento
6-Subelemento
8-sigla unidade
9-Unidade
10-Órgão
11-Almoxarifado
12-CMD
13-MSG</t>
        </r>
      </text>
    </comment>
    <comment ref="E531" authorId="3" shapeId="0" xr:uid="{63384108-FAB9-4D29-ADC5-EEED0A4BBCB8}">
      <text>
        <r>
          <rPr>
            <sz val="9"/>
            <color indexed="81"/>
            <rFont val="Segoe UI"/>
            <family val="2"/>
          </rPr>
          <t xml:space="preserve">
1-Catalogo
2-Material - SISPAT
3-Unidade
4-Elemento/Subelemento
5-Órgão
6-Almoxarifado</t>
        </r>
      </text>
    </comment>
    <comment ref="D534" authorId="3" shapeId="0" xr:uid="{CC6DD4F5-09B2-42A7-A526-F1A10F1F62EF}">
      <text>
        <r>
          <rPr>
            <sz val="9"/>
            <color indexed="81"/>
            <rFont val="Segoe UI"/>
            <family val="2"/>
          </rPr>
          <t xml:space="preserve">
1-Descrição
2-Situação
3-Cod Material
4-Desc Material
5-Elemento
6-Subelemento
7-Órgão
9-Almoxarifado
10-CMD
11-MSG</t>
        </r>
      </text>
    </comment>
    <comment ref="E534" authorId="3" shapeId="0" xr:uid="{7598840D-AC35-4973-99AB-49CD94EE5147}">
      <text>
        <r>
          <rPr>
            <sz val="9"/>
            <color indexed="81"/>
            <rFont val="Segoe UI"/>
            <family val="2"/>
          </rPr>
          <t xml:space="preserve">
1-Catalogo
2-Material - SISPAT
3-Elemento/Subelemento
4-Órgão
5-Almoxarifado</t>
        </r>
      </text>
    </comment>
    <comment ref="D535" authorId="3" shapeId="0" xr:uid="{00000000-0006-0000-0100-000007030000}">
      <text>
        <r>
          <rPr>
            <sz val="9"/>
            <color indexed="81"/>
            <rFont val="Segoe UI"/>
            <family val="2"/>
          </rPr>
          <t xml:space="preserve">
1-Código
2-Descrição
3-CMD
</t>
        </r>
      </text>
    </comment>
    <comment ref="E535" authorId="3" shapeId="0" xr:uid="{00000000-0006-0000-0100-000008030000}">
      <text>
        <r>
          <rPr>
            <sz val="9"/>
            <color indexed="81"/>
            <rFont val="Segoe UI"/>
            <family val="2"/>
          </rPr>
          <t xml:space="preserve">
1-Material - SISPAT</t>
        </r>
      </text>
    </comment>
    <comment ref="D536" authorId="3" shapeId="0" xr:uid="{00000000-0006-0000-0100-000009030000}">
      <text>
        <r>
          <rPr>
            <sz val="9"/>
            <color indexed="81"/>
            <rFont val="Segoe UI"/>
            <family val="2"/>
          </rPr>
          <t xml:space="preserve">
1-Código
2-Descrição
3-CMD
</t>
        </r>
      </text>
    </comment>
    <comment ref="E536" authorId="3" shapeId="0" xr:uid="{00000000-0006-0000-0100-00000A030000}">
      <text>
        <r>
          <rPr>
            <sz val="9"/>
            <color indexed="81"/>
            <rFont val="Segoe UI"/>
            <family val="2"/>
          </rPr>
          <t xml:space="preserve">
1-Elemento/Subelemento</t>
        </r>
      </text>
    </comment>
    <comment ref="D537" authorId="3" shapeId="0" xr:uid="{00000000-0006-0000-0100-00000B030000}">
      <text>
        <r>
          <rPr>
            <sz val="9"/>
            <color indexed="81"/>
            <rFont val="Segoe UI"/>
            <family val="2"/>
          </rPr>
          <t xml:space="preserve">
1-Código
2-Descrição
3-CMD
</t>
        </r>
      </text>
    </comment>
    <comment ref="E537" authorId="3" shapeId="0" xr:uid="{00000000-0006-0000-0100-00000C030000}">
      <text>
        <r>
          <rPr>
            <sz val="9"/>
            <color indexed="81"/>
            <rFont val="Segoe UI"/>
            <family val="2"/>
          </rPr>
          <t xml:space="preserve">
1-Elemento/Subelemento</t>
        </r>
      </text>
    </comment>
    <comment ref="D540" authorId="3" shapeId="0" xr:uid="{053EB26E-BA07-4399-940D-91475F3496A8}">
      <text>
        <r>
          <rPr>
            <sz val="9"/>
            <color indexed="81"/>
            <rFont val="Segoe UI"/>
            <family val="2"/>
          </rPr>
          <t xml:space="preserve">
1-Descrição
2-Situação
3-Cod Material
4-Desc Material
5-Elemento
6-Subelemento
8-sigla unidade
9-Unidade
10-Órgão
11-Almoxarifado
12-CMD
13-MSG</t>
        </r>
      </text>
    </comment>
    <comment ref="E540" authorId="3" shapeId="0" xr:uid="{D84A7761-5676-4F0E-AE28-2D54E31514C3}">
      <text>
        <r>
          <rPr>
            <sz val="9"/>
            <color indexed="81"/>
            <rFont val="Segoe UI"/>
            <family val="2"/>
          </rPr>
          <t xml:space="preserve">
1-Catalogo
2-Material - SISPAT
3-Unidade
4-Elemento/Subelemento
5-Órgão
6-Almoxarifado</t>
        </r>
      </text>
    </comment>
    <comment ref="D541" authorId="3" shapeId="0" xr:uid="{890D5875-ED05-4A43-9090-45AD0DEF674B}">
      <text>
        <r>
          <rPr>
            <sz val="9"/>
            <color indexed="81"/>
            <rFont val="Segoe UI"/>
            <family val="2"/>
          </rPr>
          <t xml:space="preserve">
1-Descrição
2-Situação
3-Cod Material
4-Desc Material
5-Elemento
6-Subelemento
8-sigla unidade
9-Unidade
10-Órgão
11-Almoxarifado
12-CMD</t>
        </r>
      </text>
    </comment>
    <comment ref="E541" authorId="3" shapeId="0" xr:uid="{B7F13823-0466-410A-B2A4-FDF65574236E}">
      <text>
        <r>
          <rPr>
            <sz val="9"/>
            <color indexed="81"/>
            <rFont val="Segoe UI"/>
            <family val="2"/>
          </rPr>
          <t xml:space="preserve">
1-Catalogo
2-Material - SISPAT
3-Unidade
4-Elemento/Subelemento
5-Órgão</t>
        </r>
      </text>
    </comment>
    <comment ref="D544" authorId="3" shapeId="0" xr:uid="{00000000-0006-0000-0100-000011030000}">
      <text>
        <r>
          <rPr>
            <sz val="9"/>
            <color indexed="81"/>
            <rFont val="Segoe UI"/>
            <family val="2"/>
          </rPr>
          <t xml:space="preserve">
1-Codigo 
2-Descrição 
3-CMD
4-MSG</t>
        </r>
      </text>
    </comment>
    <comment ref="E544" authorId="3" shapeId="0" xr:uid="{00000000-0006-0000-0100-000012030000}">
      <text>
        <r>
          <rPr>
            <sz val="9"/>
            <color indexed="81"/>
            <rFont val="Segoe UI"/>
            <family val="2"/>
          </rPr>
          <t xml:space="preserve">
1-Catalogo
</t>
        </r>
      </text>
    </comment>
    <comment ref="D547" authorId="3" shapeId="0" xr:uid="{41165A50-4B53-451D-A1A9-68ACF30F8980}">
      <text>
        <r>
          <rPr>
            <sz val="9"/>
            <color indexed="81"/>
            <rFont val="Segoe UI"/>
            <family val="2"/>
          </rPr>
          <t xml:space="preserve">
1-Descrição 
2-Elemento
3-SubElemento 
4-Codelemento
5-Cod subelemento
6-Cod material
7-descrição
8-Variação do Material
9-CMD
10-MSG</t>
        </r>
      </text>
    </comment>
    <comment ref="E547" authorId="3" shapeId="0" xr:uid="{09645E40-5FAE-4827-B1A8-B29A139C25BE}">
      <text>
        <r>
          <rPr>
            <sz val="9"/>
            <color indexed="81"/>
            <rFont val="Segoe UI"/>
            <family val="2"/>
          </rPr>
          <t xml:space="preserve">
1-Material - SISPAT
2-Elemento / Subelemento</t>
        </r>
      </text>
    </comment>
    <comment ref="D550" authorId="3" shapeId="0" xr:uid="{00000000-0006-0000-0100-000015030000}">
      <text>
        <r>
          <rPr>
            <sz val="9"/>
            <color indexed="81"/>
            <rFont val="Segoe UI"/>
            <family val="2"/>
          </rPr>
          <t xml:space="preserve">
1-Elemento
2-SubElemento 
3-CMD
4-MSG</t>
        </r>
      </text>
    </comment>
    <comment ref="E550" authorId="3" shapeId="0" xr:uid="{00000000-0006-0000-0100-000016030000}">
      <text>
        <r>
          <rPr>
            <sz val="9"/>
            <color indexed="81"/>
            <rFont val="Segoe UI"/>
            <family val="2"/>
          </rPr>
          <t xml:space="preserve">
1-Elemento/Subelemento</t>
        </r>
      </text>
    </comment>
    <comment ref="D553" authorId="3" shapeId="0" xr:uid="{00000000-0006-0000-0100-000017030000}">
      <text>
        <r>
          <rPr>
            <sz val="9"/>
            <color indexed="81"/>
            <rFont val="Segoe UI"/>
            <family val="2"/>
          </rPr>
          <t xml:space="preserve">
1-Descrição
2-CMD
3-MSG</t>
        </r>
      </text>
    </comment>
    <comment ref="E553" authorId="3" shapeId="0" xr:uid="{00000000-0006-0000-0100-000018030000}">
      <text>
        <r>
          <rPr>
            <sz val="9"/>
            <color indexed="81"/>
            <rFont val="Segoe UI"/>
            <family val="2"/>
          </rPr>
          <t xml:space="preserve">
1-Unidade
</t>
        </r>
      </text>
    </comment>
    <comment ref="D556" authorId="3" shapeId="0" xr:uid="{00000000-0006-0000-0100-000019030000}">
      <text>
        <r>
          <rPr>
            <sz val="9"/>
            <color indexed="81"/>
            <rFont val="Segoe UI"/>
            <family val="2"/>
          </rPr>
          <t xml:space="preserve">
1-Elemento de despesas
2-SubElemento de despesas
3-Descrição parametro
4-Status
5-Resp Cadastro
6-Justificativa
7-Codigo
8-Nome do campo
9-Tipo
10-Obrigatorio
11-Status
12-data Cadastro campo
13-Resp cadastro campo
14-placa
15-Renavam
16-Chassi
17-Nome do campo
18-obrigatorio
19-tipo do campo
20-maximo caracteres
21-opção do combobox
22-Status
23-ID campo
24- ID caracteristica</t>
        </r>
      </text>
    </comment>
    <comment ref="E556" authorId="3" shapeId="0" xr:uid="{00000000-0006-0000-0100-00001A030000}">
      <text>
        <r>
          <rPr>
            <sz val="9"/>
            <color indexed="81"/>
            <rFont val="Segoe UI"/>
            <family val="2"/>
          </rPr>
          <t xml:space="preserve">
1-Parametros de caracteristica
2-Campos
3-Tipo de Campo</t>
        </r>
      </text>
    </comment>
    <comment ref="D557" authorId="3" shapeId="0" xr:uid="{00000000-0006-0000-0100-00001B030000}">
      <text>
        <r>
          <rPr>
            <sz val="9"/>
            <color indexed="81"/>
            <rFont val="Segoe UI"/>
            <family val="2"/>
          </rPr>
          <t xml:space="preserve">
1-Elemento de despesas
2-SubElemento de despesas
3-Descrição parametro
4-Data ini
5-Data fim 
6-Codigo
7-Resp Cadastro
8-CMD
9-MSG
</t>
        </r>
      </text>
    </comment>
    <comment ref="E557" authorId="3" shapeId="0" xr:uid="{00000000-0006-0000-0100-00001C030000}">
      <text>
        <r>
          <rPr>
            <sz val="9"/>
            <color indexed="81"/>
            <rFont val="Segoe UI"/>
            <family val="2"/>
          </rPr>
          <t xml:space="preserve">
1-Parametros de caracteristica
2-Elemento / Subelemento
3-Usuario</t>
        </r>
      </text>
    </comment>
    <comment ref="D558" authorId="3" shapeId="0" xr:uid="{00000000-0006-0000-0100-00001D030000}">
      <text>
        <r>
          <rPr>
            <sz val="9"/>
            <color indexed="81"/>
            <rFont val="Segoe UI"/>
            <family val="2"/>
          </rPr>
          <t xml:space="preserve">
1-Elemento de despesas
2-SubElemento de despesas
3-Descrição parametro
4-Status
5-Resp Cadastro
6-Justificativa
7- ID
8-CMD
9-MSG</t>
        </r>
      </text>
    </comment>
    <comment ref="E558" authorId="3" shapeId="0" xr:uid="{00000000-0006-0000-0100-00001E030000}">
      <text>
        <r>
          <rPr>
            <sz val="9"/>
            <color indexed="81"/>
            <rFont val="Segoe UI"/>
            <family val="2"/>
          </rPr>
          <t xml:space="preserve">
1-Parametros de caracteristica
2-Elemento / Subelemento
3-Usuario</t>
        </r>
      </text>
    </comment>
    <comment ref="D559" authorId="3" shapeId="0" xr:uid="{00000000-0006-0000-0100-00001F030000}">
      <text>
        <r>
          <rPr>
            <sz val="9"/>
            <color indexed="81"/>
            <rFont val="Segoe UI"/>
            <family val="2"/>
          </rPr>
          <t xml:space="preserve">
1-Elemento de despesas
2-SubElemento de despesas
3-Descrição parametro
4-Status
5-Resp Cadastro
6-Justificativa
7-ID
8-CMD
9-MSG</t>
        </r>
      </text>
    </comment>
    <comment ref="E559" authorId="3" shapeId="0" xr:uid="{00000000-0006-0000-0100-000020030000}">
      <text>
        <r>
          <rPr>
            <sz val="9"/>
            <color indexed="81"/>
            <rFont val="Segoe UI"/>
            <family val="2"/>
          </rPr>
          <t xml:space="preserve">
1-Parametros de caracteristica
2-Elemento / Subelemento
3-Usuario</t>
        </r>
      </text>
    </comment>
    <comment ref="D560" authorId="3" shapeId="0" xr:uid="{00000000-0006-0000-0100-000021030000}">
      <text>
        <r>
          <rPr>
            <sz val="9"/>
            <color indexed="81"/>
            <rFont val="Segoe UI"/>
            <family val="2"/>
          </rPr>
          <t xml:space="preserve">
1-Elemento de despesas
2-SubElemento de despesas
3-Descrição parametro
4-Status
5-Resp Cadastro
6-Justificativa
7-Codigo
8-Nome do campo
9-Tipo
10-Obrigatorio
11-Status
12-data Cadastro campo
13-Resp cadastro campo
14-placa
15-Renavam
16-Chassi
</t>
        </r>
      </text>
    </comment>
    <comment ref="E560" authorId="3" shapeId="0" xr:uid="{00000000-0006-0000-0100-000022030000}">
      <text>
        <r>
          <rPr>
            <sz val="9"/>
            <color indexed="81"/>
            <rFont val="Segoe UI"/>
            <family val="2"/>
          </rPr>
          <t xml:space="preserve">
1-Parametros de caracteristica
2-Elemento / Subelemento
3-Usuario</t>
        </r>
      </text>
    </comment>
    <comment ref="D561" authorId="3" shapeId="0" xr:uid="{00000000-0006-0000-0100-000023030000}">
      <text>
        <r>
          <rPr>
            <sz val="9"/>
            <color indexed="81"/>
            <rFont val="Segoe UI"/>
            <family val="2"/>
          </rPr>
          <t xml:space="preserve">
1-Codigo
2-CMD
3-MSG</t>
        </r>
      </text>
    </comment>
    <comment ref="E561" authorId="3" shapeId="0" xr:uid="{00000000-0006-0000-0100-000024030000}">
      <text>
        <r>
          <rPr>
            <sz val="9"/>
            <color indexed="81"/>
            <rFont val="Segoe UI"/>
            <family val="2"/>
          </rPr>
          <t xml:space="preserve">
1-Parametros de caracteristica
2-Material</t>
        </r>
      </text>
    </comment>
    <comment ref="D562" authorId="3" shapeId="0" xr:uid="{00000000-0006-0000-0100-000025030000}">
      <text>
        <r>
          <rPr>
            <sz val="9"/>
            <color indexed="81"/>
            <rFont val="Segoe UI"/>
            <family val="2"/>
          </rPr>
          <t xml:space="preserve">
1-Elemento de despesas
2-SubElemento de despesas
3-Descrição parametro
4-Status
5-Resp Cadastro
6-Justificativa
7-Codigo
8-Nome do campo
9-Tipo
10-Obrigatorio
11-Status
12-data Cadastro campo
13-Resp cadastro campo
14-placa
15-Renavam
16-Chassi
17-CMD
18-MSG
</t>
        </r>
      </text>
    </comment>
    <comment ref="E562" authorId="3" shapeId="0" xr:uid="{00000000-0006-0000-0100-000026030000}">
      <text>
        <r>
          <rPr>
            <sz val="9"/>
            <color indexed="81"/>
            <rFont val="Segoe UI"/>
            <family val="2"/>
          </rPr>
          <t xml:space="preserve">
1-Parametros de caracteristica
2-Elemento / Subelemento
3-Usuario</t>
        </r>
      </text>
    </comment>
    <comment ref="D563" authorId="3" shapeId="0" xr:uid="{00000000-0006-0000-0100-000027030000}">
      <text>
        <r>
          <rPr>
            <sz val="9"/>
            <color indexed="81"/>
            <rFont val="Segoe UI"/>
            <family val="2"/>
          </rPr>
          <t xml:space="preserve">
1-Nome do campo
2-obrigatorio
3-tipo do campo
4-maximo caracteres
5-opção do combobox
6-Status
7-ID
8-CMD
9-MSG</t>
        </r>
      </text>
    </comment>
    <comment ref="E563" authorId="3" shapeId="0" xr:uid="{00000000-0006-0000-0100-000028030000}">
      <text>
        <r>
          <rPr>
            <sz val="9"/>
            <color indexed="81"/>
            <rFont val="Segoe UI"/>
            <family val="2"/>
          </rPr>
          <t xml:space="preserve">
1-Parametros de caracteristica
</t>
        </r>
      </text>
    </comment>
    <comment ref="D564" authorId="3" shapeId="0" xr:uid="{00000000-0006-0000-0100-000029030000}">
      <text>
        <r>
          <rPr>
            <sz val="9"/>
            <color indexed="81"/>
            <rFont val="Segoe UI"/>
            <family val="2"/>
          </rPr>
          <t xml:space="preserve">
1-Código
2-Descrição
3-Comando
</t>
        </r>
      </text>
    </comment>
    <comment ref="E564" authorId="3" shapeId="0" xr:uid="{00000000-0006-0000-0100-00002A030000}">
      <text>
        <r>
          <rPr>
            <sz val="9"/>
            <color indexed="81"/>
            <rFont val="Segoe UI"/>
            <family val="2"/>
          </rPr>
          <t xml:space="preserve">
1-Tipo de Campo
</t>
        </r>
      </text>
    </comment>
    <comment ref="D565" authorId="3" shapeId="0" xr:uid="{00000000-0006-0000-0100-00002B030000}">
      <text>
        <r>
          <rPr>
            <sz val="9"/>
            <color indexed="81"/>
            <rFont val="Segoe UI"/>
            <family val="2"/>
          </rPr>
          <t xml:space="preserve">
1-Nome do campo
2-obrigatorio
3-tipo do campo
4-maximo caracteres
5-opção do combobox
6-Status
7-ID
8-CMD
9-MSG</t>
        </r>
      </text>
    </comment>
    <comment ref="E565" authorId="3" shapeId="0" xr:uid="{00000000-0006-0000-0100-00002C030000}">
      <text>
        <r>
          <rPr>
            <sz val="9"/>
            <color indexed="81"/>
            <rFont val="Segoe UI"/>
            <family val="2"/>
          </rPr>
          <t xml:space="preserve">
1-Parametros de caracteristica
</t>
        </r>
      </text>
    </comment>
    <comment ref="D566" authorId="3" shapeId="0" xr:uid="{00000000-0006-0000-0100-00002D030000}">
      <text>
        <r>
          <rPr>
            <sz val="9"/>
            <color indexed="81"/>
            <rFont val="Segoe UI"/>
            <family val="2"/>
          </rPr>
          <t xml:space="preserve">
1-Nome do campo
2-obrigatorio
3-tipo do campo
4-maximo caracteres
5-opção do combobox
6-Status</t>
        </r>
      </text>
    </comment>
    <comment ref="E566" authorId="3" shapeId="0" xr:uid="{00000000-0006-0000-0100-00002E030000}">
      <text>
        <r>
          <rPr>
            <sz val="9"/>
            <color indexed="81"/>
            <rFont val="Segoe UI"/>
            <family val="2"/>
          </rPr>
          <t xml:space="preserve">
1-Parametros de caracteristica
</t>
        </r>
      </text>
    </comment>
    <comment ref="D567" authorId="3" shapeId="0" xr:uid="{00000000-0006-0000-0100-00002F030000}">
      <text>
        <r>
          <rPr>
            <sz val="9"/>
            <color indexed="81"/>
            <rFont val="Segoe UI"/>
            <family val="2"/>
          </rPr>
          <t xml:space="preserve">
1-Nome do campo
2-obrigatorio
3-tipo do campo
4-maximo caracteres
5-opção do combobox
6-Status
7-ID
8-CMD
9-MSG</t>
        </r>
      </text>
    </comment>
    <comment ref="E567" authorId="3" shapeId="0" xr:uid="{00000000-0006-0000-0100-000030030000}">
      <text>
        <r>
          <rPr>
            <sz val="9"/>
            <color indexed="81"/>
            <rFont val="Segoe UI"/>
            <family val="2"/>
          </rPr>
          <t xml:space="preserve">
1-Parametros de caracteristica
</t>
        </r>
      </text>
    </comment>
    <comment ref="D568" authorId="3" shapeId="0" xr:uid="{00000000-0006-0000-0100-000031030000}">
      <text>
        <r>
          <rPr>
            <sz val="9"/>
            <color indexed="81"/>
            <rFont val="Segoe UI"/>
            <family val="2"/>
          </rPr>
          <t xml:space="preserve">
1-Codigo
2-CMD
3-MSG</t>
        </r>
      </text>
    </comment>
    <comment ref="E568" authorId="3" shapeId="0" xr:uid="{00000000-0006-0000-0100-000032030000}">
      <text>
        <r>
          <rPr>
            <sz val="9"/>
            <color indexed="81"/>
            <rFont val="Segoe UI"/>
            <family val="2"/>
          </rPr>
          <t xml:space="preserve">
1-Parametros de caracteristica
</t>
        </r>
      </text>
    </comment>
    <comment ref="D569" authorId="3" shapeId="0" xr:uid="{00000000-0006-0000-0100-000033030000}">
      <text>
        <r>
          <rPr>
            <sz val="9"/>
            <color indexed="81"/>
            <rFont val="Segoe UI"/>
            <family val="2"/>
          </rPr>
          <t xml:space="preserve">
1-Codigo
2-Status
3-CMD
4-MSG</t>
        </r>
      </text>
    </comment>
    <comment ref="E569" authorId="3" shapeId="0" xr:uid="{00000000-0006-0000-0100-000034030000}">
      <text>
        <r>
          <rPr>
            <sz val="9"/>
            <color indexed="81"/>
            <rFont val="Segoe UI"/>
            <family val="2"/>
          </rPr>
          <t xml:space="preserve">
1-Parametros de caracteristica
</t>
        </r>
      </text>
    </comment>
    <comment ref="D572" authorId="3" shapeId="0" xr:uid="{BE62ED11-F95E-43B2-8954-937E0F3FFA7C}">
      <text>
        <r>
          <rPr>
            <sz val="9"/>
            <color indexed="81"/>
            <rFont val="Segoe UI"/>
            <family val="2"/>
          </rPr>
          <t xml:space="preserve">
1 -Codigo Material
2 -descrição
3 -Elemento despesa
4 -sub elemento despesa
5 -grupo patrimonial
6 -Responsável 
7 -Data 
8 -Tipo 
9 -Status
10-ID
11-IDEN_NIVEL_DETALHA_AVALI               
12-CODG_NIVEL_DETALHA_AVALI               
13-DESC_NIVEL_DETALHA_AVALI</t>
        </r>
      </text>
    </comment>
    <comment ref="E572" authorId="3" shapeId="0" xr:uid="{4780D6C1-8E21-445B-A707-79B70B97BA37}">
      <text>
        <r>
          <rPr>
            <sz val="9"/>
            <color indexed="81"/>
            <rFont val="Segoe UI"/>
            <family val="2"/>
          </rPr>
          <t xml:space="preserve">
1-Material
2-Avaliação Material</t>
        </r>
      </text>
    </comment>
    <comment ref="D573" authorId="3" shapeId="0" xr:uid="{00000000-0006-0000-0100-000037030000}">
      <text>
        <r>
          <rPr>
            <sz val="9"/>
            <color indexed="81"/>
            <rFont val="Segoe UI"/>
            <family val="2"/>
          </rPr>
          <t xml:space="preserve">
1 -Codigo Material
2 -Elemento despesa
3 -descrição
4 -sub elemento despesa
5 -Codigo de barras
6 -grupo patrimonial
7 -registro
8 -data cadastro ini
9 -data cadastro fim
10-Resp Cadastro
11-Tipo cadastro
12-status
13-Códido da Variação 
14-Variação do Material.
15-CMD
16-MSG</t>
        </r>
      </text>
    </comment>
    <comment ref="E573" authorId="3" shapeId="0" xr:uid="{00000000-0006-0000-0100-000038030000}">
      <text>
        <r>
          <rPr>
            <sz val="9"/>
            <color indexed="81"/>
            <rFont val="Segoe UI"/>
            <family val="2"/>
          </rPr>
          <t xml:space="preserve">
1-Elemento / Subelemento / Grupo Patrimonial
2-Material
3-Pessoa
4-Variação Material</t>
        </r>
      </text>
    </comment>
    <comment ref="D574" authorId="3" shapeId="0" xr:uid="{00000000-0006-0000-0100-000039030000}">
      <text>
        <r>
          <rPr>
            <sz val="9"/>
            <color indexed="81"/>
            <rFont val="Segoe UI"/>
            <family val="2"/>
          </rPr>
          <t xml:space="preserve">
1-Codigo de barras
2-Registro patrimonial
3-descrição da variação
4-Tipo Cadastro
5-Status
6-CMD
7-MSG</t>
        </r>
      </text>
    </comment>
    <comment ref="E574" authorId="3" shapeId="0" xr:uid="{00000000-0006-0000-0100-00003A030000}">
      <text>
        <r>
          <rPr>
            <sz val="9"/>
            <color indexed="81"/>
            <rFont val="Segoe UI"/>
            <family val="2"/>
          </rPr>
          <t xml:space="preserve">
1-Variação Material
2-Material
</t>
        </r>
      </text>
    </comment>
    <comment ref="D575" authorId="3" shapeId="0" xr:uid="{00000000-0006-0000-0100-00003B030000}">
      <text>
        <r>
          <rPr>
            <sz val="9"/>
            <color indexed="81"/>
            <rFont val="Segoe UI"/>
            <family val="2"/>
          </rPr>
          <t xml:space="preserve">
1 -Codigo Material
2 -descrição
3 -Elemento despesa
4 -sub elemento despesa
5 -grupo patrimonial
6 -Responsável 
7 -Data 
8 -Tipo 
9 -Status
10-CMD
11-MSG</t>
        </r>
      </text>
    </comment>
    <comment ref="E575" authorId="3" shapeId="0" xr:uid="{00000000-0006-0000-0100-00003C030000}">
      <text>
        <r>
          <rPr>
            <sz val="9"/>
            <color indexed="81"/>
            <rFont val="Segoe UI"/>
            <family val="2"/>
          </rPr>
          <t xml:space="preserve">
1-Elemento / Subelemento / Grupo Patrimonial
2-Material
3-Pessoa</t>
        </r>
      </text>
    </comment>
    <comment ref="D576" authorId="3" shapeId="0" xr:uid="{00000000-0006-0000-0100-00003D030000}">
      <text>
        <r>
          <rPr>
            <sz val="9"/>
            <color indexed="81"/>
            <rFont val="Segoe UI"/>
            <family val="2"/>
          </rPr>
          <t xml:space="preserve">1-Código
2-Descrição
3-CMD
</t>
        </r>
      </text>
    </comment>
    <comment ref="E576" authorId="3" shapeId="0" xr:uid="{00000000-0006-0000-0100-00003E030000}">
      <text>
        <r>
          <rPr>
            <sz val="9"/>
            <color indexed="81"/>
            <rFont val="Segoe UI"/>
            <family val="2"/>
          </rPr>
          <t xml:space="preserve">
1-Grupo Patrimonial
</t>
        </r>
      </text>
    </comment>
    <comment ref="D577" authorId="3" shapeId="0" xr:uid="{00000000-0006-0000-0100-00003F030000}">
      <text>
        <r>
          <rPr>
            <sz val="9"/>
            <color indexed="81"/>
            <rFont val="Segoe UI"/>
            <family val="2"/>
          </rPr>
          <t xml:space="preserve">
1 -Codigo Material
2 -descrição
3 -Elemento despesa
4 -sub elemento despesa
5 -grupo patrimonial
6 -Responsável 
7 -Data 
8 -Tipo 
9 -Status
10-CMD
11-MSG</t>
        </r>
      </text>
    </comment>
    <comment ref="E577" authorId="3" shapeId="0" xr:uid="{00000000-0006-0000-0100-000040030000}">
      <text>
        <r>
          <rPr>
            <sz val="9"/>
            <color indexed="81"/>
            <rFont val="Segoe UI"/>
            <family val="2"/>
          </rPr>
          <t xml:space="preserve">
1-Elemento / Subelemento / Grupo Material
2-Material
3-Pessoa</t>
        </r>
      </text>
    </comment>
    <comment ref="D578" authorId="3" shapeId="0" xr:uid="{00000000-0006-0000-0100-000041030000}">
      <text>
        <r>
          <rPr>
            <sz val="9"/>
            <color indexed="81"/>
            <rFont val="Segoe UI"/>
            <family val="2"/>
          </rPr>
          <t xml:space="preserve">
1 -Codigo Material
2 -descrição
3 -Elemento despesa
4 -sub elemento despesa
5 -grupo patrimonial
6 -Responsável 
7 -Data 
8 -Tipo 
9 -Status</t>
        </r>
      </text>
    </comment>
    <comment ref="E578" authorId="3" shapeId="0" xr:uid="{00000000-0006-0000-0100-000042030000}">
      <text>
        <r>
          <rPr>
            <sz val="9"/>
            <color indexed="81"/>
            <rFont val="Segoe UI"/>
            <family val="2"/>
          </rPr>
          <t xml:space="preserve">
1-Elemento / Subelemento / Grupo Material
2-Material
3-Pessoa</t>
        </r>
      </text>
    </comment>
    <comment ref="D579" authorId="3" shapeId="0" xr:uid="{00000000-0006-0000-0100-000043030000}">
      <text>
        <r>
          <rPr>
            <sz val="9"/>
            <color indexed="81"/>
            <rFont val="Segoe UI"/>
            <family val="2"/>
          </rPr>
          <t xml:space="preserve">
1 -Codigo Material
2 -descrição
3 -Elemento despesa
4 -sub elemento despesa
5 -grupo patrimonial
6 -Responsável 
7 -Data 
8 -Tipo 
9 -Status
10-CMD
11-MSG</t>
        </r>
      </text>
    </comment>
    <comment ref="E579" authorId="3" shapeId="0" xr:uid="{00000000-0006-0000-0100-000044030000}">
      <text>
        <r>
          <rPr>
            <sz val="9"/>
            <color indexed="81"/>
            <rFont val="Segoe UI"/>
            <family val="2"/>
          </rPr>
          <t xml:space="preserve">
1-Elemento / Subelemento / Grupo Material
2-Material
3-Pessoa</t>
        </r>
      </text>
    </comment>
    <comment ref="D580" authorId="3" shapeId="0" xr:uid="{00000000-0006-0000-0100-000045030000}">
      <text>
        <r>
          <rPr>
            <sz val="9"/>
            <color indexed="81"/>
            <rFont val="Segoe UI"/>
            <family val="2"/>
          </rPr>
          <t xml:space="preserve">
1-Codigo
2-CMD
3-MSG</t>
        </r>
      </text>
    </comment>
    <comment ref="E580" authorId="3" shapeId="0" xr:uid="{00000000-0006-0000-0100-000046030000}">
      <text>
        <r>
          <rPr>
            <sz val="9"/>
            <color indexed="81"/>
            <rFont val="Segoe UI"/>
            <family val="2"/>
          </rPr>
          <t xml:space="preserve">
1-Material</t>
        </r>
      </text>
    </comment>
    <comment ref="D583" authorId="3" shapeId="0" xr:uid="{00000000-0006-0000-0100-000047030000}">
      <text>
        <r>
          <rPr>
            <sz val="9"/>
            <color indexed="81"/>
            <rFont val="Segoe UI"/>
            <family val="2"/>
          </rPr>
          <t xml:space="preserve">
1 -Descrição 
2 -codigo de barras
3 -registro
4 -Característica Exclusiva do bem?
5 -natureza
6 -tipo de cadastro
7 -responsável
8 -data cadastro
9 -status
10-justitificativa
11-nome da caracteristica
12-marca
13-Exigir codigo de barras
14-controlar lote
15-data de bloqueio
16-bloquear material
17-ID
</t>
        </r>
      </text>
    </comment>
    <comment ref="E583" authorId="3" shapeId="0" xr:uid="{00000000-0006-0000-0100-000048030000}">
      <text>
        <r>
          <rPr>
            <sz val="9"/>
            <color indexed="81"/>
            <rFont val="Segoe UI"/>
            <family val="2"/>
          </rPr>
          <t xml:space="preserve">
1-Variação do Material
2-Caracteristica</t>
        </r>
      </text>
    </comment>
    <comment ref="D584" authorId="3" shapeId="0" xr:uid="{00000000-0006-0000-0100-000049030000}">
      <text>
        <r>
          <rPr>
            <sz val="9"/>
            <color indexed="81"/>
            <rFont val="Segoe UI"/>
            <family val="2"/>
          </rPr>
          <t xml:space="preserve">
1-Codigo de barras
2-Registro Patrimonial
3-Descrição da variação 
4-CMD
5-MSG
</t>
        </r>
      </text>
    </comment>
    <comment ref="E584" authorId="3" shapeId="0" xr:uid="{00000000-0006-0000-0100-00004A030000}">
      <text>
        <r>
          <rPr>
            <sz val="9"/>
            <color indexed="81"/>
            <rFont val="Segoe UI"/>
            <family val="2"/>
          </rPr>
          <t xml:space="preserve">
1-Pessoa
2-Variação do Material
</t>
        </r>
      </text>
    </comment>
    <comment ref="D585" authorId="3" shapeId="0" xr:uid="{00000000-0006-0000-0100-00004B030000}">
      <text>
        <r>
          <rPr>
            <sz val="9"/>
            <color indexed="81"/>
            <rFont val="Segoe UI"/>
            <family val="2"/>
          </rPr>
          <t>1-Descrição
2-codigo de barras
3-responsável
4-data cadastro
5-data de bloqueio
6-status
7-imagem
8-controlar lote
9-natureza
10-Obrigatorio variação
11-Obrigatorio controle lote 
12-CMD
13-MSG</t>
        </r>
      </text>
    </comment>
    <comment ref="E585" authorId="3" shapeId="0" xr:uid="{00000000-0006-0000-0100-00004C030000}">
      <text>
        <r>
          <rPr>
            <sz val="9"/>
            <color indexed="81"/>
            <rFont val="Segoe UI"/>
            <family val="2"/>
          </rPr>
          <t xml:space="preserve">
1-Pessoa
2-Variação do Material
3-Material</t>
        </r>
      </text>
    </comment>
    <comment ref="D586" authorId="3" shapeId="0" xr:uid="{00000000-0006-0000-0100-00004D030000}">
      <text>
        <r>
          <rPr>
            <sz val="9"/>
            <color indexed="81"/>
            <rFont val="Segoe UI"/>
            <family val="2"/>
          </rPr>
          <t>1-Descrição
2-codigo de barras
3-responsável
4-data cadastro
5-data de bloqueio
6-status
7-imagem
8-controlar lote
9-natureza
10-Obrigatorio variação
11-Obrigatorio controle lote 
12-CMD
13-MSG</t>
        </r>
      </text>
    </comment>
    <comment ref="E586" authorId="3" shapeId="0" xr:uid="{00000000-0006-0000-0100-00004E030000}">
      <text>
        <r>
          <rPr>
            <sz val="9"/>
            <color indexed="81"/>
            <rFont val="Segoe UI"/>
            <family val="2"/>
          </rPr>
          <t xml:space="preserve">
1-Pessoa
2-Variação do Material
3-Material</t>
        </r>
      </text>
    </comment>
    <comment ref="D587" authorId="3" shapeId="0" xr:uid="{00000000-0006-0000-0100-00004F030000}">
      <text>
        <r>
          <rPr>
            <sz val="9"/>
            <color indexed="81"/>
            <rFont val="Segoe UI"/>
            <family val="2"/>
          </rPr>
          <t>1-Descrição
2-codigo de barras
3-responsável
4-data cadastro
5-data de bloqueio
6-status
7-imagem
8-controlar lote
9-natureza
10-Obrigatorio variação
11-Obrigatorio controle lote 
12-CMD
13-MSG</t>
        </r>
      </text>
    </comment>
    <comment ref="E587" authorId="3" shapeId="0" xr:uid="{00000000-0006-0000-0100-000050030000}">
      <text>
        <r>
          <rPr>
            <sz val="9"/>
            <color indexed="81"/>
            <rFont val="Segoe UI"/>
            <family val="2"/>
          </rPr>
          <t xml:space="preserve">
1-Pessoa
2-Variação do Material
3-Material</t>
        </r>
      </text>
    </comment>
    <comment ref="D588" authorId="3" shapeId="0" xr:uid="{00000000-0006-0000-0100-000051030000}">
      <text>
        <r>
          <rPr>
            <sz val="9"/>
            <color indexed="81"/>
            <rFont val="Segoe UI"/>
            <family val="2"/>
          </rPr>
          <t>1-Descrição
2-Exigir codigo de barras
3-controlar lote
4-emplaquetável
5-bloquear material
6-codigo de barras
7-registro
8-unidade medida
9-natureza
10-tipo de cadastro
11-responsável
12-data cadastro
13-data de bloqueio
14-status
15-justitificativa
16-imagem
17-CMD
18-MSG</t>
        </r>
      </text>
    </comment>
    <comment ref="E588" authorId="3" shapeId="0" xr:uid="{00000000-0006-0000-0100-000052030000}">
      <text>
        <r>
          <rPr>
            <sz val="9"/>
            <color indexed="81"/>
            <rFont val="Segoe UI"/>
            <family val="2"/>
          </rPr>
          <t xml:space="preserve">
1-Pessoa
2-Variação do Material
3-Material</t>
        </r>
      </text>
    </comment>
    <comment ref="D589" authorId="3" shapeId="0" xr:uid="{00000000-0006-0000-0100-000053030000}">
      <text>
        <r>
          <rPr>
            <sz val="9"/>
            <color indexed="81"/>
            <rFont val="Segoe UI"/>
            <family val="2"/>
          </rPr>
          <t xml:space="preserve">1-Nome do campo 
2-Campo obrigatório
3-Tipo 
4-Maximo 
5-Situação 
6-Caracateristica exclusiva 
7-Marca
8-CMD
9-MSG
</t>
        </r>
      </text>
    </comment>
    <comment ref="E589" authorId="3" shapeId="0" xr:uid="{00000000-0006-0000-0100-000054030000}">
      <text>
        <r>
          <rPr>
            <sz val="9"/>
            <color indexed="81"/>
            <rFont val="Segoe UI"/>
            <family val="2"/>
          </rPr>
          <t xml:space="preserve">
1-Variação do Material
2-Material
3-Parametro de caracteristica</t>
        </r>
      </text>
    </comment>
    <comment ref="D590" authorId="3" shapeId="0" xr:uid="{00000000-0006-0000-0100-000055030000}">
      <text>
        <r>
          <rPr>
            <sz val="9"/>
            <color indexed="81"/>
            <rFont val="Segoe UI"/>
            <family val="2"/>
          </rPr>
          <t xml:space="preserve">1-Código Parametro
2-Descrição Parametro
3-Elemento Despesa
4-Subelemento Despesa
5-Nome do Campo
6-Valor do Campo
7-Lista de Opções do Campo
8-CMD
9-MSG
</t>
        </r>
      </text>
    </comment>
    <comment ref="E590" authorId="3" shapeId="0" xr:uid="{00000000-0006-0000-0100-000056030000}">
      <text>
        <r>
          <rPr>
            <sz val="9"/>
            <color indexed="81"/>
            <rFont val="Segoe UI"/>
            <family val="2"/>
          </rPr>
          <t xml:space="preserve">
1-Variação do Material
2-Material
3-Parametro de caracteristica</t>
        </r>
      </text>
    </comment>
    <comment ref="D591" authorId="3" shapeId="0" xr:uid="{00000000-0006-0000-0100-000057030000}">
      <text>
        <r>
          <rPr>
            <sz val="9"/>
            <color indexed="81"/>
            <rFont val="Segoe UI"/>
            <family val="2"/>
          </rPr>
          <t xml:space="preserve">1-Código Parametro
2-Descrição Parametro
3-Elemento Despesa
4-Subelemento Despesa
5-Nome do Campo
6-Valor do Campo
</t>
        </r>
      </text>
    </comment>
    <comment ref="E591" authorId="3" shapeId="0" xr:uid="{00000000-0006-0000-0100-000058030000}">
      <text>
        <r>
          <rPr>
            <sz val="9"/>
            <color indexed="81"/>
            <rFont val="Segoe UI"/>
            <family val="2"/>
          </rPr>
          <t xml:space="preserve">
1-Variação do Material
2-Material
3-Parametro de caracteristica</t>
        </r>
      </text>
    </comment>
    <comment ref="D592" authorId="3" shapeId="0" xr:uid="{00000000-0006-0000-0100-000059030000}">
      <text>
        <r>
          <rPr>
            <sz val="9"/>
            <color indexed="81"/>
            <rFont val="Segoe UI"/>
            <family val="2"/>
          </rPr>
          <t xml:space="preserve">1-Código Parametro
2-Descrição Parametro
3-Elemento Despesa
4-Subelemento Despesa
5-Nome do Campo
6-Valor do Campo
7-Lista de Opções do Campo
8-CMD
9-MSG
</t>
        </r>
      </text>
    </comment>
    <comment ref="E592" authorId="3" shapeId="0" xr:uid="{00000000-0006-0000-0100-00005A030000}">
      <text>
        <r>
          <rPr>
            <sz val="9"/>
            <color indexed="81"/>
            <rFont val="Segoe UI"/>
            <family val="2"/>
          </rPr>
          <t xml:space="preserve">
1-Variação do Material
2-Material
3-Parametro de caracteristica</t>
        </r>
      </text>
    </comment>
    <comment ref="D593" authorId="3" shapeId="0" xr:uid="{00000000-0006-0000-0100-00005B030000}">
      <text>
        <r>
          <rPr>
            <sz val="9"/>
            <color indexed="81"/>
            <rFont val="Segoe UI"/>
            <family val="2"/>
          </rPr>
          <t xml:space="preserve">
1-Codigo
2-CMD
3-MSG</t>
        </r>
      </text>
    </comment>
    <comment ref="E593" authorId="3" shapeId="0" xr:uid="{00000000-0006-0000-0100-00005C030000}">
      <text>
        <r>
          <rPr>
            <sz val="9"/>
            <color indexed="81"/>
            <rFont val="Segoe UI"/>
            <family val="2"/>
          </rPr>
          <t xml:space="preserve">
1-Variação do Material</t>
        </r>
      </text>
    </comment>
    <comment ref="D594" authorId="3" shapeId="0" xr:uid="{00000000-0006-0000-0100-00005D030000}">
      <text>
        <r>
          <rPr>
            <sz val="9"/>
            <color indexed="81"/>
            <rFont val="Segoe UI"/>
            <family val="2"/>
          </rPr>
          <t xml:space="preserve">
1-Variação Material
2-Descrição
3-Almoxarifado
4-UM em estoque
5-QTD
6-CMD
7-MSG</t>
        </r>
      </text>
    </comment>
    <comment ref="E594" authorId="3" shapeId="0" xr:uid="{00000000-0006-0000-0100-00005E030000}">
      <text>
        <r>
          <rPr>
            <sz val="9"/>
            <color indexed="81"/>
            <rFont val="Segoe UI"/>
            <family val="2"/>
          </rPr>
          <t xml:space="preserve">
1-Variação Material
2-Almoxarifado</t>
        </r>
      </text>
    </comment>
    <comment ref="D595" authorId="3" shapeId="0" xr:uid="{00000000-0006-0000-0100-00005F030000}">
      <text>
        <r>
          <rPr>
            <sz val="9"/>
            <color indexed="81"/>
            <rFont val="Segoe UI"/>
            <family val="2"/>
          </rPr>
          <t xml:space="preserve">
1-Variação Material
2-Descrição
3-Sigla Órgão
4-CMD
5-MSG</t>
        </r>
      </text>
    </comment>
    <comment ref="E595" authorId="3" shapeId="0" xr:uid="{00000000-0006-0000-0100-000060030000}">
      <text>
        <r>
          <rPr>
            <sz val="9"/>
            <color indexed="81"/>
            <rFont val="Segoe UI"/>
            <family val="2"/>
          </rPr>
          <t xml:space="preserve">
1-Catalogo
2-Material
3-Órgão</t>
        </r>
      </text>
    </comment>
    <comment ref="D596" authorId="3" shapeId="0" xr:uid="{00000000-0006-0000-0100-000061030000}">
      <text>
        <r>
          <rPr>
            <sz val="9"/>
            <color indexed="81"/>
            <rFont val="Segoe UI"/>
            <family val="2"/>
          </rPr>
          <t xml:space="preserve">
1-Data
2-Observação
3-CMD
4-MSG</t>
        </r>
      </text>
    </comment>
    <comment ref="E596" authorId="3" shapeId="0" xr:uid="{00000000-0006-0000-0100-000062030000}">
      <text>
        <r>
          <rPr>
            <sz val="9"/>
            <color indexed="81"/>
            <rFont val="Segoe UI"/>
            <family val="2"/>
          </rPr>
          <t xml:space="preserve">
1-Variação Material
2-Servidor</t>
        </r>
      </text>
    </comment>
    <comment ref="D597" authorId="3" shapeId="0" xr:uid="{00000000-0006-0000-0100-000063030000}">
      <text>
        <r>
          <rPr>
            <sz val="9"/>
            <color indexed="81"/>
            <rFont val="Segoe UI"/>
            <family val="2"/>
          </rPr>
          <t xml:space="preserve">
1-Data
2-Responsavel
3-Finalidade 
4-Observação
5-CMD
6-MSG</t>
        </r>
      </text>
    </comment>
    <comment ref="E597" authorId="3" shapeId="0" xr:uid="{00000000-0006-0000-0100-000064030000}">
      <text>
        <r>
          <rPr>
            <sz val="9"/>
            <color indexed="81"/>
            <rFont val="Segoe UI"/>
            <family val="2"/>
          </rPr>
          <t xml:space="preserve">
1-Variação Material
2-Servidor</t>
        </r>
      </text>
    </comment>
    <comment ref="D598" authorId="3" shapeId="0" xr:uid="{00000000-0006-0000-0100-000065030000}">
      <text>
        <r>
          <rPr>
            <sz val="9"/>
            <color indexed="81"/>
            <rFont val="Segoe UI"/>
            <family val="2"/>
          </rPr>
          <t xml:space="preserve">
1-Data
2-Responsavel
3-Finalidade 
4-Observação
5-CMD
6-MSG</t>
        </r>
      </text>
    </comment>
    <comment ref="E598" authorId="3" shapeId="0" xr:uid="{00000000-0006-0000-0100-000066030000}">
      <text>
        <r>
          <rPr>
            <sz val="9"/>
            <color indexed="81"/>
            <rFont val="Segoe UI"/>
            <family val="2"/>
          </rPr>
          <t xml:space="preserve">
1-Variação Material
2-Servidor</t>
        </r>
      </text>
    </comment>
    <comment ref="D599" authorId="3" shapeId="0" xr:uid="{00000000-0006-0000-0100-000067030000}">
      <text>
        <r>
          <rPr>
            <sz val="9"/>
            <color indexed="81"/>
            <rFont val="Segoe UI"/>
            <family val="2"/>
          </rPr>
          <t xml:space="preserve">
1-Código
2-Finalidade 
3-Observação
4-CMD
5-MSG</t>
        </r>
      </text>
    </comment>
    <comment ref="E599" authorId="3" shapeId="0" xr:uid="{00000000-0006-0000-0100-000068030000}">
      <text>
        <r>
          <rPr>
            <sz val="9"/>
            <color indexed="81"/>
            <rFont val="Segoe UI"/>
            <family val="2"/>
          </rPr>
          <t xml:space="preserve">
1-Variação Material</t>
        </r>
      </text>
    </comment>
    <comment ref="D600" authorId="3" shapeId="0" xr:uid="{00000000-0006-0000-0100-000069030000}">
      <text>
        <r>
          <rPr>
            <sz val="9"/>
            <color indexed="81"/>
            <rFont val="Segoe UI"/>
            <family val="2"/>
          </rPr>
          <t xml:space="preserve">
1-Data
2-Responsavel
3-Finalidade 
4-Observação</t>
        </r>
      </text>
    </comment>
    <comment ref="E600" authorId="3" shapeId="0" xr:uid="{00000000-0006-0000-0100-00006A030000}">
      <text>
        <r>
          <rPr>
            <sz val="9"/>
            <color indexed="81"/>
            <rFont val="Segoe UI"/>
            <family val="2"/>
          </rPr>
          <t xml:space="preserve">
1-Variação Material
2-Servidor</t>
        </r>
      </text>
    </comment>
    <comment ref="D601" authorId="3" shapeId="0" xr:uid="{00000000-0006-0000-0100-00006B030000}">
      <text>
        <r>
          <rPr>
            <sz val="9"/>
            <color indexed="81"/>
            <rFont val="Segoe UI"/>
            <family val="2"/>
          </rPr>
          <t xml:space="preserve">
1-Codigo
2-CMD
3-MSG</t>
        </r>
      </text>
    </comment>
    <comment ref="E601" authorId="3" shapeId="0" xr:uid="{00000000-0006-0000-0100-00006C030000}">
      <text>
        <r>
          <rPr>
            <sz val="9"/>
            <color indexed="81"/>
            <rFont val="Segoe UI"/>
            <family val="2"/>
          </rPr>
          <t xml:space="preserve">
1-Variação Material</t>
        </r>
      </text>
    </comment>
    <comment ref="D605" authorId="3" shapeId="0" xr:uid="{00000000-0006-0000-0100-00006D030000}">
      <text>
        <r>
          <rPr>
            <sz val="9"/>
            <color indexed="81"/>
            <rFont val="Segoe UI"/>
            <family val="2"/>
          </rPr>
          <t>1 -Variação Material
2 -Unidade medida
3 -Natureza
4 -Status
5 -COdigo de barras
6 -foto
7 -Data cadastro
8 -bloquear 
9 -data bloqueio
10-exibir codigo de barras
11-controlar lote
12-empacavel
13-Data 
14-Observação</t>
        </r>
      </text>
    </comment>
    <comment ref="E605" authorId="3" shapeId="0" xr:uid="{00000000-0006-0000-0100-00006E030000}">
      <text>
        <r>
          <rPr>
            <sz val="9"/>
            <color indexed="81"/>
            <rFont val="Segoe UI"/>
            <family val="2"/>
          </rPr>
          <t xml:space="preserve">
1-Variação Material
2-Observação</t>
        </r>
      </text>
    </comment>
    <comment ref="D606" authorId="3" shapeId="0" xr:uid="{00000000-0006-0000-0100-00006F030000}">
      <text>
        <r>
          <rPr>
            <sz val="9"/>
            <color indexed="81"/>
            <rFont val="Segoe UI"/>
            <family val="2"/>
          </rPr>
          <t>1-Órgão
2-Código
3-Elemento
4-Grupo Patrimonial
5-Descrição Material
6-Descrição Material (Variação)
7-Status (Variação)
8-Código de Barras
9-Comando
10-Mensagem</t>
        </r>
      </text>
    </comment>
    <comment ref="E606" authorId="3" shapeId="0" xr:uid="{00000000-0006-0000-0100-000070030000}">
      <text>
        <r>
          <rPr>
            <sz val="9"/>
            <color indexed="81"/>
            <rFont val="Segoe UI"/>
            <family val="2"/>
          </rPr>
          <t xml:space="preserve">
1-Material View
2-Variação Material
3-Órgão
4-Elemento / Subelemento / Grupo Patrimonial</t>
        </r>
      </text>
    </comment>
    <comment ref="D609" authorId="3" shapeId="0" xr:uid="{00000000-0006-0000-0100-000071030000}">
      <text>
        <r>
          <rPr>
            <sz val="9"/>
            <color indexed="81"/>
            <rFont val="Segoe UI"/>
            <family val="2"/>
          </rPr>
          <t xml:space="preserve">
1 -Variação Material
2 -Unidade medida
3 -Natureza
4 -Status
5 -Codigo de barras
6 -foto
7 -Data cadastro
8 -bloquear 
9 -data bloqueio
10-exibir codigo de barras
11-controlar lote
12-emplaquetavel
13-CMD
14-MSG</t>
        </r>
      </text>
    </comment>
    <comment ref="E609" authorId="3" shapeId="0" xr:uid="{00000000-0006-0000-0100-000072030000}">
      <text>
        <r>
          <rPr>
            <sz val="9"/>
            <color indexed="81"/>
            <rFont val="Segoe UI"/>
            <family val="2"/>
          </rPr>
          <t>1-Material View
2-Variação Material</t>
        </r>
      </text>
    </comment>
    <comment ref="D610" authorId="3" shapeId="0" xr:uid="{00000000-0006-0000-0100-000073030000}">
      <text>
        <r>
          <rPr>
            <sz val="9"/>
            <color indexed="81"/>
            <rFont val="Segoe UI"/>
            <family val="2"/>
          </rPr>
          <t xml:space="preserve">
1 -Variação Material
2 -Status
3 -foto
4 -bloquear 
5 -data bloqueio
6-exibir codigo de barras
7-controlar lote
8-empacavel
9-CMD
10-MSG</t>
        </r>
      </text>
    </comment>
    <comment ref="E610" authorId="3" shapeId="0" xr:uid="{00000000-0006-0000-0100-000074030000}">
      <text>
        <r>
          <rPr>
            <sz val="9"/>
            <color indexed="81"/>
            <rFont val="Segoe UI"/>
            <family val="2"/>
          </rPr>
          <t>1-Material View
2-Variação Material</t>
        </r>
      </text>
    </comment>
    <comment ref="D613" authorId="3" shapeId="0" xr:uid="{00000000-0006-0000-0100-000075030000}">
      <text>
        <r>
          <rPr>
            <sz val="9"/>
            <color indexed="81"/>
            <rFont val="Segoe UI"/>
            <family val="2"/>
          </rPr>
          <t xml:space="preserve">
1-Variação Material
2-Descrição
3-Almoxarifado
4-UM em estoque
5-QTD
6-CMD
7-MSG</t>
        </r>
      </text>
    </comment>
    <comment ref="E613" authorId="3" shapeId="0" xr:uid="{00000000-0006-0000-0100-000076030000}">
      <text>
        <r>
          <rPr>
            <sz val="9"/>
            <color indexed="81"/>
            <rFont val="Segoe UI"/>
            <family val="2"/>
          </rPr>
          <t xml:space="preserve">
1-Variação Material
2-Almoxarifado</t>
        </r>
      </text>
    </comment>
    <comment ref="D616" authorId="3" shapeId="0" xr:uid="{00000000-0006-0000-0100-000077030000}">
      <text>
        <r>
          <rPr>
            <sz val="9"/>
            <color indexed="81"/>
            <rFont val="Segoe UI"/>
            <family val="2"/>
          </rPr>
          <t xml:space="preserve">
1-Variação Material
2-Descrição
3-Sigla Órgão
4-CMD
5-MSG</t>
        </r>
      </text>
    </comment>
    <comment ref="E616" authorId="3" shapeId="0" xr:uid="{00000000-0006-0000-0100-000078030000}">
      <text>
        <r>
          <rPr>
            <sz val="9"/>
            <color indexed="81"/>
            <rFont val="Segoe UI"/>
            <family val="2"/>
          </rPr>
          <t xml:space="preserve">
1-Catalogo
2-Material
3-Órgão</t>
        </r>
      </text>
    </comment>
    <comment ref="D619" authorId="3" shapeId="0" xr:uid="{00000000-0006-0000-0100-000079030000}">
      <text>
        <r>
          <rPr>
            <sz val="9"/>
            <color indexed="81"/>
            <rFont val="Segoe UI"/>
            <family val="2"/>
          </rPr>
          <t xml:space="preserve">
1-Data
2-Observação
3-CMD
4-MSG</t>
        </r>
      </text>
    </comment>
    <comment ref="E619" authorId="3" shapeId="0" xr:uid="{00000000-0006-0000-0100-00007A030000}">
      <text>
        <r>
          <rPr>
            <sz val="9"/>
            <color indexed="81"/>
            <rFont val="Segoe UI"/>
            <family val="2"/>
          </rPr>
          <t xml:space="preserve">
1-Variação Material
2-Servidor</t>
        </r>
      </text>
    </comment>
    <comment ref="D620" authorId="3" shapeId="0" xr:uid="{00000000-0006-0000-0100-00007B030000}">
      <text>
        <r>
          <rPr>
            <sz val="9"/>
            <color indexed="81"/>
            <rFont val="Segoe UI"/>
            <family val="2"/>
          </rPr>
          <t xml:space="preserve">
1-Data
2-Responsavel
3-Finalidade 
4-Observação
5-CMD
6-MSG</t>
        </r>
      </text>
    </comment>
    <comment ref="E620" authorId="3" shapeId="0" xr:uid="{00000000-0006-0000-0100-00007C030000}">
      <text>
        <r>
          <rPr>
            <sz val="9"/>
            <color indexed="81"/>
            <rFont val="Segoe UI"/>
            <family val="2"/>
          </rPr>
          <t xml:space="preserve">
1-Variação Material
2-Servidor</t>
        </r>
      </text>
    </comment>
    <comment ref="D623" authorId="3" shapeId="0" xr:uid="{00000000-0006-0000-0100-00007D030000}">
      <text>
        <r>
          <rPr>
            <sz val="9"/>
            <color indexed="81"/>
            <rFont val="Segoe UI"/>
            <family val="2"/>
          </rPr>
          <t xml:space="preserve">
1-Data
2-Responsavel
3-Finalidade 
4-Observação
5-CMD
6-MSG</t>
        </r>
      </text>
    </comment>
    <comment ref="E623" authorId="3" shapeId="0" xr:uid="{00000000-0006-0000-0100-00007E030000}">
      <text>
        <r>
          <rPr>
            <sz val="9"/>
            <color indexed="81"/>
            <rFont val="Segoe UI"/>
            <family val="2"/>
          </rPr>
          <t xml:space="preserve">
1-Variação Material
2-Servidor</t>
        </r>
      </text>
    </comment>
    <comment ref="D626" authorId="3" shapeId="0" xr:uid="{00000000-0006-0000-0100-00007F030000}">
      <text>
        <r>
          <rPr>
            <sz val="9"/>
            <color indexed="81"/>
            <rFont val="Segoe UI"/>
            <family val="2"/>
          </rPr>
          <t xml:space="preserve">
1-Código
2-Finalidade 
3-Observação
4-CMD
5-MSG</t>
        </r>
      </text>
    </comment>
    <comment ref="E626" authorId="3" shapeId="0" xr:uid="{00000000-0006-0000-0100-000080030000}">
      <text>
        <r>
          <rPr>
            <sz val="9"/>
            <color indexed="81"/>
            <rFont val="Segoe UI"/>
            <family val="2"/>
          </rPr>
          <t xml:space="preserve">
1-Variação Material</t>
        </r>
      </text>
    </comment>
    <comment ref="D627" authorId="3" shapeId="0" xr:uid="{00000000-0006-0000-0100-000081030000}">
      <text>
        <r>
          <rPr>
            <sz val="9"/>
            <color indexed="81"/>
            <rFont val="Segoe UI"/>
            <family val="2"/>
          </rPr>
          <t xml:space="preserve">
1-Data
2-Responsavel
3-Finalidade 
4-Observação</t>
        </r>
      </text>
    </comment>
    <comment ref="E627" authorId="3" shapeId="0" xr:uid="{00000000-0006-0000-0100-000082030000}">
      <text>
        <r>
          <rPr>
            <sz val="9"/>
            <color indexed="81"/>
            <rFont val="Segoe UI"/>
            <family val="2"/>
          </rPr>
          <t xml:space="preserve">
1-Variação Material
2-Servidor</t>
        </r>
      </text>
    </comment>
    <comment ref="D630" authorId="3" shapeId="0" xr:uid="{00000000-0006-0000-0100-000083030000}">
      <text>
        <r>
          <rPr>
            <sz val="9"/>
            <color indexed="81"/>
            <rFont val="Segoe UI"/>
            <family val="2"/>
          </rPr>
          <t xml:space="preserve">
1-Codigo
2-CMD
3-MSG</t>
        </r>
      </text>
    </comment>
    <comment ref="E630" authorId="3" shapeId="0" xr:uid="{00000000-0006-0000-0100-000084030000}">
      <text>
        <r>
          <rPr>
            <sz val="9"/>
            <color indexed="81"/>
            <rFont val="Segoe UI"/>
            <family val="2"/>
          </rPr>
          <t xml:space="preserve">
1-Variação Material</t>
        </r>
      </text>
    </comment>
    <comment ref="D633" authorId="3" shapeId="0" xr:uid="{00000000-0006-0000-0100-000085030000}">
      <text>
        <r>
          <rPr>
            <sz val="9"/>
            <color indexed="81"/>
            <rFont val="Segoe UI"/>
            <family val="2"/>
          </rPr>
          <t>1-RMF
2-Tipo de Entrada
3-Data da Entrada
4-Local de Estoque
5-Data do Atesto
6-Finalidade
7-Destino da Entrada
8-Responsável Patrimonial
9-Processo Sigadoc
10-nf XML
11-Item da RMF
12-Unidade de Distribuição
13-Quantidade de Distribuição</t>
        </r>
      </text>
    </comment>
    <comment ref="E633" authorId="3" shapeId="0" xr:uid="{00000000-0006-0000-0100-000086030000}">
      <text>
        <r>
          <rPr>
            <sz val="9"/>
            <color indexed="81"/>
            <rFont val="Segoe UI"/>
            <family val="2"/>
          </rPr>
          <t xml:space="preserve">
1-Recebimento Material</t>
        </r>
      </text>
    </comment>
    <comment ref="D634" authorId="3" shapeId="0" xr:uid="{00000000-0006-0000-0100-000087030000}">
      <text>
        <r>
          <rPr>
            <sz val="9"/>
            <color indexed="81"/>
            <rFont val="Segoe UI"/>
            <family val="2"/>
          </rPr>
          <t xml:space="preserve">1-chave NF
2-nNF
3-serie
4-modelo
5-data emissão
6-CNPJ
7-razão social fornecedor
8-código de barras
9-descrição
10-NCM
11-unidade de medida
12-quantidade
13-valor unitário
14-informações adicionais do produto
15-valor total
16-informações adicionais da nota
</t>
        </r>
      </text>
    </comment>
    <comment ref="E634" authorId="3" shapeId="0" xr:uid="{00000000-0006-0000-0100-000088030000}">
      <text>
        <r>
          <rPr>
            <sz val="9"/>
            <color indexed="81"/>
            <rFont val="Segoe UI"/>
            <family val="2"/>
          </rPr>
          <t xml:space="preserve">
1-Nota fiscal importada</t>
        </r>
      </text>
    </comment>
    <comment ref="D635" authorId="3" shapeId="0" xr:uid="{00000000-0006-0000-0100-000089030000}">
      <text>
        <r>
          <rPr>
            <sz val="9"/>
            <color indexed="81"/>
            <rFont val="Segoe UI"/>
            <family val="2"/>
          </rPr>
          <t>1-RMF
2-CNPJ
3-Orgão
4-tipo entrada
5-data entrada
6-fonte do recurso
7-destino 
8-nota de empenho</t>
        </r>
      </text>
    </comment>
    <comment ref="E635" authorId="3" shapeId="0" xr:uid="{00000000-0006-0000-0100-00008A030000}">
      <text>
        <r>
          <rPr>
            <sz val="9"/>
            <color indexed="81"/>
            <rFont val="Segoe UI"/>
            <family val="2"/>
          </rPr>
          <t xml:space="preserve">
1-Orgão
2-RMF</t>
        </r>
      </text>
    </comment>
    <comment ref="D636" authorId="3" shapeId="0" xr:uid="{00000000-0006-0000-0100-00008B030000}">
      <text>
        <r>
          <rPr>
            <sz val="9"/>
            <color indexed="81"/>
            <rFont val="Segoe UI"/>
            <family val="2"/>
          </rPr>
          <t>1-RMF
2-Tipo de Entrada
3-Data da Entrada
4-Local de Estoque
5-Data do Atesto
6-Finalidade
7-Destino da Entrada
8-Responsável Patrimonial
9-Processo Sigadoc
10-nf XML
11-CMD
12-MSG</t>
        </r>
      </text>
    </comment>
    <comment ref="E636" authorId="3" shapeId="0" xr:uid="{00000000-0006-0000-0100-00008C030000}">
      <text>
        <r>
          <rPr>
            <sz val="9"/>
            <color indexed="81"/>
            <rFont val="Segoe UI"/>
            <family val="2"/>
          </rPr>
          <t xml:space="preserve">
1-RMF
2-Tipo de Entrada
3-Almoxarifado
4-Recebimento de Materiais
5-Nota fiscal importada (XML)</t>
        </r>
      </text>
    </comment>
    <comment ref="D637" authorId="3" shapeId="0" xr:uid="{00000000-0006-0000-0100-00008D030000}">
      <text>
        <r>
          <rPr>
            <sz val="9"/>
            <color indexed="81"/>
            <rFont val="Segoe UI"/>
            <family val="2"/>
          </rPr>
          <t xml:space="preserve">1-chave NF
2-nNF
3-serie
4-modelo
5-data emissão
6-CNPJ
7-razão social fornecedor
8-código de barras
9-descrição
10-NCM
11-unidade de medida
12-quantidade
13-valor unitário
14-informações adicionais do produto
15-valor total
16-informações adicionais da nota
17-CMD
18-MSG
</t>
        </r>
      </text>
    </comment>
    <comment ref="E637" authorId="3" shapeId="0" xr:uid="{00000000-0006-0000-0100-00008E030000}">
      <text>
        <r>
          <rPr>
            <sz val="9"/>
            <color indexed="81"/>
            <rFont val="Segoe UI"/>
            <family val="2"/>
          </rPr>
          <t xml:space="preserve">
1-Nota fiscal importada</t>
        </r>
      </text>
    </comment>
    <comment ref="D640" authorId="3" shapeId="0" xr:uid="{00000000-0006-0000-0100-00008F030000}">
      <text>
        <r>
          <rPr>
            <sz val="9"/>
            <color indexed="81"/>
            <rFont val="Segoe UI"/>
            <family val="2"/>
          </rPr>
          <t xml:space="preserve">
1-Numero do lote
2-fabricação
3-validade
4-qtd
5-ID
</t>
        </r>
      </text>
    </comment>
    <comment ref="E640" authorId="3" shapeId="0" xr:uid="{00000000-0006-0000-0100-000090030000}">
      <text>
        <r>
          <rPr>
            <sz val="9"/>
            <color indexed="81"/>
            <rFont val="Segoe UI"/>
            <family val="2"/>
          </rPr>
          <t xml:space="preserve">
1-Lote
</t>
        </r>
      </text>
    </comment>
    <comment ref="D641" authorId="3" shapeId="0" xr:uid="{00000000-0006-0000-0100-000091030000}">
      <text>
        <r>
          <rPr>
            <sz val="9"/>
            <color indexed="81"/>
            <rFont val="Segoe UI"/>
            <family val="2"/>
          </rPr>
          <t xml:space="preserve">
1-Numero do lote
2-fabricação
3-validade
4-qtd
5-CMD
6-MSG</t>
        </r>
      </text>
    </comment>
    <comment ref="E641" authorId="3" shapeId="0" xr:uid="{00000000-0006-0000-0100-000092030000}">
      <text>
        <r>
          <rPr>
            <sz val="9"/>
            <color indexed="81"/>
            <rFont val="Segoe UI"/>
            <family val="2"/>
          </rPr>
          <t xml:space="preserve">
1-Lote
2-Material
</t>
        </r>
      </text>
    </comment>
    <comment ref="D642" authorId="3" shapeId="0" xr:uid="{00000000-0006-0000-0100-000093030000}">
      <text>
        <r>
          <rPr>
            <sz val="9"/>
            <color indexed="81"/>
            <rFont val="Segoe UI"/>
            <family val="2"/>
          </rPr>
          <t xml:space="preserve">
1-lote
2-validade
3-qtd itens
4-qtd sem lote
5-CMD</t>
        </r>
      </text>
    </comment>
    <comment ref="E642" authorId="3" shapeId="0" xr:uid="{00000000-0006-0000-0100-000094030000}">
      <text>
        <r>
          <rPr>
            <sz val="9"/>
            <color indexed="81"/>
            <rFont val="Segoe UI"/>
            <family val="2"/>
          </rPr>
          <t xml:space="preserve">
1-Lote
2-Material
</t>
        </r>
      </text>
    </comment>
    <comment ref="D643" authorId="3" shapeId="0" xr:uid="{00000000-0006-0000-0100-000095030000}">
      <text>
        <r>
          <rPr>
            <sz val="9"/>
            <color indexed="81"/>
            <rFont val="Segoe UI"/>
            <family val="2"/>
          </rPr>
          <t xml:space="preserve">
1-Codigo
2-CMD
3-MSG</t>
        </r>
      </text>
    </comment>
    <comment ref="E643" authorId="3" shapeId="0" xr:uid="{00000000-0006-0000-0100-000096030000}">
      <text>
        <r>
          <rPr>
            <sz val="9"/>
            <color indexed="81"/>
            <rFont val="Segoe UI"/>
            <family val="2"/>
          </rPr>
          <t xml:space="preserve">
1-Lote
</t>
        </r>
      </text>
    </comment>
    <comment ref="D646" authorId="3" shapeId="0" xr:uid="{00000000-0006-0000-0100-000097030000}">
      <text>
        <r>
          <rPr>
            <sz val="9"/>
            <color indexed="81"/>
            <rFont val="Segoe UI"/>
            <family val="2"/>
          </rPr>
          <t xml:space="preserve">
1-Item
2-Código de Barras
3-Descrição Produto NFr
4-Informação adicional do produto
5-Unidade de medida do produto na NF
6-Quantidade do produto na NF
7-CMD
8-MSG</t>
        </r>
      </text>
    </comment>
    <comment ref="E646" authorId="3" shapeId="0" xr:uid="{00000000-0006-0000-0100-000098030000}">
      <text>
        <r>
          <rPr>
            <sz val="9"/>
            <color indexed="81"/>
            <rFont val="Segoe UI"/>
            <family val="2"/>
          </rPr>
          <t xml:space="preserve">
1-Nota fiscal importada</t>
        </r>
      </text>
    </comment>
    <comment ref="D647" authorId="3" shapeId="0" xr:uid="{00000000-0006-0000-0100-000099030000}">
      <text>
        <r>
          <rPr>
            <sz val="9"/>
            <color indexed="81"/>
            <rFont val="Segoe UI"/>
            <family val="2"/>
          </rPr>
          <t xml:space="preserve">
1-Item da NF
2-Item da RMF
3-Unidade de Distribuição
4-Quantidade de Distribuição
5-CMD
6-MSG</t>
        </r>
      </text>
    </comment>
    <comment ref="E647" authorId="3" shapeId="0" xr:uid="{00000000-0006-0000-0100-00009A030000}">
      <text>
        <r>
          <rPr>
            <sz val="9"/>
            <color indexed="81"/>
            <rFont val="Segoe UI"/>
            <family val="2"/>
          </rPr>
          <t xml:space="preserve">
1-Nota fiscal importada
2-RMF</t>
        </r>
      </text>
    </comment>
    <comment ref="D648" authorId="3" shapeId="0" xr:uid="{00000000-0006-0000-0100-00009B030000}">
      <text>
        <r>
          <rPr>
            <sz val="9"/>
            <color indexed="81"/>
            <rFont val="Segoe UI"/>
            <family val="2"/>
          </rPr>
          <t>1-Código
2-Descrição
3-CMD</t>
        </r>
      </text>
    </comment>
    <comment ref="E648" authorId="3" shapeId="0" xr:uid="{00000000-0006-0000-0100-00009C030000}">
      <text>
        <r>
          <rPr>
            <sz val="9"/>
            <color indexed="81"/>
            <rFont val="Segoe UI"/>
            <family val="2"/>
          </rPr>
          <t xml:space="preserve">
1-RMF</t>
        </r>
      </text>
    </comment>
    <comment ref="D649" authorId="3" shapeId="0" xr:uid="{00000000-0006-0000-0100-00009D030000}">
      <text>
        <r>
          <rPr>
            <sz val="9"/>
            <color indexed="81"/>
            <rFont val="Segoe UI"/>
            <family val="2"/>
          </rPr>
          <t xml:space="preserve">
1-Descrição da RMF
2-Unidade de distribuição
3-Quantidade de Distribuição
4-CMD
5-MSG</t>
        </r>
      </text>
    </comment>
    <comment ref="E649" authorId="3" shapeId="0" xr:uid="{00000000-0006-0000-0100-00009E030000}">
      <text>
        <r>
          <rPr>
            <sz val="9"/>
            <color indexed="81"/>
            <rFont val="Segoe UI"/>
            <family val="2"/>
          </rPr>
          <t xml:space="preserve">
1-Orgão
2-Material
3-RMF
</t>
        </r>
      </text>
    </comment>
    <comment ref="D650" authorId="3" shapeId="0" xr:uid="{00000000-0006-0000-0100-00009F030000}">
      <text>
        <r>
          <rPr>
            <sz val="9"/>
            <color indexed="81"/>
            <rFont val="Segoe UI"/>
            <family val="2"/>
          </rPr>
          <t xml:space="preserve">
1-Descrição da RMF
2-Unidade de distribuição
3-Quantidade de Distribuição
4-CMD
5-MSG</t>
        </r>
      </text>
    </comment>
    <comment ref="E650" authorId="3" shapeId="0" xr:uid="{00000000-0006-0000-0100-0000A0030000}">
      <text>
        <r>
          <rPr>
            <sz val="9"/>
            <color indexed="81"/>
            <rFont val="Segoe UI"/>
            <family val="2"/>
          </rPr>
          <t xml:space="preserve">
1-Orgão
2-Material
3-RMF
4-Lote</t>
        </r>
      </text>
    </comment>
    <comment ref="D653" authorId="3" shapeId="0" xr:uid="{00000000-0006-0000-0100-0000A1030000}">
      <text>
        <r>
          <rPr>
            <sz val="9"/>
            <color indexed="81"/>
            <rFont val="Segoe UI"/>
            <family val="2"/>
          </rPr>
          <t>1 - CNPJ
2 - Ração Social</t>
        </r>
      </text>
    </comment>
    <comment ref="E653" authorId="3" shapeId="0" xr:uid="{00000000-0006-0000-0100-0000A2030000}">
      <text>
        <r>
          <rPr>
            <sz val="9"/>
            <color indexed="81"/>
            <rFont val="Segoe UI"/>
            <family val="2"/>
          </rPr>
          <t>01. Fornecedor API</t>
        </r>
      </text>
    </comment>
    <comment ref="D654" authorId="3" shapeId="0" xr:uid="{7AAE83BB-CECD-451F-99C0-0BDF938AB9BF}">
      <text>
        <r>
          <rPr>
            <sz val="9"/>
            <color indexed="81"/>
            <rFont val="Segoe UI"/>
            <family val="2"/>
          </rPr>
          <t xml:space="preserve">1-cnpj do órgão
2-órgão/entidade
3-tipo de entrada
4-data de entrada
5-fonte de recurso
6-local de estoque
7-finalidade
8-unidade requisitante
9-destino da entrada
10-responsável patrimonial
11-data de atesto
12-status
13-chave nf-e
14-N° da Nota
15-Serie
16-Modelo
17-data emissão
18-fornecedor
19-cnpj fornecedor
20-Tipo documento
21-documento
22-anexo
23-data
24-material
26-ID
27-controle lote
28-unidade de localização
29-Valor Unitário
30-Valor total Produto
31-Tipo de Produto
32-Modalidade
33-ULV Destino
34-UL_DESTINO         
35-IDEN_UNIDADE_SAIDA 
36-NUMR_QTDE_SAIDA 
37-VALR_UNITARIO_SAIDA 
38-VALR_TOTAL_SAIDA 
</t>
        </r>
      </text>
    </comment>
    <comment ref="E654" authorId="3" shapeId="0" xr:uid="{41D3EF8F-19B7-4613-8408-E7AB92885169}">
      <text>
        <r>
          <rPr>
            <sz val="9"/>
            <color indexed="81"/>
            <rFont val="Segoe UI"/>
            <family val="2"/>
          </rPr>
          <t xml:space="preserve">
1-Compra Sem RMF
2-Documento
3-Itens da compra
4-Tipo de Entrada
5-Tipo de Documento</t>
        </r>
      </text>
    </comment>
    <comment ref="D655" authorId="3" shapeId="0" xr:uid="{0946F339-1C87-4FFA-B597-3F2016B82C7A}">
      <text>
        <r>
          <rPr>
            <sz val="9"/>
            <color indexed="81"/>
            <rFont val="Segoe UI"/>
            <family val="2"/>
          </rPr>
          <t xml:space="preserve">
1 -Tipo Produot 
2 -Tipo de entrada 
3 -modalidade 
4 -mes a entrada
5 -Exercicio
6 -Orgão
7 -UO
8 -Fornecedor
9 -Situacao
10-codigo
11-data entrada ini
12-data entrada fim 
13-resp cadastro
14-Unidade de Localização
15-ULV Destino
16-Local 
17-status
18-Valor Total da Compra
19-CMD
20-MSG
</t>
        </r>
      </text>
    </comment>
    <comment ref="E655" authorId="3" shapeId="0" xr:uid="{00B8048A-41A6-40AD-9E23-F7771B6E251A}">
      <text>
        <r>
          <rPr>
            <sz val="9"/>
            <color indexed="81"/>
            <rFont val="Segoe UI"/>
            <family val="2"/>
          </rPr>
          <t xml:space="preserve">
1-Orgão
2-Fornecedor API
3-Compra sem RMF
4-Usuario
5-Unidade de Localiação</t>
        </r>
      </text>
    </comment>
    <comment ref="D656" authorId="3" shapeId="0" xr:uid="{00000000-0006-0000-0100-0000A7030000}">
      <text>
        <r>
          <rPr>
            <sz val="9"/>
            <color indexed="81"/>
            <rFont val="Segoe UI"/>
            <family val="2"/>
          </rPr>
          <t xml:space="preserve">
1 -cnpj do órgão
2 -órgão/entidade
3 -tipo de entrada
4 -data de entrada
5 -fonte de recurso
6 -local de estoque
7 -finalidade
8 -unidade requisitante
9 -destino da entrada
10-responsável patrimonial
11-data de atesto
12-chave nf-e
13-N° da Nota
14-Serie
15-Modelo
16-data emissão
17-fornecedor
18-cnpj fornecedor
19-Tipo documento
20-documento
21-anexo
22-data
23-material
24-status
25-Unidade de Localização
26-Valor Total da Compra
27-Modalidade
28-ULV Destino
29-CMD
30-MSG</t>
        </r>
      </text>
    </comment>
    <comment ref="E656" authorId="3" shapeId="0" xr:uid="{00000000-0006-0000-0100-0000A8030000}">
      <text>
        <r>
          <rPr>
            <sz val="9"/>
            <color indexed="81"/>
            <rFont val="Segoe UI"/>
            <family val="2"/>
          </rPr>
          <t xml:space="preserve">
1-Orgão
2-Fornecedor API
3-Compra sem RMF
4-Usuario
5-Unidade de Localiação</t>
        </r>
      </text>
    </comment>
    <comment ref="D657" authorId="3" shapeId="0" xr:uid="{00000000-0006-0000-0100-0000A9030000}">
      <text>
        <r>
          <rPr>
            <sz val="9"/>
            <color indexed="81"/>
            <rFont val="Segoe UI"/>
            <family val="2"/>
          </rPr>
          <t>01 - Código
02 - Descrição
03 - Comando</t>
        </r>
      </text>
    </comment>
    <comment ref="E657" authorId="3" shapeId="0" xr:uid="{00000000-0006-0000-0100-0000AA030000}">
      <text>
        <r>
          <rPr>
            <sz val="9"/>
            <color indexed="81"/>
            <rFont val="Segoe UI"/>
            <family val="2"/>
          </rPr>
          <t>01 - Tipo de Entrada</t>
        </r>
      </text>
    </comment>
    <comment ref="D658" authorId="3" shapeId="0" xr:uid="{00000000-0006-0000-0100-0000AB030000}">
      <text>
        <r>
          <rPr>
            <sz val="9"/>
            <color indexed="81"/>
            <rFont val="Segoe UI"/>
            <family val="2"/>
          </rPr>
          <t>01 - Código
02 - Descrição
03 - Comando</t>
        </r>
      </text>
    </comment>
    <comment ref="E658" authorId="3" shapeId="0" xr:uid="{00000000-0006-0000-0100-0000AC030000}">
      <text>
        <r>
          <rPr>
            <sz val="9"/>
            <color indexed="81"/>
            <rFont val="Segoe UI"/>
            <family val="2"/>
          </rPr>
          <t>01 - Tipo de Documento</t>
        </r>
      </text>
    </comment>
    <comment ref="D659" authorId="3" shapeId="0" xr:uid="{00000000-0006-0000-0100-0000AD030000}">
      <text>
        <r>
          <rPr>
            <sz val="9"/>
            <color indexed="81"/>
            <rFont val="Segoe UI"/>
            <family val="2"/>
          </rPr>
          <t xml:space="preserve">
1 -cnpj do órgão
2 -órgão/entidade
3 -tipo de entrada
4 -data de entrada
5 -fonte de recurso
6 -local de estoque
7 -finalidade
8 -unidade requisitante
9 -destino da entrada
10-responsável patrimonial
11-data de atesto
12-chave nf-e
13-N° da Nota
14-Serie
15-Modelo
16-data emissão
17-fornecedor
18-cnpj fornecedor
19-Tipo documento
20-documento
21-anexo
22-data
23-material
24-status
25-Unidade de Localização
26-Valor Total da Compra
27-Modalidade
28-ULV Destino
29-CMD
30-MSG</t>
        </r>
      </text>
    </comment>
    <comment ref="E659" authorId="3" shapeId="0" xr:uid="{00000000-0006-0000-0100-0000AE030000}">
      <text>
        <r>
          <rPr>
            <sz val="9"/>
            <color indexed="81"/>
            <rFont val="Segoe UI"/>
            <family val="2"/>
          </rPr>
          <t xml:space="preserve">
1-Orgão
2-Fornecedor API
3-Compra sem RMF
4-Usuario
5-Unidade de Localiação</t>
        </r>
      </text>
    </comment>
    <comment ref="D660" authorId="3" shapeId="0" xr:uid="{00000000-0006-0000-0100-0000AF030000}">
      <text>
        <r>
          <rPr>
            <sz val="9"/>
            <color indexed="81"/>
            <rFont val="Segoe UI"/>
            <family val="2"/>
          </rPr>
          <t xml:space="preserve">
1 -cnpj do órgão
2 -órgão/entidade
3 -tipo de entrada
4 -data de entrada
5 -fonte de recurso
6 -local de estoque
7 -finalidade
8 -unidade requisitante
9 -destino da entrada
10-responsável patrimonial
11-data de atesto
12-chave nf-e
13-N° da Nota
14-Serie
15-Modelo
16-data emissão
17-fornecedor
18-cnpj fornecedor
19-Tipo documento
20-documento
21-anexo
22-data
23-material
24-status
25-Unidade de Localização
26-Valor Total da Compra
27-Modalidade
28-ULV Destino
29-CMD
30-MSG</t>
        </r>
      </text>
    </comment>
    <comment ref="E660" authorId="3" shapeId="0" xr:uid="{00000000-0006-0000-0100-0000B0030000}">
      <text>
        <r>
          <rPr>
            <sz val="9"/>
            <color indexed="81"/>
            <rFont val="Segoe UI"/>
            <family val="2"/>
          </rPr>
          <t xml:space="preserve">
1-Orgão
2-Fornecedor API
3-Compra sem RMF
4-Usuario</t>
        </r>
      </text>
    </comment>
    <comment ref="D661" authorId="3" shapeId="0" xr:uid="{00000000-0006-0000-0100-0000B1030000}">
      <text>
        <r>
          <rPr>
            <sz val="9"/>
            <color indexed="81"/>
            <rFont val="Segoe UI"/>
            <family val="2"/>
          </rPr>
          <t xml:space="preserve">
1 -cnpj do órgão
2 -órgão/entidade
3 -tipo de entrada
4 -data de entrada
5 -fonte de recurso
6 -local de estoque
7 -finalidade
8 -unidade requisitante
9 -destino da entrada
10-responsável patrimonial
11-data de atesto
12-chave nf-e
13-N° da Nota
14-Serie
15-Modelo
16-data emissão
17-fornecedor
18-cnpj fornecedor
19-Tipo documento
20-documento
21-anexo
22-data
23-material
24-status
25-ULV Destino
26-CMD
27-MSG</t>
        </r>
      </text>
    </comment>
    <comment ref="E661" authorId="3" shapeId="0" xr:uid="{00000000-0006-0000-0100-0000B2030000}">
      <text>
        <r>
          <rPr>
            <sz val="9"/>
            <color indexed="81"/>
            <rFont val="Segoe UI"/>
            <family val="2"/>
          </rPr>
          <t xml:space="preserve">
1-Orgão
2-Fornecedor API
3-Compra sem RMF
4-Usuario</t>
        </r>
      </text>
    </comment>
    <comment ref="D662" authorId="3" shapeId="0" xr:uid="{00000000-0006-0000-0100-0000B3030000}">
      <text>
        <r>
          <rPr>
            <sz val="9"/>
            <color indexed="81"/>
            <rFont val="Segoe UI"/>
            <family val="2"/>
          </rPr>
          <t xml:space="preserve">
1-Codigo
2-CMD
3-MSG</t>
        </r>
      </text>
    </comment>
    <comment ref="E662" authorId="3" shapeId="0" xr:uid="{00000000-0006-0000-0100-0000B4030000}">
      <text>
        <r>
          <rPr>
            <sz val="9"/>
            <color indexed="81"/>
            <rFont val="Segoe UI"/>
            <family val="2"/>
          </rPr>
          <t xml:space="preserve">
1-Compra Sem RMF
</t>
        </r>
      </text>
    </comment>
    <comment ref="D663" authorId="3" shapeId="0" xr:uid="{00000000-0006-0000-0100-0000B5030000}">
      <text>
        <r>
          <rPr>
            <sz val="9"/>
            <color indexed="81"/>
            <rFont val="Segoe UI"/>
            <family val="2"/>
          </rPr>
          <t xml:space="preserve">
1-Documento
2-Tipo de documento
3-data do documento
4-anexo
5-CMD
6-MSG</t>
        </r>
      </text>
    </comment>
    <comment ref="E663" authorId="3" shapeId="0" xr:uid="{00000000-0006-0000-0100-0000B6030000}">
      <text>
        <r>
          <rPr>
            <sz val="9"/>
            <color indexed="81"/>
            <rFont val="Segoe UI"/>
            <family val="2"/>
          </rPr>
          <t xml:space="preserve">
1-Compra Sem RMF
</t>
        </r>
      </text>
    </comment>
    <comment ref="D664" authorId="3" shapeId="0" xr:uid="{00000000-0006-0000-0100-0000B7030000}">
      <text>
        <r>
          <rPr>
            <sz val="9"/>
            <color indexed="81"/>
            <rFont val="Segoe UI"/>
            <family val="2"/>
          </rPr>
          <t xml:space="preserve">
1-Documento
2-Tipo de documento
3-data do documento
4-anexo
5-CMD
6-MSG</t>
        </r>
      </text>
    </comment>
    <comment ref="E664" authorId="3" shapeId="0" xr:uid="{00000000-0006-0000-0100-0000B8030000}">
      <text>
        <r>
          <rPr>
            <sz val="9"/>
            <color indexed="81"/>
            <rFont val="Segoe UI"/>
            <family val="2"/>
          </rPr>
          <t xml:space="preserve">
1-Compra Sem RMF
</t>
        </r>
      </text>
    </comment>
    <comment ref="D665" authorId="3" shapeId="0" xr:uid="{00000000-0006-0000-0100-0000B9030000}">
      <text>
        <r>
          <rPr>
            <sz val="9"/>
            <color indexed="81"/>
            <rFont val="Segoe UI"/>
            <family val="2"/>
          </rPr>
          <t xml:space="preserve">
1-Documento
2-Tipo de documento
3-data do documento
4-anexo
</t>
        </r>
      </text>
    </comment>
    <comment ref="E665" authorId="3" shapeId="0" xr:uid="{00000000-0006-0000-0100-0000BA030000}">
      <text>
        <r>
          <rPr>
            <sz val="9"/>
            <color indexed="81"/>
            <rFont val="Segoe UI"/>
            <family val="2"/>
          </rPr>
          <t xml:space="preserve">
1-Compra Sem RMF
</t>
        </r>
      </text>
    </comment>
    <comment ref="D666" authorId="3" shapeId="0" xr:uid="{00000000-0006-0000-0100-0000BB030000}">
      <text>
        <r>
          <rPr>
            <sz val="9"/>
            <color indexed="81"/>
            <rFont val="Segoe UI"/>
            <family val="2"/>
          </rPr>
          <t xml:space="preserve">
1-Documento
2-Tipo de documento
3-data do documento
4-anexo
5-CMD
6-MSG</t>
        </r>
      </text>
    </comment>
    <comment ref="E666" authorId="3" shapeId="0" xr:uid="{00000000-0006-0000-0100-0000BC030000}">
      <text>
        <r>
          <rPr>
            <sz val="9"/>
            <color indexed="81"/>
            <rFont val="Segoe UI"/>
            <family val="2"/>
          </rPr>
          <t xml:space="preserve">
1-Compra Sem RMF
</t>
        </r>
      </text>
    </comment>
    <comment ref="D667" authorId="3" shapeId="0" xr:uid="{0851AF76-4A46-4EC5-87C2-8E55519A5427}">
      <text>
        <r>
          <rPr>
            <sz val="9"/>
            <color indexed="81"/>
            <rFont val="Segoe UI"/>
            <family val="2"/>
          </rPr>
          <t>1 - Compra
2 - Documento
3 - CMD
4 - MSG</t>
        </r>
      </text>
    </comment>
    <comment ref="E667" authorId="3" shapeId="0" xr:uid="{859E1CDF-9FAD-442E-A2B1-41F1CC97990B}">
      <text>
        <r>
          <rPr>
            <sz val="9"/>
            <color indexed="81"/>
            <rFont val="Segoe UI"/>
            <family val="2"/>
          </rPr>
          <t xml:space="preserve">
1-Compra Sem RMF
</t>
        </r>
      </text>
    </comment>
    <comment ref="D668" authorId="3" shapeId="0" xr:uid="{00000000-0006-0000-0100-0000BD030000}">
      <text>
        <r>
          <rPr>
            <sz val="9"/>
            <color indexed="81"/>
            <rFont val="Segoe UI"/>
            <family val="2"/>
          </rPr>
          <t xml:space="preserve">
1-Material 
2-Cod Barras
3-registro
4-Descrição
5-QTD
6-unidade
7-elemento
8-Subelemento
9-Valor Unitário
10-Valor total Produto
11-CMD
12-MSG</t>
        </r>
      </text>
    </comment>
    <comment ref="E668" authorId="3" shapeId="0" xr:uid="{00000000-0006-0000-0100-0000BE030000}">
      <text>
        <r>
          <rPr>
            <sz val="9"/>
            <color indexed="81"/>
            <rFont val="Segoe UI"/>
            <family val="2"/>
          </rPr>
          <t xml:space="preserve">
1-Compra Sem RMF
2-Variação Material
</t>
        </r>
      </text>
    </comment>
    <comment ref="D669" authorId="3" shapeId="0" xr:uid="{00000000-0006-0000-0100-0000BF030000}">
      <text>
        <r>
          <rPr>
            <sz val="9"/>
            <color indexed="81"/>
            <rFont val="Segoe UI"/>
            <family val="2"/>
          </rPr>
          <t xml:space="preserve">
1-Material 
2-Cod Barras
3-registro
4-Descrição
5-QTD
6-unidade
7-elemento
8-Subelemento
9-Valor Unitário
10-Valor total Produto
11-CMD
12-MSG</t>
        </r>
      </text>
    </comment>
    <comment ref="E669" authorId="3" shapeId="0" xr:uid="{00000000-0006-0000-0100-0000C0030000}">
      <text>
        <r>
          <rPr>
            <sz val="9"/>
            <color indexed="81"/>
            <rFont val="Segoe UI"/>
            <family val="2"/>
          </rPr>
          <t xml:space="preserve">
1-Compra Sem RMF
2-Variação Material
</t>
        </r>
      </text>
    </comment>
    <comment ref="D670" authorId="3" shapeId="0" xr:uid="{00000000-0006-0000-0100-0000C1030000}">
      <text>
        <r>
          <rPr>
            <sz val="9"/>
            <color indexed="81"/>
            <rFont val="Segoe UI"/>
            <family val="2"/>
          </rPr>
          <t xml:space="preserve">
1-Material 
2-Cod Barras
3-registro
4-Descrição
5-QTD
6-unidade
7-elemento
8-Subelemento
9-Valor Unitário
10-Valor total Produto</t>
        </r>
      </text>
    </comment>
    <comment ref="E670" authorId="3" shapeId="0" xr:uid="{00000000-0006-0000-0100-0000C2030000}">
      <text>
        <r>
          <rPr>
            <sz val="9"/>
            <color indexed="81"/>
            <rFont val="Segoe UI"/>
            <family val="2"/>
          </rPr>
          <t xml:space="preserve">
1-Compra Sem RMF
2-Variação Material
</t>
        </r>
      </text>
    </comment>
    <comment ref="D671" authorId="3" shapeId="0" xr:uid="{00000000-0006-0000-0100-0000C3030000}">
      <text>
        <r>
          <rPr>
            <sz val="9"/>
            <color indexed="81"/>
            <rFont val="Segoe UI"/>
            <family val="2"/>
          </rPr>
          <t xml:space="preserve">
1-Material 
2-Cod Barras
3-registro
4-Descrição
5-QTD
6-unidade
7-elemento
8-Subelemento
9-Valor Unitário
10-Valor total Produto
11-CMD
12-MSG</t>
        </r>
      </text>
    </comment>
    <comment ref="E671" authorId="3" shapeId="0" xr:uid="{00000000-0006-0000-0100-0000C4030000}">
      <text>
        <r>
          <rPr>
            <sz val="9"/>
            <color indexed="81"/>
            <rFont val="Segoe UI"/>
            <family val="2"/>
          </rPr>
          <t xml:space="preserve">
1-Compra Sem RMF
2-Variação Material
</t>
        </r>
      </text>
    </comment>
    <comment ref="D672" authorId="3" shapeId="0" xr:uid="{00000000-0006-0000-0100-0000C5030000}">
      <text>
        <r>
          <rPr>
            <sz val="9"/>
            <color indexed="81"/>
            <rFont val="Segoe UI"/>
            <family val="2"/>
          </rPr>
          <t xml:space="preserve">
1-cód. material 
2-cod. barras 
3-registro patrimonial (rp) 
4-descrição do material
5-unidade
6-quantidade
7-elemento
8-subelemento
9-controla lote
10-Valor total Produto
11-CMD
12-MSG
</t>
        </r>
      </text>
    </comment>
    <comment ref="E672" authorId="3" shapeId="0" xr:uid="{00000000-0006-0000-0100-0000C6030000}">
      <text>
        <r>
          <rPr>
            <sz val="9"/>
            <color indexed="81"/>
            <rFont val="Segoe UI"/>
            <family val="2"/>
          </rPr>
          <t xml:space="preserve">
1-Variação Material</t>
        </r>
      </text>
    </comment>
    <comment ref="D673" authorId="3" shapeId="0" xr:uid="{00000000-0006-0000-0100-0000C7030000}">
      <text>
        <r>
          <rPr>
            <sz val="9"/>
            <color indexed="81"/>
            <rFont val="Segoe UI"/>
            <family val="2"/>
          </rPr>
          <t xml:space="preserve">
1 -cnpj do órgão
2 -órgão/entidade
3 -tipo de entrada
4 -data de entrada
5 -fonte de recurso
6 -local de estoque
7 -finalidade
8 -unidade requisitante
9 -destino da entrada
10-responsável patrimonial
11-data de atesto
12-chave nf-e
13-N° da Nota
14-Serie
15-Modelo
16-data emissão
17-fornecedor
18-cnpj fornecedor
19-Tipo documento
20-documento
21-anexo
22-data
23-material
24-status
25-Data e Hora do Evento
26 - Usuário Responsável
27 - Status do Bem
28 - Tipo de Evento
29 - Detalhes do Evento
30 - CMD
31 - MSG</t>
        </r>
      </text>
    </comment>
    <comment ref="E673" authorId="3" shapeId="0" xr:uid="{00000000-0006-0000-0100-0000C8030000}">
      <text>
        <r>
          <rPr>
            <sz val="9"/>
            <color indexed="81"/>
            <rFont val="Segoe UI"/>
            <family val="2"/>
          </rPr>
          <t xml:space="preserve">
1-Orgão
2-Fornecedor API
3-Compra sem RMF
4-Usuario
5-Históricos de Evento do Bem</t>
        </r>
      </text>
    </comment>
    <comment ref="D676" authorId="3" shapeId="0" xr:uid="{00000000-0006-0000-0100-0000C9030000}">
      <text>
        <r>
          <rPr>
            <sz val="9"/>
            <color indexed="81"/>
            <rFont val="Segoe UI"/>
            <family val="2"/>
          </rPr>
          <t xml:space="preserve">
1 -Descrição
2 -Sigla
3 -Orgão
4 -Sigla orgão 
5 -Unidade ADM 
6 -Responsável
7 -Catalogo
8 -Situação
9 -Data bloqueio
10-OBS
11-Responsável cadastro
12-Data cadastro
13-ID</t>
        </r>
      </text>
    </comment>
    <comment ref="E676" authorId="3" shapeId="0" xr:uid="{00000000-0006-0000-0100-0000CA030000}">
      <text>
        <r>
          <rPr>
            <sz val="9"/>
            <color indexed="81"/>
            <rFont val="Segoe UI"/>
            <family val="2"/>
          </rPr>
          <t xml:space="preserve">
1-Unidade requisição</t>
        </r>
      </text>
    </comment>
    <comment ref="D677" authorId="3" shapeId="0" xr:uid="{00000000-0006-0000-0100-0000CB030000}">
      <text>
        <r>
          <rPr>
            <sz val="9"/>
            <color indexed="81"/>
            <rFont val="Segoe UI"/>
            <family val="2"/>
          </rPr>
          <t xml:space="preserve">
1 -Orgão
2 -Descrição
3 -Sigla
4 -Unidade ADM
5 -Responsável
6 -Data cadastro ini
7 -Data cadastro fim
8 -Codigo
9 -CMD
10-MSG</t>
        </r>
      </text>
    </comment>
    <comment ref="E677" authorId="3" shapeId="0" xr:uid="{00000000-0006-0000-0100-0000CC030000}">
      <text>
        <r>
          <rPr>
            <sz val="9"/>
            <color indexed="81"/>
            <rFont val="Segoe UI"/>
            <family val="2"/>
          </rPr>
          <t xml:space="preserve">
1-Unidade requisição
2-Orgão
3-Pessoa</t>
        </r>
      </text>
    </comment>
    <comment ref="D678" authorId="3" shapeId="0" xr:uid="{00000000-0006-0000-0100-0000CD030000}">
      <text>
        <r>
          <rPr>
            <sz val="9"/>
            <color indexed="81"/>
            <rFont val="Segoe UI"/>
            <family val="2"/>
          </rPr>
          <t xml:space="preserve">
1 -Descrição
2 -Sigla
3 -Orgão
4 -Sigla orgão 
5 -Unidade ADM 
6 -Responsável
7 -Catalogo
8 -Situação
9 -Data bloqueio
10-OBS
11-Responsável cadastro
12-Data cadastro
13-CMD
14-MSG</t>
        </r>
      </text>
    </comment>
    <comment ref="E678" authorId="3" shapeId="0" xr:uid="{00000000-0006-0000-0100-0000CE030000}">
      <text>
        <r>
          <rPr>
            <sz val="9"/>
            <color indexed="81"/>
            <rFont val="Segoe UI"/>
            <family val="2"/>
          </rPr>
          <t xml:space="preserve">
1-Unidade requisição
2-Orgão
3-Pessoa
4-Catalogo</t>
        </r>
      </text>
    </comment>
    <comment ref="D679" authorId="3" shapeId="0" xr:uid="{00000000-0006-0000-0100-0000CF030000}">
      <text>
        <r>
          <rPr>
            <sz val="9"/>
            <color indexed="81"/>
            <rFont val="Segoe UI"/>
            <family val="2"/>
          </rPr>
          <t xml:space="preserve">
1-Descrição
2-CMD</t>
        </r>
      </text>
    </comment>
    <comment ref="E679" authorId="3" shapeId="0" xr:uid="{00000000-0006-0000-0100-0000D0030000}">
      <text>
        <r>
          <rPr>
            <sz val="9"/>
            <color indexed="81"/>
            <rFont val="Segoe UI"/>
            <family val="2"/>
          </rPr>
          <t xml:space="preserve">
1-Catalogo</t>
        </r>
      </text>
    </comment>
    <comment ref="D680" authorId="3" shapeId="0" xr:uid="{00000000-0006-0000-0100-0000D1030000}">
      <text>
        <r>
          <rPr>
            <sz val="9"/>
            <color indexed="81"/>
            <rFont val="Segoe UI"/>
            <family val="2"/>
          </rPr>
          <t xml:space="preserve">
1 -Descrição
2 -Sigla
3 -Orgão
4 -Sigla orgão 
5 -Unidade ADM 
6 -Responsável
7 -Catalogo
8 -Situação
9 -Data bloqueio
10-OBS
11-Responsável cadastro
12-Data cadastro
13-CMD
14-MSG</t>
        </r>
      </text>
    </comment>
    <comment ref="E680" authorId="3" shapeId="0" xr:uid="{00000000-0006-0000-0100-0000D2030000}">
      <text>
        <r>
          <rPr>
            <sz val="9"/>
            <color indexed="81"/>
            <rFont val="Segoe UI"/>
            <family val="2"/>
          </rPr>
          <t xml:space="preserve">
1-Unidade requisição
2-Orgão
3-Pessoa
4-Catalogo</t>
        </r>
      </text>
    </comment>
    <comment ref="D681" authorId="3" shapeId="0" xr:uid="{00000000-0006-0000-0100-0000D3030000}">
      <text>
        <r>
          <rPr>
            <sz val="9"/>
            <color indexed="81"/>
            <rFont val="Segoe UI"/>
            <family val="2"/>
          </rPr>
          <t xml:space="preserve">
1 -Descrição
2 -Sigla
3 -Orgão
4 -Sigla orgão 
5 -Unidade ADM 
6 -Responsável
7 -Catalogo
8 -Situação
9 -Data bloqueio
10-OBS
11-Responsável cadastro
12-Data cadastro
</t>
        </r>
      </text>
    </comment>
    <comment ref="E681" authorId="3" shapeId="0" xr:uid="{00000000-0006-0000-0100-0000D4030000}">
      <text>
        <r>
          <rPr>
            <sz val="9"/>
            <color indexed="81"/>
            <rFont val="Segoe UI"/>
            <family val="2"/>
          </rPr>
          <t xml:space="preserve">
1-Unidade requisição
2-Orgão
3-Pessoa
4-Catalogo</t>
        </r>
      </text>
    </comment>
    <comment ref="D682" authorId="3" shapeId="0" xr:uid="{00000000-0006-0000-0100-0000D5030000}">
      <text>
        <r>
          <rPr>
            <sz val="9"/>
            <color indexed="81"/>
            <rFont val="Segoe UI"/>
            <family val="2"/>
          </rPr>
          <t xml:space="preserve">
1 -Descrição
2 -Sigla
3 -Orgão
4 -Sigla orgão 
5 -Unidade ADM 
6 -Responsável
7 -Catalogo
8 -Situação
9 -Data bloqueio
10-OBS
11-Responsável cadastro
12-Data cadastro
13-CMD
14-MSG</t>
        </r>
      </text>
    </comment>
    <comment ref="E682" authorId="3" shapeId="0" xr:uid="{00000000-0006-0000-0100-0000D6030000}">
      <text>
        <r>
          <rPr>
            <sz val="9"/>
            <color indexed="81"/>
            <rFont val="Segoe UI"/>
            <family val="2"/>
          </rPr>
          <t xml:space="preserve">
1-Unidade requisição
2-Orgão
3-Pessoa
4-Catalogo</t>
        </r>
      </text>
    </comment>
    <comment ref="D683" authorId="3" shapeId="0" xr:uid="{00000000-0006-0000-0100-0000D7030000}">
      <text>
        <r>
          <rPr>
            <b/>
            <sz val="9"/>
            <color indexed="81"/>
            <rFont val="Segoe UI"/>
            <family val="2"/>
          </rPr>
          <t xml:space="preserve">
</t>
        </r>
        <r>
          <rPr>
            <sz val="9"/>
            <color indexed="81"/>
            <rFont val="Segoe UI"/>
            <family val="2"/>
          </rPr>
          <t>1-Codigo
2-CMD
3-MSG</t>
        </r>
      </text>
    </comment>
    <comment ref="E683" authorId="3" shapeId="0" xr:uid="{00000000-0006-0000-0100-0000D8030000}">
      <text>
        <r>
          <rPr>
            <sz val="9"/>
            <color indexed="81"/>
            <rFont val="Segoe UI"/>
            <family val="2"/>
          </rPr>
          <t xml:space="preserve">
1-Unidade requisição</t>
        </r>
      </text>
    </comment>
    <comment ref="D684" authorId="3" shapeId="0" xr:uid="{F080BE7C-C9DE-44E7-921E-757A37E28EDE}">
      <text>
        <r>
          <rPr>
            <sz val="9"/>
            <color indexed="81"/>
            <rFont val="Segoe UI"/>
            <family val="2"/>
          </rPr>
          <t>1. Nome do Servidor  
2. Matrícula  
3. CPF  
4. Código  
5. E-mail  
6. Status  
7. Última Alteração  
8. Ações
9. CMD
10.MSG</t>
        </r>
      </text>
    </comment>
    <comment ref="E684" authorId="3" shapeId="0" xr:uid="{51EFA4E7-DBE8-45CD-A01C-05F16DCECFEF}">
      <text>
        <r>
          <rPr>
            <sz val="9"/>
            <color indexed="81"/>
            <rFont val="Segoe UI"/>
            <family val="2"/>
          </rPr>
          <t>1-Servidor
2-Unidade de Requisição</t>
        </r>
      </text>
    </comment>
    <comment ref="D685" authorId="3" shapeId="0" xr:uid="{8C2C18FB-0331-44DD-BB57-AD040892D96E}">
      <text>
        <r>
          <rPr>
            <sz val="9"/>
            <color indexed="81"/>
            <rFont val="Segoe UI"/>
            <family val="2"/>
          </rPr>
          <t>1. Nome do Servidor  
2. Matrícula  
3. CPF  
4. E-mail  
5. Status  
6. CMD
7. MSG</t>
        </r>
      </text>
    </comment>
    <comment ref="E685" authorId="3" shapeId="0" xr:uid="{D5E6BD47-DA65-4F59-B0A2-EC8098108588}">
      <text>
        <r>
          <rPr>
            <sz val="9"/>
            <color indexed="81"/>
            <rFont val="Segoe UI"/>
            <family val="2"/>
          </rPr>
          <t>1-Servidor
2-Unidade de Requisição</t>
        </r>
      </text>
    </comment>
    <comment ref="D686" authorId="3" shapeId="0" xr:uid="{38F7A37F-CD04-4565-8CD9-60EF9EF5C925}">
      <text>
        <r>
          <rPr>
            <sz val="9"/>
            <color indexed="81"/>
            <rFont val="Segoe UI"/>
            <family val="2"/>
          </rPr>
          <t>1. Nome do Servidor  
2. Matrícula  
3. CPF  
4. E-mail  
5. Status  
6. CMD
7. MSG</t>
        </r>
      </text>
    </comment>
    <comment ref="E686" authorId="3" shapeId="0" xr:uid="{5778E763-2EC8-4DA6-A732-23673A9C1FC2}">
      <text>
        <r>
          <rPr>
            <sz val="9"/>
            <color indexed="81"/>
            <rFont val="Segoe UI"/>
            <family val="2"/>
          </rPr>
          <t>1-Servidor
2-Unidade de Requisição</t>
        </r>
      </text>
    </comment>
    <comment ref="D687" authorId="3" shapeId="0" xr:uid="{DD447967-58B8-453C-B8EE-45FE4CCB4A8A}">
      <text>
        <r>
          <rPr>
            <sz val="9"/>
            <color indexed="81"/>
            <rFont val="Segoe UI"/>
            <family val="2"/>
          </rPr>
          <t xml:space="preserve">1. Nome do Servidor  
2. Matrícula  
3. CPF  
4. E-mail  
5. Status  </t>
        </r>
      </text>
    </comment>
    <comment ref="E687" authorId="3" shapeId="0" xr:uid="{B85A355B-D136-4628-8695-F74AD22CED26}">
      <text>
        <r>
          <rPr>
            <sz val="9"/>
            <color indexed="81"/>
            <rFont val="Segoe UI"/>
            <family val="2"/>
          </rPr>
          <t>1-Servidor
2-Unidade de Requisição</t>
        </r>
      </text>
    </comment>
    <comment ref="D688" authorId="3" shapeId="0" xr:uid="{5283F5AA-7E03-40C1-925D-494CB6D276F6}">
      <text>
        <r>
          <rPr>
            <sz val="9"/>
            <color indexed="81"/>
            <rFont val="Segoe UI"/>
            <family val="2"/>
          </rPr>
          <t>1. Nome do Servidor  
2. Matrícula  
3. CPF  
4. E-mail  
5. Status  
6. CMD
7. MSG</t>
        </r>
      </text>
    </comment>
    <comment ref="E688" authorId="3" shapeId="0" xr:uid="{9FEA3588-2868-4A84-AE00-A925DEA7E0AD}">
      <text>
        <r>
          <rPr>
            <sz val="9"/>
            <color indexed="81"/>
            <rFont val="Segoe UI"/>
            <family val="2"/>
          </rPr>
          <t>1-Servidor
2-Unidade de Requisição</t>
        </r>
      </text>
    </comment>
    <comment ref="D689" authorId="3" shapeId="0" xr:uid="{C1069334-9794-4F81-9E75-59FB707B6D08}">
      <text>
        <r>
          <rPr>
            <sz val="9"/>
            <color indexed="81"/>
            <rFont val="Segoe UI"/>
            <family val="2"/>
          </rPr>
          <t xml:space="preserve">
1-Codig
2-CMD
3-MSG</t>
        </r>
      </text>
    </comment>
    <comment ref="E689" authorId="3" shapeId="0" xr:uid="{1C8652C7-82BB-40D6-99B5-1D3111DF8201}">
      <text>
        <r>
          <rPr>
            <sz val="9"/>
            <color indexed="81"/>
            <rFont val="Segoe UI"/>
            <family val="2"/>
          </rPr>
          <t>1-Servidor</t>
        </r>
      </text>
    </comment>
    <comment ref="D692" authorId="3" shapeId="0" xr:uid="{00000000-0006-0000-0100-0000D9030000}">
      <text>
        <r>
          <rPr>
            <sz val="9"/>
            <color indexed="81"/>
            <rFont val="Segoe UI"/>
            <family val="2"/>
          </rPr>
          <t>1. Órgão/ Entidade;
2. Local de estoque;
3. Tipo de entrada;
4. Finalidade;
5. Data do recebimento;
6. Data do atesto;
7. Fornecedor;
8. Número da nota fiscal + série;
9. Data da emissão;
10.Empenho;
11.Processo do Sigadoc:
12.item
13.Material
14.UM
15.Lote
16.Validade
17.Finalidade
18.QTD
19.Valor unitario
20.Valor total
21.Total QTD
22.Total Valor total
23.Natureza despesa
24.Conta
25.QTD 
26.Total 
27.Data
28.Usuario
29.CMD
30.MSG</t>
        </r>
      </text>
    </comment>
    <comment ref="E692" authorId="3" shapeId="0" xr:uid="{00000000-0006-0000-0100-0000DA030000}">
      <text>
        <r>
          <rPr>
            <sz val="9"/>
            <color indexed="81"/>
            <rFont val="Segoe UI"/>
            <family val="2"/>
          </rPr>
          <t xml:space="preserve">
1-Orgão
2-Material
3-RMF
</t>
        </r>
      </text>
    </comment>
    <comment ref="D693" authorId="3" shapeId="0" xr:uid="{00000000-0006-0000-0100-0000DB030000}">
      <text>
        <r>
          <rPr>
            <sz val="9"/>
            <color indexed="81"/>
            <rFont val="Segoe UI"/>
            <family val="2"/>
          </rPr>
          <t>1. Órgão/ Entidade;
2. Local de estoque;
3. Tipo de entrada;
4. Finalidade;
5. Data do recebimento;
6. Data do atesto;
7. Fornecedor;
8. Número da nota fiscal + série;
9. Data da emissão;
10.Empenho;
11.Processo do Sigadoc:
12.item
13.Material
14.UM
15.Lote
16.Validade
17.Finalidade
18.QTD
19.Valor unitario
20.Valor total
21.Total QTD
22.Total Valor total
23.Natureza despesa
24.Conta
25.QTD 
26.Total 
27.Data
28.Usuario
29.CMD
30.MSG</t>
        </r>
      </text>
    </comment>
    <comment ref="E693" authorId="3" shapeId="0" xr:uid="{00000000-0006-0000-0100-0000DC030000}">
      <text>
        <r>
          <rPr>
            <sz val="9"/>
            <color indexed="81"/>
            <rFont val="Segoe UI"/>
            <family val="2"/>
          </rPr>
          <t xml:space="preserve">
1-Orgão
2-Material
3-RMF
</t>
        </r>
      </text>
    </comment>
    <comment ref="D694" authorId="3" shapeId="0" xr:uid="{00000000-0006-0000-0100-0000DD030000}">
      <text>
        <r>
          <rPr>
            <sz val="9"/>
            <color indexed="81"/>
            <rFont val="Segoe UI"/>
            <family val="2"/>
          </rPr>
          <t>1. Órgão/ Entidade;
2. Local de estoque;
3. Tipo de entrada;
4. Finalidade;
5. Data do recebimento;
6. Data do atesto;
7. Fornecedor;
8. Número da nota fiscal + série;
9. Data da emissão;
10.Empenho;
11.Processo do Sigadoc:
12.item
13.Material
14.UM
15.Lote
16.Validade
17.Finalidade
18.QTD
19.Valor unitario
20.Valor total
21.Total QTD
22.Total Valor total
23.Natureza despesa
24.Conta
25.QTD 
26.Total 
27.Data
28.Usuario
29.CMD
30.MSG</t>
        </r>
      </text>
    </comment>
    <comment ref="E694" authorId="3" shapeId="0" xr:uid="{00000000-0006-0000-0100-0000DE030000}">
      <text>
        <r>
          <rPr>
            <sz val="9"/>
            <color indexed="81"/>
            <rFont val="Segoe UI"/>
            <family val="2"/>
          </rPr>
          <t xml:space="preserve">
1-Orgão
2-Material
3-RMF
</t>
        </r>
      </text>
    </comment>
    <comment ref="D697" authorId="3" shapeId="0" xr:uid="{00000000-0006-0000-0100-0000DF030000}">
      <text>
        <r>
          <rPr>
            <sz val="9"/>
            <color indexed="81"/>
            <rFont val="Segoe UI"/>
            <family val="2"/>
          </rPr>
          <t xml:space="preserve">
1. N° Requisição;
2. Data da Requisição;
3. Unidade Requisitante (UR);
4. Unidade Administrativa (UA);
5. Requisitante;
6. Atendente;
7. Quantidade 
8.Situação
9.Orgão
10.Data fim
11.CMD
12,MSG</t>
        </r>
      </text>
    </comment>
    <comment ref="E697" authorId="3" shapeId="0" xr:uid="{00000000-0006-0000-0100-0000E0030000}">
      <text>
        <r>
          <rPr>
            <sz val="9"/>
            <color indexed="81"/>
            <rFont val="Segoe UI"/>
            <family val="2"/>
          </rPr>
          <t xml:space="preserve">
1-Orgão
2-Servidor
3-Requisição
4-Unidade Requisição
5-Atendente
6-Unidade ADM
</t>
        </r>
      </text>
    </comment>
    <comment ref="D698" authorId="3" shapeId="0" xr:uid="{00000000-0006-0000-0100-0000E1030000}">
      <text>
        <r>
          <rPr>
            <sz val="9"/>
            <color indexed="81"/>
            <rFont val="Segoe UI"/>
            <family val="2"/>
          </rPr>
          <t xml:space="preserve">
1-Código
2-Descrição
3-CMD</t>
        </r>
      </text>
    </comment>
    <comment ref="E698" authorId="3" shapeId="0" xr:uid="{00000000-0006-0000-0100-0000E2030000}">
      <text>
        <r>
          <rPr>
            <sz val="9"/>
            <color indexed="81"/>
            <rFont val="Segoe UI"/>
            <family val="2"/>
          </rPr>
          <t xml:space="preserve">
1 - Servidor
2 - Atendimento</t>
        </r>
      </text>
    </comment>
    <comment ref="D699" authorId="3" shapeId="0" xr:uid="{00000000-0006-0000-0100-0000E3030000}">
      <text>
        <r>
          <rPr>
            <sz val="9"/>
            <color indexed="81"/>
            <rFont val="Segoe UI"/>
            <family val="2"/>
          </rPr>
          <t xml:space="preserve">
1-Código
2-Descrição
3-CMD</t>
        </r>
      </text>
    </comment>
    <comment ref="E699" authorId="3" shapeId="0" xr:uid="{00000000-0006-0000-0100-0000E4030000}">
      <text>
        <r>
          <rPr>
            <sz val="9"/>
            <color indexed="81"/>
            <rFont val="Segoe UI"/>
            <family val="2"/>
          </rPr>
          <t xml:space="preserve">
1-Unidade de Requisição</t>
        </r>
      </text>
    </comment>
    <comment ref="D700" authorId="3" shapeId="0" xr:uid="{00000000-0006-0000-0100-0000E5030000}">
      <text>
        <r>
          <rPr>
            <sz val="9"/>
            <color indexed="81"/>
            <rFont val="Segoe UI"/>
            <family val="2"/>
          </rPr>
          <t xml:space="preserve">
1-Código
2-Descrição
3-CMD</t>
        </r>
      </text>
    </comment>
    <comment ref="E700" authorId="3" shapeId="0" xr:uid="{00000000-0006-0000-0100-0000E6030000}">
      <text>
        <r>
          <rPr>
            <sz val="9"/>
            <color indexed="81"/>
            <rFont val="Segoe UI"/>
            <family val="2"/>
          </rPr>
          <t>1-Situação Requisição</t>
        </r>
      </text>
    </comment>
    <comment ref="D701" authorId="3" shapeId="0" xr:uid="{00000000-0006-0000-0100-0000E7030000}">
      <text>
        <r>
          <rPr>
            <sz val="9"/>
            <color indexed="81"/>
            <rFont val="Segoe UI"/>
            <family val="2"/>
          </rPr>
          <t xml:space="preserve">
1 . Orgão
2 . N° Requisição;
3 . Data da Requisição;
4 . Unidade Requisitante (UR);
5 . Evento
6 . Catalogo
7 . Material
8 . OBS
9 . Requisitante 
10. Data do cadastro 
11. QTD solicitada
12. item
13. UM
14.CMD
15.MSG</t>
        </r>
      </text>
    </comment>
    <comment ref="E701" authorId="3" shapeId="0" xr:uid="{00000000-0006-0000-0100-0000E8030000}">
      <text>
        <r>
          <rPr>
            <sz val="9"/>
            <color indexed="81"/>
            <rFont val="Segoe UI"/>
            <family val="2"/>
          </rPr>
          <t xml:space="preserve">
1-Orgão
2-Servidor
3-Requisição
4-Unidade Requisição
5-Catalogo
</t>
        </r>
      </text>
    </comment>
    <comment ref="D704" authorId="3" shapeId="0" xr:uid="{00000000-0006-0000-0100-0000E9030000}">
      <text>
        <r>
          <rPr>
            <sz val="9"/>
            <color indexed="81"/>
            <rFont val="Segoe UI"/>
            <family val="2"/>
          </rPr>
          <t xml:space="preserve">
1 . Orgão
2 . N° Requisição
3 . Data da Requisição
4 . Unidade Requisitante (UR)
5 . Evento
6 . Catalogo
7 . Material
8 . OBS
9 . Requisitante 
10. Data do cadastro 
11. QTD solicitada
12. ID
13. Quantidade Fornecida
14. Situação Item
15. Observações Atendimento
16. Atendente
17. Data Atendimento
18. Lote</t>
        </r>
      </text>
    </comment>
    <comment ref="E704" authorId="3" shapeId="0" xr:uid="{00000000-0006-0000-0100-0000EA030000}">
      <text>
        <r>
          <rPr>
            <sz val="9"/>
            <color indexed="81"/>
            <rFont val="Segoe UI"/>
            <family val="2"/>
          </rPr>
          <t xml:space="preserve">
1-Requisição
2-Situação Requisição
3-Situação Atendimento Item</t>
        </r>
      </text>
    </comment>
    <comment ref="D705" authorId="3" shapeId="0" xr:uid="{34DAE73B-78CE-42C8-8D01-63DB7D3D0BE5}">
      <text>
        <r>
          <rPr>
            <sz val="9"/>
            <color indexed="81"/>
            <rFont val="Segoe UI"/>
            <family val="2"/>
          </rPr>
          <t xml:space="preserve">
1 . Exercicio
2 . Orgão 
3 . Unidade Orçamentaria (UO); 
4 . N° Requisição;
5 . Data da Requisição;
6 . Unidade Requisitante (UR);
7 .Almoxarifado  
8 . Material
9 . OBS 
10. Requisitante  
11. QTD solicitada
12. Data do cadastro 
13.CMD
14. MSG</t>
        </r>
      </text>
    </comment>
    <comment ref="E705" authorId="3" shapeId="0" xr:uid="{67237B8A-4EA4-4805-830C-061C9BEEFDC1}">
      <text>
        <r>
          <rPr>
            <sz val="9"/>
            <color indexed="81"/>
            <rFont val="Segoe UI"/>
            <family val="2"/>
          </rPr>
          <t xml:space="preserve">
1-Orgão
2-Servidor
3-Requisição
4-Unidade Requisição
5-Catalogo
</t>
        </r>
      </text>
    </comment>
    <comment ref="D706" authorId="3" shapeId="0" xr:uid="{00000000-0006-0000-0100-0000ED030000}">
      <text>
        <r>
          <rPr>
            <sz val="9"/>
            <color indexed="81"/>
            <rFont val="Segoe UI"/>
            <family val="2"/>
          </rPr>
          <t xml:space="preserve">
1 -Código
2 -Material
3 -CMD
</t>
        </r>
      </text>
    </comment>
    <comment ref="E706" authorId="3" shapeId="0" xr:uid="{00000000-0006-0000-0100-0000EE030000}">
      <text>
        <r>
          <rPr>
            <sz val="9"/>
            <color indexed="81"/>
            <rFont val="Segoe UI"/>
            <family val="2"/>
          </rPr>
          <t xml:space="preserve">
1-Material</t>
        </r>
      </text>
    </comment>
    <comment ref="D707" authorId="3" shapeId="0" xr:uid="{00000000-0006-0000-0100-0000EF030000}">
      <text>
        <r>
          <rPr>
            <sz val="9"/>
            <color indexed="81"/>
            <rFont val="Segoe UI"/>
            <family val="2"/>
          </rPr>
          <t xml:space="preserve">
1 -Item
2 -Material
3 -UM
4 -Saldo
5 -CMD
</t>
        </r>
      </text>
    </comment>
    <comment ref="E707" authorId="3" shapeId="0" xr:uid="{00000000-0006-0000-0100-0000F0030000}">
      <text>
        <r>
          <rPr>
            <sz val="9"/>
            <color indexed="81"/>
            <rFont val="Segoe UI"/>
            <family val="2"/>
          </rPr>
          <t xml:space="preserve">
1-Material</t>
        </r>
      </text>
    </comment>
    <comment ref="D710" authorId="3" shapeId="0" xr:uid="{3FC336EF-C2C7-4E42-9AE7-74A5D95C2591}">
      <text>
        <r>
          <rPr>
            <sz val="9"/>
            <color indexed="81"/>
            <rFont val="Segoe UI"/>
            <family val="2"/>
          </rPr>
          <t xml:space="preserve">
1 . Exercicio
2 . Orgão 
3 . Unidade Orçamentaria (UO); 
4 . N° Requisição;
5 . Data da Requisição;
6 . Unidade Requisitante (UR);
7 .Almoxarifado  
8 . Material
9 . OBS 
10. Requisitante  
11. QTD solicitada
12. Data do cadastro 
13.CMD
14. MSG</t>
        </r>
      </text>
    </comment>
    <comment ref="E710" authorId="3" shapeId="0" xr:uid="{3B3913E7-0F9E-449D-8392-A9480FBBE388}">
      <text>
        <r>
          <rPr>
            <sz val="9"/>
            <color indexed="81"/>
            <rFont val="Segoe UI"/>
            <family val="2"/>
          </rPr>
          <t xml:space="preserve">
1-Orgão
2-Servidor
3-Requisição
4-Unidade Requisição
5-Catalogo
</t>
        </r>
      </text>
    </comment>
    <comment ref="D711" authorId="3" shapeId="0" xr:uid="{28A96B74-C0E5-4E0A-98DB-9C69A3BD7B70}">
      <text>
        <r>
          <rPr>
            <sz val="9"/>
            <color indexed="81"/>
            <rFont val="Segoe UI"/>
            <family val="2"/>
          </rPr>
          <t xml:space="preserve">
1 . Exercicio
2 . Orgão 
3 . Unidade Orçamentaria (UO); 
4 . N° Requisição;
5 . Data da Requisição;
6 . Unidade Requisitante (UR);
7 .Almoxarifado  
8 . Material
9 . OBS 
10. Requisitante  
11. QTD solicitada
12. Data do cadastro 
13.CMD
14. MSG</t>
        </r>
      </text>
    </comment>
    <comment ref="E711" authorId="3" shapeId="0" xr:uid="{F3208663-82E3-4F32-B2C1-755EC5DFFB65}">
      <text>
        <r>
          <rPr>
            <sz val="9"/>
            <color indexed="81"/>
            <rFont val="Segoe UI"/>
            <family val="2"/>
          </rPr>
          <t xml:space="preserve">
1-Orgão
2-Servidor
3-Requisição
4-Unidade Requisição
5-Catalogo
</t>
        </r>
      </text>
    </comment>
    <comment ref="D714" authorId="3" shapeId="0" xr:uid="{00000000-0006-0000-0100-0000F5030000}">
      <text>
        <r>
          <rPr>
            <sz val="9"/>
            <color indexed="81"/>
            <rFont val="Segoe UI"/>
            <family val="2"/>
          </rPr>
          <t xml:space="preserve">
1-Codigo 
2-CMD
3-MSG</t>
        </r>
      </text>
    </comment>
    <comment ref="E714" authorId="3" shapeId="0" xr:uid="{00000000-0006-0000-0100-0000F6030000}">
      <text>
        <r>
          <rPr>
            <sz val="9"/>
            <color indexed="81"/>
            <rFont val="Segoe UI"/>
            <family val="2"/>
          </rPr>
          <t xml:space="preserve">
1-Requisição</t>
        </r>
      </text>
    </comment>
    <comment ref="D717" authorId="3" shapeId="0" xr:uid="{00000000-0006-0000-0100-0000F7030000}">
      <text>
        <r>
          <rPr>
            <sz val="9"/>
            <color indexed="81"/>
            <rFont val="Segoe UI"/>
            <family val="2"/>
          </rPr>
          <t xml:space="preserve">
1. Nº Requisição
2. Data da Requisição
3. Unidade Requisitante (UR)
4. Unidade Administrativa (UA)
5. Quantidade 
6. Situação
7. Orgão
8. Almoxarifado
9. total
10.CMD
11.MSG
</t>
        </r>
      </text>
    </comment>
    <comment ref="E717" authorId="3" shapeId="0" xr:uid="{00000000-0006-0000-0100-0000F8030000}">
      <text>
        <r>
          <rPr>
            <sz val="9"/>
            <color indexed="81"/>
            <rFont val="Segoe UI"/>
            <family val="2"/>
          </rPr>
          <t xml:space="preserve">
1-Orgão
2-Requisição
3-Unidade Requisição
4-Almoxarifado
5-Unidade ADM
</t>
        </r>
      </text>
    </comment>
    <comment ref="D718" authorId="3" shapeId="0" xr:uid="{00000000-0006-0000-0100-0000F9030000}">
      <text>
        <r>
          <rPr>
            <sz val="9"/>
            <color indexed="81"/>
            <rFont val="Segoe UI"/>
            <family val="2"/>
          </rPr>
          <t xml:space="preserve">
1. Nº Requisição
2. Data da Requisição
3. Unidade Requisitante (UR)
4. Unidade Administrativa (UA)
5. Quantidade 
6. Situação
7. Orgão
8. Almoxarifado
9. total
10.CMD
11.MSG
</t>
        </r>
      </text>
    </comment>
    <comment ref="E718" authorId="3" shapeId="0" xr:uid="{00000000-0006-0000-0100-0000FA030000}">
      <text>
        <r>
          <rPr>
            <sz val="9"/>
            <color indexed="81"/>
            <rFont val="Segoe UI"/>
            <family val="2"/>
          </rPr>
          <t xml:space="preserve">
1-Orgão
2-Requisição
3-Unidade Requisição
4-Almoxarifado
5-Unidade ADM
</t>
        </r>
      </text>
    </comment>
    <comment ref="D719" authorId="3" shapeId="0" xr:uid="{00000000-0006-0000-0100-0000FB030000}">
      <text>
        <r>
          <rPr>
            <sz val="9"/>
            <color indexed="81"/>
            <rFont val="Segoe UI"/>
            <family val="2"/>
          </rPr>
          <t xml:space="preserve">
1 . Situação
2 . Fornecido
3 . Atendimento
4 . OBS
5 . Atendente
6 . Data do atendimento
7 . CMD
8 . MSG</t>
        </r>
      </text>
    </comment>
    <comment ref="E719" authorId="3" shapeId="0" xr:uid="{00000000-0006-0000-0100-0000FC030000}">
      <text>
        <r>
          <rPr>
            <sz val="9"/>
            <color indexed="81"/>
            <rFont val="Segoe UI"/>
            <family val="2"/>
          </rPr>
          <t xml:space="preserve">
1-Requisição
2-Unidade Requisição
3-Almoxarifado
4-Unidade ADM
5-Variação Material</t>
        </r>
      </text>
    </comment>
    <comment ref="D720" authorId="3" shapeId="0" xr:uid="{00000000-0006-0000-0100-0000FD030000}">
      <text>
        <r>
          <rPr>
            <sz val="9"/>
            <color indexed="81"/>
            <rFont val="Segoe UI"/>
            <family val="2"/>
          </rPr>
          <t>1. Código
2. Descrição
3. CMD</t>
        </r>
      </text>
    </comment>
    <comment ref="E720" authorId="3" shapeId="0" xr:uid="{00000000-0006-0000-0100-0000FE030000}">
      <text>
        <r>
          <rPr>
            <sz val="9"/>
            <color indexed="81"/>
            <rFont val="Segoe UI"/>
            <family val="2"/>
          </rPr>
          <t xml:space="preserve">
1-Situação Atendimento Item
</t>
        </r>
      </text>
    </comment>
    <comment ref="D721" authorId="3" shapeId="0" xr:uid="{00000000-0006-0000-0100-0000FF030000}">
      <text>
        <r>
          <rPr>
            <sz val="9"/>
            <color indexed="81"/>
            <rFont val="Segoe UI"/>
            <family val="2"/>
          </rPr>
          <t>1. Nº Requisição
2. Situação 
3. Unidade Requisitante (UR)
4. Requisitante 
5. Data inclusão
6. Item 
7. Material
8. UM
9. EA
10. Requerido
11. Atendente
12. Data do atendimento</t>
        </r>
      </text>
    </comment>
    <comment ref="E721" authorId="3" shapeId="0" xr:uid="{00000000-0006-0000-0100-000000040000}">
      <text>
        <r>
          <rPr>
            <sz val="9"/>
            <color indexed="81"/>
            <rFont val="Segoe UI"/>
            <family val="2"/>
          </rPr>
          <t xml:space="preserve">
1-Requisição
2-Unidade Requisição
3-Almoxarifado
4-Unidade ADM
5-Variação Material</t>
        </r>
      </text>
    </comment>
    <comment ref="D722" authorId="3" shapeId="0" xr:uid="{00000000-0006-0000-0100-000001040000}">
      <text>
        <r>
          <rPr>
            <sz val="9"/>
            <color indexed="81"/>
            <rFont val="Segoe UI"/>
            <family val="2"/>
          </rPr>
          <t>1. Nº Requisição;
2. Situação ;
3. Unidade Requisitante (UR);
4. Requisitante 
5. Data inclusão
6. Item 
7. Material
8. UM
9. EA
10.Requerido
11.Atendente
12.Data do atendimento
13.CMD
14.MSG</t>
        </r>
      </text>
    </comment>
    <comment ref="E722" authorId="3" shapeId="0" xr:uid="{00000000-0006-0000-0100-000002040000}">
      <text>
        <r>
          <rPr>
            <sz val="9"/>
            <color indexed="81"/>
            <rFont val="Segoe UI"/>
            <family val="2"/>
          </rPr>
          <t xml:space="preserve">
1-Requisição
2-Unidade Requisição
3-Almoxarifado
4-Unidade ADM
5-Variação Material</t>
        </r>
      </text>
    </comment>
    <comment ref="D723" authorId="3" shapeId="0" xr:uid="{BFE9C272-F357-4A92-A8E2-B36A43215572}">
      <text>
        <r>
          <rPr>
            <sz val="9"/>
            <color indexed="81"/>
            <rFont val="Segoe UI"/>
            <family val="2"/>
          </rPr>
          <t xml:space="preserve">
1-Codigo 
2-CMD
3-MSG</t>
        </r>
      </text>
    </comment>
    <comment ref="E723" authorId="3" shapeId="0" xr:uid="{8D7B5BC5-927E-4078-B5F7-6C301DBD134E}">
      <text>
        <r>
          <rPr>
            <sz val="9"/>
            <color indexed="81"/>
            <rFont val="Segoe UI"/>
            <family val="2"/>
          </rPr>
          <t xml:space="preserve">
1-Requisição</t>
        </r>
      </text>
    </comment>
    <comment ref="D726" authorId="3" shapeId="0" xr:uid="{00000000-0006-0000-0100-000003040000}">
      <text>
        <r>
          <rPr>
            <sz val="9"/>
            <color indexed="81"/>
            <rFont val="Segoe UI"/>
            <family val="2"/>
          </rPr>
          <t xml:space="preserve">
1-Codigo material
2-Material 
3-Lote
4-Validade
5-QTd em estoque
6-Total fornecido
7-CMD
8-MSG</t>
        </r>
      </text>
    </comment>
    <comment ref="E726" authorId="3" shapeId="0" xr:uid="{00000000-0006-0000-0100-000004040000}">
      <text>
        <r>
          <rPr>
            <sz val="9"/>
            <color indexed="81"/>
            <rFont val="Segoe UI"/>
            <family val="2"/>
          </rPr>
          <t xml:space="preserve">
1-Material
2-Variação de Material
3-Lote</t>
        </r>
      </text>
    </comment>
    <comment ref="D727" authorId="3" shapeId="0" xr:uid="{00000000-0006-0000-0100-000005040000}">
      <text>
        <r>
          <rPr>
            <sz val="9"/>
            <color indexed="81"/>
            <rFont val="Segoe UI"/>
            <family val="2"/>
          </rPr>
          <t xml:space="preserve">
1-QTD fornecida
2-CMD
3-MSG
</t>
        </r>
      </text>
    </comment>
    <comment ref="E727" authorId="3" shapeId="0" xr:uid="{00000000-0006-0000-0100-000006040000}">
      <text>
        <r>
          <rPr>
            <sz val="9"/>
            <color indexed="81"/>
            <rFont val="Segoe UI"/>
            <family val="2"/>
          </rPr>
          <t xml:space="preserve">
1-Material
2-Variação de Material
3-Lote</t>
        </r>
      </text>
    </comment>
    <comment ref="D730" authorId="3" shapeId="0" xr:uid="{ACB4DD99-4703-494F-806F-1AFA24EF6F10}">
      <text>
        <r>
          <rPr>
            <sz val="9"/>
            <color indexed="81"/>
            <rFont val="Segoe UI"/>
            <family val="2"/>
          </rPr>
          <t xml:space="preserve">
1 -Orgão
2 -Exercicio 
3 -UO 
4 -Almoxarifado 
5 -Total 
6 -Item 
7 -Requisição 
8 -Data 
9 -Unidade requisitante
10- Unidade ADM 
11-Situação  
12-CMD
13-MSG</t>
        </r>
      </text>
    </comment>
    <comment ref="E730" authorId="3" shapeId="0" xr:uid="{44A2754D-D2E8-484C-BE44-612EDC50F8CF}">
      <text>
        <r>
          <rPr>
            <sz val="9"/>
            <color indexed="81"/>
            <rFont val="Segoe UI"/>
            <family val="2"/>
          </rPr>
          <t xml:space="preserve">
1-Unidade ADM
2-Requisição
3-Unidade Requisição
4-Orgão
5-Almoxarifado
</t>
        </r>
      </text>
    </comment>
    <comment ref="D731" authorId="3" shapeId="0" xr:uid="{00000000-0006-0000-0100-000009040000}">
      <text>
        <r>
          <rPr>
            <sz val="9"/>
            <color indexed="81"/>
            <rFont val="Segoe UI"/>
            <family val="2"/>
          </rPr>
          <t>1- Requisição
2- Situação
3 -CMD
4 -MSG</t>
        </r>
      </text>
    </comment>
    <comment ref="E731" authorId="3" shapeId="0" xr:uid="{00000000-0006-0000-0100-00000A040000}">
      <text>
        <r>
          <rPr>
            <sz val="9"/>
            <color indexed="81"/>
            <rFont val="Segoe UI"/>
            <family val="2"/>
          </rPr>
          <t xml:space="preserve">
1-Requisição</t>
        </r>
      </text>
    </comment>
    <comment ref="D734" authorId="3" shapeId="0" xr:uid="{00000000-0006-0000-0100-00000B040000}">
      <text>
        <r>
          <rPr>
            <sz val="9"/>
            <color indexed="81"/>
            <rFont val="Segoe UI"/>
            <family val="2"/>
          </rPr>
          <t xml:space="preserve">
1 - Órgão Gestora
2 - Unidade Gestora
3 - Tipo do Fechamento
4 - Situação Fechamento
5 - Ano
6 - Mês
7 - Consumo
8 - Permanente
</t>
        </r>
      </text>
    </comment>
    <comment ref="E734" authorId="3" shapeId="0" xr:uid="{00000000-0006-0000-0100-00000C040000}">
      <text>
        <r>
          <rPr>
            <sz val="9"/>
            <color indexed="81"/>
            <rFont val="Segoe UI"/>
            <family val="2"/>
          </rPr>
          <t xml:space="preserve">
1-Fechamento do Mês 
2-Tipo de Fechamento
3-Situação Fechamento</t>
        </r>
      </text>
    </comment>
    <comment ref="D735" authorId="3" shapeId="0" xr:uid="{00000000-0006-0000-0100-00000D040000}">
      <text>
        <r>
          <rPr>
            <sz val="9"/>
            <color indexed="81"/>
            <rFont val="Segoe UI"/>
            <family val="2"/>
          </rPr>
          <t xml:space="preserve">
1 -Órgão/ Unidade Gestora
2 -Tipo do Fechamento
3 -Situação
4 -Data Inicial
5 -Data Final
6 -Consumo/Permanente
7 -Ano/Mês
8 -Pendencia
9 -CMD
10-MSG</t>
        </r>
      </text>
    </comment>
    <comment ref="E735" authorId="3" shapeId="0" xr:uid="{00000000-0006-0000-0100-00000E040000}">
      <text>
        <r>
          <rPr>
            <sz val="9"/>
            <color indexed="81"/>
            <rFont val="Segoe UI"/>
            <family val="2"/>
          </rPr>
          <t xml:space="preserve">
1-Fechamento do Mês
2-Órgão
3-Unidade
4-Transferência Externa (US15)
</t>
        </r>
      </text>
    </comment>
    <comment ref="D736" authorId="3" shapeId="0" xr:uid="{00000000-0006-0000-0100-00000F040000}">
      <text>
        <r>
          <rPr>
            <sz val="9"/>
            <color indexed="81"/>
            <rFont val="Segoe UI"/>
            <family val="2"/>
          </rPr>
          <t xml:space="preserve">
1 - Código
2 - Desrição
3 -CMD</t>
        </r>
      </text>
    </comment>
    <comment ref="E736" authorId="3" shapeId="0" xr:uid="{00000000-0006-0000-0100-000010040000}">
      <text>
        <r>
          <rPr>
            <sz val="9"/>
            <color indexed="81"/>
            <rFont val="Segoe UI"/>
            <family val="2"/>
          </rPr>
          <t xml:space="preserve">
1-Tipo de Fechamento
</t>
        </r>
      </text>
    </comment>
    <comment ref="D737" authorId="3" shapeId="0" xr:uid="{00000000-0006-0000-0100-000011040000}">
      <text>
        <r>
          <rPr>
            <sz val="9"/>
            <color indexed="81"/>
            <rFont val="Segoe UI"/>
            <family val="2"/>
          </rPr>
          <t xml:space="preserve">
1 - Código
2 - Desrição
3 -CMD</t>
        </r>
      </text>
    </comment>
    <comment ref="E737" authorId="3" shapeId="0" xr:uid="{00000000-0006-0000-0100-000012040000}">
      <text>
        <r>
          <rPr>
            <sz val="9"/>
            <color indexed="81"/>
            <rFont val="Segoe UI"/>
            <family val="2"/>
          </rPr>
          <t xml:space="preserve">
1-Situação Fechamento
</t>
        </r>
      </text>
    </comment>
    <comment ref="D738" authorId="3" shapeId="0" xr:uid="{00000000-0006-0000-0100-000013040000}">
      <text>
        <r>
          <rPr>
            <sz val="9"/>
            <color indexed="81"/>
            <rFont val="Segoe UI"/>
            <family val="2"/>
          </rPr>
          <t xml:space="preserve">
1-Órgão/ Unidade Gestora
2-Ano/Mês 
3-Fechar Mês
4-CMD
5-MSG</t>
        </r>
      </text>
    </comment>
    <comment ref="E738" authorId="3" shapeId="0" xr:uid="{00000000-0006-0000-0100-000014040000}">
      <text>
        <r>
          <rPr>
            <sz val="9"/>
            <color indexed="81"/>
            <rFont val="Segoe UI"/>
            <family val="2"/>
          </rPr>
          <t xml:space="preserve">
1-Fechamento do Mês
2-Órgão
3-Unidade
4-Nota Fiscal Importada (US46)
5-Compras sem RMF (US48)
6-Requisição de Material (US55)
7-Transferência Externa (US15)
8-Baixa Patrimonial (US25)
9-Usuario
10-Parametro</t>
        </r>
      </text>
    </comment>
    <comment ref="D739" authorId="3" shapeId="0" xr:uid="{00000000-0006-0000-0100-000015040000}">
      <text>
        <r>
          <rPr>
            <sz val="9"/>
            <color indexed="81"/>
            <rFont val="Segoe UI"/>
            <family val="2"/>
          </rPr>
          <t xml:space="preserve">
1-Órgão/ Unidade Gestora
2-Ano/Mês 
3-Fechar Mês
4-CMD
5-MSG</t>
        </r>
      </text>
    </comment>
    <comment ref="E739" authorId="3" shapeId="0" xr:uid="{00000000-0006-0000-0100-000016040000}">
      <text>
        <r>
          <rPr>
            <sz val="9"/>
            <color indexed="81"/>
            <rFont val="Segoe UI"/>
            <family val="2"/>
          </rPr>
          <t xml:space="preserve">
1-Fechamento do Mês
2-Órgão
3-Unidade
4-Nota Fiscal Importada (US46)
5-Compras sem RMF (US48)
6-Requisição de Material (US55)
7-Transferência Externa (US15)
8-Baixa Patrimonial (US25)
9-Usuario
10-Parametro</t>
        </r>
      </text>
    </comment>
    <comment ref="D740" authorId="3" shapeId="0" xr:uid="{00000000-0006-0000-0100-000017040000}">
      <text>
        <r>
          <rPr>
            <sz val="9"/>
            <color indexed="81"/>
            <rFont val="Segoe UI"/>
            <family val="2"/>
          </rPr>
          <t xml:space="preserve">
1-Órgão/ Unidade Gestora
2-Ano/Mês 
3-Suspender
4-CMD
5-MSG
</t>
        </r>
      </text>
    </comment>
    <comment ref="E740" authorId="3" shapeId="0" xr:uid="{00000000-0006-0000-0100-000018040000}">
      <text>
        <r>
          <rPr>
            <sz val="9"/>
            <color indexed="81"/>
            <rFont val="Segoe UI"/>
            <family val="2"/>
          </rPr>
          <t xml:space="preserve">
1-Fechamento do Mês 2-Orgão
3-Usuario</t>
        </r>
      </text>
    </comment>
    <comment ref="D743" authorId="3" shapeId="0" xr:uid="{D6634D68-E607-470B-BA15-60D14C8D7214}">
      <text>
        <r>
          <rPr>
            <sz val="9"/>
            <color indexed="81"/>
            <rFont val="Segoe UI"/>
            <family val="2"/>
          </rPr>
          <t>1 -cnpj do órgão
2 -órgão/entidade
3 -tipo de entrada
4 -data de entrada
5 -fonte de recurso
6 -Data inclusão
7 -finalidade
8 -local de estoque
9 -unidade requisitante
10-Tipo de bem 
11-Valor total da entrada 
12-destino da entrada
13-Modalidade
14-data de atesto
15-Nota explicativa
16-responsável cadastro
17-Data de cadatro
18-Status
19-Documento
20-Tipo de documento
21-data do documento
22-anexo
23-Cod aterial 
24-Material 
25-Unidade medida 
26-valor unitário 
27-valor total 
28-estado conservação
29-elemento de despesa 
30-sub elemento 
31-data aquisição
32-valor aquisição
33-depreciação acumulada
34-valor descontado
35-item controlado
36-é emplacavel 
37-marca
38-modelo 
39-voltagem
40-chassi 
41-Data de cadastro
42-Responsável
43-Estado de conservação
44-Mes aberto 
45-Valor de mercado 
46-Valor reavaliado
47-Avaliador
48-Data avaliação
49-Material
50-UL Destino
51-RP
52-Status do bem
53-Data de retorno
54- Nota Explicativa
55-Vida útil 
56-Valor residual
57-ULV Destino
58-IDEN_AVALI_ENTRADA_INTANG      
59-IDEN_ITEM_ENTRADA             
60-IDEN_VALOR_INSTIT_AVALI       
61-IDEN_NIVEL_DETALHA_AVALI      
62-NUMR_VALOR_ATIVO_INTANGIVEL 
63-Dados Importação</t>
        </r>
      </text>
    </comment>
    <comment ref="E743" authorId="3" shapeId="0" xr:uid="{3C95FFDD-8006-4487-93ED-C57C3275CE11}">
      <text>
        <r>
          <rPr>
            <sz val="9"/>
            <color indexed="81"/>
            <rFont val="Segoe UI"/>
            <family val="2"/>
          </rPr>
          <t xml:space="preserve">
1-Entrada por Incorporação
2-Documento
3-Itens da Entrada
4-Tipo de Entrada
5-Tipo de Documento
6-Modalidade
7-Tipo de Bem
8-Destinação da Entrada
9-Valor Institucional
10-Nivel detalhamento
11-Tabela Depreciação</t>
        </r>
      </text>
    </comment>
    <comment ref="D744" authorId="3" shapeId="0" xr:uid="{00000000-0006-0000-0100-00001B040000}">
      <text>
        <r>
          <rPr>
            <sz val="9"/>
            <color indexed="81"/>
            <rFont val="Segoe UI"/>
            <family val="2"/>
          </rPr>
          <t>1 - Tipo Produto 
2 - Orgão
3 - Fornecedor
4 - tipo entrada
5 - Situação
6 - data entrada ini
7 - data entrada fim 
8 - Modalidade
9 - Código
10 - Resp Cadastro
11 - Valor total da compra 
12 - Fornecedor
13 - Mês da Entrada
14 - Tipo de Entrada
15 - Código da Entrada
16 - UL/ULV Destino
17 - Local de Estoque
18-CMD
19-MSG</t>
        </r>
      </text>
    </comment>
    <comment ref="E744" authorId="3" shapeId="0" xr:uid="{00000000-0006-0000-0100-00001C040000}">
      <text>
        <r>
          <rPr>
            <sz val="9"/>
            <color indexed="81"/>
            <rFont val="Segoe UI"/>
            <family val="2"/>
          </rPr>
          <t xml:space="preserve">
1-Orgão
2-Fornecedor API
3-Entrada por incorporação
4-Usuario
5-Unidade de Localiação</t>
        </r>
      </text>
    </comment>
    <comment ref="D745" authorId="3" shapeId="0" xr:uid="{458F9B15-05B4-4B55-8CB3-C6AD8BC6DDA4}">
      <text>
        <r>
          <rPr>
            <sz val="9"/>
            <color indexed="81"/>
            <rFont val="Segoe UI"/>
            <family val="2"/>
          </rPr>
          <t xml:space="preserve">
1 - Código
2 - Desrição
3 - Sigla
4 -CMD</t>
        </r>
      </text>
    </comment>
    <comment ref="E745" authorId="3" shapeId="0" xr:uid="{0B8375E9-887C-4308-A34E-F2A5DC804540}">
      <text>
        <r>
          <rPr>
            <sz val="9"/>
            <color indexed="81"/>
            <rFont val="Segoe UI"/>
            <family val="2"/>
          </rPr>
          <t xml:space="preserve">
1-Tipo de Entrada
</t>
        </r>
      </text>
    </comment>
    <comment ref="D746" authorId="3" shapeId="0" xr:uid="{88F131F8-1108-4815-84C2-14F01CA3A805}">
      <text>
        <r>
          <rPr>
            <sz val="9"/>
            <color indexed="81"/>
            <rFont val="Segoe UI"/>
            <family val="2"/>
          </rPr>
          <t xml:space="preserve">
1 - Código
2 - Desrição
3 - Sigla
4 -CMD</t>
        </r>
      </text>
    </comment>
    <comment ref="E746" authorId="3" shapeId="0" xr:uid="{141DD876-D32B-4E55-A328-429B4095F168}">
      <text>
        <r>
          <rPr>
            <sz val="9"/>
            <color indexed="81"/>
            <rFont val="Segoe UI"/>
            <family val="2"/>
          </rPr>
          <t xml:space="preserve">
1 - Fiplan - UO
2 - FIPTB_DOTAÇÃO_ORCAMENTARIA
3 - FIPTB_UNIDADE_ORCAMENTARIA
4 - FIPTB_ORGAO
5 - GERTB_ORGAO</t>
        </r>
      </text>
    </comment>
    <comment ref="D747" authorId="3" shapeId="0" xr:uid="{00264D16-F321-4D41-96A9-976020A82F5F}">
      <text>
        <r>
          <rPr>
            <sz val="9"/>
            <color indexed="81"/>
            <rFont val="Segoe UI"/>
            <family val="2"/>
          </rPr>
          <t xml:space="preserve">
1-Código SEAP
2-Descrição
3-Status Ativo
4-CMD
</t>
        </r>
      </text>
    </comment>
    <comment ref="E747" authorId="3" shapeId="0" xr:uid="{73907494-918F-49E1-831B-51DEAD1013FB}">
      <text>
        <r>
          <rPr>
            <sz val="9"/>
            <color indexed="81"/>
            <rFont val="Segoe UI"/>
            <family val="2"/>
          </rPr>
          <t xml:space="preserve">
1-Unidade Localização</t>
        </r>
      </text>
    </comment>
    <comment ref="D748" authorId="3" shapeId="0" xr:uid="{CAA6348A-E3B5-4E72-A8AD-7F7786A84575}">
      <text>
        <r>
          <rPr>
            <sz val="9"/>
            <color indexed="81"/>
            <rFont val="Segoe UI"/>
            <family val="2"/>
          </rPr>
          <t xml:space="preserve">
1-Código SEAP
2-Descrição
3-Status Ativo
4-CMD
</t>
        </r>
      </text>
    </comment>
    <comment ref="E748" authorId="3" shapeId="0" xr:uid="{DB950367-E3A2-4EBA-BCC7-B033CBCD431F}">
      <text>
        <r>
          <rPr>
            <sz val="9"/>
            <color indexed="81"/>
            <rFont val="Segoe UI"/>
            <family val="2"/>
          </rPr>
          <t xml:space="preserve">
1-Unidade Localização Vinculada</t>
        </r>
      </text>
    </comment>
    <comment ref="D749" authorId="3" shapeId="0" xr:uid="{00000000-0006-0000-0100-00001D040000}">
      <text>
        <r>
          <rPr>
            <sz val="9"/>
            <color indexed="81"/>
            <rFont val="Segoe UI"/>
            <family val="2"/>
          </rPr>
          <t xml:space="preserve">
1 - Código
2 - Desrição
3 -CMD</t>
        </r>
      </text>
    </comment>
    <comment ref="E749" authorId="3" shapeId="0" xr:uid="{00000000-0006-0000-0100-00001E040000}">
      <text>
        <r>
          <rPr>
            <sz val="9"/>
            <color indexed="81"/>
            <rFont val="Segoe UI"/>
            <family val="2"/>
          </rPr>
          <t xml:space="preserve">
1-Tipo de Entrada
</t>
        </r>
      </text>
    </comment>
    <comment ref="D750" authorId="3" shapeId="0" xr:uid="{00000000-0006-0000-0100-00001F040000}">
      <text>
        <r>
          <rPr>
            <sz val="9"/>
            <color indexed="81"/>
            <rFont val="Segoe UI"/>
            <family val="2"/>
          </rPr>
          <t xml:space="preserve">
1 - Código
2 - Desrição
3 -CMD</t>
        </r>
      </text>
    </comment>
    <comment ref="E750" authorId="3" shapeId="0" xr:uid="{00000000-0006-0000-0100-000020040000}">
      <text>
        <r>
          <rPr>
            <sz val="9"/>
            <color indexed="81"/>
            <rFont val="Segoe UI"/>
            <family val="2"/>
          </rPr>
          <t xml:space="preserve">
1-Modalidade
</t>
        </r>
      </text>
    </comment>
    <comment ref="D751" authorId="3" shapeId="0" xr:uid="{00000000-0006-0000-0100-000021040000}">
      <text>
        <r>
          <rPr>
            <sz val="9"/>
            <color indexed="81"/>
            <rFont val="Segoe UI"/>
            <family val="2"/>
          </rPr>
          <t xml:space="preserve">
1 -cnpj do órgão
2 -órgão/entidade
3 -tipo de entrada
4 -data de entrada
5 -fonte de recurso
6 -Data inclusão
7 -finalidade
8 -local de estoque
9 -unidade requisitante
10-Tipo de bem 
11-Valor total da entrada 
12-destino da entrada
13-Modalidade
14-data de atesto
15-Nota explicativa
16-responsável cadastro
17-Data de cadatro
18-Status
19-N° da Nota
20-Material 
21-CMD
22-MSG
23-ULV Destino</t>
        </r>
      </text>
    </comment>
    <comment ref="E751" authorId="3" shapeId="0" xr:uid="{00000000-0006-0000-0100-000022040000}">
      <text>
        <r>
          <rPr>
            <sz val="9"/>
            <color indexed="81"/>
            <rFont val="Segoe UI"/>
            <family val="2"/>
          </rPr>
          <t xml:space="preserve">
1-Orgão
2-Fornecedor API
3-Entrada por incorporação
4-Usuario
5-Unidade de Localiação
6-Fechamento do Mês 
7-Transferencia
8-Transferencia externa</t>
        </r>
      </text>
    </comment>
    <comment ref="D752" authorId="3" shapeId="0" xr:uid="{00000000-0006-0000-0100-000023040000}">
      <text>
        <r>
          <rPr>
            <sz val="9"/>
            <color indexed="81"/>
            <rFont val="Segoe UI"/>
            <family val="2"/>
          </rPr>
          <t xml:space="preserve">
1 - Código
2 - Desrição
3 -CMD</t>
        </r>
      </text>
    </comment>
    <comment ref="E752" authorId="3" shapeId="0" xr:uid="{00000000-0006-0000-0100-000024040000}">
      <text>
        <r>
          <rPr>
            <sz val="9"/>
            <color indexed="81"/>
            <rFont val="Segoe UI"/>
            <family val="2"/>
          </rPr>
          <t xml:space="preserve">
1-Tipo de Bem
</t>
        </r>
      </text>
    </comment>
    <comment ref="D753" authorId="3" shapeId="0" xr:uid="{00000000-0006-0000-0100-000025040000}">
      <text>
        <r>
          <rPr>
            <sz val="9"/>
            <color indexed="81"/>
            <rFont val="Segoe UI"/>
            <family val="2"/>
          </rPr>
          <t xml:space="preserve">
1 - Código
2 - Desrição
3 -CMD</t>
        </r>
      </text>
    </comment>
    <comment ref="E753" authorId="3" shapeId="0" xr:uid="{00000000-0006-0000-0100-000026040000}">
      <text>
        <r>
          <rPr>
            <sz val="9"/>
            <color indexed="81"/>
            <rFont val="Segoe UI"/>
            <family val="2"/>
          </rPr>
          <t xml:space="preserve">
1-Destinação da Entrada
</t>
        </r>
      </text>
    </comment>
    <comment ref="D754" authorId="3" shapeId="0" xr:uid="{00000000-0006-0000-0100-000027040000}">
      <text>
        <r>
          <rPr>
            <sz val="9"/>
            <color indexed="81"/>
            <rFont val="Segoe UI"/>
            <family val="2"/>
          </rPr>
          <t xml:space="preserve">
1 -cnpj do órgão
2 -órgão/entidade
3 -tipo de entrada
4 -data de entrada
5 -fonte de recurso
6 -Data inclusão
7 -finalidade
8 -local de estoque
9 -unidade requisitante
10-Tipo de bem 
11-Valor total da entrada 
12-destino da entrada
13-Modalidade
14-data de atesto
15-Nota explicativa
16-responsável cadastro
17-Data de cadatro
18-Status
19-N° da Nota
20-Material 
21-CMD
22-MSG
23-ULV Destino</t>
        </r>
      </text>
    </comment>
    <comment ref="E754" authorId="3" shapeId="0" xr:uid="{00000000-0006-0000-0100-000028040000}">
      <text>
        <r>
          <rPr>
            <sz val="9"/>
            <color indexed="81"/>
            <rFont val="Segoe UI"/>
            <family val="2"/>
          </rPr>
          <t xml:space="preserve">
1-Orgão
2-Fornecedor API
3-Entrada por incorporação
4-Usuario
5-Unidade de Localiação
6-Fechamento do Mês 
7-Transferencia
8-Transferencia externa</t>
        </r>
      </text>
    </comment>
    <comment ref="D755" authorId="3" shapeId="0" xr:uid="{00000000-0006-0000-0100-000029040000}">
      <text>
        <r>
          <rPr>
            <sz val="9"/>
            <color indexed="81"/>
            <rFont val="Segoe UI"/>
            <family val="2"/>
          </rPr>
          <t xml:space="preserve">
1 -cnpj do órgão
2 -órgão/entidade
3 -tipo de entrada
4 -data de entrada
5 -fonte de recurso
6 -Data inclusão
7 -finalidade
8 -local de estoque
9 -unidade requisitante
10-Tipo de bem 
11-Valor total da entrada 
12-destino da entrada
13-Modalidade
14-data de atesto
15-Nota explicativa
16-responsável cadastro
17-Data de cadatro
18-Status
19-N° da Nota
20-Material 
21-CMD
22-MSG
23-ULV Destino</t>
        </r>
      </text>
    </comment>
    <comment ref="E755" authorId="3" shapeId="0" xr:uid="{00000000-0006-0000-0100-00002A040000}">
      <text>
        <r>
          <rPr>
            <sz val="9"/>
            <color indexed="81"/>
            <rFont val="Segoe UI"/>
            <family val="2"/>
          </rPr>
          <t xml:space="preserve">
1-Orgão
2-Fornecedor API
3-Entrada por incorporação
4-Usuario
5-Unidade de Localiação</t>
        </r>
      </text>
    </comment>
    <comment ref="D756" authorId="3" shapeId="0" xr:uid="{00000000-0006-0000-0100-00002B040000}">
      <text>
        <r>
          <rPr>
            <sz val="9"/>
            <color indexed="81"/>
            <rFont val="Segoe UI"/>
            <family val="2"/>
          </rPr>
          <t xml:space="preserve">
1-Codigo
2-CMD
3-MSG</t>
        </r>
      </text>
    </comment>
    <comment ref="E756" authorId="3" shapeId="0" xr:uid="{00000000-0006-0000-0100-00002C040000}">
      <text>
        <r>
          <rPr>
            <sz val="9"/>
            <color indexed="81"/>
            <rFont val="Segoe UI"/>
            <family val="2"/>
          </rPr>
          <t xml:space="preserve">
1-Entrada por Incorporação
</t>
        </r>
      </text>
    </comment>
    <comment ref="D757" authorId="3" shapeId="0" xr:uid="{00000000-0006-0000-0100-00002D040000}">
      <text>
        <r>
          <rPr>
            <sz val="9"/>
            <color indexed="81"/>
            <rFont val="Segoe UI"/>
            <family val="2"/>
          </rPr>
          <t xml:space="preserve">
1-Documento
2-Tipo de documento
3-data do documento
4-anexo
5-CMD
6-MSG</t>
        </r>
      </text>
    </comment>
    <comment ref="E757" authorId="3" shapeId="0" xr:uid="{00000000-0006-0000-0100-00002E040000}">
      <text>
        <r>
          <rPr>
            <sz val="9"/>
            <color indexed="81"/>
            <rFont val="Segoe UI"/>
            <family val="2"/>
          </rPr>
          <t xml:space="preserve">
1-Entrada por Incorporação
</t>
        </r>
      </text>
    </comment>
    <comment ref="D758" authorId="3" shapeId="0" xr:uid="{00000000-0006-0000-0100-00002F040000}">
      <text>
        <r>
          <rPr>
            <sz val="9"/>
            <color indexed="81"/>
            <rFont val="Segoe UI"/>
            <family val="2"/>
          </rPr>
          <t xml:space="preserve">
1-Documento
2-Tipo de documento
3-data do documento
4-anexo
5-CMD
6-MSG</t>
        </r>
      </text>
    </comment>
    <comment ref="E758" authorId="3" shapeId="0" xr:uid="{00000000-0006-0000-0100-000030040000}">
      <text>
        <r>
          <rPr>
            <sz val="9"/>
            <color indexed="81"/>
            <rFont val="Segoe UI"/>
            <family val="2"/>
          </rPr>
          <t xml:space="preserve">
1-Entrada por Incorporação
</t>
        </r>
      </text>
    </comment>
    <comment ref="D759" authorId="3" shapeId="0" xr:uid="{00000000-0006-0000-0100-000031040000}">
      <text>
        <r>
          <rPr>
            <sz val="9"/>
            <color indexed="81"/>
            <rFont val="Segoe UI"/>
            <family val="2"/>
          </rPr>
          <t xml:space="preserve">
1-Documento
2-Tipo de documento
3-data do documento
4-anexo
5-CMD
6-MSG</t>
        </r>
      </text>
    </comment>
    <comment ref="E759" authorId="3" shapeId="0" xr:uid="{00000000-0006-0000-0100-000032040000}">
      <text>
        <r>
          <rPr>
            <sz val="9"/>
            <color indexed="81"/>
            <rFont val="Segoe UI"/>
            <family val="2"/>
          </rPr>
          <t xml:space="preserve">
1-Entrada por Incorporação
2-Fechamento do Mês 
3-Transferencia
4-Transferencia externa</t>
        </r>
      </text>
    </comment>
    <comment ref="D760" authorId="3" shapeId="0" xr:uid="{00000000-0006-0000-0100-000033040000}">
      <text>
        <r>
          <rPr>
            <sz val="9"/>
            <color indexed="81"/>
            <rFont val="Segoe UI"/>
            <family val="2"/>
          </rPr>
          <t xml:space="preserve">
1-Documento
2-Tipo de documento
3-data do documento
4-anexo
</t>
        </r>
      </text>
    </comment>
    <comment ref="E760" authorId="3" shapeId="0" xr:uid="{00000000-0006-0000-0100-000034040000}">
      <text>
        <r>
          <rPr>
            <sz val="9"/>
            <color indexed="81"/>
            <rFont val="Segoe UI"/>
            <family val="2"/>
          </rPr>
          <t xml:space="preserve">
1-Entrada por Incorporação
</t>
        </r>
      </text>
    </comment>
    <comment ref="D761" authorId="3" shapeId="0" xr:uid="{00000000-0006-0000-0100-000035040000}">
      <text>
        <r>
          <rPr>
            <sz val="9"/>
            <color indexed="81"/>
            <rFont val="Segoe UI"/>
            <family val="2"/>
          </rPr>
          <t xml:space="preserve">
1-Documento
2-Tipo de documento
3-data do documento
4-anexo
5-CMD
6-MSG</t>
        </r>
      </text>
    </comment>
    <comment ref="E761" authorId="3" shapeId="0" xr:uid="{00000000-0006-0000-0100-000036040000}">
      <text>
        <r>
          <rPr>
            <sz val="9"/>
            <color indexed="81"/>
            <rFont val="Segoe UI"/>
            <family val="2"/>
          </rPr>
          <t xml:space="preserve">
1-Entrada por Incorporação
</t>
        </r>
      </text>
    </comment>
    <comment ref="D762" authorId="3" shapeId="0" xr:uid="{00000000-0006-0000-0100-000037040000}">
      <text>
        <r>
          <rPr>
            <sz val="9"/>
            <color indexed="81"/>
            <rFont val="Segoe UI"/>
            <family val="2"/>
          </rPr>
          <t xml:space="preserve">
1-Entrada
2-Documento
3-CMD
4-MSG</t>
        </r>
      </text>
    </comment>
    <comment ref="E762" authorId="3" shapeId="0" xr:uid="{00000000-0006-0000-0100-000038040000}">
      <text>
        <r>
          <rPr>
            <sz val="9"/>
            <color indexed="81"/>
            <rFont val="Segoe UI"/>
            <family val="2"/>
          </rPr>
          <t xml:space="preserve">
1-Entrada por Incorporação
2-Fechamento do Mês 
3-Transferencia
4-Transferencia externa</t>
        </r>
      </text>
    </comment>
    <comment ref="D763" authorId="3" shapeId="0" xr:uid="{00000000-0006-0000-0100-000039040000}">
      <text>
        <r>
          <rPr>
            <sz val="9"/>
            <color indexed="81"/>
            <rFont val="Segoe UI"/>
            <family val="2"/>
          </rPr>
          <t xml:space="preserve">
1-Cod aterial 
2-Material 
3-Unidade medida 
4-valor unitário 
5-valor total 
6-estado conservação
7-elemento de despesa 
8-sub elemento 
9-data aquisição
10-valor aquisição
11-depreciação acumulada
12-valor descontado
13-item controlado
14-é emplacavel 
15-marca
16-modelo 
17-voltagem
18-chassi 
19-Data de cadastro
20-Responsável
21-Vida útil 
22-Valor residual
23-CMD
24-MSG</t>
        </r>
      </text>
    </comment>
    <comment ref="E763" authorId="3" shapeId="0" xr:uid="{00000000-0006-0000-0100-00003A040000}">
      <text>
        <r>
          <rPr>
            <sz val="9"/>
            <color indexed="81"/>
            <rFont val="Segoe UI"/>
            <family val="2"/>
          </rPr>
          <t xml:space="preserve">
1-Entrada por Incorporação
2-Variação Material
</t>
        </r>
      </text>
    </comment>
    <comment ref="D764" authorId="3" shapeId="0" xr:uid="{00000000-0006-0000-0100-00003B040000}">
      <text>
        <r>
          <rPr>
            <sz val="9"/>
            <color indexed="81"/>
            <rFont val="Segoe UI"/>
            <family val="2"/>
          </rPr>
          <t xml:space="preserve">
1-Cod aterial 
2-Material 
3-Unidade medida 
4-valor unitário 
5-valor total 
6-estado conservação
7-elemento de despesa 
8-sub elemento 
9-data aquisição
10-valor aquisição
11-depreciação acumulada
12-valor descontado
13-item controlado
14-é emplacavel 
15-marca
16-modelo 
17-voltagem
18-chassi 
19-Data de cadastro
20-Responsável
21-Vida útil 
22-Valor residual
23-CMD
24-MSG</t>
        </r>
      </text>
    </comment>
    <comment ref="E764" authorId="3" shapeId="0" xr:uid="{C47979BF-45E4-4DA5-8801-697E47948724}">
      <text>
        <r>
          <rPr>
            <sz val="9"/>
            <color indexed="81"/>
            <rFont val="Segoe UI"/>
            <family val="2"/>
          </rPr>
          <t xml:space="preserve">
1-Entrada por Incorporação
2-Variação Material
</t>
        </r>
      </text>
    </comment>
    <comment ref="D765" authorId="3" shapeId="0" xr:uid="{00000000-0006-0000-0100-00003D040000}">
      <text>
        <r>
          <rPr>
            <sz val="9"/>
            <color indexed="81"/>
            <rFont val="Segoe UI"/>
            <family val="2"/>
          </rPr>
          <t xml:space="preserve">
1-Cod material 
2-Material 
3-Unidade medida 
4-valor unitário 
5-valor total 
6-estado conservação
7-elemento de despesa 
8-sub elemento 
9-data aquisição
10-valor aquisição
11-depreciação acumulada
12-valor descontado
13-item controlado
14-é emplacavel 
15-marca
16-modelo 
17-voltagem
18-chassi 
19-Data de cadastro
20-Responsável
21-Vida útil 
22-Valor residual
23-Dados Importação</t>
        </r>
      </text>
    </comment>
    <comment ref="E765" authorId="3" shapeId="0" xr:uid="{00000000-0006-0000-0100-00003E040000}">
      <text>
        <r>
          <rPr>
            <sz val="9"/>
            <color indexed="81"/>
            <rFont val="Segoe UI"/>
            <family val="2"/>
          </rPr>
          <t xml:space="preserve">
1-Compra Sem RMF
2-Variação Material
3-Entrada por Incorporação</t>
        </r>
      </text>
    </comment>
    <comment ref="D766" authorId="3" shapeId="0" xr:uid="{00000000-0006-0000-0100-00003F040000}">
      <text>
        <r>
          <rPr>
            <sz val="9"/>
            <color indexed="81"/>
            <rFont val="Segoe UI"/>
            <family val="2"/>
          </rPr>
          <t xml:space="preserve">
1-Cod material 
2-Material 
3-Unidade medida 
4-valor unitário 
5-valor total 
6-estado conservação
7-elemento de despesa 
8-sub elemento 
9-data aquisição
10-valor aquisição
11-depreciação acumulada
12-valor descontado
13-item controlado
14-é emplacavel 
15-marca
16-modelo 
17-voltagem
18-chassi 
19-Data de cadastro
20-Responsável
21-Vida útil 
22-Valor residual
23-Dados Importação
24-CMD
25-MSG</t>
        </r>
      </text>
    </comment>
    <comment ref="E766" authorId="3" shapeId="0" xr:uid="{00000000-0006-0000-0100-000040040000}">
      <text>
        <r>
          <rPr>
            <sz val="9"/>
            <color indexed="81"/>
            <rFont val="Segoe UI"/>
            <family val="2"/>
          </rPr>
          <t xml:space="preserve">
1-Compra Sem RMF
2-Variação Material
3-Entrada por Incorporação</t>
        </r>
      </text>
    </comment>
    <comment ref="D767" authorId="3" shapeId="0" xr:uid="{AD41E720-8FE4-4EB8-AEB1-96122F65384D}">
      <text>
        <r>
          <rPr>
            <sz val="9"/>
            <color indexed="81"/>
            <rFont val="Segoe UI"/>
            <family val="2"/>
          </rPr>
          <t xml:space="preserve">
1-Cod material 
2-Cod Entrada
3-CMD
4-MSG</t>
        </r>
      </text>
    </comment>
    <comment ref="E767" authorId="3" shapeId="0" xr:uid="{A4483888-674E-4143-BA7B-F4CE4BA7AD22}">
      <text>
        <r>
          <rPr>
            <sz val="9"/>
            <color indexed="81"/>
            <rFont val="Segoe UI"/>
            <family val="2"/>
          </rPr>
          <t xml:space="preserve">
1-Compra Sem RMF
2-Variação Material
3-Entrada por Incorporação</t>
        </r>
      </text>
    </comment>
    <comment ref="D768" authorId="3" shapeId="0" xr:uid="{00000000-0006-0000-0100-000041040000}">
      <text>
        <r>
          <rPr>
            <sz val="9"/>
            <color indexed="81"/>
            <rFont val="Segoe UI"/>
            <family val="2"/>
          </rPr>
          <t>1-Estado de conservação
2-Mes aberto 
3-Valor de mercado 
4-Valor reavaliado
5-Avaliador
6-Data avaliação
7-CMD
8-MSG</t>
        </r>
      </text>
    </comment>
    <comment ref="E768" authorId="3" shapeId="0" xr:uid="{00000000-0006-0000-0100-000042040000}">
      <text>
        <r>
          <rPr>
            <sz val="9"/>
            <color indexed="81"/>
            <rFont val="Segoe UI"/>
            <family val="2"/>
          </rPr>
          <t xml:space="preserve">
1-Bem material
2-Entrada por incorporação
3-Usuario
</t>
        </r>
      </text>
    </comment>
    <comment ref="D769" authorId="3" shapeId="0" xr:uid="{00000000-0006-0000-0100-000043040000}">
      <text>
        <r>
          <rPr>
            <sz val="9"/>
            <color indexed="81"/>
            <rFont val="Segoe UI"/>
            <family val="2"/>
          </rPr>
          <t xml:space="preserve">
1-Codigo
2-CMD
3-MSG</t>
        </r>
      </text>
    </comment>
    <comment ref="E769" authorId="3" shapeId="0" xr:uid="{00000000-0006-0000-0100-000044040000}">
      <text>
        <r>
          <rPr>
            <sz val="9"/>
            <color indexed="81"/>
            <rFont val="Segoe UI"/>
            <family val="2"/>
          </rPr>
          <t xml:space="preserve">
1-Entrada por Incorporação
</t>
        </r>
      </text>
    </comment>
    <comment ref="D770" authorId="3" shapeId="0" xr:uid="{00000000-0006-0000-0100-000045040000}">
      <text>
        <r>
          <rPr>
            <sz val="9"/>
            <color indexed="81"/>
            <rFont val="Segoe UI"/>
            <family val="2"/>
          </rPr>
          <t xml:space="preserve">
1-Material
2-UL Destino
3-RP
4-CMD
5-MSG</t>
        </r>
      </text>
    </comment>
    <comment ref="E770" authorId="3" shapeId="0" xr:uid="{00000000-0006-0000-0100-000046040000}">
      <text>
        <r>
          <rPr>
            <sz val="9"/>
            <color indexed="81"/>
            <rFont val="Segoe UI"/>
            <family val="2"/>
          </rPr>
          <t xml:space="preserve">
1-Unidade de Localiação
2-Bem Material
3-Usuario</t>
        </r>
      </text>
    </comment>
    <comment ref="D771" authorId="3" shapeId="0" xr:uid="{00000000-0006-0000-0100-000047040000}">
      <text>
        <r>
          <rPr>
            <sz val="9"/>
            <color indexed="81"/>
            <rFont val="Segoe UI"/>
            <family val="2"/>
          </rPr>
          <t xml:space="preserve">
1-Material
2-UL Destino
3-RP
4-CMD
5-MSG</t>
        </r>
      </text>
    </comment>
    <comment ref="E771" authorId="3" shapeId="0" xr:uid="{00000000-0006-0000-0100-000048040000}">
      <text>
        <r>
          <rPr>
            <sz val="9"/>
            <color indexed="81"/>
            <rFont val="Segoe UI"/>
            <family val="2"/>
          </rPr>
          <t xml:space="preserve">
1-Unidade de Localiação
2-Bem Material
3-Usuario</t>
        </r>
      </text>
    </comment>
    <comment ref="D772" authorId="3" shapeId="0" xr:uid="{00000000-0006-0000-0100-000049040000}">
      <text>
        <r>
          <rPr>
            <sz val="9"/>
            <color indexed="81"/>
            <rFont val="Segoe UI"/>
            <family val="2"/>
          </rPr>
          <t xml:space="preserve">
1-Item 
2-Material
3-Prefixos
4-Numero 
5-Numero patrimonial 
6-UL Destino 
7-Detentor do bem 
8-CMD
9-MSG
</t>
        </r>
      </text>
    </comment>
    <comment ref="E772" authorId="3" shapeId="0" xr:uid="{00000000-0006-0000-0100-00004A040000}">
      <text>
        <r>
          <rPr>
            <sz val="9"/>
            <color indexed="81"/>
            <rFont val="Segoe UI"/>
            <family val="2"/>
          </rPr>
          <t xml:space="preserve">
1-Unidade de Localiação
2-Bem Material
3-Usuario</t>
        </r>
      </text>
    </comment>
    <comment ref="D773" authorId="3" shapeId="0" xr:uid="{00000000-0006-0000-0100-00004B040000}">
      <text>
        <r>
          <rPr>
            <sz val="9"/>
            <color indexed="81"/>
            <rFont val="Segoe UI"/>
            <family val="2"/>
          </rPr>
          <t xml:space="preserve">
1-Item 
2-Material
3-Prefixos
4-Numero 
5-Numero patrimonial 
</t>
        </r>
      </text>
    </comment>
    <comment ref="E773" authorId="3" shapeId="0" xr:uid="{00000000-0006-0000-0100-00004C040000}">
      <text>
        <r>
          <rPr>
            <sz val="9"/>
            <color indexed="81"/>
            <rFont val="Segoe UI"/>
            <family val="2"/>
          </rPr>
          <t xml:space="preserve">
1-Unidade de Localiação
2-Bem Material
3-Usuario</t>
        </r>
      </text>
    </comment>
    <comment ref="D774" authorId="3" shapeId="0" xr:uid="{00000000-0006-0000-0100-00004D040000}">
      <text>
        <r>
          <rPr>
            <sz val="9"/>
            <color indexed="81"/>
            <rFont val="Segoe UI"/>
            <family val="2"/>
          </rPr>
          <t xml:space="preserve">
1-Codigo
2-CMD
3-MSG</t>
        </r>
      </text>
    </comment>
    <comment ref="E774" authorId="3" shapeId="0" xr:uid="{00000000-0006-0000-0100-00004E040000}">
      <text>
        <r>
          <rPr>
            <sz val="9"/>
            <color indexed="81"/>
            <rFont val="Segoe UI"/>
            <family val="2"/>
          </rPr>
          <t xml:space="preserve">
1-Entrada por Incorporação
2-Fechamento do Mês 
3-Transferencia
4-Transferencia externa</t>
        </r>
      </text>
    </comment>
    <comment ref="D775" authorId="3" shapeId="0" xr:uid="{00000000-0006-0000-0100-00004F040000}">
      <text>
        <r>
          <rPr>
            <sz val="9"/>
            <color indexed="81"/>
            <rFont val="Segoe UI"/>
            <family val="2"/>
          </rPr>
          <t xml:space="preserve">
1 -cnpj do órgão
2 -órgão/entidade
3 -tipo de entrada
4 -data de entrada
5 -fonte de recurso
6 -Data inclusão
7 -finalidade
8 -local de estoque
9 -unidade requisitante
10-Tipo de bem 
11-Valor total da entrada 
12-destino da entrada
13-Modalidade
14-data de atesto
15-Nota explicativa
16-responsável cadastro
17-Data de cadatro
18-Status
19-N° da Nota
20-Material 
21-CMD
22-MSG</t>
        </r>
      </text>
    </comment>
    <comment ref="E775" authorId="3" shapeId="0" xr:uid="{00000000-0006-0000-0100-000050040000}">
      <text>
        <r>
          <rPr>
            <sz val="9"/>
            <color indexed="81"/>
            <rFont val="Segoe UI"/>
            <family val="2"/>
          </rPr>
          <t xml:space="preserve">
1-Orgão
2-Fornecedor API
3-Entrada por incorporação
4-Usuario
5-Unidade de Localiação</t>
        </r>
      </text>
    </comment>
    <comment ref="D776" authorId="3" shapeId="0" xr:uid="{00000000-0006-0000-0100-000051040000}">
      <text>
        <r>
          <rPr>
            <sz val="9"/>
            <color indexed="81"/>
            <rFont val="Segoe UI"/>
            <family val="2"/>
          </rPr>
          <t xml:space="preserve">
1 -cnpj do órgão
2 -órgão/entidade
3 -tipo de entrada
4 -data de entrada
5 -fonte de recurso
6 -Data inclusão
7 -finalidade
8 -local de estoque
9 -unidade requisitante
10-Tipo de bem 
11-Valor total da entrada 
12-destino da entrada
13-Modalidade
14-data de atesto
15-Nota explicativa
16-responsável cadastro
17-Data de cadatro
18-Status
19-N° da Nota
20-Material 
21-Documento
22-Tipo de documento
23-data do documento
24-anexo
25-Cod material 
26-Material 
27-Unidade medida 
28-valor unitário 
29-valor total 
30-estado conservação
31-elemento de despesa 
32-sub elemento 
33-data aquisição
34-valor aquisição
35-depreciação acumulada
36-valor descontado
37-item controlado
38-é emplacavel 
39-marca
40-modelo 
41-voltagem
42-chassi 
43-Data de cadastro
44-Responsável
45-Nota Explicativa
46-Dados Importação
47-CMD
48-MSG</t>
        </r>
      </text>
    </comment>
    <comment ref="E776" authorId="3" shapeId="0" xr:uid="{00000000-0006-0000-0100-000052040000}">
      <text>
        <r>
          <rPr>
            <sz val="9"/>
            <color indexed="81"/>
            <rFont val="Segoe UI"/>
            <family val="2"/>
          </rPr>
          <t xml:space="preserve">
1-Orgão
2-Fornecedor API
3-Entrada por incorporação
4-Usuario
5-Unidade de Localiação
6-Compra Sem RMF
7-Variação Material</t>
        </r>
      </text>
    </comment>
    <comment ref="D779" authorId="3" shapeId="0" xr:uid="{A482BE26-8C77-491A-BED6-E18AD1B15133}">
      <text>
        <r>
          <rPr>
            <sz val="9"/>
            <color indexed="81"/>
            <rFont val="Segoe UI"/>
            <family val="2"/>
          </rPr>
          <t>1 -cnpj do órgão
2 -órgão/entidade
3 -tipo de entrada
4 -data de entrada
5 -fonte de recurso
6 -Data inclusão
7 -Unidade localização
8 -Tipo de bem 
9 -Valor total da entrada
10-destino da entrada
11-Modalidade
12-responsável cadastro
13-Data de cadastro
14-Status
15-CMD
16-MSG
17-VIDA ÚTIL DEFINIDA:
18-Exercicio
19-UO
20-UG
21-UA
22-CMD
23-MSG</t>
        </r>
      </text>
    </comment>
    <comment ref="E779" authorId="3" shapeId="0" xr:uid="{24A91FAC-E6CA-4366-B68E-8AB5950C9EAC}">
      <text>
        <r>
          <rPr>
            <sz val="9"/>
            <color indexed="81"/>
            <rFont val="Segoe UI"/>
            <family val="2"/>
          </rPr>
          <t xml:space="preserve">
1-Orgão
2-Fornecedor API
3-Entrada por incorporação
4-Usuario
5-Unidade de Localiação</t>
        </r>
      </text>
    </comment>
    <comment ref="D780" authorId="3" shapeId="0" xr:uid="{11CDCDA9-6AD2-4877-961D-03184ADB11B1}">
      <text>
        <r>
          <rPr>
            <sz val="9"/>
            <color indexed="81"/>
            <rFont val="Segoe UI"/>
            <family val="2"/>
          </rPr>
          <t>1 -cnpj do órgão
2 -órgão/entidade
3 -tipo de entrada
4 -data de entrada
5 -fonte de recurso
6 -Data inclusão
7 -Unidade localização
8 -Tipo de bem 
9 -Valor total da entrada
10-destino da entrada
11-Modalidade
12-responsável cadastro
13-Data de cadastro
14-Status
15-CMD
16-MSG
17-VIDA ÚTIL DEFINIDA:
18-Exercicio
19-UO
20-UG
21-UA
22-CMD
23-MSG</t>
        </r>
      </text>
    </comment>
    <comment ref="E780" authorId="3" shapeId="0" xr:uid="{CE5948D8-E9B4-405C-B276-C996EDC88384}">
      <text>
        <r>
          <rPr>
            <sz val="9"/>
            <color indexed="81"/>
            <rFont val="Segoe UI"/>
            <family val="2"/>
          </rPr>
          <t xml:space="preserve">
1-Orgão
2-Fornecedor API
3-Entrada por incorporação
4-Usuario
5-Unidade de Localiação</t>
        </r>
      </text>
    </comment>
    <comment ref="D781" authorId="3" shapeId="0" xr:uid="{4DD1A4F0-6FB4-4762-8AEE-76675059CF95}">
      <text>
        <r>
          <rPr>
            <sz val="9"/>
            <color indexed="81"/>
            <rFont val="Segoe UI"/>
            <family val="2"/>
          </rPr>
          <t>1 -cnpj do órgão
2 -órgão/entidade
3 -tipo de entrada
4 -data de entrada
5 -fonte de recurso
6 -Data inclusão
7 -Unidade localização
8 -Tipo de bem 
9 -Valor total da entrada
10-destino da entrada
11-Modalidade
12-responsável cadastro
13-Data de cadastro
14-Status
15-CMD
16-MSG
17-VIDA ÚTIL DEFINIDA:
18-Exercicio
19-UO
20-UG
21-UA</t>
        </r>
      </text>
    </comment>
    <comment ref="E781" authorId="3" shapeId="0" xr:uid="{EDD4402E-3140-4E58-A55F-5B78372A9B7E}">
      <text>
        <r>
          <rPr>
            <sz val="9"/>
            <color indexed="81"/>
            <rFont val="Segoe UI"/>
            <family val="2"/>
          </rPr>
          <t xml:space="preserve">
1-Orgão
2-Fornecedor API
3-Entrada por incorporação
4-Usuario
5-Unidade de Localiação</t>
        </r>
      </text>
    </comment>
    <comment ref="D782" authorId="3" shapeId="0" xr:uid="{00000000-0006-0000-0100-000059040000}">
      <text>
        <r>
          <rPr>
            <sz val="9"/>
            <color indexed="81"/>
            <rFont val="Segoe UI"/>
            <family val="2"/>
          </rPr>
          <t xml:space="preserve">
1-Cod Material 
2-Material 
3-Desc Material  
4-Unidade medida 
5-valor unitário 
6-elemento de despesa 
7-sub elemento 
8-marca
9-modelo 
10-voltagem
11-chassi 
12-UL destino 
13-numero RP 
14-prefixo
15-é emplacavel 
16-Data de cadastro
17-Responsável
18-CMD
19-MSG</t>
        </r>
      </text>
    </comment>
    <comment ref="E782" authorId="3" shapeId="0" xr:uid="{00000000-0006-0000-0100-00005A040000}">
      <text>
        <r>
          <rPr>
            <sz val="9"/>
            <color indexed="81"/>
            <rFont val="Segoe UI"/>
            <family val="2"/>
          </rPr>
          <t xml:space="preserve">
1-Entrada por Incorporação
2-Variação Material
</t>
        </r>
      </text>
    </comment>
    <comment ref="D783" authorId="3" shapeId="0" xr:uid="{00000000-0006-0000-0100-00005B040000}">
      <text>
        <r>
          <rPr>
            <sz val="9"/>
            <color indexed="81"/>
            <rFont val="Segoe UI"/>
            <family val="2"/>
          </rPr>
          <t xml:space="preserve">
1-Cod Material 
2-Material 
3-Desc Material  
4-Unidade medida 
5-valor unitário 
6-elemento de despesa 
7-sub elemento 
8-marca
9-modelo 
10-voltagem
11-chassi 
12-UL destino 
13-numero RP 
14-prefixo
15-é emplacavel 
16-Data de cadastro
17-Responsável
18-CMD
19-MSG</t>
        </r>
      </text>
    </comment>
    <comment ref="E783" authorId="3" shapeId="0" xr:uid="{00000000-0006-0000-0100-00005C040000}">
      <text>
        <r>
          <rPr>
            <sz val="9"/>
            <color indexed="81"/>
            <rFont val="Segoe UI"/>
            <family val="2"/>
          </rPr>
          <t xml:space="preserve">
1-Compra Sem RMF
2-Variação Material
</t>
        </r>
      </text>
    </comment>
    <comment ref="D784" authorId="3" shapeId="0" xr:uid="{00000000-0006-0000-0100-00005D040000}">
      <text>
        <r>
          <rPr>
            <sz val="9"/>
            <color indexed="81"/>
            <rFont val="Segoe UI"/>
            <family val="2"/>
          </rPr>
          <t xml:space="preserve">
1-Cod Material 
2-Material 
3-Desc Material  
4-Unidade medida 
5-valor unitário 
6-elemento de despesa 
7-sub elemento 
8-marca
9-modelo 
10-voltagem
11-chassi 
12-UL destino 
13-numero RP 
14-prefixo
15-é emplacavel 
16-Data de cadastro
17-Responsável
18-valor insitucional
19-indice
20-valor do tamanho 
21-valor do ativo intangivel 
22-nivel de detalhamento
23-Nota Explicativa
24-Dados Importação</t>
        </r>
      </text>
    </comment>
    <comment ref="E784" authorId="3" shapeId="0" xr:uid="{00000000-0006-0000-0100-00005E040000}">
      <text>
        <r>
          <rPr>
            <sz val="9"/>
            <color indexed="81"/>
            <rFont val="Segoe UI"/>
            <family val="2"/>
          </rPr>
          <t xml:space="preserve">
1-Compra Sem RMF
2-Variação Material
</t>
        </r>
      </text>
    </comment>
    <comment ref="D785" authorId="3" shapeId="0" xr:uid="{00000000-0006-0000-0100-00005F040000}">
      <text>
        <r>
          <rPr>
            <sz val="9"/>
            <color indexed="81"/>
            <rFont val="Segoe UI"/>
            <family val="2"/>
          </rPr>
          <t xml:space="preserve">
1-Cod Material 
2-Material 
3-Desc Material  
4-Unidade medida 
5-valor unitário 
6-elemento de despesa 
7-sub elemento 
8-marca
9-modelo 
10-voltagem
11-chassi 
12-UL destino 
13-numero RP 
14-prefixo
15-é emplacavel 
16-Data de cadastro
17-Responsável
18-valor insitucional
19-indice
20-valor do tamanho 
21-valor do ativo intangivel 
22-nivel de detalhamento
23-Nota Explicativa
24-Dados Importação
25-CMD
26-MSG</t>
        </r>
      </text>
    </comment>
    <comment ref="E785" authorId="3" shapeId="0" xr:uid="{00000000-0006-0000-0100-000060040000}">
      <text>
        <r>
          <rPr>
            <sz val="9"/>
            <color indexed="81"/>
            <rFont val="Segoe UI"/>
            <family val="2"/>
          </rPr>
          <t xml:space="preserve">
1-Compra Sem RMF
2-Variação Material
</t>
        </r>
      </text>
    </comment>
    <comment ref="D786" authorId="3" shapeId="0" xr:uid="{00000000-0006-0000-0100-000061040000}">
      <text>
        <r>
          <rPr>
            <sz val="9"/>
            <color indexed="81"/>
            <rFont val="Segoe UI"/>
            <family val="2"/>
          </rPr>
          <t xml:space="preserve">
1-Item 
2-Numero patrimonial 
3-UL Destino 
4-CMD
5-MSG
</t>
        </r>
      </text>
    </comment>
    <comment ref="E786" authorId="3" shapeId="0" xr:uid="{00000000-0006-0000-0100-000062040000}">
      <text>
        <r>
          <rPr>
            <sz val="9"/>
            <color indexed="81"/>
            <rFont val="Segoe UI"/>
            <family val="2"/>
          </rPr>
          <t xml:space="preserve">
1-Unidade de Localiação
2-Bem Material
3-Usuario</t>
        </r>
      </text>
    </comment>
    <comment ref="D787" authorId="3" shapeId="0" xr:uid="{00000000-0006-0000-0100-000063040000}">
      <text>
        <r>
          <rPr>
            <sz val="9"/>
            <color indexed="81"/>
            <rFont val="Segoe UI"/>
            <family val="2"/>
          </rPr>
          <t xml:space="preserve">
1-Item 
2-Numero patrimonial 
3-UL Destino 
</t>
        </r>
      </text>
    </comment>
    <comment ref="E787" authorId="3" shapeId="0" xr:uid="{00000000-0006-0000-0100-000064040000}">
      <text>
        <r>
          <rPr>
            <sz val="9"/>
            <color indexed="81"/>
            <rFont val="Segoe UI"/>
            <family val="2"/>
          </rPr>
          <t xml:space="preserve">
1-Unidade de Localiação
2-Bem Material
3-Usuario</t>
        </r>
      </text>
    </comment>
    <comment ref="D788" authorId="3" shapeId="0" xr:uid="{00000000-0006-0000-0100-000065040000}">
      <text>
        <r>
          <rPr>
            <sz val="9"/>
            <color indexed="81"/>
            <rFont val="Segoe UI"/>
            <family val="2"/>
          </rPr>
          <t xml:space="preserve">
1-Numero RP
2-Item 
3-prefixo 
4-Numero patrimonial 
5-descrição 
6-UL Destino
7-valor total 
8-CMD
9-MSG</t>
        </r>
      </text>
    </comment>
    <comment ref="E788" authorId="3" shapeId="0" xr:uid="{00000000-0006-0000-0100-000066040000}">
      <text>
        <r>
          <rPr>
            <sz val="9"/>
            <color indexed="81"/>
            <rFont val="Segoe UI"/>
            <family val="2"/>
          </rPr>
          <t xml:space="preserve">
1-Unidade de Localiação
2-Bem Material
3-Usuario</t>
        </r>
      </text>
    </comment>
    <comment ref="D789" authorId="3" shapeId="0" xr:uid="{00000000-0006-0000-0100-000067040000}">
      <text>
        <r>
          <rPr>
            <sz val="9"/>
            <color indexed="81"/>
            <rFont val="Segoe UI"/>
            <family val="2"/>
          </rPr>
          <t xml:space="preserve">
1-Numero RP
2-Item 
3-prefixo 
4-Numero patrimonial 
5-descrição 
6-UL Destino
7-valor total 
8-CMD
9-MSG</t>
        </r>
      </text>
    </comment>
    <comment ref="E789" authorId="3" shapeId="0" xr:uid="{00000000-0006-0000-0100-000068040000}">
      <text>
        <r>
          <rPr>
            <sz val="9"/>
            <color indexed="81"/>
            <rFont val="Segoe UI"/>
            <family val="2"/>
          </rPr>
          <t xml:space="preserve">
1-Unidade de Localiação
2-Bem Material
3-Usuario</t>
        </r>
      </text>
    </comment>
    <comment ref="D790" authorId="3" shapeId="0" xr:uid="{00000000-0006-0000-0100-000069040000}">
      <text>
        <r>
          <rPr>
            <sz val="9"/>
            <color indexed="81"/>
            <rFont val="Segoe UI"/>
            <family val="2"/>
          </rPr>
          <t>1 -cnpj do órgão
2 -órgão/entidade
3 -tipo de entrada
4 -data de entrada
5 -fonte de recurso
6 -Data inclusão
7 -Unidade localização
8 -Tipo de bem 
9 -Valor total da entrada
10-destino da entrada
11-Modalidade
12-responsável cadastro
13-Data de cadastro
14-Status
15-Cod Material 
16-Material 
17-Desc Material  
18-Unidade medida 
19-valor unitário 
20-elemento de despesa 
21-sub elemento 
22-marca
23-modelo 
24-voltagem
24-chassi 
25-UL destino 
26-numero RP 
27-prefixo
28-é emplacavel 
29-Data de cadastro
30-Responsável
31-valor insitucional
32-indice
33-valor do tamanho 
34-valor do ativo intangivel 
35-nivel de detalhamento
36-Documento
37-Tipo de documento
38-data do documento
39-anexo
40-Nota Explicativa
41-Dados Importação
42-CMD
43-MSG</t>
        </r>
      </text>
    </comment>
    <comment ref="E790" authorId="3" shapeId="0" xr:uid="{00000000-0006-0000-0100-00006A040000}">
      <text>
        <r>
          <rPr>
            <sz val="9"/>
            <color indexed="81"/>
            <rFont val="Segoe UI"/>
            <family val="2"/>
          </rPr>
          <t xml:space="preserve">
1-Orgão
2-Fornecedor API
3-Entrada por incorporação
4-Usuario
5-Unidade de Localiação</t>
        </r>
      </text>
    </comment>
    <comment ref="D791" authorId="3" shapeId="0" xr:uid="{00000000-0006-0000-0100-00006B040000}">
      <text>
        <r>
          <rPr>
            <sz val="9"/>
            <color indexed="81"/>
            <rFont val="Segoe UI"/>
            <family val="2"/>
          </rPr>
          <t xml:space="preserve">
1-Codigo
2-CMD
3-MSG</t>
        </r>
      </text>
    </comment>
    <comment ref="E791" authorId="3" shapeId="0" xr:uid="{00000000-0006-0000-0100-00006C040000}">
      <text>
        <r>
          <rPr>
            <sz val="9"/>
            <color indexed="81"/>
            <rFont val="Segoe UI"/>
            <family val="2"/>
          </rPr>
          <t xml:space="preserve">
1-Entrada por Incorporação
</t>
        </r>
      </text>
    </comment>
    <comment ref="D792" authorId="3" shapeId="0" xr:uid="{00000000-0006-0000-0100-00006D040000}">
      <text>
        <r>
          <rPr>
            <sz val="9"/>
            <color indexed="81"/>
            <rFont val="Segoe UI"/>
            <family val="2"/>
          </rPr>
          <t>1 -cnpj do órgão
2 -órgão/entidade
3 -tipo de entrada
4 -data de entrada
5 -fonte de recurso
6 -Data inclusão
7 -Unidade localização
8 -Tipo de bem 
9 -Valor total da entrada
10-destino da entrada
11-Modalidade
12-responsável cadastro
13-Data de cadastro
14-Status
15-CMD
16-MSG</t>
        </r>
      </text>
    </comment>
    <comment ref="E792" authorId="3" shapeId="0" xr:uid="{00000000-0006-0000-0100-00006E040000}">
      <text>
        <r>
          <rPr>
            <sz val="9"/>
            <color indexed="81"/>
            <rFont val="Segoe UI"/>
            <family val="2"/>
          </rPr>
          <t xml:space="preserve">
1-Orgão
2-Fornecedor API
3-Entrada por incorporação
4-Usuario
5-Unidade de Localiação</t>
        </r>
      </text>
    </comment>
    <comment ref="D795" authorId="3" shapeId="0" xr:uid="{3A91356F-DBA1-4EF8-991C-97620711A2D2}">
      <text>
        <r>
          <rPr>
            <sz val="9"/>
            <color indexed="81"/>
            <rFont val="Segoe UI"/>
            <family val="2"/>
          </rPr>
          <t>1-Tipo 
2-Material 
3-Valor institucional 
4-Indice
5-Conceituação 
6-Valor do tamanho 
7-Valor do ativo 
8-Nivel 
9-Responsável
10-Data 
11-CMD
12-MSG</t>
        </r>
      </text>
    </comment>
    <comment ref="E795" authorId="3" shapeId="0" xr:uid="{DBB68C1F-0089-493D-8D6B-A9087E7E7A39}">
      <text>
        <r>
          <rPr>
            <sz val="9"/>
            <color indexed="81"/>
            <rFont val="Segoe UI"/>
            <family val="2"/>
          </rPr>
          <t xml:space="preserve">
1-Bem material
2-Entrada por incorporação
3-Usuario
</t>
        </r>
      </text>
    </comment>
    <comment ref="D796" authorId="3" shapeId="0" xr:uid="{00000000-0006-0000-0100-000071040000}">
      <text>
        <r>
          <rPr>
            <sz val="9"/>
            <color indexed="81"/>
            <rFont val="Segoe UI"/>
            <family val="2"/>
          </rPr>
          <t xml:space="preserve">
1 - Código
2 - Desrição
3 -CMD</t>
        </r>
      </text>
    </comment>
    <comment ref="E796" authorId="3" shapeId="0" xr:uid="{00000000-0006-0000-0100-000072040000}">
      <text>
        <r>
          <rPr>
            <sz val="9"/>
            <color indexed="81"/>
            <rFont val="Segoe UI"/>
            <family val="2"/>
          </rPr>
          <t xml:space="preserve">
1-Valor Institucional
</t>
        </r>
      </text>
    </comment>
    <comment ref="D797" authorId="3" shapeId="0" xr:uid="{00000000-0006-0000-0100-000073040000}">
      <text>
        <r>
          <rPr>
            <sz val="9"/>
            <color indexed="81"/>
            <rFont val="Segoe UI"/>
            <family val="2"/>
          </rPr>
          <t xml:space="preserve">
1 - Código
2 - Desrição
3 -CMD</t>
        </r>
      </text>
    </comment>
    <comment ref="E797" authorId="3" shapeId="0" xr:uid="{00000000-0006-0000-0100-000074040000}">
      <text>
        <r>
          <rPr>
            <sz val="9"/>
            <color indexed="81"/>
            <rFont val="Segoe UI"/>
            <family val="2"/>
          </rPr>
          <t xml:space="preserve">
1-Nível detalhamento
</t>
        </r>
      </text>
    </comment>
    <comment ref="D798" authorId="3" shapeId="0" xr:uid="{93F3B4E2-092B-4DE0-98A6-AE46BF907536}">
      <text>
        <r>
          <rPr>
            <sz val="9"/>
            <color indexed="81"/>
            <rFont val="Segoe UI"/>
            <family val="2"/>
          </rPr>
          <t>1-Tipo 
2-Material 
3-Valor institucional 
4-Indice
5-Conceituação 
6-Valor do tamanho 
7-Valor do ativo 
8-Nivel 
9-Responsável
10-Data 
11-CMD
12-MSG</t>
        </r>
      </text>
    </comment>
    <comment ref="E798" authorId="3" shapeId="0" xr:uid="{E9A0C969-D5AC-4A90-A7BD-842A577E7E17}">
      <text>
        <r>
          <rPr>
            <sz val="9"/>
            <color indexed="81"/>
            <rFont val="Segoe UI"/>
            <family val="2"/>
          </rPr>
          <t xml:space="preserve">
1-Bem material
2-Entrada por incorporação
3-Usuario
</t>
        </r>
      </text>
    </comment>
    <comment ref="D799" authorId="3" shapeId="0" xr:uid="{00000000-0006-0000-0100-000077040000}">
      <text>
        <r>
          <rPr>
            <sz val="9"/>
            <color indexed="81"/>
            <rFont val="Segoe UI"/>
            <family val="2"/>
          </rPr>
          <t xml:space="preserve">1-Tipo 
2-Material 
3-Valor institucional 
4-Indice
5-Conceituação 
6-Valor do tamanho 
7-Valor do ativo 
8-Nivel 
9-Responsável
10-Data </t>
        </r>
      </text>
    </comment>
    <comment ref="E799" authorId="3" shapeId="0" xr:uid="{00000000-0006-0000-0100-000078040000}">
      <text>
        <r>
          <rPr>
            <sz val="9"/>
            <color indexed="81"/>
            <rFont val="Segoe UI"/>
            <family val="2"/>
          </rPr>
          <t xml:space="preserve">
1-Bem material
2-Entrada por incorporação
3-Usuario
</t>
        </r>
      </text>
    </comment>
    <comment ref="D800" authorId="3" shapeId="0" xr:uid="{00000000-0006-0000-0100-000079040000}">
      <text>
        <r>
          <rPr>
            <sz val="9"/>
            <color indexed="81"/>
            <rFont val="Segoe UI"/>
            <family val="2"/>
          </rPr>
          <t>1-Tipo 
2-Material 
3-Valor institucional 
4-Indice
5-Conceituação 
6-Valor do tamanho 
7-Valor do ativo 
8-Nivel 
9-Responsável
10-Data 
11-CMD
12-MSG</t>
        </r>
      </text>
    </comment>
    <comment ref="E800" authorId="3" shapeId="0" xr:uid="{00000000-0006-0000-0100-00007A040000}">
      <text>
        <r>
          <rPr>
            <sz val="9"/>
            <color indexed="81"/>
            <rFont val="Segoe UI"/>
            <family val="2"/>
          </rPr>
          <t xml:space="preserve">
1-Bem material
2-Entrada por incorporação
3-Usuario
</t>
        </r>
      </text>
    </comment>
    <comment ref="D803" authorId="3" shapeId="0" xr:uid="{00000000-0006-0000-0100-00007B040000}">
      <text>
        <r>
          <rPr>
            <sz val="9"/>
            <color indexed="81"/>
            <rFont val="Segoe UI"/>
            <family val="2"/>
          </rPr>
          <t>1-Taxa de depreciação 
2-Valor residual 
3-Depreciação acumulada
4-Valor a depreciar
5-Total depreciado ano 
6-saldo acum depreciado
7-situação 
8-Saldo depreciação a maior 
9-Data da depreciação 
10-Cota depreciada
11-Avaliador
12-Data avaliação 
13-Vida útil</t>
        </r>
      </text>
    </comment>
    <comment ref="E803" authorId="3" shapeId="0" xr:uid="{00000000-0006-0000-0100-00007C040000}">
      <text>
        <r>
          <rPr>
            <sz val="9"/>
            <color indexed="81"/>
            <rFont val="Segoe UI"/>
            <family val="2"/>
          </rPr>
          <t xml:space="preserve">
1-Bem material
2-Entrada por incorporação
3-Usuario
</t>
        </r>
      </text>
    </comment>
    <comment ref="D804" authorId="3" shapeId="0" xr:uid="{00000000-0006-0000-0100-00007D040000}">
      <text>
        <r>
          <rPr>
            <sz val="9"/>
            <color indexed="81"/>
            <rFont val="Segoe UI"/>
            <family val="2"/>
          </rPr>
          <t>1-Taxa de depreciação 
2-Valor residual 
3-Depreciação acumulada
4-Valor a depreciar
5-Total depreciado ano 
6-saldo acum depreciado
7-situação 
8-Saldo depreciação a maior 
9-Data da depreciação 
10-Cota depreciada
11-Avaliador
12-Data avaliação 
13-CMD
14-MSG
15-Vida útil</t>
        </r>
      </text>
    </comment>
    <comment ref="E804" authorId="3" shapeId="0" xr:uid="{00000000-0006-0000-0100-00007E040000}">
      <text>
        <r>
          <rPr>
            <sz val="9"/>
            <color indexed="81"/>
            <rFont val="Segoe UI"/>
            <family val="2"/>
          </rPr>
          <t xml:space="preserve">
1-Bem material
2-Entrada por incorporação
3-Usuario
</t>
        </r>
      </text>
    </comment>
    <comment ref="D805" authorId="3" shapeId="0" xr:uid="{00000000-0006-0000-0100-00007F040000}">
      <text>
        <r>
          <rPr>
            <sz val="9"/>
            <color indexed="81"/>
            <rFont val="Segoe UI"/>
            <family val="2"/>
          </rPr>
          <t>1 - Grupo
2 - Elemento de Despesa
3 - Subelemento de Despesa
4 - Título
5 - Vida Útil
6 - Valor %
7-CMD</t>
        </r>
      </text>
    </comment>
    <comment ref="E805" authorId="3" shapeId="0" xr:uid="{00000000-0006-0000-0100-000080040000}">
      <text>
        <r>
          <rPr>
            <sz val="9"/>
            <color indexed="81"/>
            <rFont val="Segoe UI"/>
            <family val="2"/>
          </rPr>
          <t xml:space="preserve">
1-Tabela Depreciação
</t>
        </r>
      </text>
    </comment>
    <comment ref="D808" authorId="3" shapeId="0" xr:uid="{00000000-0006-0000-0100-000081040000}">
      <text>
        <r>
          <rPr>
            <sz val="9"/>
            <color indexed="81"/>
            <rFont val="Segoe UI"/>
            <family val="2"/>
          </rPr>
          <t xml:space="preserve">
1 -Cod material 
2 -material
3 -Descrição 
4 -unidade de entrada 
5 -qtd 
6 -valor unitario
7 -valor total 
8 -unidade saida
9 -qtd 
10-valor unitario 
11-valor total 
12-elemento de despesas 
13-sub elemento de despesas 
14-item controlado
15-nota explicativa 
16-caracteristica 
17-data de cadsatro 
18-resp cadastro
19-imagem 
20-CMD
21-MSG</t>
        </r>
      </text>
    </comment>
    <comment ref="E808" authorId="3" shapeId="0" xr:uid="{00000000-0006-0000-0100-000082040000}">
      <text>
        <r>
          <rPr>
            <sz val="9"/>
            <color indexed="81"/>
            <rFont val="Segoe UI"/>
            <family val="2"/>
          </rPr>
          <t xml:space="preserve">
1-Material
2-Almoxarifado
3-Variação do Material
4-Elemento / Subelemento
5-Compra Sem RMF</t>
        </r>
      </text>
    </comment>
    <comment ref="D809" authorId="3" shapeId="0" xr:uid="{00000000-0006-0000-0100-000083040000}">
      <text>
        <r>
          <rPr>
            <sz val="9"/>
            <color indexed="81"/>
            <rFont val="Segoe UI"/>
            <family val="2"/>
          </rPr>
          <t xml:space="preserve">
1 -Cod material 
2 -material
3 -Descrição 
4 -Campo NFE
5 -imagem 
6 -QTD
7 -unidade medida 
8 -caracteristica 
9 -data de cadsatro 
10-resp cadastro
11-imagem 
12-CMD
13-MSG</t>
        </r>
      </text>
    </comment>
    <comment ref="E809" authorId="3" shapeId="0" xr:uid="{00000000-0006-0000-0100-000084040000}">
      <text>
        <r>
          <rPr>
            <sz val="9"/>
            <color indexed="81"/>
            <rFont val="Segoe UI"/>
            <family val="2"/>
          </rPr>
          <t xml:space="preserve">
1-Material
2-Almoxarifado
3-Variação do Material
4-Elemento / Subelemento
5-Compra Sem RMF</t>
        </r>
      </text>
    </comment>
    <comment ref="D810" authorId="3" shapeId="0" xr:uid="{00000000-0006-0000-0100-000085040000}">
      <text>
        <r>
          <rPr>
            <sz val="9"/>
            <color indexed="81"/>
            <rFont val="Segoe UI"/>
            <family val="2"/>
          </rPr>
          <t xml:space="preserve">
1-UL destino 
2-Detentor
3-Emplaquetavel 
4-CMD
5-MSG</t>
        </r>
      </text>
    </comment>
    <comment ref="E810" authorId="3" shapeId="0" xr:uid="{00000000-0006-0000-0100-000086040000}">
      <text>
        <r>
          <rPr>
            <sz val="9"/>
            <color indexed="81"/>
            <rFont val="Segoe UI"/>
            <family val="2"/>
          </rPr>
          <t xml:space="preserve">
1-Material
2-Almoxarifado
3-Variação do Material
4-Elemento / Subelemento
5-Compra Sem RMF</t>
        </r>
      </text>
    </comment>
    <comment ref="D811" authorId="3" shapeId="0" xr:uid="{C71DDDD2-F6D3-479F-900A-0FAD4926F8E5}">
      <text>
        <r>
          <rPr>
            <sz val="9"/>
            <color indexed="81"/>
            <rFont val="Segoe UI"/>
            <family val="2"/>
          </rPr>
          <t xml:space="preserve">
1-Item 
2-numero patrimonial 
3-UL destino 
4-ULV Destino 
5-Detentor
6-CMD
7-MSG</t>
        </r>
      </text>
    </comment>
    <comment ref="E811" authorId="3" shapeId="0" xr:uid="{00000000-0006-0000-0100-000088040000}">
      <text>
        <r>
          <rPr>
            <sz val="9"/>
            <color indexed="81"/>
            <rFont val="Segoe UI"/>
            <family val="2"/>
          </rPr>
          <t xml:space="preserve">
1-Unidade 
2-Compra Sem RMF</t>
        </r>
      </text>
    </comment>
    <comment ref="D812" authorId="3" shapeId="0" xr:uid="{43651FDF-ACC3-4CC0-9DBD-D4CE62F54DA2}">
      <text>
        <r>
          <rPr>
            <sz val="9"/>
            <color indexed="81"/>
            <rFont val="Segoe UI"/>
            <family val="2"/>
          </rPr>
          <t xml:space="preserve">
1-Item 
2-numero patrimonial 
3-UL destino 
4-ULV Destino 
5-Detentor</t>
        </r>
      </text>
    </comment>
    <comment ref="E812" authorId="3" shapeId="0" xr:uid="{00000000-0006-0000-0100-00008A040000}">
      <text>
        <r>
          <rPr>
            <sz val="9"/>
            <color indexed="81"/>
            <rFont val="Segoe UI"/>
            <family val="2"/>
          </rPr>
          <t xml:space="preserve">
1-Unidade 
2-Compra Sem RMF</t>
        </r>
      </text>
    </comment>
    <comment ref="D813" authorId="3" shapeId="0" xr:uid="{00000000-0006-0000-0100-00008B040000}">
      <text>
        <r>
          <rPr>
            <sz val="9"/>
            <color indexed="81"/>
            <rFont val="Segoe UI"/>
            <family val="2"/>
          </rPr>
          <t xml:space="preserve">
1-Numero do RP 
2-item
3-CMD
4-MSG</t>
        </r>
      </text>
    </comment>
    <comment ref="E813" authorId="3" shapeId="0" xr:uid="{00000000-0006-0000-0100-00008C040000}">
      <text>
        <r>
          <rPr>
            <sz val="9"/>
            <color indexed="81"/>
            <rFont val="Segoe UI"/>
            <family val="2"/>
          </rPr>
          <t xml:space="preserve">
1-Material
2-Variação do Material
3-Compra Sem RMF</t>
        </r>
      </text>
    </comment>
    <comment ref="D814" authorId="3" shapeId="0" xr:uid="{00000000-0006-0000-0100-00008D040000}">
      <text>
        <r>
          <rPr>
            <sz val="9"/>
            <color indexed="81"/>
            <rFont val="Segoe UI"/>
            <family val="2"/>
          </rPr>
          <t xml:space="preserve">
1 -Item
2 -prefixo 
3 -numero do RP
4 -numero patrimonial 
5 -Descrição 
6 -UL destino 
7 -caracteristica 
8 -Valor total
9 -CMD
10-MSG</t>
        </r>
      </text>
    </comment>
    <comment ref="E814" authorId="3" shapeId="0" xr:uid="{00000000-0006-0000-0100-00008E040000}">
      <text>
        <r>
          <rPr>
            <sz val="9"/>
            <color indexed="81"/>
            <rFont val="Segoe UI"/>
            <family val="2"/>
          </rPr>
          <t xml:space="preserve">
1-Material
2-Variação do Material
3-Compra Sem RMF</t>
        </r>
      </text>
    </comment>
    <comment ref="D815" authorId="3" shapeId="0" xr:uid="{00000000-0006-0000-0100-00008F040000}">
      <text>
        <r>
          <rPr>
            <sz val="9"/>
            <color indexed="81"/>
            <rFont val="Segoe UI"/>
            <family val="2"/>
          </rPr>
          <t xml:space="preserve">
1-Codigo 
2-CMD
3-MSG</t>
        </r>
      </text>
    </comment>
    <comment ref="E815" authorId="3" shapeId="0" xr:uid="{00000000-0006-0000-0100-000090040000}">
      <text>
        <r>
          <rPr>
            <sz val="9"/>
            <color indexed="81"/>
            <rFont val="Segoe UI"/>
            <family val="2"/>
          </rPr>
          <t xml:space="preserve">
1-Compra Sem RMF</t>
        </r>
      </text>
    </comment>
    <comment ref="D816" authorId="3" shapeId="0" xr:uid="{00000000-0006-0000-0100-000091040000}">
      <text>
        <r>
          <rPr>
            <sz val="9"/>
            <color indexed="81"/>
            <rFont val="Segoe UI"/>
            <family val="2"/>
          </rPr>
          <t xml:space="preserve">
1-Marca
2-Placa
3-CMD
4-MSG</t>
        </r>
      </text>
    </comment>
    <comment ref="E816" authorId="3" shapeId="0" xr:uid="{00000000-0006-0000-0100-000092040000}">
      <text>
        <r>
          <rPr>
            <sz val="9"/>
            <color indexed="81"/>
            <rFont val="Segoe UI"/>
            <family val="2"/>
          </rPr>
          <t xml:space="preserve">
1-Compra Sem RMF</t>
        </r>
      </text>
    </comment>
    <comment ref="D817" authorId="3" shapeId="0" xr:uid="{00000000-0006-0000-0100-000093040000}">
      <text>
        <r>
          <rPr>
            <sz val="9"/>
            <color indexed="81"/>
            <rFont val="Segoe UI"/>
            <family val="2"/>
          </rPr>
          <t xml:space="preserve">
1-Marca
2-Placa
3-CMD
4-MSG</t>
        </r>
      </text>
    </comment>
    <comment ref="E817" authorId="3" shapeId="0" xr:uid="{00000000-0006-0000-0100-000094040000}">
      <text>
        <r>
          <rPr>
            <sz val="9"/>
            <color indexed="81"/>
            <rFont val="Segoe UI"/>
            <family val="2"/>
          </rPr>
          <t xml:space="preserve">
1-Compra Sem RMF</t>
        </r>
      </text>
    </comment>
    <comment ref="D818" authorId="3" shapeId="0" xr:uid="{00000000-0006-0000-0100-000095040000}">
      <text>
        <r>
          <rPr>
            <sz val="9"/>
            <color indexed="81"/>
            <rFont val="Segoe UI"/>
            <family val="2"/>
          </rPr>
          <t xml:space="preserve">
1-Marca
2-Placa
3-CMD
4-MSG</t>
        </r>
      </text>
    </comment>
    <comment ref="E818" authorId="3" shapeId="0" xr:uid="{00000000-0006-0000-0100-000096040000}">
      <text>
        <r>
          <rPr>
            <sz val="9"/>
            <color indexed="81"/>
            <rFont val="Segoe UI"/>
            <family val="2"/>
          </rPr>
          <t xml:space="preserve">
1-Compra Sem RMF</t>
        </r>
      </text>
    </comment>
    <comment ref="D819" authorId="3" shapeId="0" xr:uid="{00000000-0006-0000-0100-000097040000}">
      <text>
        <r>
          <rPr>
            <sz val="9"/>
            <color indexed="81"/>
            <rFont val="Segoe UI"/>
            <family val="2"/>
          </rPr>
          <t>1 - Cód Material
2 - Material
3 - Descrição Material
4 - Unidade de Entrada
5 - Unidade de Entrada - Quantidade
6 - Unidade de Entrada - Valor Unitário
7 - Unidade de Entrada - Valor Total Produto
8 - Unidade de Saída
9 - Unidade de Saída - Quantidade
10 - Unidade de Saída - Valor Unitário
11 - Unidade de Saída - Valor Total Produto
12 - Elemento de Despesa
13 - Subelemento de Despesa
14 - Item Controlado Lote
15 - Nota Explicativa
16 -Característica
17 - Data Cadastro/Alteração
18 - Responsável Cadastro
19 - CMD
20 - MSG</t>
        </r>
      </text>
    </comment>
    <comment ref="E819" authorId="3" shapeId="0" xr:uid="{00000000-0006-0000-0100-000098040000}">
      <text>
        <r>
          <rPr>
            <sz val="9"/>
            <color indexed="81"/>
            <rFont val="Segoe UI"/>
            <family val="2"/>
          </rPr>
          <t xml:space="preserve">
1-Material
2-Variação do Material
3-Elemento / Subelemento
4-Compra Sem RMF</t>
        </r>
      </text>
    </comment>
    <comment ref="D820" authorId="3" shapeId="0" xr:uid="{00000000-0006-0000-0100-000099040000}">
      <text>
        <r>
          <rPr>
            <sz val="9"/>
            <color indexed="81"/>
            <rFont val="Segoe UI"/>
            <family val="2"/>
          </rPr>
          <t>1 - Cód Material
2 - Material
3 - Descrição Material
4 - Unidade de Entrada
5 - Unidade de Entrada - Quantidade
6 - Unidade de Entrada - Valor Unitário
7 - Unidade de Entrada - Valor Total Produto
8 - Unidade de Saída
9 - Unidade de Saída - Quantidade
10 - Unidade de Saída - Valor Unitário
11 - Unidade de Saída - Valor Total Produto
12 - Elemento de Despesa
13 - Subelemento de Despesa
14 - Item Controlado Lote
15 - Nota Explicativa
16 -Característica
17 - Data Cadastro/Alteração
18 - Responsável Cadastro</t>
        </r>
      </text>
    </comment>
    <comment ref="E820" authorId="3" shapeId="0" xr:uid="{00000000-0006-0000-0100-00009A040000}">
      <text>
        <r>
          <rPr>
            <sz val="9"/>
            <color indexed="81"/>
            <rFont val="Segoe UI"/>
            <family val="2"/>
          </rPr>
          <t xml:space="preserve">
1-Material
2-Variação do Material
3-Elemento / Subelemento
4-Compra Sem RMF</t>
        </r>
      </text>
    </comment>
    <comment ref="D821" authorId="3" shapeId="0" xr:uid="{290BE10F-2F4C-4FC2-B67F-286EE4B69948}">
      <text>
        <r>
          <rPr>
            <sz val="9"/>
            <color indexed="81"/>
            <rFont val="Segoe UI"/>
            <family val="2"/>
          </rPr>
          <t>1 - Cód Material
2 - Material
3 - Descrição Material
4 - Unidade de Medida
5 - Quantidade
6 - Valor Unitário
7 - Valor Total Produto
8 - Unidade de Saída
9 - Unidade de Saída - Quantidade
10 - Unidade de Saída - Valor Unitário
11 - Unidade de Saída - Valor Total Produto
12 - Elemento de Despesa
13 - Subelemento de Despesa
14 -Imagem
15 - Nota Explicativa
16 -Característica
17-Vida util 
18-valor residual
19 - CMD
20 - MSG</t>
        </r>
      </text>
    </comment>
    <comment ref="E821" authorId="3" shapeId="0" xr:uid="{8B8E735E-67DC-4551-AFBB-CD605B2919B2}">
      <text>
        <r>
          <rPr>
            <sz val="9"/>
            <color indexed="81"/>
            <rFont val="Segoe UI"/>
            <family val="2"/>
          </rPr>
          <t xml:space="preserve">
1-Material
2-Variação do Material
3-Elemento / Subelemento
4-Compra Sem RMF</t>
        </r>
      </text>
    </comment>
    <comment ref="D822" authorId="3" shapeId="0" xr:uid="{6F71027A-0776-41D7-A699-D3AC77D45ADE}">
      <text>
        <r>
          <rPr>
            <sz val="9"/>
            <color indexed="81"/>
            <rFont val="Segoe UI"/>
            <family val="2"/>
          </rPr>
          <t>1 - Cód Material
2 - Material
3 - Descrição Material
4 - Unidade de Medida
5 - Quantidade
6 - Valor Unitário
7 - Valor Total Produto
8 - Unidade de Saída
9 - Unidade de Saída - Quantidade
10 - Unidade de Saída - Valor Unitário
11 - Unidade de Saída - Valor Total Produto
12 - Elemento de Despesa
13 - Subelemento de Despesa
14 -Imagem
15 - Nota Explicativa
16 -Característica
17 - UL/ULV Destino
18 - Detentor Bem
19 - É Emplaquetável
20 - RP - Item
21 - RP - Descrição
22 - RP - Prefixo
23 - RP - Número
24 - RP - nº Patrimonial
24 - UL/ULV Destino
25-Vida util 
26-valor residual</t>
        </r>
      </text>
    </comment>
    <comment ref="E822" authorId="3" shapeId="0" xr:uid="{7DAD02A8-98DF-4255-BDDE-B7F2C4C3649C}">
      <text>
        <r>
          <rPr>
            <sz val="9"/>
            <color indexed="81"/>
            <rFont val="Segoe UI"/>
            <family val="2"/>
          </rPr>
          <t xml:space="preserve">
1-Material
2-Variação do Material
3-Elemento / Subelemento
4-Compra Sem RMF
5-Intervalo Patrimonial</t>
        </r>
      </text>
    </comment>
    <comment ref="D823" authorId="3" shapeId="0" xr:uid="{00000000-0006-0000-0100-00009F040000}">
      <text>
        <r>
          <rPr>
            <sz val="9"/>
            <color indexed="81"/>
            <rFont val="Segoe UI"/>
            <family val="2"/>
          </rPr>
          <t>1 - Cód Material
2 - Material
3 - Descrição Material
4 - Unidade de Entrada
5 - Unidade de Entrada - Quantidade
6 - Unidade de Entrada - Valor Unitário
7 - Unidade de Entrada - Valor Total Produto
8 - Unidade de Saída
9 - Unidade de Saída - Quantidade
10 - Unidade de Saída - Valor Unitário
11 - Unidade de Saída - Valor Total Produto
12 - Elemento de Despesa
13 - Subelemento de Despesa
14 - Item Controlado Lote
15 - Nota Explicativa
16 -Característica
17 - Data Cadastro/Alteração
18 - Responsável Cadastro
19 - CMD
20 - MSG</t>
        </r>
      </text>
    </comment>
    <comment ref="E823" authorId="3" shapeId="0" xr:uid="{00000000-0006-0000-0100-0000A0040000}">
      <text>
        <r>
          <rPr>
            <sz val="9"/>
            <color indexed="81"/>
            <rFont val="Segoe UI"/>
            <family val="2"/>
          </rPr>
          <t xml:space="preserve">
1-Material
2-Variação do Material
3-Elemento / Subelemento
4-Compra Sem RMF</t>
        </r>
      </text>
    </comment>
    <comment ref="D824" authorId="3" shapeId="0" xr:uid="{D8BC0787-F85C-4682-AB97-46FBCAEAD742}">
      <text>
        <r>
          <rPr>
            <sz val="9"/>
            <color indexed="81"/>
            <rFont val="Segoe UI"/>
            <family val="2"/>
          </rPr>
          <t>1 - Cód Material
2 - Material
3 - Descrição Material
4 - Unidade de Medida
5 - Quantidade
6 - Valor Unitário
7 - Valor Total Produto
8 - Unidade de Saída
9 - Unidade de Saída - Quantidade
10 - Unidade de Saída - Valor Unitário
11 - Unidade de Saída - Valor Total Produto
12 - Elemento de Despesa
13 - Subelemento de Despesa
14 -Imagem
15 - Nota Explicativa
16 -Característica
17 - UL/ULV Destino
18 - Detentor Bem
19 - É Emplaquetável
20 - RP - Item
21 - RP - Descrição
22 - RP - Prefixo
23 - RP - Número
24 - RP - nº Patrimonial
24 - UL/ULV Destino
25-Vida util 
26-valor residual
27 - CMD
28 - MSG</t>
        </r>
      </text>
    </comment>
    <comment ref="E824" authorId="3" shapeId="0" xr:uid="{1B684B81-CCFE-42E5-93FE-993841984732}">
      <text>
        <r>
          <rPr>
            <sz val="9"/>
            <color indexed="81"/>
            <rFont val="Segoe UI"/>
            <family val="2"/>
          </rPr>
          <t xml:space="preserve">
1-Material
2-Variação do Material
3-Elemento / Subelemento
4-Compra Sem RMF
5-Intervalo Patrimonial</t>
        </r>
      </text>
    </comment>
    <comment ref="D827" authorId="3" shapeId="0" xr:uid="{00000000-0006-0000-0100-0000A3040000}">
      <text>
        <r>
          <rPr>
            <sz val="9"/>
            <color indexed="81"/>
            <rFont val="Segoe UI"/>
            <family val="2"/>
          </rPr>
          <t>1 - Código Matser
2 - Descrição Matser
3 - Código Elemento
4 - Código Item
5 - Descrição Item
6 - Situação
7 - Status Item</t>
        </r>
      </text>
    </comment>
    <comment ref="E827" authorId="3" shapeId="0" xr:uid="{00000000-0006-0000-0100-0000A4040000}">
      <text>
        <r>
          <rPr>
            <sz val="9"/>
            <color indexed="81"/>
            <rFont val="Segoe UI"/>
            <family val="2"/>
          </rPr>
          <t xml:space="preserve">
1-Material API SIAG</t>
        </r>
      </text>
    </comment>
    <comment ref="D828" authorId="3" shapeId="0" xr:uid="{00000000-0006-0000-0100-0000A5040000}">
      <text>
        <r>
          <rPr>
            <sz val="9"/>
            <color indexed="81"/>
            <rFont val="Segoe UI"/>
            <family val="2"/>
          </rPr>
          <t xml:space="preserve">1 - Código Matser
2 - Descrição Matser
3 - Código Elemento
4 - Código Item
5 - Descrição Item
6 - Situação
7 - Status Item
8 - Data
9 - Hora
10 - Tipo de cadastro
11 - Código Material
12 - Descrição Item
13 - Elemento
14 - Subelemento
15 - Variação
16 - Descrição Variação
17 - Responsável Cadastro
18 - Tipo de Cadastro
19 - Data Cadastro
20 - Data Alteração
</t>
        </r>
      </text>
    </comment>
    <comment ref="E828" authorId="3" shapeId="0" xr:uid="{00000000-0006-0000-0100-0000A6040000}">
      <text>
        <r>
          <rPr>
            <sz val="9"/>
            <color indexed="81"/>
            <rFont val="Segoe UI"/>
            <family val="2"/>
          </rPr>
          <t xml:space="preserve">
1-Histórico Integração</t>
        </r>
      </text>
    </comment>
    <comment ref="D829" authorId="3" shapeId="0" xr:uid="{00000000-0006-0000-0100-0000A7040000}">
      <text>
        <r>
          <rPr>
            <sz val="9"/>
            <color indexed="81"/>
            <rFont val="Segoe UI"/>
            <family val="2"/>
          </rPr>
          <t xml:space="preserve">
*API:
1 - Código Matser
2 - Descrição Matser
3 - Código Elemento
4 - Código Item
5 - Descrição Item
6 - Situação
7 - Status Item
*Sispat:
8 - Código Material
9 - Descrição Item
10 - Elemento
11 - Subelemento
12 - Variação
13 - Descrição Variação
14 - Responsável Cadastro
15 - Tipo de Cadastro
16 - Data Cadastro
17 - Data Alteração
*Histórico Integração
18 - Código Matser
19 - Descrição Matser
20 - Código Elemento
21 - Código Item
22 - Descrição Item
23 - Situação
24 - Status Item
25 - Data
26 - Hora
27 - Tipo de cadastro
28 - CMD
29 - MSG</t>
        </r>
      </text>
    </comment>
    <comment ref="E829" authorId="3" shapeId="0" xr:uid="{00000000-0006-0000-0100-0000A8040000}">
      <text>
        <r>
          <rPr>
            <sz val="9"/>
            <color indexed="81"/>
            <rFont val="Segoe UI"/>
            <family val="2"/>
          </rPr>
          <t xml:space="preserve">
1-Material
2-Material API SIAG
3-Variação Material
4-Histórico Integração</t>
        </r>
      </text>
    </comment>
    <comment ref="D832" authorId="3" shapeId="0" xr:uid="{00000000-0006-0000-0100-0000A9040000}">
      <text>
        <r>
          <rPr>
            <sz val="9"/>
            <color indexed="81"/>
            <rFont val="Segoe UI"/>
            <family val="2"/>
          </rPr>
          <t>1 - Período Inicial
2 - Período Final
3 - Elemento Despesa
4 - Subelemento de Despesa
5 - Data
6 - Código Material
7 - Descrição Material
8 - Código Item
9 - Descrição Item
10 - CMD
11 - MSG</t>
        </r>
      </text>
    </comment>
    <comment ref="E832" authorId="3" shapeId="0" xr:uid="{00000000-0006-0000-0100-0000AA040000}">
      <text>
        <r>
          <rPr>
            <sz val="9"/>
            <color indexed="81"/>
            <rFont val="Segoe UI"/>
            <family val="2"/>
          </rPr>
          <t xml:space="preserve">
1-Histórico Integração
2-Material</t>
        </r>
      </text>
    </comment>
    <comment ref="D835" authorId="3" shapeId="0" xr:uid="{4D704581-5400-41C5-8572-4AA4AAD83239}">
      <text>
        <r>
          <rPr>
            <sz val="9"/>
            <color indexed="81"/>
            <rFont val="Segoe UI"/>
            <family val="2"/>
          </rPr>
          <t xml:space="preserve">
1-CÓDIGO UO
2-DESCRIÇÃO DO ÓRGÃO UO
3-código RM
4-Grupo
5-Data ini
6-Data fim 
7-CMD
8-MSG</t>
        </r>
      </text>
    </comment>
    <comment ref="E835" authorId="3" shapeId="0" xr:uid="{DDB2C642-91AC-40F7-A6D8-85D18969DE2C}">
      <text>
        <r>
          <rPr>
            <sz val="9"/>
            <color indexed="81"/>
            <rFont val="Segoe UI"/>
            <family val="2"/>
          </rPr>
          <t xml:space="preserve">
1-Entrada por Incorporação
2-Compra Sem RMF
3-Unidade orçamentaria
4-Bens </t>
        </r>
      </text>
    </comment>
    <comment ref="D836" authorId="3" shapeId="0" xr:uid="{F9BCD464-F965-4D1A-A8E7-3EA96C7421BA}">
      <text>
        <r>
          <rPr>
            <sz val="9"/>
            <color indexed="81"/>
            <rFont val="Segoe UI"/>
            <family val="2"/>
          </rPr>
          <t xml:space="preserve">
1 -Unidade 
2 -codigo RM 
3 -Grupo
4-Exercicio
5-Orgao
6-CMD
</t>
        </r>
      </text>
    </comment>
    <comment ref="E836" authorId="3" shapeId="0" xr:uid="{3A21F1C1-5A3F-45CC-862F-5BA6EEB4AB63}">
      <text>
        <r>
          <rPr>
            <sz val="9"/>
            <color indexed="81"/>
            <rFont val="Segoe UI"/>
            <family val="2"/>
          </rPr>
          <t xml:space="preserve">
1-Entrada por Incorporação
2-Compra Sem RMF
3-Unidade orçamentaria
4-Bens </t>
        </r>
      </text>
    </comment>
    <comment ref="D837" authorId="3" shapeId="0" xr:uid="{D4449BC1-AE6D-4AAA-887B-DB04B93E74AE}">
      <text>
        <r>
          <rPr>
            <sz val="9"/>
            <color indexed="81"/>
            <rFont val="Segoe UI"/>
            <family val="2"/>
          </rPr>
          <t xml:space="preserve">
1 -Unidade 
2 -codigo RM 
3 -Grupo
4 -Natureza
5 -Taxa de depreciação
6 -valor residual
7 -valor a depreciar
8 -total depreciado ano 
9 -depreciação acumulada
10-saldo acumulado
11-valor bruto
12-situação
13 -RM 
14 -Grupo 
15 -Natureza 
16 -data da depreciação 
17 -por natureza 
18-CMD
19-MSG
</t>
        </r>
      </text>
    </comment>
    <comment ref="E837" authorId="3" shapeId="0" xr:uid="{5CE82BB5-EF22-447E-B4DF-835F5070C626}">
      <text>
        <r>
          <rPr>
            <sz val="9"/>
            <color indexed="81"/>
            <rFont val="Segoe UI"/>
            <family val="2"/>
          </rPr>
          <t xml:space="preserve">
1-Entrada por Incorporação
2-Compra Sem RMF
3-Unidade orçamentaria
4-Bens </t>
        </r>
      </text>
    </comment>
    <comment ref="D838" authorId="3" shapeId="0" xr:uid="{D5274B81-4F25-416A-A125-1215B41CBC1F}">
      <text>
        <r>
          <rPr>
            <sz val="9"/>
            <color indexed="81"/>
            <rFont val="Segoe UI"/>
            <family val="2"/>
          </rPr>
          <t xml:space="preserve">
1 -Por grupo 
2 -data inicio
3 -data fim 
4 -RM 
5 -Grupo 
6 -Natureza 
7 -data da depreciação 
8 -por natureza 
9 -CMD
10-MSG</t>
        </r>
      </text>
    </comment>
    <comment ref="E838" authorId="3" shapeId="0" xr:uid="{12F081E2-EA4C-444E-B116-F07B839048E6}">
      <text>
        <r>
          <rPr>
            <sz val="9"/>
            <color indexed="81"/>
            <rFont val="Segoe UI"/>
            <family val="2"/>
          </rPr>
          <t xml:space="preserve">
1-Entrada por Incorporação
2-Compra Sem RMF
3-Unidade orçamentaria
4-Bens </t>
        </r>
      </text>
    </comment>
    <comment ref="D839" authorId="3" shapeId="0" xr:uid="{C91A0663-531F-4BBF-B4EE-21A8B88C6F52}">
      <text>
        <r>
          <rPr>
            <sz val="9"/>
            <color indexed="81"/>
            <rFont val="Segoe UI"/>
            <family val="2"/>
          </rPr>
          <t>1 - RM
2 - Grupo
3 - Elemento de Despesa
4 - Subelemento de Despesa
5 - Título
6 - Vida Útil
7 - Valor %
8-CMD</t>
        </r>
      </text>
    </comment>
    <comment ref="E839" authorId="3" shapeId="0" xr:uid="{0F815BA8-B169-4365-904E-F06A78259313}">
      <text>
        <r>
          <rPr>
            <sz val="9"/>
            <color indexed="81"/>
            <rFont val="Segoe UI"/>
            <family val="2"/>
          </rPr>
          <t xml:space="preserve">
1-Tabela Depreciação
</t>
        </r>
      </text>
    </comment>
    <comment ref="D842" authorId="3" shapeId="0" xr:uid="{C38097ED-5BF6-4902-9650-97D7BEBFEAA0}">
      <text>
        <r>
          <rPr>
            <sz val="9"/>
            <color indexed="81"/>
            <rFont val="Segoe UI"/>
            <family val="2"/>
          </rPr>
          <t xml:space="preserve">
1-código uo
2-descrição do órgão uo
3-Grupo
4-Data ini
5-Data fim 
6-CMD
7-MSG</t>
        </r>
      </text>
    </comment>
    <comment ref="E842" authorId="3" shapeId="0" xr:uid="{F357A179-7B5A-438F-B167-56E53B9C2D78}">
      <text>
        <r>
          <rPr>
            <sz val="9"/>
            <color indexed="81"/>
            <rFont val="Segoe UI"/>
            <family val="2"/>
          </rPr>
          <t xml:space="preserve">
1-Entrada por Incorporação
2-Compra Sem RMF
3-Unidade orçamentaria
4-Bens </t>
        </r>
      </text>
    </comment>
    <comment ref="D843" authorId="3" shapeId="0" xr:uid="{415CBB38-07F8-4D8D-B356-579A5865FCD0}">
      <text>
        <r>
          <rPr>
            <sz val="9"/>
            <color indexed="81"/>
            <rFont val="Segoe UI"/>
            <family val="2"/>
          </rPr>
          <t xml:space="preserve">
1 -Unidade 
2 -Grupo
3-Exercicio
4-Orgao
5-CMD
</t>
        </r>
      </text>
    </comment>
    <comment ref="E843" authorId="3" shapeId="0" xr:uid="{E16E7ED3-7B13-418B-9194-0D054C29D17E}">
      <text>
        <r>
          <rPr>
            <sz val="9"/>
            <color indexed="81"/>
            <rFont val="Segoe UI"/>
            <family val="2"/>
          </rPr>
          <t xml:space="preserve">
1-Entrada por Incorporação
2-Compra Sem RMF
3-Unidade orçamentaria
4-Bens </t>
        </r>
      </text>
    </comment>
    <comment ref="D844" authorId="3" shapeId="0" xr:uid="{71E4B6A4-1A50-48D9-ADC6-702E447B5374}">
      <text>
        <r>
          <rPr>
            <sz val="9"/>
            <color indexed="81"/>
            <rFont val="Segoe UI"/>
            <family val="2"/>
          </rPr>
          <t xml:space="preserve">
1 -Unidade 
2 -codigo RM 
3 -Grupo
4 -Natureza
5 -Taxa de amortização
6 -amortização acumulada 
7 -valor a amortização
8 -total amortização ano 
9 -amortização acumulada
10-valor bruto
11-situação
12 - Grupo
13 - Natureza 
14 - data 
15 - por natureza 
16-CMD
17-MSG</t>
        </r>
      </text>
    </comment>
    <comment ref="E844" authorId="3" shapeId="0" xr:uid="{5A2AFF41-F815-4B45-8370-63D1854A8B30}">
      <text>
        <r>
          <rPr>
            <sz val="9"/>
            <color indexed="81"/>
            <rFont val="Segoe UI"/>
            <family val="2"/>
          </rPr>
          <t xml:space="preserve">
1-Entrada por Incorporação
2-Compra Sem RMF
3-Unidade orçamentaria
4-Bens </t>
        </r>
      </text>
    </comment>
    <comment ref="D845" authorId="3" shapeId="0" xr:uid="{D60C9DA6-8ACC-48B0-AD2C-BE448B88A14C}">
      <text>
        <r>
          <rPr>
            <sz val="9"/>
            <color indexed="81"/>
            <rFont val="Segoe UI"/>
            <family val="2"/>
          </rPr>
          <t xml:space="preserve">
1 - Por grupo 
2 - data inicio
3 - data fim
4 - Grupo
5 - Natureza 
6 - data 
7 - por natureza 
8 - CMD
9 - MSG</t>
        </r>
      </text>
    </comment>
    <comment ref="E845" authorId="3" shapeId="0" xr:uid="{030BBC11-C4B3-410A-9AF5-815B9BF754EA}">
      <text>
        <r>
          <rPr>
            <sz val="9"/>
            <color indexed="81"/>
            <rFont val="Segoe UI"/>
            <family val="2"/>
          </rPr>
          <t xml:space="preserve">
1-Entrada por Incorporação
2-Compra Sem RMF
3-Unidade orçamentaria
4-Bens </t>
        </r>
      </text>
    </comment>
    <comment ref="D846" authorId="4" shapeId="0" xr:uid="{C66B8921-4290-4E8E-ADD9-E5440716FEC0}">
      <text>
        <r>
          <rPr>
            <sz val="9"/>
            <color indexed="81"/>
            <rFont val="Segoe UI"/>
            <family val="2"/>
          </rPr>
          <t>1 - Grupo
2 - Elemento
3 - Subelemento
4 - Título
5 - Vida útil meses
6 - Valor residual %
7 - CMD</t>
        </r>
      </text>
    </comment>
    <comment ref="E846" authorId="4" shapeId="0" xr:uid="{C8A9D9B9-9227-498C-B00A-A02A53F2BA2E}">
      <text>
        <r>
          <rPr>
            <sz val="9"/>
            <color indexed="81"/>
            <rFont val="Segoe UI"/>
            <family val="2"/>
          </rPr>
          <t>1 - Tabela Amortização</t>
        </r>
      </text>
    </comment>
    <comment ref="D849" authorId="3" shapeId="0" xr:uid="{00000000-0006-0000-0100-0000B7040000}">
      <text>
        <r>
          <rPr>
            <sz val="9"/>
            <color indexed="81"/>
            <rFont val="Segoe UI"/>
            <family val="2"/>
          </rPr>
          <t xml:space="preserve">
1 -Codigo UG
2 -UG
3- Sigla UG
4 -Codigo UA 
5 -UA 
6 -Codigo UL 
7 -UL 
8 -Cidade 
9 -Responsável
10 - Exercício
11 - UO
12 - Código UO
13 - Sigla UO
14 -CMD
15-MSG</t>
        </r>
      </text>
    </comment>
    <comment ref="E849" authorId="3" shapeId="0" xr:uid="{00000000-0006-0000-0100-0000B8040000}">
      <text>
        <r>
          <rPr>
            <sz val="9"/>
            <color indexed="81"/>
            <rFont val="Segoe UI"/>
            <family val="2"/>
          </rPr>
          <t xml:space="preserve">
1-Unidade Gestora
2-Unidade ADM
3-Unidade Localização
4-Unidade Orçamentária Fiplan</t>
        </r>
      </text>
    </comment>
    <comment ref="D852" authorId="3" shapeId="0" xr:uid="{00000000-0006-0000-0100-0000B9040000}">
      <text>
        <r>
          <rPr>
            <sz val="9"/>
            <color indexed="81"/>
            <rFont val="Segoe UI"/>
            <family val="2"/>
          </rPr>
          <t xml:space="preserve">
1-Servidor 
2-Matricula
3-CPF
4-Codigo 
5-Email
6-Status
7-Data inativação
8-CMD
9-MSG</t>
        </r>
      </text>
    </comment>
    <comment ref="E852" authorId="3" shapeId="0" xr:uid="{00000000-0006-0000-0100-0000BA040000}">
      <text>
        <r>
          <rPr>
            <sz val="9"/>
            <color indexed="81"/>
            <rFont val="Segoe UI"/>
            <family val="2"/>
          </rPr>
          <t xml:space="preserve">
1-Unidades de localização 
2-Servidor</t>
        </r>
      </text>
    </comment>
    <comment ref="D853" authorId="3" shapeId="0" xr:uid="{CEEFCC37-8825-4F14-BC33-7B65A2F345D6}">
      <text>
        <r>
          <rPr>
            <sz val="9"/>
            <color indexed="81"/>
            <rFont val="Segoe UI"/>
            <family val="2"/>
          </rPr>
          <t xml:space="preserve">
1- UL
2- Membro
3- Situação
4-CMD
5-MSG</t>
        </r>
      </text>
    </comment>
    <comment ref="E853" authorId="3" shapeId="0" xr:uid="{A6E02284-420A-4C58-A7AC-0781EB6D6998}">
      <text>
        <r>
          <rPr>
            <sz val="9"/>
            <color indexed="81"/>
            <rFont val="Segoe UI"/>
            <family val="2"/>
          </rPr>
          <t xml:space="preserve">
1-Unidades de localização 
</t>
        </r>
      </text>
    </comment>
    <comment ref="D856" authorId="3" shapeId="0" xr:uid="{00000000-0006-0000-0100-0000BD040000}">
      <text>
        <r>
          <rPr>
            <sz val="9"/>
            <color indexed="81"/>
            <rFont val="Segoe UI"/>
            <family val="2"/>
          </rPr>
          <t xml:space="preserve">
1 -Imagem do Cadastro do Bem
2 -Unidade Gestora Origem Entrada
3 -U.G (Unidade Gestora) Atual
4 -U.A (Unidade Administrativa)
5 -U.L (Unidade de Localização)
6 -Responsável pela U.L
7 -U.L.V (Unidade de Localização Vinculada)
8 -Responsável pela U.L.V 
9 -Registro Patrimonial
10-Status do Bem
11-Cód. Variação
12-Descrição/Esp. Do Bem
13-Valor da Entrada
14-Saldo Acum. Depreciado
15-Valor descontado depreciado
16-Fornecedor
17-Estado de Conservação
18-Detentor
19-Natureza de Despesa
20-Tipo de bem
21-Cód. Entrada
22-Tipo de Entrada
23-Data de Entrada
24-Responsável pela Entrada
25-CMD
26-MSG</t>
        </r>
      </text>
    </comment>
    <comment ref="E856" authorId="3" shapeId="0" xr:uid="{00000000-0006-0000-0100-0000BE040000}">
      <text>
        <r>
          <rPr>
            <sz val="9"/>
            <color indexed="81"/>
            <rFont val="Segoe UI"/>
            <family val="2"/>
          </rPr>
          <t xml:space="preserve">
1-Variação do Material
2-Fornecedor 
3-Compra Sem RMF
4-Entrada por Incorporação
5-Unidade orçamentaria
6-Bens</t>
        </r>
      </text>
    </comment>
    <comment ref="D859" authorId="3" shapeId="0" xr:uid="{00000000-0006-0000-0100-0000BF040000}">
      <text>
        <r>
          <rPr>
            <sz val="9"/>
            <color indexed="81"/>
            <rFont val="Segoe UI"/>
            <family val="2"/>
          </rPr>
          <t xml:space="preserve">
1-Marca
2-Modelo
3-Capacidade 
4-Capacidade memoria
5-CMD
6-MSG</t>
        </r>
      </text>
    </comment>
    <comment ref="E859" authorId="3" shapeId="0" xr:uid="{DD04E4D3-DF5F-4712-8AB0-45320DE99366}">
      <text>
        <r>
          <rPr>
            <sz val="9"/>
            <color indexed="81"/>
            <rFont val="Segoe UI"/>
            <family val="2"/>
          </rPr>
          <t>1-Entrada por Incorporação
2-Material
3-Variação Material</t>
        </r>
      </text>
    </comment>
    <comment ref="D862" authorId="3" shapeId="0" xr:uid="{00000000-0006-0000-0100-0000C1040000}">
      <text>
        <r>
          <rPr>
            <sz val="9"/>
            <color indexed="81"/>
            <rFont val="Segoe UI"/>
            <family val="2"/>
          </rPr>
          <t xml:space="preserve">
1-Serie 
2-Chassi 
3-Placa 
4-Renavam
5-CMD
6-MSG</t>
        </r>
      </text>
    </comment>
    <comment ref="E862" authorId="3" shapeId="0" xr:uid="{00000000-0006-0000-0100-0000C2040000}">
      <text>
        <r>
          <rPr>
            <sz val="9"/>
            <color indexed="81"/>
            <rFont val="Segoe UI"/>
            <family val="2"/>
          </rPr>
          <t>1-Entrada por Incorporação
2-Material</t>
        </r>
      </text>
    </comment>
    <comment ref="D865" authorId="3" shapeId="0" xr:uid="{00000000-0006-0000-0100-0000C3040000}">
      <text>
        <r>
          <rPr>
            <sz val="9"/>
            <color indexed="81"/>
            <rFont val="Segoe UI"/>
            <family val="2"/>
          </rPr>
          <t xml:space="preserve">
1-Valor Bruto
2-Valor bruno novo
3-vida util
4-vida util novodata da reavaliação
5-CMD
6-MSG</t>
        </r>
      </text>
    </comment>
    <comment ref="E865" authorId="3" shapeId="0" xr:uid="{00000000-0006-0000-0100-0000C4040000}">
      <text>
        <r>
          <rPr>
            <sz val="9"/>
            <color indexed="81"/>
            <rFont val="Segoe UI"/>
            <family val="2"/>
          </rPr>
          <t xml:space="preserve">
1-Bem material
2-Entrada por incorporação
</t>
        </r>
      </text>
    </comment>
    <comment ref="D868" authorId="3" shapeId="0" xr:uid="{00000000-0006-0000-0100-0000C5040000}">
      <text>
        <r>
          <rPr>
            <sz val="9"/>
            <color indexed="81"/>
            <rFont val="Segoe UI"/>
            <family val="2"/>
          </rPr>
          <t xml:space="preserve">
1-UG
2-Iventario
3-Data
4-Local 
5-CMD
6-MSG</t>
        </r>
      </text>
    </comment>
    <comment ref="E868" authorId="5" shapeId="0" xr:uid="{00000000-0006-0000-0100-0000C6040000}">
      <text>
        <r>
          <rPr>
            <sz val="9"/>
            <color indexed="81"/>
            <rFont val="Segoe UI"/>
            <family val="2"/>
          </rPr>
          <t xml:space="preserve">1. Inventário de Bens móveis 
2. Unidades de localização 
</t>
        </r>
      </text>
    </comment>
    <comment ref="D871" authorId="3" shapeId="0" xr:uid="{D610E9AB-B5F7-42D6-8E0B-8F1F22A8F443}">
      <text>
        <r>
          <rPr>
            <sz val="9"/>
            <color indexed="81"/>
            <rFont val="Segoe UI"/>
            <family val="2"/>
          </rPr>
          <t xml:space="preserve">
1 -Tipo de Produto
2 -Tipo de Entrada
3 -Modalidade 
4 -Mês de Entrada
5 -Exercicio 
6 -Órgão/ 
7 -Unidade 
8 - Fornecedor 
9 -Situação 
10-Código da Entrada 
11-Data de Entrada 
12-Responsável pelo Cadastro 
13-UL Destino 
14- ULV Destino
15-Valor Total da Entrada 
16-CMD
17-MSG</t>
        </r>
      </text>
    </comment>
    <comment ref="E871" authorId="3" shapeId="0" xr:uid="{183A0EEA-2BC3-489D-B82C-361A4C44ECB9}">
      <text>
        <r>
          <rPr>
            <sz val="9"/>
            <color indexed="81"/>
            <rFont val="Segoe UI"/>
            <family val="2"/>
          </rPr>
          <t>1-Orgão
2-Unidade Gestora
3-Contrato
4-Fornecedor
5-Entrada de Bens de terceiros</t>
        </r>
      </text>
    </comment>
    <comment ref="D872" authorId="3" shapeId="0" xr:uid="{241884A9-43B6-48B3-B1CF-1C5CAC909E7F}">
      <text>
        <r>
          <rPr>
            <sz val="9"/>
            <color indexed="81"/>
            <rFont val="Segoe UI"/>
            <family val="2"/>
          </rPr>
          <t xml:space="preserve">
1-Código SEAP
2-Descrição
3-CMD
</t>
        </r>
      </text>
    </comment>
    <comment ref="E872" authorId="3" shapeId="0" xr:uid="{489351B3-935D-4E9A-8CCF-BA1D31ECD5D1}">
      <text>
        <r>
          <rPr>
            <sz val="9"/>
            <color indexed="81"/>
            <rFont val="Segoe UI"/>
            <family val="2"/>
          </rPr>
          <t xml:space="preserve">
1-Unidade Localização</t>
        </r>
      </text>
    </comment>
    <comment ref="D873" authorId="3" shapeId="0" xr:uid="{20B94DD5-F9F0-4569-BEDF-6931A1FE456C}">
      <text>
        <r>
          <rPr>
            <sz val="9"/>
            <color indexed="81"/>
            <rFont val="Segoe UI"/>
            <family val="2"/>
          </rPr>
          <t xml:space="preserve">
1-Código SEAP
2-Descrição
3-Situação
4-CMD
</t>
        </r>
      </text>
    </comment>
    <comment ref="E873" authorId="3" shapeId="0" xr:uid="{860BB2EA-B072-4A30-AB9B-034C799C1E1C}">
      <text>
        <r>
          <rPr>
            <sz val="9"/>
            <color indexed="81"/>
            <rFont val="Segoe UI"/>
            <family val="2"/>
          </rPr>
          <t xml:space="preserve">
1-Unidade Localização Vinculada</t>
        </r>
      </text>
    </comment>
    <comment ref="D874" authorId="3" shapeId="0" xr:uid="{A810FDB6-CC71-400D-A22B-28D14FBF7771}">
      <text>
        <r>
          <rPr>
            <sz val="9"/>
            <color indexed="81"/>
            <rFont val="Segoe UI"/>
            <family val="2"/>
          </rPr>
          <t xml:space="preserve">
1-Codigo
2-CMD
3-MSG</t>
        </r>
      </text>
    </comment>
    <comment ref="E874" authorId="3" shapeId="0" xr:uid="{0132426A-62F3-4241-8B15-9097EC8DBC98}">
      <text>
        <r>
          <rPr>
            <sz val="9"/>
            <color indexed="81"/>
            <rFont val="Segoe UI"/>
            <family val="2"/>
          </rPr>
          <t>1-Entrada de Bens de terceiros</t>
        </r>
      </text>
    </comment>
    <comment ref="D877" authorId="3" shapeId="0" xr:uid="{7D4C194E-DE7A-49C6-95FA-8D501B17BF10}">
      <text>
        <r>
          <rPr>
            <sz val="9"/>
            <color indexed="81"/>
            <rFont val="Segoe UI"/>
            <family val="2"/>
          </rPr>
          <t xml:space="preserve">
1 -Mês aberto
2 -CNPJ
3 -Órgão/ Unidade Gestora
4 -Tipo entrada
5 -Data entrada
6 -UL/ULV Destino
7 -Valor Total da Entrada
8 -Tipo do bem 
9 -Modalidade
10-Destino
11-OBS
12-Código da Entrada
13-Responsável pelo Cadastro
14-Data de cadastro
15-Status
16-Fornecedor
17-CNPJ Fornecedor
18-ID
19-Tipo de Documento
20-Nº do Documento
21-Data do Documento
22-Documento
23-Id documento
24 -Cód. Material
25 -Material
26 -Descrição do Material
27 -Unidade de Medida
28 -Valor Unitário
29 -Valor Total do Produto
30 -Elemento de Despesa
31 -Subelemento 
32 -Nome da marca 
33-Justificativa 
34-Data de Cadastro/Alteração
35-Responsável pelo Cadastro
36-ID
37-Unidade Orcamentaria
38-Unidade ADM</t>
        </r>
      </text>
    </comment>
    <comment ref="E877" authorId="3" shapeId="0" xr:uid="{77CC5111-DC62-43ED-9D06-9DA420EC678F}">
      <text>
        <r>
          <rPr>
            <sz val="9"/>
            <color indexed="81"/>
            <rFont val="Segoe UI"/>
            <family val="2"/>
          </rPr>
          <t>1-Entrada de Bens de terceiros
2-Documento
3-Item de material</t>
        </r>
      </text>
    </comment>
    <comment ref="D878" authorId="3" shapeId="0" xr:uid="{CE6764BB-CA16-4108-9450-084140C960C7}">
      <text>
        <r>
          <rPr>
            <sz val="9"/>
            <color indexed="81"/>
            <rFont val="Segoe UI"/>
            <family val="2"/>
          </rPr>
          <t xml:space="preserve">
1 -Mês aberto
2 -Exercicio
3 -Órgão
4 -CNPJ
5 -Unidade Orcamentaria
6 -Unidade Gestora
7 -Unidade ADM
8 -Tipo entrada
9 -Data entrada
10-UL Destino
11-ULV Destino
12-Valor Total da Entrada
13-Tipo do bem 
14 -Modalidade
15-Destino
16-OBS
17-Código da Entrada
18-Responsável pelo Cadastro
19-Data de cadastro
20-Status
21-Fornecedor
22-CNPJ Fornecedor
23-CMD
24-MSG</t>
        </r>
      </text>
    </comment>
    <comment ref="E878" authorId="3" shapeId="0" xr:uid="{E7B11B5E-E15B-4184-8F19-FDC8CB91635B}">
      <text>
        <r>
          <rPr>
            <sz val="9"/>
            <color indexed="81"/>
            <rFont val="Segoe UI"/>
            <family val="2"/>
          </rPr>
          <t xml:space="preserve">1-Orgão
2-Unidade Gestora
3-Fornecedor
4-Entrada de Bens de terceiros
5-Historico de eventos do bem </t>
        </r>
      </text>
    </comment>
    <comment ref="D879" authorId="3" shapeId="0" xr:uid="{9CB23E3A-A460-455F-955C-7AF2855E8215}">
      <text>
        <r>
          <rPr>
            <sz val="9"/>
            <color indexed="81"/>
            <rFont val="Segoe UI"/>
            <family val="2"/>
          </rPr>
          <t xml:space="preserve">
1 -Mês aberto
2 -Exercicio
3 -Órgão
4 -CNPJ
5 -Unidade Orcamentaria
6 -Unidade Gestora
7 -Unidade ADM
8 -Tipo entrada
9 -Data entrada
10-UL Destino
11-ULV Destino
12-Valor Total da Entrada
13-Tipo do bem 
14 -Modalidade
15-Destino
16-OBS
17-Código da Entrada
18-Responsável pelo Cadastro
19-Data de cadastro
20-Status
21-Fornecedor
22-CNPJ Fornecedor
23-CMD
24-MSG</t>
        </r>
      </text>
    </comment>
    <comment ref="E879" authorId="3" shapeId="0" xr:uid="{89ED1D2A-137B-4D2D-BBD4-120330EF3A86}">
      <text>
        <r>
          <rPr>
            <sz val="9"/>
            <color indexed="81"/>
            <rFont val="Segoe UI"/>
            <family val="2"/>
          </rPr>
          <t xml:space="preserve">1-Orgão
2-Unidade Gestora
3-Fornecedor
4-Entrada de Bens de terceiros
5-Historico de eventos do bem </t>
        </r>
      </text>
    </comment>
    <comment ref="D880" authorId="3" shapeId="0" xr:uid="{78A002E3-68F8-4B0B-8057-C97CE52AE189}">
      <text>
        <r>
          <rPr>
            <sz val="9"/>
            <color indexed="81"/>
            <rFont val="Segoe UI"/>
            <family val="2"/>
          </rPr>
          <t xml:space="preserve">
1 -Mês aberto
2 -Exercicio
3 -Órgão
4 -CNPJ
5 -Unidade Orcamentaria
6 -Unidade Gestora
7 -Unidade ADM
8 -Tipo entrada
9 -Data entrada
10-UL Destino
11-ULV Destino
12-Valor Total da Entrada
13-Tipo do bem 
14 -Modalidade
15-Destino
16-OBS
17-Código da Entrada
18-Responsável pelo Cadastro
19-Data de cadastro
20-Status
21-Fornecedor
22-CNPJ Fornecedor
23-CMD
24-MSG</t>
        </r>
      </text>
    </comment>
    <comment ref="E880" authorId="3" shapeId="0" xr:uid="{9CE96E24-4F99-425B-B3F5-4964D9C408D7}">
      <text>
        <r>
          <rPr>
            <sz val="9"/>
            <color indexed="81"/>
            <rFont val="Segoe UI"/>
            <family val="2"/>
          </rPr>
          <t xml:space="preserve">1-Orgão
2-Unidade Gestora
3-Fornecedor
4-Entrada de Bens de terceiros
5-Historico de eventos do bem </t>
        </r>
      </text>
    </comment>
    <comment ref="D881" authorId="3" shapeId="0" xr:uid="{058F4AFB-DCBC-4F83-BF39-8E42CD54F308}">
      <text>
        <r>
          <rPr>
            <sz val="9"/>
            <color indexed="81"/>
            <rFont val="Segoe UI"/>
            <family val="2"/>
          </rPr>
          <t xml:space="preserve">
1 -Mês aberto
2 -Exercicio
3 -Órgão
4 -CNPJ
5 -Unidade Orcamentaria
6 -Unidade Gestora
7 -Unidade ADM
8 -Tipo entrada
9 -Data entrada
10-UL Destino
11-ULV Destino
12-Valor Total da Entrada
13-Tipo do bem 
14 -Modalidade
15-Destino
16-OBS
17-Código da Entrada
18-Responsável pelo Cadastro
19-Data de cadastro
20-Status
21-Fornecedor
22-CNPJ Fornecedor</t>
        </r>
      </text>
    </comment>
    <comment ref="E881" authorId="3" shapeId="0" xr:uid="{F0436EE0-D384-44A2-9BE6-285ED92B70A4}">
      <text>
        <r>
          <rPr>
            <sz val="9"/>
            <color indexed="81"/>
            <rFont val="Segoe UI"/>
            <family val="2"/>
          </rPr>
          <t xml:space="preserve">1-Orgão
2-Unidade Gestora
3-Fornecedor
4-Entrada de Bens de terceiros
5-Historico de eventos do bem </t>
        </r>
      </text>
    </comment>
    <comment ref="D882" authorId="3" shapeId="0" xr:uid="{CD838DB2-FDD0-4D01-9EA7-25372A7F4B6C}">
      <text>
        <r>
          <rPr>
            <sz val="9"/>
            <color indexed="81"/>
            <rFont val="Segoe UI"/>
            <family val="2"/>
          </rPr>
          <t xml:space="preserve">
1 -Situação
2 -Responsável pelo Cadastro
3 -Data
4-CMD
5 -MSG</t>
        </r>
      </text>
    </comment>
    <comment ref="E882" authorId="3" shapeId="0" xr:uid="{A3E51A2E-AADD-49E6-9286-E780057C4A71}">
      <text>
        <r>
          <rPr>
            <sz val="9"/>
            <color indexed="81"/>
            <rFont val="Segoe UI"/>
            <family val="2"/>
          </rPr>
          <t>1-Entrada de Bens de terceiros</t>
        </r>
      </text>
    </comment>
    <comment ref="D885" authorId="3" shapeId="0" xr:uid="{3B4BA41D-BF5B-4078-96A3-77A5135D4BD6}">
      <text>
        <r>
          <rPr>
            <sz val="9"/>
            <color indexed="81"/>
            <rFont val="Segoe UI"/>
            <family val="2"/>
          </rPr>
          <t xml:space="preserve">
1-Tipo de Documento
2-Nº do Documento
3-Data do Documento
4-Documento
5-CMD
6-MSG
</t>
        </r>
      </text>
    </comment>
    <comment ref="E885" authorId="3" shapeId="0" xr:uid="{30099C08-403C-48FE-A1D2-9AC02DDFD339}">
      <text>
        <r>
          <rPr>
            <sz val="9"/>
            <color indexed="81"/>
            <rFont val="Segoe UI"/>
            <family val="2"/>
          </rPr>
          <t>1-Entrada de Bens de terceiros</t>
        </r>
      </text>
    </comment>
    <comment ref="D886" authorId="3" shapeId="0" xr:uid="{39B37353-A7E2-4DA9-B0EA-372274E767AE}">
      <text>
        <r>
          <rPr>
            <sz val="9"/>
            <color indexed="81"/>
            <rFont val="Segoe UI"/>
            <family val="2"/>
          </rPr>
          <t xml:space="preserve">
1-Tipo de Documento
2-Nº do Documento
3-Data do Documento
4-Documento
5-CMD
6-MSG
</t>
        </r>
      </text>
    </comment>
    <comment ref="E886" authorId="3" shapeId="0" xr:uid="{FEF204D1-FC09-4F41-9A72-9A4D56735309}">
      <text>
        <r>
          <rPr>
            <sz val="9"/>
            <color indexed="81"/>
            <rFont val="Segoe UI"/>
            <family val="2"/>
          </rPr>
          <t>1-Entrada de Bens de terceiros</t>
        </r>
      </text>
    </comment>
    <comment ref="D887" authorId="3" shapeId="0" xr:uid="{9F223441-F1B0-4449-851F-817A222F3B1E}">
      <text>
        <r>
          <rPr>
            <sz val="9"/>
            <color indexed="81"/>
            <rFont val="Segoe UI"/>
            <family val="2"/>
          </rPr>
          <t xml:space="preserve">
1-Tipo de Documento
2-Nº do Documento
3-Data do Documento
4-Documento
5-CMD
6-MSG
</t>
        </r>
      </text>
    </comment>
    <comment ref="E887" authorId="3" shapeId="0" xr:uid="{2F8E5ED1-FB8C-452E-BE91-EEE4562CD7E1}">
      <text>
        <r>
          <rPr>
            <sz val="9"/>
            <color indexed="81"/>
            <rFont val="Segoe UI"/>
            <family val="2"/>
          </rPr>
          <t>1-Entrada de Bens de terceiros</t>
        </r>
      </text>
    </comment>
    <comment ref="D888" authorId="3" shapeId="0" xr:uid="{D102B1E9-2862-4E25-A25F-F4FED523E269}">
      <text>
        <r>
          <rPr>
            <sz val="9"/>
            <color indexed="81"/>
            <rFont val="Segoe UI"/>
            <family val="2"/>
          </rPr>
          <t xml:space="preserve">
1-Tipo de Documento
2-Nº do Documento
3-Data do Documento
4-Documento
5-CMD
6-MSG
</t>
        </r>
      </text>
    </comment>
    <comment ref="E888" authorId="3" shapeId="0" xr:uid="{0C40DAF7-8973-4190-9826-AD94BBCEDBE4}">
      <text>
        <r>
          <rPr>
            <sz val="9"/>
            <color indexed="81"/>
            <rFont val="Segoe UI"/>
            <family val="2"/>
          </rPr>
          <t>1-Entrada de Bens de terceiros</t>
        </r>
      </text>
    </comment>
    <comment ref="D889" authorId="3" shapeId="0" xr:uid="{B5B8255C-C5CA-4B8B-945F-1D0BD195BDE1}">
      <text>
        <r>
          <rPr>
            <sz val="9"/>
            <color indexed="81"/>
            <rFont val="Segoe UI"/>
            <family val="2"/>
          </rPr>
          <t xml:space="preserve">
1-Tipo de Documento
2-Nº do Documento
3-Data do Documento
4-Documento
5-CMD
6-MSG
</t>
        </r>
      </text>
    </comment>
    <comment ref="E889" authorId="3" shapeId="0" xr:uid="{958A4A6F-C47E-4FF4-8C9A-60E6820B7131}">
      <text>
        <r>
          <rPr>
            <sz val="9"/>
            <color indexed="81"/>
            <rFont val="Segoe UI"/>
            <family val="2"/>
          </rPr>
          <t>1-Entrada de Bens de terceiros</t>
        </r>
      </text>
    </comment>
    <comment ref="D890" authorId="3" shapeId="0" xr:uid="{25BBCEB1-DE9A-44A8-92B1-B57B24BB0ECC}">
      <text>
        <r>
          <rPr>
            <sz val="9"/>
            <color indexed="81"/>
            <rFont val="Segoe UI"/>
            <family val="2"/>
          </rPr>
          <t xml:space="preserve">
1-Codigo
2-CMD
3-MSG</t>
        </r>
      </text>
    </comment>
    <comment ref="E890" authorId="3" shapeId="0" xr:uid="{C19F3F37-7E58-4D92-84F2-E48E68A7FC43}">
      <text>
        <r>
          <rPr>
            <sz val="9"/>
            <color indexed="81"/>
            <rFont val="Segoe UI"/>
            <family val="2"/>
          </rPr>
          <t>1-Entrada de Bens de terceiros</t>
        </r>
      </text>
    </comment>
    <comment ref="D893" authorId="3" shapeId="0" xr:uid="{A50A1D23-EB08-4D08-98F0-39DB9F12CE12}">
      <text>
        <r>
          <rPr>
            <sz val="9"/>
            <color indexed="81"/>
            <rFont val="Segoe UI"/>
            <family val="2"/>
          </rPr>
          <t xml:space="preserve">
1-Cód. Item
2-Nº Patrimonial
3-Descrição
4-UL/ULV Destino
5-Detentor
6-Valor Total do Produto
7-CMD
8-MSG</t>
        </r>
      </text>
    </comment>
    <comment ref="E893" authorId="3" shapeId="0" xr:uid="{006B0A01-12F7-49E4-BB2B-78A739AAC2DF}">
      <text>
        <r>
          <rPr>
            <sz val="9"/>
            <color indexed="81"/>
            <rFont val="Segoe UI"/>
            <family val="2"/>
          </rPr>
          <t xml:space="preserve">1-Entrada de Bens de terceiros
2-Material
</t>
        </r>
      </text>
    </comment>
    <comment ref="D894" authorId="3" shapeId="0" xr:uid="{3529BF66-7FB0-4070-AFCA-E90777221157}">
      <text>
        <r>
          <rPr>
            <sz val="9"/>
            <color indexed="81"/>
            <rFont val="Segoe UI"/>
            <family val="2"/>
          </rPr>
          <t xml:space="preserve">
1 -Cód. Material
2 -Material
3 -Descrição do Material
4 -Unidade de Medida
5 -Valor Unitário
6 -Valor Total do Produto
7 -Elemento de Despesa
8 -Subelemento 
9 -Nome da marca 
10-Justificativa 
11-Data de Cadastro/Alteração
12-Responsável pelo Cadastro
13-CMD
14-MSG</t>
        </r>
      </text>
    </comment>
    <comment ref="E894" authorId="3" shapeId="0" xr:uid="{7613A83C-025C-4347-854A-F0AB042DE748}">
      <text>
        <r>
          <rPr>
            <sz val="9"/>
            <color indexed="81"/>
            <rFont val="Segoe UI"/>
            <family val="2"/>
          </rPr>
          <t>1-Entrada de Bens de terceiros
2-Material
3-Parametro</t>
        </r>
      </text>
    </comment>
    <comment ref="D895" authorId="3" shapeId="0" xr:uid="{4DE1FE64-638E-464F-A20D-AA95C7B92BA0}">
      <text>
        <r>
          <rPr>
            <sz val="9"/>
            <color indexed="81"/>
            <rFont val="Segoe UI"/>
            <family val="2"/>
          </rPr>
          <t xml:space="preserve">
1 -Cód. Material
2 -Material
3 -Descrição do Material
4 -Unidade de Medida
5 -Valor Unitário
6 -Valor Total do Produto
7 -Elemento de Despesa
8 -Subelemento 
9 -Nome da marca 
10-Justificativa 
11-Data de Cadastro/Alteração
12-Responsável pelo Cadastro
13-CMD
14-MSG</t>
        </r>
      </text>
    </comment>
    <comment ref="E895" authorId="3" shapeId="0" xr:uid="{5964DFC4-D277-40AB-9EA7-875D2C77B233}">
      <text>
        <r>
          <rPr>
            <sz val="9"/>
            <color indexed="81"/>
            <rFont val="Segoe UI"/>
            <family val="2"/>
          </rPr>
          <t>1-Entrada de Bens de terceiros
2-Material
3-Parametro</t>
        </r>
      </text>
    </comment>
    <comment ref="D896" authorId="3" shapeId="0" xr:uid="{EB1212EC-881A-452A-8727-296EBAC9DD5C}">
      <text>
        <r>
          <rPr>
            <sz val="9"/>
            <color indexed="81"/>
            <rFont val="Segoe UI"/>
            <family val="2"/>
          </rPr>
          <t xml:space="preserve">
1 -Cód. Material
2 -Material
3 -Descrição do Material
4 -Unidade de Medida
5 -Valor Unitário
6 -Valor Total do Produto
7 -Elemento de Despesa
8 -Subelemento 
9 -Nome da marca 
10-Justificativa 
11-Data de Cadastro/Alteração
12-Responsável pelo Cadastro
13-CMD
14-MSG</t>
        </r>
      </text>
    </comment>
    <comment ref="E896" authorId="3" shapeId="0" xr:uid="{228B84A5-3781-49C9-B5FB-7F5879C42678}">
      <text>
        <r>
          <rPr>
            <sz val="9"/>
            <color indexed="81"/>
            <rFont val="Segoe UI"/>
            <family val="2"/>
          </rPr>
          <t>1-Entrada de Bens de terceiros
2-Material
3-Parametro</t>
        </r>
      </text>
    </comment>
    <comment ref="D897" authorId="3" shapeId="0" xr:uid="{1DCD1D0A-3971-4148-A4C4-7E2D9CBC776E}">
      <text>
        <r>
          <rPr>
            <sz val="9"/>
            <color indexed="81"/>
            <rFont val="Segoe UI"/>
            <family val="2"/>
          </rPr>
          <t xml:space="preserve">
1 -Cód. Material
2 -Material
3 -Descrição do Material
4 -Unidade de Medida
5 -Valor Unitário
6 -Valor Total do Produto
7 -Elemento de Despesa
8 -Subelemento 
9 -Nome da marca 
10-Justificativa 
11-Data de Cadastro/Alteração
12-Responsável pelo Cadastro
13-CMD
14-MSG</t>
        </r>
      </text>
    </comment>
    <comment ref="E897" authorId="3" shapeId="0" xr:uid="{DEF3D6D1-ADE1-4E6A-BB8E-9AE1D8727EDC}">
      <text>
        <r>
          <rPr>
            <sz val="9"/>
            <color indexed="81"/>
            <rFont val="Segoe UI"/>
            <family val="2"/>
          </rPr>
          <t>1-Entrada de Bens de terceiros
2-Material
3-Parametro</t>
        </r>
      </text>
    </comment>
    <comment ref="D898" authorId="3" shapeId="0" xr:uid="{D96DAB36-72AE-48C2-93A3-2F5087D74ED5}">
      <text>
        <r>
          <rPr>
            <sz val="9"/>
            <color indexed="81"/>
            <rFont val="Segoe UI"/>
            <family val="2"/>
          </rPr>
          <t xml:space="preserve">
1 -Cód. Material
2 -Cód. Entrada
3-CMD
4-MSG</t>
        </r>
      </text>
    </comment>
    <comment ref="E898" authorId="3" shapeId="0" xr:uid="{F396C051-206B-4E10-942C-3B1181B7F50C}">
      <text>
        <r>
          <rPr>
            <sz val="9"/>
            <color indexed="81"/>
            <rFont val="Segoe UI"/>
            <family val="2"/>
          </rPr>
          <t xml:space="preserve">1-Entrada de Bens de terceiros
</t>
        </r>
      </text>
    </comment>
    <comment ref="D899" authorId="3" shapeId="0" xr:uid="{6A846E11-E57C-4B85-A18A-BCD680769D93}">
      <text>
        <r>
          <rPr>
            <sz val="9"/>
            <color indexed="81"/>
            <rFont val="Segoe UI"/>
            <family val="2"/>
          </rPr>
          <t xml:space="preserve">
1 -Quantidade
2 -Detentor do Bem
3 -Item
4 -Prefixo
5 -Número do RP
6 -Nº Patrimonial
7 -Descrição
8 -UL/ULV Destino
9 -Detentor do Bem
10-Característica exclusiva do bem
11-Valor total do produto 
12-CMD
13-MSG
</t>
        </r>
      </text>
    </comment>
    <comment ref="E899" authorId="3" shapeId="0" xr:uid="{7B3948EB-0C48-464D-A6E3-90DCB358C134}">
      <text>
        <r>
          <rPr>
            <sz val="9"/>
            <color indexed="81"/>
            <rFont val="Segoe UI"/>
            <family val="2"/>
          </rPr>
          <t>1-Entrada de Bens de terceiros
2-Material
3-Pessoa</t>
        </r>
      </text>
    </comment>
    <comment ref="D900" authorId="3" shapeId="0" xr:uid="{4E09C4A4-7706-4E6E-A4E0-157C9881A8DD}">
      <text>
        <r>
          <rPr>
            <sz val="9"/>
            <color indexed="81"/>
            <rFont val="Segoe UI"/>
            <family val="2"/>
          </rPr>
          <t xml:space="preserve">
1-Item
2-Nº Patrimonial
3-UL/ULV Destino
4-Detentor do Bem
5-CMD
6-MSG
</t>
        </r>
      </text>
    </comment>
    <comment ref="E900" authorId="3" shapeId="0" xr:uid="{38CE8B26-8854-4B33-A645-566572409E6D}">
      <text>
        <r>
          <rPr>
            <sz val="9"/>
            <color indexed="81"/>
            <rFont val="Segoe UI"/>
            <family val="2"/>
          </rPr>
          <t xml:space="preserve">1-Entrada de Bens de terceiros
2-Material
3-Unidade </t>
        </r>
      </text>
    </comment>
    <comment ref="D901" authorId="3" shapeId="0" xr:uid="{AC6DD707-DE6B-4F86-8493-17276591A5CD}">
      <text>
        <r>
          <rPr>
            <sz val="9"/>
            <color indexed="81"/>
            <rFont val="Segoe UI"/>
            <family val="2"/>
          </rPr>
          <t xml:space="preserve">
1-Marca
2-Placa
3-CMD
4-MSG</t>
        </r>
      </text>
    </comment>
    <comment ref="E901" authorId="3" shapeId="0" xr:uid="{54B44DFF-9E18-4426-A029-7C4835509FFA}">
      <text>
        <r>
          <rPr>
            <sz val="9"/>
            <color indexed="81"/>
            <rFont val="Segoe UI"/>
            <family val="2"/>
          </rPr>
          <t>1-Entrada de Bens de terceiros
2-Material
3- Parâmetros de Características</t>
        </r>
      </text>
    </comment>
    <comment ref="D904" authorId="3" shapeId="0" xr:uid="{00000000-0006-0000-0100-00000E000000}">
      <text>
        <r>
          <rPr>
            <sz val="9"/>
            <color indexed="81"/>
            <rFont val="Segoe UI"/>
            <family val="2"/>
          </rPr>
          <t xml:space="preserve">
1 -Exercício
2 -Órgão
3 -Unidade Orçamentária (UO)
4 -Unidade Gestora (UG)
5 -Unidade Administrativa (UA)
6 -Unidade de Localização (UL)
7 -Unidade de Localização Vinculada (ULV)
8 -Nº do Termo
9 -Responsável (UL/ULV)
10-Situação
11-Data de Emissão
12-CMD
13-MSG</t>
        </r>
      </text>
    </comment>
    <comment ref="E904" authorId="3" shapeId="0" xr:uid="{00000000-0006-0000-0100-00000F000000}">
      <text>
        <r>
          <rPr>
            <sz val="9"/>
            <color indexed="81"/>
            <rFont val="Segoe UI"/>
            <family val="2"/>
          </rPr>
          <t xml:space="preserve">
1-Orgão
2-Termo de responsabilidade 
3-Servidor
4-Unidade Localização
5-Unidade Gestora
6-Unidade Vinculada
7-Unidade Orçamentária Fiplan</t>
        </r>
      </text>
    </comment>
    <comment ref="D907" authorId="3" shapeId="0" xr:uid="{00000000-0006-0000-0100-000010000000}">
      <text>
        <r>
          <rPr>
            <sz val="9"/>
            <color indexed="81"/>
            <rFont val="Segoe UI"/>
            <family val="2"/>
          </rPr>
          <t xml:space="preserve">
1 - Exercício
2 - Órgão
3 - Unidade Orçamentária (UO)
4 - Unidade Gestora (UG)
5 - Unidade de Administração (UA)
6 - Unidade de Localização (UL)
7 - Unidade de Localização Vinculada (ULV)
8 - Nº Termo
9 - Tipo de Bem
10 - Data de Emissão
11 - Responsável (UL/ULV)
12 - Matrícula
13 - E-mail
14 - Data Início
15 - Data Fim
16 - Responsável Patrimonial
17 - Matrícula
18 - E-mail
19 - ID
</t>
        </r>
      </text>
    </comment>
    <comment ref="E907" authorId="3" shapeId="0" xr:uid="{00000000-0006-0000-0100-000011000000}">
      <text>
        <r>
          <rPr>
            <sz val="9"/>
            <color indexed="81"/>
            <rFont val="Segoe UI"/>
            <family val="2"/>
          </rPr>
          <t xml:space="preserve">
1-Termo de responsabilidade 
</t>
        </r>
      </text>
    </comment>
    <comment ref="D908" authorId="3" shapeId="0" xr:uid="{00000000-0006-0000-0100-000012000000}">
      <text>
        <r>
          <rPr>
            <sz val="9"/>
            <color indexed="81"/>
            <rFont val="Segoe UI"/>
            <family val="2"/>
          </rPr>
          <t xml:space="preserve">
1 - Exercício
2 - Órgão
3 - Unidade Orçamentária (UO)
4 - Unidade Gestora (UG)
5 - Unidade de Administração (UA)
6 - Unidade de Localização (UL)
7 - Unidade de Localização Vinculada (ULV)
8 - Nº Termo
9 - Tipo de Bem
10 - Data de Emissão
11 - Responsável (UL/ULV)
12 - Matrícula
13 - E-mail
14 - Data Início
15 - Data Fim
16 - Responsável Patrimonial
17 - Matrícula
18 - E-mail
19 - CMD
20 - MSG
</t>
        </r>
      </text>
    </comment>
    <comment ref="E908" authorId="3" shapeId="0" xr:uid="{00000000-0006-0000-0100-000013000000}">
      <text>
        <r>
          <rPr>
            <sz val="9"/>
            <color indexed="81"/>
            <rFont val="Segoe UI"/>
            <family val="2"/>
          </rPr>
          <t xml:space="preserve">
1-Orgão
2-Termo de responsabilidade 
3-Servidor
4-Unidade Localização
5-Unidade Gestora
6-Unidade Vinculada
7-Unidade Orçamentária Fiplan</t>
        </r>
      </text>
    </comment>
    <comment ref="D909" authorId="3" shapeId="0" xr:uid="{00000000-0006-0000-0100-000014000000}">
      <text>
        <r>
          <rPr>
            <sz val="9"/>
            <color indexed="81"/>
            <rFont val="Segoe UI"/>
            <family val="2"/>
          </rPr>
          <t xml:space="preserve">
1 -Nº do Termo                          
2 -Data Início
3 -Data Fim (caso tenha registro).
4 -Órgão
5 -Unidade Orçamentária 
6 -Unidade Gestora
7 -Unidade Administrativa
8 -Unidade de Localização
9 -Unidade de Localização Vinculada
10-Responsável pela UL/ULV.
11-Item
12-Patrimônio
13-Descrição 
14-Situação
15-Valor
16-Valor Total
17-CMD
18-MSG
</t>
        </r>
      </text>
    </comment>
    <comment ref="E909" authorId="3" shapeId="0" xr:uid="{00000000-0006-0000-0100-000015000000}">
      <text>
        <r>
          <rPr>
            <sz val="9"/>
            <color indexed="81"/>
            <rFont val="Segoe UI"/>
            <family val="2"/>
          </rPr>
          <t xml:space="preserve">
1-Orgão
2-Termo de responsabilidade 
3-Servidor
4-Unidade Localização
5-Unidade Gestora
6-Unidade Vinculada
7-Bem Movel
8-Unidade Orçamentária Fiplan</t>
        </r>
      </text>
    </comment>
    <comment ref="D910" authorId="3" shapeId="0" xr:uid="{00000000-0006-0000-0100-000016000000}">
      <text>
        <r>
          <rPr>
            <sz val="9"/>
            <color indexed="81"/>
            <rFont val="Segoe UI"/>
            <family val="2"/>
          </rPr>
          <t xml:space="preserve">
1 - Exercício
2 - Órgão
3 - Unidade Orçamentária (UO)
4 - Unidade Gestora (UG)
5 - Unidade de Administração (UA)
6 - Unidade de Localização (UL)
7 - Unidade de Localização Vinculada (ULV)
8 - Nº Termo
9 - Tipo de Bem
10 - Data de Emissão
11 - Responsável (UL/ULV)
12 - Matrícula
13 - E-mail
14 - Data Início
15 - Data Fim
16 - Responsável Patrimonial
17 - Matrícula
18 - E-mail
19 - CMD
20 - MSG
</t>
        </r>
      </text>
    </comment>
    <comment ref="E910" authorId="3" shapeId="0" xr:uid="{00000000-0006-0000-0100-000017000000}">
      <text>
        <r>
          <rPr>
            <sz val="9"/>
            <color indexed="81"/>
            <rFont val="Segoe UI"/>
            <family val="2"/>
          </rPr>
          <t xml:space="preserve">
1-Orgão
2-Termo de responsabilidade 
3-Servidor
4-Unidade Localização
5-Unidade Gestora
6-Unidade Vinculada</t>
        </r>
      </text>
    </comment>
    <comment ref="D911" authorId="3" shapeId="0" xr:uid="{00000000-0006-0000-0100-000018000000}">
      <text>
        <r>
          <rPr>
            <sz val="9"/>
            <color indexed="81"/>
            <rFont val="Segoe UI"/>
            <family val="2"/>
          </rPr>
          <t xml:space="preserve">
1-Login
2-Senha
3-CMD
4-MSG</t>
        </r>
      </text>
    </comment>
    <comment ref="E911" authorId="3" shapeId="0" xr:uid="{00000000-0006-0000-0100-000019000000}">
      <text>
        <r>
          <rPr>
            <sz val="9"/>
            <color indexed="81"/>
            <rFont val="Segoe UI"/>
            <family val="2"/>
          </rPr>
          <t xml:space="preserve">
1-Termo de Responsabilidade
2-Servidor</t>
        </r>
      </text>
    </comment>
    <comment ref="D914" authorId="3" shapeId="0" xr:uid="{00000000-0006-0000-0100-00001A000000}">
      <text>
        <r>
          <rPr>
            <sz val="9"/>
            <color indexed="81"/>
            <rFont val="Segoe UI"/>
            <family val="2"/>
          </rPr>
          <t xml:space="preserve">
1-Login
2-Senha
3-CMD
4-MSG</t>
        </r>
      </text>
    </comment>
    <comment ref="E914" authorId="3" shapeId="0" xr:uid="{00000000-0006-0000-0100-00001B000000}">
      <text>
        <r>
          <rPr>
            <sz val="9"/>
            <color indexed="81"/>
            <rFont val="Segoe UI"/>
            <family val="2"/>
          </rPr>
          <t xml:space="preserve">
1-Termo de Responsabilidade
2-Servidor</t>
        </r>
      </text>
    </comment>
    <comment ref="D915" authorId="3" shapeId="0" xr:uid="{00000000-0006-0000-0100-00001C000000}">
      <text>
        <r>
          <rPr>
            <sz val="9"/>
            <color indexed="81"/>
            <rFont val="Segoe UI"/>
            <family val="2"/>
          </rPr>
          <t xml:space="preserve">
1-Justificativa 
2-CMD
3-MSG</t>
        </r>
      </text>
    </comment>
    <comment ref="E915" authorId="3" shapeId="0" xr:uid="{00000000-0006-0000-0100-00001D000000}">
      <text>
        <r>
          <rPr>
            <sz val="9"/>
            <color indexed="81"/>
            <rFont val="Segoe UI"/>
            <family val="2"/>
          </rPr>
          <t xml:space="preserve">
1-Termo de Responsabilidade</t>
        </r>
      </text>
    </comment>
    <comment ref="D918" authorId="3" shapeId="0" xr:uid="{00000000-0006-0000-0100-00001E000000}">
      <text>
        <r>
          <rPr>
            <sz val="9"/>
            <color indexed="81"/>
            <rFont val="Segoe UI"/>
            <family val="2"/>
          </rPr>
          <t xml:space="preserve">
1 -Nº do Termo                          
2 -Data Início
3 -Data Fim (caso tenha registro).
4 -Órgão
5 -Unidade Orçamentária 
6 -Unidade Gestora
7 -Unidade Administrativa
8 -Unidade de Localização
9 -Unidade de Localização Vinculada
10-Responsável pela UL/ULV.
11-Item
12-Patrimônio
13-Descrição 
14-Situação
15-Valor
16-Valor Total
17-usuario assinatura 
18-data assinatura 
19-CMD
20-MSG
</t>
        </r>
      </text>
    </comment>
    <comment ref="E918" authorId="3" shapeId="0" xr:uid="{00000000-0006-0000-0100-00001F000000}">
      <text>
        <r>
          <rPr>
            <sz val="9"/>
            <color indexed="81"/>
            <rFont val="Segoe UI"/>
            <family val="2"/>
          </rPr>
          <t xml:space="preserve">
1-Orgão
2-Termo de responsabilidade 
3-Servidor
4-Unidade Localização
5-Unidade Gestora
6-Unidade Vinculada
7-Bem Movel</t>
        </r>
      </text>
    </comment>
    <comment ref="D921" authorId="3" shapeId="0" xr:uid="{00000000-0006-0000-0100-000020000000}">
      <text>
        <r>
          <rPr>
            <sz val="9"/>
            <color indexed="81"/>
            <rFont val="Segoe UI"/>
            <family val="2"/>
          </rPr>
          <t xml:space="preserve">
1-Email
2-Assunto 
3-Nome do Responsável 
4-Unidade  do Servidor
5-CMD
6-MSG
</t>
        </r>
      </text>
    </comment>
    <comment ref="E921" authorId="3" shapeId="0" xr:uid="{00000000-0006-0000-0100-000021000000}">
      <text>
        <r>
          <rPr>
            <sz val="9"/>
            <color indexed="81"/>
            <rFont val="Segoe UI"/>
            <family val="2"/>
          </rPr>
          <t xml:space="preserve">
1-Unidade Gestora
2-Termo de responsabilidade 
3-Servidor
4-Notificação Mobiliário</t>
        </r>
      </text>
    </comment>
    <comment ref="D924" authorId="3" shapeId="0" xr:uid="{2A5502D8-1F71-4BB0-8099-A0471CCB4286}">
      <text>
        <r>
          <rPr>
            <sz val="9"/>
            <color indexed="81"/>
            <rFont val="Segoe UI"/>
            <family val="2"/>
          </rPr>
          <t xml:space="preserve">
1. Tipo de Entrada  
2. Modalidade  
3. Data de Inclusão  
4. Código do Órgão  
5. Descrição do Órgão  
6. Sigla do Órgão  
7. Código da Unidade Orçamentária  
8. Descrição da Unidade Orçamentária  
9. Sigla da Unidade Orçamentária  
10. Código da Unidade Gestora  
11. Descrição da Unidade Gestora  
12. Sigla da Unidade Gestora  
13. Código da Unidade Local (U.L.)  
14. Descrição da Unidade Local (U.L.)  
15. Código da Unidade Local Vinculada (U.L.V.)  
16. Descrição da Unidade Local Vinculada (U.L.V.)  
17. CNPJ do Fornecedor  
18. Razão Social do Fornecedor  
19. Código de Entrada  
20. Data de Entrada  
21. Código do Tipo de Documento  
22. Descrição do Tipo de Documento  
23. Número do Documento  
24. Data do Documento  
25. Código da Natureza de Despesa  
26. Descrição da Natureza de Despesa  
27. Item (numeração sequencial)  
28. Número do Patrimônio (RP)  
29. Código do Material  
30. Descrição do Material  
31. Variação do Material  
32. Valor de Entrada  
33. Total da Conta  
34. Total da Entrada  
35. Total de Bens (Permanente e Intangível)  
36. Valor por Natureza de Despesa  
37. Total Geral  
38. Data e Hora da Emissão do Relatório  
39. Nome do Usuário que emitiu o Relatório  
40. CMD  
41. MSG
</t>
        </r>
      </text>
    </comment>
    <comment ref="E924" authorId="3" shapeId="0" xr:uid="{24B3CCB4-5FE4-401B-9172-8E36E4DB0596}">
      <text>
        <r>
          <rPr>
            <sz val="9"/>
            <color indexed="81"/>
            <rFont val="Segoe UI"/>
            <family val="2"/>
          </rPr>
          <t xml:space="preserve">
1-Orgão
2-Fornecedor API
3-Entrada por incorporação
4-Usuario
5-Unidade de Localiação</t>
        </r>
      </text>
    </comment>
    <comment ref="D925" authorId="3" shapeId="0" xr:uid="{3CC9D7FB-AA15-4047-954E-ABBA5F51A881}">
      <text>
        <r>
          <rPr>
            <sz val="9"/>
            <color indexed="81"/>
            <rFont val="Segoe UI"/>
            <family val="2"/>
          </rPr>
          <t xml:space="preserve">
1. Tipo de Entrada  
2. Modalidade  
3. Data de Inclusão  
4. Código do Órgão  
5. Descrição do Órgão  
6. Sigla do Órgão  
7. Código da Unidade Orçamentária  
8. Descrição da Unidade Orçamentária  
9. Sigla da Unidade Orçamentária  
10. Código da Unidade Gestora  
11. Descrição da Unidade Gestora  
12. Sigla da Unidade Gestora  
13. Código do Almoxarifado  
14. Descrição do Almoxarifado  
15. Finalidade  
16. CNPJ do Fornecedor  
17. Razão Social do Fornecedor  
18. Código de Entrada  
19. Data de Entrada  
20. Código do Tipo de Documento  
21. Descrição do Tipo de Documento  
22. Número do Documento  
23. Data do Documento  
24. Código da Natureza de Despesa  
25. Descrição da Natureza de Despesa  
26. Item (numeração sequencial)  
27. Código do Material  
28. Descrição do Material  
29. Variação do Material  
30. Unidade de Medida  
31. Quantidade  
32. Valor Unitário  
33. Valor Total  
34. Total da Entrada  
35. Valor por Natureza de Despesa  
36. Total Geral  
37. Data e Hora da Emissão do Relatório  
38. Nome do Usuário que emitiu o Relatório  
39. CMD  
40. MSG
</t>
        </r>
      </text>
    </comment>
    <comment ref="E925" authorId="3" shapeId="0" xr:uid="{57A5A8ED-436C-420F-9750-0FBCA7D7A60F}">
      <text>
        <r>
          <rPr>
            <sz val="9"/>
            <color indexed="81"/>
            <rFont val="Segoe UI"/>
            <family val="2"/>
          </rPr>
          <t xml:space="preserve">
1-Orgão
2-Fornecedor API
3-Entrada por incorporação
4-Usuario
5-Unidade de Localiação</t>
        </r>
      </text>
    </comment>
    <comment ref="D928" authorId="3" shapeId="0" xr:uid="{6DBD895E-E0C3-4D4E-93DD-12080E8E4CAD}">
      <text>
        <r>
          <rPr>
            <sz val="9"/>
            <color indexed="81"/>
            <rFont val="Segoe UI"/>
            <family val="2"/>
          </rPr>
          <t xml:space="preserve">
1. Código 
2. descrição da UL
3 .RP Bens Inventariados
4 .Descrição Bens Inventariados
5 .Data de Aquisição Bens Inventariados
6 .Valor de Aquisição Bens Inventariados
7 .Estado de Conservação Bens Inventariados
8 .Status do Bem Bens Inventariados
9 .Inventariante Bens Inventariados
10.Status de Processamento Bens Inventariados
11.Responsável pelo Envio Bens Inventariados
12.RP Bens Não Encontrados
13.Descrição Bens Não Encontrados
14.Data de Aquisição Bens Não Encontrados
15.Valor de Aquisição Bens Não Encontrados
16.RP Bens Cadastrados
17.Descrição Bens Cadastrados
18.Data de Aquisição Bens Cadastrados
19.Valor de Aquisição Bens Cadastrados
20.Estado de Conservação Bens Cadastrados
21.Status do Bem Bens Cadastrados
22.Inventariante Bens Cadastrados
23.Status de Processamento Bens Cadastrados
24.Responsável pelo Envio Bens Cadastrados
</t>
        </r>
      </text>
    </comment>
    <comment ref="E928" authorId="3" shapeId="0" xr:uid="{6232C5DE-0938-4151-806A-59BB4A6EEA14}">
      <text>
        <r>
          <rPr>
            <sz val="9"/>
            <color indexed="81"/>
            <rFont val="Segoe UI"/>
            <family val="2"/>
          </rPr>
          <t xml:space="preserve">
1-Iventario
2-Processamento </t>
        </r>
      </text>
    </comment>
    <comment ref="D929" authorId="3" shapeId="0" xr:uid="{431CFD13-113C-4BE0-9B54-E35F3A134560}">
      <text>
        <r>
          <rPr>
            <sz val="9"/>
            <color indexed="81"/>
            <rFont val="Segoe UI"/>
            <family val="2"/>
          </rPr>
          <t xml:space="preserve">
1. Exercício
2. Órgão
3. Unidade Orçamentária (UO)
4. Unidade Gestora (UG)
5. Unidade Administrativa (UA)
6. Unidade de Localização (UL)
7. Inventariante
8. Data do Inventário
9. Status
10. CMD
11. MSG
</t>
        </r>
      </text>
    </comment>
    <comment ref="E929" authorId="3" shapeId="0" xr:uid="{5EC6C933-20AE-4FE5-A0C6-C8927E293F7A}">
      <text>
        <r>
          <rPr>
            <sz val="9"/>
            <color indexed="81"/>
            <rFont val="Segoe UI"/>
            <family val="2"/>
          </rPr>
          <t xml:space="preserve">
1-Unidade Administrativa 
2-Unidade de Localização 
3-Unidade Gestora 
4-Unidade Orçamentária 
5-Unidade de Localização 
6-Iventario Coletado</t>
        </r>
      </text>
    </comment>
    <comment ref="D930" authorId="3" shapeId="0" xr:uid="{ACBF9AE1-D6BE-4CD7-9D56-3778631EA4E0}">
      <text>
        <r>
          <rPr>
            <sz val="9"/>
            <color indexed="81"/>
            <rFont val="Segoe UI"/>
            <family val="2"/>
          </rPr>
          <t xml:space="preserve">
1. Código 
2. descrição da UL
3 .RP Bens Inventariados
4 .Descrição Bens Inventariados
5 .Data de Aquisição Bens Inventariados
6 .Valor de Aquisição Bens Inventariados
7 .Estado de Conservação Bens Inventariados
8 .Status do Bem Bens Inventariados
9 .Inventariante Bens Inventariados
10.Status de Processamento Bens Inventariados
11.Responsável pelo Envio Bens Inventariados
12.RP Bens Não Encontrados
13.Descrição Bens Não Encontrados
14.Data de Aquisição Bens Não Encontrados
15.Valor de Aquisição Bens Não Encontrados
16.RP Bens Cadastrados
17.Descrição Bens Cadastrados
18.Data de Aquisição Bens Cadastrados
19.Valor de Aquisição Bens Cadastrados
20.Estado de Conservação Bens Cadastrados
21.Status do Bem Bens Cadastrados
22.Inventariante Bens Cadastrados
23.Status de Processamento Bens Cadastrados
24.Responsável pelo Envio Bens Cadastrados
25.CMD
26.MSG</t>
        </r>
      </text>
    </comment>
    <comment ref="E930" authorId="3" shapeId="0" xr:uid="{6C763E3B-A183-4F5A-B380-66C26B620AFF}">
      <text>
        <r>
          <rPr>
            <sz val="9"/>
            <color indexed="81"/>
            <rFont val="Segoe UI"/>
            <family val="2"/>
          </rPr>
          <t xml:space="preserve">
1-Unidade Administrativa 
2-Unidade de Localização 
3-Unidade Gestora 
4-Unidade Orçamentária 
5-Unidade de Localização 
6-Iventario Coletado</t>
        </r>
      </text>
    </comment>
    <comment ref="D931" authorId="3" shapeId="0" xr:uid="{D99B51A5-9C47-41B8-A48A-0A850F344CE2}">
      <text>
        <r>
          <rPr>
            <sz val="9"/>
            <color indexed="81"/>
            <rFont val="Segoe UI"/>
            <family val="2"/>
          </rPr>
          <t xml:space="preserve">
1-Status do Levantamento 
2-CMD
3-MSG</t>
        </r>
      </text>
    </comment>
    <comment ref="E931" authorId="3" shapeId="0" xr:uid="{18BCE366-B730-4FFF-A13D-22FA2BE8C80C}">
      <text>
        <r>
          <rPr>
            <sz val="9"/>
            <color indexed="81"/>
            <rFont val="Segoe UI"/>
            <family val="2"/>
          </rPr>
          <t xml:space="preserve">
1-Iventario Coletado</t>
        </r>
      </text>
    </comment>
    <comment ref="D934" authorId="3" shapeId="0" xr:uid="{17A98897-C08A-42E7-8E5D-EECD1832F3E1}">
      <text>
        <r>
          <rPr>
            <sz val="9"/>
            <color indexed="81"/>
            <rFont val="Segoe UI"/>
            <family val="2"/>
          </rPr>
          <t xml:space="preserve">
1. Código 
2. descrição da UL
3 .RP Bens Inventariados
4 .Descrição Bens Inventariados
5 .Data de Aquisição Bens Inventariados
6 .Valor de Aquisição Bens Inventariados
7 .Estado de Conservação Bens Inventariados
8 .Status do Bem Bens Inventariados
9 .Inventariante Bens Inventariados
10.Status de Processamento Bens Inventariados
11.Responsável pelo Envio Bens Inventariados
12.RP Bens Não Encontrados
13.Descrição Bens Não Encontrados
14.Data de Aquisição Bens Não Encontrados
15.Valor de Aquisição Bens Não Encontrados
16.RP Bens Cadastrados
17.Descrição Bens Cadastrados
18.Data de Aquisição Bens Cadastrados
19.Valor de Aquisição Bens Cadastrados
20.Estado de Conservação Bens Cadastrados
21.Status do Bem Bens Cadastrados
22.Inventariante Bens Cadastrados
23.Status de Processamento Bens Cadastrados
24.Responsável pelo Envio Bens Cadastrados
25.CMD
26.MSG</t>
        </r>
      </text>
    </comment>
    <comment ref="E934" authorId="3" shapeId="0" xr:uid="{F51CC06B-619D-405A-981B-C7E3880E41C9}">
      <text>
        <r>
          <rPr>
            <sz val="9"/>
            <color indexed="81"/>
            <rFont val="Segoe UI"/>
            <family val="2"/>
          </rPr>
          <t xml:space="preserve">
1-Entrada por Incorporação
2-Iventario Coletado
3-Iventario 
</t>
        </r>
      </text>
    </comment>
    <comment ref="D937" authorId="3" shapeId="0" xr:uid="{B2FA4300-4DA5-438A-BBFA-C2ED274DDF3F}">
      <text>
        <r>
          <rPr>
            <sz val="9"/>
            <color indexed="81"/>
            <rFont val="Segoe UI"/>
            <family val="2"/>
          </rPr>
          <t xml:space="preserve">
1 -Rersponsável 
2 -Razão social 
3 -CNPJj
4 -Destinação 
5 -Exercicio
6 -Codigo
7 -Sigla 
8 -Descrição
9 -CMD
10-MSG</t>
        </r>
      </text>
    </comment>
    <comment ref="E937" authorId="3" shapeId="0" xr:uid="{645A1FC7-6C47-4A40-B17F-1F6B96B6C568}">
      <text>
        <r>
          <rPr>
            <sz val="9"/>
            <color indexed="81"/>
            <rFont val="Segoe UI"/>
            <family val="2"/>
          </rPr>
          <t xml:space="preserve">
1-Identificação
2-Unidade</t>
        </r>
      </text>
    </comment>
    <comment ref="D938" authorId="3" shapeId="0" xr:uid="{192F575B-6586-4B90-A8CA-19E4D99F3471}">
      <text>
        <r>
          <rPr>
            <sz val="9"/>
            <color indexed="81"/>
            <rFont val="Segoe UI"/>
            <family val="2"/>
          </rPr>
          <t xml:space="preserve">
1 -Exercicio
2 -Codigo
3 -Descrição 
4 -Sigla 
5 -CMD
6 -MSG</t>
        </r>
      </text>
    </comment>
    <comment ref="E938" authorId="3" shapeId="0" xr:uid="{F4104A05-9DBE-4AAB-ACAD-6228A8107C98}">
      <text>
        <r>
          <rPr>
            <sz val="9"/>
            <color indexed="81"/>
            <rFont val="Segoe UI"/>
            <family val="2"/>
          </rPr>
          <t xml:space="preserve">
1-Unidade</t>
        </r>
      </text>
    </comment>
    <comment ref="D939" authorId="3" shapeId="0" xr:uid="{999F9296-5A81-479C-8A0A-08FE88D676FF}">
      <text>
        <r>
          <rPr>
            <sz val="9"/>
            <color indexed="81"/>
            <rFont val="Segoe UI"/>
            <family val="2"/>
          </rPr>
          <t xml:space="preserve">
1-Unidade
2-CMD
3-MSG</t>
        </r>
      </text>
    </comment>
    <comment ref="E939" authorId="3" shapeId="0" xr:uid="{26CE47CA-DE58-4A6F-A72E-85F2A1DC5393}">
      <text>
        <r>
          <rPr>
            <sz val="9"/>
            <color indexed="81"/>
            <rFont val="Segoe UI"/>
            <family val="2"/>
          </rPr>
          <t xml:space="preserve">
1-Identificação</t>
        </r>
      </text>
    </comment>
    <comment ref="D942" authorId="3" shapeId="0" xr:uid="{17852B6B-FE30-4F53-970B-9017B2EF8CE9}">
      <text>
        <r>
          <rPr>
            <sz val="9"/>
            <color indexed="81"/>
            <rFont val="Segoe UI"/>
            <charset val="1"/>
          </rPr>
          <t xml:space="preserve">
1 -Nº do Termo
2 -Exercício 
3 -Órgão
4 -Unidade Orçamentária (UO)
5 -UL Origem
6 -ULV Origem
7 -Detentor do Bem
8 -Data de Cadastro
9 -Situação
10-Responsável da UL/ULV
11-CMD
12-MSG
</t>
        </r>
      </text>
    </comment>
    <comment ref="E942" authorId="3" shapeId="0" xr:uid="{5DFD19C3-1482-4D4E-9B43-A3FDCEA8F5B3}">
      <text>
        <r>
          <rPr>
            <sz val="9"/>
            <color indexed="81"/>
            <rFont val="Segoe UI"/>
            <family val="2"/>
          </rPr>
          <t xml:space="preserve">1-Orgão
2-Unidade Gestora
3-Unidde Administrativa 
4-Pessoa Fisica
5-Itens do Inventário Bens Móveis
6- Detentor do Bem </t>
        </r>
      </text>
    </comment>
    <comment ref="D943" authorId="3" shapeId="0" xr:uid="{DF168520-D581-49D9-AE15-4EB5A6E465C5}">
      <text>
        <r>
          <rPr>
            <sz val="9"/>
            <color indexed="81"/>
            <rFont val="Segoe UI"/>
            <family val="2"/>
          </rPr>
          <t xml:space="preserve">
1-Codigo 
2-CMD
3-MSG</t>
        </r>
      </text>
    </comment>
    <comment ref="E943" authorId="3" shapeId="0" xr:uid="{69C0D61B-3569-414D-B723-4416AFB9B294}">
      <text>
        <r>
          <rPr>
            <sz val="9"/>
            <color indexed="81"/>
            <rFont val="Segoe UI"/>
            <family val="2"/>
          </rPr>
          <t xml:space="preserve">1-Detentor do Bem </t>
        </r>
      </text>
    </comment>
    <comment ref="D946" authorId="3" shapeId="0" xr:uid="{F28EB3F8-2639-4316-AC7F-727B7E401BF7}">
      <text>
        <r>
          <rPr>
            <sz val="9"/>
            <color indexed="81"/>
            <rFont val="Segoe UI"/>
            <charset val="1"/>
          </rPr>
          <t xml:space="preserve">
1 -Nº do Termo
2 -Exercício 
3 -Órgão
4 -Unidade Orçamentária (UO)
5 -Unidade Gestora (UG)
6 -Unidade Administrativa (UA)
7 -Situação
8 -UL Origem
9 -ULV Origem
10-Responsável pela UL/ULV Origem
11-Matrícula/CPF
12-E-mail 
13-Detentor do Bem
14-Matrícula/CPF
15-E-mail 
16-Responsável pelo Cadastro
17-Data de Cadastro
18-Registro Patrimonial
19-ID</t>
        </r>
      </text>
    </comment>
    <comment ref="E946" authorId="3" shapeId="0" xr:uid="{797B0D0C-84C8-4689-9ADB-9AF84AD670DD}">
      <text>
        <r>
          <rPr>
            <sz val="9"/>
            <color indexed="81"/>
            <rFont val="Segoe UI"/>
            <charset val="1"/>
          </rPr>
          <t xml:space="preserve">
1-Detentor do BEM
2-Material do detentor</t>
        </r>
      </text>
    </comment>
    <comment ref="D947" authorId="3" shapeId="0" xr:uid="{5802FFBF-3F29-4841-9B86-B95E3D132D3E}">
      <text>
        <r>
          <rPr>
            <sz val="9"/>
            <color indexed="81"/>
            <rFont val="Segoe UI"/>
            <charset val="1"/>
          </rPr>
          <t xml:space="preserve">
1 -Nº do Termo
2 -Exercício 
3 -Órgão
4 -Unidade Orçamentária (UO)
5 -Unidade Gestora (UG)
6 -Unidade Administrativa (UA)
7 -Situação
8 -UL Origem
9 -ULV Origem
10-Responsável pela UL/ULV Origem
11-Matrícula/CPF
12-E-mail 
13-Detentor do Bem
14-Matrícula/CPF
15-E-mail 
16-Responsável pelo Cadastro
17-Data de Cadastro
18-Registro Patrimonial
19-CMD
20-MSG</t>
        </r>
      </text>
    </comment>
    <comment ref="E947" authorId="3" shapeId="0" xr:uid="{B955C6CE-E10B-4D6C-862B-7B0725976A61}">
      <text>
        <r>
          <rPr>
            <sz val="9"/>
            <color indexed="81"/>
            <rFont val="Segoe UI"/>
            <family val="2"/>
          </rPr>
          <t xml:space="preserve">1-Orgão
2-Unidade Gestora
3-Unidde Administrativa 
4-Pessoa Fisica
5-Itens do Inventário Bens Móveis
6- Detentor do Bem </t>
        </r>
      </text>
    </comment>
    <comment ref="D948" authorId="3" shapeId="0" xr:uid="{ACF40BDB-41B4-45B5-B24E-5518B2946358}">
      <text>
        <r>
          <rPr>
            <sz val="9"/>
            <color indexed="81"/>
            <rFont val="Segoe UI"/>
            <charset val="1"/>
          </rPr>
          <t xml:space="preserve">
1-Nº Patrimonial
2-Item
3-Descrição
4-Estado de Conservação
5-UL Origem
6-ULV Origem
7-Valor de Aquisição
8-CMD
</t>
        </r>
      </text>
    </comment>
    <comment ref="E948" authorId="3" shapeId="0" xr:uid="{59A1FD63-8757-45FC-8EC5-B9345CB96B99}">
      <text>
        <r>
          <rPr>
            <sz val="9"/>
            <color indexed="81"/>
            <rFont val="Segoe UI"/>
            <charset val="1"/>
          </rPr>
          <t xml:space="preserve">
1-Itens do Inventário Bens Móveis</t>
        </r>
      </text>
    </comment>
    <comment ref="D951" authorId="3" shapeId="0" xr:uid="{E7681A22-E184-40FC-812E-6FC7E7B097A2}">
      <text>
        <r>
          <rPr>
            <sz val="9"/>
            <color indexed="81"/>
            <rFont val="Segoe UI"/>
            <charset val="1"/>
          </rPr>
          <t xml:space="preserve">
1-Orgão
2-Codigo
3-Unidade
4-CMD
5-MSG</t>
        </r>
      </text>
    </comment>
    <comment ref="E951" authorId="3" shapeId="0" xr:uid="{1DE5A0E6-F61D-4336-9C25-EB684A6AD5B3}">
      <text>
        <r>
          <rPr>
            <sz val="9"/>
            <color indexed="81"/>
            <rFont val="Segoe UI"/>
            <charset val="1"/>
          </rPr>
          <t xml:space="preserve">
1-Orgão
2-Unidade</t>
        </r>
      </text>
    </comment>
    <comment ref="D952" authorId="3" shapeId="0" xr:uid="{BE04EF03-1B74-43B1-B494-F15024030D9F}">
      <text>
        <r>
          <rPr>
            <sz val="9"/>
            <color indexed="81"/>
            <rFont val="Segoe UI"/>
            <charset val="1"/>
          </rPr>
          <t xml:space="preserve">
1 -Órgão
2 -Exercício
3 -Órgão
4 -Unidade Orçamentária (UO)
5 -Unidade Gestora (UG)
6 -Unidade Administrativa (UA)
7 -Unidade de Localização (UL) 
8 -Responsável pelo Cadastro
9 -Data de Cadastro
10-CMD
11-MSG</t>
        </r>
      </text>
    </comment>
    <comment ref="E952" authorId="3" shapeId="0" xr:uid="{436859DD-8BA3-4EC0-AC6F-49877EAD968E}">
      <text>
        <r>
          <rPr>
            <sz val="9"/>
            <color indexed="81"/>
            <rFont val="Segoe UI"/>
            <charset val="1"/>
          </rPr>
          <t xml:space="preserve">
1-Orgão
2-Unidade Orçamentaria 
3-Unidade Gestoria
4-Unidade Localização
</t>
        </r>
      </text>
    </comment>
    <comment ref="D956" authorId="3" shapeId="0" xr:uid="{00000000-0006-0000-0100-0000C7040000}">
      <text>
        <r>
          <rPr>
            <sz val="9"/>
            <color indexed="81"/>
            <rFont val="Segoe UI"/>
            <family val="2"/>
          </rPr>
          <t xml:space="preserve">
1 -Codigo
2 -Nome 
3 -CEP
4 -Codigo municipio 
5 -municipio
6 -UF
7 -Pais
8 -Bairro
9 -numero
10-tipo logradouro
11-logradouro
12-complemento
13 -Data de Cadastro, 
14 -Usuário de Cadastro
15-Data de Alteração
16-Usuário de Alteração
17-ID
18-Rua 
19-Nome da Rua
20-Numero de blocos
21-numero de andares
22-numero de apartamentos
</t>
        </r>
      </text>
    </comment>
    <comment ref="E956" authorId="3" shapeId="0" xr:uid="{00000000-0006-0000-0100-0000C8040000}">
      <text>
        <r>
          <rPr>
            <sz val="9"/>
            <color indexed="81"/>
            <rFont val="Segoe UI"/>
            <family val="2"/>
          </rPr>
          <t xml:space="preserve">
1-Deposito
2- CEP Thanos
3-Tipo Logradouro</t>
        </r>
      </text>
    </comment>
    <comment ref="D957" authorId="3" shapeId="0" xr:uid="{00000000-0006-0000-0100-0000C9040000}">
      <text>
        <r>
          <rPr>
            <sz val="9"/>
            <color indexed="81"/>
            <rFont val="Segoe UI"/>
            <family val="2"/>
          </rPr>
          <t xml:space="preserve">
1 -Nome 
2 -Codigo
3 -Data cadatro ini
4 -data cadastro fim 
5 -total de ruas
6 -total de AP 
7 -ap desocupadas
8 -ap parcialmente ocupado
9 -CMD
10-MSG</t>
        </r>
      </text>
    </comment>
    <comment ref="E957" authorId="3" shapeId="0" xr:uid="{00000000-0006-0000-0100-0000CA040000}">
      <text>
        <r>
          <rPr>
            <sz val="9"/>
            <color indexed="81"/>
            <rFont val="Segoe UI"/>
            <family val="2"/>
          </rPr>
          <t xml:space="preserve">
1-Deposito
2-Municipio
3-Rua/Endereçamento</t>
        </r>
      </text>
    </comment>
    <comment ref="D958" authorId="3" shapeId="0" xr:uid="{00000000-0006-0000-0100-0000CB040000}">
      <text>
        <r>
          <rPr>
            <sz val="9"/>
            <color indexed="81"/>
            <rFont val="Segoe UI"/>
            <family val="2"/>
          </rPr>
          <t xml:space="preserve">
1 -Nome 
2 -Codigo
3 -Data cadatro
4 -total de ruas
5 -total de AP 
6 -ap desocupadas
7 -ap parcialmente ocupado
8 -Data de Cadastro, 
9 -Usuário de Cadastro
10-Data de Alteração
11-Usuário de Alteração
12-CMD
13-MSG</t>
        </r>
      </text>
    </comment>
    <comment ref="E958" authorId="3" shapeId="0" xr:uid="{00000000-0006-0000-0100-0000CC040000}">
      <text>
        <r>
          <rPr>
            <sz val="9"/>
            <color indexed="81"/>
            <rFont val="Segoe UI"/>
            <family val="2"/>
          </rPr>
          <t xml:space="preserve">
1-Deposito
2-Municipio
3-Rua/Endereçamento</t>
        </r>
      </text>
    </comment>
    <comment ref="D959" authorId="3" shapeId="0" xr:uid="{00000000-0006-0000-0100-0000CD040000}">
      <text>
        <r>
          <rPr>
            <sz val="9"/>
            <color indexed="81"/>
            <rFont val="Segoe UI"/>
            <family val="2"/>
          </rPr>
          <t xml:space="preserve">
1 -Codigo
2 -Nome 
3 -CEP
4 -Codigo municipio 
5 -municipio
6 -UF
7 -Pais
8 -Bairro
9 -numero
10-tipo logradouro
11-logradouro
12-complemento
13-CMD
14-MSG</t>
        </r>
      </text>
    </comment>
    <comment ref="E959" authorId="3" shapeId="0" xr:uid="{00000000-0006-0000-0100-0000CE040000}">
      <text>
        <r>
          <rPr>
            <sz val="9"/>
            <color indexed="81"/>
            <rFont val="Segoe UI"/>
            <family val="2"/>
          </rPr>
          <t xml:space="preserve">
1-Deposito
2-Municipio</t>
        </r>
      </text>
    </comment>
    <comment ref="D960" authorId="3" shapeId="0" xr:uid="{00000000-0006-0000-0100-0000CF040000}">
      <text>
        <r>
          <rPr>
            <sz val="9"/>
            <color indexed="81"/>
            <rFont val="Segoe UI"/>
            <family val="2"/>
          </rPr>
          <t>1-Código
2-CEP
3-Município
4-Código IBGE
5-UF
6-Logradouro
7-Bairro
8-CMD
9-MSG</t>
        </r>
      </text>
    </comment>
    <comment ref="E960" authorId="3" shapeId="0" xr:uid="{00000000-0006-0000-0100-0000D0040000}">
      <text>
        <r>
          <rPr>
            <sz val="9"/>
            <color indexed="81"/>
            <rFont val="Segoe UI"/>
            <family val="2"/>
          </rPr>
          <t>1- CEP Thanos</t>
        </r>
      </text>
    </comment>
    <comment ref="D961" authorId="3" shapeId="0" xr:uid="{00000000-0006-0000-0100-0000D1040000}">
      <text>
        <r>
          <rPr>
            <sz val="9"/>
            <color indexed="81"/>
            <rFont val="Segoe UI"/>
            <family val="2"/>
          </rPr>
          <t>1-Código
2-Descrição
3-CMD</t>
        </r>
      </text>
    </comment>
    <comment ref="E961" authorId="3" shapeId="0" xr:uid="{00000000-0006-0000-0100-0000D2040000}">
      <text>
        <r>
          <rPr>
            <sz val="9"/>
            <color indexed="81"/>
            <rFont val="Segoe UI"/>
            <family val="2"/>
          </rPr>
          <t>1- Tipo Logradouro</t>
        </r>
      </text>
    </comment>
    <comment ref="D962" authorId="3" shapeId="0" xr:uid="{00000000-0006-0000-0100-0000D3040000}">
      <text>
        <r>
          <rPr>
            <sz val="9"/>
            <color indexed="81"/>
            <rFont val="Segoe UI"/>
            <family val="2"/>
          </rPr>
          <t xml:space="preserve">
1 -Codigo
2 -Nome 
3 -CEP
4 -Codigo municipio 
5 -municipio
6 -UF
7 -Pais
8 -Bairro
9 -numero
10-tipo logradouro
11-logradouro
12-complemento
13-CMD
14-MSG</t>
        </r>
      </text>
    </comment>
    <comment ref="E962" authorId="3" shapeId="0" xr:uid="{00000000-0006-0000-0100-0000D4040000}">
      <text>
        <r>
          <rPr>
            <sz val="9"/>
            <color indexed="81"/>
            <rFont val="Segoe UI"/>
            <family val="2"/>
          </rPr>
          <t xml:space="preserve">
1-Deposito
2-Municipio</t>
        </r>
      </text>
    </comment>
    <comment ref="D963" authorId="3" shapeId="0" xr:uid="{00000000-0006-0000-0100-0000D5040000}">
      <text>
        <r>
          <rPr>
            <sz val="9"/>
            <color indexed="81"/>
            <rFont val="Segoe UI"/>
            <family val="2"/>
          </rPr>
          <t xml:space="preserve">
1 -Codigo
2 -Nome 
3 -CEP
4 -Codigo municipio 
5 -municipio
6 -UF
7 -Pais
8 -Bairro
9 -numero
10-tipo logradouro
11-logradouro
12-complemento
13-Rua</t>
        </r>
      </text>
    </comment>
    <comment ref="E963" authorId="3" shapeId="0" xr:uid="{00000000-0006-0000-0100-0000D6040000}">
      <text>
        <r>
          <rPr>
            <sz val="9"/>
            <color indexed="81"/>
            <rFont val="Segoe UI"/>
            <family val="2"/>
          </rPr>
          <t xml:space="preserve">
1-Deposito
2-Municipio
3-Rua/Endereçamento</t>
        </r>
      </text>
    </comment>
    <comment ref="D964" authorId="3" shapeId="0" xr:uid="{00000000-0006-0000-0100-0000D7040000}">
      <text>
        <r>
          <rPr>
            <sz val="9"/>
            <color indexed="81"/>
            <rFont val="Segoe UI"/>
            <family val="2"/>
          </rPr>
          <t xml:space="preserve">
01 - código
02 - comando
03 - mensagem</t>
        </r>
      </text>
    </comment>
    <comment ref="E964" authorId="3" shapeId="0" xr:uid="{00000000-0006-0000-0100-0000D8040000}">
      <text>
        <r>
          <rPr>
            <sz val="9"/>
            <color indexed="81"/>
            <rFont val="Segoe UI"/>
            <family val="2"/>
          </rPr>
          <t xml:space="preserve">
1-Deposito
</t>
        </r>
      </text>
    </comment>
    <comment ref="D965" authorId="3" shapeId="0" xr:uid="{00000000-0006-0000-0100-0000D9040000}">
      <text>
        <r>
          <rPr>
            <sz val="9"/>
            <color indexed="81"/>
            <rFont val="Segoe UI"/>
            <family val="2"/>
          </rPr>
          <t xml:space="preserve">
1 -Codigo
2 -Nome 
3 -CEP
4 -Codigo municipio 
5 -municipio
6 -UF
7 -Pais
8 -Bairro
9 -numero
10-tipo logradouro
11-logradouro
12-complemento
13-Rua
14-CMD
15-MSG</t>
        </r>
      </text>
    </comment>
    <comment ref="E965" authorId="3" shapeId="0" xr:uid="{00000000-0006-0000-0100-0000DA040000}">
      <text>
        <r>
          <rPr>
            <sz val="9"/>
            <color indexed="81"/>
            <rFont val="Segoe UI"/>
            <family val="2"/>
          </rPr>
          <t xml:space="preserve">
1-Deposito
2-Municipio
3-Rua/Endereçamento</t>
        </r>
      </text>
    </comment>
    <comment ref="D968" authorId="3" shapeId="0" xr:uid="{00000000-0006-0000-0100-0000DB040000}">
      <text>
        <r>
          <rPr>
            <sz val="9"/>
            <color indexed="81"/>
            <rFont val="Segoe UI"/>
            <family val="2"/>
          </rPr>
          <t xml:space="preserve">
1-ID
2-Rua 
3-Nome da Rua
4-Bloco
5-Andares
6-Apartamento
7-Situacao
8-Endereçamento
9- Órgão Ocupante Apartamento
10-Sigla Ocupante Apartamento</t>
        </r>
      </text>
    </comment>
    <comment ref="E968" authorId="3" shapeId="0" xr:uid="{00000000-0006-0000-0100-0000DC040000}">
      <text>
        <r>
          <rPr>
            <sz val="9"/>
            <color indexed="81"/>
            <rFont val="Segoe UI"/>
            <family val="2"/>
          </rPr>
          <t xml:space="preserve">
1 - Rua
2 - Bloco
3 - Andar 
4 - Apartamento
5 - Órgão</t>
        </r>
      </text>
    </comment>
    <comment ref="D969" authorId="3" shapeId="0" xr:uid="{00000000-0006-0000-0100-0000DD040000}">
      <text>
        <r>
          <rPr>
            <sz val="9"/>
            <color indexed="81"/>
            <rFont val="Segoe UI"/>
            <family val="2"/>
          </rPr>
          <t xml:space="preserve">
1-Rua 
2-Nome da Rua
3-Numero de blocos
4-numero de andares
5-numero de apartamentos
6-CMD
7-MSG
</t>
        </r>
      </text>
    </comment>
    <comment ref="E969" authorId="3" shapeId="0" xr:uid="{00000000-0006-0000-0100-0000DE040000}">
      <text>
        <r>
          <rPr>
            <sz val="9"/>
            <color indexed="81"/>
            <rFont val="Segoe UI"/>
            <family val="2"/>
          </rPr>
          <t xml:space="preserve">
1-Rua/Endereçamento
</t>
        </r>
      </text>
    </comment>
    <comment ref="D970" authorId="3" shapeId="0" xr:uid="{00000000-0006-0000-0100-0000DF040000}">
      <text>
        <r>
          <rPr>
            <sz val="9"/>
            <color indexed="81"/>
            <rFont val="Segoe UI"/>
            <family val="2"/>
          </rPr>
          <t xml:space="preserve">
1-Rua 
2-Nome da Rua
3-Numero de blocos
4-numero de andares
5-numero de apartamentos
6-CMD
7-MSG
</t>
        </r>
      </text>
    </comment>
    <comment ref="E970" authorId="3" shapeId="0" xr:uid="{00000000-0006-0000-0100-0000E0040000}">
      <text>
        <r>
          <rPr>
            <sz val="9"/>
            <color indexed="81"/>
            <rFont val="Segoe UI"/>
            <family val="2"/>
          </rPr>
          <t xml:space="preserve">
1-Rua/Endereçamento
</t>
        </r>
      </text>
    </comment>
    <comment ref="D971" authorId="3" shapeId="0" xr:uid="{00000000-0006-0000-0100-0000E1040000}">
      <text>
        <r>
          <rPr>
            <sz val="9"/>
            <color indexed="81"/>
            <rFont val="Segoe UI"/>
            <family val="2"/>
          </rPr>
          <t xml:space="preserve">
1-Rua 
2-Nome da Rua
3-Numero de blocos
4-numero de andares
5-numero de apartamentos
</t>
        </r>
      </text>
    </comment>
    <comment ref="E971" authorId="3" shapeId="0" xr:uid="{00000000-0006-0000-0100-0000E2040000}">
      <text>
        <r>
          <rPr>
            <sz val="9"/>
            <color indexed="81"/>
            <rFont val="Segoe UI"/>
            <family val="2"/>
          </rPr>
          <t xml:space="preserve">
1-Rua/Endereçamento
</t>
        </r>
      </text>
    </comment>
    <comment ref="D972" authorId="3" shapeId="0" xr:uid="{00000000-0006-0000-0100-0000E3040000}">
      <text>
        <r>
          <rPr>
            <sz val="9"/>
            <color indexed="81"/>
            <rFont val="Segoe UI"/>
            <family val="2"/>
          </rPr>
          <t xml:space="preserve">
1-Rua 
2-Nome da Rua
3-Numero de blocos
4-numero de andares
5-numero de apartamentos
6-CMD
7-MSG
</t>
        </r>
      </text>
    </comment>
    <comment ref="E972" authorId="3" shapeId="0" xr:uid="{00000000-0006-0000-0100-0000E4040000}">
      <text>
        <r>
          <rPr>
            <sz val="9"/>
            <color indexed="81"/>
            <rFont val="Segoe UI"/>
            <family val="2"/>
          </rPr>
          <t xml:space="preserve">
1-Rua/Endereçamento
</t>
        </r>
      </text>
    </comment>
    <comment ref="D973" authorId="3" shapeId="0" xr:uid="{00000000-0006-0000-0100-0000E5040000}">
      <text>
        <r>
          <rPr>
            <sz val="9"/>
            <color indexed="81"/>
            <rFont val="Segoe UI"/>
            <family val="2"/>
          </rPr>
          <t xml:space="preserve">
01 - código
02 - comando
03 - mensagem</t>
        </r>
      </text>
    </comment>
    <comment ref="E973" authorId="3" shapeId="0" xr:uid="{00000000-0006-0000-0100-0000E6040000}">
      <text>
        <r>
          <rPr>
            <sz val="9"/>
            <color indexed="81"/>
            <rFont val="Segoe UI"/>
            <family val="2"/>
          </rPr>
          <t xml:space="preserve">
1-Rua/Endereçamento
</t>
        </r>
      </text>
    </comment>
    <comment ref="D974" authorId="3" shapeId="0" xr:uid="{00000000-0006-0000-0100-0000E7040000}">
      <text>
        <r>
          <rPr>
            <sz val="9"/>
            <color indexed="81"/>
            <rFont val="Segoe UI"/>
            <family val="2"/>
          </rPr>
          <t xml:space="preserve">
1-RUA
2-Nome
3-Total de Blocos
4-Total de AP
5-AP Desocupado
6-AP Parcialmente Ocupado
7-AP Totalmente Ocupado
8-AP Túnel
9-CMD</t>
        </r>
      </text>
    </comment>
    <comment ref="E974" authorId="3" shapeId="0" xr:uid="{00000000-0006-0000-0100-0000E8040000}">
      <text>
        <r>
          <rPr>
            <sz val="9"/>
            <color indexed="81"/>
            <rFont val="Segoe UI"/>
            <family val="2"/>
          </rPr>
          <t xml:space="preserve">
1-Rua/Endereçamento
</t>
        </r>
      </text>
    </comment>
    <comment ref="D975" authorId="3" shapeId="0" xr:uid="{00000000-0006-0000-0100-0000E9040000}">
      <text>
        <r>
          <rPr>
            <sz val="9"/>
            <color indexed="81"/>
            <rFont val="Segoe UI"/>
            <family val="2"/>
          </rPr>
          <t xml:space="preserve">
1-bloco 
2-apartamento 
3-enderecamento 
4-situação
5-qtd apt descoupado do bloco 
6-andar 
7-apartamento 
8-cor
9-CMD
10-MSG
</t>
        </r>
      </text>
    </comment>
    <comment ref="E975" authorId="3" shapeId="0" xr:uid="{00000000-0006-0000-0100-0000EA040000}">
      <text>
        <r>
          <rPr>
            <sz val="9"/>
            <color indexed="81"/>
            <rFont val="Segoe UI"/>
            <family val="2"/>
          </rPr>
          <t xml:space="preserve">
1-Rua/Endereçamento
</t>
        </r>
      </text>
    </comment>
    <comment ref="D978" authorId="3" shapeId="0" xr:uid="{00000000-0006-0000-0100-0000EB040000}">
      <text>
        <r>
          <rPr>
            <b/>
            <sz val="9"/>
            <color indexed="81"/>
            <rFont val="Segoe UI"/>
            <family val="2"/>
          </rPr>
          <t xml:space="preserve">
</t>
        </r>
        <r>
          <rPr>
            <sz val="9"/>
            <color indexed="81"/>
            <rFont val="Segoe UI"/>
            <family val="2"/>
          </rPr>
          <t>1-Nome
2-Codigo
3-Data cadatro ini
4-Data cadastro fim 
5-Sigla orgão
6-tipo bens
7-Matricula
8-Nome do gestor
9-CPF
10-Exercicio
11-Status
12- Data de Cadastro,
13- Usuário de Cadastro
14-Data de Alteração
15- Usuário de Alteração
16-Justificativa
17-Orgão</t>
        </r>
      </text>
    </comment>
    <comment ref="E978" authorId="3" shapeId="0" xr:uid="{00000000-0006-0000-0100-0000EC040000}">
      <text>
        <r>
          <rPr>
            <sz val="9"/>
            <color indexed="81"/>
            <rFont val="Segoe UI"/>
            <family val="2"/>
          </rPr>
          <t xml:space="preserve">
1-Gestor de Bens
2-Tipo Bens</t>
        </r>
      </text>
    </comment>
    <comment ref="D979" authorId="3" shapeId="0" xr:uid="{00000000-0006-0000-0100-0000ED040000}">
      <text>
        <r>
          <rPr>
            <b/>
            <sz val="9"/>
            <color indexed="81"/>
            <rFont val="Segoe UI"/>
            <family val="2"/>
          </rPr>
          <t xml:space="preserve">
</t>
        </r>
        <r>
          <rPr>
            <sz val="9"/>
            <color indexed="81"/>
            <rFont val="Segoe UI"/>
            <family val="2"/>
          </rPr>
          <t>1-Nome
2-Codigo
3-Data cadatro ini
4-Data cadastro fim 
5-Sigla orgão
6-tipo bens
7-Matricula
8-Nome do gestor
9-CPF
10-Exercicio
11-Status
12-CMD
13-MSG</t>
        </r>
      </text>
    </comment>
    <comment ref="E979" authorId="3" shapeId="0" xr:uid="{00000000-0006-0000-0100-0000EE040000}">
      <text>
        <r>
          <rPr>
            <sz val="9"/>
            <color indexed="81"/>
            <rFont val="Segoe UI"/>
            <family val="2"/>
          </rPr>
          <t xml:space="preserve">
1-Gestor de Bens
2-Orgãoo/Entidade
3-Pessoa(Servidor)</t>
        </r>
      </text>
    </comment>
    <comment ref="D980" authorId="3" shapeId="0" xr:uid="{00000000-0006-0000-0100-0000EF040000}">
      <text>
        <r>
          <rPr>
            <sz val="9"/>
            <color indexed="81"/>
            <rFont val="Segoe UI"/>
            <family val="2"/>
          </rPr>
          <t>1-Data cadatro
2-Sigla orgão
3-tipo bens
4-Matricula
5-Nome do gestor
6-CPF
7-Exercicio
8-Status
9- Data de Cadastro
10- Usuário de Cadastro
11-Data de Alteração
12- Usuário de Alteração
13-CMD
14-MSG</t>
        </r>
      </text>
    </comment>
    <comment ref="E980" authorId="3" shapeId="0" xr:uid="{00000000-0006-0000-0100-0000F0040000}">
      <text>
        <r>
          <rPr>
            <sz val="9"/>
            <color indexed="81"/>
            <rFont val="Segoe UI"/>
            <family val="2"/>
          </rPr>
          <t xml:space="preserve">
1-Gestor de Bens
2-Orgãoo/Entidade
3-Pessoa(Servidor)</t>
        </r>
      </text>
    </comment>
    <comment ref="D981" authorId="3" shapeId="0" xr:uid="{00000000-0006-0000-0100-0000F1040000}">
      <text>
        <r>
          <rPr>
            <sz val="9"/>
            <color indexed="81"/>
            <rFont val="Segoe UI"/>
            <family val="2"/>
          </rPr>
          <t xml:space="preserve">
1-Tipo de bens
2-Exercicio
3-status
4-nome do gestor
5-CPF
6-matricula 
7-Orgão
8-CMD
9-MSG</t>
        </r>
      </text>
    </comment>
    <comment ref="E981" authorId="3" shapeId="0" xr:uid="{00000000-0006-0000-0100-0000F2040000}">
      <text>
        <r>
          <rPr>
            <sz val="9"/>
            <color indexed="81"/>
            <rFont val="Segoe UI"/>
            <family val="2"/>
          </rPr>
          <t xml:space="preserve">
1-Gestor de Bens
2-Orgãoo/Entidade
3-Pessoa(Servidor)</t>
        </r>
      </text>
    </comment>
    <comment ref="D982" authorId="3" shapeId="0" xr:uid="{00000000-0006-0000-0100-0000F3040000}">
      <text>
        <r>
          <rPr>
            <sz val="9"/>
            <color indexed="81"/>
            <rFont val="Segoe UI"/>
            <family val="2"/>
          </rPr>
          <t>1-Código
2-Descrição
3-CMD</t>
        </r>
      </text>
    </comment>
    <comment ref="E982" authorId="3" shapeId="0" xr:uid="{00000000-0006-0000-0100-0000F4040000}">
      <text>
        <r>
          <rPr>
            <sz val="9"/>
            <color indexed="81"/>
            <rFont val="Segoe UI"/>
            <family val="2"/>
          </rPr>
          <t>1- Tipo Bens</t>
        </r>
      </text>
    </comment>
    <comment ref="D983" authorId="3" shapeId="0" xr:uid="{00000000-0006-0000-0100-0000F5040000}">
      <text>
        <r>
          <rPr>
            <sz val="9"/>
            <color indexed="81"/>
            <rFont val="Segoe UI"/>
            <family val="2"/>
          </rPr>
          <t xml:space="preserve">
1-Tipo de bens
2-Exercicio
3-status
4-nome do gestor
5-CPF
6-matricula 
7-justificativa
8-Orgão
9-CMD
10-MSG</t>
        </r>
      </text>
    </comment>
    <comment ref="E983" authorId="3" shapeId="0" xr:uid="{00000000-0006-0000-0100-0000F6040000}">
      <text>
        <r>
          <rPr>
            <sz val="9"/>
            <color indexed="81"/>
            <rFont val="Segoe UI"/>
            <family val="2"/>
          </rPr>
          <t xml:space="preserve">
1-Gestor de Bens
2-Orgãoo/Entidade
3-Pessoa(Servidor)</t>
        </r>
      </text>
    </comment>
    <comment ref="D984" authorId="3" shapeId="0" xr:uid="{00000000-0006-0000-0100-0000F7040000}">
      <text>
        <r>
          <rPr>
            <sz val="9"/>
            <color indexed="81"/>
            <rFont val="Segoe UI"/>
            <family val="2"/>
          </rPr>
          <t xml:space="preserve">
1-Tipo de bens
2-Exercicio
3-status
4-nome do gestor
5-CPF
6-matricula 
7-justificativa
8-Orgão</t>
        </r>
      </text>
    </comment>
    <comment ref="E984" authorId="3" shapeId="0" xr:uid="{00000000-0006-0000-0100-0000F8040000}">
      <text>
        <r>
          <rPr>
            <sz val="9"/>
            <color indexed="81"/>
            <rFont val="Segoe UI"/>
            <family val="2"/>
          </rPr>
          <t xml:space="preserve">
1-Gestor de Bens
2-Orgãoo/Entidade
3-Pessoa(Servidor)</t>
        </r>
      </text>
    </comment>
    <comment ref="D985" authorId="3" shapeId="0" xr:uid="{00000000-0006-0000-0100-0000F9040000}">
      <text>
        <r>
          <rPr>
            <sz val="9"/>
            <color indexed="81"/>
            <rFont val="Segoe UI"/>
            <family val="2"/>
          </rPr>
          <t xml:space="preserve">
01 - código
02 - comando
03 - mensagem</t>
        </r>
      </text>
    </comment>
    <comment ref="E985" authorId="3" shapeId="0" xr:uid="{00000000-0006-0000-0100-0000FA040000}">
      <text>
        <r>
          <rPr>
            <sz val="9"/>
            <color indexed="81"/>
            <rFont val="Segoe UI"/>
            <family val="2"/>
          </rPr>
          <t xml:space="preserve">
1-Gestor de Bens
</t>
        </r>
      </text>
    </comment>
    <comment ref="D986" authorId="3" shapeId="0" xr:uid="{00000000-0006-0000-0100-0000FB040000}">
      <text>
        <r>
          <rPr>
            <sz val="9"/>
            <color indexed="81"/>
            <rFont val="Segoe UI"/>
            <family val="2"/>
          </rPr>
          <t xml:space="preserve">
1-Tipo de bens
2-Exercicio
3-status
4-nome do gestor
5-CPF
6-matricula 
7-justificativa
8-Orgão
9-CMD
10-MSG</t>
        </r>
      </text>
    </comment>
    <comment ref="E986" authorId="3" shapeId="0" xr:uid="{00000000-0006-0000-0100-0000FC040000}">
      <text>
        <r>
          <rPr>
            <sz val="9"/>
            <color indexed="81"/>
            <rFont val="Segoe UI"/>
            <family val="2"/>
          </rPr>
          <t xml:space="preserve">
1-Gestor de Bens
2-Orgãoo/Entidade
3-Pessoa(Servidor)</t>
        </r>
      </text>
    </comment>
    <comment ref="D989" authorId="3" shapeId="0" xr:uid="{00000000-0006-0000-0100-0000FD040000}">
      <text>
        <r>
          <rPr>
            <sz val="9"/>
            <color indexed="81"/>
            <rFont val="Segoe UI"/>
            <family val="2"/>
          </rPr>
          <t>1-Orgão
2-Sigla
3-Almoxarifado
4-Responsável Almoxarifado
5-Email 
6-Titulo
7-Tipo material 
8-Data requisição 
9-Periodo armazenamento ini
10-Periodo armazenamento fim 
11-Previsão entrega 
12-Justificativa
13-documento 
14-Numero RQ
15-Situação 
16-ID
17 -Codigo material
18-descrição materialtipo 
19 -qtd 
20 -peso
21 -unidade 
22 -menor 
23 -qtd de unidades
24 -natureza 
25 -naureza material 
26-elemento de despesa 
27-sub elemento
28-Analise 
29-situação
30-Data
31-usuario
32-situação analise
33-parecer 
34-analise descritiva
35-data estocagem
36-peso por volume
37-Unidade Localização
38-Responsável UL</t>
        </r>
      </text>
    </comment>
    <comment ref="E989" authorId="3" shapeId="0" xr:uid="{00000000-0006-0000-0100-0000FE040000}">
      <text>
        <r>
          <rPr>
            <sz val="9"/>
            <color indexed="81"/>
            <rFont val="Segoe UI"/>
            <family val="2"/>
          </rPr>
          <t xml:space="preserve">
1-Requisições de Armazenamento
2-Material
3-Analise requisição
4-Situação
5-Natureza Armazenagem
6-Almoxarifado
7-Unidade Localização</t>
        </r>
      </text>
    </comment>
    <comment ref="D990" authorId="3" shapeId="0" xr:uid="{00000000-0006-0000-0100-0000FF040000}">
      <text>
        <r>
          <rPr>
            <sz val="9"/>
            <color indexed="81"/>
            <rFont val="Segoe UI"/>
            <family val="2"/>
          </rPr>
          <t xml:space="preserve">
1-Natureza do material 
2- Elemento de despesa
3-SUB Elemento de Despesa</t>
        </r>
      </text>
    </comment>
    <comment ref="E990" authorId="3" shapeId="0" xr:uid="{00000000-0006-0000-0100-000000050000}">
      <text>
        <r>
          <rPr>
            <sz val="9"/>
            <color indexed="81"/>
            <rFont val="Segoe UI"/>
            <family val="2"/>
          </rPr>
          <t xml:space="preserve">
1-Natureza material - SISPAT
2-Elemento de despesa
3-SUB Elemento de Despesa</t>
        </r>
      </text>
    </comment>
    <comment ref="D991" authorId="3" shapeId="0" xr:uid="{00000000-0006-0000-0100-000001050000}">
      <text>
        <r>
          <rPr>
            <sz val="9"/>
            <color indexed="81"/>
            <rFont val="Segoe UI"/>
            <family val="2"/>
          </rPr>
          <t xml:space="preserve">
1-Orgão
2-Sigla
3-n RQ
3- Titulo
4-Data requisição ini
5-Data requisição Fim
6-tipo de bens
7-Situação
8-Responsavel
9-Data estocagem ini
10-Data estocagem fim
11-Unidade Localização
12-Tipo de Bem
13-Data entrega ini
14-Data entrega fim
15-CMD
16-MSG
</t>
        </r>
      </text>
    </comment>
    <comment ref="E991" authorId="3" shapeId="0" xr:uid="{00000000-0006-0000-0100-000002050000}">
      <text>
        <r>
          <rPr>
            <sz val="9"/>
            <color indexed="81"/>
            <rFont val="Segoe UI"/>
            <family val="2"/>
          </rPr>
          <t xml:space="preserve">
1-Requisições de Armazenamento
2-Servidor
3-Órgão</t>
        </r>
      </text>
    </comment>
    <comment ref="D992" authorId="3" shapeId="0" xr:uid="{00000000-0006-0000-0100-000003050000}">
      <text>
        <r>
          <rPr>
            <sz val="9"/>
            <color indexed="81"/>
            <rFont val="Segoe UI"/>
            <family val="2"/>
          </rPr>
          <t xml:space="preserve">
1-Orgão
2-Sigla
3-Almoxarifado 
4-Email 
5-Titulo
6-Tipo material 
7-Data requisição 
8-Periodo armazenamento ini
9-Periodo armazenamento fim 
10-Previsão entrega 
11-Justificativa
12-documento 
13-Numero RQ
14-Situação 
15-Data Estocagem
16-Unidade Localização
17-Responsável UL
18-CMD
19-MSG</t>
        </r>
      </text>
    </comment>
    <comment ref="E992" authorId="3" shapeId="0" xr:uid="{00000000-0006-0000-0100-000004050000}">
      <text>
        <r>
          <rPr>
            <sz val="9"/>
            <color indexed="81"/>
            <rFont val="Segoe UI"/>
            <family val="2"/>
          </rPr>
          <t xml:space="preserve">
1-Requisições de Armazenamento
2-Servidor</t>
        </r>
      </text>
    </comment>
    <comment ref="D993" authorId="3" shapeId="0" xr:uid="{00000000-0006-0000-0100-000005050000}">
      <text>
        <r>
          <rPr>
            <sz val="9"/>
            <color indexed="81"/>
            <rFont val="Segoe UI"/>
            <family val="2"/>
          </rPr>
          <t>1-Código
2-Descrição
3-CMD</t>
        </r>
      </text>
    </comment>
    <comment ref="E993" authorId="3" shapeId="0" xr:uid="{00000000-0006-0000-0100-000006050000}">
      <text>
        <r>
          <rPr>
            <sz val="9"/>
            <color indexed="81"/>
            <rFont val="Segoe UI"/>
            <family val="2"/>
          </rPr>
          <t>1- Situação</t>
        </r>
      </text>
    </comment>
    <comment ref="D994" authorId="3" shapeId="0" xr:uid="{00000000-0006-0000-0100-000007050000}">
      <text>
        <r>
          <rPr>
            <sz val="9"/>
            <color indexed="81"/>
            <rFont val="Segoe UI"/>
            <family val="2"/>
          </rPr>
          <t xml:space="preserve">
1 - Codigo material
2 - descrição material
3 - tipo  (COMBO)
4 - qtd 
5 - peso
6 - unidade 
7 - menor 
8 - qtd de unidades
9 - natureza 
10 - naureza material 
11 - elemento de despesa 
12 - sub elemento 
13 - peso por volume
14 - descrição 
15 - numero evento 
16 - tipo evento
17 - status do bem 
18 - data hora evento 
19 - usuario resp
20 - CMD
21 - MSG
</t>
        </r>
      </text>
    </comment>
    <comment ref="E994" authorId="3" shapeId="0" xr:uid="{00000000-0006-0000-0100-000008050000}">
      <text>
        <r>
          <rPr>
            <sz val="9"/>
            <color indexed="81"/>
            <rFont val="Segoe UI"/>
            <family val="2"/>
          </rPr>
          <t xml:space="preserve">
1-Requisições de Armazenamento
2-Variação Material
3 - Historico de eventos do bem </t>
        </r>
      </text>
    </comment>
    <comment ref="D995" authorId="3" shapeId="0" xr:uid="{00000000-0006-0000-0100-000009050000}">
      <text>
        <r>
          <rPr>
            <sz val="9"/>
            <color indexed="81"/>
            <rFont val="Segoe UI"/>
            <family val="2"/>
          </rPr>
          <t>1-Código
2-Descrição
3-CMD</t>
        </r>
      </text>
    </comment>
    <comment ref="E995" authorId="3" shapeId="0" xr:uid="{00000000-0006-0000-0100-00000A050000}">
      <text>
        <r>
          <rPr>
            <sz val="9"/>
            <color indexed="81"/>
            <rFont val="Segoe UI"/>
            <family val="2"/>
          </rPr>
          <t>1- Unidade de Medida</t>
        </r>
      </text>
    </comment>
    <comment ref="D996" authorId="3" shapeId="0" xr:uid="{00000000-0006-0000-0100-00000B050000}">
      <text>
        <r>
          <rPr>
            <sz val="9"/>
            <color indexed="81"/>
            <rFont val="Segoe UI"/>
            <family val="2"/>
          </rPr>
          <t>1-Código
2-Descrição
3-CMD</t>
        </r>
      </text>
    </comment>
    <comment ref="E996" authorId="3" shapeId="0" xr:uid="{00000000-0006-0000-0100-00000C050000}">
      <text>
        <r>
          <rPr>
            <sz val="9"/>
            <color indexed="81"/>
            <rFont val="Segoe UI"/>
            <family val="2"/>
          </rPr>
          <t>1- Natureza Armazenagem</t>
        </r>
      </text>
    </comment>
    <comment ref="D997" authorId="3" shapeId="0" xr:uid="{00000000-0006-0000-0100-00000D050000}">
      <text>
        <r>
          <rPr>
            <sz val="9"/>
            <color indexed="81"/>
            <rFont val="Segoe UI"/>
            <family val="2"/>
          </rPr>
          <t>1-Material
2-Natureza do material 
3- Elemento de despesa
4-SUB Elemento de Despesa
5-CMD</t>
        </r>
      </text>
    </comment>
    <comment ref="E997" authorId="3" shapeId="0" xr:uid="{00000000-0006-0000-0100-00000E050000}">
      <text>
        <r>
          <rPr>
            <sz val="9"/>
            <color indexed="81"/>
            <rFont val="Segoe UI"/>
            <family val="2"/>
          </rPr>
          <t xml:space="preserve">
1-Material</t>
        </r>
      </text>
    </comment>
    <comment ref="D998" authorId="3" shapeId="0" xr:uid="{00000000-0006-0000-0100-00000F050000}">
      <text>
        <r>
          <rPr>
            <sz val="9"/>
            <color indexed="81"/>
            <rFont val="Segoe UI"/>
            <family val="2"/>
          </rPr>
          <t xml:space="preserve">
1 - Codigo material
2 - descrição material
3 - tipo  (COMBO)
4 - qtd 
5 - peso
6 - unidade 
7 - menor 
8 - qtd de unidades
9 - natureza 
10 - naureza material 
11 - elemento de despesa 
12 - sub elemento 
13 - peso por volume
14 - descrição 
15 - numero evento 
16 - tipo evento
17 - status do bem 
18 - data hora evento 
19 - usuario resp
20 - CMD
21 - MSG
</t>
        </r>
      </text>
    </comment>
    <comment ref="E998" authorId="3" shapeId="0" xr:uid="{00000000-0006-0000-0100-000010050000}">
      <text>
        <r>
          <rPr>
            <sz val="9"/>
            <color indexed="81"/>
            <rFont val="Segoe UI"/>
            <family val="2"/>
          </rPr>
          <t xml:space="preserve">
1-Requisições de Armazenamento
2-Variação Material
3 - Historico de eventos do bem </t>
        </r>
      </text>
    </comment>
    <comment ref="D999" authorId="3" shapeId="0" xr:uid="{00000000-0006-0000-0100-000011050000}">
      <text>
        <r>
          <rPr>
            <sz val="9"/>
            <color indexed="81"/>
            <rFont val="Segoe UI"/>
            <family val="2"/>
          </rPr>
          <t xml:space="preserve">
1 - Codigo material
2 - descrição material
3 - tipo  (COMBO)
4 - qtd 
5 - peso
6 - unidade 
7 - menor 
8 - qtd de unidades
9 - natureza 
10 - naureza material 
11 - elemento de despesa 
12 - sub elemento 
13 - peso por volume</t>
        </r>
      </text>
    </comment>
    <comment ref="E999" authorId="3" shapeId="0" xr:uid="{00000000-0006-0000-0100-000012050000}">
      <text>
        <r>
          <rPr>
            <sz val="9"/>
            <color indexed="81"/>
            <rFont val="Segoe UI"/>
            <family val="2"/>
          </rPr>
          <t xml:space="preserve">
1-Requisições de Armazenamento
2-Variação Material</t>
        </r>
      </text>
    </comment>
    <comment ref="D1000" authorId="3" shapeId="0" xr:uid="{00000000-0006-0000-0100-000013050000}">
      <text>
        <r>
          <rPr>
            <sz val="9"/>
            <color indexed="81"/>
            <rFont val="Segoe UI"/>
            <family val="2"/>
          </rPr>
          <t xml:space="preserve">
1 - Codigo material
2 - descrição material
3 - tipo  (COMBO)
4 - qtd 
5 - peso
6 - unidade 
7 - menor 
8 - qtd de unidades
9 - natureza 
10 - naureza material 
11 - elemento de despesa 
12 - sub elemento 
13 - peso por volume
14 - CMD
15 - MSG
</t>
        </r>
      </text>
    </comment>
    <comment ref="E1000" authorId="3" shapeId="0" xr:uid="{00000000-0006-0000-0100-000014050000}">
      <text>
        <r>
          <rPr>
            <sz val="9"/>
            <color indexed="81"/>
            <rFont val="Segoe UI"/>
            <family val="2"/>
          </rPr>
          <t xml:space="preserve">
1-Requisições de Armazenamento
2-Variação Material</t>
        </r>
      </text>
    </comment>
    <comment ref="D1001" authorId="3" shapeId="0" xr:uid="{00000000-0006-0000-0100-000015050000}">
      <text>
        <r>
          <rPr>
            <sz val="9"/>
            <color indexed="81"/>
            <rFont val="Segoe UI"/>
            <family val="2"/>
          </rPr>
          <t xml:space="preserve">
01 - código requisito
02 - código material
03 - descrição 
04 - numero evento 
05 - tipo evento
06 - status do bem 
07 - data hora evento 
08 - usuario resp
09 - CMD
10 - MSG
</t>
        </r>
      </text>
    </comment>
    <comment ref="E1001" authorId="3" shapeId="0" xr:uid="{00000000-0006-0000-0100-000016050000}">
      <text>
        <r>
          <rPr>
            <sz val="9"/>
            <color indexed="81"/>
            <rFont val="Segoe UI"/>
            <family val="2"/>
          </rPr>
          <t xml:space="preserve">
1-Requisições de Armazenamento
2 - Historico de eventos do bem </t>
        </r>
      </text>
    </comment>
    <comment ref="D1002" authorId="3" shapeId="0" xr:uid="{00000000-0006-0000-0100-000017050000}">
      <text>
        <r>
          <rPr>
            <sz val="9"/>
            <color indexed="81"/>
            <rFont val="Segoe UI"/>
            <family val="2"/>
          </rPr>
          <t xml:space="preserve">
1-Orgão
2-Sigla
3-Almoxarifado 
4-Email 
5-Titulo
6-Tipo material 
7-Data requisição 
8-Periodo armazenamento ini
9-Periodo armazenamento fim 
10-Previsão entrega 
11-Justificativa
12-documento 
13-Numero RQ
14-Situação 
15-Unidade Localização
16-Responsável UL
17-CMD
18-MSG</t>
        </r>
      </text>
    </comment>
    <comment ref="E1002" authorId="3" shapeId="0" xr:uid="{00000000-0006-0000-0100-000018050000}">
      <text>
        <r>
          <rPr>
            <sz val="9"/>
            <color indexed="81"/>
            <rFont val="Segoe UI"/>
            <family val="2"/>
          </rPr>
          <t xml:space="preserve">
1-Requisições de Armazenamento
2-Servidor</t>
        </r>
      </text>
    </comment>
    <comment ref="D1003" authorId="3" shapeId="0" xr:uid="{00000000-0006-0000-0100-000019050000}">
      <text>
        <r>
          <rPr>
            <sz val="9"/>
            <color indexed="81"/>
            <rFont val="Segoe UI"/>
            <family val="2"/>
          </rPr>
          <t xml:space="preserve">
1-Orgão
2-Sigla
3-Almoxarifado 
4-Email 
5-Titulo
6-Tipo material 
7-Data requisição 
8-Periodo armazenamento ini
9-Periodo armazenamento fim 
10-Previsão entrega 
11-Justificativa
12-documento 
13-Numero RQ
14-Situação 
15-Material
16-Elemento
17-Natureza
18-Volume
19-Peso total
20-Qtde Volumes
21-Unidaddes
22-Unidades Total
23-Peso por volume
24-Responsável Almoxarifado
25-Unidade Localização
26-Responsável UL
27-N° - Permanente
28-Imagem - Permanente
29-REGISTRO PATRIMONIAL - Permanente
30-DESCRIÇÃO DO BEM - Permanente
31-ESTADO DE CONSERVAÇÃO - Permanente
32-Valor Unitário - Permanente
33-Resp. Inclusão - Permanente
34-Data - Permanente</t>
        </r>
      </text>
    </comment>
    <comment ref="E1003" authorId="3" shapeId="0" xr:uid="{00000000-0006-0000-0100-00001A050000}">
      <text>
        <r>
          <rPr>
            <sz val="9"/>
            <color indexed="81"/>
            <rFont val="Segoe UI"/>
            <family val="2"/>
          </rPr>
          <t xml:space="preserve">
1-Requisições de Armazenamento
2-Servidor</t>
        </r>
      </text>
    </comment>
    <comment ref="D1004" authorId="3" shapeId="0" xr:uid="{00000000-0006-0000-0100-00001B050000}">
      <text>
        <r>
          <rPr>
            <sz val="9"/>
            <color indexed="81"/>
            <rFont val="Segoe UI"/>
            <family val="2"/>
          </rPr>
          <t xml:space="preserve">
01 - código
02 - comando
03 - mensagem</t>
        </r>
      </text>
    </comment>
    <comment ref="E1004" authorId="3" shapeId="0" xr:uid="{00000000-0006-0000-0100-00001C050000}">
      <text>
        <r>
          <rPr>
            <sz val="9"/>
            <color indexed="81"/>
            <rFont val="Segoe UI"/>
            <family val="2"/>
          </rPr>
          <t xml:space="preserve">
1-Requisições de Armazenamento
</t>
        </r>
      </text>
    </comment>
    <comment ref="D1005" authorId="3" shapeId="0" xr:uid="{00000000-0006-0000-0100-00001D050000}">
      <text>
        <r>
          <rPr>
            <sz val="9"/>
            <color indexed="81"/>
            <rFont val="Segoe UI"/>
            <family val="2"/>
          </rPr>
          <t xml:space="preserve">
1-Orgão
2-Sigla
3-Almoxarifado
4-Email 
5-Titulo
6-Tipo material 
7-Data requisição 
8-Periodo armazenamento ini
9-Periodo armazenamento fim 
10-Previsão entrega 
11-Justificativa
12-documento 
13-Numero RQ
14-Situação 
15-Material
16-Elemento
17-Natureza
18-Volume
19-Peso total
20-Qtde Volumes
21-Unidaddes
22-Unidades Total
23-Peso por volume
24-Responsavel Almoxarifado
25-Unidade Localização
26-Responsável UL
27-N° - Permanente
28-Imagem - Permanente
29-REGISTRO PATRIMONIAL - Permanente
30-DESCRIÇÃO DO BEM - Permanente
31-ESTADO DE CONSERVAÇÃO - Permanente
32-Valor Unitário - Permanente
33-Resp. Inclusão - Permanente
34-Data - Permanente
35-CMD
36-MSG</t>
        </r>
      </text>
    </comment>
    <comment ref="E1005" authorId="3" shapeId="0" xr:uid="{00000000-0006-0000-0100-00001E050000}">
      <text>
        <r>
          <rPr>
            <sz val="9"/>
            <color indexed="81"/>
            <rFont val="Segoe UI"/>
            <family val="2"/>
          </rPr>
          <t xml:space="preserve">
1-Requisições de Armazenamento
2-Servidor</t>
        </r>
      </text>
    </comment>
    <comment ref="D1006" authorId="3" shapeId="0" xr:uid="{00000000-0006-0000-0100-00001F050000}">
      <text>
        <r>
          <rPr>
            <sz val="9"/>
            <color indexed="81"/>
            <rFont val="Segoe UI"/>
            <family val="2"/>
          </rPr>
          <t xml:space="preserve">
01 - Situação
02 - comando
03 - mensagem</t>
        </r>
      </text>
    </comment>
    <comment ref="E1006" authorId="3" shapeId="0" xr:uid="{00000000-0006-0000-0100-000020050000}">
      <text>
        <r>
          <rPr>
            <sz val="9"/>
            <color indexed="81"/>
            <rFont val="Segoe UI"/>
            <family val="2"/>
          </rPr>
          <t xml:space="preserve">
1-Requisições de Armazenamento
</t>
        </r>
      </text>
    </comment>
    <comment ref="D1007" authorId="3" shapeId="0" xr:uid="{00000000-0006-0000-0100-000021050000}">
      <text>
        <r>
          <rPr>
            <sz val="9"/>
            <color indexed="81"/>
            <rFont val="Segoe UI"/>
            <family val="2"/>
          </rPr>
          <t xml:space="preserve">
01 - Situação
02 - Motivo 
03- comando
04 - mensagem</t>
        </r>
      </text>
    </comment>
    <comment ref="E1007" authorId="3" shapeId="0" xr:uid="{00000000-0006-0000-0100-000022050000}">
      <text>
        <r>
          <rPr>
            <sz val="9"/>
            <color indexed="81"/>
            <rFont val="Segoe UI"/>
            <family val="2"/>
          </rPr>
          <t xml:space="preserve">
1-Requisições de Armazenamento
</t>
        </r>
      </text>
    </comment>
    <comment ref="D1008" authorId="3" shapeId="0" xr:uid="{00000000-0006-0000-0100-000023050000}">
      <text>
        <r>
          <rPr>
            <sz val="9"/>
            <color indexed="81"/>
            <rFont val="Segoe UI"/>
            <family val="2"/>
          </rPr>
          <t>1 - N° - Permanente
2 - Imagem - Permanente
3 - REGISTRO PATRIMONIAL - Permanente
4 - DESCRIÇÃO DO BEM - Permanente
5 - ESTADO DE CONSERVAÇÃO - Permanente
6 - Valor Unitário - Permanente
7 - Resp. Inclusão - Permanente
8 - Data - Permanente
9 - Tipo de Volume ou Forma de Armazenagem
10 - Quantidade Total
11 - Data e Hora do Evento
12 - Usuário Responsável
13 - Status do Bem
14 - Tipo de Evento
15 - Detalhes do Evento
16 - CMD
17 - MSG</t>
        </r>
      </text>
    </comment>
    <comment ref="E1008" authorId="3" shapeId="0" xr:uid="{00000000-0006-0000-0100-000024050000}">
      <text>
        <r>
          <rPr>
            <sz val="9"/>
            <color indexed="81"/>
            <rFont val="Segoe UI"/>
            <family val="2"/>
          </rPr>
          <t xml:space="preserve">
1-Requisições de Armazenamento
2-Itens Inventário
3-Históricos de Evento do Bem</t>
        </r>
      </text>
    </comment>
    <comment ref="D1009" authorId="3" shapeId="0" xr:uid="{00000000-0006-0000-0100-000025050000}">
      <text>
        <r>
          <rPr>
            <sz val="9"/>
            <color indexed="81"/>
            <rFont val="Segoe UI"/>
            <family val="2"/>
          </rPr>
          <t xml:space="preserve">1 - N° - Permanente
2 - Imagem - Permanente
3 - REGISTRO PATRIMONIAL - Permanente
4 - DESCRIÇÃO DO BEM - Permanente
5 - ESTADO DE CONSERVAÇÃO - Permanente
6 - Valor Unitário - Permanente
7 - Resp. Inclusão - Permanente
8 - Data - Permanente
9 - Tipo de Volume ou Forma de Armazenagem
10 - Quantidade Total
11 - Data e Hora do Evento
12 - Usuário Responsável
13 - Status do Bem
14 - Tipo de Evento
15 - Detalhes do Evento
16 - CMD
17 - MSG
</t>
        </r>
      </text>
    </comment>
    <comment ref="E1009" authorId="3" shapeId="0" xr:uid="{00000000-0006-0000-0100-000026050000}">
      <text>
        <r>
          <rPr>
            <sz val="9"/>
            <color indexed="81"/>
            <rFont val="Segoe UI"/>
            <family val="2"/>
          </rPr>
          <t xml:space="preserve">
1-Requisições de Armazenamento
2-Itens Inventário</t>
        </r>
      </text>
    </comment>
    <comment ref="D1010" authorId="3" shapeId="0" xr:uid="{00000000-0006-0000-0100-000027050000}">
      <text>
        <r>
          <rPr>
            <sz val="9"/>
            <color indexed="81"/>
            <rFont val="Segoe UI"/>
            <family val="2"/>
          </rPr>
          <t>1 - N° - Permanente
2 - Imagem - Permanente
3 - REGISTRO PATRIMONIAL - Permanente
4 - DESCRIÇÃO DO BEM - Permanente
5 - ESTADO DE CONSERVAÇÃO - Permanente
6 - Valor Unitário - Permanente
7 - Resp. Inclusão - Permanente
8 - Data - Permanente
9 - Tipo de Volume ou Forma de Armazenagem
10 - Quantidade Total
11 - Data e Hora do Evento
12 - Usuário Responsável
13 - Status do Bem
14 - Tipo de Evento
15 - Detalhes do Evento</t>
        </r>
      </text>
    </comment>
    <comment ref="E1010" authorId="3" shapeId="0" xr:uid="{00000000-0006-0000-0100-000028050000}">
      <text>
        <r>
          <rPr>
            <sz val="9"/>
            <color indexed="81"/>
            <rFont val="Segoe UI"/>
            <family val="2"/>
          </rPr>
          <t xml:space="preserve">
1-Requisições de Armazenamento
2-Itens Inventário</t>
        </r>
      </text>
    </comment>
    <comment ref="D1011" authorId="3" shapeId="0" xr:uid="{00000000-0006-0000-0100-000029050000}">
      <text>
        <r>
          <rPr>
            <sz val="9"/>
            <color indexed="81"/>
            <rFont val="Segoe UI"/>
            <family val="2"/>
          </rPr>
          <t xml:space="preserve">
01 - código requisito
02 - código material
03 - Data e Hora do Evento
04 - Usuário Responsável
05 - Status do Bem
06 - Tipo de Evento
07 - Detalhes do Evento
08 - CMD
09 - MSG</t>
        </r>
      </text>
    </comment>
    <comment ref="E1011" authorId="3" shapeId="0" xr:uid="{00000000-0006-0000-0100-00002A050000}">
      <text>
        <r>
          <rPr>
            <sz val="9"/>
            <color indexed="81"/>
            <rFont val="Segoe UI"/>
            <family val="2"/>
          </rPr>
          <t xml:space="preserve">
1-Requisições de Armazenamento
2-Históricos de Evento do Bem</t>
        </r>
      </text>
    </comment>
    <comment ref="D1014" authorId="3" shapeId="0" xr:uid="{00000000-0006-0000-0100-00002B050000}">
      <text>
        <r>
          <rPr>
            <sz val="9"/>
            <color indexed="81"/>
            <rFont val="Segoe UI"/>
            <family val="2"/>
          </rPr>
          <t xml:space="preserve">
1 -N° Da Requisição 
2 -Órgão/Entidade
3 -Gestor da Solicitação
4 -Data da Solicitação
5 -Status da Requisição
6 -Situação requisição 
7 -Titulo
8 -Data e Hora
9 -Usuário: 
10-Descrição/Justificativa
11-CMD
12-MSG 
</t>
        </r>
      </text>
    </comment>
    <comment ref="E1014" authorId="3" shapeId="0" xr:uid="{00000000-0006-0000-0100-00002C050000}">
      <text>
        <r>
          <rPr>
            <sz val="9"/>
            <color indexed="81"/>
            <rFont val="Segoe UI"/>
            <family val="2"/>
          </rPr>
          <t xml:space="preserve">
1-Requisições de Armazenamento
2-Servidor
3-Orgão</t>
        </r>
      </text>
    </comment>
    <comment ref="D1017" authorId="3" shapeId="0" xr:uid="{00000000-0006-0000-0100-00002D050000}">
      <text>
        <r>
          <rPr>
            <sz val="9"/>
            <color indexed="81"/>
            <rFont val="Segoe UI"/>
            <family val="2"/>
          </rPr>
          <t xml:space="preserve">1-usuario
2-situação analise
3-parecer 
4-analise descritiva
</t>
        </r>
      </text>
    </comment>
    <comment ref="E1017" authorId="3" shapeId="0" xr:uid="{00000000-0006-0000-0100-00002E050000}">
      <text>
        <r>
          <rPr>
            <sz val="9"/>
            <color indexed="81"/>
            <rFont val="Segoe UI"/>
            <family val="2"/>
          </rPr>
          <t xml:space="preserve">
1-Requisições de Armazenamento
2-Servidor</t>
        </r>
      </text>
    </comment>
    <comment ref="D1018" authorId="3" shapeId="0" xr:uid="{00000000-0006-0000-0100-00002F050000}">
      <text>
        <r>
          <rPr>
            <sz val="9"/>
            <color indexed="81"/>
            <rFont val="Segoe UI"/>
            <family val="2"/>
          </rPr>
          <t>1-Código
2-Analise 
3-Situação
4-CMD
5-MSG</t>
        </r>
      </text>
    </comment>
    <comment ref="E1018" authorId="3" shapeId="0" xr:uid="{00000000-0006-0000-0100-000030050000}">
      <text>
        <r>
          <rPr>
            <sz val="9"/>
            <color indexed="81"/>
            <rFont val="Segoe UI"/>
            <family val="2"/>
          </rPr>
          <t xml:space="preserve">
1-Requisições de Armazenamento
2-Servidor</t>
        </r>
      </text>
    </comment>
    <comment ref="E1019" authorId="3" shapeId="0" xr:uid="{00000000-0006-0000-0100-000031050000}">
      <text>
        <r>
          <rPr>
            <sz val="9"/>
            <color indexed="81"/>
            <rFont val="Segoe UI"/>
            <family val="2"/>
          </rPr>
          <t xml:space="preserve">
1-Requisições de Armazenamento
2-Servidor</t>
        </r>
      </text>
    </comment>
    <comment ref="E1020" authorId="3" shapeId="0" xr:uid="{00000000-0006-0000-0100-000032050000}">
      <text>
        <r>
          <rPr>
            <sz val="9"/>
            <color indexed="81"/>
            <rFont val="Segoe UI"/>
            <family val="2"/>
          </rPr>
          <t xml:space="preserve">
1-Requisições de Armazenamento
2-Servidor</t>
        </r>
      </text>
    </comment>
    <comment ref="D1021" authorId="3" shapeId="0" xr:uid="{00000000-0006-0000-0100-000033050000}">
      <text>
        <r>
          <rPr>
            <sz val="9"/>
            <color indexed="81"/>
            <rFont val="Segoe UI"/>
            <family val="2"/>
          </rPr>
          <t xml:space="preserve">
1-Analise 
2-situação
3-título
4-data e hora
5-usuário
6-situação requisição
7-registro reprovação
8-CMD
9-MSG</t>
        </r>
      </text>
    </comment>
    <comment ref="E1021" authorId="3" shapeId="0" xr:uid="{00000000-0006-0000-0100-000034050000}">
      <text>
        <r>
          <rPr>
            <sz val="9"/>
            <color indexed="81"/>
            <rFont val="Segoe UI"/>
            <family val="2"/>
          </rPr>
          <t xml:space="preserve">
1-Requisições de Armazenamento
2-Servidor</t>
        </r>
      </text>
    </comment>
    <comment ref="D1022" authorId="3" shapeId="0" xr:uid="{00000000-0006-0000-0100-000035050000}">
      <text>
        <r>
          <rPr>
            <sz val="9"/>
            <color indexed="81"/>
            <rFont val="Segoe UI"/>
            <family val="2"/>
          </rPr>
          <t xml:space="preserve">
1-Analise 
2-situação
3-CMD
4-MSG</t>
        </r>
      </text>
    </comment>
    <comment ref="E1022" authorId="3" shapeId="0" xr:uid="{00000000-0006-0000-0100-000036050000}">
      <text>
        <r>
          <rPr>
            <sz val="9"/>
            <color indexed="81"/>
            <rFont val="Segoe UI"/>
            <family val="2"/>
          </rPr>
          <t xml:space="preserve">
1-Requisições de Armazenamento
2-Servidor</t>
        </r>
      </text>
    </comment>
    <comment ref="D1023" authorId="3" shapeId="0" xr:uid="{00000000-0006-0000-0100-000037050000}">
      <text>
        <r>
          <rPr>
            <sz val="9"/>
            <color indexed="81"/>
            <rFont val="Segoe UI"/>
            <family val="2"/>
          </rPr>
          <t xml:space="preserve">
1-Analise 
2-situação
3-título
4-data e hora
5-usuário
6-situação requisição
7-registro reprovação
8-CMD
9-MSG</t>
        </r>
      </text>
    </comment>
    <comment ref="E1023" authorId="3" shapeId="0" xr:uid="{00000000-0006-0000-0100-000038050000}">
      <text>
        <r>
          <rPr>
            <sz val="9"/>
            <color indexed="81"/>
            <rFont val="Segoe UI"/>
            <family val="2"/>
          </rPr>
          <t xml:space="preserve">
1-Requisições de Armazenamento
2-Servidor</t>
        </r>
      </text>
    </comment>
    <comment ref="D1024" authorId="3" shapeId="0" xr:uid="{00000000-0006-0000-0100-000039050000}">
      <text>
        <r>
          <rPr>
            <sz val="9"/>
            <color indexed="81"/>
            <rFont val="Segoe UI"/>
            <family val="2"/>
          </rPr>
          <t xml:space="preserve">
1-Analise 
2-situação
3-CMD
4-MSG</t>
        </r>
      </text>
    </comment>
    <comment ref="E1024" authorId="3" shapeId="0" xr:uid="{00000000-0006-0000-0100-00003A050000}">
      <text>
        <r>
          <rPr>
            <sz val="9"/>
            <color indexed="81"/>
            <rFont val="Segoe UI"/>
            <family val="2"/>
          </rPr>
          <t xml:space="preserve">
1-Requisições de Armazenamento
2-Servidor</t>
        </r>
      </text>
    </comment>
    <comment ref="D1027" authorId="3" shapeId="0" xr:uid="{00000000-0006-0000-0100-00003B050000}">
      <text>
        <r>
          <rPr>
            <sz val="9"/>
            <color indexed="81"/>
            <rFont val="Segoe UI"/>
            <family val="2"/>
          </rPr>
          <t xml:space="preserve">
1-OBS
2-Data recebimento
3-Usuario Recebimento
4-Requisicao
5-status
6-servidor
7-matricula
8-ID</t>
        </r>
      </text>
    </comment>
    <comment ref="E1027" authorId="3" shapeId="0" xr:uid="{00000000-0006-0000-0100-00003C050000}">
      <text>
        <r>
          <rPr>
            <sz val="9"/>
            <color indexed="81"/>
            <rFont val="Segoe UI"/>
            <family val="2"/>
          </rPr>
          <t xml:space="preserve">
1-Recebimento</t>
        </r>
      </text>
    </comment>
    <comment ref="D1028" authorId="3" shapeId="0" xr:uid="{00000000-0006-0000-0100-00003D050000}">
      <text>
        <r>
          <rPr>
            <sz val="9"/>
            <color indexed="81"/>
            <rFont val="Segoe UI"/>
            <family val="2"/>
          </rPr>
          <t xml:space="preserve">
1 -Requisição
2 -Situação
3 -Tipo de material
4 -Servidor
5 -Matricula 
6 -CPF
7 -Data assinatura
8 -Usuário de recebimento 
9 -CMD
10-MSG</t>
        </r>
      </text>
    </comment>
    <comment ref="E1028" authorId="3" shapeId="0" xr:uid="{00000000-0006-0000-0100-00003E050000}">
      <text>
        <r>
          <rPr>
            <sz val="9"/>
            <color indexed="81"/>
            <rFont val="Segoe UI"/>
            <family val="2"/>
          </rPr>
          <t xml:space="preserve">
1-Usuario
2-Recebimento e conferencia de material 
3-Requisições de Armazenamento</t>
        </r>
      </text>
    </comment>
    <comment ref="D1029" authorId="3" shapeId="0" xr:uid="{00000000-0006-0000-0100-00003F050000}">
      <text>
        <r>
          <rPr>
            <sz val="9"/>
            <color indexed="81"/>
            <rFont val="Segoe UI"/>
            <family val="2"/>
          </rPr>
          <t xml:space="preserve">
1-OBS
2-Data recebimento
3-Usuario Recebimento
4-CMD
5-MSG</t>
        </r>
      </text>
    </comment>
    <comment ref="E1029" authorId="3" shapeId="0" xr:uid="{00000000-0006-0000-0100-000040050000}">
      <text>
        <r>
          <rPr>
            <sz val="9"/>
            <color indexed="81"/>
            <rFont val="Segoe UI"/>
            <family val="2"/>
          </rPr>
          <t xml:space="preserve">
1-Usuario
2-Recebimento e conferencia de material 
3-Requisições de Armazenamento</t>
        </r>
      </text>
    </comment>
    <comment ref="D1030" authorId="3" shapeId="0" xr:uid="{00000000-0006-0000-0100-000041050000}">
      <text>
        <r>
          <rPr>
            <sz val="9"/>
            <color indexed="81"/>
            <rFont val="Segoe UI"/>
            <family val="2"/>
          </rPr>
          <t>1-Código
2-CMD
3-MSG</t>
        </r>
      </text>
    </comment>
    <comment ref="E1030" authorId="3" shapeId="0" xr:uid="{00000000-0006-0000-0100-000042050000}">
      <text>
        <r>
          <rPr>
            <sz val="9"/>
            <color indexed="81"/>
            <rFont val="Segoe UI"/>
            <family val="2"/>
          </rPr>
          <t xml:space="preserve">
1-Recebimento e conferencia de material </t>
        </r>
      </text>
    </comment>
    <comment ref="D1031" authorId="3" shapeId="0" xr:uid="{00000000-0006-0000-0100-000043050000}">
      <text>
        <r>
          <rPr>
            <sz val="9"/>
            <color indexed="81"/>
            <rFont val="Segoe UI"/>
            <family val="2"/>
          </rPr>
          <t>1-Código
2 - Data e Hora do Evento
3 - Usuário Responsável
4 - Status do Bem
5 - Tipo de Evento
6 - Detalhes do Evento
7-CMD
8-MSG</t>
        </r>
      </text>
    </comment>
    <comment ref="E1031" authorId="3" shapeId="0" xr:uid="{00000000-0006-0000-0100-000044050000}">
      <text>
        <r>
          <rPr>
            <sz val="9"/>
            <color indexed="81"/>
            <rFont val="Segoe UI"/>
            <family val="2"/>
          </rPr>
          <t xml:space="preserve">
1-Usuario
2-Recebimento e conferencia de material 
3-Requisições de Armazenamento
4-Históricos de Evento do Bem</t>
        </r>
      </text>
    </comment>
    <comment ref="D1034" authorId="3" shapeId="0" xr:uid="{00000000-0006-0000-0100-000045050000}">
      <text>
        <r>
          <rPr>
            <sz val="9"/>
            <color indexed="81"/>
            <rFont val="Segoe UI"/>
            <family val="2"/>
          </rPr>
          <t xml:space="preserve">
1 -Nº RQ; 
2 -Situação; 
3 -Data da Requisição; 
4 -Sigla/Órgão; 
5 -Órgão/Entidade; 
6 -Período de Armazenamento ini
7 -Período de Armazenamento fim
8 -Previsão de Entrega; 
9 -Resp. Pela Entrega a CELAD:
10-Matricula
11-CPF
12-Codigo Material
13-Descrição do Material, 
14-Volume,  
15-Qtd de Volumes, 
16-Peso total (KG), 
17-Unidades, 
18-Unidades Total, 
19-Elemento , 
20-Natureza.
21-CMD
22-MSG</t>
        </r>
      </text>
    </comment>
    <comment ref="E1034" authorId="3" shapeId="0" xr:uid="{00000000-0006-0000-0100-000046050000}">
      <text>
        <r>
          <rPr>
            <sz val="9"/>
            <color indexed="81"/>
            <rFont val="Segoe UI"/>
            <family val="2"/>
          </rPr>
          <t xml:space="preserve">
1-Requisições de Armazenamento
2-Servidor
3-Orgão</t>
        </r>
      </text>
    </comment>
    <comment ref="D1037" authorId="3" shapeId="0" xr:uid="{00000000-0006-0000-0100-000047050000}">
      <text>
        <r>
          <rPr>
            <sz val="9"/>
            <color indexed="81"/>
            <rFont val="Segoe UI"/>
            <family val="2"/>
          </rPr>
          <t xml:space="preserve">
1 -Volume conferido
2 -Volume com avaria
3 -Divergencia
4 - Descritivo
5 - Imagem
6 -Conferente 
7 -Data
8 -Status
9 -ID
</t>
        </r>
      </text>
    </comment>
    <comment ref="E1037" authorId="3" shapeId="0" xr:uid="{00000000-0006-0000-0100-000048050000}">
      <text>
        <r>
          <rPr>
            <sz val="9"/>
            <color indexed="81"/>
            <rFont val="Segoe UI"/>
            <family val="2"/>
          </rPr>
          <t xml:space="preserve">
1-Conferencia 
2-Conferencia de volume</t>
        </r>
      </text>
    </comment>
    <comment ref="D1038" authorId="3" shapeId="0" xr:uid="{00000000-0006-0000-0100-000049050000}">
      <text>
        <r>
          <rPr>
            <sz val="9"/>
            <color indexed="81"/>
            <rFont val="Segoe UI"/>
            <family val="2"/>
          </rPr>
          <t xml:space="preserve">
1 -Codigo
2 -Descrição
3 -Status
4 - Volume 
5 - Qtd Volume
6 -Volume conferido
7 -DIvergencia
8 -Vol Avarias
9 -conferente
10-Data
11-Em conformidade
12-CMD
13-MSG
</t>
        </r>
      </text>
    </comment>
    <comment ref="E1038" authorId="3" shapeId="0" xr:uid="{00000000-0006-0000-0100-00004A050000}">
      <text>
        <r>
          <rPr>
            <sz val="9"/>
            <color indexed="81"/>
            <rFont val="Segoe UI"/>
            <family val="2"/>
          </rPr>
          <t xml:space="preserve">
1-Requisições de Armazenamento
2-Servidor
3-Conferencia</t>
        </r>
      </text>
    </comment>
    <comment ref="D1039" authorId="3" shapeId="0" xr:uid="{00000000-0006-0000-0100-00004B050000}">
      <text>
        <r>
          <rPr>
            <sz val="9"/>
            <color indexed="81"/>
            <rFont val="Segoe UI"/>
            <family val="2"/>
          </rPr>
          <t xml:space="preserve">
1 -Situacao
2-CMD
3-MSG
</t>
        </r>
      </text>
    </comment>
    <comment ref="E1039" authorId="3" shapeId="0" xr:uid="{00000000-0006-0000-0100-00004C050000}">
      <text>
        <r>
          <rPr>
            <sz val="9"/>
            <color indexed="81"/>
            <rFont val="Segoe UI"/>
            <family val="2"/>
          </rPr>
          <t xml:space="preserve">
1-Conferencia </t>
        </r>
      </text>
    </comment>
    <comment ref="D1040" authorId="3" shapeId="0" xr:uid="{00000000-0006-0000-0100-00004D050000}">
      <text>
        <r>
          <rPr>
            <sz val="9"/>
            <color indexed="81"/>
            <rFont val="Segoe UI"/>
            <family val="2"/>
          </rPr>
          <t xml:space="preserve">
1 -Situacao
2-CMD
3-MSG
</t>
        </r>
      </text>
    </comment>
    <comment ref="E1040" authorId="3" shapeId="0" xr:uid="{00000000-0006-0000-0100-00004E050000}">
      <text>
        <r>
          <rPr>
            <sz val="9"/>
            <color indexed="81"/>
            <rFont val="Segoe UI"/>
            <family val="2"/>
          </rPr>
          <t xml:space="preserve">
1-Conferencia </t>
        </r>
      </text>
    </comment>
    <comment ref="D1041" authorId="3" shapeId="0" xr:uid="{00000000-0006-0000-0100-00004F050000}">
      <text>
        <r>
          <rPr>
            <sz val="9"/>
            <color indexed="81"/>
            <rFont val="Segoe UI"/>
            <family val="2"/>
          </rPr>
          <t xml:space="preserve">
1 -Situacao
2-Conformidade
3-Descritivo da conferencia
4-Conferencia da requisicao 
5-Conferente 
6-CMD
7-MSG
</t>
        </r>
      </text>
    </comment>
    <comment ref="E1041" authorId="3" shapeId="0" xr:uid="{00000000-0006-0000-0100-000050050000}">
      <text>
        <r>
          <rPr>
            <sz val="9"/>
            <color indexed="81"/>
            <rFont val="Segoe UI"/>
            <family val="2"/>
          </rPr>
          <t xml:space="preserve">
1-Conferencia </t>
        </r>
      </text>
    </comment>
    <comment ref="D1042" authorId="3" shapeId="0" xr:uid="{00000000-0006-0000-0100-000051050000}">
      <text>
        <r>
          <rPr>
            <sz val="9"/>
            <color indexed="81"/>
            <rFont val="Segoe UI"/>
            <family val="2"/>
          </rPr>
          <t xml:space="preserve">
1 -Situacao
2-Conformidade
3-Descritivo da conferencia
4-Conferencia da requisicao 
5-Conferente 
6-CMD
7-MSG
</t>
        </r>
      </text>
    </comment>
    <comment ref="E1042" authorId="3" shapeId="0" xr:uid="{00000000-0006-0000-0100-000052050000}">
      <text>
        <r>
          <rPr>
            <sz val="9"/>
            <color indexed="81"/>
            <rFont val="Segoe UI"/>
            <family val="2"/>
          </rPr>
          <t xml:space="preserve">
1-Conferencia </t>
        </r>
      </text>
    </comment>
    <comment ref="D1043" authorId="3" shapeId="0" xr:uid="{00000000-0006-0000-0100-000053050000}">
      <text>
        <r>
          <rPr>
            <sz val="9"/>
            <color indexed="81"/>
            <rFont val="Segoe UI"/>
            <family val="2"/>
          </rPr>
          <t xml:space="preserve">
1 -Volume conferido
2 -Volume com avaria
3 -Divergencia
4 - Descritivo
5 - Imagem
6 -Conferente 
7 -Data
8 -Status
9 -CMD
10-MSG</t>
        </r>
      </text>
    </comment>
    <comment ref="E1043" authorId="3" shapeId="0" xr:uid="{00000000-0006-0000-0100-000054050000}">
      <text>
        <r>
          <rPr>
            <sz val="9"/>
            <color indexed="81"/>
            <rFont val="Segoe UI"/>
            <family val="2"/>
          </rPr>
          <t xml:space="preserve">
1-Requisições de Armazenamento
2-Servidor
3-Conferencia</t>
        </r>
      </text>
    </comment>
    <comment ref="D1044" authorId="3" shapeId="0" xr:uid="{00000000-0006-0000-0100-000055050000}">
      <text>
        <r>
          <rPr>
            <sz val="9"/>
            <color indexed="81"/>
            <rFont val="Segoe UI"/>
            <family val="2"/>
          </rPr>
          <t xml:space="preserve">
1 -Codigo
2-Descrição
3-Qtd volume
4-Unidade por volume
5-total unidade
6-total do peso
7-CMD
</t>
        </r>
      </text>
    </comment>
    <comment ref="E1044" authorId="3" shapeId="0" xr:uid="{00000000-0006-0000-0100-000056050000}">
      <text>
        <r>
          <rPr>
            <sz val="9"/>
            <color indexed="81"/>
            <rFont val="Segoe UI"/>
            <family val="2"/>
          </rPr>
          <t xml:space="preserve">
1-Requisições de Armazenamento
2-Servidor
3-Conferencia</t>
        </r>
      </text>
    </comment>
    <comment ref="D1045" authorId="3" shapeId="0" xr:uid="{00000000-0006-0000-0100-000057050000}">
      <text>
        <r>
          <rPr>
            <sz val="9"/>
            <color indexed="81"/>
            <rFont val="Segoe UI"/>
            <family val="2"/>
          </rPr>
          <t xml:space="preserve">
1 -Volume conferido
2 -Volume com avaria
3 -Divergencia
4 - Descritivo
5 - Imagem
6 -Conferente 
7 -Data
8 -Status
9 -CMD
10-MSG</t>
        </r>
      </text>
    </comment>
    <comment ref="E1045" authorId="3" shapeId="0" xr:uid="{00000000-0006-0000-0100-000058050000}">
      <text>
        <r>
          <rPr>
            <sz val="9"/>
            <color indexed="81"/>
            <rFont val="Segoe UI"/>
            <family val="2"/>
          </rPr>
          <t xml:space="preserve">
1-Conferencia </t>
        </r>
      </text>
    </comment>
    <comment ref="D1046" authorId="3" shapeId="0" xr:uid="{00000000-0006-0000-0100-000059050000}">
      <text>
        <r>
          <rPr>
            <sz val="9"/>
            <color indexed="81"/>
            <rFont val="Segoe UI"/>
            <family val="2"/>
          </rPr>
          <t xml:space="preserve">
1 -Codigo
2-Descrição
3-Qtd volume
4-Unidade por volume
5-total unidade
6-total do peso
7-Volume conferido
8-volume com avaira
9-divergencia
10-descritivo
11-arquivo
12-conferente
13-data conferencia
14-status
15-CMD
</t>
        </r>
      </text>
    </comment>
    <comment ref="E1046" authorId="3" shapeId="0" xr:uid="{00000000-0006-0000-0100-00005A050000}">
      <text>
        <r>
          <rPr>
            <sz val="9"/>
            <color indexed="81"/>
            <rFont val="Segoe UI"/>
            <family val="2"/>
          </rPr>
          <t xml:space="preserve">
1-Requisições de Armazenamento
2-Servidor
3-Conferencia</t>
        </r>
      </text>
    </comment>
    <comment ref="D1047" authorId="3" shapeId="0" xr:uid="{00000000-0006-0000-0100-00005B050000}">
      <text>
        <r>
          <rPr>
            <sz val="9"/>
            <color indexed="81"/>
            <rFont val="Segoe UI"/>
            <family val="2"/>
          </rPr>
          <t xml:space="preserve">
1 -Situacao
2-CMD
3-MSG
</t>
        </r>
      </text>
    </comment>
    <comment ref="E1047" authorId="3" shapeId="0" xr:uid="{00000000-0006-0000-0100-00005C050000}">
      <text>
        <r>
          <rPr>
            <sz val="9"/>
            <color indexed="81"/>
            <rFont val="Segoe UI"/>
            <family val="2"/>
          </rPr>
          <t xml:space="preserve">
1-Conferencia </t>
        </r>
      </text>
    </comment>
    <comment ref="D1050" authorId="3" shapeId="0" xr:uid="{00000000-0006-0000-0100-00005D050000}">
      <text>
        <r>
          <rPr>
            <sz val="9"/>
            <color indexed="81"/>
            <rFont val="Segoe UI"/>
            <family val="2"/>
          </rPr>
          <t xml:space="preserve">
1 -Requisicão
2 -situacao
3 -conferente 
4 -data conferencia 
5 -sigla orgao
6 -orgão entidade 
7 -responsável pela entrega
8 -matricula
9 -cpf
10-data assinatura
11-conferencia em conformidade
12-Codigo
13-Descrição
14-Volume
15-Qtd volume
16-Volume conferido 
17-Divergencia
18-volume com avaira
19-Status conferencia 
20-COnferente 
21-data conferencia
22-CMD
23-MSG
</t>
        </r>
      </text>
    </comment>
    <comment ref="E1050" authorId="3" shapeId="0" xr:uid="{00000000-0006-0000-0100-00005E050000}">
      <text>
        <r>
          <rPr>
            <sz val="9"/>
            <color indexed="81"/>
            <rFont val="Segoe UI"/>
            <family val="2"/>
          </rPr>
          <t xml:space="preserve">
1-Requisições de Armazenamento
2-Servidor
3-Orgão
4-Conferencia</t>
        </r>
      </text>
    </comment>
    <comment ref="D1053" authorId="3" shapeId="0" xr:uid="{00000000-0006-0000-0100-00005F050000}">
      <text>
        <r>
          <rPr>
            <sz val="9"/>
            <color indexed="81"/>
            <rFont val="Segoe UI"/>
            <family val="2"/>
          </rPr>
          <t xml:space="preserve">
1-Data inicio
2-data fim 
3-motivo
4-anexo
5 -Situação analise
6- Analise 
7- usuario
8-Data
9-Status</t>
        </r>
      </text>
    </comment>
    <comment ref="E1053" authorId="3" shapeId="0" xr:uid="{00000000-0006-0000-0100-000060050000}">
      <text>
        <r>
          <rPr>
            <sz val="9"/>
            <color indexed="81"/>
            <rFont val="Segoe UI"/>
            <family val="2"/>
          </rPr>
          <t xml:space="preserve">
1-Prorrogação
</t>
        </r>
      </text>
    </comment>
    <comment ref="D1054" authorId="3" shapeId="0" xr:uid="{00000000-0006-0000-0100-000061050000}">
      <text>
        <r>
          <rPr>
            <sz val="9"/>
            <color indexed="81"/>
            <rFont val="Segoe UI"/>
            <family val="2"/>
          </rPr>
          <t xml:space="preserve">
1 -Requisição 
2 -Situação
3 -TIpo de material
4-Responsável Almoxarifado
5 -Data inicio
6 -data fim 
7 -data inicio solicitação
8 -data fim  solicitação
9 -Data inicio analise 
10-data fim analise 
11-usuario
12-status
13-Almoxarifado
14-CMD
15-MSG
</t>
        </r>
      </text>
    </comment>
    <comment ref="E1054" authorId="3" shapeId="0" xr:uid="{00000000-0006-0000-0100-000062050000}">
      <text>
        <r>
          <rPr>
            <sz val="9"/>
            <color indexed="81"/>
            <rFont val="Segoe UI"/>
            <family val="2"/>
          </rPr>
          <t xml:space="preserve">
1-Prorrogação
2-Requisições de Armazenamento</t>
        </r>
      </text>
    </comment>
    <comment ref="D1055" authorId="3" shapeId="0" xr:uid="{00000000-0006-0000-0100-000063050000}">
      <text>
        <r>
          <rPr>
            <sz val="9"/>
            <color indexed="81"/>
            <rFont val="Segoe UI"/>
            <family val="2"/>
          </rPr>
          <t xml:space="preserve">
1-Data inicio
2-data fim 
3-motivo
4-anexo
5-CMD
6-MSG
</t>
        </r>
      </text>
    </comment>
    <comment ref="E1055" authorId="3" shapeId="0" xr:uid="{00000000-0006-0000-0100-000064050000}">
      <text>
        <r>
          <rPr>
            <sz val="9"/>
            <color indexed="81"/>
            <rFont val="Segoe UI"/>
            <family val="2"/>
          </rPr>
          <t xml:space="preserve">
1-Prorrogação
2-Requisições de Armazenamento
3-Gestor do Bem</t>
        </r>
      </text>
    </comment>
    <comment ref="D1056" authorId="3" shapeId="0" xr:uid="{00000000-0006-0000-0100-000065050000}">
      <text>
        <r>
          <rPr>
            <sz val="9"/>
            <color indexed="81"/>
            <rFont val="Segoe UI"/>
            <family val="2"/>
          </rPr>
          <t xml:space="preserve">
1-Gestor
2-Solicitante
3-Data solicitação
4-CMD
</t>
        </r>
      </text>
    </comment>
    <comment ref="E1056" authorId="3" shapeId="0" xr:uid="{00000000-0006-0000-0100-000066050000}">
      <text>
        <r>
          <rPr>
            <sz val="9"/>
            <color indexed="81"/>
            <rFont val="Segoe UI"/>
            <family val="2"/>
          </rPr>
          <t xml:space="preserve">
1-Prorrogação
2-Requisições de Armazenamento</t>
        </r>
      </text>
    </comment>
    <comment ref="D1057" authorId="3" shapeId="0" xr:uid="{00000000-0006-0000-0100-000067050000}">
      <text>
        <r>
          <rPr>
            <sz val="9"/>
            <color indexed="81"/>
            <rFont val="Segoe UI"/>
            <family val="2"/>
          </rPr>
          <t xml:space="preserve">
1-Data inicio
2-data fim 
3-motivo
4-anexo
5-CMD
6-MSG
</t>
        </r>
      </text>
    </comment>
    <comment ref="E1057" authorId="3" shapeId="0" xr:uid="{00000000-0006-0000-0100-000068050000}">
      <text>
        <r>
          <rPr>
            <sz val="9"/>
            <color indexed="81"/>
            <rFont val="Segoe UI"/>
            <family val="2"/>
          </rPr>
          <t xml:space="preserve">
1-Prorrogação
2-Requisições de Armazenamento
3-Gestor do Bem</t>
        </r>
      </text>
    </comment>
    <comment ref="D1058" authorId="3" shapeId="0" xr:uid="{00000000-0006-0000-0100-000069050000}">
      <text>
        <r>
          <rPr>
            <sz val="9"/>
            <color indexed="81"/>
            <rFont val="Segoe UI"/>
            <family val="2"/>
          </rPr>
          <t xml:space="preserve">
1-Data inicio
2-data fim 
3-motivo
4-anexo
5-Almoxarifado
6-Responsável Almoxarifado
7-Solicitante 
8-Data solicitação
</t>
        </r>
      </text>
    </comment>
    <comment ref="E1058" authorId="3" shapeId="0" xr:uid="{00000000-0006-0000-0100-00006A050000}">
      <text>
        <r>
          <rPr>
            <sz val="9"/>
            <color indexed="81"/>
            <rFont val="Segoe UI"/>
            <family val="2"/>
          </rPr>
          <t xml:space="preserve">
1-Prorrogação
2-Requisições de Armazenamento
3-Gestor do Bem</t>
        </r>
      </text>
    </comment>
    <comment ref="D1059" authorId="3" shapeId="0" xr:uid="{00000000-0006-0000-0100-00006B050000}">
      <text>
        <r>
          <rPr>
            <sz val="9"/>
            <color indexed="81"/>
            <rFont val="Segoe UI"/>
            <family val="2"/>
          </rPr>
          <t xml:space="preserve">
1-Data inicio
2-data fim 
3-motivo
4-anexo
5-Almoxarifado
6-Responsável Almoxarifado
7-Solicitante 
8-Data solicitação
9-CMD
</t>
        </r>
      </text>
    </comment>
    <comment ref="E1059" authorId="3" shapeId="0" xr:uid="{00000000-0006-0000-0100-00006C050000}">
      <text>
        <r>
          <rPr>
            <sz val="9"/>
            <color indexed="81"/>
            <rFont val="Segoe UI"/>
            <family val="2"/>
          </rPr>
          <t xml:space="preserve">
1-Prorrogação
2-Requisições de Armazenamento
3-Gestor do Bem</t>
        </r>
      </text>
    </comment>
    <comment ref="D1060" authorId="3" shapeId="0" xr:uid="{00000000-0006-0000-0100-00006D050000}">
      <text>
        <r>
          <rPr>
            <sz val="9"/>
            <color indexed="81"/>
            <rFont val="Segoe UI"/>
            <family val="2"/>
          </rPr>
          <t xml:space="preserve">
1 -Situacao
2-CMD
3-MSG
</t>
        </r>
      </text>
    </comment>
    <comment ref="E1060" authorId="3" shapeId="0" xr:uid="{00000000-0006-0000-0100-00006E050000}">
      <text>
        <r>
          <rPr>
            <sz val="9"/>
            <color indexed="81"/>
            <rFont val="Segoe UI"/>
            <family val="2"/>
          </rPr>
          <t xml:space="preserve">
1-Prorrogação
</t>
        </r>
      </text>
    </comment>
    <comment ref="D1061" authorId="3" shapeId="0" xr:uid="{00000000-0006-0000-0100-00006F050000}">
      <text>
        <r>
          <rPr>
            <sz val="9"/>
            <color indexed="81"/>
            <rFont val="Segoe UI"/>
            <family val="2"/>
          </rPr>
          <t xml:space="preserve">
1 -Codigo
2-CMD
3-MSG
</t>
        </r>
      </text>
    </comment>
    <comment ref="E1061" authorId="3" shapeId="0" xr:uid="{00000000-0006-0000-0100-000070050000}">
      <text>
        <r>
          <rPr>
            <sz val="9"/>
            <color indexed="81"/>
            <rFont val="Segoe UI"/>
            <family val="2"/>
          </rPr>
          <t xml:space="preserve">
1-Prorrogação
2-Usuario</t>
        </r>
      </text>
    </comment>
    <comment ref="D1062" authorId="3" shapeId="0" xr:uid="{00000000-0006-0000-0100-000071050000}">
      <text>
        <r>
          <rPr>
            <sz val="9"/>
            <color indexed="81"/>
            <rFont val="Segoe UI"/>
            <family val="2"/>
          </rPr>
          <t xml:space="preserve">
1 -Codigo
2- Motivo
3- CMD
4-MSG
</t>
        </r>
      </text>
    </comment>
    <comment ref="E1062" authorId="3" shapeId="0" xr:uid="{00000000-0006-0000-0100-000072050000}">
      <text>
        <r>
          <rPr>
            <sz val="9"/>
            <color indexed="81"/>
            <rFont val="Segoe UI"/>
            <family val="2"/>
          </rPr>
          <t xml:space="preserve">
1-Prorrogação
2-Usuario</t>
        </r>
      </text>
    </comment>
    <comment ref="D1063" authorId="3" shapeId="0" xr:uid="{00000000-0006-0000-0100-000073050000}">
      <text>
        <r>
          <rPr>
            <sz val="9"/>
            <color indexed="81"/>
            <rFont val="Segoe UI"/>
            <family val="2"/>
          </rPr>
          <t xml:space="preserve">
1 -Situação
2- Analise 
3- usuario
4-Data
5-Status
6-CMD
7-MSG
</t>
        </r>
      </text>
    </comment>
    <comment ref="E1063" authorId="3" shapeId="0" xr:uid="{00000000-0006-0000-0100-000074050000}">
      <text>
        <r>
          <rPr>
            <sz val="9"/>
            <color indexed="81"/>
            <rFont val="Segoe UI"/>
            <family val="2"/>
          </rPr>
          <t xml:space="preserve">
1-Prorrogação
2-Usuario</t>
        </r>
      </text>
    </comment>
    <comment ref="D1064" authorId="3" shapeId="0" xr:uid="{00000000-0006-0000-0100-000075050000}">
      <text>
        <r>
          <rPr>
            <sz val="9"/>
            <color indexed="81"/>
            <rFont val="Segoe UI"/>
            <family val="2"/>
          </rPr>
          <t xml:space="preserve">
1 -Situação
2- Analise 
3- usuario
4-Data
5-Status
6-CMD
7-MSG
</t>
        </r>
      </text>
    </comment>
    <comment ref="E1064" authorId="3" shapeId="0" xr:uid="{00000000-0006-0000-0100-000076050000}">
      <text>
        <r>
          <rPr>
            <sz val="9"/>
            <color indexed="81"/>
            <rFont val="Segoe UI"/>
            <family val="2"/>
          </rPr>
          <t xml:space="preserve">
1-Prorrogação
2-Usuario</t>
        </r>
      </text>
    </comment>
    <comment ref="D1065" authorId="3" shapeId="0" xr:uid="{00000000-0006-0000-0100-000077050000}">
      <text>
        <r>
          <rPr>
            <sz val="9"/>
            <color indexed="81"/>
            <rFont val="Segoe UI"/>
            <family val="2"/>
          </rPr>
          <t xml:space="preserve">
1 -Situação
2- Analise 
3- usuario
4-Data
5-Status
</t>
        </r>
      </text>
    </comment>
    <comment ref="E1065" authorId="3" shapeId="0" xr:uid="{00000000-0006-0000-0100-000078050000}">
      <text>
        <r>
          <rPr>
            <sz val="9"/>
            <color indexed="81"/>
            <rFont val="Segoe UI"/>
            <family val="2"/>
          </rPr>
          <t xml:space="preserve">
1-Prorrogação
2-Usuario</t>
        </r>
      </text>
    </comment>
    <comment ref="D1068" authorId="3" shapeId="0" xr:uid="{00000000-0006-0000-0100-000079050000}">
      <text>
        <r>
          <rPr>
            <sz val="9"/>
            <color indexed="81"/>
            <rFont val="Segoe UI"/>
            <family val="2"/>
          </rPr>
          <t xml:space="preserve">
1-Codigo pallet
2-Descrição 
3-Endereçamento
4-Total de volumes
5-Peso total
6-Codigo material
7-Desc Material
8-Volume 
9-Volumes no pallet
10-Peso no pallet
11-Estoquista
12-Data
</t>
        </r>
      </text>
    </comment>
    <comment ref="E1068" authorId="3" shapeId="0" xr:uid="{00000000-0006-0000-0100-00007A050000}">
      <text>
        <r>
          <rPr>
            <sz val="9"/>
            <color indexed="81"/>
            <rFont val="Segoe UI"/>
            <family val="2"/>
          </rPr>
          <t xml:space="preserve">1-Pallet
2-Material Pallet
</t>
        </r>
      </text>
    </comment>
    <comment ref="D1069" authorId="3" shapeId="0" xr:uid="{00000000-0006-0000-0100-00007B050000}">
      <text>
        <r>
          <rPr>
            <sz val="9"/>
            <color indexed="81"/>
            <rFont val="Segoe UI"/>
            <family val="2"/>
          </rPr>
          <t xml:space="preserve">
1 -Orgão entidade 
2 -sigla
3 -N RQ
4 -Situação
5 -tipo de material
6 -gestor de bens
7 -data fim de armazenagem
8 -Codigo Pallet 
9 -Descrição pallet
10-codigo material
11-descrição Material 
12-Total de volumos 
13-peso total
14-data estocagem
15-usuário estocagem
16-CMD
17-MSG</t>
        </r>
      </text>
    </comment>
    <comment ref="E1069" authorId="3" shapeId="0" xr:uid="{00000000-0006-0000-0100-00007C050000}">
      <text>
        <r>
          <rPr>
            <sz val="9"/>
            <color indexed="81"/>
            <rFont val="Segoe UI"/>
            <family val="2"/>
          </rPr>
          <t xml:space="preserve">
1-Requisições de Armazenamento
2-Material
3-Orgão/entidae
4-Gestor de bens
5-Pallet</t>
        </r>
      </text>
    </comment>
    <comment ref="D1070" authorId="3" shapeId="0" xr:uid="{00000000-0006-0000-0100-00007D050000}">
      <text>
        <r>
          <rPr>
            <sz val="9"/>
            <color indexed="81"/>
            <rFont val="Segoe UI"/>
            <family val="2"/>
          </rPr>
          <t xml:space="preserve">
1-Codigo material
2-Descrição material
3-Volume 
4-qt volumes
5-peso no pallet
6-usuário
7-data
8-CMD
9-MSG
</t>
        </r>
      </text>
    </comment>
    <comment ref="E1070" authorId="3" shapeId="0" xr:uid="{00000000-0006-0000-0100-00007E050000}">
      <text>
        <r>
          <rPr>
            <sz val="9"/>
            <color indexed="81"/>
            <rFont val="Segoe UI"/>
            <family val="2"/>
          </rPr>
          <t xml:space="preserve">
1-Requisições de Armazenamento
2-Material
3-Usuario
4-Pallet</t>
        </r>
      </text>
    </comment>
    <comment ref="D1071" authorId="3" shapeId="0" xr:uid="{00000000-0006-0000-0100-00007F050000}">
      <text>
        <r>
          <rPr>
            <sz val="9"/>
            <color indexed="81"/>
            <rFont val="Segoe UI"/>
            <family val="2"/>
          </rPr>
          <t xml:space="preserve">
1-Codigo pallet
2-Descrição 
3-Endereçamento
4-Total de volumes
5-Peso total
6-CMD
7-MSG</t>
        </r>
      </text>
    </comment>
    <comment ref="E1071" authorId="3" shapeId="0" xr:uid="{00000000-0006-0000-0100-000080050000}">
      <text>
        <r>
          <rPr>
            <sz val="9"/>
            <color indexed="81"/>
            <rFont val="Segoe UI"/>
            <family val="2"/>
          </rPr>
          <t xml:space="preserve">
1-Pallet
2-Material
3-Usuario
4-Rua/Endereçamento</t>
        </r>
      </text>
    </comment>
    <comment ref="D1072" authorId="3" shapeId="0" xr:uid="{00000000-0006-0000-0100-000081050000}">
      <text>
        <r>
          <rPr>
            <sz val="9"/>
            <color indexed="81"/>
            <rFont val="Segoe UI"/>
            <family val="2"/>
          </rPr>
          <t xml:space="preserve">
1-Codigo pallet
2-Descrição 
3-Endereçamento
4-Total de volumes
5-Peso total
6-Codigo material
7-Desc Material
8-Volume 
9-Volumes no pallet
10-Peso no pallet
11-Estoquista
12-Data
</t>
        </r>
      </text>
    </comment>
    <comment ref="E1072" authorId="3" shapeId="0" xr:uid="{00000000-0006-0000-0100-000082050000}">
      <text>
        <r>
          <rPr>
            <sz val="9"/>
            <color indexed="81"/>
            <rFont val="Segoe UI"/>
            <family val="2"/>
          </rPr>
          <t xml:space="preserve">
1-Pallet
2-Material
3-Usuario
4-Rua/Endereçamento</t>
        </r>
      </text>
    </comment>
    <comment ref="D1073" authorId="3" shapeId="0" xr:uid="{00000000-0006-0000-0100-000083050000}">
      <text>
        <r>
          <rPr>
            <sz val="9"/>
            <color indexed="81"/>
            <rFont val="Segoe UI"/>
            <family val="2"/>
          </rPr>
          <t xml:space="preserve">
1-Codigo pallet
2-Descrição 
3-Endereçamento
4-Total de volumes
5-Peso total
6-Codigo material
7-Desc Material
8-Volume 
9-Volumes no pallet
10-Peso no pallet
11-Estoquista
12-Data
13-CMD
14-MSG</t>
        </r>
      </text>
    </comment>
    <comment ref="E1073" authorId="3" shapeId="0" xr:uid="{00000000-0006-0000-0100-000084050000}">
      <text>
        <r>
          <rPr>
            <sz val="9"/>
            <color indexed="81"/>
            <rFont val="Segoe UI"/>
            <family val="2"/>
          </rPr>
          <t xml:space="preserve">
1-Pallet
2-Material
3-Usuario
4-Rua/Endereçamento</t>
        </r>
      </text>
    </comment>
    <comment ref="D1074" authorId="3" shapeId="0" xr:uid="{00000000-0006-0000-0100-000085050000}">
      <text>
        <r>
          <rPr>
            <sz val="9"/>
            <color indexed="81"/>
            <rFont val="Segoe UI"/>
            <family val="2"/>
          </rPr>
          <t xml:space="preserve">
1-Codigo
2-CMD
3-MSG</t>
        </r>
      </text>
    </comment>
    <comment ref="E1074" authorId="3" shapeId="0" xr:uid="{00000000-0006-0000-0100-000086050000}">
      <text>
        <r>
          <rPr>
            <sz val="9"/>
            <color indexed="81"/>
            <rFont val="Segoe UI"/>
            <family val="2"/>
          </rPr>
          <t xml:space="preserve">
1-Pallet</t>
        </r>
      </text>
    </comment>
    <comment ref="D1075" authorId="3" shapeId="0" xr:uid="{00000000-0006-0000-0100-000087050000}">
      <text>
        <r>
          <rPr>
            <sz val="9"/>
            <color indexed="81"/>
            <rFont val="Segoe UI"/>
            <family val="2"/>
          </rPr>
          <t xml:space="preserve">
1-Codigo pallet
2-Descrição 
3-Endereçamento
4-Total de volumes
5-Peso total
6-CMD
7-MSG</t>
        </r>
      </text>
    </comment>
    <comment ref="E1075" authorId="3" shapeId="0" xr:uid="{00000000-0006-0000-0100-000088050000}">
      <text>
        <r>
          <rPr>
            <sz val="9"/>
            <color indexed="81"/>
            <rFont val="Segoe UI"/>
            <family val="2"/>
          </rPr>
          <t xml:space="preserve">
1-Pallet
2-Material
3-Usuario
4-Rua/Endereçamento</t>
        </r>
      </text>
    </comment>
    <comment ref="D1076" authorId="3" shapeId="0" xr:uid="{00000000-0006-0000-0100-000089050000}">
      <text>
        <r>
          <rPr>
            <sz val="9"/>
            <color indexed="81"/>
            <rFont val="Segoe UI"/>
            <family val="2"/>
          </rPr>
          <t xml:space="preserve">1-Deposito
2-Orgão 
3-Sigla
4-Rua
5-Bloco
6-RUA
7-CMD
8-MSG 
</t>
        </r>
      </text>
    </comment>
    <comment ref="E1076" authorId="3" shapeId="0" xr:uid="{00000000-0006-0000-0100-00008A050000}">
      <text>
        <r>
          <rPr>
            <sz val="9"/>
            <color indexed="81"/>
            <rFont val="Segoe UI"/>
            <family val="2"/>
          </rPr>
          <t xml:space="preserve">
1-Rua/Endereçamento
2-Deposito
3-Orgão
</t>
        </r>
      </text>
    </comment>
    <comment ref="D1077" authorId="3" shapeId="0" xr:uid="{00000000-0006-0000-0100-00008B050000}">
      <text>
        <r>
          <rPr>
            <sz val="9"/>
            <color indexed="81"/>
            <rFont val="Segoe UI"/>
            <family val="2"/>
          </rPr>
          <t xml:space="preserve">
1-Código
2-Descrição
3-CMD</t>
        </r>
      </text>
    </comment>
    <comment ref="E1077" authorId="3" shapeId="0" xr:uid="{00000000-0006-0000-0100-00008C050000}">
      <text>
        <r>
          <rPr>
            <sz val="9"/>
            <color indexed="81"/>
            <rFont val="Segoe UI"/>
            <family val="2"/>
          </rPr>
          <t xml:space="preserve">
1-Deposito
</t>
        </r>
      </text>
    </comment>
    <comment ref="D1078" authorId="3" shapeId="0" xr:uid="{00000000-0006-0000-0100-00008D050000}">
      <text>
        <r>
          <rPr>
            <sz val="9"/>
            <color indexed="81"/>
            <rFont val="Segoe UI"/>
            <family val="2"/>
          </rPr>
          <t xml:space="preserve">
1-Código
2-Descrição
3-CMD</t>
        </r>
      </text>
    </comment>
    <comment ref="E1078" authorId="3" shapeId="0" xr:uid="{00000000-0006-0000-0100-00008E050000}">
      <text>
        <r>
          <rPr>
            <sz val="9"/>
            <color indexed="81"/>
            <rFont val="Segoe UI"/>
            <family val="2"/>
          </rPr>
          <t xml:space="preserve">
1-Rua/Endereçamento</t>
        </r>
      </text>
    </comment>
    <comment ref="D1079" authorId="3" shapeId="0" xr:uid="{00000000-0006-0000-0100-00008F050000}">
      <text>
        <r>
          <rPr>
            <sz val="9"/>
            <color indexed="81"/>
            <rFont val="Segoe UI"/>
            <family val="2"/>
          </rPr>
          <t xml:space="preserve">
1-Código
2-Descrição
3-CMD</t>
        </r>
      </text>
    </comment>
    <comment ref="E1079" authorId="3" shapeId="0" xr:uid="{00000000-0006-0000-0100-000090050000}">
      <text>
        <r>
          <rPr>
            <sz val="9"/>
            <color indexed="81"/>
            <rFont val="Segoe UI"/>
            <family val="2"/>
          </rPr>
          <t xml:space="preserve">
1-Rua/Endereçamento</t>
        </r>
      </text>
    </comment>
    <comment ref="D1080" authorId="3" shapeId="0" xr:uid="{00000000-0006-0000-0100-000091050000}">
      <text>
        <r>
          <rPr>
            <sz val="9"/>
            <color indexed="81"/>
            <rFont val="Segoe UI"/>
            <family val="2"/>
          </rPr>
          <t xml:space="preserve">
1-Código
2-Descrição
3-CMD</t>
        </r>
      </text>
    </comment>
    <comment ref="E1080" authorId="3" shapeId="0" xr:uid="{00000000-0006-0000-0100-000092050000}">
      <text>
        <r>
          <rPr>
            <sz val="9"/>
            <color indexed="81"/>
            <rFont val="Segoe UI"/>
            <family val="2"/>
          </rPr>
          <t xml:space="preserve">
1-Rua/Endereçamento</t>
        </r>
      </text>
    </comment>
    <comment ref="D1081" authorId="3" shapeId="0" xr:uid="{00000000-0006-0000-0100-000093050000}">
      <text>
        <r>
          <rPr>
            <sz val="9"/>
            <color indexed="81"/>
            <rFont val="Segoe UI"/>
            <family val="2"/>
          </rPr>
          <t xml:space="preserve">
1-Rua
2-Bloco
3-Ap desocupado
4-andar
5-AP
6-Endreçamento
7-Ocupante
8-CMD
9-MSG</t>
        </r>
      </text>
    </comment>
    <comment ref="E1081" authorId="3" shapeId="0" xr:uid="{00000000-0006-0000-0100-000094050000}">
      <text>
        <r>
          <rPr>
            <sz val="9"/>
            <color indexed="81"/>
            <rFont val="Segoe UI"/>
            <family val="2"/>
          </rPr>
          <t xml:space="preserve">
1-Rua/Endereçamento
</t>
        </r>
      </text>
    </comment>
    <comment ref="D1082" authorId="3" shapeId="0" xr:uid="{00000000-0006-0000-0100-000095050000}">
      <text>
        <r>
          <rPr>
            <sz val="9"/>
            <color indexed="81"/>
            <rFont val="Segoe UI"/>
            <family val="2"/>
          </rPr>
          <t xml:space="preserve">
1-Codigo material
2-Volume no pallet
3-CMD
4-MSG
</t>
        </r>
      </text>
    </comment>
    <comment ref="E1082" authorId="3" shapeId="0" xr:uid="{00000000-0006-0000-0100-000096050000}">
      <text>
        <r>
          <rPr>
            <sz val="9"/>
            <color indexed="81"/>
            <rFont val="Segoe UI"/>
            <family val="2"/>
          </rPr>
          <t xml:space="preserve">
1-Pallet
2-Material
</t>
        </r>
      </text>
    </comment>
    <comment ref="D1083" authorId="3" shapeId="0" xr:uid="{00000000-0006-0000-0100-000097050000}">
      <text>
        <r>
          <rPr>
            <sz val="9"/>
            <color indexed="81"/>
            <rFont val="Segoe UI"/>
            <family val="2"/>
          </rPr>
          <t xml:space="preserve">
1-Codigo material
2-Volume no pallet
3-CMD
4-MSG
</t>
        </r>
      </text>
    </comment>
    <comment ref="E1083" authorId="3" shapeId="0" xr:uid="{00000000-0006-0000-0100-000098050000}">
      <text>
        <r>
          <rPr>
            <sz val="9"/>
            <color indexed="81"/>
            <rFont val="Segoe UI"/>
            <family val="2"/>
          </rPr>
          <t xml:space="preserve">
1-Pallet
2-Material
</t>
        </r>
      </text>
    </comment>
    <comment ref="D1084" authorId="3" shapeId="0" xr:uid="{00000000-0006-0000-0100-000099050000}">
      <text>
        <r>
          <rPr>
            <sz val="9"/>
            <color indexed="81"/>
            <rFont val="Segoe UI"/>
            <family val="2"/>
          </rPr>
          <t xml:space="preserve">
1-Volume no pallet
2-Codigo material
3-Desc material
4-Volume 
5-volumes pendentes
6-peso pendente
</t>
        </r>
      </text>
    </comment>
    <comment ref="E1084" authorId="3" shapeId="0" xr:uid="{00000000-0006-0000-0100-00009A050000}">
      <text>
        <r>
          <rPr>
            <sz val="9"/>
            <color indexed="81"/>
            <rFont val="Segoe UI"/>
            <family val="2"/>
          </rPr>
          <t xml:space="preserve">
1-Pallet
2-Material
</t>
        </r>
      </text>
    </comment>
    <comment ref="D1085" authorId="3" shapeId="0" xr:uid="{00000000-0006-0000-0100-00009B050000}">
      <text>
        <r>
          <rPr>
            <sz val="9"/>
            <color indexed="81"/>
            <rFont val="Segoe UI"/>
            <family val="2"/>
          </rPr>
          <t xml:space="preserve">
1-Volume no pallet
2-Codigo material
3-Desc material
4-Volume 
5-volumes pendentes
6-peso pendente
7-CMD
8-MSG
4-MSG
</t>
        </r>
      </text>
    </comment>
    <comment ref="E1085" authorId="3" shapeId="0" xr:uid="{00000000-0006-0000-0100-00009C050000}">
      <text>
        <r>
          <rPr>
            <sz val="9"/>
            <color indexed="81"/>
            <rFont val="Segoe UI"/>
            <family val="2"/>
          </rPr>
          <t xml:space="preserve">
1-Pallet
2-Material
</t>
        </r>
      </text>
    </comment>
    <comment ref="D1086" authorId="3" shapeId="0" xr:uid="{00000000-0006-0000-0100-00009D050000}">
      <text>
        <r>
          <rPr>
            <sz val="9"/>
            <color indexed="81"/>
            <rFont val="Segoe UI"/>
            <family val="2"/>
          </rPr>
          <t xml:space="preserve">
1-Codigo
2-CMD
3-MSG</t>
        </r>
      </text>
    </comment>
    <comment ref="E1086" authorId="3" shapeId="0" xr:uid="{00000000-0006-0000-0100-00009E050000}">
      <text>
        <r>
          <rPr>
            <sz val="9"/>
            <color indexed="81"/>
            <rFont val="Segoe UI"/>
            <family val="2"/>
          </rPr>
          <t xml:space="preserve">
1-Pallet
</t>
        </r>
      </text>
    </comment>
    <comment ref="D1087" authorId="3" shapeId="0" xr:uid="{00000000-0006-0000-0100-00009F050000}">
      <text>
        <r>
          <rPr>
            <sz val="9"/>
            <color indexed="81"/>
            <rFont val="Segoe UI"/>
            <family val="2"/>
          </rPr>
          <t xml:space="preserve">
1-Codigo Material
2-Desc Material
3-Volume
4-Volumes pendente
5-Peso
6-CMD
7-MSG
</t>
        </r>
      </text>
    </comment>
    <comment ref="E1087" authorId="3" shapeId="0" xr:uid="{00000000-0006-0000-0100-0000A0050000}">
      <text>
        <r>
          <rPr>
            <sz val="9"/>
            <color indexed="81"/>
            <rFont val="Segoe UI"/>
            <family val="2"/>
          </rPr>
          <t xml:space="preserve">
1-Material
</t>
        </r>
      </text>
    </comment>
    <comment ref="D1088" authorId="3" shapeId="0" xr:uid="{00000000-0006-0000-0100-0000A1050000}">
      <text>
        <r>
          <rPr>
            <sz val="9"/>
            <color indexed="81"/>
            <rFont val="Segoe UI"/>
            <family val="2"/>
          </rPr>
          <t xml:space="preserve">
1-Codigo Material
2-Desc Material
3-Volume
4-Volumes pendente
5-Peso
6-CMD
7-MSG</t>
        </r>
      </text>
    </comment>
    <comment ref="E1088" authorId="3" shapeId="0" xr:uid="{00000000-0006-0000-0100-0000A2050000}">
      <text>
        <r>
          <rPr>
            <sz val="9"/>
            <color indexed="81"/>
            <rFont val="Segoe UI"/>
            <family val="2"/>
          </rPr>
          <t xml:space="preserve">
1-Material
</t>
        </r>
      </text>
    </comment>
    <comment ref="D1089" authorId="3" shapeId="0" xr:uid="{00000000-0006-0000-0100-0000A3050000}">
      <text>
        <r>
          <rPr>
            <sz val="9"/>
            <color indexed="81"/>
            <rFont val="Segoe UI"/>
            <family val="2"/>
          </rPr>
          <t xml:space="preserve">
1-Situação
2-CMD
3-MSG</t>
        </r>
      </text>
    </comment>
    <comment ref="E1089" authorId="3" shapeId="0" xr:uid="{00000000-0006-0000-0100-0000A4050000}">
      <text>
        <r>
          <rPr>
            <sz val="9"/>
            <color indexed="81"/>
            <rFont val="Segoe UI"/>
            <family val="2"/>
          </rPr>
          <t xml:space="preserve">
1-Pallet
2-Requisição 
3-Material
</t>
        </r>
      </text>
    </comment>
    <comment ref="D1092" authorId="3" shapeId="0" xr:uid="{00000000-0006-0000-0100-0000A5050000}">
      <text>
        <r>
          <rPr>
            <sz val="9"/>
            <color indexed="81"/>
            <rFont val="Segoe UI"/>
            <family val="2"/>
          </rPr>
          <t xml:space="preserve">
1-Orgão
2-Sigla
3-Data 
4-Titulo 
5-Tipo de material 
6-Solicitante
7-Email 
8-Data retirada 
9-Matricula
10-Nome
11-Material 
12-QTD
13-Volume
14-Usuario
15-Data
16-ID
17-Motivo cancelamento
18-Almoxarifado
19-Responsável Almoxarifado
</t>
        </r>
      </text>
    </comment>
    <comment ref="E1092" authorId="3" shapeId="0" xr:uid="{00000000-0006-0000-0100-0000A6050000}">
      <text>
        <r>
          <rPr>
            <sz val="9"/>
            <color indexed="81"/>
            <rFont val="Segoe UI"/>
            <family val="2"/>
          </rPr>
          <t xml:space="preserve">
1-Requisição de saida
2-Almoxarifado</t>
        </r>
      </text>
    </comment>
    <comment ref="D1093" authorId="3" shapeId="0" xr:uid="{00000000-0006-0000-0100-0000A7050000}">
      <text>
        <r>
          <rPr>
            <sz val="9"/>
            <color indexed="81"/>
            <rFont val="Segoe UI"/>
            <family val="2"/>
          </rPr>
          <t xml:space="preserve">
1-Orgão
2-Sigla
3-Solicitante
4-responsável
5-Usuário
6-solicitação ini
7-solicitação fim 
8-retirada ini
9-retirada fim 
10-baixa ini
11-baixa fim
12-N RQS 
13-situação
14-almoxarifado
15-CMD
16-MSG</t>
        </r>
      </text>
    </comment>
    <comment ref="E1093" authorId="3" shapeId="0" xr:uid="{00000000-0006-0000-0100-0000A8050000}">
      <text>
        <r>
          <rPr>
            <sz val="9"/>
            <color indexed="81"/>
            <rFont val="Segoe UI"/>
            <family val="2"/>
          </rPr>
          <t xml:space="preserve">
1-Material
2-Usuario
3-Requisição de saida
4-Unidade
5-Servidor</t>
        </r>
      </text>
    </comment>
    <comment ref="D1094" authorId="3" shapeId="0" xr:uid="{00000000-0006-0000-0100-0000A9050000}">
      <text>
        <r>
          <rPr>
            <sz val="9"/>
            <color indexed="81"/>
            <rFont val="Segoe UI"/>
            <family val="2"/>
          </rPr>
          <t xml:space="preserve">
1-Orgão
2-Sigla
3-Solicitante
4-responsável
5-Usuário
6-solicitação ini
7-solicitação fim 
8-retirada ini
9-retirada fim 
10-baixa ini
11-baixa fim
12-N RQS 
13-situação
14-almoxarifado
15-CMD
16-MSG</t>
        </r>
      </text>
    </comment>
    <comment ref="E1094" authorId="3" shapeId="0" xr:uid="{00000000-0006-0000-0100-0000AA050000}">
      <text>
        <r>
          <rPr>
            <sz val="9"/>
            <color indexed="81"/>
            <rFont val="Segoe UI"/>
            <family val="2"/>
          </rPr>
          <t xml:space="preserve">
1-Material
2-Usuario
3-Requisição de saida
4-Unidade
5-Servidor</t>
        </r>
      </text>
    </comment>
    <comment ref="D1095" authorId="3" shapeId="0" xr:uid="{00000000-0006-0000-0100-0000AB050000}">
      <text>
        <r>
          <rPr>
            <sz val="9"/>
            <color indexed="81"/>
            <rFont val="Segoe UI"/>
            <family val="2"/>
          </rPr>
          <t xml:space="preserve">
1-Orgão
2-Sigla
3-Data 
4-Titulo 
5-Tipo de material 
6-Solicitante
7-Email 
8-Data retirada 
9-Matricula
10-Nome
11-Material 
13-Almoxarifado
14-Responsável Almoxarifado
15-CMD
16-MSG
</t>
        </r>
      </text>
    </comment>
    <comment ref="E1095" authorId="3" shapeId="0" xr:uid="{00000000-0006-0000-0100-0000AC050000}">
      <text>
        <r>
          <rPr>
            <sz val="9"/>
            <color indexed="81"/>
            <rFont val="Segoe UI"/>
            <family val="2"/>
          </rPr>
          <t xml:space="preserve">
1-Material
2-Usuario
3-Requisição de saida
4-Unidade
5-Servidor</t>
        </r>
      </text>
    </comment>
    <comment ref="D1096" authorId="3" shapeId="0" xr:uid="{00000000-0006-0000-0100-0000AD050000}">
      <text>
        <r>
          <rPr>
            <sz val="9"/>
            <color indexed="81"/>
            <rFont val="Segoe UI"/>
            <family val="2"/>
          </rPr>
          <t xml:space="preserve">
1-Orgão
2-Sigla
3-Data 
4-Titulo 
5-Tipo de material 
6-Solicitante
7-Email 
8-Data retirada 
9-Matricula
10-Nome
11-Material 
12-Almoxarifado
13-Responsável Almoxarifado
14-CMD
15-MSG
</t>
        </r>
      </text>
    </comment>
    <comment ref="E1096" authorId="3" shapeId="0" xr:uid="{00000000-0006-0000-0100-0000AE050000}">
      <text>
        <r>
          <rPr>
            <sz val="9"/>
            <color indexed="81"/>
            <rFont val="Segoe UI"/>
            <family val="2"/>
          </rPr>
          <t xml:space="preserve">
1-Material
2-Usuario
3-Requisição de saida
4-Unidade
5-Servidor</t>
        </r>
      </text>
    </comment>
    <comment ref="D1097" authorId="3" shapeId="0" xr:uid="{00000000-0006-0000-0100-0000AF050000}">
      <text>
        <r>
          <rPr>
            <sz val="9"/>
            <color indexed="81"/>
            <rFont val="Segoe UI"/>
            <family val="2"/>
          </rPr>
          <t xml:space="preserve">
1-Orgão
2-Sigla
3-Data 
4-Titulo 
5-Tipo de material 
6-Solicitante
7-Email 
8-Data retirada 
9-Matricula
10-Nome
11-Material 
12-QTD
13-Volume
14-Usuario
15-Data
16-Almoxarifado
17-Responsável Almoxarifado</t>
        </r>
      </text>
    </comment>
    <comment ref="E1097" authorId="3" shapeId="0" xr:uid="{00000000-0006-0000-0100-0000B0050000}">
      <text>
        <r>
          <rPr>
            <sz val="9"/>
            <color indexed="81"/>
            <rFont val="Segoe UI"/>
            <family val="2"/>
          </rPr>
          <t xml:space="preserve">
1-Material
2-Usuario
3-Requisição de saida
4-Unidade
5-Servidor</t>
        </r>
      </text>
    </comment>
    <comment ref="D1098" authorId="3" shapeId="0" xr:uid="{00000000-0006-0000-0100-0000B1050000}">
      <text>
        <r>
          <rPr>
            <sz val="9"/>
            <color indexed="81"/>
            <rFont val="Segoe UI"/>
            <family val="2"/>
          </rPr>
          <t xml:space="preserve">
1-Codigo
2-CMD
3-MSG</t>
        </r>
      </text>
    </comment>
    <comment ref="E1098" authorId="3" shapeId="0" xr:uid="{00000000-0006-0000-0100-0000B2050000}">
      <text>
        <r>
          <rPr>
            <sz val="9"/>
            <color indexed="81"/>
            <rFont val="Segoe UI"/>
            <family val="2"/>
          </rPr>
          <t xml:space="preserve">
1-Requisição de saida
</t>
        </r>
      </text>
    </comment>
    <comment ref="D1099" authorId="3" shapeId="0" xr:uid="{00000000-0006-0000-0100-0000B3050000}">
      <text>
        <r>
          <rPr>
            <sz val="9"/>
            <color indexed="81"/>
            <rFont val="Segoe UI"/>
            <family val="2"/>
          </rPr>
          <t xml:space="preserve">
1-Orgão
2-Sigla
3-Data 
4-Titulo 
5-Tipo de material 
6-Solicitante
7-Email 
8-Data retirada 
9-Matricula
10-Nome
11-Material 
12-QTD
13-Volume
14-Usuario
15-Data
16-Almoxarifado
17-Responsável Almoxarifado
18-CMD
19-MSG
</t>
        </r>
      </text>
    </comment>
    <comment ref="E1099" authorId="3" shapeId="0" xr:uid="{00000000-0006-0000-0100-0000B4050000}">
      <text>
        <r>
          <rPr>
            <sz val="9"/>
            <color indexed="81"/>
            <rFont val="Segoe UI"/>
            <family val="2"/>
          </rPr>
          <t xml:space="preserve">
1-Material
2-Usuario
3-Requisição de saida
4-Unidade
5-Servidor</t>
        </r>
      </text>
    </comment>
    <comment ref="D1100" authorId="3" shapeId="0" xr:uid="{00000000-0006-0000-0100-0000B5050000}">
      <text>
        <r>
          <rPr>
            <sz val="9"/>
            <color indexed="81"/>
            <rFont val="Segoe UI"/>
            <family val="2"/>
          </rPr>
          <t xml:space="preserve">
1-Motivo
2-CMD
3-MSG</t>
        </r>
      </text>
    </comment>
    <comment ref="E1100" authorId="3" shapeId="0" xr:uid="{00000000-0006-0000-0100-0000B6050000}">
      <text>
        <r>
          <rPr>
            <sz val="9"/>
            <color indexed="81"/>
            <rFont val="Segoe UI"/>
            <family val="2"/>
          </rPr>
          <t xml:space="preserve">
1-Requisição de saida
</t>
        </r>
      </text>
    </comment>
    <comment ref="D1101" authorId="3" shapeId="0" xr:uid="{00000000-0006-0000-0100-0000B7050000}">
      <text>
        <r>
          <rPr>
            <sz val="9"/>
            <color indexed="81"/>
            <rFont val="Segoe UI"/>
            <family val="2"/>
          </rPr>
          <t xml:space="preserve">
1-Orgão
2-Sigla
3-Data 
4-Titulo 
5-Tipo de material 
6-Solicitante
7-Email 
8-Data retirada 
9-Matricula
10-Nome
11-Material 
12-Situação 
13-CMD
14-MSG
</t>
        </r>
      </text>
    </comment>
    <comment ref="E1101" authorId="3" shapeId="0" xr:uid="{00000000-0006-0000-0100-0000B8050000}">
      <text>
        <r>
          <rPr>
            <sz val="9"/>
            <color indexed="81"/>
            <rFont val="Segoe UI"/>
            <family val="2"/>
          </rPr>
          <t xml:space="preserve">
1-Material
2-Usuario
3-Requisição de saida
4-Unidade
5-Servidor</t>
        </r>
      </text>
    </comment>
    <comment ref="D1102" authorId="3" shapeId="0" xr:uid="{00000000-0006-0000-0100-0000B9050000}">
      <text>
        <r>
          <rPr>
            <sz val="9"/>
            <color indexed="81"/>
            <rFont val="Segoe UI"/>
            <family val="2"/>
          </rPr>
          <t xml:space="preserve">
1-Data e hora baixa
2-usuario
3-OBS
4-CMD
5-MSG</t>
        </r>
      </text>
    </comment>
    <comment ref="E1102" authorId="3" shapeId="0" xr:uid="{00000000-0006-0000-0100-0000BA050000}">
      <text>
        <r>
          <rPr>
            <sz val="9"/>
            <color indexed="81"/>
            <rFont val="Segoe UI"/>
            <family val="2"/>
          </rPr>
          <t xml:space="preserve">
1-Requisição de saida
2-Usuario
</t>
        </r>
      </text>
    </comment>
    <comment ref="D1103" authorId="3" shapeId="0" xr:uid="{00000000-0006-0000-0100-0000BB050000}">
      <text>
        <r>
          <rPr>
            <sz val="9"/>
            <color indexed="81"/>
            <rFont val="Segoe UI"/>
            <family val="2"/>
          </rPr>
          <t xml:space="preserve">
1-Codigo
2-CMD
3-MSG</t>
        </r>
      </text>
    </comment>
    <comment ref="E1103" authorId="3" shapeId="0" xr:uid="{00000000-0006-0000-0100-0000BC050000}">
      <text>
        <r>
          <rPr>
            <sz val="9"/>
            <color indexed="81"/>
            <rFont val="Segoe UI"/>
            <family val="2"/>
          </rPr>
          <t xml:space="preserve">
1-Requisição de saida
</t>
        </r>
      </text>
    </comment>
    <comment ref="D1104" authorId="3" shapeId="0" xr:uid="{00000000-0006-0000-0100-0000BD050000}">
      <text>
        <r>
          <rPr>
            <sz val="9"/>
            <color indexed="81"/>
            <rFont val="Segoe UI"/>
            <family val="2"/>
          </rPr>
          <t xml:space="preserve">
1-Codigo Material
2-Desc Material
3-Endereçamento
4-Volume 
5-QTd total retirada
6-Saldo estoque
7-CMD
8-MSG
</t>
        </r>
      </text>
    </comment>
    <comment ref="E1104" authorId="3" shapeId="0" xr:uid="{00000000-0006-0000-0100-0000BE050000}">
      <text>
        <r>
          <rPr>
            <sz val="9"/>
            <color indexed="81"/>
            <rFont val="Segoe UI"/>
            <family val="2"/>
          </rPr>
          <t xml:space="preserve">
1-Material
2-Endereçamento
3-Pallet
4-Unidade
5-Requisição</t>
        </r>
      </text>
    </comment>
    <comment ref="D1105" authorId="3" shapeId="0" xr:uid="{00000000-0006-0000-0100-0000BF050000}">
      <text>
        <r>
          <rPr>
            <sz val="9"/>
            <color indexed="81"/>
            <rFont val="Segoe UI"/>
            <family val="2"/>
          </rPr>
          <t xml:space="preserve">
1-Final estocagem
2-Qtd volume em estoque
3-volume 
4-RQE
5-Pallet
6-Endereçamento
7-Ocupante
8-CMD
9-MSG
8-MSG
</t>
        </r>
      </text>
    </comment>
    <comment ref="E1105" authorId="3" shapeId="0" xr:uid="{00000000-0006-0000-0100-0000C0050000}">
      <text>
        <r>
          <rPr>
            <sz val="9"/>
            <color indexed="81"/>
            <rFont val="Segoe UI"/>
            <family val="2"/>
          </rPr>
          <t xml:space="preserve">
1-Material
2-Endereçamento
3-Pallet
4-Unidade
5-Requisição</t>
        </r>
      </text>
    </comment>
    <comment ref="D1106" authorId="3" shapeId="0" xr:uid="{00000000-0006-0000-0100-0000C1050000}">
      <text>
        <r>
          <rPr>
            <sz val="9"/>
            <color indexed="81"/>
            <rFont val="Segoe UI"/>
            <family val="2"/>
          </rPr>
          <t xml:space="preserve">
1-Cod material
2-Desc material 
3-QTD retirada
4-CMD
5-MSG</t>
        </r>
      </text>
    </comment>
    <comment ref="E1106" authorId="3" shapeId="0" xr:uid="{00000000-0006-0000-0100-0000C2050000}">
      <text>
        <r>
          <rPr>
            <sz val="9"/>
            <color indexed="81"/>
            <rFont val="Segoe UI"/>
            <family val="2"/>
          </rPr>
          <t xml:space="preserve">
1-Material
2-Endereçamento
3-Pallet
4-Unidade
5-Requisição</t>
        </r>
      </text>
    </comment>
    <comment ref="D1107" authorId="3" shapeId="0" xr:uid="{00000000-0006-0000-0100-0000C3050000}">
      <text>
        <r>
          <rPr>
            <sz val="9"/>
            <color indexed="81"/>
            <rFont val="Segoe UI"/>
            <family val="2"/>
          </rPr>
          <t xml:space="preserve">
1-Cod material
2-Desc material 
3-QTD retirada
4-CMD
5-MSG</t>
        </r>
      </text>
    </comment>
    <comment ref="E1107" authorId="3" shapeId="0" xr:uid="{00000000-0006-0000-0100-0000C4050000}">
      <text>
        <r>
          <rPr>
            <sz val="9"/>
            <color indexed="81"/>
            <rFont val="Segoe UI"/>
            <family val="2"/>
          </rPr>
          <t xml:space="preserve">
1-Material
2-Endereçamento
3-Pallet
4-Unidade
5-Requisição</t>
        </r>
      </text>
    </comment>
    <comment ref="D1108" authorId="3" shapeId="0" xr:uid="{00000000-0006-0000-0100-0000C5050000}">
      <text>
        <r>
          <rPr>
            <sz val="9"/>
            <color indexed="81"/>
            <rFont val="Segoe UI"/>
            <family val="2"/>
          </rPr>
          <t xml:space="preserve">
1-Cod material
2-Desc material 
3-QTD retirada
4-CMD
5-MSG</t>
        </r>
      </text>
    </comment>
    <comment ref="E1108" authorId="3" shapeId="0" xr:uid="{00000000-0006-0000-0100-0000C6050000}">
      <text>
        <r>
          <rPr>
            <sz val="9"/>
            <color indexed="81"/>
            <rFont val="Segoe UI"/>
            <family val="2"/>
          </rPr>
          <t xml:space="preserve">
1-Material
2-Endereçamento
3-Pallet
4-Unidade
5-Requisição</t>
        </r>
      </text>
    </comment>
    <comment ref="D1109" authorId="3" shapeId="0" xr:uid="{00000000-0006-0000-0100-0000C7050000}">
      <text>
        <r>
          <rPr>
            <sz val="9"/>
            <color indexed="81"/>
            <rFont val="Segoe UI"/>
            <family val="2"/>
          </rPr>
          <t xml:space="preserve">
1-Cod material
2-Desc material 
3-QTD retirada
4-CMD
5-MSG</t>
        </r>
      </text>
    </comment>
    <comment ref="E1109" authorId="3" shapeId="0" xr:uid="{00000000-0006-0000-0100-0000C8050000}">
      <text>
        <r>
          <rPr>
            <sz val="9"/>
            <color indexed="81"/>
            <rFont val="Segoe UI"/>
            <family val="2"/>
          </rPr>
          <t xml:space="preserve">
1-Material
2-Endereçamento
3-Pallet
4-Unidade
5-Requisição</t>
        </r>
      </text>
    </comment>
    <comment ref="D1112" authorId="3" shapeId="0" xr:uid="{00000000-0006-0000-0100-0000C9050000}">
      <text>
        <r>
          <rPr>
            <sz val="9"/>
            <color indexed="81"/>
            <rFont val="Segoe UI"/>
            <family val="2"/>
          </rPr>
          <t xml:space="preserve">
1-Codigo
2-Descrição
3-QTD Volume 
4-Undiade por volume 
5-Total de unidades
6-Peso total
7-Descrição
8-Imagem 
9-Conferente 
10-Data conferencia
11-CMD
12-MSG</t>
        </r>
      </text>
    </comment>
    <comment ref="E1112" authorId="3" shapeId="0" xr:uid="{00000000-0006-0000-0100-0000CA050000}">
      <text>
        <r>
          <rPr>
            <sz val="9"/>
            <color indexed="81"/>
            <rFont val="Segoe UI"/>
            <family val="2"/>
          </rPr>
          <t xml:space="preserve">
1-Conferencia por amostragem</t>
        </r>
      </text>
    </comment>
    <comment ref="D1113" authorId="3" shapeId="0" xr:uid="{00000000-0006-0000-0100-0000CB050000}">
      <text>
        <r>
          <rPr>
            <sz val="9"/>
            <color indexed="81"/>
            <rFont val="Segoe UI"/>
            <family val="2"/>
          </rPr>
          <t xml:space="preserve">
1-Codigo
2-Descrição
3-Data 
4-Data codigo
5-Descrição
6-Volume
7-Qtd Volumento
8-CMD
9-MSG</t>
        </r>
      </text>
    </comment>
    <comment ref="E1113" authorId="3" shapeId="0" xr:uid="{00000000-0006-0000-0100-0000CC050000}">
      <text>
        <r>
          <rPr>
            <sz val="9"/>
            <color indexed="81"/>
            <rFont val="Segoe UI"/>
            <family val="2"/>
          </rPr>
          <t xml:space="preserve">
1-Conferencia por amostragem
2-Material</t>
        </r>
      </text>
    </comment>
    <comment ref="D1114" authorId="3" shapeId="0" xr:uid="{00000000-0006-0000-0100-0000CD050000}">
      <text>
        <r>
          <rPr>
            <sz val="9"/>
            <color indexed="81"/>
            <rFont val="Segoe UI"/>
            <family val="2"/>
          </rPr>
          <t xml:space="preserve">
1-Codigo
2-Descrição
3-QTD Volume 
4-Undiade por volume 
5-Total de unidades
6-Peso total
7-Descrição
8-Imagem 
9-Conferente 
10-Data conferencia
11-CMD
12-MSG</t>
        </r>
      </text>
    </comment>
    <comment ref="E1114" authorId="3" shapeId="0" xr:uid="{00000000-0006-0000-0100-0000CE050000}">
      <text>
        <r>
          <rPr>
            <sz val="9"/>
            <color indexed="81"/>
            <rFont val="Segoe UI"/>
            <family val="2"/>
          </rPr>
          <t xml:space="preserve">
1-Conferencia por amostragem
2-Material</t>
        </r>
      </text>
    </comment>
    <comment ref="D1115" authorId="3" shapeId="0" xr:uid="{00000000-0006-0000-0100-0000CF050000}">
      <text>
        <r>
          <rPr>
            <sz val="9"/>
            <color indexed="81"/>
            <rFont val="Segoe UI"/>
            <family val="2"/>
          </rPr>
          <t xml:space="preserve">
1-Codigo
2-CMD
3-MSG</t>
        </r>
      </text>
    </comment>
    <comment ref="E1115" authorId="3" shapeId="0" xr:uid="{00000000-0006-0000-0100-0000D0050000}">
      <text>
        <r>
          <rPr>
            <sz val="9"/>
            <color indexed="81"/>
            <rFont val="Segoe UI"/>
            <family val="2"/>
          </rPr>
          <t xml:space="preserve">
1-Conferencia por amostragem</t>
        </r>
      </text>
    </comment>
    <comment ref="D1116" authorId="3" shapeId="0" xr:uid="{00000000-0006-0000-0100-0000D1050000}">
      <text>
        <r>
          <rPr>
            <sz val="9"/>
            <color indexed="81"/>
            <rFont val="Segoe UI"/>
            <family val="2"/>
          </rPr>
          <t xml:space="preserve">
1-Codigo
2-Descrição
3-QTD Volume 
4-Undiade por volume 
5-Total de unidades
6-Peso total
7-Descrição
8-Imagem 
9-Conferente 
10-Data conferencia
11-CMD
12-MSG</t>
        </r>
      </text>
    </comment>
    <comment ref="E1116" authorId="3" shapeId="0" xr:uid="{00000000-0006-0000-0100-0000D2050000}">
      <text>
        <r>
          <rPr>
            <sz val="9"/>
            <color indexed="81"/>
            <rFont val="Segoe UI"/>
            <family val="2"/>
          </rPr>
          <t xml:space="preserve">
1-Conferencia por amostragem
2-Material</t>
        </r>
      </text>
    </comment>
    <comment ref="D1117" authorId="3" shapeId="0" xr:uid="{00000000-0006-0000-0100-0000D3050000}">
      <text>
        <r>
          <rPr>
            <sz val="9"/>
            <color indexed="81"/>
            <rFont val="Segoe UI"/>
            <family val="2"/>
          </rPr>
          <t xml:space="preserve">
1-Codigo
2-Descrição
3-QTD Volume 
4-Undiade por volume 
5-Total de unidades
6-Peso total
7-Descrição
8-Imagem 
9-Conferente 
10-Data conferencia
</t>
        </r>
      </text>
    </comment>
    <comment ref="E1117" authorId="3" shapeId="0" xr:uid="{00000000-0006-0000-0100-0000D4050000}">
      <text>
        <r>
          <rPr>
            <sz val="9"/>
            <color indexed="81"/>
            <rFont val="Segoe UI"/>
            <family val="2"/>
          </rPr>
          <t xml:space="preserve">
1-Conferencia por amostragem
2-Material</t>
        </r>
      </text>
    </comment>
    <comment ref="D1118" authorId="3" shapeId="0" xr:uid="{00000000-0006-0000-0100-0000D5050000}">
      <text>
        <r>
          <rPr>
            <sz val="9"/>
            <color indexed="81"/>
            <rFont val="Segoe UI"/>
            <family val="2"/>
          </rPr>
          <t xml:space="preserve">
1-Codigo
2-Descrição
3-QTD Volume 
4-Undiade por volume 
5-Total de unidades
6-Peso total
7-Descrição
8-Imagem 
9-Conferente 
10-Data conferencia
11-CMD
12-MSG</t>
        </r>
      </text>
    </comment>
    <comment ref="E1118" authorId="3" shapeId="0" xr:uid="{00000000-0006-0000-0100-0000D6050000}">
      <text>
        <r>
          <rPr>
            <sz val="9"/>
            <color indexed="81"/>
            <rFont val="Segoe UI"/>
            <family val="2"/>
          </rPr>
          <t xml:space="preserve">
1-Conferencia por amostragem
2-Material</t>
        </r>
      </text>
    </comment>
    <comment ref="D1121" authorId="3" shapeId="0" xr:uid="{00000000-0006-0000-0100-0000D7050000}">
      <text>
        <r>
          <rPr>
            <sz val="9"/>
            <color indexed="81"/>
            <rFont val="Segoe UI"/>
            <family val="2"/>
          </rPr>
          <t xml:space="preserve">
1-Deposito
2-Endereçamento
3-rua
4-Bloco
5-apartamento
6-situação
7-pallet
8-codigo material
9-desc material
10-Orgão
11-sigla
12-rua 
13-CMD
14-MSG</t>
        </r>
      </text>
    </comment>
    <comment ref="E1121" authorId="3" shapeId="0" xr:uid="{00000000-0006-0000-0100-0000D8050000}">
      <text>
        <r>
          <rPr>
            <sz val="9"/>
            <color indexed="81"/>
            <rFont val="Segoe UI"/>
            <family val="2"/>
          </rPr>
          <t xml:space="preserve">
1-Pallet
2-Material
3-Rua/Endereçamento
4-Deposito
5-Orgão</t>
        </r>
      </text>
    </comment>
    <comment ref="D1122" authorId="3" shapeId="0" xr:uid="{00000000-0006-0000-0100-0000D9050000}">
      <text>
        <r>
          <rPr>
            <sz val="9"/>
            <color indexed="81"/>
            <rFont val="Segoe UI"/>
            <family val="2"/>
          </rPr>
          <t xml:space="preserve">
1-Rua
2-Nome
3-total de blocos
4-total de ap
5-ap desocupado
6-ap parcialmente 
7-ap total ocupado
8-ap tunel 
9-ap desocupado
10-andar
11-ap
12-endereçamento
13-ocupado
14-numero pallets
15-CMD
16-MSG</t>
        </r>
      </text>
    </comment>
    <comment ref="E1122" authorId="3" shapeId="0" xr:uid="{00000000-0006-0000-0100-0000DA050000}">
      <text>
        <r>
          <rPr>
            <sz val="9"/>
            <color indexed="81"/>
            <rFont val="Segoe UI"/>
            <family val="2"/>
          </rPr>
          <t xml:space="preserve">
1-Pallet
2-Material
3-Rua/Endereçamento
4-Deposito
</t>
        </r>
      </text>
    </comment>
    <comment ref="D1123" authorId="3" shapeId="0" xr:uid="{00000000-0006-0000-0100-0000DB050000}">
      <text>
        <r>
          <rPr>
            <sz val="9"/>
            <color indexed="81"/>
            <rFont val="Segoe UI"/>
            <family val="2"/>
          </rPr>
          <t xml:space="preserve">
1-Codigo 
2-pallet
3-endereçamento
4-volume 
5-peso total
6-data estocagem
7-ultima movimentação
8-usuario 
9-CMD
10-MSG</t>
        </r>
      </text>
    </comment>
    <comment ref="E1123" authorId="3" shapeId="0" xr:uid="{00000000-0006-0000-0100-0000DC050000}">
      <text>
        <r>
          <rPr>
            <sz val="9"/>
            <color indexed="81"/>
            <rFont val="Segoe UI"/>
            <family val="2"/>
          </rPr>
          <t xml:space="preserve">
1-Pallet
2-Usuario
3-Rua/Endereçamento
4-Material
</t>
        </r>
      </text>
    </comment>
    <comment ref="D1124" authorId="3" shapeId="0" xr:uid="{00000000-0006-0000-0100-0000DD050000}">
      <text>
        <r>
          <rPr>
            <sz val="9"/>
            <color indexed="81"/>
            <rFont val="Segoe UI"/>
            <family val="2"/>
          </rPr>
          <t xml:space="preserve">
1-Codigo 
2-pallet
3-endereçamento
4-volume 
5-peso total
6-data estocagem
7-ultima movimentação
8-usuario 
9-CMD
10-MSG</t>
        </r>
      </text>
    </comment>
    <comment ref="E1124" authorId="3" shapeId="0" xr:uid="{00000000-0006-0000-0100-0000DE050000}">
      <text>
        <r>
          <rPr>
            <sz val="9"/>
            <color indexed="81"/>
            <rFont val="Segoe UI"/>
            <family val="2"/>
          </rPr>
          <t xml:space="preserve">
1-Pallet
2-Usuario
3-Rua/Endereçamento
4-Material
</t>
        </r>
      </text>
    </comment>
    <comment ref="D1125" authorId="3" shapeId="0" xr:uid="{00000000-0006-0000-0100-0000DF050000}">
      <text>
        <r>
          <rPr>
            <sz val="9"/>
            <color indexed="81"/>
            <rFont val="Segoe UI"/>
            <family val="2"/>
          </rPr>
          <t xml:space="preserve">
1-codigo material
2-Desc material
3-volume
4-volumes em estoque
5-peso no palet
6-CMD
7-MSG</t>
        </r>
      </text>
    </comment>
    <comment ref="E1125" authorId="3" shapeId="0" xr:uid="{00000000-0006-0000-0100-0000E0050000}">
      <text>
        <r>
          <rPr>
            <sz val="9"/>
            <color indexed="81"/>
            <rFont val="Segoe UI"/>
            <family val="2"/>
          </rPr>
          <t xml:space="preserve">
1-Pallet
2-Material
</t>
        </r>
      </text>
    </comment>
    <comment ref="D1126" authorId="3" shapeId="0" xr:uid="{00000000-0006-0000-0100-0000E1050000}">
      <text>
        <r>
          <rPr>
            <sz val="9"/>
            <color indexed="81"/>
            <rFont val="Segoe UI"/>
            <family val="2"/>
          </rPr>
          <t xml:space="preserve">
1-Apartamento
2-Situação
3-CMD
4-MSG</t>
        </r>
      </text>
    </comment>
    <comment ref="E1126" authorId="3" shapeId="0" xr:uid="{00000000-0006-0000-0100-0000E2050000}">
      <text>
        <r>
          <rPr>
            <sz val="9"/>
            <color indexed="81"/>
            <rFont val="Segoe UI"/>
            <family val="2"/>
          </rPr>
          <t xml:space="preserve">
1-Pallet
2-Rua/Endereçamento
</t>
        </r>
      </text>
    </comment>
    <comment ref="D1127" authorId="3" shapeId="0" xr:uid="{00000000-0006-0000-0100-0000E3050000}">
      <text>
        <r>
          <rPr>
            <sz val="9"/>
            <color indexed="81"/>
            <rFont val="Segoe UI"/>
            <family val="2"/>
          </rPr>
          <t xml:space="preserve">
1-Deposito
2-orgão
3-sigla
4-rua
5-bloco
6-CMD
7-MSG</t>
        </r>
      </text>
    </comment>
    <comment ref="E1127" authorId="3" shapeId="0" xr:uid="{00000000-0006-0000-0100-0000E4050000}">
      <text>
        <r>
          <rPr>
            <sz val="9"/>
            <color indexed="81"/>
            <rFont val="Segoe UI"/>
            <family val="2"/>
          </rPr>
          <t xml:space="preserve">
1-Pallet
2-Deposito
3-Rua/Endereçamento
4-Orgão
</t>
        </r>
      </text>
    </comment>
    <comment ref="D1128" authorId="3" shapeId="0" xr:uid="{00000000-0006-0000-0100-0000E5050000}">
      <text>
        <r>
          <rPr>
            <sz val="9"/>
            <color indexed="81"/>
            <rFont val="Segoe UI"/>
            <family val="2"/>
          </rPr>
          <t xml:space="preserve">
1-Bloco
2-ap desocupado
3-andar
4-ap 
5-endereçamento
6-ocupante
7-CMD
8-MSG</t>
        </r>
      </text>
    </comment>
    <comment ref="E1128" authorId="3" shapeId="0" xr:uid="{00000000-0006-0000-0100-0000E6050000}">
      <text>
        <r>
          <rPr>
            <sz val="9"/>
            <color indexed="81"/>
            <rFont val="Segoe UI"/>
            <family val="2"/>
          </rPr>
          <t xml:space="preserve">
1-Pallet
2-Deposito
3-Rua/Endereçamento
4-Orgão
</t>
        </r>
      </text>
    </comment>
    <comment ref="D1129" authorId="3" shapeId="0" xr:uid="{00000000-0006-0000-0100-0000E7050000}">
      <text>
        <r>
          <rPr>
            <sz val="9"/>
            <color indexed="81"/>
            <rFont val="Segoe UI"/>
            <family val="2"/>
          </rPr>
          <t xml:space="preserve">
1-Data
2-material
3-volume
4-qtd volumes
5-tipo
6-pallet
7-endereçamento
8-requisição
9-ocupante
10-CMD
11-MSG</t>
        </r>
      </text>
    </comment>
    <comment ref="E1129" authorId="3" shapeId="0" xr:uid="{00000000-0006-0000-0100-0000E8050000}">
      <text>
        <r>
          <rPr>
            <sz val="9"/>
            <color indexed="81"/>
            <rFont val="Segoe UI"/>
            <family val="2"/>
          </rPr>
          <t xml:space="preserve">
1-Pallet
2-Material
3-Rua/Endereçamento
4-Deposito
5-Requisição
</t>
        </r>
      </text>
    </comment>
    <comment ref="D1130" authorId="3" shapeId="0" xr:uid="{00000000-0006-0000-0100-0000E9050000}">
      <text>
        <r>
          <rPr>
            <sz val="9"/>
            <color indexed="81"/>
            <rFont val="Segoe UI"/>
            <family val="2"/>
          </rPr>
          <t xml:space="preserve">
1-Data
2-material
3-volume
4-qtd volumes
5-tipo
6-pallet
7-endereçamento
8-requisição
9-ocupante
10-CMD
11-MSG</t>
        </r>
      </text>
    </comment>
    <comment ref="E1130" authorId="3" shapeId="0" xr:uid="{00000000-0006-0000-0100-0000EA050000}">
      <text>
        <r>
          <rPr>
            <sz val="9"/>
            <color indexed="81"/>
            <rFont val="Segoe UI"/>
            <family val="2"/>
          </rPr>
          <t xml:space="preserve">
1-Pallet
2-Material
3-Rua/Endereçamento
4-Deposito
5-Requisição
</t>
        </r>
      </text>
    </comment>
    <comment ref="D1131" authorId="3" shapeId="0" xr:uid="{00000000-0006-0000-0100-0000EB050000}">
      <text>
        <r>
          <rPr>
            <sz val="9"/>
            <color indexed="81"/>
            <rFont val="Segoe UI"/>
            <family val="2"/>
          </rPr>
          <t xml:space="preserve">
1-Data
2-Tipo
3-Codigo pallet
4-Descrição
5-Deposito
6-Endereçamento
7-usuario
8-Sigla 
9-CMD
10-MSG</t>
        </r>
      </text>
    </comment>
    <comment ref="E1131" authorId="3" shapeId="0" xr:uid="{00000000-0006-0000-0100-0000EC050000}">
      <text>
        <r>
          <rPr>
            <sz val="9"/>
            <color indexed="81"/>
            <rFont val="Segoe UI"/>
            <family val="2"/>
          </rPr>
          <t xml:space="preserve">
1-Pallet
2-Material
3-Rua/Endereçamento
4-Deposito
5-Requisição
</t>
        </r>
      </text>
    </comment>
    <comment ref="D1132" authorId="3" shapeId="0" xr:uid="{00000000-0006-0000-0100-0000ED050000}">
      <text>
        <r>
          <rPr>
            <sz val="9"/>
            <color indexed="81"/>
            <rFont val="Segoe UI"/>
            <family val="2"/>
          </rPr>
          <t xml:space="preserve">
1-Data
2-Tipo
3-Codigo pallet
4-Descrição
5-Deposito
6-Endereçamento
7-usuario
8-Sigla 
9-CMD
10-MSG</t>
        </r>
      </text>
    </comment>
    <comment ref="E1132" authorId="3" shapeId="0" xr:uid="{00000000-0006-0000-0100-0000EE050000}">
      <text>
        <r>
          <rPr>
            <sz val="9"/>
            <color indexed="81"/>
            <rFont val="Segoe UI"/>
            <family val="2"/>
          </rPr>
          <t xml:space="preserve">
1-Pallet
2-Material
3-Rua/Endereçamento
4-Deposito
5-Requisição
</t>
        </r>
      </text>
    </comment>
    <comment ref="D1133" authorId="3" shapeId="0" xr:uid="{00000000-0006-0000-0100-0000EF050000}">
      <text>
        <r>
          <rPr>
            <sz val="9"/>
            <color indexed="81"/>
            <rFont val="Segoe UI"/>
            <family val="2"/>
          </rPr>
          <t xml:space="preserve">
1-orgão
2-sigla
3-codigo material
4-descrição material
5-ocupante
6-volume
7-saldo estoque
8-entradas
9-saidas
10-CMD
11-MSG</t>
        </r>
      </text>
    </comment>
    <comment ref="E1133" authorId="3" shapeId="0" xr:uid="{00000000-0006-0000-0100-0000F0050000}">
      <text>
        <r>
          <rPr>
            <sz val="9"/>
            <color indexed="81"/>
            <rFont val="Segoe UI"/>
            <family val="2"/>
          </rPr>
          <t xml:space="preserve">
1-Orgão 
2-Material
3-Deposito
4-Requisição
</t>
        </r>
      </text>
    </comment>
    <comment ref="D1134" authorId="3" shapeId="0" xr:uid="{00000000-0006-0000-0100-0000F1050000}">
      <text>
        <r>
          <rPr>
            <sz val="9"/>
            <color indexed="81"/>
            <rFont val="Segoe UI"/>
            <family val="2"/>
          </rPr>
          <t xml:space="preserve">
1-orgão
2-sigla
3-codigo material
4-descrição material
5-ocupante
6-volume
7-saldo estoque
8-entradas
9-saidas
10-CMD
11-MSG</t>
        </r>
      </text>
    </comment>
    <comment ref="E1134" authorId="3" shapeId="0" xr:uid="{00000000-0006-0000-0100-0000F2050000}">
      <text>
        <r>
          <rPr>
            <sz val="9"/>
            <color indexed="81"/>
            <rFont val="Segoe UI"/>
            <family val="2"/>
          </rPr>
          <t xml:space="preserve">
1-Orgão 
2-Material
3-Deposito
4-Requisição
</t>
        </r>
      </text>
    </comment>
    <comment ref="D1135" authorId="3" shapeId="0" xr:uid="{00000000-0006-0000-0100-0000F3050000}">
      <text>
        <r>
          <rPr>
            <sz val="9"/>
            <color indexed="81"/>
            <rFont val="Segoe UI"/>
            <family val="2"/>
          </rPr>
          <t xml:space="preserve">
1-Pallet
2-codigo material
3-desc material
4-volume
5-qtd volume
6-endereçamento
7-ocupante
8-requisição
9-prazo final 
10-CMD
11-MSG</t>
        </r>
      </text>
    </comment>
    <comment ref="E1135" authorId="3" shapeId="0" xr:uid="{00000000-0006-0000-0100-0000F4050000}">
      <text>
        <r>
          <rPr>
            <sz val="9"/>
            <color indexed="81"/>
            <rFont val="Segoe UI"/>
            <family val="2"/>
          </rPr>
          <t xml:space="preserve">
1-Orgão 
2-Material
3-Deposito
4-Requisição
5-Pallet
</t>
        </r>
      </text>
    </comment>
    <comment ref="D1136" authorId="3" shapeId="0" xr:uid="{00000000-0006-0000-0100-0000F5050000}">
      <text>
        <r>
          <rPr>
            <sz val="9"/>
            <color indexed="81"/>
            <rFont val="Segoe UI"/>
            <family val="2"/>
          </rPr>
          <t xml:space="preserve">
1-Data
2-codigo material
3-desc material
4-volume
5-qtd volume
6-Tipo
7-pallet
8-Endereçamento
9-ocupante
10-req
11-cmd
12-MSG</t>
        </r>
      </text>
    </comment>
    <comment ref="E1136" authorId="3" shapeId="0" xr:uid="{00000000-0006-0000-0100-0000F6050000}">
      <text>
        <r>
          <rPr>
            <sz val="9"/>
            <color indexed="81"/>
            <rFont val="Segoe UI"/>
            <family val="2"/>
          </rPr>
          <t xml:space="preserve">
1-Orgão 
2-Material
3-Deposito
4-Requisição
5-Pallet
</t>
        </r>
      </text>
    </comment>
    <comment ref="D1139" authorId="3" shapeId="0" xr:uid="{00000000-0006-0000-0100-0000F7050000}">
      <text>
        <r>
          <rPr>
            <sz val="9"/>
            <color indexed="81"/>
            <rFont val="Segoe UI"/>
            <family val="2"/>
          </rPr>
          <t xml:space="preserve">
1-Codigo
2-Descrição
3-QTD Volume 
4-Undiade por volume 
5-Total de unidades
6-Peso total
7-Descrição
8-Imagem 
9-Conferente 
10-Data conferencia
11-CMD
12-MSG</t>
        </r>
      </text>
    </comment>
    <comment ref="E1139" authorId="3" shapeId="0" xr:uid="{00000000-0006-0000-0100-0000F8050000}">
      <text>
        <r>
          <rPr>
            <sz val="9"/>
            <color indexed="81"/>
            <rFont val="Segoe UI"/>
            <family val="2"/>
          </rPr>
          <t xml:space="preserve">
1-Conferencia Permanente</t>
        </r>
      </text>
    </comment>
    <comment ref="D1140" authorId="3" shapeId="0" xr:uid="{00000000-0006-0000-0100-0000F9050000}">
      <text>
        <r>
          <rPr>
            <sz val="9"/>
            <color indexed="81"/>
            <rFont val="Segoe UI"/>
            <family val="2"/>
          </rPr>
          <t xml:space="preserve">
1 -Registro Patrimonial
2 -Descrição 
3 -Status 
4 -N° 
5 -Imagem do Bem 
6 -Bem Localizado 
7 -Conferente 
8 -Data Conferencia
9 -CMD
10-MSG</t>
        </r>
      </text>
    </comment>
    <comment ref="E1140" authorId="3" shapeId="0" xr:uid="{00000000-0006-0000-0100-0000FA050000}">
      <text>
        <r>
          <rPr>
            <sz val="9"/>
            <color indexed="81"/>
            <rFont val="Segoe UI"/>
            <family val="2"/>
          </rPr>
          <t xml:space="preserve">
1-Itens Inventário
2-Conferência Permanente
3-Servidor</t>
        </r>
      </text>
    </comment>
    <comment ref="D1141" authorId="3" shapeId="0" xr:uid="{00000000-0006-0000-0100-0000FB050000}">
      <text>
        <r>
          <rPr>
            <sz val="9"/>
            <color indexed="81"/>
            <rFont val="Segoe UI"/>
            <family val="2"/>
          </rPr>
          <t xml:space="preserve">
1 -Registro Patrimonial
2 -N°  
3 -Imagem do Bem 
4 -Bem Localizado 
5 -Conferente 
6 -Data Conferencia
7 -CMD
8-MSG</t>
        </r>
      </text>
    </comment>
    <comment ref="E1141" authorId="3" shapeId="0" xr:uid="{00000000-0006-0000-0100-0000FC050000}">
      <text>
        <r>
          <rPr>
            <sz val="9"/>
            <color indexed="81"/>
            <rFont val="Segoe UI"/>
            <family val="2"/>
          </rPr>
          <t xml:space="preserve">
1-Itens Inventário
</t>
        </r>
      </text>
    </comment>
    <comment ref="D1142" authorId="3" shapeId="0" xr:uid="{00000000-0006-0000-0100-0000FD050000}">
      <text>
        <r>
          <rPr>
            <sz val="9"/>
            <color indexed="81"/>
            <rFont val="Segoe UI"/>
            <family val="2"/>
          </rPr>
          <t xml:space="preserve">
1 -Registro Patrimonial
2 -Descrição 
3 -Status 
4 -N° 
5 -Imagem do Bem 
6 -Bem Localizado 
7 -Conferente 
8 -Data Conferencia
9 -CMD
10-MSG</t>
        </r>
      </text>
    </comment>
    <comment ref="E1142" authorId="3" shapeId="0" xr:uid="{00000000-0006-0000-0100-0000FE050000}">
      <text>
        <r>
          <rPr>
            <sz val="9"/>
            <color indexed="81"/>
            <rFont val="Segoe UI"/>
            <family val="2"/>
          </rPr>
          <t xml:space="preserve">
1-Itens Inventário
2-Conferência Permanente
3-Servidor</t>
        </r>
      </text>
    </comment>
    <comment ref="D1143" authorId="3" shapeId="0" xr:uid="{00000000-0006-0000-0100-0000FF050000}">
      <text>
        <r>
          <rPr>
            <sz val="9"/>
            <color indexed="81"/>
            <rFont val="Segoe UI"/>
            <family val="2"/>
          </rPr>
          <t xml:space="preserve">
1-Situação
2-CMD
3-MSG</t>
        </r>
      </text>
    </comment>
    <comment ref="E1143" authorId="3" shapeId="0" xr:uid="{00000000-0006-0000-0100-000000060000}">
      <text>
        <r>
          <rPr>
            <sz val="9"/>
            <color indexed="81"/>
            <rFont val="Segoe UI"/>
            <family val="2"/>
          </rPr>
          <t xml:space="preserve">
1-Conferência Permanente
2-Servidor</t>
        </r>
      </text>
    </comment>
    <comment ref="D1144" authorId="3" shapeId="0" xr:uid="{00000000-0006-0000-0100-000001060000}">
      <text>
        <r>
          <rPr>
            <sz val="9"/>
            <color indexed="81"/>
            <rFont val="Segoe UI"/>
            <family val="2"/>
          </rPr>
          <t xml:space="preserve">
1-Bem localizado
2-Descritivo
3-Imagem
4-CMD
5-MSG</t>
        </r>
      </text>
    </comment>
    <comment ref="E1144" authorId="3" shapeId="0" xr:uid="{00000000-0006-0000-0100-000002060000}">
      <text>
        <r>
          <rPr>
            <sz val="9"/>
            <color indexed="81"/>
            <rFont val="Segoe UI"/>
            <family val="2"/>
          </rPr>
          <t xml:space="preserve">
1-Conferência Permanente
2-Servidor</t>
        </r>
      </text>
    </comment>
    <comment ref="D1145" authorId="3" shapeId="0" xr:uid="{00000000-0006-0000-0100-000003060000}">
      <text>
        <r>
          <rPr>
            <sz val="9"/>
            <color indexed="81"/>
            <rFont val="Segoe UI"/>
            <family val="2"/>
          </rPr>
          <t xml:space="preserve">
1-RP
2-Imagem
3-Status
4-Conferente
5-Data
6-Descrição do bem 
7-CMD</t>
        </r>
      </text>
    </comment>
    <comment ref="E1145" authorId="3" shapeId="0" xr:uid="{00000000-0006-0000-0100-000004060000}">
      <text>
        <r>
          <rPr>
            <sz val="9"/>
            <color indexed="81"/>
            <rFont val="Segoe UI"/>
            <family val="2"/>
          </rPr>
          <t xml:space="preserve">
1-Conferência Permanente
2-Servidor</t>
        </r>
      </text>
    </comment>
    <comment ref="D1146" authorId="3" shapeId="0" xr:uid="{00000000-0006-0000-0100-000005060000}">
      <text>
        <r>
          <rPr>
            <sz val="9"/>
            <color indexed="81"/>
            <rFont val="Segoe UI"/>
            <family val="2"/>
          </rPr>
          <t>1 - RP
2 - Descrição
3 - Imagem
4 - Bem Localizado
5 - Descritivo da conferência
6 - Anexo
7 - Status
8 - Conferente
9 - Data
10 -CMD
11-MSG</t>
        </r>
      </text>
    </comment>
    <comment ref="E1146" authorId="3" shapeId="0" xr:uid="{00000000-0006-0000-0100-000006060000}">
      <text>
        <r>
          <rPr>
            <sz val="9"/>
            <color indexed="81"/>
            <rFont val="Segoe UI"/>
            <family val="2"/>
          </rPr>
          <t xml:space="preserve">
1-Itens Inventário
2-Conferência Permanente
3-Servidor</t>
        </r>
      </text>
    </comment>
    <comment ref="D1147" authorId="3" shapeId="0" xr:uid="{00000000-0006-0000-0100-000007060000}">
      <text>
        <r>
          <rPr>
            <sz val="9"/>
            <color indexed="81"/>
            <rFont val="Segoe UI"/>
            <family val="2"/>
          </rPr>
          <t xml:space="preserve">
1-Descritivo
2-Anexo
3-Data Conferencia 
4-Conferente
5-CMD
6-MSG</t>
        </r>
      </text>
    </comment>
    <comment ref="E1147" authorId="3" shapeId="0" xr:uid="{00000000-0006-0000-0100-000008060000}">
      <text>
        <r>
          <rPr>
            <sz val="9"/>
            <color indexed="81"/>
            <rFont val="Segoe UI"/>
            <family val="2"/>
          </rPr>
          <t xml:space="preserve">
1-Conferência Permanente
2-Servidor</t>
        </r>
      </text>
    </comment>
    <comment ref="D1148" authorId="3" shapeId="0" xr:uid="{00000000-0006-0000-0100-000009060000}">
      <text>
        <r>
          <rPr>
            <sz val="9"/>
            <color indexed="81"/>
            <rFont val="Segoe UI"/>
            <family val="2"/>
          </rPr>
          <t xml:space="preserve">
1-Descritivo
2-Anexo
3-Data Conferencia 
4-Conferente
5-CMD
6-MSG</t>
        </r>
      </text>
    </comment>
    <comment ref="E1148" authorId="3" shapeId="0" xr:uid="{00000000-0006-0000-0100-00000A060000}">
      <text>
        <r>
          <rPr>
            <sz val="9"/>
            <color indexed="81"/>
            <rFont val="Segoe UI"/>
            <family val="2"/>
          </rPr>
          <t xml:space="preserve">
1-Conferência Permanente
2-Servidor</t>
        </r>
      </text>
    </comment>
    <comment ref="D1152" authorId="3" shapeId="0" xr:uid="{00000000-0006-0000-0100-00000B060000}">
      <text>
        <r>
          <rPr>
            <sz val="9"/>
            <color indexed="81"/>
            <rFont val="Segoe UI"/>
            <family val="2"/>
          </rPr>
          <t xml:space="preserve">
1 -Unidade de localização
2 -Orgão
3 -Unidade ADM
4 -Sigla UL
5 -Sigla orgão
6 -situação da UL
7 -Responsável pela UL
8 -Matricula responsável
9 -Email responsável
10-Nome do imovel 
11-Matricula do imovel
12-RIP
13-OBS
14-CEP
15-Codigo municipio
16-Municipio
17-UF
18-Pais
19-Distrito
20-zoneamento
21-bairro
22-numero
23-logradouro
24-complemento
25-Responsável cadastro
26-data cadastro
27-ID
28-Unidade de localização vinculada
29-sigla
30-responsável
31-Matricula 
32-Email 
33-OBS
34-Responsável
35-Data cadastro
36-Imagem da ULV
37-Unidade Setorial de Patrimônio Imobiliário
38 - Nome Servidor
39 - Matricula
40 - CPF
41 - Código Membro
42 - Email
43 - Status
44 - Última alteração
45 - Usuário alteração
46 - Justificativa de Inativação
47 - Flag NÃO INVENTARIADA
48 - Justificativa para não Inventariar
49 - UNIDADE DE LOCALIZAÇÃO VINCULADA (ULV)
50 - RESPONSÁVEL ULV
51 - Situação da ULV
52 - Exibir UL
53 - Exibir ULV
Exibir Unidade Setorial de Patrimônio Mobiliário</t>
        </r>
      </text>
    </comment>
    <comment ref="E1152" authorId="3" shapeId="0" xr:uid="{00000000-0006-0000-0100-00000C060000}">
      <text>
        <r>
          <rPr>
            <sz val="9"/>
            <color indexed="81"/>
            <rFont val="Segoe UI"/>
            <family val="2"/>
          </rPr>
          <t xml:space="preserve">
1-Unidade Localização
2-Unidade Vinculada</t>
        </r>
      </text>
    </comment>
    <comment ref="D1153" authorId="3" shapeId="0" xr:uid="{0AFD43F3-F47E-4713-9C89-D786E56176C6}">
      <text>
        <r>
          <rPr>
            <sz val="9"/>
            <color indexed="81"/>
            <rFont val="Segoe UI"/>
            <family val="2"/>
          </rPr>
          <t xml:space="preserve">
1 - Código
2 - Descrição
3 - Sigla
</t>
        </r>
      </text>
    </comment>
    <comment ref="E1153" authorId="3" shapeId="0" xr:uid="{CB89B54B-EFBE-429B-8F05-0AB57BC427D3}">
      <text>
        <r>
          <rPr>
            <sz val="9"/>
            <color indexed="81"/>
            <rFont val="Segoe UI"/>
            <family val="2"/>
          </rPr>
          <t xml:space="preserve">
1-Unidade Orçamentária Fiplan</t>
        </r>
      </text>
    </comment>
    <comment ref="D1154" authorId="3" shapeId="0" xr:uid="{00000000-0006-0000-0100-00000D060000}">
      <text>
        <r>
          <rPr>
            <sz val="9"/>
            <color indexed="81"/>
            <rFont val="Segoe UI"/>
            <family val="2"/>
          </rPr>
          <t xml:space="preserve">
1 - Exercício
2 - Órgão
3 - Unidade Orçamentária
4 - Unidade Gestora
5 - Unidade Administrativa
6 - Unidade de Localização
7 - Situação da UL
8 - Responsável UL
9 - Unidade de Localização Vinculada
10 - Situação ULV
11 - Responsável ULV
12 - Imóvel de Localização
13 - Município
14 - Exibir UL
15 - Exibir ULV
16 - Exibir Unidade Setorial de Patrimônio Mobiliário
17 - 7 -Data cadastro ini
18 -Data cadastro fim 
19-CMD
20-MSG</t>
        </r>
      </text>
    </comment>
    <comment ref="E1154" authorId="3" shapeId="0" xr:uid="{00000000-0006-0000-0100-00000E060000}">
      <text>
        <r>
          <rPr>
            <sz val="9"/>
            <color indexed="81"/>
            <rFont val="Segoe UI"/>
            <family val="2"/>
          </rPr>
          <t xml:space="preserve">
1-Unidade Localização
2-Unidade Administrativa
3-Orgão
4-Pessoa
5-Imóvel
6-Unidade Orçamentária Fiplan</t>
        </r>
      </text>
    </comment>
    <comment ref="D1155" authorId="3" shapeId="0" xr:uid="{00000000-0006-0000-0100-00000F060000}">
      <text>
        <r>
          <rPr>
            <sz val="9"/>
            <color indexed="81"/>
            <rFont val="Segoe UI"/>
            <family val="2"/>
          </rPr>
          <t xml:space="preserve">
1-Código SEAP
2-Descrição
3-CMD
</t>
        </r>
      </text>
    </comment>
    <comment ref="E1155" authorId="3" shapeId="0" xr:uid="{00000000-0006-0000-0100-000010060000}">
      <text>
        <r>
          <rPr>
            <sz val="9"/>
            <color indexed="81"/>
            <rFont val="Segoe UI"/>
            <family val="2"/>
          </rPr>
          <t xml:space="preserve">
1-Unidade Localização</t>
        </r>
      </text>
    </comment>
    <comment ref="D1156" authorId="3" shapeId="0" xr:uid="{81D7D607-28F8-4569-A08A-6FE23402AFAA}">
      <text>
        <r>
          <rPr>
            <sz val="9"/>
            <color indexed="81"/>
            <rFont val="Segoe UI"/>
            <family val="2"/>
          </rPr>
          <t xml:space="preserve">
1-Código SEAP
2-Descrição
3-Situação
4-CMD
</t>
        </r>
      </text>
    </comment>
    <comment ref="E1156" authorId="3" shapeId="0" xr:uid="{A1D088AD-BE63-4F70-99A6-A96A84BD017D}">
      <text>
        <r>
          <rPr>
            <sz val="9"/>
            <color indexed="81"/>
            <rFont val="Segoe UI"/>
            <family val="2"/>
          </rPr>
          <t xml:space="preserve">
1-Unidade Localização Vinculada</t>
        </r>
      </text>
    </comment>
    <comment ref="D1157" authorId="3" shapeId="0" xr:uid="{00000000-0006-0000-0100-000011060000}">
      <text>
        <r>
          <rPr>
            <sz val="9"/>
            <color indexed="81"/>
            <rFont val="Segoe UI"/>
            <family val="2"/>
          </rPr>
          <t xml:space="preserve">
1-Setor Pai
2-Descrição
3-CMD
</t>
        </r>
      </text>
    </comment>
    <comment ref="E1157" authorId="3" shapeId="0" xr:uid="{00000000-0006-0000-0100-000012060000}">
      <text>
        <r>
          <rPr>
            <sz val="9"/>
            <color indexed="81"/>
            <rFont val="Segoe UI"/>
            <family val="2"/>
          </rPr>
          <t xml:space="preserve">
1-Unidade Administrativa</t>
        </r>
      </text>
    </comment>
    <comment ref="D1158" authorId="3" shapeId="0" xr:uid="{00000000-0006-0000-0100-000013060000}">
      <text>
        <r>
          <rPr>
            <sz val="9"/>
            <color indexed="81"/>
            <rFont val="Segoe UI"/>
            <family val="2"/>
          </rPr>
          <t xml:space="preserve">
1-Matricula
2-Nome
3-RIP
4-CMD
</t>
        </r>
      </text>
    </comment>
    <comment ref="E1158" authorId="3" shapeId="0" xr:uid="{00000000-0006-0000-0100-000014060000}">
      <text>
        <r>
          <rPr>
            <sz val="9"/>
            <color indexed="81"/>
            <rFont val="Segoe UI"/>
            <family val="2"/>
          </rPr>
          <t xml:space="preserve">
1-Imóvel</t>
        </r>
      </text>
    </comment>
    <comment ref="D1159" authorId="3" shapeId="0" xr:uid="{00000000-0006-0000-0100-000015060000}">
      <text>
        <r>
          <rPr>
            <sz val="9"/>
            <color indexed="81"/>
            <rFont val="Segoe UI"/>
            <family val="2"/>
          </rPr>
          <t xml:space="preserve">
1-Orgão
2-UG
3-Unidade
4-Tipo
5-Unidade ADM
6-Responsável
7-matricula
8-Email
9-CMD
10-MSG</t>
        </r>
      </text>
    </comment>
    <comment ref="E1159" authorId="3" shapeId="0" xr:uid="{00000000-0006-0000-0100-000016060000}">
      <text>
        <r>
          <rPr>
            <sz val="9"/>
            <color indexed="81"/>
            <rFont val="Segoe UI"/>
            <family val="2"/>
          </rPr>
          <t xml:space="preserve">
1-Unidade Localização
2-Unidade Administrativa
3-Orgão
4-Pessoa</t>
        </r>
      </text>
    </comment>
    <comment ref="D1160" authorId="3" shapeId="0" xr:uid="{00000000-0006-0000-0100-000017060000}">
      <text>
        <r>
          <rPr>
            <sz val="9"/>
            <color indexed="81"/>
            <rFont val="Segoe UI"/>
            <family val="2"/>
          </rPr>
          <t xml:space="preserve">
1 -Unidade de localização
2 -Orgão
3 -Unidade ADM
4 -Sigla UL
5 -Sigla orgão
6 -situação da UL
7 -Responsável pela UL
8 -Matricula responsável
9 -Email responsável
10-Nome do imovel 
11-Matricula do imovel
12-RIP
13-OBS
14-CEP
15-Codigo municipio
16-Municipio
17-UF
18-Pais
19-Distrito
20-zoneamento
21-bairro
22-numero
23-logradouro
24-complemento
25-Responsável cadastro
26-data cadastro
27-Unidade Setorial de Patrimônio Imobiliário
28-CMD
29-MSG</t>
        </r>
      </text>
    </comment>
    <comment ref="E1160" authorId="3" shapeId="0" xr:uid="{00000000-0006-0000-0100-000018060000}">
      <text>
        <r>
          <rPr>
            <sz val="9"/>
            <color indexed="81"/>
            <rFont val="Segoe UI"/>
            <family val="2"/>
          </rPr>
          <t xml:space="preserve">
1-Unidade Localização
2-Unidade Administrativa
3-Orgão
4-Pessoa</t>
        </r>
      </text>
    </comment>
    <comment ref="D1161" authorId="3" shapeId="0" xr:uid="{00000000-0006-0000-0100-000019060000}">
      <text>
        <r>
          <rPr>
            <sz val="9"/>
            <color indexed="81"/>
            <rFont val="Segoe UI"/>
            <family val="2"/>
          </rPr>
          <t xml:space="preserve">
1-Código
2-Descrição
3-CMD
</t>
        </r>
      </text>
    </comment>
    <comment ref="E1161" authorId="3" shapeId="0" xr:uid="{00000000-0006-0000-0100-00001A060000}">
      <text>
        <r>
          <rPr>
            <sz val="9"/>
            <color indexed="81"/>
            <rFont val="Segoe UI"/>
            <family val="2"/>
          </rPr>
          <t xml:space="preserve">
1-Situação UL</t>
        </r>
      </text>
    </comment>
    <comment ref="D1162" authorId="3" shapeId="0" xr:uid="{00000000-0006-0000-0100-00001B060000}">
      <text>
        <r>
          <rPr>
            <sz val="9"/>
            <color indexed="81"/>
            <rFont val="Segoe UI"/>
            <family val="2"/>
          </rPr>
          <t xml:space="preserve">
1-Matricula
2-Nome
3-Email
4-CMD
</t>
        </r>
      </text>
    </comment>
    <comment ref="E1162" authorId="3" shapeId="0" xr:uid="{00000000-0006-0000-0100-00001C060000}">
      <text>
        <r>
          <rPr>
            <sz val="9"/>
            <color indexed="81"/>
            <rFont val="Segoe UI"/>
            <family val="2"/>
          </rPr>
          <t xml:space="preserve">
1-Servidor</t>
        </r>
      </text>
    </comment>
    <comment ref="D1163" authorId="3" shapeId="0" xr:uid="{00000000-0006-0000-0100-00001D060000}">
      <text>
        <r>
          <rPr>
            <sz val="9"/>
            <color indexed="81"/>
            <rFont val="Segoe UI"/>
            <family val="2"/>
          </rPr>
          <t xml:space="preserve">
1-Nome do imóvel
2-Matricula
3-RIP
4-CMD</t>
        </r>
      </text>
    </comment>
    <comment ref="E1163" authorId="3" shapeId="0" xr:uid="{00000000-0006-0000-0100-00001E060000}">
      <text>
        <r>
          <rPr>
            <sz val="9"/>
            <color indexed="81"/>
            <rFont val="Segoe UI"/>
            <family val="2"/>
          </rPr>
          <t xml:space="preserve">
1-Imóvel</t>
        </r>
      </text>
    </comment>
    <comment ref="D1164" authorId="3" shapeId="0" xr:uid="{00000000-0006-0000-0100-00001F060000}">
      <text>
        <r>
          <rPr>
            <sz val="9"/>
            <color indexed="81"/>
            <rFont val="Segoe UI"/>
            <family val="2"/>
          </rPr>
          <t xml:space="preserve">
1-Nome do imóvel
2-Matricula
3-RIP
4-CMD</t>
        </r>
      </text>
    </comment>
    <comment ref="E1164" authorId="3" shapeId="0" xr:uid="{00000000-0006-0000-0100-000020060000}">
      <text>
        <r>
          <rPr>
            <sz val="9"/>
            <color indexed="81"/>
            <rFont val="Segoe UI"/>
            <family val="2"/>
          </rPr>
          <t xml:space="preserve">
1-Imóvel</t>
        </r>
      </text>
    </comment>
    <comment ref="D1165" authorId="3" shapeId="0" xr:uid="{00000000-0006-0000-0100-000021060000}">
      <text>
        <r>
          <rPr>
            <sz val="9"/>
            <color indexed="81"/>
            <rFont val="Segoe UI"/>
            <family val="2"/>
          </rPr>
          <t xml:space="preserve">
1 -Orgão
2 -UG
3 -Unidade de localização 
4 -Tipo de unidade 
5 -unidade admnistrativa
6 -CEP
7 -Codigo municipio
8 -municipio
9 -UF
10-Pais
11-Bairro
12-Numero
13-Logradouro
14-complemento
15-distrito
16-Zoneamento 
17-CMD</t>
        </r>
      </text>
    </comment>
    <comment ref="E1165" authorId="3" shapeId="0" xr:uid="{00000000-0006-0000-0100-000022060000}">
      <text>
        <r>
          <rPr>
            <sz val="9"/>
            <color indexed="81"/>
            <rFont val="Segoe UI"/>
            <family val="2"/>
          </rPr>
          <t xml:space="preserve">
1-Orgão
2-Unidade Administrativa</t>
        </r>
      </text>
    </comment>
    <comment ref="D1166" authorId="3" shapeId="0" xr:uid="{00000000-0006-0000-0100-000023060000}">
      <text>
        <r>
          <rPr>
            <sz val="9"/>
            <color indexed="81"/>
            <rFont val="Segoe UI"/>
            <family val="2"/>
          </rPr>
          <t>1 - Unidade de localização
2 - Exercício
3 - Orgão
4 - Unidade Orçamentária
5 - Unidade Gestora
6 - Unidade ADM
7 - Situação da UL
8 - Unidade Setorial de PatrimÕnio Mobiliário
9 - Responsável pela UL
10 - Matricula responsável
11 - Email responsável
12 - Nome do imovel 
13 - Matricula do imovel
14 - RIP
15 - OBS
16 - CEP
17 - Codigo municipio
18 - Municipio
19 - UF
20 - Pais
21 - Distrito
22 - zoneamento
23 - bairro
24 - numero
25 - logradouro
26 - complemento
27 - Responsável cadastro
28 - data cadastro
29 - Unidade Setorial de Patrimônio Imobiliário
30-CMD
31-MSG</t>
        </r>
      </text>
    </comment>
    <comment ref="E1166" authorId="3" shapeId="0" xr:uid="{00000000-0006-0000-0100-000024060000}">
      <text>
        <r>
          <rPr>
            <sz val="9"/>
            <color indexed="81"/>
            <rFont val="Segoe UI"/>
            <family val="2"/>
          </rPr>
          <t xml:space="preserve">
1-Unidade Localização
2-Unidade Administrativa
3-Orgão
4-Pessoa
5-Unidade Orçamentária Fiplan</t>
        </r>
      </text>
    </comment>
    <comment ref="D1167" authorId="3" shapeId="0" xr:uid="{00000000-0006-0000-0100-000025060000}">
      <text>
        <r>
          <rPr>
            <sz val="9"/>
            <color indexed="81"/>
            <rFont val="Segoe UI"/>
            <family val="2"/>
          </rPr>
          <t xml:space="preserve">1 - Unidade de localização
2 - Exercício
3 - Orgão
4 - Unidade Orçamentária
5 - Unidade Gestora
6 - Unidade ADM
7 - Situação da UL
8 - Unidade Setorial de PatrimÕnio Mobiliário
9 - Responsável pela UL
10 - Matricula responsável
11 - Email responsável
12 - Nome do imovel 
13 - Matricula do imovel
14 - RIP
15 - OBS
16 - CEP
17 - Codigo municipio
18 - Municipio
19 - UF
20 - Pais
21 - Distrito
22 - zoneamento
23 - bairro
24 - numero
25 - logradouro
26 - complemento
27 - Responsável cadastro
28 - data cadastro
29 - Unidade Setorial de Patrimônio Imobiliário
</t>
        </r>
      </text>
    </comment>
    <comment ref="E1167" authorId="3" shapeId="0" xr:uid="{00000000-0006-0000-0100-000026060000}">
      <text>
        <r>
          <rPr>
            <sz val="9"/>
            <color indexed="81"/>
            <rFont val="Segoe UI"/>
            <family val="2"/>
          </rPr>
          <t xml:space="preserve">
1-Unidade Localização
2-Unidade Administrativa
3-Orgão
4-Pessoa
5-Unidade Orçamentária Fiplan</t>
        </r>
      </text>
    </comment>
    <comment ref="D1168" authorId="3" shapeId="0" xr:uid="{3E006B10-8A33-41B9-B417-CB5BB00A8A01}">
      <text>
        <r>
          <rPr>
            <sz val="9"/>
            <color indexed="81"/>
            <rFont val="Segoe UI"/>
            <family val="2"/>
          </rPr>
          <t>1 - Unidade de localização
2 - Exercício
3 - Orgão
4 - Unidade Orçamentária
5 - Unidade Gestora
6 - Unidade ADM
7 - Situação da UL
8 - Unidade Setorial de PatrimÕnio Mobiliário
9 - Responsável pela UL
10 - Matricula responsável
11 - Email responsável
12 - Nome do imovel 
13 - Matricula do imovel
14 - RIP
15 - OBS
16 - CEP
17 - Codigo municipio
18 - Municipio
19 - UF
20 - Pais
21 - Distrito
22 - zoneamento
23 - bairro
24 - numero
25 - logradouro
26 - complemento
27 - Responsável cadastro
28 - data cadastro
29 - Unidade Setorial de Patrimônio Imobiliário
30-CMD
31-MSG</t>
        </r>
      </text>
    </comment>
    <comment ref="E1168" authorId="3" shapeId="0" xr:uid="{00000000-0006-0000-0100-000028060000}">
      <text>
        <r>
          <rPr>
            <sz val="9"/>
            <color indexed="81"/>
            <rFont val="Segoe UI"/>
            <family val="2"/>
          </rPr>
          <t xml:space="preserve">
1-Unidade Localização
2-Unidade Administrativa
3-Orgão
4-Pessoa
5-Unidade Orçamentária Fiplan</t>
        </r>
      </text>
    </comment>
    <comment ref="D1169" authorId="3" shapeId="0" xr:uid="{00000000-0006-0000-0100-000029060000}">
      <text>
        <r>
          <rPr>
            <sz val="9"/>
            <color indexed="81"/>
            <rFont val="Segoe UI"/>
            <family val="2"/>
          </rPr>
          <t xml:space="preserve">
1-Orgão
2-UG
3-Unidade
4-Tipo
5-Unidade ADM
6-Responsável
7-matricula
8-Email
9-CMD
</t>
        </r>
      </text>
    </comment>
    <comment ref="E1169" authorId="3" shapeId="0" xr:uid="{00000000-0006-0000-0100-00002A060000}">
      <text>
        <r>
          <rPr>
            <sz val="9"/>
            <color indexed="81"/>
            <rFont val="Segoe UI"/>
            <family val="2"/>
          </rPr>
          <t xml:space="preserve">
1-Unidade Localização
2-Unidade Administrativa
3-Orgão
4-Pessoa</t>
        </r>
      </text>
    </comment>
    <comment ref="D1170" authorId="3" shapeId="0" xr:uid="{00000000-0006-0000-0100-00002B060000}">
      <text>
        <r>
          <rPr>
            <sz val="9"/>
            <color indexed="81"/>
            <rFont val="Segoe UI"/>
            <family val="2"/>
          </rPr>
          <t>1 - Unidade de Localização
2 - Nome Servidor
3 - Matricula
4 - CPF
5 - Código Membro
6 - Email
7 - Status
8 - Última alteração
9 - CMD
10 - MSG</t>
        </r>
      </text>
    </comment>
    <comment ref="E1170" authorId="3" shapeId="0" xr:uid="{00000000-0006-0000-0100-00002C060000}">
      <text>
        <r>
          <rPr>
            <sz val="9"/>
            <color indexed="81"/>
            <rFont val="Segoe UI"/>
            <family val="2"/>
          </rPr>
          <t xml:space="preserve">
1-Unidade Localização
2-Pessoa</t>
        </r>
      </text>
    </comment>
    <comment ref="D1171" authorId="3" shapeId="0" xr:uid="{00000000-0006-0000-0100-00002D060000}">
      <text>
        <r>
          <rPr>
            <sz val="9"/>
            <color indexed="81"/>
            <rFont val="Segoe UI"/>
            <family val="2"/>
          </rPr>
          <t>1 - Unidade de Localização
2 - Nome Servidor
3 - Matricula
4 - CPF
5 - Código Membro
6 - Email
7 - Status
8 - CMD
9 - MSG</t>
        </r>
      </text>
    </comment>
    <comment ref="E1171" authorId="3" shapeId="0" xr:uid="{00000000-0006-0000-0100-00002E060000}">
      <text>
        <r>
          <rPr>
            <sz val="9"/>
            <color indexed="81"/>
            <rFont val="Segoe UI"/>
            <family val="2"/>
          </rPr>
          <t xml:space="preserve">
1-Unidade Localização
2-Pessoa</t>
        </r>
      </text>
    </comment>
    <comment ref="D1172" authorId="3" shapeId="0" xr:uid="{00000000-0006-0000-0100-00002F060000}">
      <text>
        <r>
          <rPr>
            <sz val="9"/>
            <color indexed="81"/>
            <rFont val="Segoe UI"/>
            <family val="2"/>
          </rPr>
          <t>1 - Unidade de Localização
2 - Nome Servidor
3 - Matricula
4 - CPF
5 - Código Membro
6 - Email
7 - Status
8 - Última alteração
9 - Usuário alteração
10 - CMD
11 - MSG</t>
        </r>
      </text>
    </comment>
    <comment ref="E1172" authorId="3" shapeId="0" xr:uid="{00000000-0006-0000-0100-000030060000}">
      <text>
        <r>
          <rPr>
            <sz val="9"/>
            <color indexed="81"/>
            <rFont val="Segoe UI"/>
            <family val="2"/>
          </rPr>
          <t xml:space="preserve">
1-Unidade Localização
2-Pessoa</t>
        </r>
      </text>
    </comment>
    <comment ref="D1173" authorId="3" shapeId="0" xr:uid="{00000000-0006-0000-0100-000031060000}">
      <text>
        <r>
          <rPr>
            <sz val="9"/>
            <color indexed="81"/>
            <rFont val="Segoe UI"/>
            <family val="2"/>
          </rPr>
          <t>1 - Unidade de Localização
2 - Nome Servidor
3 - Matricula
4 - CPF
5 - Código Membro
6 - Email
7 - Status
8 - Última alteração
9 - Usuário alteração
10 - CMD
11 - MSG</t>
        </r>
      </text>
    </comment>
    <comment ref="E1173" authorId="3" shapeId="0" xr:uid="{00000000-0006-0000-0100-000032060000}">
      <text>
        <r>
          <rPr>
            <sz val="9"/>
            <color indexed="81"/>
            <rFont val="Segoe UI"/>
            <family val="2"/>
          </rPr>
          <t xml:space="preserve">
1-Unidade Localização
2-Pessoa</t>
        </r>
      </text>
    </comment>
    <comment ref="D1174" authorId="3" shapeId="0" xr:uid="{00000000-0006-0000-0100-000033060000}">
      <text>
        <r>
          <rPr>
            <sz val="9"/>
            <color indexed="81"/>
            <rFont val="Segoe UI"/>
            <family val="2"/>
          </rPr>
          <t>1 - Unidade de Localização
2 - Nome Servidor
3 - Matricula
4 - CPF
5 - Código Membro
6 - Email
7 - Status
8 - Última alteração
9 - Usuário alteração
10 - CMD
11 - MSG</t>
        </r>
      </text>
    </comment>
    <comment ref="E1174" authorId="3" shapeId="0" xr:uid="{00000000-0006-0000-0100-000034060000}">
      <text>
        <r>
          <rPr>
            <sz val="9"/>
            <color indexed="81"/>
            <rFont val="Segoe UI"/>
            <family val="2"/>
          </rPr>
          <t xml:space="preserve">
1-Unidade Localização
2-Pessoa</t>
        </r>
      </text>
    </comment>
    <comment ref="D1175" authorId="3" shapeId="0" xr:uid="{00000000-0006-0000-0100-000035060000}">
      <text>
        <r>
          <rPr>
            <sz val="9"/>
            <color indexed="81"/>
            <rFont val="Segoe UI"/>
            <family val="2"/>
          </rPr>
          <t>1 - Unidade de Localização
2 - Código Membro
3 - CMD
4 - MSG</t>
        </r>
      </text>
    </comment>
    <comment ref="E1175" authorId="3" shapeId="0" xr:uid="{00000000-0006-0000-0100-000036060000}">
      <text>
        <r>
          <rPr>
            <sz val="9"/>
            <color indexed="81"/>
            <rFont val="Segoe UI"/>
            <family val="2"/>
          </rPr>
          <t xml:space="preserve">
1-Unidade Localização
2-Pessoa</t>
        </r>
      </text>
    </comment>
    <comment ref="D1176" authorId="3" shapeId="0" xr:uid="{00000000-0006-0000-0100-000037060000}">
      <text>
        <r>
          <rPr>
            <sz val="9"/>
            <color indexed="81"/>
            <rFont val="Segoe UI"/>
            <family val="2"/>
          </rPr>
          <t xml:space="preserve">
1-Situação
2-Situação ULV
3-ULV
5-CMD
6-MSG</t>
        </r>
      </text>
    </comment>
    <comment ref="E1176" authorId="3" shapeId="0" xr:uid="{00000000-0006-0000-0100-000038060000}">
      <text>
        <r>
          <rPr>
            <sz val="9"/>
            <color indexed="81"/>
            <rFont val="Segoe UI"/>
            <family val="2"/>
          </rPr>
          <t xml:space="preserve">
1-Unidade Localização
</t>
        </r>
      </text>
    </comment>
    <comment ref="D1177" authorId="3" shapeId="0" xr:uid="{00000000-0006-0000-0100-000039060000}">
      <text>
        <r>
          <rPr>
            <sz val="9"/>
            <color indexed="81"/>
            <rFont val="Segoe UI"/>
            <family val="2"/>
          </rPr>
          <t xml:space="preserve">
1-Situação
2-CMD
3-MSG</t>
        </r>
      </text>
    </comment>
    <comment ref="E1177" authorId="3" shapeId="0" xr:uid="{00000000-0006-0000-0100-00003A060000}">
      <text>
        <r>
          <rPr>
            <sz val="9"/>
            <color indexed="81"/>
            <rFont val="Segoe UI"/>
            <family val="2"/>
          </rPr>
          <t xml:space="preserve">
1-Unidade Localização
</t>
        </r>
      </text>
    </comment>
    <comment ref="D1178" authorId="3" shapeId="0" xr:uid="{00000000-0006-0000-0100-00003B060000}">
      <text>
        <r>
          <rPr>
            <sz val="9"/>
            <color indexed="81"/>
            <rFont val="Segoe UI"/>
            <family val="2"/>
          </rPr>
          <t xml:space="preserve">
1-Situação
2-CMD
3-MSG</t>
        </r>
      </text>
    </comment>
    <comment ref="E1178" authorId="3" shapeId="0" xr:uid="{00000000-0006-0000-0100-00003C060000}">
      <text>
        <r>
          <rPr>
            <sz val="9"/>
            <color indexed="81"/>
            <rFont val="Segoe UI"/>
            <family val="2"/>
          </rPr>
          <t xml:space="preserve">
1-Unidade Localização
</t>
        </r>
      </text>
    </comment>
    <comment ref="D1179" authorId="3" shapeId="0" xr:uid="{00000000-0006-0000-0100-00003D060000}">
      <text>
        <r>
          <rPr>
            <sz val="9"/>
            <color indexed="81"/>
            <rFont val="Segoe UI"/>
            <family val="2"/>
          </rPr>
          <t xml:space="preserve">
1-Situação
2-CMD
3-MSG</t>
        </r>
      </text>
    </comment>
    <comment ref="E1179" authorId="3" shapeId="0" xr:uid="{00000000-0006-0000-0100-00003E060000}">
      <text>
        <r>
          <rPr>
            <sz val="9"/>
            <color indexed="81"/>
            <rFont val="Segoe UI"/>
            <family val="2"/>
          </rPr>
          <t xml:space="preserve">
1-Unidade Localização
</t>
        </r>
      </text>
    </comment>
    <comment ref="D1183" authorId="3" shapeId="0" xr:uid="{00000000-0006-0000-0100-00003F060000}">
      <text>
        <r>
          <rPr>
            <sz val="9"/>
            <color indexed="81"/>
            <rFont val="Segoe UI"/>
            <family val="2"/>
          </rPr>
          <t xml:space="preserve">
1-Unidade de localização vinculada
2-responsável
3-situação
4-codigo
5-sigla
6-data cadastro
7-CMD
8-MSG</t>
        </r>
      </text>
    </comment>
    <comment ref="E1183" authorId="3" shapeId="0" xr:uid="{00000000-0006-0000-0100-000040060000}">
      <text>
        <r>
          <rPr>
            <sz val="9"/>
            <color indexed="81"/>
            <rFont val="Segoe UI"/>
            <family val="2"/>
          </rPr>
          <t xml:space="preserve">
1-Unidade Localização
2-Servidor
</t>
        </r>
      </text>
    </comment>
    <comment ref="D1184" authorId="3" shapeId="0" xr:uid="{00000000-0006-0000-0100-000041060000}">
      <text>
        <r>
          <rPr>
            <sz val="9"/>
            <color indexed="81"/>
            <rFont val="Segoe UI"/>
            <family val="2"/>
          </rPr>
          <t xml:space="preserve">
1-Unidade de localização vinculada
2-sigla
3-responsável
4-Matricula 
5-Email 
6-OBS
7-Responsável
8-Data cadastro
9-Imagem da ULV
10-CMD
11-MSG
</t>
        </r>
      </text>
    </comment>
    <comment ref="E1184" authorId="3" shapeId="0" xr:uid="{00000000-0006-0000-0100-000042060000}">
      <text>
        <r>
          <rPr>
            <sz val="9"/>
            <color indexed="81"/>
            <rFont val="Segoe UI"/>
            <family val="2"/>
          </rPr>
          <t xml:space="preserve">
1-Unidade Localização
2-Servidor
</t>
        </r>
      </text>
    </comment>
    <comment ref="D1185" authorId="3" shapeId="0" xr:uid="{00000000-0006-0000-0100-000043060000}">
      <text>
        <r>
          <rPr>
            <sz val="9"/>
            <color indexed="81"/>
            <rFont val="Segoe UI"/>
            <family val="2"/>
          </rPr>
          <t xml:space="preserve">
1-Unidade de localização vinculada
2-sigla
3-responsável
4-Matricula 
5-Email 
6-OBS
7-Responsável
8-Data cadastro
9-Imagem da ULV
10-CMD
11-MSG
</t>
        </r>
      </text>
    </comment>
    <comment ref="E1185" authorId="3" shapeId="0" xr:uid="{00000000-0006-0000-0100-000044060000}">
      <text>
        <r>
          <rPr>
            <sz val="9"/>
            <color indexed="81"/>
            <rFont val="Segoe UI"/>
            <family val="2"/>
          </rPr>
          <t xml:space="preserve">
1-Unidade Localização
2-Servidor
</t>
        </r>
      </text>
    </comment>
    <comment ref="D1186" authorId="3" shapeId="0" xr:uid="{00000000-0006-0000-0100-000045060000}">
      <text>
        <r>
          <rPr>
            <sz val="9"/>
            <color indexed="81"/>
            <rFont val="Segoe UI"/>
            <family val="2"/>
          </rPr>
          <t xml:space="preserve">
1-Unidade de localização vinculada
2-sigla
3-responsável
4-Matricula 
5-Email 
6-OBS
7-Responsável
8-Data cadastro
9-Imagem da ULV
10-CMD
11-MSG
</t>
        </r>
      </text>
    </comment>
    <comment ref="E1186" authorId="3" shapeId="0" xr:uid="{00000000-0006-0000-0100-000046060000}">
      <text>
        <r>
          <rPr>
            <sz val="9"/>
            <color indexed="81"/>
            <rFont val="Segoe UI"/>
            <family val="2"/>
          </rPr>
          <t xml:space="preserve">
1-Unidade Localização
2-Servidor
</t>
        </r>
      </text>
    </comment>
    <comment ref="D1187" authorId="3" shapeId="0" xr:uid="{00000000-0006-0000-0100-000047060000}">
      <text>
        <r>
          <rPr>
            <sz val="9"/>
            <color indexed="81"/>
            <rFont val="Segoe UI"/>
            <family val="2"/>
          </rPr>
          <t xml:space="preserve">
1-Unidade de localização vinculada
2-sigla
3-responsável
4-Matricula 
5-Email 
6-OBS
7-Responsável
8-Data cadastro
9-Imagem da ULV
10-CMD
11-MSG
</t>
        </r>
      </text>
    </comment>
    <comment ref="E1187" authorId="3" shapeId="0" xr:uid="{00000000-0006-0000-0100-000048060000}">
      <text>
        <r>
          <rPr>
            <sz val="9"/>
            <color indexed="81"/>
            <rFont val="Segoe UI"/>
            <family val="2"/>
          </rPr>
          <t xml:space="preserve">
1-Unidade Localização
2-Servidor
</t>
        </r>
      </text>
    </comment>
    <comment ref="D1188" authorId="3" shapeId="0" xr:uid="{00000000-0006-0000-0100-000049060000}">
      <text>
        <r>
          <rPr>
            <sz val="9"/>
            <color indexed="81"/>
            <rFont val="Segoe UI"/>
            <family val="2"/>
          </rPr>
          <t xml:space="preserve">
1-Codigo
2-CMD
3-MSG</t>
        </r>
      </text>
    </comment>
    <comment ref="E1188" authorId="3" shapeId="0" xr:uid="{00000000-0006-0000-0100-00004A060000}">
      <text>
        <r>
          <rPr>
            <sz val="9"/>
            <color indexed="81"/>
            <rFont val="Segoe UI"/>
            <family val="2"/>
          </rPr>
          <t xml:space="preserve">
1-Unidade Localização
</t>
        </r>
      </text>
    </comment>
    <comment ref="D1191" authorId="3" shapeId="0" xr:uid="{00000000-0006-0000-0100-00004B060000}">
      <text>
        <r>
          <rPr>
            <sz val="9"/>
            <color indexed="81"/>
            <rFont val="Segoe UI"/>
            <family val="2"/>
          </rPr>
          <t xml:space="preserve">
1 -Numero iventario 
2 -Orgão
3 -unidade gestora
4 -modalidade 
5 -Exercicio
6 -data abertura ini
7 -prazo de conclusão 
8 -oficio
9 -Responsavel
10-data cadastro 
11-situacao 
12-ID
13-Data cancelamento
14-Usuario cancelamento
15-Motivo
16. Usuário Inventariante
17. Data e hora Inventariante
18. Tipo assinatura Inventariante
19. Código verificador Inventariante
20. Códico crc Inventariante
21. Usuário RP
22. Data e hora RP
23. Tipo assinatura RP
24. Código verificador RP
25. Códico crc RP
26-Unidade Orçamentária
27 - IDEN_UO_FIPLAN
28 - IDEN_UG_FIPLAN
29 - FLAG_ORGAO_DIVERGENTE</t>
        </r>
      </text>
    </comment>
    <comment ref="E1191" authorId="3" shapeId="0" xr:uid="{00000000-0006-0000-0100-00004C060000}">
      <text>
        <r>
          <rPr>
            <sz val="9"/>
            <color indexed="81"/>
            <rFont val="Segoe UI"/>
            <family val="2"/>
          </rPr>
          <t xml:space="preserve">
1-Iventário de Bens móveis 
</t>
        </r>
      </text>
    </comment>
    <comment ref="D1192" authorId="3" shapeId="0" xr:uid="{00000000-0006-0000-0100-00004D060000}">
      <text>
        <r>
          <rPr>
            <sz val="9"/>
            <color indexed="81"/>
            <rFont val="Segoe UI"/>
            <family val="2"/>
          </rPr>
          <t>1 - Exercício
2 - Orgão
3 - Unidade Orçamentáriaa
4 - Unidade gestora
5 - Inventário
6 - Modalidade 
7 - data abertura ini
8 - data abertura fim
9 - prazo de conclusão 
10 - CMD
11 - MSG</t>
        </r>
      </text>
    </comment>
    <comment ref="E1192" authorId="3" shapeId="0" xr:uid="{00000000-0006-0000-0100-00004E060000}">
      <text>
        <r>
          <rPr>
            <sz val="9"/>
            <color indexed="81"/>
            <rFont val="Segoe UI"/>
            <family val="2"/>
          </rPr>
          <t xml:space="preserve">
1-Iventário de Bens móveis 
2-Orgão 
3-Usuario
4-Unidade Orçamentária FIPLAN</t>
        </r>
      </text>
    </comment>
    <comment ref="D1193" authorId="3" shapeId="0" xr:uid="{00000000-0006-0000-0100-00004F060000}">
      <text>
        <r>
          <rPr>
            <sz val="9"/>
            <color indexed="81"/>
            <rFont val="Segoe UI"/>
            <family val="2"/>
          </rPr>
          <t>1 - Numero inventario
2 - Parâmetro / Modalidade
3 - Exercício
4 - Oficio
5 - data abertura
6 - prazo de conclusão 
7 - Orgão
8 - situacao
9 - data cadastro
10 - Unidade Orçamentária
11 - unidade gestora
12 - Responsavel
13 - CMD
14 - MSG</t>
        </r>
      </text>
    </comment>
    <comment ref="E1193" authorId="3" shapeId="0" xr:uid="{00000000-0006-0000-0100-000050060000}">
      <text>
        <r>
          <rPr>
            <sz val="9"/>
            <color indexed="81"/>
            <rFont val="Segoe UI"/>
            <family val="2"/>
          </rPr>
          <t xml:space="preserve">
1-Iventário de Bens móveis 
2-Orgão 
3-Usuario
4-Unidade Orçamentária FIPLAN</t>
        </r>
      </text>
    </comment>
    <comment ref="D1194" authorId="3" shapeId="0" xr:uid="{6B295AC0-5A21-419A-B4F2-C3D0AC96D567}">
      <text>
        <r>
          <rPr>
            <sz val="9"/>
            <color indexed="81"/>
            <rFont val="Segoe UI"/>
            <family val="2"/>
          </rPr>
          <t>1 - Numero inventario
2 - Parâmetro / Modalidade
3 - Exercício
4 - Oficio
5 - data abertura
6 - prazo de conclusão 
7 - Orgão
8 - situacao
9 - data cadastro
10 - Unidade Orçamentária
11 - unidade gestora
12 - Responsavel
13 - CMD
14 - MSG</t>
        </r>
      </text>
    </comment>
    <comment ref="E1194" authorId="3" shapeId="0" xr:uid="{00000000-0006-0000-0100-000052060000}">
      <text>
        <r>
          <rPr>
            <sz val="9"/>
            <color indexed="81"/>
            <rFont val="Segoe UI"/>
            <family val="2"/>
          </rPr>
          <t xml:space="preserve">
1-Iventário de Bens móveis 
2-Orgão 
3-Usuario
4-Unidade Orçamentária FIPLAN</t>
        </r>
      </text>
    </comment>
    <comment ref="D1195" authorId="3" shapeId="0" xr:uid="{6FE6C363-6C35-4225-B96D-5610F8263586}">
      <text>
        <r>
          <rPr>
            <sz val="9"/>
            <color indexed="81"/>
            <rFont val="Segoe UI"/>
            <family val="2"/>
          </rPr>
          <t xml:space="preserve">1 - Numero inventario
2 - Parâmetro / Modalidade
3 - Exercício
4 - Oficio
5 - data abertura
6 - prazo de conclusão 
7 - Orgão
8 - situacao
9 - data cadastro
10 - Unidade Orçamentária
11 - unidade gestora
12 - Responsavel
</t>
        </r>
      </text>
    </comment>
    <comment ref="E1195" authorId="3" shapeId="0" xr:uid="{00000000-0006-0000-0100-000054060000}">
      <text>
        <r>
          <rPr>
            <sz val="9"/>
            <color indexed="81"/>
            <rFont val="Segoe UI"/>
            <family val="2"/>
          </rPr>
          <t xml:space="preserve">
1-Iventário de Bens móveis 
2-Orgão 
3-Usuario
4-Unidade Orçamentária FIPLAN</t>
        </r>
      </text>
    </comment>
    <comment ref="D1196" authorId="3" shapeId="0" xr:uid="{291B82AE-EAF9-41B8-92A7-8F9BB6E8E7FB}">
      <text>
        <r>
          <rPr>
            <sz val="9"/>
            <color indexed="81"/>
            <rFont val="Segoe UI"/>
            <family val="2"/>
          </rPr>
          <t>1 - Numero inventario
2 - Parâmetro / Modalidade
3 - Exercício
4 - Oficio
5 - data abertura
6 - prazo de conclusão 
7 - Orgão
8 - situacao
9 - data cadastro
10 - Unidade Orçamentária
11 - unidade gestora
12 - Responsavel
13 - CMD
14 - MSG</t>
        </r>
      </text>
    </comment>
    <comment ref="E1196" authorId="3" shapeId="0" xr:uid="{00000000-0006-0000-0100-000056060000}">
      <text>
        <r>
          <rPr>
            <sz val="9"/>
            <color indexed="81"/>
            <rFont val="Segoe UI"/>
            <family val="2"/>
          </rPr>
          <t xml:space="preserve">
1-Iventário de Bens móveis 
2-Orgão 
3-Usuario
4-Unidade Orçamentária FIPLAN</t>
        </r>
      </text>
    </comment>
    <comment ref="D1197" authorId="3" shapeId="0" xr:uid="{00000000-0006-0000-0100-000057060000}">
      <text>
        <r>
          <rPr>
            <sz val="9"/>
            <color indexed="81"/>
            <rFont val="Segoe UI"/>
            <family val="2"/>
          </rPr>
          <t xml:space="preserve">
1-Codigo
2-CMD
3-MSG</t>
        </r>
      </text>
    </comment>
    <comment ref="E1197" authorId="3" shapeId="0" xr:uid="{00000000-0006-0000-0100-000058060000}">
      <text>
        <r>
          <rPr>
            <sz val="9"/>
            <color indexed="81"/>
            <rFont val="Segoe UI"/>
            <family val="2"/>
          </rPr>
          <t xml:space="preserve">
1-Iventário de Bens móveis 
</t>
        </r>
      </text>
    </comment>
    <comment ref="D1198" authorId="3" shapeId="0" xr:uid="{00000000-0006-0000-0100-000059060000}">
      <text>
        <r>
          <rPr>
            <sz val="9"/>
            <color indexed="81"/>
            <rFont val="Segoe UI"/>
            <family val="2"/>
          </rPr>
          <t>01 - Data
02 - usuario
03 - Motivo
04 - CMD
05 - MSG</t>
        </r>
      </text>
    </comment>
    <comment ref="E1198" authorId="3" shapeId="0" xr:uid="{00000000-0006-0000-0100-00005A060000}">
      <text>
        <r>
          <rPr>
            <sz val="9"/>
            <color indexed="81"/>
            <rFont val="Segoe UI"/>
            <family val="2"/>
          </rPr>
          <t xml:space="preserve">
1-Parametro
</t>
        </r>
      </text>
    </comment>
    <comment ref="D1201" authorId="3" shapeId="0" xr:uid="{00000000-0006-0000-0100-00005B060000}">
      <text>
        <r>
          <rPr>
            <sz val="9"/>
            <color indexed="81"/>
            <rFont val="Segoe UI"/>
            <family val="2"/>
          </rPr>
          <t xml:space="preserve">
1 -n° inventário
2 -órgão/unidade gestora
3 -modalidade
4 -exercício
5 -prazo de conclusão
6 -data abertura
7 -data notificado a comissão
8 -data definição de sub comissão
9 -data inicio de levantamento físico
10-data consolidação
11-% ul's concluidas
12-% ul's concluidas
13-% ul's pendentes
14-% ul's em andamento
15-% ul's não iniciadas
16-CMD</t>
        </r>
      </text>
    </comment>
    <comment ref="E1201" authorId="3" shapeId="0" xr:uid="{00000000-0006-0000-0100-00005C060000}">
      <text>
        <r>
          <rPr>
            <sz val="9"/>
            <color indexed="81"/>
            <rFont val="Segoe UI"/>
            <family val="2"/>
          </rPr>
          <t xml:space="preserve">
1-Inventário de Bens móveis 
2-Orgão 
</t>
        </r>
      </text>
    </comment>
    <comment ref="D1204" authorId="3" shapeId="0" xr:uid="{7EC4B816-7595-4522-8764-498F349BCE75}">
      <text>
        <r>
          <rPr>
            <sz val="9"/>
            <color indexed="81"/>
            <rFont val="Segoe UI"/>
            <family val="2"/>
          </rPr>
          <t xml:space="preserve">
1 -matricula
2 -Nome 
3 -CPF
4 -Email 
5 -Tipo 
6 -portaria
7 -Data 
8 -Arquivo
9 -Status
10-resp cadastro
11-Data
12-Justificativa
13-ID
14-        IDEN_UO_FIPLAN 
 15-       IDEN_TIPO_MOVIMENTACAO </t>
        </r>
      </text>
    </comment>
    <comment ref="E1204" authorId="3" shapeId="0" xr:uid="{D3665097-B8E2-488E-AB21-9A59018F5F60}">
      <text>
        <r>
          <rPr>
            <sz val="9"/>
            <color indexed="81"/>
            <rFont val="Segoe UI"/>
            <family val="2"/>
          </rPr>
          <t xml:space="preserve">
1-Comissão Inventariante
2-Notificação</t>
        </r>
      </text>
    </comment>
    <comment ref="D1205" authorId="3" shapeId="0" xr:uid="{00000000-0006-0000-0100-00005F060000}">
      <text>
        <r>
          <rPr>
            <sz val="9"/>
            <color indexed="81"/>
            <rFont val="Segoe UI"/>
            <family val="2"/>
          </rPr>
          <t xml:space="preserve">
1 -Nome 
2 -matricula
3 -CPF
4 -portaria
5 -data 
6 -tipo
7 -status
8 -resp inclusão
9 -data cadastro
10-CMD
11-MSG</t>
        </r>
      </text>
    </comment>
    <comment ref="E1205" authorId="3" shapeId="0" xr:uid="{00000000-0006-0000-0100-000060060000}">
      <text>
        <r>
          <rPr>
            <sz val="9"/>
            <color indexed="81"/>
            <rFont val="Segoe UI"/>
            <family val="2"/>
          </rPr>
          <t xml:space="preserve">
1-Comissão Inventariante
2-Servidor </t>
        </r>
      </text>
    </comment>
    <comment ref="D1206" authorId="3" shapeId="0" xr:uid="{73B304C2-BE9A-4FDB-9954-F788663FDE8D}">
      <text>
        <r>
          <rPr>
            <sz val="9"/>
            <color indexed="81"/>
            <rFont val="Segoe UI"/>
            <family val="2"/>
          </rPr>
          <t xml:space="preserve">
1 -matricula
2 -Nome 
3 -CPF
4 -Email 
5 -Tipo 
6 -portaria
7 -Data 
8 -Arquivo
9 -Status
10-resp cadastro
11-Data
12-Justificativa
13-CMD
14-MSG</t>
        </r>
      </text>
    </comment>
    <comment ref="E1206" authorId="3" shapeId="0" xr:uid="{53D1A813-46A4-47CB-A09C-34A41C9545D6}">
      <text>
        <r>
          <rPr>
            <sz val="9"/>
            <color indexed="81"/>
            <rFont val="Segoe UI"/>
            <family val="2"/>
          </rPr>
          <t xml:space="preserve">
1-Comissão Inventariante
2-Servidor 
3-Iventário de Bens móveis </t>
        </r>
      </text>
    </comment>
    <comment ref="D1207" authorId="3" shapeId="0" xr:uid="{00000000-0006-0000-0100-000063060000}">
      <text>
        <r>
          <rPr>
            <sz val="9"/>
            <color indexed="81"/>
            <rFont val="Segoe UI"/>
            <family val="2"/>
          </rPr>
          <t xml:space="preserve">
1 -matricula
2 -Nome 
3 -CPF
4 -Email 
5 -Tipo 
6 -portaria
7 -Data 
8 -Arquivo
9 -Status
10-resp cadastro
11-Data
12-Justificativa
13-CMD
14-MSG</t>
        </r>
      </text>
    </comment>
    <comment ref="E1207" authorId="3" shapeId="0" xr:uid="{00000000-0006-0000-0100-000064060000}">
      <text>
        <r>
          <rPr>
            <sz val="9"/>
            <color indexed="81"/>
            <rFont val="Segoe UI"/>
            <family val="2"/>
          </rPr>
          <t xml:space="preserve">
1-Comissão Inventariante
2-Servidor 
3-Iventário de Bens móveis </t>
        </r>
      </text>
    </comment>
    <comment ref="D1208" authorId="3" shapeId="0" xr:uid="{00000000-0006-0000-0100-000065060000}">
      <text>
        <r>
          <rPr>
            <sz val="9"/>
            <color indexed="81"/>
            <rFont val="Segoe UI"/>
            <family val="2"/>
          </rPr>
          <t xml:space="preserve">
1 -matricula
2 -Nome 
3 -CPF
4 -Email 
5 -Tipo 
6 -portaria
7 -Data 
8 -Arquivo
9 -Status
10-resp cadastro
11-Data
12-Justificativa</t>
        </r>
      </text>
    </comment>
    <comment ref="E1208" authorId="3" shapeId="0" xr:uid="{00000000-0006-0000-0100-000066060000}">
      <text>
        <r>
          <rPr>
            <sz val="9"/>
            <color indexed="81"/>
            <rFont val="Segoe UI"/>
            <family val="2"/>
          </rPr>
          <t xml:space="preserve">
1-Comissão Inventariante
2-Servidor </t>
        </r>
      </text>
    </comment>
    <comment ref="D1209" authorId="3" shapeId="0" xr:uid="{00000000-0006-0000-0100-000067060000}">
      <text>
        <r>
          <rPr>
            <sz val="9"/>
            <color indexed="81"/>
            <rFont val="Segoe UI"/>
            <family val="2"/>
          </rPr>
          <t xml:space="preserve">
1 -matricula
2 -Nome 
3 -CPF
4 -Email 
5 -Tipo 
6 -portaria
7 -Data 
8 -Arquivo
9 -Status
10-resp cadastro
11-Data
12-Justificativa
13-CMD
14-MSG</t>
        </r>
      </text>
    </comment>
    <comment ref="E1209" authorId="3" shapeId="0" xr:uid="{00000000-0006-0000-0100-000068060000}">
      <text>
        <r>
          <rPr>
            <sz val="9"/>
            <color indexed="81"/>
            <rFont val="Segoe UI"/>
            <family val="2"/>
          </rPr>
          <t xml:space="preserve">
1-Comissão Inventariante
2-Servidor </t>
        </r>
      </text>
    </comment>
    <comment ref="D1210" authorId="3" shapeId="0" xr:uid="{00000000-0006-0000-0100-000069060000}">
      <text>
        <r>
          <rPr>
            <sz val="9"/>
            <color indexed="81"/>
            <rFont val="Segoe UI"/>
            <family val="2"/>
          </rPr>
          <t xml:space="preserve">
1-Codigo
2-CMD
3-MSG</t>
        </r>
      </text>
    </comment>
    <comment ref="E1210" authorId="3" shapeId="0" xr:uid="{00000000-0006-0000-0100-00006A060000}">
      <text>
        <r>
          <rPr>
            <sz val="9"/>
            <color indexed="81"/>
            <rFont val="Segoe UI"/>
            <family val="2"/>
          </rPr>
          <t xml:space="preserve">
1-Comissão Inventariante</t>
        </r>
      </text>
    </comment>
    <comment ref="D1213" authorId="3" shapeId="0" xr:uid="{C38EDE22-91A7-4484-8607-CA73E9E8990B}">
      <text>
        <r>
          <rPr>
            <sz val="9"/>
            <color indexed="81"/>
            <rFont val="Segoe UI"/>
            <family val="2"/>
          </rPr>
          <t xml:space="preserve">
1 -Destinatário
2 -Assunto
3 -Anexo
4 -Numero iventario
5 -exercicio
6 -orgão
7 -UO
8 -UG 
9 -modalidade 
10-Oficio  
11-data abertura
12-prazo
13-oficio
14-data notificação
15-matricula
16-nome 
17-CPF
18-portaria
19-data portaria
20-tipo
21-Texto complementar
22-CMD
23-MSG</t>
        </r>
      </text>
    </comment>
    <comment ref="E1213" authorId="3" shapeId="0" xr:uid="{F1B8BDD9-14A2-4F62-A003-5EF049F88E82}">
      <text>
        <r>
          <rPr>
            <sz val="9"/>
            <color indexed="81"/>
            <rFont val="Segoe UI"/>
            <family val="2"/>
          </rPr>
          <t xml:space="preserve">
1-Inventário de Bens móveis 
2-Orgão 
3-Servidor
4-Comissão Inventariante 
5-Parametro</t>
        </r>
      </text>
    </comment>
    <comment ref="D1214" authorId="3" shapeId="0" xr:uid="{E11ECD18-784D-443B-A0A6-A1B679C9EACB}">
      <text>
        <r>
          <rPr>
            <sz val="9"/>
            <color indexed="81"/>
            <rFont val="Segoe UI"/>
            <family val="2"/>
          </rPr>
          <t xml:space="preserve">
1 -Destinatário
2 -Assunto
3 -Anexo
4 -Numero iventario
5 -exercicio
6 -orgão
7 -UO
8 -UG 
9 -modalidade 
10-Oficio  
11-data abertura
12-prazo
13-oficio
14-data notificação
15-matricula
16-nome 
17-CPF
18-portaria
19-data portaria
20-tipo
21-Texto complementar
22-CMD
23-MSG</t>
        </r>
      </text>
    </comment>
    <comment ref="E1214" authorId="3" shapeId="0" xr:uid="{DAE2A237-CA27-4110-AE92-8D85E620A4C3}">
      <text>
        <r>
          <rPr>
            <sz val="9"/>
            <color indexed="81"/>
            <rFont val="Segoe UI"/>
            <family val="2"/>
          </rPr>
          <t xml:space="preserve">
1-Inventário de Bens móveis 
2-Orgão 
3-Servidor
4-Comissão Inventariante 
5-Parametro</t>
        </r>
      </text>
    </comment>
    <comment ref="D1217" authorId="3" shapeId="0" xr:uid="{00000000-0006-0000-0100-00006F060000}">
      <text>
        <r>
          <rPr>
            <sz val="9"/>
            <color indexed="81"/>
            <rFont val="Segoe UI"/>
            <family val="2"/>
          </rPr>
          <t xml:space="preserve">
1-Matricula
2-Inventariante 
3-Email 
4-Status
5-Resp Inclusão
6-Data Cadastro
7-Justificaiva 
8-ID</t>
        </r>
      </text>
    </comment>
    <comment ref="E1217" authorId="3" shapeId="0" xr:uid="{00000000-0006-0000-0100-000070060000}">
      <text>
        <r>
          <rPr>
            <sz val="9"/>
            <color indexed="81"/>
            <rFont val="Segoe UI"/>
            <family val="2"/>
          </rPr>
          <t xml:space="preserve">
1-Inventariante designado da ul</t>
        </r>
      </text>
    </comment>
    <comment ref="D1218" authorId="3" shapeId="0" xr:uid="{00000000-0006-0000-0100-000071060000}">
      <text>
        <r>
          <rPr>
            <sz val="9"/>
            <color indexed="81"/>
            <rFont val="Segoe UI"/>
            <family val="2"/>
          </rPr>
          <t xml:space="preserve">
1 -situação Pendente
2 -nº inventário ul Pendente
3 -unidade de localização Pendente 
4 -tipo de unidade Pendente
5 -responsável ul Pendente
6 -unidade adm Pendente
7 -imóvel de localização Pendente
8 -município Pendente
9 -inventariante designado Pendente
10-situação Em andamento
11-nº inventário ul Em andamento
12-unidade de localização Em andamento
13-tipo de unidade Em andamento
14-responsável ul Em andamento
15-unidade adm  Em andamento
16-imóvel de localização Em andamento
17-município Em andamento
18-inventariante designado Em andamento
19-situação Concluído/Finalizado
20-nº inventário ul Concluído/Finalizado
21-unidade de localização  Concluído/Finalizado
22-tipo de unidade Concluído/Finalizado
23-responsável ul Concluído/Finalizado
24-unidade adm  Concluído/Finalizado
25-imóvel de localização  Concluído/Finalizado
26-município  Concluído/Finalizado
27-inventariante designado Concluído/Finalizado
28-CMD
29-MSG</t>
        </r>
      </text>
    </comment>
    <comment ref="E1218" authorId="3" shapeId="0" xr:uid="{00000000-0006-0000-0100-000072060000}">
      <text>
        <r>
          <rPr>
            <sz val="9"/>
            <color indexed="81"/>
            <rFont val="Segoe UI"/>
            <family val="2"/>
          </rPr>
          <t xml:space="preserve">
1-Inventariante designado da ul
2-Servidor
3-Unidades de localização </t>
        </r>
      </text>
    </comment>
    <comment ref="D1219" authorId="3" shapeId="0" xr:uid="{00000000-0006-0000-0100-000073060000}">
      <text>
        <r>
          <rPr>
            <sz val="10"/>
            <rFont val="Arial"/>
            <family val="2"/>
          </rPr>
          <t xml:space="preserve">
1 -situação Pendente
2 -nº inventário ul Pendente
3 -unidade de localização Pendente 
4 -tipo de unidade Pendente
5 -responsável ul Pendente
6 -unidade adm Pendente
7 -imóvel de localização Pendente
8 -município Pendente
9 -inventariante designado Pendente
10-situação Em andamento
11-nº inventário ul Em andamento
12-unidade de localização Em andamento
13-tipo de unidade Em andamento
14-responsável ul Em andamento
15-unidade adm  Em andamento
16-imóvel de localização Em andamento
17-município Em andamento
18-inventariante designado Em andamento
19-situação Concluído/Finalizado
20-nº inventário ul Concluído/Finalizado
21-unidade de localização  Concluído/Finalizado
22-tipo de unidade Concluído/Finalizado
23-responsável ul Concluído/Finalizado
24-unidade adm  Concluído/Finalizado
25-imóvel de localização  Concluído/Finalizado
26-município  Concluído/Finalizado
27-inventariante designado Concluído/Finalizado
28-Unidade de localização vinculada
29-REGISTRO PATRIMONIAL do Bem do acervo a ser inventariado
30-DESCRIÇÃO DO BEM do Bem do acervo a ser inventariado
31-IMAGEM DO BEM do Bem do acervo a ser inventariado
32-ULV do Bem do acervo a ser inventariado
33-Status do Bem
34-Detalhe 
35 - registro
36 - descrição 
37 - numero evento 
38 - tipo evento
39 - status do bem 
40 - data hora evento 
41 - usuario resp
42-CMD
43-MSG</t>
        </r>
      </text>
    </comment>
    <comment ref="E1219" authorId="3" shapeId="0" xr:uid="{00000000-0006-0000-0100-000074060000}">
      <text>
        <r>
          <rPr>
            <sz val="9"/>
            <color indexed="81"/>
            <rFont val="Segoe UI"/>
            <family val="2"/>
          </rPr>
          <t xml:space="preserve">
1-Inventariante designado da ul
2-Servidor
3-Unidades de localização 
4-Itens do Inventário Bens Móveis
5-Transferência
6-Transferência Externa
7-Baixa Patrimonial
8-Historico de eventos do bem</t>
        </r>
      </text>
    </comment>
    <comment ref="D1220" authorId="3" shapeId="0" xr:uid="{00000000-0006-0000-0100-000075060000}">
      <text>
        <r>
          <rPr>
            <sz val="9"/>
            <color indexed="81"/>
            <rFont val="Segoe UI"/>
            <family val="2"/>
          </rPr>
          <t xml:space="preserve">
1-Inventariante 
2-Matricula
3-CPF
4-Status
5-Resp Inclusão
6-Data Cadastro
7-CMD
8-MSG</t>
        </r>
      </text>
    </comment>
    <comment ref="E1220" authorId="3" shapeId="0" xr:uid="{00000000-0006-0000-0100-000076060000}">
      <text>
        <r>
          <rPr>
            <sz val="9"/>
            <color indexed="81"/>
            <rFont val="Segoe UI"/>
            <family val="2"/>
          </rPr>
          <t xml:space="preserve">
1-Inventariante designado da ul
2-Servidor</t>
        </r>
      </text>
    </comment>
    <comment ref="D1221" authorId="3" shapeId="0" xr:uid="{00000000-0006-0000-0100-000077060000}">
      <text>
        <r>
          <rPr>
            <sz val="9"/>
            <color indexed="81"/>
            <rFont val="Segoe UI"/>
            <family val="2"/>
          </rPr>
          <t xml:space="preserve">
1-Matricula
2-Inventariante 
3-Email 
4-Status
5-Resp Inclusão
6-Data Cadastro
7-Justificaiva 
8-CMD
9-MSG</t>
        </r>
      </text>
    </comment>
    <comment ref="E1221" authorId="3" shapeId="0" xr:uid="{00000000-0006-0000-0100-000078060000}">
      <text>
        <r>
          <rPr>
            <sz val="9"/>
            <color indexed="81"/>
            <rFont val="Segoe UI"/>
            <family val="2"/>
          </rPr>
          <t xml:space="preserve">
1-Inventariante designado da ul
2-Servidor
3-Unidade de Localização</t>
        </r>
      </text>
    </comment>
    <comment ref="D1222" authorId="3" shapeId="0" xr:uid="{00000000-0006-0000-0100-000079060000}">
      <text>
        <r>
          <rPr>
            <sz val="9"/>
            <color indexed="81"/>
            <rFont val="Segoe UI"/>
            <family val="2"/>
          </rPr>
          <t xml:space="preserve">
1-Matricula
2-Inventariante 
3-Email 
4-Status
5-Resp Inclusão
6-Data Cadastro
7-Justificaiva 
8-CMD
9-MSG</t>
        </r>
      </text>
    </comment>
    <comment ref="E1222" authorId="3" shapeId="0" xr:uid="{00000000-0006-0000-0100-00007A060000}">
      <text>
        <r>
          <rPr>
            <sz val="9"/>
            <color indexed="81"/>
            <rFont val="Segoe UI"/>
            <family val="2"/>
          </rPr>
          <t xml:space="preserve">
1-Inventariante designado da ul
2-Servidor</t>
        </r>
      </text>
    </comment>
    <comment ref="D1223" authorId="3" shapeId="0" xr:uid="{00000000-0006-0000-0100-00007B060000}">
      <text>
        <r>
          <rPr>
            <sz val="9"/>
            <color indexed="81"/>
            <rFont val="Segoe UI"/>
            <family val="2"/>
          </rPr>
          <t xml:space="preserve">
1-Matricula
2-Inventariante 
3-Email 
4-Status
5-Resp Inclusão
6-Data Cadastro
7-Justificaiva 
</t>
        </r>
      </text>
    </comment>
    <comment ref="E1223" authorId="3" shapeId="0" xr:uid="{00000000-0006-0000-0100-00007C060000}">
      <text>
        <r>
          <rPr>
            <sz val="9"/>
            <color indexed="81"/>
            <rFont val="Segoe UI"/>
            <family val="2"/>
          </rPr>
          <t xml:space="preserve">
1-Inventariante designado da ul
2-Servidor</t>
        </r>
      </text>
    </comment>
    <comment ref="D1224" authorId="3" shapeId="0" xr:uid="{00000000-0006-0000-0100-00007D060000}">
      <text>
        <r>
          <rPr>
            <sz val="9"/>
            <color indexed="81"/>
            <rFont val="Segoe UI"/>
            <family val="2"/>
          </rPr>
          <t xml:space="preserve">
1-Matricula
2-Inventariante 
3-Email 
4-Status
5-Resp Inclusão
6-Data Cadastro
7-Justificaiva 
8-CMD
9-MSG</t>
        </r>
      </text>
    </comment>
    <comment ref="E1224" authorId="3" shapeId="0" xr:uid="{00000000-0006-0000-0100-00007E060000}">
      <text>
        <r>
          <rPr>
            <sz val="9"/>
            <color indexed="81"/>
            <rFont val="Segoe UI"/>
            <family val="2"/>
          </rPr>
          <t xml:space="preserve">
1-Inventariante designado da ul
2-Servidor</t>
        </r>
      </text>
    </comment>
    <comment ref="D1225" authorId="3" shapeId="0" xr:uid="{00000000-0006-0000-0100-00007F060000}">
      <text>
        <r>
          <rPr>
            <sz val="9"/>
            <color indexed="81"/>
            <rFont val="Segoe UI"/>
            <family val="2"/>
          </rPr>
          <t xml:space="preserve">
1-Codigo
2-CMD
3-MSG</t>
        </r>
      </text>
    </comment>
    <comment ref="E1225" authorId="3" shapeId="0" xr:uid="{00000000-0006-0000-0100-000080060000}">
      <text>
        <r>
          <rPr>
            <sz val="9"/>
            <color indexed="81"/>
            <rFont val="Segoe UI"/>
            <family val="2"/>
          </rPr>
          <t xml:space="preserve">
1-Inventariante designado da ul</t>
        </r>
      </text>
    </comment>
    <comment ref="D1226" authorId="3" shapeId="0" xr:uid="{00000000-0006-0000-0100-000081060000}">
      <text>
        <r>
          <rPr>
            <sz val="9"/>
            <color indexed="81"/>
            <rFont val="Segoe UI"/>
            <family val="2"/>
          </rPr>
          <t>1 - Nome Imóvel
2 - Matricula
3 - RIP
4 - Observações
5 - CEP
6 - Código municipio
7 - Município
8 - UF
9 - País
10 - Distrito
11 - Zoneamento
12 - Bairro
13 - Nº
14 - Logradouro
15 - Complemento</t>
        </r>
      </text>
    </comment>
    <comment ref="E1226" authorId="3" shapeId="0" xr:uid="{00000000-0006-0000-0100-000082060000}">
      <text>
        <r>
          <rPr>
            <sz val="9"/>
            <color indexed="81"/>
            <rFont val="Segoe UI"/>
            <family val="2"/>
          </rPr>
          <t xml:space="preserve">
1-Imóvel</t>
        </r>
      </text>
    </comment>
    <comment ref="D1229" authorId="3" shapeId="0" xr:uid="{00000000-0006-0000-0100-000083060000}">
      <text>
        <r>
          <rPr>
            <sz val="9"/>
            <color indexed="81"/>
            <rFont val="Segoe UI"/>
            <family val="2"/>
          </rPr>
          <t xml:space="preserve">
1 -Registro
2 -Descrição 
3 -Codigo de barras
4 -possuir RP
5 -numero rp antigo 
6 -estado de conservação do bem
7 -Inventariante 
8 -data levantamento
9 -ID
10-Unidade de Localização Vinculada (ULV)
11-Imagem de Cadastro do Bem
12-Imagem da Placa de RP do BEM
13-Imagem do Bem Vistoriado
14-Status
15-Localizado
16-Inservível
17-Anotações do Levantamento / Justificativa
18-Cód. Variação (status atual)
19-N° RP (status atual)
20-DESCRIÇÃO DO BEM (status atual)
21-ÓRGÃO/UG (status atual)
22-UNIDADE DE LOCALIZAÇÃO (status atual)
23-RESPONSÁVEL PATRIMONIAL (status atual)
24-Flag de Divergências Encontradas - Não Cadastrado
25-Flag de Divergências Encontradas - Descrição Divergente
26-Flag de Divergências Encontradas - Órgão/UG Divergente
27-Flag de Divergências Encontradas - UL Divergente</t>
        </r>
      </text>
    </comment>
    <comment ref="E1229" authorId="3" shapeId="0" xr:uid="{00000000-0006-0000-0100-000084060000}">
      <text>
        <r>
          <rPr>
            <sz val="9"/>
            <color indexed="81"/>
            <rFont val="Segoe UI"/>
            <family val="2"/>
          </rPr>
          <t xml:space="preserve">
1-Itens do Iventário Bens Móveis
2 - Estado de Conservação do Bem</t>
        </r>
      </text>
    </comment>
    <comment ref="D1230" authorId="3" shapeId="0" xr:uid="{00000000-0006-0000-0100-000085060000}">
      <text>
        <r>
          <rPr>
            <sz val="9"/>
            <color indexed="81"/>
            <rFont val="Segoe UI"/>
            <family val="2"/>
          </rPr>
          <t xml:space="preserve">
1 -Orgão
2 -Unidade
3 -Registro
4 -Descrição 
5 -estado
6 -possuir RP
7 -Codigo de barras
8 -Inventariante 
9 -data levantamento
10- Unidade de Localização Vinculada (ULV)
11-Imagem
12-Bem Localizado
13-Status
14-CMD
15-MSG</t>
        </r>
      </text>
    </comment>
    <comment ref="E1230" authorId="3" shapeId="0" xr:uid="{00000000-0006-0000-0100-000086060000}">
      <text>
        <r>
          <rPr>
            <sz val="9"/>
            <color indexed="81"/>
            <rFont val="Segoe UI"/>
            <family val="2"/>
          </rPr>
          <t xml:space="preserve">
1-Itens do Iventário Bens Móveis
2-Servidor
3-Orgão 
4-Unidade de localização</t>
        </r>
      </text>
    </comment>
    <comment ref="D1231" authorId="3" shapeId="0" xr:uid="{00000000-0006-0000-0100-000087060000}">
      <text>
        <r>
          <rPr>
            <sz val="9"/>
            <color indexed="81"/>
            <rFont val="Segoe UI"/>
            <family val="2"/>
          </rPr>
          <t xml:space="preserve">
1 -Orgão
2 -Unidade
3 -Registro
4 -Descrição 
5 -estado
6 -possuir RP
7 -Codigo de barras
8 -Inventariante 
9 -data levantamento
10- Unidade de Localização Vinculada (ULV)
11-Imagem
12-Bem Localizado
13-Status
14-CMD
15-MSG</t>
        </r>
      </text>
    </comment>
    <comment ref="E1231" authorId="3" shapeId="0" xr:uid="{00000000-0006-0000-0100-000088060000}">
      <text>
        <r>
          <rPr>
            <sz val="9"/>
            <color indexed="81"/>
            <rFont val="Segoe UI"/>
            <family val="2"/>
          </rPr>
          <t xml:space="preserve">
1-Itens do Iventário Bens Móveis
2-Servidor
3-Orgão 
4-Unidade de localização</t>
        </r>
      </text>
    </comment>
    <comment ref="D1232" authorId="3" shapeId="0" xr:uid="{00000000-0006-0000-0100-000089060000}">
      <text>
        <r>
          <rPr>
            <sz val="9"/>
            <color indexed="81"/>
            <rFont val="Segoe UI"/>
            <family val="2"/>
          </rPr>
          <t xml:space="preserve">
1-Código
2-Descrição
3-CMD</t>
        </r>
      </text>
    </comment>
    <comment ref="E1232" authorId="3" shapeId="0" xr:uid="{00000000-0006-0000-0100-00008A060000}">
      <text>
        <r>
          <rPr>
            <sz val="9"/>
            <color indexed="81"/>
            <rFont val="Segoe UI"/>
            <family val="2"/>
          </rPr>
          <t xml:space="preserve">
1-Inventário de Bens móveis 
</t>
        </r>
      </text>
    </comment>
    <comment ref="D1233" authorId="3" shapeId="0" xr:uid="{00000000-0006-0000-0100-00008B060000}">
      <text>
        <r>
          <rPr>
            <sz val="9"/>
            <color indexed="81"/>
            <rFont val="Segoe UI"/>
            <family val="2"/>
          </rPr>
          <t xml:space="preserve">
1-Código
2-Descrição
3-Data fim
4-Flag Ativo
5-CMD</t>
        </r>
      </text>
    </comment>
    <comment ref="E1233" authorId="3" shapeId="0" xr:uid="{00000000-0006-0000-0100-00008C060000}">
      <text>
        <r>
          <rPr>
            <sz val="9"/>
            <color indexed="81"/>
            <rFont val="Segoe UI"/>
            <family val="2"/>
          </rPr>
          <t xml:space="preserve">
1-Unidades de Localização
</t>
        </r>
      </text>
    </comment>
    <comment ref="D1234" authorId="3" shapeId="0" xr:uid="{00000000-0006-0000-0100-00008D060000}">
      <text>
        <r>
          <rPr>
            <sz val="9"/>
            <color indexed="81"/>
            <rFont val="Segoe UI"/>
            <family val="2"/>
          </rPr>
          <t xml:space="preserve">
1 -Registro
2 -Descrição 
3 -Codigo de barras
4 -possuir RP
5 -numero rp antigo 
6 -estado 
7 -Inventariante 
8 -data levantamento
9-Unidade de Localização Vinculada (ULV)
10-Imagem de Cadastro do Bem
11-Imagem da Placa de RP do BEM
12-Imagem do Bem Vistoriado
13-Status
14-Bem Localizado
15-Órgão/UG
16-UL
17-Localizado
18-Inservível
19-Anotações do Levantamento / Justificativa
20-Cód. Variação (status atual)
21-N° RP (status atual)
22-DESCRIÇÃO DO BEM (status atual)
23-ÓRGÃO/UG (status atual)
24-UNIDADE DE LOCALIZAÇÃO (status atual)
25-RESPONSÁVEL PATRIMONIAL (status atual)
26-Flag de Divergências Encontradas - Não Cadastrado
27-Flag de Divergências Encontradas - Descrição Divergente
28-Flag de Divergências Encontradas - Órgão/UG Divergente
29-Flag de Divergências Encontradas - UL Divergente
30 - Flag NÃO INVENTARIADA
31 - Justificativa para não Inventariar
32-CMD
33-MSG</t>
        </r>
      </text>
    </comment>
    <comment ref="E1234" authorId="3" shapeId="0" xr:uid="{00000000-0006-0000-0100-00008E060000}">
      <text>
        <r>
          <rPr>
            <sz val="9"/>
            <color indexed="81"/>
            <rFont val="Segoe UI"/>
            <family val="2"/>
          </rPr>
          <t xml:space="preserve">
1-Itens do Iventário Bens Móveis
2-Servidor 
3-Comissão Inventariante 
4-Unidade de localização</t>
        </r>
      </text>
    </comment>
    <comment ref="D1235" authorId="3" shapeId="0" xr:uid="{00000000-0006-0000-0100-00008F060000}">
      <text>
        <r>
          <rPr>
            <sz val="9"/>
            <color indexed="81"/>
            <rFont val="Segoe UI"/>
            <family val="2"/>
          </rPr>
          <t xml:space="preserve">
1-Código
2-Descrição
3-CMD</t>
        </r>
      </text>
    </comment>
    <comment ref="E1235" authorId="3" shapeId="0" xr:uid="{00000000-0006-0000-0100-000090060000}">
      <text>
        <r>
          <rPr>
            <sz val="9"/>
            <color indexed="81"/>
            <rFont val="Segoe UI"/>
            <family val="2"/>
          </rPr>
          <t xml:space="preserve">
1-Estado de Conservação do Bem
</t>
        </r>
      </text>
    </comment>
    <comment ref="D1236" authorId="3" shapeId="0" xr:uid="{00000000-0006-0000-0100-000091060000}">
      <text>
        <r>
          <rPr>
            <sz val="9"/>
            <color indexed="81"/>
            <rFont val="Segoe UI"/>
            <family val="2"/>
          </rPr>
          <t xml:space="preserve">
1 -Registro
2 -Descrição 
3 -Codigo de barras
4 -possuir RP
5 -numero rp antigo 
6 -estado 
7 -Inventariante 
8 -data levantamento
9-Unidade de Localização Vinculada (ULV)
10-Imagem de Cadastro do Bem
11-Imagem da Placa de RP do BEM
12-Imagem do Bem Vistoriado
13-Status
14-Bem Localizado
15-Órgão/UG
16-UL
17-Localizado
18-Inservível
19-Anotações do Levantamento / Justificativa
20-Cód. Variação (status atual)
21-N° RP (status atual)
22-DESCRIÇÃO DO BEM (status atual)
23-ÓRGÃO/UG (status atual)
24-UNIDADE DE LOCALIZAÇÃO (status atual)
25-RESPONSÁVEL PATRIMONIAL (status atual)
26-Flag de Divergências Encontradas - Não Cadastrado
27-Flag de Divergências Encontradas - Descrição Divergente
28-Flag de Divergências Encontradas - Órgão/UG Divergente
29-Flag de Divergências Encontradas - UL Divergente
30 - Flag NÃO INVENTARIADA
31 - Justificativa para não Inventariar
32-CMD
33-MSG
</t>
        </r>
      </text>
    </comment>
    <comment ref="E1236" authorId="3" shapeId="0" xr:uid="{00000000-0006-0000-0100-000092060000}">
      <text>
        <r>
          <rPr>
            <sz val="9"/>
            <color indexed="81"/>
            <rFont val="Segoe UI"/>
            <family val="2"/>
          </rPr>
          <t xml:space="preserve">
1-Itens do Iventário Bens Móveis
2-Servidor 
3-Comissão Inventariante 
4-Unidade de localização</t>
        </r>
      </text>
    </comment>
    <comment ref="D1237" authorId="3" shapeId="0" xr:uid="{00000000-0006-0000-0100-000093060000}">
      <text>
        <r>
          <rPr>
            <sz val="9"/>
            <color indexed="81"/>
            <rFont val="Segoe UI"/>
            <family val="2"/>
          </rPr>
          <t xml:space="preserve">
1 -Registro
2 -Descrição 
3 -Codigo de barras
4 -possuir RP
5 -numero rp antigo 
6 -estado 
7 -Inventariante 
8 -data levantamento
9-Unidade de Localização Vinculada (ULV)
10-Imagem de Cadastro do Bem
11-Imagem da Placa de RP do BEM
12-Imagem do Bem Vistoriado
13-Status
14-Bem Localizado
15-Órgão/UG
16-UL
17-Localizado
18-Inservível
19-Anotações do Levantamento / Justificativa
20-Cód. Variação (status atual)
21-N° RP (status atual)
22-DESCRIÇÃO DO BEM (status atual)
23-ÓRGÃO/UG (status atual)
24-UNIDADE DE LOCALIZAÇÃO (status atual)
25-RESPONSÁVEL PATRIMONIAL (status atual)
26-Flag de Divergências Encontradas - Não Cadastrado
27-Flag de Divergências Encontradas - Descrição Divergente
28-Flag de Divergências Encontradas - Órgão/UG Divergente
29-Flag de Divergências Encontradas - UL Divergente
30 - Flag NÃO INVENTARIADA
31 - Justificativa para não Inventariar
</t>
        </r>
      </text>
    </comment>
    <comment ref="E1237" authorId="3" shapeId="0" xr:uid="{00000000-0006-0000-0100-000094060000}">
      <text>
        <r>
          <rPr>
            <sz val="9"/>
            <color indexed="81"/>
            <rFont val="Segoe UI"/>
            <family val="2"/>
          </rPr>
          <t xml:space="preserve">
1-Itens do Iventário Bens Móveis
2-Servidor
3-Unidade de localização</t>
        </r>
      </text>
    </comment>
    <comment ref="D1238" authorId="3" shapeId="0" xr:uid="{00000000-0006-0000-0100-000095060000}">
      <text>
        <r>
          <rPr>
            <sz val="9"/>
            <color indexed="81"/>
            <rFont val="Segoe UI"/>
            <family val="2"/>
          </rPr>
          <t xml:space="preserve">
1 -Registro
2 -Descrição 
3 -Codigo de barras
4 -possuir RP
5 -numero rp antigo 
6 -estado 
7 -Inventariante 
8 -data levantamento
9-Unidade de Localização Vinculada (ULV)
10-Imagem de Cadastro do Bem
11-Imagem da Placa de RP do BEM
12-Imagem do Bem Vistoriado
13-Status
14-Bem Localizado
15-Órgão/UG
16-UL
17-Localizado
18-Inservível
19-Anotações do Levantamento / Justificativa
20-Cód. Variação (status atual)
21-N° RP (status atual)
22-DESCRIÇÃO DO BEM (status atual)
23-ÓRGÃO/UG (status atual)
24-UNIDADE DE LOCALIZAÇÃO (status atual)
25-RESPONSÁVEL PATRIMONIAL (status atual)
26-Flag de Divergências Encontradas - Não Cadastrado
27-Flag de Divergências Encontradas - Descrição Divergente
28-Flag de Divergências Encontradas - Órgão/UG Divergente
29-Flag de Divergências Encontradas - UL Divergente
30 - Flag NÃO INVENTARIADA
31 - Justificativa para não Inventariar
32-CMD
33-MSG</t>
        </r>
      </text>
    </comment>
    <comment ref="E1238" authorId="3" shapeId="0" xr:uid="{00000000-0006-0000-0100-000096060000}">
      <text>
        <r>
          <rPr>
            <sz val="9"/>
            <color indexed="81"/>
            <rFont val="Segoe UI"/>
            <family val="2"/>
          </rPr>
          <t xml:space="preserve">
1-Itens do Iventário Bens Móveis
2-Servidor
3-Unidade de localização</t>
        </r>
      </text>
    </comment>
    <comment ref="D1239" authorId="3" shapeId="0" xr:uid="{00000000-0006-0000-0100-000097060000}">
      <text>
        <r>
          <rPr>
            <sz val="9"/>
            <color indexed="81"/>
            <rFont val="Segoe UI"/>
            <family val="2"/>
          </rPr>
          <t xml:space="preserve">
1-Codigo
2-CMD
3-MSG</t>
        </r>
      </text>
    </comment>
    <comment ref="E1239" authorId="3" shapeId="0" xr:uid="{00000000-0006-0000-0100-000098060000}">
      <text>
        <r>
          <rPr>
            <sz val="9"/>
            <color indexed="81"/>
            <rFont val="Segoe UI"/>
            <family val="2"/>
          </rPr>
          <t xml:space="preserve">
1-Inventário de Bens móveis 
</t>
        </r>
      </text>
    </comment>
    <comment ref="D1240" authorId="3" shapeId="0" xr:uid="{00000000-0006-0000-0100-000099060000}">
      <text>
        <r>
          <rPr>
            <sz val="9"/>
            <color indexed="81"/>
            <rFont val="Segoe UI"/>
            <family val="2"/>
          </rPr>
          <t xml:space="preserve">
1-Situação
2-CMD
3-MSG</t>
        </r>
      </text>
    </comment>
    <comment ref="E1240" authorId="3" shapeId="0" xr:uid="{00000000-0006-0000-0100-00009A060000}">
      <text>
        <r>
          <rPr>
            <sz val="9"/>
            <color indexed="81"/>
            <rFont val="Segoe UI"/>
            <family val="2"/>
          </rPr>
          <t xml:space="preserve">
1-Inventário de Bens móveis 
</t>
        </r>
      </text>
    </comment>
    <comment ref="D1243" authorId="5" shapeId="0" xr:uid="{00000000-0006-0000-0100-00009B060000}">
      <text>
        <r>
          <rPr>
            <sz val="9"/>
            <color indexed="81"/>
            <rFont val="Segoe UI"/>
            <family val="2"/>
          </rPr>
          <t>1. ULV
2. Responsável pela ULV
3. Situação inventário ULV
4. Código
5. Sigla ULV
6. Inventariante
7. Qtde Bens vistoriados
8. CMD
9. MSG</t>
        </r>
      </text>
    </comment>
    <comment ref="E1243" authorId="5" shapeId="0" xr:uid="{00000000-0006-0000-0100-00009C060000}">
      <text>
        <r>
          <rPr>
            <sz val="9"/>
            <color indexed="81"/>
            <rFont val="Segoe UI"/>
            <family val="2"/>
          </rPr>
          <t xml:space="preserve">1. Inventário de Bens móveis 
2. Usuário
3. Unidades de localização 
</t>
        </r>
      </text>
    </comment>
    <comment ref="D1244" authorId="3" shapeId="0" xr:uid="{00000000-0006-0000-0100-00009D060000}">
      <text>
        <r>
          <rPr>
            <sz val="9"/>
            <color indexed="81"/>
            <rFont val="Segoe UI"/>
            <family val="2"/>
          </rPr>
          <t xml:space="preserve">
1-Código
2-Descrição
3-CMD</t>
        </r>
      </text>
    </comment>
    <comment ref="E1244" authorId="3" shapeId="0" xr:uid="{00000000-0006-0000-0100-00009E060000}">
      <text>
        <r>
          <rPr>
            <sz val="9"/>
            <color indexed="81"/>
            <rFont val="Segoe UI"/>
            <family val="2"/>
          </rPr>
          <t xml:space="preserve">
1- Situação Vistoria
</t>
        </r>
      </text>
    </comment>
    <comment ref="D1245" authorId="5" shapeId="0" xr:uid="{00000000-0006-0000-0100-00009F060000}">
      <text>
        <r>
          <rPr>
            <sz val="9"/>
            <color indexed="81"/>
            <rFont val="Segoe UI"/>
            <family val="2"/>
          </rPr>
          <t>1. Unidade de localização vinculada
2. Sigla ULV
3. Responsável ULV
4. Matrícula responsável
5. E-mail responsável
6. Observações gerais
7. Status ULV
8. Imagem ULV
9. Situação Vistoria
10.CMD
11. MSG</t>
        </r>
      </text>
    </comment>
    <comment ref="E1245" authorId="5" shapeId="0" xr:uid="{00000000-0006-0000-0100-0000A0060000}">
      <text>
        <r>
          <rPr>
            <sz val="9"/>
            <color indexed="81"/>
            <rFont val="Segoe UI"/>
            <family val="2"/>
          </rPr>
          <t xml:space="preserve">1. Usuário
2. Unidades de localização 
</t>
        </r>
      </text>
    </comment>
    <comment ref="D1246" authorId="5" shapeId="0" xr:uid="{00000000-0006-0000-0100-0000A1060000}">
      <text>
        <r>
          <rPr>
            <sz val="9"/>
            <color indexed="81"/>
            <rFont val="Segoe UI"/>
            <family val="2"/>
          </rPr>
          <t>1. Unidade de localização vinculada
2. Sigla ULV
3. Responsável ULV
4. Matrícula responsável
5. E-mail responsável
6. Observações gerais
7. Status ULV
8. Imagem ULV
9.CMD
10. MSG</t>
        </r>
      </text>
    </comment>
    <comment ref="E1246" authorId="5" shapeId="0" xr:uid="{00000000-0006-0000-0100-0000A2060000}">
      <text>
        <r>
          <rPr>
            <sz val="9"/>
            <color indexed="81"/>
            <rFont val="Segoe UI"/>
            <family val="2"/>
          </rPr>
          <t xml:space="preserve">1. Usuário
2. Unidades de localização 
</t>
        </r>
      </text>
    </comment>
    <comment ref="D1247" authorId="5" shapeId="0" xr:uid="{00000000-0006-0000-0100-0000A3060000}">
      <text>
        <r>
          <rPr>
            <sz val="9"/>
            <color indexed="81"/>
            <rFont val="Segoe UI"/>
            <family val="2"/>
          </rPr>
          <t>1. Unidade de localização vinculada
2. Sigla ULV
3. Responsável ULV
4. Matrícula responsável
5. E-mail responsável
6. Observações gerais
7. Status ULV
8. Imagem ULV
9. Inventariantes
10. Situação Vistoria
11. Total Bens
12. Código Bem
13. Registro Patrimonial
14. Descrição do Bem
15. Estado de Conservação
16. Possui RP
17. ULV Bem
18. Inventariante Bem
19. Data Levantamento
20. Possui Cadastro
21. CMD
22. MSG</t>
        </r>
      </text>
    </comment>
    <comment ref="E1247" authorId="5" shapeId="0" xr:uid="{00000000-0006-0000-0100-0000A4060000}">
      <text>
        <r>
          <rPr>
            <sz val="9"/>
            <color indexed="81"/>
            <rFont val="Segoe UI"/>
            <family val="2"/>
          </rPr>
          <t xml:space="preserve">1. Usuário
2. Unidades de localização 
3. Inventário de Bens
</t>
        </r>
      </text>
    </comment>
    <comment ref="D1248" authorId="5" shapeId="0" xr:uid="{00000000-0006-0000-0100-0000A5060000}">
      <text>
        <r>
          <rPr>
            <sz val="9"/>
            <color indexed="81"/>
            <rFont val="Segoe UI"/>
            <family val="2"/>
          </rPr>
          <t>1. Registro patrimonial
2. Descrição do bem
3. Código
4. Estado de conservação
5. Possui RP
6. ULV
7. Inventariante
8. Data de levantamento
9. Possui cadastro
10. CMD
11. MSG</t>
        </r>
      </text>
    </comment>
    <comment ref="E1248" authorId="5" shapeId="0" xr:uid="{00000000-0006-0000-0100-0000A6060000}">
      <text>
        <r>
          <rPr>
            <sz val="9"/>
            <color indexed="81"/>
            <rFont val="Segoe UI"/>
            <family val="2"/>
          </rPr>
          <t xml:space="preserve">1. Usuário
2. Unidades de localização 
3. Inventário de Bens
</t>
        </r>
      </text>
    </comment>
    <comment ref="D1249" authorId="5" shapeId="0" xr:uid="{00000000-0006-0000-0100-0000A7060000}">
      <text>
        <r>
          <rPr>
            <sz val="9"/>
            <color indexed="81"/>
            <rFont val="Segoe UI"/>
            <family val="2"/>
          </rPr>
          <t>1. Inventariante
2. Situação Vistoria da ULV
3. Vistoria
4. CMD
5. MSG</t>
        </r>
      </text>
    </comment>
    <comment ref="E1249" authorId="5" shapeId="0" xr:uid="{00000000-0006-0000-0100-0000A8060000}">
      <text>
        <r>
          <rPr>
            <sz val="9"/>
            <color indexed="81"/>
            <rFont val="Segoe UI"/>
            <family val="2"/>
          </rPr>
          <t xml:space="preserve">1. Usuário
2. Unidades de localização 
3. Inventário de Bens
</t>
        </r>
      </text>
    </comment>
    <comment ref="D1252" authorId="5" shapeId="0" xr:uid="{00000000-0006-0000-0100-0000A9060000}">
      <text>
        <r>
          <rPr>
            <sz val="9"/>
            <color indexed="81"/>
            <rFont val="Segoe UI"/>
            <family val="2"/>
          </rPr>
          <t>1. Usuário
2. Senha
3. Tipo do Responsável pela Assinatura
4. Nome
5. Data e hora
6. Tipo assinatura
7. Código verificador
8. Códico crc
9. CMD
10. MSG</t>
        </r>
      </text>
    </comment>
    <comment ref="E1252" authorId="5" shapeId="0" xr:uid="{00000000-0006-0000-0100-0000AA060000}">
      <text>
        <r>
          <rPr>
            <sz val="9"/>
            <color indexed="81"/>
            <rFont val="Segoe UI"/>
            <family val="2"/>
          </rPr>
          <t xml:space="preserve">1. Inventário de Bens móveis 
2. Usuário
</t>
        </r>
      </text>
    </comment>
    <comment ref="D1253" authorId="5" shapeId="0" xr:uid="{00000000-0006-0000-0100-0000AB060000}">
      <text>
        <r>
          <rPr>
            <sz val="9"/>
            <color indexed="81"/>
            <rFont val="Segoe UI"/>
            <family val="2"/>
          </rPr>
          <t>1. Usuário
2. Senha
3. Tipo do Responsável pela Assinatura
4. Nome
5. Data e hora
6. Tipo assinatura
7. Código verificador
8. Códico crc
9. CMD
10. MSG</t>
        </r>
      </text>
    </comment>
    <comment ref="E1253" authorId="5" shapeId="0" xr:uid="{00000000-0006-0000-0100-0000AC060000}">
      <text>
        <r>
          <rPr>
            <sz val="9"/>
            <color indexed="81"/>
            <rFont val="Segoe UI"/>
            <family val="2"/>
          </rPr>
          <t xml:space="preserve">1. Inventário de Bens móveis 
2. Usuário
</t>
        </r>
      </text>
    </comment>
    <comment ref="D1256" authorId="5" shapeId="0" xr:uid="{00000000-0006-0000-0100-0000AD060000}">
      <text>
        <r>
          <rPr>
            <sz val="9"/>
            <color indexed="81"/>
            <rFont val="Segoe UI"/>
            <family val="2"/>
          </rPr>
          <t>1 - Exercício
2 - Órgão/Entidade
3 - Unidade Orçamentária
4 - Unidade Gestora
5 - Unidade Administrativa
6 - Unidade de localização
7 - Unidade de localização vinculada
8 - Registro Patrimonial
9 - Descrição
10 - Código Variação Bem
11 - Estado de conservação
12 - Tipo de Movimentação
13 - Detentor do bem 
14 - Natureza de despesa
15 - Característica
16 - Característica Exclusiva
17 - Tipo do bem
18 - Data entrada início
19 - data entrada fim 
20 - CMD
21 - MSG</t>
        </r>
      </text>
    </comment>
    <comment ref="E1256" authorId="5" shapeId="0" xr:uid="{00000000-0006-0000-0100-0000AE060000}">
      <text>
        <r>
          <rPr>
            <sz val="9"/>
            <color indexed="81"/>
            <rFont val="Segoe UI"/>
            <family val="2"/>
          </rPr>
          <t>1. Órgão
2. UL
3. Itens do Inventário Bens Móveis
4. Fornecedor (API)
5. Compra - US48
6. Variação do Material - US45
7.Unidade Orçamentária Fiplan</t>
        </r>
      </text>
    </comment>
    <comment ref="D1257" authorId="3" shapeId="0" xr:uid="{00000000-0006-0000-0100-0000AF060000}">
      <text>
        <r>
          <rPr>
            <sz val="9"/>
            <color indexed="81"/>
            <rFont val="Segoe UI"/>
            <family val="2"/>
          </rPr>
          <t xml:space="preserve">
1-Código
2-Descrição
3-CMD</t>
        </r>
      </text>
    </comment>
    <comment ref="E1257" authorId="3" shapeId="0" xr:uid="{00000000-0006-0000-0100-0000B0060000}">
      <text>
        <r>
          <rPr>
            <sz val="9"/>
            <color indexed="81"/>
            <rFont val="Segoe UI"/>
            <family val="2"/>
          </rPr>
          <t xml:space="preserve">
1- Situação Vistoria
</t>
        </r>
      </text>
    </comment>
    <comment ref="D1258" authorId="5" shapeId="0" xr:uid="{00000000-0006-0000-0100-0000B1060000}">
      <text>
        <r>
          <rPr>
            <sz val="9"/>
            <color indexed="81"/>
            <rFont val="Segoe UI"/>
            <family val="2"/>
          </rPr>
          <t>1. Cód Variação
2. Descrição/especificação do bem
3. Estado de conservação
4. Registro patrimonial
5. Status do bem
6. Nome Campo de Característica
7. Valor Campo de Característica
8. Unidade de Locação
9. responsável patrimonial
10. Nº nota de compra
11. Fornecedor
12. Cnpj fornecedor
13. Data de entrada
14. Tipo de entrada
15. Responsável compra
16. Valor unitário
17. Valor da compra
18. Imagem do bem
19. CMD
20. MSG</t>
        </r>
      </text>
    </comment>
    <comment ref="E1258" authorId="5" shapeId="0" xr:uid="{00000000-0006-0000-0100-0000B2060000}">
      <text>
        <r>
          <rPr>
            <sz val="9"/>
            <color indexed="81"/>
            <rFont val="Segoe UI"/>
            <family val="2"/>
          </rPr>
          <t>1. UL
2. Itens do Inventário Bens Móveis
3. Fornecedor (API)
4. Compra - US48
5. Variação do Material - US45
6.Unidade Orçamentária Fiplan</t>
        </r>
      </text>
    </comment>
    <comment ref="D1259" authorId="3" shapeId="0" xr:uid="{00000000-0006-0000-0100-0000B3060000}">
      <text>
        <r>
          <rPr>
            <sz val="9"/>
            <color indexed="81"/>
            <rFont val="Segoe UI"/>
            <family val="2"/>
          </rPr>
          <t xml:space="preserve">
1-Codigo
2-Descrição
3 -CMD</t>
        </r>
      </text>
    </comment>
    <comment ref="E1259" authorId="3" shapeId="0" xr:uid="{00000000-0006-0000-0100-0000B4060000}">
      <text>
        <r>
          <rPr>
            <sz val="9"/>
            <color indexed="81"/>
            <rFont val="Segoe UI"/>
            <family val="2"/>
          </rPr>
          <t xml:space="preserve">
1-Status do Bem
</t>
        </r>
      </text>
    </comment>
    <comment ref="D1260" authorId="3" shapeId="0" xr:uid="{00000000-0006-0000-0100-0000B5060000}">
      <text>
        <r>
          <rPr>
            <sz val="9"/>
            <color indexed="81"/>
            <rFont val="Segoe UI"/>
            <family val="2"/>
          </rPr>
          <t>1 - Bem
2 - Status do Bem
3 - Justificativa desfazimento da baixa
4 - Detalhe 
5 - registro
6 - descrição 
7 - numero evento 
8 - tipo evento
9 - status do bem 
10 - data hora evento 
11 - usuario resp
12-CMD
13-MSG</t>
        </r>
      </text>
    </comment>
    <comment ref="E1260" authorId="3" shapeId="0" xr:uid="{00000000-0006-0000-0100-0000B6060000}">
      <text>
        <r>
          <rPr>
            <sz val="9"/>
            <color indexed="81"/>
            <rFont val="Segoe UI"/>
            <family val="2"/>
          </rPr>
          <t xml:space="preserve">
1-Itens do Inventário Bens Móveis
2-Baixa Patrimonial
3-Historico de eventos do bem</t>
        </r>
      </text>
    </comment>
    <comment ref="D1263" authorId="5" shapeId="0" xr:uid="{00000000-0006-0000-0100-0000B7060000}">
      <text>
        <r>
          <rPr>
            <sz val="9"/>
            <color indexed="81"/>
            <rFont val="Segoe UI"/>
            <family val="2"/>
          </rPr>
          <t xml:space="preserve">1. Código verificador
2. Código crc
3. Captcha
4. Nome assinante
5. Data hora
6. CMD
7. MSG
</t>
        </r>
      </text>
    </comment>
    <comment ref="E1263" authorId="5" shapeId="0" xr:uid="{00000000-0006-0000-0100-0000B8060000}">
      <text>
        <r>
          <rPr>
            <sz val="9"/>
            <color indexed="81"/>
            <rFont val="Segoe UI"/>
            <family val="2"/>
          </rPr>
          <t xml:space="preserve">1. Inventário de Bens móveis 
2. Usuário
</t>
        </r>
      </text>
    </comment>
    <comment ref="D1266" authorId="3" shapeId="0" xr:uid="{00000000-0006-0000-0100-0000B9060000}">
      <text>
        <r>
          <rPr>
            <sz val="9"/>
            <color indexed="81"/>
            <rFont val="Segoe UI"/>
            <family val="2"/>
          </rPr>
          <t xml:space="preserve">
1-Registro patrimonial
2-Descrição
3-Estado
4-Imagem
5-Unidade Localização
6-ULV
7-Responsavel
8-Iventariarante
9-Data levantamento
10-Registro patrimonial bens não localizados
11-Descrição bens não localizados
12-Estado bens não localizados
13-Imagem bens não localizados
14-Unidade Localização bens não localizados
15-ULV bens não localizados
16-Responsavel bens não localizados
17-Iventariarante bens não localizados
18-Data levantamento bens não localizados
19-Registro patrimonial bens Avaliados
20-Descrição bens Avaliados
21-Estado bens Avaliados
22-Imagem bens Avaliados
23-Unidade Localização bens Avaliados
24-ULV bens Avaliados
25-Responsavel bens Avaliados
26-Iventariarante bens Avaliados
27-Data levantamento bens Avaliados
28-CMD
29-MSG</t>
        </r>
      </text>
    </comment>
    <comment ref="E1266" authorId="3" shapeId="0" xr:uid="{00000000-0006-0000-0100-0000BA060000}">
      <text>
        <r>
          <rPr>
            <sz val="9"/>
            <color indexed="81"/>
            <rFont val="Segoe UI"/>
            <family val="2"/>
          </rPr>
          <t xml:space="preserve">
1-Itens do Inventário Bens Móveis 
2-Inventariante designado da ul
3-Servidor
4-Unidades de localização </t>
        </r>
      </text>
    </comment>
    <comment ref="D1267" authorId="3" shapeId="0" xr:uid="{00000000-0006-0000-0100-0000BB060000}">
      <text>
        <r>
          <rPr>
            <sz val="9"/>
            <color indexed="81"/>
            <rFont val="Segoe UI"/>
            <family val="2"/>
          </rPr>
          <t xml:space="preserve">
1-Registro patrimonial
2-Descrição
3-Imagem
4-CMD
5-MSG</t>
        </r>
      </text>
    </comment>
    <comment ref="E1267" authorId="3" shapeId="0" xr:uid="{00000000-0006-0000-0100-0000BC060000}">
      <text>
        <r>
          <rPr>
            <sz val="9"/>
            <color indexed="81"/>
            <rFont val="Segoe UI"/>
            <family val="2"/>
          </rPr>
          <t xml:space="preserve">
1-Itens do Inventário Bens Móveis 
2-Inventariante designado da ul
</t>
        </r>
      </text>
    </comment>
    <comment ref="D1268" authorId="3" shapeId="0" xr:uid="{00000000-0006-0000-0100-0000BD060000}">
      <text>
        <r>
          <rPr>
            <sz val="9"/>
            <color indexed="81"/>
            <rFont val="Segoe UI"/>
            <family val="2"/>
          </rPr>
          <t xml:space="preserve">
1-Codigo
2-Possui RP
3-CMD
4-MSG</t>
        </r>
      </text>
    </comment>
    <comment ref="E1268" authorId="3" shapeId="0" xr:uid="{00000000-0006-0000-0100-0000BE060000}">
      <text>
        <r>
          <rPr>
            <sz val="9"/>
            <color indexed="81"/>
            <rFont val="Segoe UI"/>
            <family val="2"/>
          </rPr>
          <t xml:space="preserve">
1-Itens do Inventário Bens Móveis 
2-Inventariante designado da ul
</t>
        </r>
      </text>
    </comment>
    <comment ref="D1271" authorId="3" shapeId="0" xr:uid="{00000000-0006-0000-0100-0000BF060000}">
      <text>
        <r>
          <rPr>
            <sz val="9"/>
            <color indexed="81"/>
            <rFont val="Segoe UI"/>
            <family val="2"/>
          </rPr>
          <t xml:space="preserve">
1-Valor de mercado 
2-Avaliação do bem 
3-Fonte de pesquisa 
4-Codigo avaliação
5-Avaliador 
6-Data avaliação 
7-Tipo avaliação 
8-Numero iventario UL 
9-ID
</t>
        </r>
      </text>
    </comment>
    <comment ref="E1271" authorId="3" shapeId="0" xr:uid="{00000000-0006-0000-0100-0000C0060000}">
      <text>
        <r>
          <rPr>
            <sz val="9"/>
            <color indexed="81"/>
            <rFont val="Segoe UI"/>
            <family val="2"/>
          </rPr>
          <t xml:space="preserve">
1-Avaliação Inicial do Bem</t>
        </r>
      </text>
    </comment>
    <comment ref="D1272" authorId="3" shapeId="0" xr:uid="{00000000-0006-0000-0100-0000C1060000}">
      <text>
        <r>
          <rPr>
            <sz val="9"/>
            <color indexed="81"/>
            <rFont val="Segoe UI"/>
            <family val="2"/>
          </rPr>
          <t xml:space="preserve">
1-Valor de mercado 
2-Avaliação do bem 
3-Fonte de pesquisa 
4-Codigo avaliação
5-Avaliador 
6-Data avaliação 
7-Tipo avaliação 
8-Numero iventario UL 
9-CMD
10-MSG</t>
        </r>
      </text>
    </comment>
    <comment ref="E1272" authorId="3" shapeId="0" xr:uid="{00000000-0006-0000-0100-0000C2060000}">
      <text>
        <r>
          <rPr>
            <sz val="9"/>
            <color indexed="81"/>
            <rFont val="Segoe UI"/>
            <family val="2"/>
          </rPr>
          <t xml:space="preserve">
1-Itens do Inventário Bens Móveis 
2-Servidor
3-Avaliação Inicial do Bem</t>
        </r>
      </text>
    </comment>
    <comment ref="D1273" authorId="3" shapeId="0" xr:uid="{00000000-0006-0000-0100-0000C3060000}">
      <text>
        <r>
          <rPr>
            <sz val="9"/>
            <color indexed="81"/>
            <rFont val="Segoe UI"/>
            <family val="2"/>
          </rPr>
          <t xml:space="preserve">
1-Valor de mercado 
2-Avaliação do bem 
3-Fonte de pesquisa 
4-Codigo avaliação
5-Avaliador 
6-Data avaliação 
7-Tipo avaliação 
8-Numero iventario UL 
9-CMD
10-MSG</t>
        </r>
      </text>
    </comment>
    <comment ref="E1273" authorId="3" shapeId="0" xr:uid="{00000000-0006-0000-0100-0000C4060000}">
      <text>
        <r>
          <rPr>
            <sz val="9"/>
            <color indexed="81"/>
            <rFont val="Segoe UI"/>
            <family val="2"/>
          </rPr>
          <t xml:space="preserve">
1-Itens do Inventário Bens Móveis 
2-Servidor
3-Avaliação Inicial do Bem</t>
        </r>
      </text>
    </comment>
    <comment ref="D1274" authorId="3" shapeId="0" xr:uid="{00000000-0006-0000-0100-0000C5060000}">
      <text>
        <r>
          <rPr>
            <sz val="9"/>
            <color indexed="81"/>
            <rFont val="Segoe UI"/>
            <family val="2"/>
          </rPr>
          <t xml:space="preserve">
1-Registro patrimonial
2-Descrição
3-Estado
4-Imagem
5-Valor de mercado 
6-Avaliação do bem 
7-Fonte de pesquisa 
8-Codigo avaliação
9-Avaliador 
10-Data avaliação 
11-Tipo avaliação 
12-Numero iventario UL </t>
        </r>
      </text>
    </comment>
    <comment ref="E1274" authorId="3" shapeId="0" xr:uid="{00000000-0006-0000-0100-0000C6060000}">
      <text>
        <r>
          <rPr>
            <sz val="9"/>
            <color indexed="81"/>
            <rFont val="Segoe UI"/>
            <family val="2"/>
          </rPr>
          <t xml:space="preserve">
1-Itens do Inventário Bens Móveis 
2-Servidor
3-Avaliação Inicial do Bem</t>
        </r>
      </text>
    </comment>
    <comment ref="D1275" authorId="3" shapeId="0" xr:uid="{00000000-0006-0000-0100-0000C7060000}">
      <text>
        <r>
          <rPr>
            <sz val="9"/>
            <color indexed="81"/>
            <rFont val="Segoe UI"/>
            <family val="2"/>
          </rPr>
          <t xml:space="preserve">
1-Registro patrimonial
2-Descrição
3-Estado
4-Imagem
5-Valor de mercado 
6-Avaliação do bem 
7-Fonte de pesquisa 
8-Codigo avaliação
9-Avaliador 
10-Data avaliação 
11-Tipo avaliação 
12-Numero iventario UL 
13-CMD
14-MSG</t>
        </r>
      </text>
    </comment>
    <comment ref="E1275" authorId="3" shapeId="0" xr:uid="{00000000-0006-0000-0100-0000C8060000}">
      <text>
        <r>
          <rPr>
            <sz val="9"/>
            <color indexed="81"/>
            <rFont val="Segoe UI"/>
            <family val="2"/>
          </rPr>
          <t xml:space="preserve">
1-Itens do Inventário Bens Móveis 
2-Servidor
3-Avaliação Inicial do Bem</t>
        </r>
      </text>
    </comment>
    <comment ref="D1276" authorId="3" shapeId="0" xr:uid="{00000000-0006-0000-0100-0000C9060000}">
      <text>
        <r>
          <rPr>
            <sz val="9"/>
            <color indexed="81"/>
            <rFont val="Segoe UI"/>
            <family val="2"/>
          </rPr>
          <t xml:space="preserve">
1-Codigo
2-CMD
3-MSG</t>
        </r>
      </text>
    </comment>
    <comment ref="E1276" authorId="3" shapeId="0" xr:uid="{00000000-0006-0000-0100-0000CA060000}">
      <text>
        <r>
          <rPr>
            <sz val="9"/>
            <color indexed="81"/>
            <rFont val="Segoe UI"/>
            <family val="2"/>
          </rPr>
          <t xml:space="preserve">
1-Avaliação Inicial do Bem</t>
        </r>
      </text>
    </comment>
    <comment ref="D1279" authorId="3" shapeId="0" xr:uid="{00000000-0006-0000-0100-0000CB060000}">
      <text>
        <r>
          <rPr>
            <sz val="9"/>
            <color indexed="81"/>
            <rFont val="Segoe UI"/>
            <family val="2"/>
          </rPr>
          <t xml:space="preserve">
1 -Tipo
2 -Titulo 
3 -Data referencia 
4-Unidade de localização 
5-Descrição 
6-Anexo
7-Ultima alteração 
8-usuario
9-Orgão 
10-Unidade localização 
11-ID 
</t>
        </r>
      </text>
    </comment>
    <comment ref="E1279" authorId="3" shapeId="0" xr:uid="{00000000-0006-0000-0100-0000CC060000}">
      <text>
        <r>
          <rPr>
            <sz val="9"/>
            <color indexed="81"/>
            <rFont val="Segoe UI"/>
            <family val="2"/>
          </rPr>
          <t xml:space="preserve">
1-Intercorrencia e inconsistencia
2 - Tipo Intercorrência</t>
        </r>
      </text>
    </comment>
    <comment ref="D1280" authorId="3" shapeId="0" xr:uid="{00000000-0006-0000-0100-0000CD060000}">
      <text>
        <r>
          <rPr>
            <sz val="9"/>
            <color indexed="81"/>
            <rFont val="Segoe UI"/>
            <family val="2"/>
          </rPr>
          <t xml:space="preserve">
1-Orgão 
2-Unidade 
3-Descrição unidade
4-Responsável da UL
5-Responsável patrimonial 
6-Inventariante designado
7-Tipo
8-Titulo 
9-Unidade de localização 
10-Codigo 
11-Data referencia 
12-Resp cadastro
13-Ultima alteração
14-CMD 
15-MSG</t>
        </r>
      </text>
    </comment>
    <comment ref="E1280" authorId="3" shapeId="0" xr:uid="{00000000-0006-0000-0100-0000CE060000}">
      <text>
        <r>
          <rPr>
            <sz val="9"/>
            <color indexed="81"/>
            <rFont val="Segoe UI"/>
            <family val="2"/>
          </rPr>
          <t xml:space="preserve">
1-Itens do Inventário Bens Móveis 
2-Inventariante designado da ul
3-Servidor
4-Unidades de localização 
5-Intercorrencia e inconsistencia</t>
        </r>
      </text>
    </comment>
    <comment ref="D1281" authorId="3" shapeId="0" xr:uid="{00000000-0006-0000-0100-0000CF060000}">
      <text>
        <r>
          <rPr>
            <sz val="9"/>
            <color indexed="81"/>
            <rFont val="Segoe UI"/>
            <family val="2"/>
          </rPr>
          <t xml:space="preserve">
1-Tipo
2-Titulo 
3-Data referencia 
4-Unidade de localização 
5-Descrição 
6-Anexo
7-CMD 
8-MSG</t>
        </r>
      </text>
    </comment>
    <comment ref="E1281" authorId="3" shapeId="0" xr:uid="{00000000-0006-0000-0100-0000D0060000}">
      <text>
        <r>
          <rPr>
            <sz val="9"/>
            <color indexed="81"/>
            <rFont val="Segoe UI"/>
            <family val="2"/>
          </rPr>
          <t xml:space="preserve">
1-Servidor
2-Unidades de localização 
3-Intercorrencia e inconsistencia</t>
        </r>
      </text>
    </comment>
    <comment ref="D1282" authorId="3" shapeId="0" xr:uid="{00000000-0006-0000-0100-0000D1060000}">
      <text>
        <r>
          <rPr>
            <sz val="9"/>
            <color indexed="81"/>
            <rFont val="Segoe UI"/>
            <family val="2"/>
          </rPr>
          <t xml:space="preserve">
1 -Código
2-Descrição
3-CMD</t>
        </r>
      </text>
    </comment>
    <comment ref="E1282" authorId="3" shapeId="0" xr:uid="{00000000-0006-0000-0100-0000D2060000}">
      <text>
        <r>
          <rPr>
            <sz val="9"/>
            <color indexed="81"/>
            <rFont val="Segoe UI"/>
            <family val="2"/>
          </rPr>
          <t xml:space="preserve">
1-Tipo Intercorrência</t>
        </r>
      </text>
    </comment>
    <comment ref="D1283" authorId="3" shapeId="0" xr:uid="{00000000-0006-0000-0100-0000D3060000}">
      <text>
        <r>
          <rPr>
            <sz val="9"/>
            <color indexed="81"/>
            <rFont val="Segoe UI"/>
            <family val="2"/>
          </rPr>
          <t xml:space="preserve">
1-Tipo
2-Titulo 
3-Data referencia 
4-Unidade de localização 
5-Descrição 
6-Anexo
7-CMD 
8-MSG</t>
        </r>
      </text>
    </comment>
    <comment ref="E1283" authorId="3" shapeId="0" xr:uid="{00000000-0006-0000-0100-0000D4060000}">
      <text>
        <r>
          <rPr>
            <sz val="9"/>
            <color indexed="81"/>
            <rFont val="Segoe UI"/>
            <family val="2"/>
          </rPr>
          <t xml:space="preserve">
1-Servidor
2-Unidades de localização 
3-Intercorrencia e inconsistencia</t>
        </r>
      </text>
    </comment>
    <comment ref="D1284" authorId="3" shapeId="0" xr:uid="{00000000-0006-0000-0100-0000D5060000}">
      <text>
        <r>
          <rPr>
            <sz val="9"/>
            <color indexed="81"/>
            <rFont val="Segoe UI"/>
            <family val="2"/>
          </rPr>
          <t xml:space="preserve">
1-Tipo
2-Titulo 
3-Data referencia 
4-Unidade de localização 
5-Descrição 
6-Anexo
7-Ultima alteração 
8-Usuario
9-Orgão 
10-Unidade localização </t>
        </r>
      </text>
    </comment>
    <comment ref="E1284" authorId="3" shapeId="0" xr:uid="{00000000-0006-0000-0100-0000D6060000}">
      <text>
        <r>
          <rPr>
            <sz val="9"/>
            <color indexed="81"/>
            <rFont val="Segoe UI"/>
            <family val="2"/>
          </rPr>
          <t xml:space="preserve">
1-Servidor
2-Unidades de localização 
3-Intercorrencia e inconsistencia
4-Orgão</t>
        </r>
      </text>
    </comment>
    <comment ref="D1285" authorId="3" shapeId="0" xr:uid="{00000000-0006-0000-0100-0000D7060000}">
      <text>
        <r>
          <rPr>
            <sz val="9"/>
            <color indexed="81"/>
            <rFont val="Segoe UI"/>
            <family val="2"/>
          </rPr>
          <t xml:space="preserve">
1-Tipo
2-Titulo 
3-Data referencia 
4-Unidade de localização 
5-Descrição 
6-Anexo
7-Ultima alteração 
8-Usuario
9-Orgão 
10-Unidade localização 
11-CMD 
12-MSG</t>
        </r>
      </text>
    </comment>
    <comment ref="E1285" authorId="3" shapeId="0" xr:uid="{00000000-0006-0000-0100-0000D8060000}">
      <text>
        <r>
          <rPr>
            <sz val="9"/>
            <color indexed="81"/>
            <rFont val="Segoe UI"/>
            <family val="2"/>
          </rPr>
          <t xml:space="preserve">
1-Servidor
2-Unidades de localização 
3-Intercorrencia e inconsistencia
4-Orgão</t>
        </r>
      </text>
    </comment>
    <comment ref="D1286" authorId="3" shapeId="0" xr:uid="{00000000-0006-0000-0100-0000D9060000}">
      <text>
        <r>
          <rPr>
            <sz val="9"/>
            <color indexed="81"/>
            <rFont val="Segoe UI"/>
            <family val="2"/>
          </rPr>
          <t xml:space="preserve">
1-Codigo
2-CMD
3-MSG</t>
        </r>
      </text>
    </comment>
    <comment ref="E1286" authorId="3" shapeId="0" xr:uid="{00000000-0006-0000-0100-0000DA060000}">
      <text>
        <r>
          <rPr>
            <sz val="9"/>
            <color indexed="81"/>
            <rFont val="Segoe UI"/>
            <family val="2"/>
          </rPr>
          <t xml:space="preserve">
1-Intercorrencia e inconsistencia</t>
        </r>
      </text>
    </comment>
    <comment ref="D1289" authorId="3" shapeId="0" xr:uid="{00000000-0006-0000-0100-0000DB060000}">
      <text>
        <r>
          <rPr>
            <sz val="9"/>
            <color indexed="81"/>
            <rFont val="Segoe UI"/>
            <family val="2"/>
          </rPr>
          <t>1 - Unidade de Localização
2 - Órgão/UG
3 - Responsável Patrimonial da UL
4 - Inventariante
5 - Nº Inventário UL
6 - Nº Inventário
7 - Modalidade
8 - Data do Levantamento
9 - Item
10 - Registro Patrimonial
11 - Imagem
12 - Descrição
13 - Estado de Conservação
14 - Unidade Localização
15 - Inventariante
16 - Data do Levantamento
17 - Anotações do Levantamento / Justificativa
18 - Órgão/UG de Origem
19 - UL de Origem
20-CMD
291</t>
        </r>
      </text>
    </comment>
    <comment ref="E1289" authorId="3" shapeId="0" xr:uid="{00000000-0006-0000-0100-0000DC060000}">
      <text>
        <r>
          <rPr>
            <sz val="9"/>
            <color indexed="81"/>
            <rFont val="Segoe UI"/>
            <family val="2"/>
          </rPr>
          <t xml:space="preserve">
1 - Órgão
2 - Unidade
3 - Unidade de Localização
4 - Itens do Inventário Bens Móveis
5 - Servidor</t>
        </r>
      </text>
    </comment>
    <comment ref="D1292" authorId="3" shapeId="0" xr:uid="{00000000-0006-0000-0100-0000DD060000}">
      <text>
        <r>
          <rPr>
            <sz val="9"/>
            <color indexed="81"/>
            <rFont val="Segoe UI"/>
            <family val="2"/>
          </rPr>
          <t xml:space="preserve">
1 -Numero transferencia 
2 -Motivo  
3 -Data 
4 -Orgão 
5 -UI origem
6 -UI destino 
7 -Titulo 
8 -Motivo transferencia
9 -Situação 
10-data cadastro
11-Solicitante
12-Ultima alteração 
13-Data ultima alteração
14-Data conclusão 
15-Usuario conclusão
16-ID
17-Tipo de Transferência
18-Prazo de Devolução</t>
        </r>
      </text>
    </comment>
    <comment ref="E1292" authorId="3" shapeId="0" xr:uid="{00000000-0006-0000-0100-0000DE060000}">
      <text>
        <r>
          <rPr>
            <sz val="9"/>
            <color indexed="81"/>
            <rFont val="Segoe UI"/>
            <family val="2"/>
          </rPr>
          <t xml:space="preserve">
1-Transferencia
2-Bens da transferencia
3-Situação Transferência UL
4-Tipo de Transferência</t>
        </r>
      </text>
    </comment>
    <comment ref="D1293" authorId="3" shapeId="0" xr:uid="{00000000-0006-0000-0100-0000DF060000}">
      <text>
        <r>
          <rPr>
            <sz val="9"/>
            <color indexed="81"/>
            <rFont val="Segoe UI"/>
            <family val="2"/>
          </rPr>
          <t xml:space="preserve">
1 -Numero transferencia 
2 -Orgão 
3 -UI de origem 
4 -UI Destino 
5 -Situação
6 -Ultima alteração ini 
7 -Ultima alteração Fim 
8 -Tipo 
9 -Resp Conclusão
10-Data consluão 
11-Tipo de Transferência
12-Prazo de Devolução
13-CMD
14-MSG</t>
        </r>
      </text>
    </comment>
    <comment ref="E1293" authorId="3" shapeId="0" xr:uid="{00000000-0006-0000-0100-0000E0060000}">
      <text>
        <r>
          <rPr>
            <sz val="9"/>
            <color indexed="81"/>
            <rFont val="Segoe UI"/>
            <family val="2"/>
          </rPr>
          <t xml:space="preserve">
1-Orgão
2-Transferencia
3-Servidor
4-Unidade de Localização
</t>
        </r>
      </text>
    </comment>
    <comment ref="D1294" authorId="3" shapeId="0" xr:uid="{00000000-0006-0000-0100-0000E1060000}">
      <text>
        <r>
          <rPr>
            <sz val="9"/>
            <color indexed="81"/>
            <rFont val="Segoe UI"/>
            <family val="2"/>
          </rPr>
          <t xml:space="preserve">
1-Codigo
2-Descrição
3 -CMD</t>
        </r>
      </text>
    </comment>
    <comment ref="E1294" authorId="3" shapeId="0" xr:uid="{00000000-0006-0000-0100-0000E2060000}">
      <text>
        <r>
          <rPr>
            <sz val="9"/>
            <color indexed="81"/>
            <rFont val="Segoe UI"/>
            <family val="2"/>
          </rPr>
          <t xml:space="preserve">
1-Situação Transferencia UL
</t>
        </r>
      </text>
    </comment>
    <comment ref="D1295" authorId="3" shapeId="0" xr:uid="{00000000-0006-0000-0100-0000E3060000}">
      <text>
        <r>
          <rPr>
            <sz val="9"/>
            <color indexed="81"/>
            <rFont val="Segoe UI"/>
            <family val="2"/>
          </rPr>
          <t xml:space="preserve">
1-Codigo
2-Descrição
3 -CMD</t>
        </r>
      </text>
    </comment>
    <comment ref="E1295" authorId="3" shapeId="0" xr:uid="{00000000-0006-0000-0100-0000E4060000}">
      <text>
        <r>
          <rPr>
            <sz val="9"/>
            <color indexed="81"/>
            <rFont val="Segoe UI"/>
            <family val="2"/>
          </rPr>
          <t xml:space="preserve">
1-Tipo de Transferência
</t>
        </r>
      </text>
    </comment>
    <comment ref="D1296" authorId="3" shapeId="0" xr:uid="{973BD915-627E-4AA8-B446-0B1544ECEE61}">
      <text>
        <r>
          <rPr>
            <sz val="9"/>
            <color indexed="81"/>
            <rFont val="Segoe UI"/>
            <family val="2"/>
          </rPr>
          <t xml:space="preserve">
1 - ULV Origem
2 - ULV Destino
3-CMD
4-MSG</t>
        </r>
      </text>
    </comment>
    <comment ref="E1296" authorId="3" shapeId="0" xr:uid="{FAE9A544-27D4-43F0-97C6-8483450140E3}">
      <text>
        <r>
          <rPr>
            <sz val="9"/>
            <color indexed="81"/>
            <rFont val="Segoe UI"/>
            <family val="2"/>
          </rPr>
          <t xml:space="preserve">
1-Transferencia
2-Unidade de Localização
</t>
        </r>
      </text>
    </comment>
    <comment ref="D1297" authorId="3" shapeId="0" xr:uid="{00000000-0006-0000-0100-0000E5060000}">
      <text>
        <r>
          <rPr>
            <sz val="9"/>
            <color indexed="81"/>
            <rFont val="Segoe UI"/>
            <family val="2"/>
          </rPr>
          <t xml:space="preserve">
1 -Numero transferencia 
2 -Motivo  
3 -Data 
4 -Orgão 
5 -UI origem
6 -UI destino 
7 -Titulo 
8 -Motivo transferencia
9 -Situação 
10-data cadastro
12-Solicitante
13-Tipo de Transferência
14-Prazo de Devolução
15-CMD
16-MSG</t>
        </r>
      </text>
    </comment>
    <comment ref="E1297" authorId="3" shapeId="0" xr:uid="{00000000-0006-0000-0100-0000E6060000}">
      <text>
        <r>
          <rPr>
            <sz val="9"/>
            <color indexed="81"/>
            <rFont val="Segoe UI"/>
            <family val="2"/>
          </rPr>
          <t xml:space="preserve">
1-Orgão
2-Transferencia
3-Servidor
4-Unidade de Localização
5-Itens do Inventário Bens Móveis</t>
        </r>
      </text>
    </comment>
    <comment ref="D1298" authorId="3" shapeId="0" xr:uid="{00000000-0006-0000-0100-0000E7060000}">
      <text>
        <r>
          <rPr>
            <sz val="9"/>
            <color indexed="81"/>
            <rFont val="Segoe UI"/>
            <family val="2"/>
          </rPr>
          <t xml:space="preserve">
1 -Numero transferencia 
2 -Motivo  
3 -Data 
4 -Orgão 
5 -UI origem
6 -UI destino 
7 -Titulo 
8 -Motivo transferencia
9 -Situação 
10-data cadastro
11-Solicitante
12-Tipo de Transferência
13-Prazo de Devolução
14-CMD
15-MSG
</t>
        </r>
      </text>
    </comment>
    <comment ref="E1298" authorId="3" shapeId="0" xr:uid="{00000000-0006-0000-0100-0000E8060000}">
      <text>
        <r>
          <rPr>
            <sz val="9"/>
            <color indexed="81"/>
            <rFont val="Segoe UI"/>
            <family val="2"/>
          </rPr>
          <t xml:space="preserve">
1-Orgão
2-Transferencia
3-Servidor
4-Unidade de Localização 
5-Itens do Inventário Bens Móveis</t>
        </r>
      </text>
    </comment>
    <comment ref="D1299" authorId="3" shapeId="0" xr:uid="{00000000-0006-0000-0100-0000E9060000}">
      <text>
        <r>
          <rPr>
            <sz val="9"/>
            <color indexed="81"/>
            <rFont val="Segoe UI"/>
            <family val="2"/>
          </rPr>
          <t xml:space="preserve">
1 -Numero transferencia 
2 -Motivo  
3 -Data 
4 -Orgão 
5 -UI origem
6 -UI destino 
7 -Titulo 
8 -Motivo transferencia
9 -Situação 
10-data cadastro
11-Solicitante
12-Ultima alteração 
13-Data ultima alteração
14-Data conclusão 
15-Usuario conclusão
16-Numero bem 
17-imagem 
18-Registro
19-Descrição do bem 
20-Estado conservação 
21-resp inclusão 
22-Data 
23-Tipo de Transferência
24-Prazo de Devolução
</t>
        </r>
      </text>
    </comment>
    <comment ref="E1299" authorId="3" shapeId="0" xr:uid="{00000000-0006-0000-0100-0000EA060000}">
      <text>
        <r>
          <rPr>
            <sz val="9"/>
            <color indexed="81"/>
            <rFont val="Segoe UI"/>
            <family val="2"/>
          </rPr>
          <t xml:space="preserve">
1-Orgão
2-Transferencia
3-Servidor
4-Unidade de Localização 
5-Itens do Inventário Bens Móveis</t>
        </r>
      </text>
    </comment>
    <comment ref="D1300" authorId="3" shapeId="0" xr:uid="{00000000-0006-0000-0100-0000EB060000}">
      <text>
        <r>
          <rPr>
            <sz val="9"/>
            <color indexed="81"/>
            <rFont val="Segoe UI"/>
            <family val="2"/>
          </rPr>
          <t xml:space="preserve">
1 -Numero transferencia 
2 -Motivo  
3 -Data 
4 -Orgão 
5 -UI origem
6 -UI destino 
7 -Titulo 
8 -Motivo transferencia
9 -Situação 
10-data cadastro
11-Solicitante
12-Ultima alteração 
13-Data ultima alteração
14-Data conclusão 
15-Usuario conclusão
16-Numero bem 
17-imagem 
18-Registro
19-Descrição do bem 
20-Estado conservação 
21-resp inclusão 
22-Data 
23-Tipo de Transferência
24-Prazo de Devolução
25-CMD
26-MSG</t>
        </r>
      </text>
    </comment>
    <comment ref="E1300" authorId="3" shapeId="0" xr:uid="{00000000-0006-0000-0100-0000EC060000}">
      <text>
        <r>
          <rPr>
            <sz val="9"/>
            <color indexed="81"/>
            <rFont val="Segoe UI"/>
            <family val="2"/>
          </rPr>
          <t xml:space="preserve">
1-Orgão
2-Transferencia
3-Servidor
4-Unidade de Localização 
5-Itens do Inventário Bens Móveis</t>
        </r>
      </text>
    </comment>
    <comment ref="D1301" authorId="3" shapeId="0" xr:uid="{00000000-0006-0000-0100-0000ED060000}">
      <text>
        <r>
          <rPr>
            <sz val="9"/>
            <color indexed="81"/>
            <rFont val="Segoe UI"/>
            <family val="2"/>
          </rPr>
          <t xml:space="preserve">
1 -Codigo
2-Situação do Bem
3 -CMD
4 -MSG</t>
        </r>
      </text>
    </comment>
    <comment ref="E1301" authorId="3" shapeId="0" xr:uid="{00000000-0006-0000-0100-0000EE060000}">
      <text>
        <r>
          <rPr>
            <sz val="9"/>
            <color indexed="81"/>
            <rFont val="Segoe UI"/>
            <family val="2"/>
          </rPr>
          <t xml:space="preserve">
1-Transferencia
2- Itens Inventário de Bens</t>
        </r>
      </text>
    </comment>
    <comment ref="D1302" authorId="3" shapeId="0" xr:uid="{00000000-0006-0000-0100-0000EF060000}">
      <text>
        <r>
          <rPr>
            <sz val="9"/>
            <color indexed="81"/>
            <rFont val="Segoe UI"/>
            <family val="2"/>
          </rPr>
          <t xml:space="preserve">
1 - Imagem
2 - Numero Registro 
3 - Descrição 
4 - Estado Conservação
5 -Valor unitario
6 -Responsavel
7 - Data
8-Status Bem Acervo
9 -CMD
10 -MSG</t>
        </r>
      </text>
    </comment>
    <comment ref="E1302" authorId="3" shapeId="0" xr:uid="{00000000-0006-0000-0100-0000F0060000}">
      <text>
        <r>
          <rPr>
            <sz val="9"/>
            <color indexed="81"/>
            <rFont val="Segoe UI"/>
            <family val="2"/>
          </rPr>
          <t xml:space="preserve">
1-Transferencia
2-Itens do Inventário de Imoveis</t>
        </r>
      </text>
    </comment>
    <comment ref="D1303" authorId="3" shapeId="0" xr:uid="{00000000-0006-0000-0100-0000F1060000}">
      <text>
        <r>
          <rPr>
            <sz val="9"/>
            <color indexed="81"/>
            <rFont val="Segoe UI"/>
            <family val="2"/>
          </rPr>
          <t xml:space="preserve">
1 -Numero Registro 
2 -Descrição 
3 -Valor unitario
4 -Imagem
5-Unidade Localização
6-Situação Bem
7 -CMD
8 -MSG</t>
        </r>
      </text>
    </comment>
    <comment ref="E1303" authorId="3" shapeId="0" xr:uid="{00000000-0006-0000-0100-0000F2060000}">
      <text>
        <r>
          <rPr>
            <sz val="9"/>
            <color indexed="81"/>
            <rFont val="Segoe UI"/>
            <family val="2"/>
          </rPr>
          <t xml:space="preserve">
1-Itens do Inventário de Bens
2-Unidade Localização</t>
        </r>
      </text>
    </comment>
    <comment ref="D1304" authorId="3" shapeId="0" xr:uid="{00000000-0006-0000-0100-0000F3060000}">
      <text>
        <r>
          <rPr>
            <sz val="9"/>
            <color indexed="81"/>
            <rFont val="Segoe UI"/>
            <family val="2"/>
          </rPr>
          <t>1- Bem
2 - Situação Transferência
3 - Status do Bem
4 -Detalhe 
5 -registro
6 -descrição 
7 -numero evento 
8 -tipo evento
9 -status do bem 
10 -data hora evento 
11 -usuario resp
12 - CMD
13 - MSG</t>
        </r>
      </text>
    </comment>
    <comment ref="E1304" authorId="3" shapeId="0" xr:uid="{00000000-0006-0000-0100-0000F4060000}">
      <text>
        <r>
          <rPr>
            <sz val="9"/>
            <color indexed="81"/>
            <rFont val="Segoe UI"/>
            <family val="2"/>
          </rPr>
          <t xml:space="preserve">
1-Itens do Inventário de Bens
2-Transferência
3-Historico de eventos do bem </t>
        </r>
      </text>
    </comment>
    <comment ref="D1305" authorId="3" shapeId="0" xr:uid="{00000000-0006-0000-0100-0000F5060000}">
      <text>
        <r>
          <rPr>
            <sz val="9"/>
            <color indexed="81"/>
            <rFont val="Segoe UI"/>
            <family val="2"/>
          </rPr>
          <t>1- ID
2 - Situação Transferência
3 - Status do Bem
4 -Detalhe 
5 -registro
6 -descrição 
7 -numero evento 
8 -tipo evento
9 -status do bem 
10 -data hora evento 
11 -usuario resp
12 - CMD
13 - MSG</t>
        </r>
      </text>
    </comment>
    <comment ref="E1305" authorId="3" shapeId="0" xr:uid="{00000000-0006-0000-0100-0000F6060000}">
      <text>
        <r>
          <rPr>
            <sz val="9"/>
            <color indexed="81"/>
            <rFont val="Segoe UI"/>
            <family val="2"/>
          </rPr>
          <t xml:space="preserve">
1-Itens do Inventário de Bens
2-Transferência
3-Historico de eventos do bem </t>
        </r>
      </text>
    </comment>
    <comment ref="D1306" authorId="1" shapeId="0" xr:uid="{53B069E7-DD83-417B-BBE9-1397E240BE06}">
      <text>
        <r>
          <rPr>
            <b/>
            <sz val="9"/>
            <color indexed="81"/>
            <rFont val="Segoe UI"/>
            <family val="2"/>
          </rPr>
          <t xml:space="preserve">* Unidade
</t>
        </r>
        <r>
          <rPr>
            <sz val="9"/>
            <color indexed="81"/>
            <rFont val="Segoe UI"/>
            <family val="2"/>
          </rPr>
          <t xml:space="preserve">01 - código
02 - descrição
03 - data fim
04 - Data Fim
05 - Ativo
06 - comando
</t>
        </r>
      </text>
    </comment>
    <comment ref="E1306" authorId="1" shapeId="0" xr:uid="{EC0AB325-B5E1-42FD-A2A7-FA237D3FCD42}">
      <text>
        <r>
          <rPr>
            <sz val="9"/>
            <color indexed="81"/>
            <rFont val="Segoe UI"/>
            <family val="2"/>
          </rPr>
          <t>01 - Unidade</t>
        </r>
      </text>
    </comment>
    <comment ref="D1307" authorId="1" shapeId="0" xr:uid="{DBA90912-AB7C-4F8A-A02B-718D1EB78C5E}">
      <text>
        <r>
          <rPr>
            <b/>
            <sz val="9"/>
            <color indexed="81"/>
            <rFont val="Segoe UI"/>
            <family val="2"/>
          </rPr>
          <t xml:space="preserve">* Órgão
</t>
        </r>
        <r>
          <rPr>
            <sz val="9"/>
            <color indexed="81"/>
            <rFont val="Segoe UI"/>
            <family val="2"/>
          </rPr>
          <t xml:space="preserve">01 - código
02 - descrição
03 - cnpj
04 - tipo de órgão
</t>
        </r>
      </text>
    </comment>
    <comment ref="E1307" authorId="1" shapeId="0" xr:uid="{BD9A29A2-2F6A-4F02-B4C9-23AD8C4FA4B0}">
      <text>
        <r>
          <rPr>
            <sz val="9"/>
            <color indexed="81"/>
            <rFont val="Segoe UI"/>
            <family val="2"/>
          </rPr>
          <t>01 - Órgão</t>
        </r>
      </text>
    </comment>
    <comment ref="D1308" authorId="3" shapeId="0" xr:uid="{00000000-0006-0000-0100-0000F7060000}">
      <text>
        <r>
          <rPr>
            <sz val="9"/>
            <color indexed="81"/>
            <rFont val="Segoe UI"/>
            <family val="2"/>
          </rPr>
          <t>1 - Transferência
2 - Data envio
3 - Destinatario
4 - Assunto
5 -Texto
6 - Unidade localização origem
7 - Unidade localização destino
8 - Data transferência
9 - Prazo devolução
10 - Link
11 - Anexo
12 - Data envio
13 - Comando
14 - Mensagem</t>
        </r>
      </text>
    </comment>
    <comment ref="E1308" authorId="3" shapeId="0" xr:uid="{00000000-0006-0000-0100-0000F8060000}">
      <text>
        <r>
          <rPr>
            <sz val="9"/>
            <color indexed="81"/>
            <rFont val="Segoe UI"/>
            <family val="2"/>
          </rPr>
          <t>1-Transferência
2-Unidade Localização
3-Notificação Mobiliário
4-Servidor</t>
        </r>
      </text>
    </comment>
    <comment ref="D1311" authorId="3" shapeId="0" xr:uid="{00000000-0006-0000-0100-0000F9060000}">
      <text>
        <r>
          <rPr>
            <sz val="9"/>
            <color indexed="81"/>
            <rFont val="Segoe UI"/>
            <family val="2"/>
          </rPr>
          <t xml:space="preserve">
1 -Numero transferencia 
2 -Motivo  
3 -Data 
4 -Orgão 
5 -UI origem
6 -UI destino 
7 -Titulo 
8 -Motivo transferencia
9 -Situação 
10-data cadastro
11-Solicitante
12-Ultima alteração 
13-Data ultima alteração
14-Data conclusão 
15-Usuario conclusão
16-ID
17-Tipo de Transferência
18-Prazo de Devolução</t>
        </r>
      </text>
    </comment>
    <comment ref="E1311" authorId="3" shapeId="0" xr:uid="{00000000-0006-0000-0100-0000FA060000}">
      <text>
        <r>
          <rPr>
            <sz val="9"/>
            <color indexed="81"/>
            <rFont val="Segoe UI"/>
            <family val="2"/>
          </rPr>
          <t xml:space="preserve">
1-Transferencia externa
2-Bens da transferencia
3-Situação Transferencia UG</t>
        </r>
      </text>
    </comment>
    <comment ref="D1312" authorId="3" shapeId="0" xr:uid="{00000000-0006-0000-0100-0000FB060000}">
      <text>
        <r>
          <rPr>
            <sz val="9"/>
            <color indexed="81"/>
            <rFont val="Segoe UI"/>
            <family val="2"/>
          </rPr>
          <t xml:space="preserve">
1 -Numero transferencia 
2 -Orgão 
3 -UI de origem 
4 -UI Destino 
5 -Situação
6 -Ultima alteração ini 
7 -Ultima alteração Fim 
8 -Tipo 
9 -Resp Conclusão
10-Data consluão 
11-Tipo de Transferência
12-Prazo de Devolução
13-CMD
14-MSG</t>
        </r>
      </text>
    </comment>
    <comment ref="E1312" authorId="3" shapeId="0" xr:uid="{00000000-0006-0000-0100-0000FC060000}">
      <text>
        <r>
          <rPr>
            <sz val="9"/>
            <color indexed="81"/>
            <rFont val="Segoe UI"/>
            <family val="2"/>
          </rPr>
          <t xml:space="preserve">
1-Orgão
2-Transferencia externa
3-Servidor
4-Unidade 
</t>
        </r>
      </text>
    </comment>
    <comment ref="D1313" authorId="3" shapeId="0" xr:uid="{00000000-0006-0000-0100-0000FD060000}">
      <text>
        <r>
          <rPr>
            <sz val="9"/>
            <color indexed="81"/>
            <rFont val="Segoe UI"/>
            <family val="2"/>
          </rPr>
          <t xml:space="preserve">
1-Codigo
2-Descrição
3 -CMD</t>
        </r>
      </text>
    </comment>
    <comment ref="E1313" authorId="3" shapeId="0" xr:uid="{00000000-0006-0000-0100-0000FE060000}">
      <text>
        <r>
          <rPr>
            <sz val="9"/>
            <color indexed="81"/>
            <rFont val="Segoe UI"/>
            <family val="2"/>
          </rPr>
          <t xml:space="preserve">
1-Situação Transferencia UG
</t>
        </r>
      </text>
    </comment>
    <comment ref="D1314" authorId="3" shapeId="0" xr:uid="{00000000-0006-0000-0100-0000FF060000}">
      <text>
        <r>
          <rPr>
            <sz val="9"/>
            <color indexed="81"/>
            <rFont val="Segoe UI"/>
            <family val="2"/>
          </rPr>
          <t xml:space="preserve">
1 -Numero transferencia 
2 -Motivo  
3 -Data 
4 -Orgão 
5 -UI origem
6 -Orgão destino 
7 -UI destino 
8 -Titulo 
9 -Motivo transferencia
10-Situação 
11-data cadastro
12-Solicitante
13-Tipo de Transferência
14-Prazo de Devolução
15-CMD
16-MSG</t>
        </r>
      </text>
    </comment>
    <comment ref="E1314" authorId="3" shapeId="0" xr:uid="{00000000-0006-0000-0100-000000070000}">
      <text>
        <r>
          <rPr>
            <sz val="9"/>
            <color indexed="81"/>
            <rFont val="Segoe UI"/>
            <family val="2"/>
          </rPr>
          <t xml:space="preserve">
1-Orgão
2-Transferencia externa
3-Servidor
4-Unidade 
5-Itens do Inventário Bens Móveis</t>
        </r>
      </text>
    </comment>
    <comment ref="D1315" authorId="3" shapeId="0" xr:uid="{00000000-0006-0000-0100-000001070000}">
      <text>
        <r>
          <rPr>
            <sz val="9"/>
            <color indexed="81"/>
            <rFont val="Segoe UI"/>
            <family val="2"/>
          </rPr>
          <t xml:space="preserve">
1 -Numero transferencia 
2 -Motivo  
3 -Data 
4 -Orgão 
5 -UI origem
6 -Orgão destino 
7 -UI destino 
8 -Titulo 
9 -Motivo transferencia
10-Situação 
11-data cadastro
12-Solicitante
13-Tipo de Transferência
14-Prazo de Devolução
15-CMD
16-MSG</t>
        </r>
      </text>
    </comment>
    <comment ref="E1315" authorId="3" shapeId="0" xr:uid="{00000000-0006-0000-0100-000002070000}">
      <text>
        <r>
          <rPr>
            <sz val="9"/>
            <color indexed="81"/>
            <rFont val="Segoe UI"/>
            <family val="2"/>
          </rPr>
          <t xml:space="preserve">
1-Orgão
2-Transferencia externa
3-Servidor
4-Unidade 
5-Itens do Inventário Bens Móveis</t>
        </r>
      </text>
    </comment>
    <comment ref="D1316" authorId="3" shapeId="0" xr:uid="{00000000-0006-0000-0100-000003070000}">
      <text>
        <r>
          <rPr>
            <sz val="9"/>
            <color indexed="81"/>
            <rFont val="Segoe UI"/>
            <family val="2"/>
          </rPr>
          <t xml:space="preserve">
1 -Numero transferencia 
2 -Motivo  
3 -Data 
4 -Orgão 
5 -UI origem
6 -UI destino 
7 -Titulo 
8 -Motivo transferencia
9 -Situação 
10-data cadastro
11-Solicitante
12-Numero bem 
13-imagem 
14-Registro
15-Descrição do bem 
16-Estado conservação 
17-resp inclusão 
18-Data 
19-Tipo de Transferência
20-Prazo de Devolução
</t>
        </r>
      </text>
    </comment>
    <comment ref="E1316" authorId="3" shapeId="0" xr:uid="{00000000-0006-0000-0100-000004070000}">
      <text>
        <r>
          <rPr>
            <sz val="9"/>
            <color indexed="81"/>
            <rFont val="Segoe UI"/>
            <family val="2"/>
          </rPr>
          <t xml:space="preserve">
1-Orgão
2-Transferencia externa
3-Servidor
4-Unidade 
5-Itens do Inventário Bens Móveis</t>
        </r>
      </text>
    </comment>
    <comment ref="D1317" authorId="3" shapeId="0" xr:uid="{00000000-0006-0000-0100-000005070000}">
      <text>
        <r>
          <rPr>
            <sz val="9"/>
            <color indexed="81"/>
            <rFont val="Segoe UI"/>
            <family val="2"/>
          </rPr>
          <t xml:space="preserve">
1 -Numero transferencia 
2 -Motivo  
3 -Data 
4 -Orgão 
5 -UI origem
6 -UI destino 
7 -Titulo 
8 -Motivo transferencia
9 -Situação 
10-data cadastro
11-Solicitante
12-Numero bem 
13-imagem 
14-Registro
15-Descrição do bem 
16-Estado conservação 
17-resp inclusão 
18-Data 
19-Tipo de Transferência
20-Prazo de Devolução
21-CMD
22-MSG
19-CMD
20-MSG</t>
        </r>
      </text>
    </comment>
    <comment ref="E1317" authorId="3" shapeId="0" xr:uid="{00000000-0006-0000-0100-000006070000}">
      <text>
        <r>
          <rPr>
            <sz val="9"/>
            <color indexed="81"/>
            <rFont val="Segoe UI"/>
            <family val="2"/>
          </rPr>
          <t xml:space="preserve">
1-Orgão
2-Transferencia externa
3-Servidor
4-Unidade 
5-Itens do Inventário Bens Móveis</t>
        </r>
      </text>
    </comment>
    <comment ref="D1318" authorId="3" shapeId="0" xr:uid="{00000000-0006-0000-0100-000007070000}">
      <text>
        <r>
          <rPr>
            <sz val="9"/>
            <color indexed="81"/>
            <rFont val="Segoe UI"/>
            <family val="2"/>
          </rPr>
          <t xml:space="preserve">
1 -Codigo
2-Situação do Bem
3 -CMD
4 -MSG</t>
        </r>
      </text>
    </comment>
    <comment ref="E1318" authorId="3" shapeId="0" xr:uid="{00000000-0006-0000-0100-000008070000}">
      <text>
        <r>
          <rPr>
            <sz val="9"/>
            <color indexed="81"/>
            <rFont val="Segoe UI"/>
            <family val="2"/>
          </rPr>
          <t xml:space="preserve">
1-Transferencia externa
2- Itens Inventário de Bens</t>
        </r>
      </text>
    </comment>
    <comment ref="D1319" authorId="3" shapeId="0" xr:uid="{00000000-0006-0000-0100-000009070000}">
      <text>
        <r>
          <rPr>
            <sz val="9"/>
            <color indexed="81"/>
            <rFont val="Segoe UI"/>
            <family val="2"/>
          </rPr>
          <t xml:space="preserve">
1 - Imagem
2 - Numero Registro 
3 - Descrição 
4 - Estado Conservação
5 -Valor unitario
6 -Responsavel
7 - Data
8-Status Bem Acervo
9 -CMD
110 -MSG</t>
        </r>
      </text>
    </comment>
    <comment ref="E1319" authorId="3" shapeId="0" xr:uid="{00000000-0006-0000-0100-00000A070000}">
      <text>
        <r>
          <rPr>
            <sz val="9"/>
            <color indexed="81"/>
            <rFont val="Segoe UI"/>
            <family val="2"/>
          </rPr>
          <t xml:space="preserve">
1-Transferencia externa
2-Itens do Inventário de Imoveis</t>
        </r>
      </text>
    </comment>
    <comment ref="D1320" authorId="3" shapeId="0" xr:uid="{00000000-0006-0000-0100-00000B070000}">
      <text>
        <r>
          <rPr>
            <sz val="9"/>
            <color indexed="81"/>
            <rFont val="Segoe UI"/>
            <family val="2"/>
          </rPr>
          <t xml:space="preserve">
1 -Codigo
2 - Situação Transferência
3 - Status do Bem
4 -Detalhe 
5 -registro
6 -descrição 
7 -numero evento 
8 -tipo evento
9 -status do bem 
10 -data hora evento 
11 -usuario resp
12 - CMD
13 - MSG</t>
        </r>
      </text>
    </comment>
    <comment ref="E1320" authorId="3" shapeId="0" xr:uid="{00000000-0006-0000-0100-00000C070000}">
      <text>
        <r>
          <rPr>
            <sz val="9"/>
            <color indexed="81"/>
            <rFont val="Segoe UI"/>
            <family val="2"/>
          </rPr>
          <t xml:space="preserve">
1-Transferencia externa
2-Unidade Localização
3-Notificação Mobiliário
4-Servidor
5-Historico de eventos do bem </t>
        </r>
      </text>
    </comment>
    <comment ref="D1321" authorId="3" shapeId="0" xr:uid="{00000000-0006-0000-0100-00000D070000}">
      <text>
        <r>
          <rPr>
            <sz val="9"/>
            <color indexed="81"/>
            <rFont val="Segoe UI"/>
            <family val="2"/>
          </rPr>
          <t>1 - Transferência externa
2 - Data envio
3 - Destinatario
4 - Assunto
5 -Texto
6 - Unidade localização origem
7 - Unidade localização destino
8 - Data transferência
9 - Prazo devolução
10 - Link
11 - Anexo
12 - Data envio
13 - Comando
14 - Mensagem</t>
        </r>
      </text>
    </comment>
    <comment ref="E1321" authorId="3" shapeId="0" xr:uid="{00000000-0006-0000-0100-00000E070000}">
      <text>
        <r>
          <rPr>
            <sz val="9"/>
            <color indexed="81"/>
            <rFont val="Segoe UI"/>
            <family val="2"/>
          </rPr>
          <t>1-Transferência externa
2-Unidade Localização
3-Notificação Mobiliário
4-Servidor</t>
        </r>
      </text>
    </comment>
    <comment ref="D1324" authorId="3" shapeId="0" xr:uid="{00000000-0006-0000-0100-00000F070000}">
      <text>
        <r>
          <rPr>
            <sz val="9"/>
            <color indexed="81"/>
            <rFont val="Segoe UI"/>
            <family val="2"/>
          </rPr>
          <t xml:space="preserve">
1 - UO
2 - UL origem
3 - UL destino 
4 - ULV origem
5 - ULV destino 
6 - Tipo de Movimentação
7 - Tipo Transferência
8 - Nº Transferência
9 - Situação
10 - Data da Transferência
11 - Responsável pela Transferência
12 - Prazo de Devolução
13 - Título 
14 - Data
15 - Item 
16 - Registro patrimonial
17 - Imagem
18 - Descrição
19 - Estado
20 - Valor 
21 - Valor total
22-CMD
23-MSG</t>
        </r>
      </text>
    </comment>
    <comment ref="E1324" authorId="3" shapeId="0" xr:uid="{00000000-0006-0000-0100-000010070000}">
      <text>
        <r>
          <rPr>
            <sz val="9"/>
            <color indexed="81"/>
            <rFont val="Segoe UI"/>
            <family val="2"/>
          </rPr>
          <t xml:space="preserve">
1-Orgão
2-Transferencia
3-Servidor
4-Unidade Localização
5-Itens do Inventário Bens Móveis</t>
        </r>
      </text>
    </comment>
    <comment ref="D1327" authorId="3" shapeId="0" xr:uid="{BFB49C63-BB69-4892-82D0-E06A25E26980}">
      <text>
        <r>
          <rPr>
            <sz val="9"/>
            <color indexed="81"/>
            <rFont val="Segoe UI"/>
            <family val="2"/>
          </rPr>
          <t>1 -Orgão origem 
2 -UL origem
3 -UO Origem
4 -UG Origem 
5 -UA Origem  
6 -Orgão destino 
7 -UL destino
8 -UO destino
9 -UG destino 
10-UA destino  
11-Motivo 
12-numero transferencia
13-data movimentação 
14-responsavel conclusão
15-Situação 
16-TIpo transferencia
17-Prazo de Devolução
18-item 
19-imagem 
20-registro patrimonial
21-descrição
22-estado
23-valor
24-Valor total
25-Assinatura
26-CMD
27-MSG</t>
        </r>
      </text>
    </comment>
    <comment ref="E1327" authorId="3" shapeId="0" xr:uid="{85F2BE72-3986-4CFF-81F8-7C63B4C3F731}">
      <text>
        <r>
          <rPr>
            <sz val="9"/>
            <color indexed="81"/>
            <rFont val="Segoe UI"/>
            <family val="2"/>
          </rPr>
          <t xml:space="preserve">
1-Orgão
2-Transferencia externa
3-Servidor
4-Unidade Localização
5-Itens do Inventário Bens Móveis</t>
        </r>
      </text>
    </comment>
    <comment ref="D1330" authorId="3" shapeId="0" xr:uid="{00000000-0006-0000-0100-000013070000}">
      <text>
        <r>
          <rPr>
            <sz val="9"/>
            <color indexed="81"/>
            <rFont val="Segoe UI"/>
            <family val="2"/>
          </rPr>
          <t xml:space="preserve">
1 -Destinatario
2 -Assunto 
3 -Anexo
4 -número da Transferência
5 -Órgão/U.G Origem
6 -U.L.  de Origem
7 -Órgão/U.G Destino
8 -U.L. de Destino
9 -Unidade Setorial de Patrimônio Imobiliário
10-Gestor Setorial de Patrimônio
11-Unidade Setorial de Patrimônio Imobiliário destino 
12-Gestor Setorial de Patrimônio destino 
13-N°  
14-REGISTRO PATRIMONIAL
15-DESCRIÇÃO DO BEM
16-ESTADO CONSERVAÇÃO 
17-Valor Unitário
18-Data da Notificação
19-texto complementar
20-Situação
21-Codigo orgão notificação mobiliário
22-Descrição orgão notificação mobiliário
23-destinatário notificação mobiliário
24-assunto notificação mobiliário
25-data notificacao ini notificação mobiliário
26-data notificacao fim notificação mobiliário
27-texto notificacao notificação mobiliário
28-CMD
29-MSG</t>
        </r>
      </text>
    </comment>
    <comment ref="E1330" authorId="3" shapeId="0" xr:uid="{00000000-0006-0000-0100-000014070000}">
      <text>
        <r>
          <rPr>
            <sz val="9"/>
            <color indexed="81"/>
            <rFont val="Segoe UI"/>
            <family val="2"/>
          </rPr>
          <t xml:space="preserve">
1-Orgão
2-Transferencia externa
3-Servidor
4-Unidade Localização
5-Itens do Inventário Bens Móveis
6-Notificações Mobiliário</t>
        </r>
      </text>
    </comment>
    <comment ref="D1331" authorId="3" shapeId="0" xr:uid="{00000000-0006-0000-0100-000015070000}">
      <text>
        <r>
          <rPr>
            <sz val="9"/>
            <color indexed="81"/>
            <rFont val="Segoe UI"/>
            <family val="2"/>
          </rPr>
          <t xml:space="preserve">
1 -Destinatario
2 -Assunto 
3 -Anexo
4 -número da Transferência
5 -Órgão/U.G Origem
6 -U.L.  de Origem
7 -Órgão/U.G Destino
8 -U.L. de Destino
9 -Unidade Setorial de Patrimônio Imobiliário
10-Gestor Setorial de Patrimônio
11-Unidade Setorial de Patrimônio Imobiliário destino 
12-Gestor Setorial de Patrimônio destino 
13-N°  
14-REGISTRO PATRIMONIAL
15-DESCRIÇÃO DO BEM
16-ESTADO CONSERVAÇÃO 
17-Valor Unitário
18-Data da Notificação
19-texto complementar
20-CMD
21-MSG</t>
        </r>
      </text>
    </comment>
    <comment ref="E1331" authorId="3" shapeId="0" xr:uid="{00000000-0006-0000-0100-000016070000}">
      <text>
        <r>
          <rPr>
            <sz val="9"/>
            <color indexed="81"/>
            <rFont val="Segoe UI"/>
            <family val="2"/>
          </rPr>
          <t xml:space="preserve">
1-Orgão
2-Transferencia externa
3-Servidor
4-Unidade Localização
5-Itens do Inventário Bens Móveis</t>
        </r>
      </text>
    </comment>
    <comment ref="D1332" authorId="3" shapeId="0" xr:uid="{00000000-0006-0000-0100-000017070000}">
      <text>
        <r>
          <rPr>
            <sz val="9"/>
            <color indexed="81"/>
            <rFont val="Segoe UI"/>
            <family val="2"/>
          </rPr>
          <t xml:space="preserve">
1 -Destinatario
2 -Assunto 
3 -Anexo
4 -número da Transferência
5 -Órgão/U.G Origem
6 -U.L.  de Origem
7 -Órgão/U.G Destino
8 -U.L. de Destino
9 -Unidade Setorial de Patrimônio Imobiliário
10-Gestor Setorial de Patrimônio
11-Unidade Setorial de Patrimônio Imobiliário destino 
12-Gestor Setorial de Patrimônio destino 
13-N°  
14-REGISTRO PATRIMONIAL
15-DESCRIÇÃO DO BEM
16-ESTADO CONSERVAÇÃO 
17-Valor Unitário
18-Data da Notificação
19-texto complementar
20-CMD
21-MSG</t>
        </r>
      </text>
    </comment>
    <comment ref="E1332" authorId="3" shapeId="0" xr:uid="{00000000-0006-0000-0100-000018070000}">
      <text>
        <r>
          <rPr>
            <sz val="9"/>
            <color indexed="81"/>
            <rFont val="Segoe UI"/>
            <family val="2"/>
          </rPr>
          <t xml:space="preserve">
1-Orgão
2-Transferencia externa
3-Servidor
4-Unidade Localização
5-Itens do Inventário Bens Móveis</t>
        </r>
      </text>
    </comment>
    <comment ref="D1335" authorId="3" shapeId="0" xr:uid="{00000000-0006-0000-0100-000019070000}">
      <text>
        <r>
          <rPr>
            <sz val="9"/>
            <color indexed="81"/>
            <rFont val="Segoe UI"/>
            <family val="2"/>
          </rPr>
          <t>1 - Codigo Orgão origem
2 - Orgão origem 
3 - Codigo UL origem
4 - UL origem 
5 - Codigo gestor origem
6 - Gestor origem
7 - Nome assinatura origem
8 - Data e Hora assinatura origem
9 - Tipo de Assinatura origem
10 - Código Verificador origem
11 - Justificativa origem
12 - Codigo Orgão destino
13 - Orgão destino 
14 - Codigo UL destino
15 - UL destino 
16 - Codigo gestor destino
17- Gestor destino
18 - Nome assinatura destino
19 - Data e Hora assinatura destino
20 - Tipo de Assinatura destino
21 - Código Verificador destino
22 - Justificativa destino
23-CMD
24-MSG</t>
        </r>
      </text>
    </comment>
    <comment ref="E1335" authorId="3" shapeId="0" xr:uid="{00000000-0006-0000-0100-00001A070000}">
      <text>
        <r>
          <rPr>
            <sz val="9"/>
            <color indexed="81"/>
            <rFont val="Segoe UI"/>
            <family val="2"/>
          </rPr>
          <t xml:space="preserve">
1-Orgão
2-Transferencia externa
3-Servidor
4-Unidade Localização
</t>
        </r>
      </text>
    </comment>
    <comment ref="D1336" authorId="3" shapeId="0" xr:uid="{00000000-0006-0000-0100-00001B070000}">
      <text>
        <r>
          <rPr>
            <sz val="9"/>
            <color indexed="81"/>
            <rFont val="Segoe UI"/>
            <family val="2"/>
          </rPr>
          <t xml:space="preserve">
1-Usuario
2-Senha
3-Status
4-Status do Bem
5 -Detalhe 
6 -registro
7 -descrição 
8 -numero evento 
9 -tipo evento
10 -status do bem 
11 -data hora evento 
12 -usuario resp
13-CMD
14-MSG</t>
        </r>
      </text>
    </comment>
    <comment ref="E1336" authorId="3" shapeId="0" xr:uid="{00000000-0006-0000-0100-00001C070000}">
      <text>
        <r>
          <rPr>
            <sz val="9"/>
            <color indexed="81"/>
            <rFont val="Segoe UI"/>
            <family val="2"/>
          </rPr>
          <t xml:space="preserve">
1-Orgão
2-Transferencia externa
3-Servidor
4-Itens do Inventário de Imoveis
5-Historico de eventos do bem</t>
        </r>
      </text>
    </comment>
    <comment ref="D1337" authorId="3" shapeId="0" xr:uid="{00000000-0006-0000-0100-00001D070000}">
      <text>
        <r>
          <rPr>
            <sz val="9"/>
            <color indexed="81"/>
            <rFont val="Segoe UI"/>
            <family val="2"/>
          </rPr>
          <t xml:space="preserve">
1-Justitificativa
2-CMD
3-MSG</t>
        </r>
      </text>
    </comment>
    <comment ref="E1337" authorId="3" shapeId="0" xr:uid="{00000000-0006-0000-0100-00001E070000}">
      <text>
        <r>
          <rPr>
            <sz val="9"/>
            <color indexed="81"/>
            <rFont val="Segoe UI"/>
            <family val="2"/>
          </rPr>
          <t xml:space="preserve">
1-Transferencia externa
2-Servidor
</t>
        </r>
      </text>
    </comment>
    <comment ref="D1338" authorId="3" shapeId="0" xr:uid="{00000000-0006-0000-0100-00001F070000}">
      <text>
        <r>
          <rPr>
            <sz val="9"/>
            <color indexed="81"/>
            <rFont val="Segoe UI"/>
            <family val="2"/>
          </rPr>
          <t xml:space="preserve">
1-Usuario
2-Senha
3-Status
4-Status do Bem
5 -Detalhe 
6 -registro
7 -descrição 
8 -numero evento 
9 -tipo evento
10 -status do bem 
11 -data hora evento 
12 -usuario resp
13-CMD
14-MSG</t>
        </r>
      </text>
    </comment>
    <comment ref="E1338" authorId="3" shapeId="0" xr:uid="{00000000-0006-0000-0100-000020070000}">
      <text>
        <r>
          <rPr>
            <sz val="9"/>
            <color indexed="81"/>
            <rFont val="Segoe UI"/>
            <family val="2"/>
          </rPr>
          <t xml:space="preserve">
1-Orgão
2-Transferencia externa
3-Servidor
4-Itens do Inventário de Imoveis
5-Historico de eventos do bem</t>
        </r>
      </text>
    </comment>
    <comment ref="D1339" authorId="3" shapeId="0" xr:uid="{00000000-0006-0000-0100-000021070000}">
      <text>
        <r>
          <rPr>
            <sz val="9"/>
            <color indexed="81"/>
            <rFont val="Segoe UI"/>
            <family val="2"/>
          </rPr>
          <t xml:space="preserve">
1-Justitificativa
2-CMD
3-MSG</t>
        </r>
      </text>
    </comment>
    <comment ref="E1339" authorId="3" shapeId="0" xr:uid="{00000000-0006-0000-0100-000022070000}">
      <text>
        <r>
          <rPr>
            <sz val="9"/>
            <color indexed="81"/>
            <rFont val="Segoe UI"/>
            <family val="2"/>
          </rPr>
          <t xml:space="preserve">
1-Transferencia externa
2-Servidor
</t>
        </r>
      </text>
    </comment>
    <comment ref="D1342" authorId="3" shapeId="0" xr:uid="{00000000-0006-0000-0100-000023070000}">
      <text>
        <r>
          <rPr>
            <sz val="9"/>
            <color indexed="81"/>
            <rFont val="Segoe UI"/>
            <family val="2"/>
          </rPr>
          <t xml:space="preserve">
1 -Numero Baixa
2 -Tipo 
3 -Data da baixa 
4 -Orgão 
5 -Motivo 
6 -Unidade localização 
7 -Titulo da baixa 
8 -Justificativa 
9 -Situação 
10-Data cadastro
11-Solicitante
12-Bem
13-usuario cadastro
14-data ultima alteração
15-usuario ultima alteração
16-data conclusão
17-usuario conclusão
18-numero 
19-imagem
20-registro
21-descrição
22-estado
23-valor unitario
24-resp inclusão
25-data
26-ID</t>
        </r>
      </text>
    </comment>
    <comment ref="E1342" authorId="3" shapeId="0" xr:uid="{00000000-0006-0000-0100-000024070000}">
      <text>
        <r>
          <rPr>
            <sz val="9"/>
            <color indexed="81"/>
            <rFont val="Segoe UI"/>
            <family val="2"/>
          </rPr>
          <t xml:space="preserve">
1-Baixa Patrimonial
2-Itens da baixa
3-Tipo de Baixa</t>
        </r>
      </text>
    </comment>
    <comment ref="D1343" authorId="3" shapeId="0" xr:uid="{00000000-0006-0000-0100-000025070000}">
      <text>
        <r>
          <rPr>
            <sz val="9"/>
            <color indexed="81"/>
            <rFont val="Segoe UI"/>
            <family val="2"/>
          </rPr>
          <t xml:space="preserve">
1 -Numero Baixa
2 -Orgão UG
3 -Unidade de localização 
4 -Situação 
5 -Tipo de baixa 
6 -Data da baixa Ini 
7 -Data da baixa Fim 
8 -Ultima alteração ini
9 -Ultima alteração Fim 
10-Motivo 
11-CMD
12-MSG
</t>
        </r>
      </text>
    </comment>
    <comment ref="E1343" authorId="3" shapeId="0" xr:uid="{00000000-0006-0000-0100-000026070000}">
      <text>
        <r>
          <rPr>
            <sz val="9"/>
            <color indexed="81"/>
            <rFont val="Segoe UI"/>
            <family val="2"/>
          </rPr>
          <t xml:space="preserve">
1-Orgão
2-Baixa Patrimonial
3-Unidade 
</t>
        </r>
      </text>
    </comment>
    <comment ref="D1344" authorId="3" shapeId="0" xr:uid="{00000000-0006-0000-0100-000027070000}">
      <text>
        <r>
          <rPr>
            <sz val="9"/>
            <color indexed="81"/>
            <rFont val="Segoe UI"/>
            <family val="2"/>
          </rPr>
          <t xml:space="preserve">
1-Codigo
2-Descrição
3 -CMD</t>
        </r>
      </text>
    </comment>
    <comment ref="E1344" authorId="3" shapeId="0" xr:uid="{00000000-0006-0000-0100-000028070000}">
      <text>
        <r>
          <rPr>
            <sz val="9"/>
            <color indexed="81"/>
            <rFont val="Segoe UI"/>
            <family val="2"/>
          </rPr>
          <t xml:space="preserve">
1-Tipo de Baixa
</t>
        </r>
      </text>
    </comment>
    <comment ref="D1345" authorId="3" shapeId="0" xr:uid="{00000000-0006-0000-0100-000029070000}">
      <text>
        <r>
          <rPr>
            <sz val="9"/>
            <color indexed="81"/>
            <rFont val="Segoe UI"/>
            <family val="2"/>
          </rPr>
          <t xml:space="preserve">
1 -Numero Baixa
2 -Tipo 
3 -Data da baixa 
4 -Orgão 
5 -Motivo 
6 -Unidade localização 
7 -Titulo da baixa 
8 -Justificativa 
9 -Situação 
10-Data cadastro
11-Solicitante
12-Bem
13-CMD
14-MSG</t>
        </r>
      </text>
    </comment>
    <comment ref="E1345" authorId="3" shapeId="0" xr:uid="{00000000-0006-0000-0100-00002A070000}">
      <text>
        <r>
          <rPr>
            <sz val="9"/>
            <color indexed="81"/>
            <rFont val="Segoe UI"/>
            <family val="2"/>
          </rPr>
          <t xml:space="preserve">
1-Orgão
2-Baixa Patrimonial
3-Unidade de Localização
4-Servidor
5-Itens do Inventário Bens Móveis</t>
        </r>
      </text>
    </comment>
    <comment ref="D1346" authorId="3" shapeId="0" xr:uid="{00000000-0006-0000-0100-00002B070000}">
      <text>
        <r>
          <rPr>
            <sz val="9"/>
            <color indexed="81"/>
            <rFont val="Segoe UI"/>
            <family val="2"/>
          </rPr>
          <t xml:space="preserve">
1 -Numero Baixa
2 -Tipo 
3 -Data da baixa 
4 -Orgão 
5 -Motivo 
6 -Unidade localização 
7 -Titulo da baixa 
8 -Justificativa 
9 -Situação 
10-Data cadastro
11-Solicitante
12-Bem
13-CMD
14-MSG</t>
        </r>
      </text>
    </comment>
    <comment ref="E1346" authorId="3" shapeId="0" xr:uid="{00000000-0006-0000-0100-00002C070000}">
      <text>
        <r>
          <rPr>
            <sz val="9"/>
            <color indexed="81"/>
            <rFont val="Segoe UI"/>
            <family val="2"/>
          </rPr>
          <t xml:space="preserve">
1-Orgão
2-Baixa Patrimonial
3- Unidade de Localização
4-Servidor
5-Itens do Inventário Bens Móveis</t>
        </r>
      </text>
    </comment>
    <comment ref="D1347" authorId="3" shapeId="0" xr:uid="{00000000-0006-0000-0100-00002D070000}">
      <text>
        <r>
          <rPr>
            <sz val="9"/>
            <color indexed="81"/>
            <rFont val="Segoe UI"/>
            <family val="2"/>
          </rPr>
          <t xml:space="preserve">
1 -Numero Baixa
2 -Tipo 
3 -Data da baixa 
4 -Orgão 
5 -Motivo 
6 -Unidade localização 
7 -Titulo da baixa 
8 -Justificativa 
9 -Situação 
10-Data cadastro
11-Solicitante
12-Bem
13-usuario cadastro
14-data ultima alteração
15-usuario ultima alteração
16-data conclusão
17-usuario conclusão
18-numero 
19-imagem
20-registro
21-descrição
22-estado
23-valor unitario
24-resp inclusão
25-data
26-CMD
27-MSG</t>
        </r>
      </text>
    </comment>
    <comment ref="E1347" authorId="3" shapeId="0" xr:uid="{00000000-0006-0000-0100-00002E070000}">
      <text>
        <r>
          <rPr>
            <sz val="9"/>
            <color indexed="81"/>
            <rFont val="Segoe UI"/>
            <family val="2"/>
          </rPr>
          <t xml:space="preserve">
1-Orgão
2-Baixa Patrimonial
3-Unidade de Localização
4-Servidor
5-Itens do Inventário Bens Móveis</t>
        </r>
      </text>
    </comment>
    <comment ref="D1348" authorId="3" shapeId="0" xr:uid="{00000000-0006-0000-0100-00002F070000}">
      <text>
        <r>
          <rPr>
            <sz val="9"/>
            <color indexed="81"/>
            <rFont val="Segoe UI"/>
            <family val="2"/>
          </rPr>
          <t xml:space="preserve">
1 -Numero Baixa
2 -Tipo 
3 -Data da baixa 
4 -Orgão 
5 -Motivo 
6 -Unidade localização 
7 -Titulo da baixa 
8 -Justificativa 
9 -Situação 
10-Data cadastro
11-Solicitante
12-Bem
13-usuario cadastro
14-data ultima alteração
15-usuario ultima alteração
16-data conclusão
17-usuario conclusão
18-numero 
19-imagem
20-registro
21-descrição
22-estado
23-valor unitario
24-resp inclusão
25-data
26-CMD
27-MSG</t>
        </r>
      </text>
    </comment>
    <comment ref="E1348" authorId="3" shapeId="0" xr:uid="{00000000-0006-0000-0100-000030070000}">
      <text>
        <r>
          <rPr>
            <sz val="9"/>
            <color indexed="81"/>
            <rFont val="Segoe UI"/>
            <family val="2"/>
          </rPr>
          <t xml:space="preserve">
1-Orgão
2-Baixa Patrimonial
3-Unidade de Localização 
4-Servidor
5-Itens do Inventário Bens Móveis</t>
        </r>
      </text>
    </comment>
    <comment ref="D1349" authorId="3" shapeId="0" xr:uid="{00000000-0006-0000-0100-000031070000}">
      <text>
        <r>
          <rPr>
            <sz val="9"/>
            <color indexed="81"/>
            <rFont val="Segoe UI"/>
            <family val="2"/>
          </rPr>
          <t xml:space="preserve">
1 -Codigo
2 -CMD
3 -MSG</t>
        </r>
      </text>
    </comment>
    <comment ref="E1349" authorId="3" shapeId="0" xr:uid="{00000000-0006-0000-0100-000032070000}">
      <text>
        <r>
          <rPr>
            <sz val="9"/>
            <color indexed="81"/>
            <rFont val="Segoe UI"/>
            <family val="2"/>
          </rPr>
          <t xml:space="preserve">
1-Baixa Patrimonial
</t>
        </r>
      </text>
    </comment>
    <comment ref="D1350" authorId="3" shapeId="0" xr:uid="{00000000-0006-0000-0100-000033070000}">
      <text>
        <r>
          <rPr>
            <sz val="9"/>
            <color indexed="81"/>
            <rFont val="Segoe UI"/>
            <family val="2"/>
          </rPr>
          <t xml:space="preserve">
1 - Imagem
2 - Numero Registro 
3 - Descrição 
4 - Estado Conservação
5 -Valor unitario
6 -Responsavel
7 - Data
8 -CMD
9 -MSG</t>
        </r>
      </text>
    </comment>
    <comment ref="E1350" authorId="3" shapeId="0" xr:uid="{00000000-0006-0000-0100-000034070000}">
      <text>
        <r>
          <rPr>
            <sz val="9"/>
            <color indexed="81"/>
            <rFont val="Segoe UI"/>
            <family val="2"/>
          </rPr>
          <t xml:space="preserve">
1-Baixa Patrimonial
2-Itens do Inventário de Imoveis</t>
        </r>
      </text>
    </comment>
    <comment ref="D1351" authorId="3" shapeId="0" xr:uid="{00000000-0006-0000-0100-000035070000}">
      <text>
        <r>
          <rPr>
            <sz val="9"/>
            <color indexed="81"/>
            <rFont val="Segoe UI"/>
            <family val="2"/>
          </rPr>
          <t xml:space="preserve">
1 -Codigo
2 -CMD
3 -MSG</t>
        </r>
      </text>
    </comment>
    <comment ref="E1351" authorId="3" shapeId="0" xr:uid="{00000000-0006-0000-0100-000036070000}">
      <text>
        <r>
          <rPr>
            <sz val="9"/>
            <color indexed="81"/>
            <rFont val="Segoe UI"/>
            <family val="2"/>
          </rPr>
          <t xml:space="preserve">
1-Baixa Patrimonial
</t>
        </r>
      </text>
    </comment>
    <comment ref="D1352" authorId="3" shapeId="0" xr:uid="{00000000-0006-0000-0100-000037070000}">
      <text>
        <r>
          <rPr>
            <sz val="9"/>
            <color indexed="81"/>
            <rFont val="Segoe UI"/>
            <family val="2"/>
          </rPr>
          <t>1- ID
2 - Situação Baixa
3 - Status do Bem
4 - Data e Hora do Evento
5 - Usuário Responsável
6 - Status do Bem
7 - Tipo de Evento
8 - Detalhes do Evento
9 - CMD
10 - MSG</t>
        </r>
      </text>
    </comment>
    <comment ref="E1352" authorId="3" shapeId="0" xr:uid="{00000000-0006-0000-0100-000038070000}">
      <text>
        <r>
          <rPr>
            <sz val="9"/>
            <color indexed="81"/>
            <rFont val="Segoe UI"/>
            <family val="2"/>
          </rPr>
          <t xml:space="preserve">
1-Baixa Patrimonial
2-Servidor
3-Itens do Inventário Bens Móveis
4-Históricos de Evento do Bem</t>
        </r>
      </text>
    </comment>
    <comment ref="D1355" authorId="3" shapeId="0" xr:uid="{00000000-0006-0000-0100-000039070000}">
      <text>
        <r>
          <rPr>
            <sz val="9"/>
            <color indexed="81"/>
            <rFont val="Segoe UI"/>
            <family val="2"/>
          </rPr>
          <t>1 - UO
2 - UL
3 - ULV
4 - Tipo baixa
5 - Nº da baixa
6 - Situação
7 - Data da Baixa
8 - Responsável pela Baixa
9 - Título 
10 - Data
11 - Justificativa
12 - Item
13 - Registro patrimonial
14 - Imagem
15 - Descrição
16 - Estado
17 - Valor
18 - Valor total
19 - CMD
20 - MSG</t>
        </r>
      </text>
    </comment>
    <comment ref="E1355" authorId="3" shapeId="0" xr:uid="{00000000-0006-0000-0100-00003A070000}">
      <text>
        <r>
          <rPr>
            <sz val="9"/>
            <color indexed="81"/>
            <rFont val="Segoe UI"/>
            <family val="2"/>
          </rPr>
          <t xml:space="preserve">
1-Orgão
2-Baixa Patrimonial
3-Unidade 
4-Servidor
5-Itens do Inventário Bens Móveis</t>
        </r>
      </text>
    </comment>
    <comment ref="D1358" authorId="3" shapeId="0" xr:uid="{00000000-0006-0000-0100-00003B070000}">
      <text>
        <r>
          <rPr>
            <sz val="9"/>
            <color indexed="81"/>
            <rFont val="Segoe UI"/>
            <family val="2"/>
          </rPr>
          <t xml:space="preserve">1-Codigo orgão
2-Descrição orgão
3-destinatário
4-assunto
5-data notificacao ini
6-data notificacao fim
7-texto notificacao
8-tipo movimentação
</t>
        </r>
      </text>
    </comment>
    <comment ref="E1358" authorId="3" shapeId="0" xr:uid="{00000000-0006-0000-0100-00003C070000}">
      <text>
        <r>
          <rPr>
            <sz val="9"/>
            <color indexed="81"/>
            <rFont val="Segoe UI"/>
            <family val="2"/>
          </rPr>
          <t xml:space="preserve">
1-Notificação Mobiliário
</t>
        </r>
      </text>
    </comment>
    <comment ref="D1359" authorId="3" shapeId="0" xr:uid="{00000000-0006-0000-0100-00003D070000}">
      <text>
        <r>
          <rPr>
            <sz val="9"/>
            <color indexed="81"/>
            <rFont val="Segoe UI"/>
            <family val="2"/>
          </rPr>
          <t xml:space="preserve">1-Codigo orgão
2-Descrição orgão
3-destinatário
4-assunto
5-data notificacao ini
6-data notificacao fim
7-texto notificacao
8-tipo movimentação
9-cmd
10-msg
</t>
        </r>
      </text>
    </comment>
    <comment ref="E1359" authorId="3" shapeId="0" xr:uid="{00000000-0006-0000-0100-00003E070000}">
      <text>
        <r>
          <rPr>
            <sz val="9"/>
            <color indexed="81"/>
            <rFont val="Segoe UI"/>
            <family val="2"/>
          </rPr>
          <t xml:space="preserve">
1-Notificação Mobiliário
</t>
        </r>
      </text>
    </comment>
    <comment ref="D1360" authorId="3" shapeId="0" xr:uid="{00000000-0006-0000-0100-00003F070000}">
      <text>
        <r>
          <rPr>
            <sz val="9"/>
            <color indexed="81"/>
            <rFont val="Segoe UI"/>
            <family val="2"/>
          </rPr>
          <t xml:space="preserve">1-Destinatario
2-assunto
3-anexo
4-email
5-texto complementar
6-data 
7-cmd
8-msg
</t>
        </r>
      </text>
    </comment>
    <comment ref="E1360" authorId="3" shapeId="0" xr:uid="{00000000-0006-0000-0100-000040070000}">
      <text>
        <r>
          <rPr>
            <sz val="9"/>
            <color indexed="81"/>
            <rFont val="Segoe UI"/>
            <family val="2"/>
          </rPr>
          <t xml:space="preserve">
1-Notificação Mobiliário
</t>
        </r>
      </text>
    </comment>
    <comment ref="D1361" authorId="3" shapeId="0" xr:uid="{00000000-0006-0000-0100-000041070000}">
      <text>
        <r>
          <rPr>
            <sz val="9"/>
            <color indexed="81"/>
            <rFont val="Segoe UI"/>
            <family val="2"/>
          </rPr>
          <t>01 - Para 
02 - Assunto
03 - Corpo de email 
04 - Responsável patrimonial
05 - Exercicio
06 - Data de inicio
07 - Data de termino
08 - Responsável legal
09 - Responsável setorial
10 - Oficio
11 - Data notificação
12 - Texto complementar
13 - Comando
14 - Mensagem</t>
        </r>
      </text>
    </comment>
    <comment ref="E1361" authorId="3" shapeId="0" xr:uid="{00000000-0006-0000-0100-000042070000}">
      <text>
        <r>
          <rPr>
            <sz val="9"/>
            <color indexed="81"/>
            <rFont val="Segoe UI"/>
            <family val="2"/>
          </rPr>
          <t>01 - Inventario
02 - Servidor
03 - Notificação Mobiliário</t>
        </r>
      </text>
    </comment>
    <comment ref="D1364" authorId="3" shapeId="0" xr:uid="{00000000-0006-0000-0100-000043070000}">
      <text>
        <r>
          <rPr>
            <sz val="9"/>
            <color indexed="81"/>
            <rFont val="Segoe UI"/>
            <family val="2"/>
          </rPr>
          <t xml:space="preserve">
1 -registro
2 -descrição 
3 -numero evento 
4 -tipo evento
5 -status do bem 
6 -data hora evento 
7 -usuario resp
8 -imagem
9-ID
</t>
        </r>
      </text>
    </comment>
    <comment ref="E1364" authorId="3" shapeId="0" xr:uid="{00000000-0006-0000-0100-000044070000}">
      <text>
        <r>
          <rPr>
            <sz val="9"/>
            <color indexed="81"/>
            <rFont val="Segoe UI"/>
            <family val="2"/>
          </rPr>
          <t xml:space="preserve">
1-Historico de eventos do bem
2-Tipo de Evento</t>
        </r>
      </text>
    </comment>
    <comment ref="D1365" authorId="3" shapeId="0" xr:uid="{00000000-0006-0000-0100-000045070000}">
      <text>
        <r>
          <rPr>
            <sz val="9"/>
            <color indexed="81"/>
            <rFont val="Segoe UI"/>
            <family val="2"/>
          </rPr>
          <t xml:space="preserve">
1 -Tipo movimentação 
2 -usuario responsável 
3 -data evento ini
4 -data evento Fim 
5 -Numero 
6 -Situação 
7 -UG Origem 
8 -UG destino 
9 -Local origem 
10-Local destino 
11-Imagem 
12-CMD
13-MSG
</t>
        </r>
      </text>
    </comment>
    <comment ref="E1365" authorId="3" shapeId="0" xr:uid="{00000000-0006-0000-0100-000046070000}">
      <text>
        <r>
          <rPr>
            <sz val="9"/>
            <color indexed="81"/>
            <rFont val="Segoe UI"/>
            <family val="2"/>
          </rPr>
          <t xml:space="preserve">
1-Historico de eventos do bem
2-Itens do Inventário Bens Móveis
3-Servidor
4-Unidade Gestora</t>
        </r>
      </text>
    </comment>
    <comment ref="D1366" authorId="3" shapeId="0" xr:uid="{00000000-0006-0000-0100-000047070000}">
      <text>
        <r>
          <rPr>
            <sz val="9"/>
            <color indexed="81"/>
            <rFont val="Segoe UI"/>
            <family val="2"/>
          </rPr>
          <t xml:space="preserve">
1-Codigo
2-Descrição
3 -CMD</t>
        </r>
      </text>
    </comment>
    <comment ref="E1366" authorId="3" shapeId="0" xr:uid="{00000000-0006-0000-0100-000048070000}">
      <text>
        <r>
          <rPr>
            <sz val="9"/>
            <color indexed="81"/>
            <rFont val="Segoe UI"/>
            <family val="2"/>
          </rPr>
          <t xml:space="preserve">
1-Tipo de Evento
</t>
        </r>
      </text>
    </comment>
    <comment ref="D1367" authorId="3" shapeId="0" xr:uid="{00000000-0006-0000-0100-000049070000}">
      <text>
        <r>
          <rPr>
            <sz val="9"/>
            <color indexed="81"/>
            <rFont val="Segoe UI"/>
            <family val="2"/>
          </rPr>
          <t xml:space="preserve">
1 -Detalhe 
2 -registro
3 -descrição 
4 -numero evento 
5 -tipo evento
6 -status do bem 
7 -data hora evento 
8 -usuario resp
9 -imagem
10-CMD
11-MSG
</t>
        </r>
      </text>
    </comment>
    <comment ref="E1367" authorId="3" shapeId="0" xr:uid="{00000000-0006-0000-0100-00004A070000}">
      <text>
        <r>
          <rPr>
            <sz val="9"/>
            <color indexed="81"/>
            <rFont val="Segoe UI"/>
            <family val="2"/>
          </rPr>
          <t xml:space="preserve">
1-Historico de eventos do bem
2-Itens do Inventário Bens Móveis
3-Servidor
</t>
        </r>
      </text>
    </comment>
    <comment ref="D1368" authorId="3" shapeId="0" xr:uid="{00000000-0006-0000-0100-00004B070000}">
      <text>
        <r>
          <rPr>
            <sz val="9"/>
            <color indexed="81"/>
            <rFont val="Segoe UI"/>
            <family val="2"/>
          </rPr>
          <t xml:space="preserve">
1 -Detalhe 
2 -registro
3 -descrição 
4 -numero evento 
5 -tipo evento
6 -status do bem 
7 -data hora evento 
8 -usuario resp
9 -imagem
10-CMD
11-MSG
</t>
        </r>
      </text>
    </comment>
    <comment ref="E1368" authorId="3" shapeId="0" xr:uid="{00000000-0006-0000-0100-00004C070000}">
      <text>
        <r>
          <rPr>
            <sz val="9"/>
            <color indexed="81"/>
            <rFont val="Segoe UI"/>
            <family val="2"/>
          </rPr>
          <t xml:space="preserve">
1-Historico de eventos do bem
2-Itens do Inventário Bens Móveis
3-Servidor
</t>
        </r>
      </text>
    </comment>
    <comment ref="D1369" authorId="3" shapeId="0" xr:uid="{00000000-0006-0000-0100-00004D070000}">
      <text>
        <r>
          <rPr>
            <sz val="9"/>
            <color indexed="81"/>
            <rFont val="Segoe UI"/>
            <family val="2"/>
          </rPr>
          <t xml:space="preserve">
1 -Detalhe 
2 -registro
3 -descrição 
4 -numero evento 
5 -tipo evento
6 -status do bem 
7 -data hora evento 
8 -usuario resp
9 -imagem
</t>
        </r>
      </text>
    </comment>
    <comment ref="E1369" authorId="3" shapeId="0" xr:uid="{00000000-0006-0000-0100-00004E070000}">
      <text>
        <r>
          <rPr>
            <sz val="9"/>
            <color indexed="81"/>
            <rFont val="Segoe UI"/>
            <family val="2"/>
          </rPr>
          <t xml:space="preserve">
1-Historico de eventos do bem
2-Itens do Inventário Bens Móveis
3-Servidor
</t>
        </r>
      </text>
    </comment>
    <comment ref="D1370" authorId="3" shapeId="0" xr:uid="{00000000-0006-0000-0100-00004F070000}">
      <text>
        <r>
          <rPr>
            <sz val="9"/>
            <color indexed="81"/>
            <rFont val="Segoe UI"/>
            <family val="2"/>
          </rPr>
          <t xml:space="preserve">
1 -Detalhe 
2 -registro
3 -descrição 
4 -numero evento 
5 -tipo evento
6 -status do bem 
7 -data hora evento 
8 -usuario resp
9 -imagem
10-CMD
11-MSG
</t>
        </r>
      </text>
    </comment>
    <comment ref="E1370" authorId="3" shapeId="0" xr:uid="{00000000-0006-0000-0100-000050070000}">
      <text>
        <r>
          <rPr>
            <sz val="9"/>
            <color indexed="81"/>
            <rFont val="Segoe UI"/>
            <family val="2"/>
          </rPr>
          <t xml:space="preserve">
1-Historico de eventos do bem
2-Itens do Inventário Bens Móveis
3-Servidor
</t>
        </r>
      </text>
    </comment>
    <comment ref="D1371" authorId="3" shapeId="0" xr:uid="{00000000-0006-0000-0100-000051070000}">
      <text>
        <r>
          <rPr>
            <sz val="9"/>
            <color indexed="81"/>
            <rFont val="Segoe UI"/>
            <family val="2"/>
          </rPr>
          <t xml:space="preserve">
1 -Codigo
2 - Tipo Evento
3 - Data
4 -CMD
5 -MSG</t>
        </r>
      </text>
    </comment>
    <comment ref="E1371" authorId="3" shapeId="0" xr:uid="{00000000-0006-0000-0100-000052070000}">
      <text>
        <r>
          <rPr>
            <sz val="9"/>
            <color indexed="81"/>
            <rFont val="Segoe UI"/>
            <family val="2"/>
          </rPr>
          <t xml:space="preserve">
1-Historico de eventos do bem
</t>
        </r>
      </text>
    </comment>
    <comment ref="D1374" authorId="3" shapeId="0" xr:uid="{00000000-0006-0000-0100-000053070000}">
      <text>
        <r>
          <rPr>
            <sz val="9"/>
            <color indexed="81"/>
            <rFont val="Segoe UI"/>
            <family val="2"/>
          </rPr>
          <t xml:space="preserve">
1 - Orgão
2 - Situação
3 - Data inicio
4 - Data Fim 
5 - Codigo 
6 - Data de Cadastro
7 - Tipo
8 - Prefixo 
9 - CMD
10 - MSG</t>
        </r>
      </text>
    </comment>
    <comment ref="E1374" authorId="3" shapeId="0" xr:uid="{00000000-0006-0000-0100-000054070000}">
      <text>
        <r>
          <rPr>
            <sz val="9"/>
            <color indexed="81"/>
            <rFont val="Segoe UI"/>
            <family val="2"/>
          </rPr>
          <t xml:space="preserve">
1-Plaquetas
2-Orgão</t>
        </r>
      </text>
    </comment>
    <comment ref="D1375" authorId="3" shapeId="0" xr:uid="{00000000-0006-0000-0100-000055070000}">
      <text>
        <r>
          <rPr>
            <sz val="9"/>
            <color indexed="81"/>
            <rFont val="Segoe UI"/>
            <family val="2"/>
          </rPr>
          <t xml:space="preserve">
1 - Código
2 - Descrição
3 - CMD</t>
        </r>
      </text>
    </comment>
    <comment ref="E1375" authorId="3" shapeId="0" xr:uid="{00000000-0006-0000-0100-000056070000}">
      <text>
        <r>
          <rPr>
            <sz val="9"/>
            <color indexed="81"/>
            <rFont val="Segoe UI"/>
            <family val="2"/>
          </rPr>
          <t xml:space="preserve">
1-Situação Solicitação</t>
        </r>
      </text>
    </comment>
    <comment ref="D1376" authorId="3" shapeId="0" xr:uid="{00000000-0006-0000-0100-000057070000}">
      <text>
        <r>
          <rPr>
            <sz val="9"/>
            <color indexed="81"/>
            <rFont val="Segoe UI"/>
            <family val="2"/>
          </rPr>
          <t xml:space="preserve">
1 -Situação
2 -CMD
3 -MSG</t>
        </r>
      </text>
    </comment>
    <comment ref="E1376" authorId="3" shapeId="0" xr:uid="{00000000-0006-0000-0100-000058070000}">
      <text>
        <r>
          <rPr>
            <sz val="9"/>
            <color indexed="81"/>
            <rFont val="Segoe UI"/>
            <family val="2"/>
          </rPr>
          <t xml:space="preserve">
1-Plaquetas</t>
        </r>
      </text>
    </comment>
    <comment ref="D1379" authorId="3" shapeId="0" xr:uid="{00000000-0006-0000-0100-000059070000}">
      <text>
        <r>
          <rPr>
            <sz val="9"/>
            <color indexed="81"/>
            <rFont val="Segoe UI"/>
            <family val="2"/>
          </rPr>
          <t xml:space="preserve">
1-Orgão Requerente 
2-Orgão Requerido
3-Tipo de plaqueta
4-Prefixo
5-QTD solicitada 
6-Justificativa
</t>
        </r>
      </text>
    </comment>
    <comment ref="E1379" authorId="3" shapeId="0" xr:uid="{00000000-0006-0000-0100-00005A070000}">
      <text>
        <r>
          <rPr>
            <sz val="9"/>
            <color indexed="81"/>
            <rFont val="Segoe UI"/>
            <family val="2"/>
          </rPr>
          <t xml:space="preserve">
1-Plaquetas
2-Situação Solicitação</t>
        </r>
      </text>
    </comment>
    <comment ref="D1380" authorId="3" shapeId="0" xr:uid="{00000000-0006-0000-0100-00005B070000}">
      <text>
        <r>
          <rPr>
            <sz val="9"/>
            <color indexed="81"/>
            <rFont val="Segoe UI"/>
            <family val="2"/>
          </rPr>
          <t xml:space="preserve">
1-Orgão Requerente 
2-Orgão Requerido
3-Tipo de plaqueta
4-Prefixo
5-QTD solicitada 
6-Justificativa
7-CMD
8-MSG</t>
        </r>
      </text>
    </comment>
    <comment ref="E1380" authorId="3" shapeId="0" xr:uid="{00000000-0006-0000-0100-00005C070000}">
      <text>
        <r>
          <rPr>
            <sz val="9"/>
            <color indexed="81"/>
            <rFont val="Segoe UI"/>
            <family val="2"/>
          </rPr>
          <t xml:space="preserve">
1-Plaquetas
2-Orgão</t>
        </r>
      </text>
    </comment>
    <comment ref="D1381" authorId="3" shapeId="0" xr:uid="{00000000-0006-0000-0100-00005D070000}">
      <text>
        <r>
          <rPr>
            <sz val="9"/>
            <color indexed="81"/>
            <rFont val="Segoe UI"/>
            <family val="2"/>
          </rPr>
          <t xml:space="preserve">
1-Situação
2-CMD
3-MSG</t>
        </r>
      </text>
    </comment>
    <comment ref="E1381" authorId="3" shapeId="0" xr:uid="{00000000-0006-0000-0100-00005E070000}">
      <text>
        <r>
          <rPr>
            <sz val="9"/>
            <color indexed="81"/>
            <rFont val="Segoe UI"/>
            <family val="2"/>
          </rPr>
          <t xml:space="preserve">
1-Plaquetas
2-Orgão</t>
        </r>
      </text>
    </comment>
    <comment ref="D1382" authorId="3" shapeId="0" xr:uid="{00000000-0006-0000-0100-00005F070000}">
      <text>
        <r>
          <rPr>
            <sz val="9"/>
            <color indexed="81"/>
            <rFont val="Segoe UI"/>
            <family val="2"/>
          </rPr>
          <t xml:space="preserve">
1-Orgão Requerente 
2-Orgão Requerido
3-Tipo de plaqueta
4-Prefixo
5-QTD solicitada 
6-Justificativa
8-Codigo
9-Ano
10-Caixa
11-Qtd recebida
12-RP INicio
13-RP Fim 
14-Salco
15-CMD
16-MSG</t>
        </r>
      </text>
    </comment>
    <comment ref="E1382" authorId="3" shapeId="0" xr:uid="{00000000-0006-0000-0100-000060070000}">
      <text>
        <r>
          <rPr>
            <sz val="9"/>
            <color indexed="81"/>
            <rFont val="Segoe UI"/>
            <family val="2"/>
          </rPr>
          <t xml:space="preserve">
1-Plaquetas
2-Orgão</t>
        </r>
      </text>
    </comment>
    <comment ref="D1383" authorId="3" shapeId="0" xr:uid="{00000000-0006-0000-0100-000061070000}">
      <text>
        <r>
          <rPr>
            <sz val="9"/>
            <color indexed="81"/>
            <rFont val="Segoe UI"/>
            <family val="2"/>
          </rPr>
          <t xml:space="preserve">
1-Orgão Requerente 
2-Orgão Requerido
3-Tipo de plaqueta
4-Prefixo
5-QTD solicitada 
6-Justificativa
7-CMD
8-MSG</t>
        </r>
      </text>
    </comment>
    <comment ref="E1383" authorId="3" shapeId="0" xr:uid="{00000000-0006-0000-0100-000062070000}">
      <text>
        <r>
          <rPr>
            <sz val="9"/>
            <color indexed="81"/>
            <rFont val="Segoe UI"/>
            <family val="2"/>
          </rPr>
          <t xml:space="preserve">
1-Plaquetas
2-Orgão</t>
        </r>
      </text>
    </comment>
    <comment ref="D1384" authorId="3" shapeId="0" xr:uid="{00000000-0006-0000-0100-000063070000}">
      <text>
        <r>
          <rPr>
            <sz val="9"/>
            <color indexed="81"/>
            <rFont val="Segoe UI"/>
            <family val="2"/>
          </rPr>
          <t xml:space="preserve">
1-Orgão Requerente 
2-Orgão Requerido
3-Tipo de plaqueta
4-Prefixo
5-QTD solicitada 
6-Justificativa
8-Codigo
9-Ano
10-Caixa
11-Qtd recebida
12-RP INicio
13-RP Fim 
14-Saldo
</t>
        </r>
      </text>
    </comment>
    <comment ref="E1384" authorId="3" shapeId="0" xr:uid="{00000000-0006-0000-0100-000064070000}">
      <text>
        <r>
          <rPr>
            <sz val="9"/>
            <color indexed="81"/>
            <rFont val="Segoe UI"/>
            <family val="2"/>
          </rPr>
          <t xml:space="preserve">
1-Plaquetas
2-Orgão</t>
        </r>
      </text>
    </comment>
    <comment ref="D1387" authorId="3" shapeId="0" xr:uid="{00000000-0006-0000-0100-000065070000}">
      <text>
        <r>
          <rPr>
            <sz val="9"/>
            <color indexed="81"/>
            <rFont val="Segoe UI"/>
            <family val="2"/>
          </rPr>
          <t xml:space="preserve">
1-Parecer
2-CMD
3-MSG</t>
        </r>
      </text>
    </comment>
    <comment ref="E1387" authorId="3" shapeId="0" xr:uid="{00000000-0006-0000-0100-000066070000}">
      <text>
        <r>
          <rPr>
            <sz val="9"/>
            <color indexed="81"/>
            <rFont val="Segoe UI"/>
            <family val="2"/>
          </rPr>
          <t xml:space="preserve">
1-Plaquetas
2-Orgão</t>
        </r>
      </text>
    </comment>
    <comment ref="D1388" authorId="3" shapeId="0" xr:uid="{00000000-0006-0000-0100-000067070000}">
      <text>
        <r>
          <rPr>
            <sz val="9"/>
            <color indexed="81"/>
            <rFont val="Segoe UI"/>
            <family val="2"/>
          </rPr>
          <t xml:space="preserve">
1-Parecer
2-CMD
3-MSG</t>
        </r>
      </text>
    </comment>
    <comment ref="E1388" authorId="3" shapeId="0" xr:uid="{00000000-0006-0000-0100-000068070000}">
      <text>
        <r>
          <rPr>
            <sz val="9"/>
            <color indexed="81"/>
            <rFont val="Segoe UI"/>
            <family val="2"/>
          </rPr>
          <t xml:space="preserve">
1-Plaquetas
2-Orgão</t>
        </r>
      </text>
    </comment>
    <comment ref="D1391" authorId="3" shapeId="0" xr:uid="{00000000-0006-0000-0100-000069070000}">
      <text>
        <r>
          <rPr>
            <sz val="9"/>
            <color indexed="81"/>
            <rFont val="Segoe UI"/>
            <family val="2"/>
          </rPr>
          <t xml:space="preserve">
1 -Unidade gestora
2 -Tipo
3 -Situação
4 -data inicio
5 -data fim 
6 -Codigo
7 -Prefixo
8 -total de plaquetas
9 -CMD
10-MSG</t>
        </r>
      </text>
    </comment>
    <comment ref="E1391" authorId="3" shapeId="0" xr:uid="{00000000-0006-0000-0100-00006A070000}">
      <text>
        <r>
          <rPr>
            <sz val="9"/>
            <color indexed="81"/>
            <rFont val="Segoe UI"/>
            <family val="2"/>
          </rPr>
          <t xml:space="preserve">
1-Intervalo Patrimonial
2-Orgão</t>
        </r>
      </text>
    </comment>
    <comment ref="D1392" authorId="3" shapeId="0" xr:uid="{00000000-0006-0000-0100-00006B070000}">
      <text>
        <r>
          <rPr>
            <sz val="9"/>
            <color indexed="81"/>
            <rFont val="Segoe UI"/>
            <family val="2"/>
          </rPr>
          <t xml:space="preserve">
1 - Código
2 - Descrição
3 - CMD</t>
        </r>
      </text>
    </comment>
    <comment ref="E1392" authorId="3" shapeId="0" xr:uid="{00000000-0006-0000-0100-00006C070000}">
      <text>
        <r>
          <rPr>
            <sz val="9"/>
            <color indexed="81"/>
            <rFont val="Segoe UI"/>
            <family val="2"/>
          </rPr>
          <t xml:space="preserve">
1-Tipo Emplaquetamento</t>
        </r>
      </text>
    </comment>
    <comment ref="D1395" authorId="3" shapeId="0" xr:uid="{00000000-0006-0000-0100-00006D070000}">
      <text>
        <r>
          <rPr>
            <sz val="9"/>
            <color indexed="81"/>
            <rFont val="Segoe UI"/>
            <family val="2"/>
          </rPr>
          <t xml:space="preserve">
1 -Tipo
2 -Prefixo
3 -Ano caixa e plaqueta
4 -Caixa caixa e plaqueta
5 -numero inicial caixa e plaqueta
6 -Numero final  caixa e plaqueta
7 -Total de plaquetas caixa e plaqueta
8 -Saldo caixa e plaqueta
9 -Ano Unidade gestora
10-Caixa Unidade gestora
11-Saldo Unidade gestora
12-Unidade gestora 
13-Qtd solicitada Unidade gestora
14-Qtd fornecida Unidade gestora</t>
        </r>
      </text>
    </comment>
    <comment ref="E1395" authorId="3" shapeId="0" xr:uid="{00000000-0006-0000-0100-00006E070000}">
      <text>
        <r>
          <rPr>
            <sz val="9"/>
            <color indexed="81"/>
            <rFont val="Segoe UI"/>
            <family val="2"/>
          </rPr>
          <t xml:space="preserve">
1-Intervalo patrimonial
2-Caixas e plaquetas
3-Unidade gestora
4 - Tipo Emplaquetamento</t>
        </r>
      </text>
    </comment>
    <comment ref="D1396" authorId="3" shapeId="0" xr:uid="{00000000-0006-0000-0100-00006F070000}">
      <text>
        <r>
          <rPr>
            <sz val="9"/>
            <color indexed="81"/>
            <rFont val="Segoe UI"/>
            <family val="2"/>
          </rPr>
          <t xml:space="preserve">
1 -Tipo
2 -Prefixo
3 -CMD
4-MSG</t>
        </r>
      </text>
    </comment>
    <comment ref="E1396" authorId="3" shapeId="0" xr:uid="{00000000-0006-0000-0100-000070070000}">
      <text>
        <r>
          <rPr>
            <sz val="9"/>
            <color indexed="81"/>
            <rFont val="Segoe UI"/>
            <family val="2"/>
          </rPr>
          <t xml:space="preserve">
1-Intervalo Patrimonial</t>
        </r>
      </text>
    </comment>
    <comment ref="D1397" authorId="3" shapeId="0" xr:uid="{00000000-0006-0000-0100-000071070000}">
      <text>
        <r>
          <rPr>
            <sz val="9"/>
            <color indexed="81"/>
            <rFont val="Segoe UI"/>
            <family val="2"/>
          </rPr>
          <t xml:space="preserve">
1 -Ano
2 -Caixa
3-numero inicial
4-Numero final 
5-Total de plaquetas
6-Saldo
7-CMD
8-MSG</t>
        </r>
      </text>
    </comment>
    <comment ref="E1397" authorId="3" shapeId="0" xr:uid="{00000000-0006-0000-0100-000072070000}">
      <text>
        <r>
          <rPr>
            <sz val="9"/>
            <color indexed="81"/>
            <rFont val="Segoe UI"/>
            <family val="2"/>
          </rPr>
          <t xml:space="preserve">
1-Intervalo Patrimonial
2-Plaquetas</t>
        </r>
      </text>
    </comment>
    <comment ref="D1398" authorId="3" shapeId="0" xr:uid="{00000000-0006-0000-0100-000073070000}">
      <text>
        <r>
          <rPr>
            <sz val="9"/>
            <color indexed="81"/>
            <rFont val="Segoe UI"/>
            <family val="2"/>
          </rPr>
          <t xml:space="preserve">
1 -Ano
2 -Caixa
3-Saldo
4-Unidade gestora
5-Qtd solicitada
6-Qtd fornecida
7-CMD
8-MSG</t>
        </r>
      </text>
    </comment>
    <comment ref="E1398" authorId="3" shapeId="0" xr:uid="{00000000-0006-0000-0100-000074070000}">
      <text>
        <r>
          <rPr>
            <sz val="9"/>
            <color indexed="81"/>
            <rFont val="Segoe UI"/>
            <family val="2"/>
          </rPr>
          <t xml:space="preserve">
1-Intervalo Patrimonial
2-Orgão</t>
        </r>
      </text>
    </comment>
    <comment ref="D1399" authorId="3" shapeId="0" xr:uid="{00000000-0006-0000-0100-000075070000}">
      <text>
        <r>
          <rPr>
            <sz val="9"/>
            <color indexed="81"/>
            <rFont val="Segoe UI"/>
            <family val="2"/>
          </rPr>
          <t xml:space="preserve">
1 - Código
2 - Descrição
3 - CMD</t>
        </r>
      </text>
    </comment>
    <comment ref="E1399" authorId="3" shapeId="0" xr:uid="{00000000-0006-0000-0100-000076070000}">
      <text>
        <r>
          <rPr>
            <sz val="9"/>
            <color indexed="81"/>
            <rFont val="Segoe UI"/>
            <family val="2"/>
          </rPr>
          <t xml:space="preserve">
1-Caixas e plaquetas</t>
        </r>
      </text>
    </comment>
    <comment ref="D1400" authorId="3" shapeId="0" xr:uid="{00000000-0006-0000-0100-000077070000}">
      <text>
        <r>
          <rPr>
            <sz val="9"/>
            <color indexed="81"/>
            <rFont val="Segoe UI"/>
            <family val="2"/>
          </rPr>
          <t xml:space="preserve">
1-Situação
2-CMD
3-MSG</t>
        </r>
      </text>
    </comment>
    <comment ref="E1400" authorId="3" shapeId="0" xr:uid="{00000000-0006-0000-0100-000078070000}">
      <text>
        <r>
          <rPr>
            <sz val="9"/>
            <color indexed="81"/>
            <rFont val="Segoe UI"/>
            <family val="2"/>
          </rPr>
          <t xml:space="preserve">
1-Intervalo Patrimonial</t>
        </r>
      </text>
    </comment>
    <comment ref="D1401" authorId="3" shapeId="0" xr:uid="{00000000-0006-0000-0100-000079070000}">
      <text>
        <r>
          <rPr>
            <sz val="9"/>
            <color indexed="81"/>
            <rFont val="Segoe UI"/>
            <family val="2"/>
          </rPr>
          <t xml:space="preserve">
1 -Tipo
2 -Prefixo
3 -CMD
4-MSG</t>
        </r>
      </text>
    </comment>
    <comment ref="E1401" authorId="3" shapeId="0" xr:uid="{00000000-0006-0000-0100-00007A070000}">
      <text>
        <r>
          <rPr>
            <sz val="9"/>
            <color indexed="81"/>
            <rFont val="Segoe UI"/>
            <family val="2"/>
          </rPr>
          <t xml:space="preserve">
1-Intervalo Patrimonial</t>
        </r>
      </text>
    </comment>
    <comment ref="D1402" authorId="3" shapeId="0" xr:uid="{00000000-0006-0000-0100-00007B070000}">
      <text>
        <r>
          <rPr>
            <sz val="9"/>
            <color indexed="81"/>
            <rFont val="Segoe UI"/>
            <family val="2"/>
          </rPr>
          <t xml:space="preserve">
1 -Tipo
2 -Prefixo
3 -Nome do usuario
4 - data intervalo
5 -Ano
6 -Caixa
7 -numero inicial
8 -Numero final 
9-Total de plaquetas
10 -Saldo
11 -Nome do usuario 
12 -data caixa
13 -Ano
14 -Caixa
15-Saldo
16 -Unidade gestora
17 -Qtd solicitada
18 -Qtd fornecida
19 -Nome do usuario
20 -Data unidade gestora
</t>
        </r>
      </text>
    </comment>
    <comment ref="E1402" authorId="3" shapeId="0" xr:uid="{00000000-0006-0000-0100-00007C070000}">
      <text>
        <r>
          <rPr>
            <sz val="9"/>
            <color indexed="81"/>
            <rFont val="Segoe UI"/>
            <family val="2"/>
          </rPr>
          <t xml:space="preserve">
1-Intervalo Patrimonial
2-Usuario
3-Plaquetas
4-Órgão</t>
        </r>
      </text>
    </comment>
    <comment ref="D1403" authorId="3" shapeId="0" xr:uid="{00000000-0006-0000-0100-00007D070000}">
      <text>
        <r>
          <rPr>
            <sz val="9"/>
            <color indexed="81"/>
            <rFont val="Segoe UI"/>
            <family val="2"/>
          </rPr>
          <t xml:space="preserve">
1 -Ano
2 -Caixa
3-numero inicial
4-Numero final 
5-Total de plaquetas
6-Saldo
7-CMD
8-MSG</t>
        </r>
      </text>
    </comment>
    <comment ref="E1403" authorId="3" shapeId="0" xr:uid="{00000000-0006-0000-0100-00007E070000}">
      <text>
        <r>
          <rPr>
            <sz val="9"/>
            <color indexed="81"/>
            <rFont val="Segoe UI"/>
            <family val="2"/>
          </rPr>
          <t xml:space="preserve">
1-Intervalo Patrimonial
2-Plaquetas</t>
        </r>
      </text>
    </comment>
    <comment ref="D1404" authorId="3" shapeId="0" xr:uid="{00000000-0006-0000-0100-00007F070000}">
      <text>
        <r>
          <rPr>
            <sz val="9"/>
            <color indexed="81"/>
            <rFont val="Segoe UI"/>
            <family val="2"/>
          </rPr>
          <t xml:space="preserve">
1 -Ano
2 -Caixa
3-Saldo
4-Unidade gestora
5-Qtd solicitada
6-Qtd fornecida
7-CMD
8-MSG</t>
        </r>
      </text>
    </comment>
    <comment ref="E1404" authorId="3" shapeId="0" xr:uid="{00000000-0006-0000-0100-000080070000}">
      <text>
        <r>
          <rPr>
            <sz val="9"/>
            <color indexed="81"/>
            <rFont val="Segoe UI"/>
            <family val="2"/>
          </rPr>
          <t xml:space="preserve">
1-Intervalo Patrimonial
2-Orgão</t>
        </r>
      </text>
    </comment>
    <comment ref="D1405" authorId="3" shapeId="0" xr:uid="{00000000-0006-0000-0100-000081070000}">
      <text>
        <r>
          <rPr>
            <sz val="9"/>
            <color indexed="81"/>
            <rFont val="Segoe UI"/>
            <family val="2"/>
          </rPr>
          <t xml:space="preserve">
1 -Tipo
2 -Prefixo
3 -Nome do usuario
4 - data intervalo
5 -Ano
6 -Caixa
7 -numero inicial
8 -Numero final 
9-Total de plaquetas
10 -Saldo
11 -Nome do usuario 
12 -data caixa
13 -Ano
14 -Caixa
15-Saldo
16 -Unidade gestora
17 -Qtd solicitada
18 -Qtd fornecida
19 -Nome do usuario
20 -Data unidade gestora
21- CMD
22-MSG</t>
        </r>
      </text>
    </comment>
    <comment ref="E1405" authorId="3" shapeId="0" xr:uid="{00000000-0006-0000-0100-000082070000}">
      <text>
        <r>
          <rPr>
            <sz val="9"/>
            <color indexed="81"/>
            <rFont val="Segoe UI"/>
            <family val="2"/>
          </rPr>
          <t xml:space="preserve">
1-Intervalo Patrimonial
2-Usuario
3-Plaquetas
4-Órgão</t>
        </r>
      </text>
    </comment>
    <comment ref="D1406" authorId="3" shapeId="0" xr:uid="{00000000-0006-0000-0100-000083070000}">
      <text>
        <r>
          <rPr>
            <sz val="9"/>
            <color indexed="81"/>
            <rFont val="Segoe UI"/>
            <family val="2"/>
          </rPr>
          <t xml:space="preserve">
1 -Código
2 -CMD
3 -MSG</t>
        </r>
      </text>
    </comment>
    <comment ref="E1406" authorId="3" shapeId="0" xr:uid="{00000000-0006-0000-0100-000084070000}">
      <text>
        <r>
          <rPr>
            <sz val="9"/>
            <color indexed="81"/>
            <rFont val="Segoe UI"/>
            <family val="2"/>
          </rPr>
          <t xml:space="preserve">
1-Caixas e Plaquetas</t>
        </r>
      </text>
    </comment>
    <comment ref="D1407" authorId="3" shapeId="0" xr:uid="{00000000-0006-0000-0100-000085070000}">
      <text>
        <r>
          <rPr>
            <sz val="9"/>
            <color indexed="81"/>
            <rFont val="Segoe UI"/>
            <family val="2"/>
          </rPr>
          <t xml:space="preserve">
1 -Código
2 -CMD
3 -MSG</t>
        </r>
      </text>
    </comment>
    <comment ref="E1407" authorId="3" shapeId="0" xr:uid="{00000000-0006-0000-0100-000086070000}">
      <text>
        <r>
          <rPr>
            <sz val="9"/>
            <color indexed="81"/>
            <rFont val="Segoe UI"/>
            <family val="2"/>
          </rPr>
          <t xml:space="preserve">
1-Unidade Gestora</t>
        </r>
      </text>
    </comment>
    <comment ref="D1408" authorId="3" shapeId="0" xr:uid="{00000000-0006-0000-0100-000087070000}">
      <text>
        <r>
          <rPr>
            <sz val="9"/>
            <color indexed="81"/>
            <rFont val="Segoe UI"/>
            <family val="2"/>
          </rPr>
          <t xml:space="preserve">
1 -Código
2 -Situação
3 -CMD
4 -MSG</t>
        </r>
      </text>
    </comment>
    <comment ref="E1408" authorId="3" shapeId="0" xr:uid="{00000000-0006-0000-0100-000088070000}">
      <text>
        <r>
          <rPr>
            <sz val="9"/>
            <color indexed="81"/>
            <rFont val="Segoe UI"/>
            <family val="2"/>
          </rPr>
          <t xml:space="preserve">
1-Intervalo Patrimonial</t>
        </r>
      </text>
    </comment>
    <comment ref="D1411" authorId="3" shapeId="0" xr:uid="{00000000-0006-0000-0100-000089070000}">
      <text>
        <r>
          <rPr>
            <sz val="9"/>
            <color indexed="81"/>
            <rFont val="Segoe UI"/>
            <family val="2"/>
          </rPr>
          <t xml:space="preserve">
1 -Numero inicial
2 -Numero final 
3 -CMD
4-MSG</t>
        </r>
      </text>
    </comment>
    <comment ref="E1411" authorId="3" shapeId="0" xr:uid="{00000000-0006-0000-0100-00008A070000}">
      <text>
        <r>
          <rPr>
            <sz val="9"/>
            <color indexed="81"/>
            <rFont val="Segoe UI"/>
            <family val="2"/>
          </rPr>
          <t xml:space="preserve">
1-Intervalo Patrimonial</t>
        </r>
      </text>
    </comment>
    <comment ref="D1412" authorId="3" shapeId="0" xr:uid="{00000000-0006-0000-0100-00008B070000}">
      <text>
        <r>
          <rPr>
            <sz val="9"/>
            <color indexed="81"/>
            <rFont val="Segoe UI"/>
            <family val="2"/>
          </rPr>
          <t xml:space="preserve">
1 -Unidade gestora
2 -Codigo intervalo
3-QTD libera
4-CMD
5-MSG</t>
        </r>
      </text>
    </comment>
    <comment ref="E1412" authorId="3" shapeId="0" xr:uid="{00000000-0006-0000-0100-00008C070000}">
      <text>
        <r>
          <rPr>
            <sz val="9"/>
            <color indexed="81"/>
            <rFont val="Segoe UI"/>
            <family val="2"/>
          </rPr>
          <t xml:space="preserve">
1-Intervalo Patrimonial
2-Orgão</t>
        </r>
      </text>
    </comment>
    <comment ref="D1413" authorId="3" shapeId="0" xr:uid="{00000000-0006-0000-0100-00008D070000}">
      <text>
        <r>
          <rPr>
            <sz val="9"/>
            <color indexed="81"/>
            <rFont val="Segoe UI"/>
            <family val="2"/>
          </rPr>
          <t xml:space="preserve">
1 - Código
2 - Descrição
3 - CMD</t>
        </r>
      </text>
    </comment>
    <comment ref="E1413" authorId="3" shapeId="0" xr:uid="{00000000-0006-0000-0100-00008E070000}">
      <text>
        <r>
          <rPr>
            <sz val="9"/>
            <color indexed="81"/>
            <rFont val="Segoe UI"/>
            <family val="2"/>
          </rPr>
          <t xml:space="preserve">
1-Intervalo Patrimonial</t>
        </r>
      </text>
    </comment>
    <comment ref="D1414" authorId="3" shapeId="0" xr:uid="{00000000-0006-0000-0100-00008F070000}">
      <text>
        <r>
          <rPr>
            <sz val="9"/>
            <color indexed="81"/>
            <rFont val="Segoe UI"/>
            <family val="2"/>
          </rPr>
          <t xml:space="preserve">
1 -Numero inicial
2 -Numero final 
3 -CMD
4-MSG</t>
        </r>
      </text>
    </comment>
    <comment ref="E1414" authorId="3" shapeId="0" xr:uid="{00000000-0006-0000-0100-000090070000}">
      <text>
        <r>
          <rPr>
            <sz val="9"/>
            <color indexed="81"/>
            <rFont val="Segoe UI"/>
            <family val="2"/>
          </rPr>
          <t xml:space="preserve">
1-Intervalo Patrimonial</t>
        </r>
      </text>
    </comment>
    <comment ref="D1415" authorId="3" shapeId="0" xr:uid="{00000000-0006-0000-0100-000091070000}">
      <text>
        <r>
          <rPr>
            <sz val="9"/>
            <color indexed="81"/>
            <rFont val="Segoe UI"/>
            <family val="2"/>
          </rPr>
          <t xml:space="preserve">1 - Tipo
2 - Prefixo
3 - Número Inicial
4 - Número Final
5 - Código
6 - RP Inicial
7 - RP Final
8 - Qtde Plaquetas
9 - Qtde Fornecida
10 - Saldo
11 - Unidade Gestora
12 - Qtde Recebida
13 - Qtde Utilizada
14 - RP Início
15 - RP Fim
16 - Saldo
17 - Situação
18 - Usuário
19 - Data
</t>
        </r>
      </text>
    </comment>
    <comment ref="E1415" authorId="3" shapeId="0" xr:uid="{00000000-0006-0000-0100-000092070000}">
      <text>
        <r>
          <rPr>
            <sz val="9"/>
            <color indexed="81"/>
            <rFont val="Segoe UI"/>
            <family val="2"/>
          </rPr>
          <t xml:space="preserve">
1-Intervalo Patrimonial
2-Orgão</t>
        </r>
      </text>
    </comment>
    <comment ref="D1416" authorId="3" shapeId="0" xr:uid="{00000000-0006-0000-0100-000093070000}">
      <text>
        <r>
          <rPr>
            <sz val="9"/>
            <color indexed="81"/>
            <rFont val="Segoe UI"/>
            <family val="2"/>
          </rPr>
          <t xml:space="preserve">
1 -Unidade gestora
2 -Codigo intervalo
3-QTD libera
4-CMD
5-MSG</t>
        </r>
      </text>
    </comment>
    <comment ref="E1416" authorId="3" shapeId="0" xr:uid="{00000000-0006-0000-0100-000094070000}">
      <text>
        <r>
          <rPr>
            <sz val="9"/>
            <color indexed="81"/>
            <rFont val="Segoe UI"/>
            <family val="2"/>
          </rPr>
          <t xml:space="preserve">
1-Intervalo Patrimonial
2-Orgão</t>
        </r>
      </text>
    </comment>
    <comment ref="D1417" authorId="3" shapeId="0" xr:uid="{00000000-0006-0000-0100-000095070000}">
      <text>
        <r>
          <rPr>
            <sz val="9"/>
            <color indexed="81"/>
            <rFont val="Segoe UI"/>
            <family val="2"/>
          </rPr>
          <t>1 - Tipo
2 - Prefixo
3 - Número Inicial
4 - Número Final
5 - Código
6 - RP Inicial
7 - RP Final
8 - Qtde Plaquetas
9 - Qtde Fornecida
10 - Saldo
11 - Unidade Gestora
12 - Qtde Recebida
13 - Qtde Utilizada
14 - RP Início
15 - RP Fim
16 - Saldo
17 - Situação
18 - Usuário
19 - Data
20 -CMD
21-MSG</t>
        </r>
      </text>
    </comment>
    <comment ref="E1417" authorId="3" shapeId="0" xr:uid="{00000000-0006-0000-0100-000096070000}">
      <text>
        <r>
          <rPr>
            <sz val="9"/>
            <color indexed="81"/>
            <rFont val="Segoe UI"/>
            <family val="2"/>
          </rPr>
          <t xml:space="preserve">
1-Intervalo Patrimonial
2-Orgão</t>
        </r>
      </text>
    </comment>
    <comment ref="D1418" authorId="3" shapeId="0" xr:uid="{00000000-0006-0000-0100-000097070000}">
      <text>
        <r>
          <rPr>
            <sz val="9"/>
            <color indexed="81"/>
            <rFont val="Segoe UI"/>
            <family val="2"/>
          </rPr>
          <t xml:space="preserve">
1 -Código
2 -CMD
3 -MSG</t>
        </r>
      </text>
    </comment>
    <comment ref="E1418" authorId="3" shapeId="0" xr:uid="{00000000-0006-0000-0100-000098070000}">
      <text>
        <r>
          <rPr>
            <sz val="9"/>
            <color indexed="81"/>
            <rFont val="Segoe UI"/>
            <family val="2"/>
          </rPr>
          <t xml:space="preserve">
1-Intervalo Patrimonial</t>
        </r>
      </text>
    </comment>
    <comment ref="D1419" authorId="3" shapeId="0" xr:uid="{00000000-0006-0000-0100-000099070000}">
      <text>
        <r>
          <rPr>
            <sz val="9"/>
            <color indexed="81"/>
            <rFont val="Segoe UI"/>
            <family val="2"/>
          </rPr>
          <t xml:space="preserve">
1 -Código
2 -CMD
3 -MSG</t>
        </r>
      </text>
    </comment>
    <comment ref="E1419" authorId="3" shapeId="0" xr:uid="{00000000-0006-0000-0100-00009A070000}">
      <text>
        <r>
          <rPr>
            <sz val="9"/>
            <color indexed="81"/>
            <rFont val="Segoe UI"/>
            <family val="2"/>
          </rPr>
          <t xml:space="preserve">
1-Intervalo Patrimonial</t>
        </r>
      </text>
    </comment>
    <comment ref="D1422" authorId="3" shapeId="0" xr:uid="{00000000-0006-0000-0100-00009B070000}">
      <text>
        <r>
          <rPr>
            <sz val="9"/>
            <color indexed="81"/>
            <rFont val="Segoe UI"/>
            <family val="2"/>
          </rPr>
          <t xml:space="preserve">
1 -Data 
2 -QTD pacote 
3-sequencial ini
4-sequencial fim 
5-CMD 
6-MSG</t>
        </r>
      </text>
    </comment>
    <comment ref="E1422" authorId="3" shapeId="0" xr:uid="{00000000-0006-0000-0100-00009C070000}">
      <text>
        <r>
          <rPr>
            <sz val="9"/>
            <color indexed="81"/>
            <rFont val="Segoe UI"/>
            <family val="2"/>
          </rPr>
          <t xml:space="preserve">
1-Intervalo Patrimonial</t>
        </r>
      </text>
    </comment>
    <comment ref="D1427" authorId="3" shapeId="0" xr:uid="{00000000-0006-0000-0100-00009D070000}">
      <text>
        <r>
          <rPr>
            <sz val="9"/>
            <color indexed="81"/>
            <rFont val="Segoe UI"/>
            <family val="2"/>
          </rPr>
          <t xml:space="preserve">
1 -Reponsável 
2 -situação
3-Data
4-CMD 
5-MSG</t>
        </r>
      </text>
    </comment>
    <comment ref="E1427" authorId="3" shapeId="0" xr:uid="{00000000-0006-0000-0100-00009E070000}">
      <text>
        <r>
          <rPr>
            <sz val="9"/>
            <color indexed="81"/>
            <rFont val="Segoe UI"/>
            <family val="2"/>
          </rPr>
          <t xml:space="preserve">
1-Intervalo Patrimonial
2-Usuario</t>
        </r>
      </text>
    </comment>
    <comment ref="D1431" authorId="5" shapeId="0" xr:uid="{00000000-0006-0000-0100-00009F070000}">
      <text>
        <r>
          <rPr>
            <sz val="9"/>
            <color indexed="81"/>
            <rFont val="Segoe UI"/>
            <family val="2"/>
          </rPr>
          <t>1. Id do imóvel
2. Tipo de regularização
3. Titulo da regularização
4. Número da legislação
5. Arquivo
6. Comentário
7. Usuário solicitante
8. Data da solicitação
9. Ultima alteração
10. Usuário alteração
11. Processo Vinculado</t>
        </r>
      </text>
    </comment>
    <comment ref="E1431" authorId="5" shapeId="0" xr:uid="{00000000-0006-0000-0100-0000A0070000}">
      <text>
        <r>
          <rPr>
            <sz val="9"/>
            <color indexed="81"/>
            <rFont val="Segoe UI"/>
            <family val="2"/>
          </rPr>
          <t>1. Regularização Imobiliária
2. Tipo de Regularização</t>
        </r>
      </text>
    </comment>
    <comment ref="D1432" authorId="5" shapeId="0" xr:uid="{00000000-0006-0000-0100-0000A1070000}">
      <text>
        <r>
          <rPr>
            <sz val="9"/>
            <color indexed="81"/>
            <rFont val="Segoe UI"/>
            <family val="2"/>
          </rPr>
          <t>1. Código regularização
2. nome usual do imóvel
3. nº matrícula do imóvel
4. RIP
5. tipos de regularização
6. Título de regularização
7. Número da legislação
8. solicitante
9. data da solicitação
10. Matrícula
11. Titular
12. Município
13. Forma de aquisição
14. Data Solicitação
15. Solicitante
16. Processo Vinculado
17. CMD
18. Mensagem</t>
        </r>
      </text>
    </comment>
    <comment ref="E1432" authorId="5" shapeId="0" xr:uid="{00000000-0006-0000-0100-0000A2070000}">
      <text>
        <r>
          <rPr>
            <sz val="9"/>
            <color indexed="81"/>
            <rFont val="Segoe UI"/>
            <family val="2"/>
          </rPr>
          <t>1. Imóvel
2. Município
3. Usuário
4. Regularização Imobiliária</t>
        </r>
      </text>
    </comment>
    <comment ref="D1433" authorId="5" shapeId="0" xr:uid="{00000000-0006-0000-0100-0000A3070000}">
      <text>
        <r>
          <rPr>
            <sz val="9"/>
            <color indexed="81"/>
            <rFont val="Segoe UI"/>
            <family val="2"/>
          </rPr>
          <t>1. Id do imóvel
2. Tipo de regularização
3. Titulo da regularização
4. Número da legislação
5. Arquivo
6. Comentário
7. Usuário solicitante
8. Data da solicitação
9. Ultima alteração
10. Usuário alteração
11. CMD
12. MSG</t>
        </r>
      </text>
    </comment>
    <comment ref="E1433" authorId="5" shapeId="0" xr:uid="{00000000-0006-0000-0100-0000A4070000}">
      <text>
        <r>
          <rPr>
            <sz val="9"/>
            <color indexed="81"/>
            <rFont val="Segoe UI"/>
            <family val="2"/>
          </rPr>
          <t>1. Imóvel
2.  Usuário
3. Regularização Imobiliária</t>
        </r>
      </text>
    </comment>
    <comment ref="D1434" authorId="5" shapeId="0" xr:uid="{00000000-0006-0000-0100-0000A5070000}">
      <text>
        <r>
          <rPr>
            <sz val="9"/>
            <color indexed="81"/>
            <rFont val="Segoe UI"/>
            <family val="2"/>
          </rPr>
          <t>1. Tipo de imóvel
2. Títular
3. Zoneamento
4. Forma de aquisição
5. Municipio
6. Nome usual
7. Nº matricula
8. RIP
9. CMD
10. MSG</t>
        </r>
      </text>
    </comment>
    <comment ref="E1434" authorId="5" shapeId="0" xr:uid="{00000000-0006-0000-0100-0000A6070000}">
      <text>
        <r>
          <rPr>
            <sz val="9"/>
            <color indexed="81"/>
            <rFont val="Segoe UI"/>
            <family val="2"/>
          </rPr>
          <t>1. Imóvel
2. Município</t>
        </r>
      </text>
    </comment>
    <comment ref="D1435" authorId="3" shapeId="0" xr:uid="{00000000-0006-0000-0100-0000A7070000}">
      <text>
        <r>
          <rPr>
            <sz val="9"/>
            <color indexed="81"/>
            <rFont val="Segoe UI"/>
            <family val="2"/>
          </rPr>
          <t xml:space="preserve">
1-Código
2-Descrição
3-CMD</t>
        </r>
      </text>
    </comment>
    <comment ref="E1435" authorId="3" shapeId="0" xr:uid="{00000000-0006-0000-0100-0000A8070000}">
      <text>
        <r>
          <rPr>
            <sz val="9"/>
            <color indexed="81"/>
            <rFont val="Segoe UI"/>
            <family val="2"/>
          </rPr>
          <t xml:space="preserve">
1-Tipo Regularização
</t>
        </r>
      </text>
    </comment>
    <comment ref="D1436" authorId="5" shapeId="0" xr:uid="{00000000-0006-0000-0100-0000A9070000}">
      <text>
        <r>
          <rPr>
            <sz val="9"/>
            <color indexed="81"/>
            <rFont val="Segoe UI"/>
            <family val="2"/>
          </rPr>
          <t>1. Id do imóvel
2. Tipo de regularização
3. Titulo da regularização
4. Número da legislação
5. Arquivo
6. Comentário
7. Usuário solicitante
8. Data da solicitação
9. Ultima alteração
10. Usuário alteração
11. CMD
12. MSG</t>
        </r>
      </text>
    </comment>
    <comment ref="E1436" authorId="5" shapeId="0" xr:uid="{00000000-0006-0000-0100-0000AA070000}">
      <text>
        <r>
          <rPr>
            <sz val="9"/>
            <color indexed="81"/>
            <rFont val="Segoe UI"/>
            <family val="2"/>
          </rPr>
          <t>1. Imóvel
2.  Usuário
3. Regularização Imobiliária</t>
        </r>
      </text>
    </comment>
    <comment ref="D1437" authorId="5" shapeId="0" xr:uid="{00000000-0006-0000-0100-0000AB070000}">
      <text>
        <r>
          <rPr>
            <sz val="9"/>
            <color indexed="81"/>
            <rFont val="Segoe UI"/>
            <family val="2"/>
          </rPr>
          <t xml:space="preserve">1. Nome usual do imóvel
2. Matricula do imóvel
3. RIP
4. Tipo de imóvel
5. Titular
6. Zoneamento
7. Forma de Aquisição
8. Município
9. Tipo de regularização
10. Titulo da regularização
11. Número da legislação
12. Arquivo
13. Comentário
14. Usuário solicitante
15. Data da solicitação
16. Ultima alteração
17. Usuário alteração
18. Código regularização
19. Tipo regularização listagem
20. Título listagem
21. Nome listagem
22. Matricula listagem
23. Titular listagem
24. Data solicitação listagem
25. Solicitante listagem
</t>
        </r>
      </text>
    </comment>
    <comment ref="E1437" authorId="5" shapeId="0" xr:uid="{00000000-0006-0000-0100-0000AC070000}">
      <text>
        <r>
          <rPr>
            <sz val="9"/>
            <color indexed="81"/>
            <rFont val="Segoe UI"/>
            <family val="2"/>
          </rPr>
          <t>1. Imóvel
2. Município
3. Usuário
4. Regularização Imobiliária</t>
        </r>
      </text>
    </comment>
    <comment ref="D1438" authorId="5" shapeId="0" xr:uid="{00000000-0006-0000-0100-0000AD070000}">
      <text>
        <r>
          <rPr>
            <sz val="9"/>
            <color indexed="81"/>
            <rFont val="Segoe UI"/>
            <family val="2"/>
          </rPr>
          <t>1. Nome usual do imóvel
2. Matricula do imóvel
3. RIP
4. Tipo de imóvel
5. Titular
6. Zoneamento
7. Forma de Aquisição
8. Município
9. Tipo de regularização
10. Titulo da regularização
11. Número da legislação
12. Arquivo
13. Comentário
14. Usuário solicitante
15. Data da solicitação
16. Ultima alteração
17. Usuário alteração
18. Código regularização
19. Tipo regularização listagem
20. Título listagem
21. Nome listagem
22. Matricula listagem
23. Titular listagem
24. Data solicitação listagem
25. Solicitante listagem
26. CMD
27. MSG</t>
        </r>
      </text>
    </comment>
    <comment ref="E1438" authorId="5" shapeId="0" xr:uid="{00000000-0006-0000-0100-0000AE070000}">
      <text>
        <r>
          <rPr>
            <sz val="9"/>
            <color indexed="81"/>
            <rFont val="Segoe UI"/>
            <family val="2"/>
          </rPr>
          <t>1. Imóvel
2. Município
3. Usuário
4. Regularização Imobiliária</t>
        </r>
      </text>
    </comment>
    <comment ref="D1439" authorId="5" shapeId="0" xr:uid="{00000000-0006-0000-0100-0000AF070000}">
      <text>
        <r>
          <rPr>
            <sz val="9"/>
            <color indexed="81"/>
            <rFont val="Segoe UI"/>
            <family val="2"/>
          </rPr>
          <t>1. Cód regularização
2. Tipo regularização
3. Título
4. Nome do imóvel
5. Matrícula
6. Titular
7. Data solicitação
8. Solicitante
9. CMD
10. MSG</t>
        </r>
      </text>
    </comment>
    <comment ref="E1439" authorId="5" shapeId="0" xr:uid="{00000000-0006-0000-0100-0000B0070000}">
      <text>
        <r>
          <rPr>
            <sz val="9"/>
            <color indexed="81"/>
            <rFont val="Segoe UI"/>
            <family val="2"/>
          </rPr>
          <t>1. Imóvel
2.  Usuário
3. Regularização Imobiliária</t>
        </r>
      </text>
    </comment>
    <comment ref="D1440" authorId="5" shapeId="0" xr:uid="{00000000-0006-0000-0100-0000B1070000}">
      <text>
        <r>
          <rPr>
            <sz val="9"/>
            <color indexed="81"/>
            <rFont val="Segoe UI"/>
            <family val="2"/>
          </rPr>
          <t>1. Código
2. CMD
3. MSG</t>
        </r>
      </text>
    </comment>
    <comment ref="E1440" authorId="5" shapeId="0" xr:uid="{00000000-0006-0000-0100-0000B2070000}">
      <text>
        <r>
          <rPr>
            <sz val="9"/>
            <color indexed="81"/>
            <rFont val="Segoe UI"/>
            <family val="2"/>
          </rPr>
          <t>1. Regularização Imobiliária</t>
        </r>
      </text>
    </comment>
    <comment ref="D1443" authorId="3" shapeId="0" xr:uid="{00000000-0006-0000-0100-0000B3070000}">
      <text>
        <r>
          <rPr>
            <sz val="9"/>
            <color indexed="81"/>
            <rFont val="Segoe UI"/>
            <family val="2"/>
          </rPr>
          <t xml:space="preserve">1-Codigo
2-Nome da equipe 
3-Prazo vigencia 
4-Status
5-Orgão da equipe 
6-Unidade 
7-Descrição 
8-Ultima alteração 
9-Usuario
10-Codigo membro
11-Matricula
12-Nome servidor
13-CPF
14-Email
15-Tipo
16-Status
17-Ultima alteração membro
18-Justificativa inativação
19-ID membro 
20-ID equipe de trabalho
</t>
        </r>
      </text>
    </comment>
    <comment ref="E1443" authorId="3" shapeId="0" xr:uid="{00000000-0006-0000-0100-0000B4070000}">
      <text>
        <r>
          <rPr>
            <sz val="9"/>
            <color indexed="81"/>
            <rFont val="Segoe UI"/>
            <family val="2"/>
          </rPr>
          <t xml:space="preserve">
1-Equipe de trabalho
2-Membro da equipe de trabalho
3-Tipo Membro</t>
        </r>
      </text>
    </comment>
    <comment ref="D1444" authorId="3" shapeId="0" xr:uid="{00000000-0006-0000-0100-0000B5070000}">
      <text>
        <r>
          <rPr>
            <sz val="9"/>
            <color indexed="81"/>
            <rFont val="Segoe UI"/>
            <family val="2"/>
          </rPr>
          <t>1-Codigo equipe
2-Coordenador
3-Status
4-Orgão
5-Unidade
6-Ultima alteração ini
7-Ultima alteração Fim
8-Membros Ativos
9 -CMD
10-MSG</t>
        </r>
      </text>
    </comment>
    <comment ref="E1444" authorId="3" shapeId="0" xr:uid="{00000000-0006-0000-0100-0000B6070000}">
      <text>
        <r>
          <rPr>
            <sz val="9"/>
            <color indexed="81"/>
            <rFont val="Segoe UI"/>
            <family val="2"/>
          </rPr>
          <t xml:space="preserve">
1-Equipe de trabalho 
2-Orgão
3-Unidade
4-Servidor</t>
        </r>
      </text>
    </comment>
    <comment ref="D1445" authorId="3" shapeId="0" xr:uid="{00000000-0006-0000-0100-0000B7070000}">
      <text>
        <r>
          <rPr>
            <sz val="9"/>
            <color indexed="81"/>
            <rFont val="Segoe UI"/>
            <family val="2"/>
          </rPr>
          <t>1-Codigo
2-Nome da equipe 
3-Prazo vigencia 
4-Status
5-Orgão da equipe 
6-Unidade 
7-Descrição
8-CMD
9-MSG</t>
        </r>
      </text>
    </comment>
    <comment ref="E1445" authorId="3" shapeId="0" xr:uid="{00000000-0006-0000-0100-0000B8070000}">
      <text>
        <r>
          <rPr>
            <sz val="9"/>
            <color indexed="81"/>
            <rFont val="Segoe UI"/>
            <family val="2"/>
          </rPr>
          <t xml:space="preserve">
1-Equipe de trabalho 
2-Orgão
3-Unidade
4-Servidor</t>
        </r>
      </text>
    </comment>
    <comment ref="D1446" authorId="3" shapeId="0" xr:uid="{00000000-0006-0000-0100-0000B9070000}">
      <text>
        <r>
          <rPr>
            <sz val="9"/>
            <color indexed="81"/>
            <rFont val="Segoe UI"/>
            <family val="2"/>
          </rPr>
          <t>1-Codigo
2-Nome da equipe 
3-Prazo vigencia 
4-Status
5-Orgão da equipe 
6-Unidade 
7-Descrição 
8-CMD
9-MSG</t>
        </r>
      </text>
    </comment>
    <comment ref="E1446" authorId="3" shapeId="0" xr:uid="{00000000-0006-0000-0100-0000BA070000}">
      <text>
        <r>
          <rPr>
            <sz val="9"/>
            <color indexed="81"/>
            <rFont val="Segoe UI"/>
            <family val="2"/>
          </rPr>
          <t xml:space="preserve">
1-Equipe de trabalho 
2-Orgão
3-Unidade
4-Servidor</t>
        </r>
      </text>
    </comment>
    <comment ref="D1447" authorId="3" shapeId="0" xr:uid="{00000000-0006-0000-0100-0000BB070000}">
      <text>
        <r>
          <rPr>
            <sz val="9"/>
            <color indexed="81"/>
            <rFont val="Segoe UI"/>
            <family val="2"/>
          </rPr>
          <t xml:space="preserve">1-Codigo
2-Nome da equipe 
3-Prazo vigencia 
4-Status
5-Orgão da equipe 
6-Unidade 
7-Descrição 
8-Ultima alteração 
9-Usuario
10-Codigo membro
11-Matricula
12-Nome servidor
13-CPF
14-Email
15-Tipo
16-Status
17-Ultima alteração membro
</t>
        </r>
      </text>
    </comment>
    <comment ref="E1447" authorId="3" shapeId="0" xr:uid="{00000000-0006-0000-0100-0000BC070000}">
      <text>
        <r>
          <rPr>
            <sz val="9"/>
            <color indexed="81"/>
            <rFont val="Segoe UI"/>
            <family val="2"/>
          </rPr>
          <t xml:space="preserve">
1-Equipe de trabalho 
2-Orgão
3-Unidade
4-Servidor</t>
        </r>
      </text>
    </comment>
    <comment ref="D1448" authorId="3" shapeId="0" xr:uid="{00000000-0006-0000-0100-0000BD070000}">
      <text>
        <r>
          <rPr>
            <sz val="9"/>
            <color indexed="81"/>
            <rFont val="Segoe UI"/>
            <family val="2"/>
          </rPr>
          <t xml:space="preserve">1-Codigo
2-Nome da equipe 
3-prazo vigencia 
4-status
5-orgão da equipe 
6-unidade 
7-Descrição 
8-Ultima alteração 
9-Usuario
10-Codigo membro
11-matricula
12-Nome servidor
13-CPF
14-Email
15-Tipo
16-Status
17-Ultima alteração membro
18-CMD
19-MSG
</t>
        </r>
      </text>
    </comment>
    <comment ref="E1448" authorId="3" shapeId="0" xr:uid="{00000000-0006-0000-0100-0000BE070000}">
      <text>
        <r>
          <rPr>
            <sz val="9"/>
            <color indexed="81"/>
            <rFont val="Segoe UI"/>
            <family val="2"/>
          </rPr>
          <t xml:space="preserve">
1-Equipe de trabalho 
2-Orgão
3-Unidade
4-Servidor</t>
        </r>
      </text>
    </comment>
    <comment ref="D1449" authorId="3" shapeId="0" xr:uid="{00000000-0006-0000-0100-0000BF070000}">
      <text>
        <r>
          <rPr>
            <sz val="9"/>
            <color indexed="81"/>
            <rFont val="Segoe UI"/>
            <family val="2"/>
          </rPr>
          <t xml:space="preserve">
1-Codigo
2-CMD
3-MSG</t>
        </r>
      </text>
    </comment>
    <comment ref="E1449" authorId="3" shapeId="0" xr:uid="{00000000-0006-0000-0100-0000C0070000}">
      <text>
        <r>
          <rPr>
            <sz val="9"/>
            <color indexed="81"/>
            <rFont val="Segoe UI"/>
            <family val="2"/>
          </rPr>
          <t xml:space="preserve">
1-Equipe de trabalho 
</t>
        </r>
      </text>
    </comment>
    <comment ref="D1450" authorId="3" shapeId="0" xr:uid="{00000000-0006-0000-0100-0000C1070000}">
      <text>
        <r>
          <rPr>
            <sz val="9"/>
            <color indexed="81"/>
            <rFont val="Segoe UI"/>
            <family val="2"/>
          </rPr>
          <t xml:space="preserve">
1-Nome servidor
2-Matricula
3-CPF
4-Codigo membro
5-Email
6-Tipo
7-Status
8-Ultima alteração membro
9-CMD
10-MSG
</t>
        </r>
      </text>
    </comment>
    <comment ref="E1450" authorId="3" shapeId="0" xr:uid="{00000000-0006-0000-0100-0000C2070000}">
      <text>
        <r>
          <rPr>
            <sz val="9"/>
            <color indexed="81"/>
            <rFont val="Segoe UI"/>
            <family val="2"/>
          </rPr>
          <t xml:space="preserve">
1-Equipe de trabalho 
</t>
        </r>
      </text>
    </comment>
    <comment ref="D1451" authorId="3" shapeId="0" xr:uid="{00000000-0006-0000-0100-0000C3070000}">
      <text>
        <r>
          <rPr>
            <sz val="9"/>
            <color indexed="81"/>
            <rFont val="Segoe UI"/>
            <family val="2"/>
          </rPr>
          <t xml:space="preserve">
1-Nome servidor
2-Matricula
3-CPF
4-Tipo
5-Email
6-Status
7 -CMD
8-MSG
</t>
        </r>
      </text>
    </comment>
    <comment ref="E1451" authorId="3" shapeId="0" xr:uid="{00000000-0006-0000-0100-0000C4070000}">
      <text>
        <r>
          <rPr>
            <sz val="9"/>
            <color indexed="81"/>
            <rFont val="Segoe UI"/>
            <family val="2"/>
          </rPr>
          <t xml:space="preserve">
1-Equipe de trabalho 
2-Servidor
</t>
        </r>
      </text>
    </comment>
    <comment ref="D1452" authorId="3" shapeId="0" xr:uid="{00000000-0006-0000-0100-0000C5070000}">
      <text>
        <r>
          <rPr>
            <sz val="9"/>
            <color indexed="81"/>
            <rFont val="Segoe UI"/>
            <family val="2"/>
          </rPr>
          <t xml:space="preserve">1-Codigo
2-Descrição
3-CMD
4-MSG
</t>
        </r>
      </text>
    </comment>
    <comment ref="E1452" authorId="3" shapeId="0" xr:uid="{00000000-0006-0000-0100-0000C6070000}">
      <text>
        <r>
          <rPr>
            <sz val="9"/>
            <color indexed="81"/>
            <rFont val="Segoe UI"/>
            <family val="2"/>
          </rPr>
          <t xml:space="preserve">
1-Tipo de Membro</t>
        </r>
      </text>
    </comment>
    <comment ref="D1453" authorId="3" shapeId="0" xr:uid="{00000000-0006-0000-0100-0000C7070000}">
      <text>
        <r>
          <rPr>
            <sz val="9"/>
            <color indexed="81"/>
            <rFont val="Segoe UI"/>
            <family val="2"/>
          </rPr>
          <t xml:space="preserve">
1-Nome servidor
2-Matricula
3-CPF
4-Tipo
5-Email
6-Status
7-Justificativa inativação 
8-CMD
9-MSG
</t>
        </r>
      </text>
    </comment>
    <comment ref="E1453" authorId="3" shapeId="0" xr:uid="{00000000-0006-0000-0100-0000C8070000}">
      <text>
        <r>
          <rPr>
            <sz val="9"/>
            <color indexed="81"/>
            <rFont val="Segoe UI"/>
            <family val="2"/>
          </rPr>
          <t xml:space="preserve">
1-Equipe de trabalho 
2-Servidor
</t>
        </r>
      </text>
    </comment>
    <comment ref="D1454" authorId="3" shapeId="0" xr:uid="{00000000-0006-0000-0100-0000C9070000}">
      <text>
        <r>
          <rPr>
            <sz val="9"/>
            <color indexed="81"/>
            <rFont val="Segoe UI"/>
            <family val="2"/>
          </rPr>
          <t xml:space="preserve">
1 -Nome servidor
2 -Matricula
3 -CPF
4 -Tipo
5 -Email
6 -Status
7 -Justificativa de inativação
8-Última alteração
9-Usuario
</t>
        </r>
      </text>
    </comment>
    <comment ref="E1454" authorId="3" shapeId="0" xr:uid="{00000000-0006-0000-0100-0000CA070000}">
      <text>
        <r>
          <rPr>
            <sz val="9"/>
            <color indexed="81"/>
            <rFont val="Segoe UI"/>
            <family val="2"/>
          </rPr>
          <t xml:space="preserve">
1-Equipe de trabalho 
</t>
        </r>
      </text>
    </comment>
    <comment ref="D1455" authorId="3" shapeId="0" xr:uid="{00000000-0006-0000-0100-0000CB070000}">
      <text>
        <r>
          <rPr>
            <sz val="9"/>
            <color indexed="81"/>
            <rFont val="Segoe UI"/>
            <family val="2"/>
          </rPr>
          <t xml:space="preserve">
1-Nome servidor
2-Matricula
3-CPF
4-Tipo
5-Email
6-Status
7-Justificativa de inativação
8-Última alteração
9-Usuario
10-CMD
11-MSG
</t>
        </r>
      </text>
    </comment>
    <comment ref="E1455" authorId="3" shapeId="0" xr:uid="{00000000-0006-0000-0100-0000CC070000}">
      <text>
        <r>
          <rPr>
            <sz val="9"/>
            <color indexed="81"/>
            <rFont val="Segoe UI"/>
            <family val="2"/>
          </rPr>
          <t xml:space="preserve">
1-Equipe de trabalho 
</t>
        </r>
      </text>
    </comment>
    <comment ref="D1456" authorId="3" shapeId="0" xr:uid="{00000000-0006-0000-0100-0000CD070000}">
      <text>
        <r>
          <rPr>
            <sz val="9"/>
            <color indexed="81"/>
            <rFont val="Segoe UI"/>
            <family val="2"/>
          </rPr>
          <t xml:space="preserve">
1-Codigo
2-CMD
3-MSG</t>
        </r>
      </text>
    </comment>
    <comment ref="E1456" authorId="3" shapeId="0" xr:uid="{00000000-0006-0000-0100-0000CE070000}">
      <text>
        <r>
          <rPr>
            <sz val="9"/>
            <color indexed="81"/>
            <rFont val="Segoe UI"/>
            <family val="2"/>
          </rPr>
          <t xml:space="preserve">
1-Equipe de trabalho 
</t>
        </r>
      </text>
    </comment>
    <comment ref="D1459" authorId="3" shapeId="0" xr:uid="{00000000-0006-0000-0100-0000CF070000}">
      <text>
        <r>
          <rPr>
            <sz val="9"/>
            <color indexed="81"/>
            <rFont val="Segoe UI"/>
            <family val="2"/>
          </rPr>
          <t xml:space="preserve">
1 -Codigo
2 -Titulo
3 -Tipo de regularização
4 -Subdivisão
5 -Status
6 -Descrição
7 -Atividade Marco 
8 -Documento 
9-Codigo Sub Atividade 
10-Titulo Sub Atividade 
11-Tipo Sub Atividade  
12-Obrigatório Sub Atividade 
13-Status Sub Atividade 
14-Ultima alteração Sub Atividade 
15-Usuario Sub Atividade 
16-ID Atividade 
17-ID Sub Atividade </t>
        </r>
      </text>
    </comment>
    <comment ref="E1459" authorId="3" shapeId="0" xr:uid="{00000000-0006-0000-0100-0000D0070000}">
      <text>
        <r>
          <rPr>
            <sz val="9"/>
            <color indexed="81"/>
            <rFont val="Segoe UI"/>
            <family val="2"/>
          </rPr>
          <t xml:space="preserve">
1-Atividade
2-Subatividade
3-Tipo Sub Atividade</t>
        </r>
      </text>
    </comment>
    <comment ref="D1460" authorId="3" shapeId="0" xr:uid="{00000000-0006-0000-0100-0000D1070000}">
      <text>
        <r>
          <rPr>
            <sz val="9"/>
            <color indexed="81"/>
            <rFont val="Segoe UI"/>
            <family val="2"/>
          </rPr>
          <t xml:space="preserve">
1 -Codigo
2 -Titulo
3 -Tipo de regularização
4 -Subdivisão
5 -Status
6 -Ultima alteração ini
7 -Ultima alteração Fim 
8 -Descrição 
9 -CMD
10-MSG</t>
        </r>
      </text>
    </comment>
    <comment ref="E1460" authorId="3" shapeId="0" xr:uid="{00000000-0006-0000-0100-0000D2070000}">
      <text>
        <r>
          <rPr>
            <sz val="9"/>
            <color indexed="81"/>
            <rFont val="Segoe UI"/>
            <family val="2"/>
          </rPr>
          <t xml:space="preserve">
1-Atividade
</t>
        </r>
      </text>
    </comment>
    <comment ref="D1461" authorId="3" shapeId="0" xr:uid="{00000000-0006-0000-0100-0000D3070000}">
      <text>
        <r>
          <rPr>
            <sz val="9"/>
            <color indexed="81"/>
            <rFont val="Segoe UI"/>
            <family val="2"/>
          </rPr>
          <t xml:space="preserve">
1 -Codigo
2 -Titulo
3 -Tipo de regularização
4 -Subdivisão
5 -Status
6 -Descrição
7 -Atividade Marco 
8 -Documento 
9 -CMD
10-MSG</t>
        </r>
      </text>
    </comment>
    <comment ref="E1461" authorId="3" shapeId="0" xr:uid="{00000000-0006-0000-0100-0000D4070000}">
      <text>
        <r>
          <rPr>
            <sz val="9"/>
            <color indexed="81"/>
            <rFont val="Segoe UI"/>
            <family val="2"/>
          </rPr>
          <t xml:space="preserve">
1-Atividade
2-Usuario</t>
        </r>
      </text>
    </comment>
    <comment ref="D1462" authorId="3" shapeId="0" xr:uid="{00000000-0006-0000-0100-0000D5070000}">
      <text>
        <r>
          <rPr>
            <sz val="9"/>
            <color indexed="81"/>
            <rFont val="Segoe UI"/>
            <family val="2"/>
          </rPr>
          <t xml:space="preserve">
1 -Codigo
2 -Titulo
3 -Tipo de regularização
4 -Subdivisão
5 -Status
6 -Descrição
7 -Atividade Marco 
8 -Documento 
9 -CMD
10-MSG</t>
        </r>
      </text>
    </comment>
    <comment ref="E1462" authorId="3" shapeId="0" xr:uid="{00000000-0006-0000-0100-0000D6070000}">
      <text>
        <r>
          <rPr>
            <sz val="9"/>
            <color indexed="81"/>
            <rFont val="Segoe UI"/>
            <family val="2"/>
          </rPr>
          <t xml:space="preserve">
1-Atividade
2-Usuario</t>
        </r>
      </text>
    </comment>
    <comment ref="D1463" authorId="3" shapeId="0" xr:uid="{00000000-0006-0000-0100-0000D7070000}">
      <text>
        <r>
          <rPr>
            <sz val="9"/>
            <color indexed="81"/>
            <rFont val="Segoe UI"/>
            <family val="2"/>
          </rPr>
          <t>1-Codigo
2-Titulo
3-Tipo de regularização
4-Subdivisão
5-Status
6-Descrição
7-Atividade Marco 
8-Documento 
9-CMD
10-MSG</t>
        </r>
      </text>
    </comment>
    <comment ref="E1463" authorId="3" shapeId="0" xr:uid="{00000000-0006-0000-0100-0000D8070000}">
      <text>
        <r>
          <rPr>
            <sz val="9"/>
            <color indexed="81"/>
            <rFont val="Segoe UI"/>
            <family val="2"/>
          </rPr>
          <t xml:space="preserve">
1-Atividade
</t>
        </r>
      </text>
    </comment>
    <comment ref="D1464" authorId="3" shapeId="0" xr:uid="{00000000-0006-0000-0100-0000D9070000}">
      <text>
        <r>
          <rPr>
            <sz val="9"/>
            <color indexed="81"/>
            <rFont val="Segoe UI"/>
            <family val="2"/>
          </rPr>
          <t xml:space="preserve">
1-Codigo
2-Titulo
3-Tipo de regularização
4-Subdivisão
5-Status
6-Descrição
7-Atividade Marco 
8-Documento 
9-CMD
10-MSG</t>
        </r>
      </text>
    </comment>
    <comment ref="E1464" authorId="3" shapeId="0" xr:uid="{00000000-0006-0000-0100-0000DA070000}">
      <text>
        <r>
          <rPr>
            <sz val="9"/>
            <color indexed="81"/>
            <rFont val="Segoe UI"/>
            <family val="2"/>
          </rPr>
          <t xml:space="preserve">
1-Atividade
</t>
        </r>
      </text>
    </comment>
    <comment ref="D1465" authorId="3" shapeId="0" xr:uid="{00000000-0006-0000-0100-0000DB070000}">
      <text>
        <r>
          <rPr>
            <sz val="9"/>
            <color indexed="81"/>
            <rFont val="Segoe UI"/>
            <family val="2"/>
          </rPr>
          <t xml:space="preserve">
1-Codigo
2-CMD
3-MSG</t>
        </r>
      </text>
    </comment>
    <comment ref="E1465" authorId="3" shapeId="0" xr:uid="{00000000-0006-0000-0100-0000DC070000}">
      <text>
        <r>
          <rPr>
            <sz val="9"/>
            <color indexed="81"/>
            <rFont val="Segoe UI"/>
            <family val="2"/>
          </rPr>
          <t xml:space="preserve">
1-Atividade
</t>
        </r>
      </text>
    </comment>
    <comment ref="D1466" authorId="3" shapeId="0" xr:uid="{00000000-0006-0000-0100-0000DD070000}">
      <text>
        <r>
          <rPr>
            <sz val="9"/>
            <color indexed="81"/>
            <rFont val="Segoe UI"/>
            <family val="2"/>
          </rPr>
          <t xml:space="preserve">
1-Codigo 
2-Titulo
3-Tipo 
4-Obrigatório 
5-Status
6-Ultima alteração
7-CMD
8-MSG</t>
        </r>
      </text>
    </comment>
    <comment ref="E1466" authorId="3" shapeId="0" xr:uid="{00000000-0006-0000-0100-0000DE070000}">
      <text>
        <r>
          <rPr>
            <sz val="9"/>
            <color indexed="81"/>
            <rFont val="Segoe UI"/>
            <family val="2"/>
          </rPr>
          <t xml:space="preserve">
1-Atividade
</t>
        </r>
      </text>
    </comment>
    <comment ref="D1467" authorId="3" shapeId="0" xr:uid="{00000000-0006-0000-0100-0000DF070000}">
      <text>
        <r>
          <rPr>
            <sz val="9"/>
            <color indexed="81"/>
            <rFont val="Segoe UI"/>
            <family val="2"/>
          </rPr>
          <t xml:space="preserve">
1-Codigo 
2-Titulo
3-Tipo 
4-Obrigatório 
5-Status
6-CMD
7-MSG</t>
        </r>
      </text>
    </comment>
    <comment ref="E1467" authorId="3" shapeId="0" xr:uid="{00000000-0006-0000-0100-0000E0070000}">
      <text>
        <r>
          <rPr>
            <sz val="9"/>
            <color indexed="81"/>
            <rFont val="Segoe UI"/>
            <family val="2"/>
          </rPr>
          <t xml:space="preserve">
1-Atividade
2-Usuario</t>
        </r>
      </text>
    </comment>
    <comment ref="D1468" authorId="3" shapeId="0" xr:uid="{00000000-0006-0000-0100-0000E1070000}">
      <text>
        <r>
          <rPr>
            <sz val="9"/>
            <color indexed="81"/>
            <rFont val="Segoe UI"/>
            <family val="2"/>
          </rPr>
          <t xml:space="preserve">1-Codigo
2-Descrição
3-CMD
4-MSG
</t>
        </r>
      </text>
    </comment>
    <comment ref="E1468" authorId="3" shapeId="0" xr:uid="{00000000-0006-0000-0100-0000E2070000}">
      <text>
        <r>
          <rPr>
            <sz val="9"/>
            <color indexed="81"/>
            <rFont val="Segoe UI"/>
            <family val="2"/>
          </rPr>
          <t xml:space="preserve">
1-Tipo Sub Atividade</t>
        </r>
      </text>
    </comment>
    <comment ref="D1469" authorId="3" shapeId="0" xr:uid="{00000000-0006-0000-0100-0000E3070000}">
      <text>
        <r>
          <rPr>
            <sz val="9"/>
            <color indexed="81"/>
            <rFont val="Segoe UI"/>
            <family val="2"/>
          </rPr>
          <t xml:space="preserve">
1-Codigo 
2-Titulo
3-Tipo 
4-Obrigatório 
5-Status
6-Ultima alteração
7-Usuario
8-CMD
9-MSG</t>
        </r>
      </text>
    </comment>
    <comment ref="E1469" authorId="3" shapeId="0" xr:uid="{00000000-0006-0000-0100-0000E4070000}">
      <text>
        <r>
          <rPr>
            <sz val="9"/>
            <color indexed="81"/>
            <rFont val="Segoe UI"/>
            <family val="2"/>
          </rPr>
          <t xml:space="preserve">
1-Atividade
2-Usuario</t>
        </r>
      </text>
    </comment>
    <comment ref="D1470" authorId="3" shapeId="0" xr:uid="{00000000-0006-0000-0100-0000E5070000}">
      <text>
        <r>
          <rPr>
            <sz val="9"/>
            <color indexed="81"/>
            <rFont val="Segoe UI"/>
            <family val="2"/>
          </rPr>
          <t>1-Codigo 
2-Titulo
3-Tipo 
4-Obrigatório 
5-Status
6-Ultima alteração
7-Usuario
8-CMD
9-MSG</t>
        </r>
      </text>
    </comment>
    <comment ref="E1470" authorId="3" shapeId="0" xr:uid="{00000000-0006-0000-0100-0000E6070000}">
      <text>
        <r>
          <rPr>
            <sz val="9"/>
            <color indexed="81"/>
            <rFont val="Segoe UI"/>
            <family val="2"/>
          </rPr>
          <t xml:space="preserve">
1-Atividade
</t>
        </r>
      </text>
    </comment>
    <comment ref="D1471" authorId="3" shapeId="0" xr:uid="{00000000-0006-0000-0100-0000E7070000}">
      <text>
        <r>
          <rPr>
            <sz val="9"/>
            <color indexed="81"/>
            <rFont val="Segoe UI"/>
            <family val="2"/>
          </rPr>
          <t>1-Codigo 
2-Titulo
3-Tipo 
4-Obrigatório 
5-Status
6-Ultima alteração
7-Usuario
8-CMD
9-MSG</t>
        </r>
      </text>
    </comment>
    <comment ref="E1471" authorId="3" shapeId="0" xr:uid="{00000000-0006-0000-0100-0000E8070000}">
      <text>
        <r>
          <rPr>
            <sz val="9"/>
            <color indexed="81"/>
            <rFont val="Segoe UI"/>
            <family val="2"/>
          </rPr>
          <t xml:space="preserve">
1-Atividade
</t>
        </r>
      </text>
    </comment>
    <comment ref="D1472" authorId="3" shapeId="0" xr:uid="{00000000-0006-0000-0100-0000E9070000}">
      <text>
        <r>
          <rPr>
            <sz val="9"/>
            <color indexed="81"/>
            <rFont val="Segoe UI"/>
            <family val="2"/>
          </rPr>
          <t xml:space="preserve">
1-Codigo
2-CMD
3-MSG</t>
        </r>
      </text>
    </comment>
    <comment ref="E1472" authorId="3" shapeId="0" xr:uid="{00000000-0006-0000-0100-0000EA070000}">
      <text>
        <r>
          <rPr>
            <sz val="9"/>
            <color indexed="81"/>
            <rFont val="Segoe UI"/>
            <family val="2"/>
          </rPr>
          <t xml:space="preserve">
1-Atividade
</t>
        </r>
      </text>
    </comment>
    <comment ref="D1475" authorId="3" shapeId="0" xr:uid="{00000000-0006-0000-0100-0000EB070000}">
      <text>
        <r>
          <rPr>
            <sz val="9"/>
            <color indexed="81"/>
            <rFont val="Segoe UI"/>
            <family val="2"/>
          </rPr>
          <t xml:space="preserve">1-N PRN
2-Descrição 
3-Tipo processo
4-Solicitação 
5-Previsão Ini
6-Previsão Fim 
7-Equipe
8-Coordenador
9-Anexo
10-Atividade 
11-Titulo da atividade
12-Tipo de regularização
13-Ultima alteração
14-Usuario
15-ID
</t>
        </r>
      </text>
    </comment>
    <comment ref="E1475" authorId="3" shapeId="0" xr:uid="{00000000-0006-0000-0100-0000EC070000}">
      <text>
        <r>
          <rPr>
            <sz val="9"/>
            <color indexed="81"/>
            <rFont val="Segoe UI"/>
            <family val="2"/>
          </rPr>
          <t xml:space="preserve">
1-Gestão do processo
2-Atividades</t>
        </r>
      </text>
    </comment>
    <comment ref="D1476" authorId="3" shapeId="0" xr:uid="{00000000-0006-0000-0100-0000ED070000}">
      <text>
        <r>
          <rPr>
            <sz val="9"/>
            <color indexed="81"/>
            <rFont val="Segoe UI"/>
            <family val="2"/>
          </rPr>
          <t xml:space="preserve">
1-N PRN
2-Numero da solicitação
3-Descrição
4-Situação
5-Tipo processo
6-Subdivisão
7-Equipe
8-Coordenador
9-Previsão 
10-CMD
11-MSG
</t>
        </r>
      </text>
    </comment>
    <comment ref="E1476" authorId="3" shapeId="0" xr:uid="{00000000-0006-0000-0100-0000EE070000}">
      <text>
        <r>
          <rPr>
            <sz val="9"/>
            <color indexed="81"/>
            <rFont val="Segoe UI"/>
            <family val="2"/>
          </rPr>
          <t xml:space="preserve">
1-Gestão do Processo
2-Regularização Imbobiliária
3-Equipe de trabalho 
4-Servidor
</t>
        </r>
      </text>
    </comment>
    <comment ref="D1477" authorId="3" shapeId="0" xr:uid="{00000000-0006-0000-0100-0000EF070000}">
      <text>
        <r>
          <rPr>
            <sz val="9"/>
            <color indexed="81"/>
            <rFont val="Segoe UI"/>
            <family val="2"/>
          </rPr>
          <t>1-Código
2-Nome 
3-CMD</t>
        </r>
      </text>
    </comment>
    <comment ref="E1477" authorId="3" shapeId="0" xr:uid="{00000000-0006-0000-0100-0000F0070000}">
      <text>
        <r>
          <rPr>
            <sz val="9"/>
            <color indexed="81"/>
            <rFont val="Segoe UI"/>
            <family val="2"/>
          </rPr>
          <t xml:space="preserve">
1-Equipe de trabalho</t>
        </r>
      </text>
    </comment>
    <comment ref="D1478" authorId="3" shapeId="0" xr:uid="{00000000-0006-0000-0100-0000F1070000}">
      <text>
        <r>
          <rPr>
            <sz val="9"/>
            <color indexed="81"/>
            <rFont val="Segoe UI"/>
            <family val="2"/>
          </rPr>
          <t>1-Código
2-Nome 
3-CMD</t>
        </r>
      </text>
    </comment>
    <comment ref="E1478" authorId="3" shapeId="0" xr:uid="{00000000-0006-0000-0100-0000F2070000}">
      <text>
        <r>
          <rPr>
            <sz val="9"/>
            <color indexed="81"/>
            <rFont val="Segoe UI"/>
            <family val="2"/>
          </rPr>
          <t xml:space="preserve">
1-Regularização Imobiliária</t>
        </r>
      </text>
    </comment>
    <comment ref="D1479" authorId="3" shapeId="0" xr:uid="{00000000-0006-0000-0100-0000F3070000}">
      <text>
        <r>
          <rPr>
            <sz val="9"/>
            <color indexed="81"/>
            <rFont val="Segoe UI"/>
            <family val="2"/>
          </rPr>
          <t xml:space="preserve">
1-Numero solicitação 
2-Tipo de regularização
3-Tipo de regularidade 
4-Matricula
5-Data solicitação
6-Solicitante
7-Situação
8-Titulo Task
9-Responsável Task
10-Sub Task
11-Tags
12-CMD
13-MSG
</t>
        </r>
      </text>
    </comment>
    <comment ref="E1479" authorId="3" shapeId="0" xr:uid="{00000000-0006-0000-0100-0000F4070000}">
      <text>
        <r>
          <rPr>
            <sz val="9"/>
            <color indexed="81"/>
            <rFont val="Segoe UI"/>
            <family val="2"/>
          </rPr>
          <t xml:space="preserve">
1-Gestão do Processo
2-Regularização Imbobiliária
3-Atividade 
4-Tarefas
</t>
        </r>
      </text>
    </comment>
    <comment ref="D1480" authorId="3" shapeId="0" xr:uid="{00000000-0006-0000-0100-0000F5070000}">
      <text>
        <r>
          <rPr>
            <sz val="9"/>
            <color indexed="81"/>
            <rFont val="Segoe UI"/>
            <family val="2"/>
          </rPr>
          <t xml:space="preserve">
1-N PRN
2-Descrição 
3-Tipo processo
4-Solicitação 
5-Previsão Ini
6-Previsão Fim 
7-Equipe
8-Coordenador
9-Anexo
10-Atividade 
11-CMD 
12-MSG</t>
        </r>
      </text>
    </comment>
    <comment ref="E1480" authorId="3" shapeId="0" xr:uid="{00000000-0006-0000-0100-0000F6070000}">
      <text>
        <r>
          <rPr>
            <sz val="9"/>
            <color indexed="81"/>
            <rFont val="Segoe UI"/>
            <family val="2"/>
          </rPr>
          <t xml:space="preserve">
1-Gestão do Processo
2-Regularização Imbobiliária
3-Equipe de trabalho 
4-Servidor
5-Atividade
</t>
        </r>
      </text>
    </comment>
    <comment ref="D1481" authorId="3" shapeId="0" xr:uid="{00000000-0006-0000-0100-0000F7070000}">
      <text>
        <r>
          <rPr>
            <sz val="9"/>
            <color indexed="81"/>
            <rFont val="Segoe UI"/>
            <family val="2"/>
          </rPr>
          <t xml:space="preserve">
1-Numero  
2-Titulo
3-CMD
</t>
        </r>
      </text>
    </comment>
    <comment ref="E1481" authorId="3" shapeId="0" xr:uid="{00000000-0006-0000-0100-0000F8070000}">
      <text>
        <r>
          <rPr>
            <sz val="9"/>
            <color indexed="81"/>
            <rFont val="Segoe UI"/>
            <family val="2"/>
          </rPr>
          <t xml:space="preserve">
1-Regularização Imbobiliária
</t>
        </r>
      </text>
    </comment>
    <comment ref="D1482" authorId="3" shapeId="0" xr:uid="{00000000-0006-0000-0100-0000F9070000}">
      <text>
        <r>
          <rPr>
            <sz val="9"/>
            <color indexed="81"/>
            <rFont val="Segoe UI"/>
            <family val="2"/>
          </rPr>
          <t>1-Código
2-Nome 
2-CMD</t>
        </r>
      </text>
    </comment>
    <comment ref="E1482" authorId="3" shapeId="0" xr:uid="{00000000-0006-0000-0100-0000FA070000}">
      <text>
        <r>
          <rPr>
            <sz val="9"/>
            <color indexed="81"/>
            <rFont val="Segoe UI"/>
            <family val="2"/>
          </rPr>
          <t xml:space="preserve">
1-Equipe de trabalho</t>
        </r>
      </text>
    </comment>
    <comment ref="D1483" authorId="3" shapeId="0" xr:uid="{00000000-0006-0000-0100-0000FB070000}">
      <text>
        <r>
          <rPr>
            <sz val="9"/>
            <color indexed="81"/>
            <rFont val="Segoe UI"/>
            <family val="2"/>
          </rPr>
          <t xml:space="preserve">
1-N PRN
2-Descrição 
3-tipo processo
4-Solicitação 
5-Previsão Ini
6-Previsão Fim 
7-Equipe
8-Coordenador
9-Anexo
10-Atividade
11-CMD 
12-MSG</t>
        </r>
      </text>
    </comment>
    <comment ref="E1483" authorId="3" shapeId="0" xr:uid="{00000000-0006-0000-0100-0000FC070000}">
      <text>
        <r>
          <rPr>
            <sz val="9"/>
            <color indexed="81"/>
            <rFont val="Segoe UI"/>
            <family val="2"/>
          </rPr>
          <t xml:space="preserve">
1-Gestão do Processo
2-Regularização Imbobiliária
3-Equipe de trabalho 
4-Servidor
5-Atividade
</t>
        </r>
      </text>
    </comment>
    <comment ref="D1484" authorId="3" shapeId="0" xr:uid="{00000000-0006-0000-0100-0000FD070000}">
      <text>
        <r>
          <rPr>
            <sz val="9"/>
            <color indexed="81"/>
            <rFont val="Segoe UI"/>
            <family val="2"/>
          </rPr>
          <t xml:space="preserve">
1 -N PRN
2 -Descrição 
3 -tipo processo
4 -Solicitação 
5 -Previsão Ini
6 -Previsão Fim 
7 -Equipe
8 -Coordenador
9 -Anexo
10-Atividade 
11-Titulo da atividade
12-Tipo de regularização
13-Ultima alteração
14-Usuario</t>
        </r>
      </text>
    </comment>
    <comment ref="E1484" authorId="3" shapeId="0" xr:uid="{00000000-0006-0000-0100-0000FE070000}">
      <text>
        <r>
          <rPr>
            <sz val="9"/>
            <color indexed="81"/>
            <rFont val="Segoe UI"/>
            <family val="2"/>
          </rPr>
          <t xml:space="preserve">
1-Gestão do Processo
2-Regularização Imbobiliária
3-Equipe de trabalho 
4-Servidor
5-Atividade
</t>
        </r>
      </text>
    </comment>
    <comment ref="D1485" authorId="3" shapeId="0" xr:uid="{00000000-0006-0000-0100-0000FF070000}">
      <text>
        <r>
          <rPr>
            <sz val="9"/>
            <color indexed="81"/>
            <rFont val="Segoe UI"/>
            <family val="2"/>
          </rPr>
          <t xml:space="preserve">
1 -N PRN
2 -Descrição 
3 -Tipo processo
4 -Solicitação 
5 -Previsão Ini
6 -Previsão Fim 
7 -Equipe
8 -Coordenador
9 -Anexo
10-Atividade 
11-Titulo da atividade
12-Tipo de regularização
13-Ultima alteração
14-Usuario
15-CMD
16-MSG</t>
        </r>
      </text>
    </comment>
    <comment ref="E1485" authorId="3" shapeId="0" xr:uid="{00000000-0006-0000-0100-000000080000}">
      <text>
        <r>
          <rPr>
            <sz val="9"/>
            <color indexed="81"/>
            <rFont val="Segoe UI"/>
            <family val="2"/>
          </rPr>
          <t xml:space="preserve">
1-Gestão do Processo
2-Regularização Imbobiliária
3-Equipe de trabalho 
4-Servidor
5-Atividade
</t>
        </r>
      </text>
    </comment>
    <comment ref="D1486" authorId="3" shapeId="0" xr:uid="{00000000-0006-0000-0100-000001080000}">
      <text>
        <r>
          <rPr>
            <sz val="9"/>
            <color indexed="81"/>
            <rFont val="Segoe UI"/>
            <family val="2"/>
          </rPr>
          <t xml:space="preserve">
1-Codigo
2-CMD
3-MSG</t>
        </r>
      </text>
    </comment>
    <comment ref="E1486" authorId="3" shapeId="0" xr:uid="{00000000-0006-0000-0100-000002080000}">
      <text>
        <r>
          <rPr>
            <sz val="9"/>
            <color indexed="81"/>
            <rFont val="Segoe UI"/>
            <family val="2"/>
          </rPr>
          <t xml:space="preserve">
1-Gestão do Processo
</t>
        </r>
      </text>
    </comment>
    <comment ref="D1487" authorId="3" shapeId="0" xr:uid="{00000000-0006-0000-0100-000003080000}">
      <text>
        <r>
          <rPr>
            <sz val="9"/>
            <color indexed="81"/>
            <rFont val="Segoe UI"/>
            <family val="2"/>
          </rPr>
          <t>1-Código
2-Situação
3-CMD
4-MSG</t>
        </r>
      </text>
    </comment>
    <comment ref="E1487" authorId="3" shapeId="0" xr:uid="{00000000-0006-0000-0100-000004080000}">
      <text>
        <r>
          <rPr>
            <sz val="9"/>
            <color indexed="81"/>
            <rFont val="Segoe UI"/>
            <family val="2"/>
          </rPr>
          <t xml:space="preserve">
1-Gestão do Processo
</t>
        </r>
      </text>
    </comment>
    <comment ref="D1488" authorId="3" shapeId="0" xr:uid="{00000000-0006-0000-0100-000005080000}">
      <text>
        <r>
          <rPr>
            <sz val="9"/>
            <color indexed="81"/>
            <rFont val="Segoe UI"/>
            <family val="2"/>
          </rPr>
          <t xml:space="preserve">
1-Codigo 
2-Titulo
3-Tipo 
4-CMD
5-MSG
</t>
        </r>
      </text>
    </comment>
    <comment ref="E1488" authorId="3" shapeId="0" xr:uid="{00000000-0006-0000-0100-000006080000}">
      <text>
        <r>
          <rPr>
            <sz val="9"/>
            <color indexed="81"/>
            <rFont val="Segoe UI"/>
            <family val="2"/>
          </rPr>
          <t xml:space="preserve">
1-Atividade
</t>
        </r>
      </text>
    </comment>
    <comment ref="D1491" authorId="3" shapeId="0" xr:uid="{00000000-0006-0000-0100-000007080000}">
      <text>
        <r>
          <rPr>
            <sz val="9"/>
            <color indexed="81"/>
            <rFont val="Segoe UI"/>
            <family val="2"/>
          </rPr>
          <t xml:space="preserve">
1 -Titulo 
2 -Responsável
3 -Data 
4 -Descrição 
5 -Anexo
6 -Tags
7 -Subtarefa
8 -Checklist
9 -Status task
10-Ultima alteração 
11-Usuario 
12-Titulo subtask
13-Responsável
14-Data referencia
15-Descrição
16-Ultima alteração 
17-Usuario
18-ID tarefa
19- ID subtarefa
20-Id Task
</t>
        </r>
      </text>
    </comment>
    <comment ref="E1491" authorId="3" shapeId="0" xr:uid="{00000000-0006-0000-0100-000008080000}">
      <text>
        <r>
          <rPr>
            <sz val="9"/>
            <color indexed="81"/>
            <rFont val="Segoe UI"/>
            <family val="2"/>
          </rPr>
          <t xml:space="preserve">
1-Tarefas do Processo
2-Sub Tarefas do Processo
3-Check list</t>
        </r>
      </text>
    </comment>
    <comment ref="D1492" authorId="3" shapeId="0" xr:uid="{00000000-0006-0000-0100-000009080000}">
      <text>
        <r>
          <rPr>
            <sz val="9"/>
            <color indexed="81"/>
            <rFont val="Segoe UI"/>
            <family val="2"/>
          </rPr>
          <t xml:space="preserve">
1 -Titulo 
2 -Responsável
3 -Data 
4 -Descrição 
5 -Anexo
6 -Tags
7 -Subtarefa
8 -Checklist
9 -CMD
10-MSG</t>
        </r>
      </text>
    </comment>
    <comment ref="E1492" authorId="3" shapeId="0" xr:uid="{00000000-0006-0000-0100-00000A080000}">
      <text>
        <r>
          <rPr>
            <sz val="9"/>
            <color indexed="81"/>
            <rFont val="Segoe UI"/>
            <family val="2"/>
          </rPr>
          <t xml:space="preserve">
1-Tarefas do processo
2-Equipe de trabalho 
3-Gestão de processo 
4-Servidor</t>
        </r>
      </text>
    </comment>
    <comment ref="D1493" authorId="3" shapeId="0" xr:uid="{00000000-0006-0000-0100-00000B080000}">
      <text>
        <r>
          <rPr>
            <sz val="9"/>
            <color indexed="81"/>
            <rFont val="Segoe UI"/>
            <family val="2"/>
          </rPr>
          <t xml:space="preserve">
1 -Titulo 
2 -Responsável
3 -Data 
4 -Descrição 
5 -Anexo
6 -Tags
7 -Subtarefa
8 -Checklist
9 -CMD
10-MSG</t>
        </r>
      </text>
    </comment>
    <comment ref="E1493" authorId="3" shapeId="0" xr:uid="{00000000-0006-0000-0100-00000C080000}">
      <text>
        <r>
          <rPr>
            <sz val="9"/>
            <color indexed="81"/>
            <rFont val="Segoe UI"/>
            <family val="2"/>
          </rPr>
          <t xml:space="preserve">
1-Tarefas do processo
2-Equipe de trabalho 
3-Gestão de processo 
4-Servidor</t>
        </r>
      </text>
    </comment>
    <comment ref="D1494" authorId="3" shapeId="0" xr:uid="{00000000-0006-0000-0100-00000D080000}">
      <text>
        <r>
          <rPr>
            <sz val="9"/>
            <color indexed="81"/>
            <rFont val="Segoe UI"/>
            <family val="2"/>
          </rPr>
          <t xml:space="preserve">
1-Titulo 
2-Responsável
3-Data 
4-Descrição 
5-Anexo
6-Tags
7-Checklist
8-Ultima alteração 
9-Usuario </t>
        </r>
      </text>
    </comment>
    <comment ref="E1494" authorId="3" shapeId="0" xr:uid="{00000000-0006-0000-0100-00000E080000}">
      <text>
        <r>
          <rPr>
            <sz val="9"/>
            <color indexed="81"/>
            <rFont val="Segoe UI"/>
            <family val="2"/>
          </rPr>
          <t xml:space="preserve">
1-Tarefas do processo
2-Equipe de trabalho 
3-Gestão de processo 
4-Servidor</t>
        </r>
      </text>
    </comment>
    <comment ref="D1495" authorId="3" shapeId="0" xr:uid="{00000000-0006-0000-0100-00000F080000}">
      <text>
        <r>
          <rPr>
            <sz val="9"/>
            <color indexed="81"/>
            <rFont val="Segoe UI"/>
            <family val="2"/>
          </rPr>
          <t xml:space="preserve">
1-Titulo 
2-Responsável
3-Data 
4-Descrição 
5-Anexo
6-Tags
7-Checklist
8-Ultima alteração 
9-Usuario 
10-CMD
11-MSG</t>
        </r>
      </text>
    </comment>
    <comment ref="E1495" authorId="3" shapeId="0" xr:uid="{00000000-0006-0000-0100-000010080000}">
      <text>
        <r>
          <rPr>
            <sz val="9"/>
            <color indexed="81"/>
            <rFont val="Segoe UI"/>
            <family val="2"/>
          </rPr>
          <t xml:space="preserve">
1-Tarefas do processo
2-Equipe de trabalho 
3-Gestão de processo 
4-Servidor</t>
        </r>
      </text>
    </comment>
    <comment ref="D1496" authorId="3" shapeId="0" xr:uid="{00000000-0006-0000-0100-000011080000}">
      <text>
        <r>
          <rPr>
            <sz val="9"/>
            <color indexed="81"/>
            <rFont val="Segoe UI"/>
            <family val="2"/>
          </rPr>
          <t xml:space="preserve">
1-Codigo
2-CMD
3-MSG</t>
        </r>
      </text>
    </comment>
    <comment ref="E1496" authorId="3" shapeId="0" xr:uid="{00000000-0006-0000-0100-000012080000}">
      <text>
        <r>
          <rPr>
            <sz val="9"/>
            <color indexed="81"/>
            <rFont val="Segoe UI"/>
            <family val="2"/>
          </rPr>
          <t xml:space="preserve">
1-Tarefas do Processo
</t>
        </r>
      </text>
    </comment>
    <comment ref="D1497" authorId="3" shapeId="0" xr:uid="{00000000-0006-0000-0100-000013080000}">
      <text>
        <r>
          <rPr>
            <sz val="9"/>
            <color indexed="81"/>
            <rFont val="Segoe UI"/>
            <family val="2"/>
          </rPr>
          <t>1-Código
2-Situação
3-CMD
4-MSG</t>
        </r>
      </text>
    </comment>
    <comment ref="E1497" authorId="3" shapeId="0" xr:uid="{00000000-0006-0000-0100-000014080000}">
      <text>
        <r>
          <rPr>
            <sz val="9"/>
            <color indexed="81"/>
            <rFont val="Segoe UI"/>
            <family val="2"/>
          </rPr>
          <t xml:space="preserve">
1-Tarefas do Processo
</t>
        </r>
      </text>
    </comment>
    <comment ref="D1498" authorId="3" shapeId="0" xr:uid="{00000000-0006-0000-0100-000015080000}">
      <text>
        <r>
          <rPr>
            <sz val="9"/>
            <color indexed="81"/>
            <rFont val="Segoe UI"/>
            <family val="2"/>
          </rPr>
          <t xml:space="preserve">
1 -Codigo 
2 -Titulo 
3 -responsável
4 -Data
5-CMD
</t>
        </r>
      </text>
    </comment>
    <comment ref="E1498" authorId="3" shapeId="0" xr:uid="{00000000-0006-0000-0100-000016080000}">
      <text>
        <r>
          <rPr>
            <sz val="9"/>
            <color indexed="81"/>
            <rFont val="Segoe UI"/>
            <family val="2"/>
          </rPr>
          <t xml:space="preserve">
1-Tarefas do Processo
</t>
        </r>
      </text>
    </comment>
    <comment ref="D1499" authorId="3" shapeId="0" xr:uid="{00000000-0006-0000-0100-000017080000}">
      <text>
        <r>
          <rPr>
            <sz val="9"/>
            <color indexed="81"/>
            <rFont val="Segoe UI"/>
            <family val="2"/>
          </rPr>
          <t xml:space="preserve">
1-Titulo subtask
2-Responsável
3-Data referencia
4-Descrição
5-CMD
6-MSG</t>
        </r>
      </text>
    </comment>
    <comment ref="E1499" authorId="3" shapeId="0" xr:uid="{00000000-0006-0000-0100-000018080000}">
      <text>
        <r>
          <rPr>
            <sz val="9"/>
            <color indexed="81"/>
            <rFont val="Segoe UI"/>
            <family val="2"/>
          </rPr>
          <t xml:space="preserve">
1-Tarefas do Processo
2-usuario</t>
        </r>
      </text>
    </comment>
    <comment ref="D1500" authorId="3" shapeId="0" xr:uid="{00000000-0006-0000-0100-000019080000}">
      <text>
        <r>
          <rPr>
            <sz val="9"/>
            <color indexed="81"/>
            <rFont val="Segoe UI"/>
            <family val="2"/>
          </rPr>
          <t xml:space="preserve">
1-Titulo subtask
2-Responsável
3-Data referencia
4-Descrição
5-CMD
6-MSG</t>
        </r>
      </text>
    </comment>
    <comment ref="E1500" authorId="3" shapeId="0" xr:uid="{00000000-0006-0000-0100-00001A080000}">
      <text>
        <r>
          <rPr>
            <sz val="9"/>
            <color indexed="81"/>
            <rFont val="Segoe UI"/>
            <family val="2"/>
          </rPr>
          <t xml:space="preserve">
1-Tarefas do Processo
2-usuario</t>
        </r>
      </text>
    </comment>
    <comment ref="D1501" authorId="3" shapeId="0" xr:uid="{00000000-0006-0000-0100-00001B080000}">
      <text>
        <r>
          <rPr>
            <sz val="9"/>
            <color indexed="81"/>
            <rFont val="Segoe UI"/>
            <family val="2"/>
          </rPr>
          <t xml:space="preserve">
1-Titulo subtask
2-Responsável
3-Data referencia
4-Descrição
5-Ultima alteração 
6-Usuario
7-CMD
8-MSG</t>
        </r>
      </text>
    </comment>
    <comment ref="E1501" authorId="3" shapeId="0" xr:uid="{00000000-0006-0000-0100-00001C080000}">
      <text>
        <r>
          <rPr>
            <sz val="9"/>
            <color indexed="81"/>
            <rFont val="Segoe UI"/>
            <family val="2"/>
          </rPr>
          <t xml:space="preserve">
1-Tarefas do Processo
2-usuario</t>
        </r>
      </text>
    </comment>
    <comment ref="D1502" authorId="3" shapeId="0" xr:uid="{00000000-0006-0000-0100-00001D080000}">
      <text>
        <r>
          <rPr>
            <sz val="9"/>
            <color indexed="81"/>
            <rFont val="Segoe UI"/>
            <family val="2"/>
          </rPr>
          <t xml:space="preserve">
1-Titulo subtask
2-Responsável
3-Data referencia
4-Descrição
5-Ultima alteração 
6-Usuario
7-CMD
8-MSG</t>
        </r>
      </text>
    </comment>
    <comment ref="E1502" authorId="3" shapeId="0" xr:uid="{00000000-0006-0000-0100-00001E080000}">
      <text>
        <r>
          <rPr>
            <sz val="9"/>
            <color indexed="81"/>
            <rFont val="Segoe UI"/>
            <family val="2"/>
          </rPr>
          <t xml:space="preserve">
1-Tarefas do Processo
2-usuario</t>
        </r>
      </text>
    </comment>
    <comment ref="D1503" authorId="3" shapeId="0" xr:uid="{00000000-0006-0000-0100-00001F080000}">
      <text>
        <r>
          <rPr>
            <sz val="9"/>
            <color indexed="81"/>
            <rFont val="Segoe UI"/>
            <family val="2"/>
          </rPr>
          <t xml:space="preserve">
1 -Codigo 
2 -Titulo 
3-CMD
4-MSG
</t>
        </r>
      </text>
    </comment>
    <comment ref="E1503" authorId="3" shapeId="0" xr:uid="{00000000-0006-0000-0100-000020080000}">
      <text>
        <r>
          <rPr>
            <sz val="9"/>
            <color indexed="81"/>
            <rFont val="Segoe UI"/>
            <family val="2"/>
          </rPr>
          <t xml:space="preserve">
1-Tarefas do Processo
</t>
        </r>
      </text>
    </comment>
    <comment ref="D1506" authorId="3" shapeId="0" xr:uid="{76C74BBD-247F-4812-9ED4-A8ABB9CC41FB}">
      <text>
        <r>
          <rPr>
            <sz val="9"/>
            <color indexed="81"/>
            <rFont val="Segoe UI"/>
            <family val="2"/>
          </rPr>
          <t xml:space="preserve">
1-Menu
2-CMD
</t>
        </r>
      </text>
    </comment>
    <comment ref="E1506" authorId="3" shapeId="0" xr:uid="{570D059F-0B1D-4E22-936F-C0806E30EAE6}">
      <text>
        <r>
          <rPr>
            <sz val="9"/>
            <color indexed="81"/>
            <rFont val="Segoe UI"/>
            <family val="2"/>
          </rPr>
          <t xml:space="preserve">
1-Usuário
2-Perfil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46" authorId="0" shapeId="0" xr:uid="{00000000-0006-0000-0300-000001000000}">
      <text>
        <r>
          <rPr>
            <b/>
            <sz val="8"/>
            <color indexed="8"/>
            <rFont val="Tahoma"/>
            <family val="2"/>
          </rPr>
          <t xml:space="preserve">Técnica de estimativa do tamanho desenvolvida pela NESMA. Assume que os arquivos lógicos são de complexidade baixa e as transações são de complexidade média. 
</t>
        </r>
      </text>
    </comment>
    <comment ref="B47" authorId="0" shapeId="0" xr:uid="{00000000-0006-0000-0300-000002000000}">
      <text>
        <r>
          <rPr>
            <b/>
            <sz val="8"/>
            <color indexed="8"/>
            <rFont val="Tahoma"/>
            <family val="2"/>
          </rPr>
          <t xml:space="preserve">Técnica de estimativa do tamanho desenvolvida pela NESMA. É baseada apenas nos arquivos lógicos. Assume que cada ALI tem um peso de 35 PF e cada AIE um peso de 15 PF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9" authorId="0" shapeId="0" xr:uid="{00000000-0006-0000-0400-000001000000}">
      <text>
        <r>
          <rPr>
            <b/>
            <sz val="8"/>
            <color indexed="8"/>
            <rFont val="Tahoma"/>
            <family val="2"/>
          </rPr>
          <t xml:space="preserve">Contribuição fixa em PF independentemente do tipo da funcionalidade
</t>
        </r>
      </text>
    </comment>
    <comment ref="H46" authorId="0" shapeId="0" xr:uid="{00000000-0006-0000-0400-000002000000}">
      <text>
        <r>
          <rPr>
            <b/>
            <sz val="8"/>
            <color indexed="8"/>
            <rFont val="Tahoma"/>
            <family val="2"/>
          </rPr>
          <t xml:space="preserve">Contribuição fixa em PF para o item não funcional
</t>
        </r>
      </text>
    </comment>
  </commentList>
</comments>
</file>

<file path=xl/sharedStrings.xml><?xml version="1.0" encoding="utf-8"?>
<sst xmlns="http://schemas.openxmlformats.org/spreadsheetml/2006/main" count="3924" uniqueCount="1451">
  <si>
    <t>Identificação da Contagem</t>
  </si>
  <si>
    <t>Empresa</t>
  </si>
  <si>
    <t>Secretaria de Estado de Planejamento e Gestão de Mato Grosso</t>
  </si>
  <si>
    <t>PF IFPUG</t>
  </si>
  <si>
    <t>Aplicação</t>
  </si>
  <si>
    <t>PF Local do EM</t>
  </si>
  <si>
    <t>Tipo de Contagem</t>
  </si>
  <si>
    <t>Projeto de Desenvolvimento</t>
  </si>
  <si>
    <t>PF Local da FS</t>
  </si>
  <si>
    <t>Nível de Detalhe</t>
  </si>
  <si>
    <t>Detalhada (IFPUG)</t>
  </si>
  <si>
    <t>Tecnologia</t>
  </si>
  <si>
    <t>Java</t>
  </si>
  <si>
    <t>Projeto</t>
  </si>
  <si>
    <t>SIABI - Sistema de Avaliação de Imóveis</t>
  </si>
  <si>
    <t>Versão do Guia</t>
  </si>
  <si>
    <t>4.3.1</t>
  </si>
  <si>
    <t>Responsável</t>
  </si>
  <si>
    <t>Luana Alves de Araujo Passos Aguiar</t>
  </si>
  <si>
    <t>Criação</t>
  </si>
  <si>
    <t>Revisor</t>
  </si>
  <si>
    <t>Revisão</t>
  </si>
  <si>
    <t>Propósito da Contagem</t>
  </si>
  <si>
    <r>
      <t xml:space="preserve">Contagem de Pontos de Função para subsidiar o planejamento, execução e monitoramento do projeto </t>
    </r>
    <r>
      <rPr>
        <i/>
        <sz val="10"/>
        <color rgb="FF00B0F0"/>
        <rFont val="Franklin Gothic Medium"/>
        <family val="2"/>
      </rPr>
      <t>&lt;descrever o nome do projeto aqui&gt;</t>
    </r>
    <r>
      <rPr>
        <sz val="10"/>
        <rFont val="Franklin Gothic Medium"/>
        <family val="2"/>
      </rPr>
      <t xml:space="preserve"> e atender os requisitos do </t>
    </r>
    <r>
      <rPr>
        <b/>
        <sz val="10"/>
        <rFont val="Franklin Gothic Medium"/>
        <family val="2"/>
      </rPr>
      <t>CONTRATO Nº 014/2022/SEPLAG</t>
    </r>
    <r>
      <rPr>
        <sz val="10"/>
        <rFont val="Franklin Gothic Medium"/>
        <family val="2"/>
      </rPr>
      <t xml:space="preserve"> e seus anexos. Com destaque:
- Dar suporte à análise de qualidade e produtividade;
- Estimar o custo e recursos requeridos para o desenvolvimento, melhoria e manutenção do software;
- Fornecer um fator de normalização para a comparação de software;
- Determinar o tamanho de um pacote de aplicação adquirido, por meio do dimensionamento funcional de todas as funções incluídas no mesmo;
- Ajudar os usuários a determinar o benefício provido por um pacote de aplicação para a sua organização, por meio do dimensionamento funcional das funções que correspondam especificamente aos seus requisitos.</t>
    </r>
  </si>
  <si>
    <t>Escopo da Contagem</t>
  </si>
  <si>
    <t xml:space="preserve">Essa contagem contempla a primeira entrega das histórias de usuários especificadas do projeto SIABI - Sistema de Identificação de Imóveis, conforme listadas a seguir:
</t>
  </si>
  <si>
    <t>Documentação Utilizada na Análise</t>
  </si>
  <si>
    <t xml:space="preserve">Para realizar a conagem de pontos de função em questão, foram utilizadas as histórias e usuários listadas a seguir:
</t>
  </si>
  <si>
    <t>Planilha de contagem de ponto de função - Versão 2.4</t>
  </si>
  <si>
    <t>Nome da Função</t>
  </si>
  <si>
    <t>Tipo</t>
  </si>
  <si>
    <t>Manutenção</t>
  </si>
  <si>
    <t>TD</t>
  </si>
  <si>
    <t>AR/TR</t>
  </si>
  <si>
    <t>Complex.</t>
  </si>
  <si>
    <t>ctl</t>
  </si>
  <si>
    <t>C</t>
  </si>
  <si>
    <t>ctl2</t>
  </si>
  <si>
    <t>Pacote</t>
  </si>
  <si>
    <t>Referência</t>
  </si>
  <si>
    <t>Observações</t>
  </si>
  <si>
    <t>SIABI</t>
  </si>
  <si>
    <t>US 1 - Dados do Imóvel - Dados do imóvel</t>
  </si>
  <si>
    <t>Imóvel</t>
  </si>
  <si>
    <t>ALI</t>
  </si>
  <si>
    <t>I</t>
  </si>
  <si>
    <t>Excluído os campos da Localização: área total construída / área total do terreno / unidade de medida</t>
  </si>
  <si>
    <t>Cadastrar Imóvel</t>
  </si>
  <si>
    <t>EE</t>
  </si>
  <si>
    <t>Combobox listar estado de conservação</t>
  </si>
  <si>
    <t>CE</t>
  </si>
  <si>
    <t>Combobox listar situações</t>
  </si>
  <si>
    <t>Combobox listar tipo de imóvel</t>
  </si>
  <si>
    <t>Serviços Urbanos - Listar Características</t>
  </si>
  <si>
    <t>Acessibilidade  - Listar Características</t>
  </si>
  <si>
    <t>Combobox Destinação</t>
  </si>
  <si>
    <t>Combobox Forma Aquisição</t>
  </si>
  <si>
    <t>Editar Imóvel Hyperlink</t>
  </si>
  <si>
    <t>Consulta Implícia</t>
  </si>
  <si>
    <t>Listagem de Imóvel</t>
  </si>
  <si>
    <t>Listagem de Imóvel - Todos os Imóveis</t>
  </si>
  <si>
    <t>Modal QRCode</t>
  </si>
  <si>
    <t>Visualizar Imóvel</t>
  </si>
  <si>
    <t>Excluir Imóvel</t>
  </si>
  <si>
    <t>[US_02] Identificação (Proprietário/Responsável/Ocupante)</t>
  </si>
  <si>
    <t>Alteração do nome de Identificação</t>
  </si>
  <si>
    <t>Órgão</t>
  </si>
  <si>
    <t>AIE</t>
  </si>
  <si>
    <t>Unidade</t>
  </si>
  <si>
    <t>Identificação</t>
  </si>
  <si>
    <t>Cadastrar Identificação do Imóvel</t>
  </si>
  <si>
    <t>Combobox listar órgão</t>
  </si>
  <si>
    <t>E</t>
  </si>
  <si>
    <t>Combobox listar pessoas</t>
  </si>
  <si>
    <t>Combobox listar pessoa física</t>
  </si>
  <si>
    <t>Combobox listar pessoa jurídica</t>
  </si>
  <si>
    <t>Combobox listar órgão/entidade</t>
  </si>
  <si>
    <t>Combobox listar unidade</t>
  </si>
  <si>
    <t>Combobox listar órgão/entidade e unidade</t>
  </si>
  <si>
    <t>AKST: Foi criada uma nova combo para juntar Entidade e Unidade e com o sufixo conforme orgem dos dados. Não foram excluidas ou editadas as combos existentes pois elas são usadas em outras funcionalidades</t>
  </si>
  <si>
    <t>Combo Sigla</t>
  </si>
  <si>
    <t>Editar Identificação do Imóvel</t>
  </si>
  <si>
    <t>Consulta Implícita</t>
  </si>
  <si>
    <t>Cadastrar Ocupantes</t>
  </si>
  <si>
    <t>Combobox listar finalidade da ocupação</t>
  </si>
  <si>
    <t>Combobox listar tipo de outorga</t>
  </si>
  <si>
    <t>Editar Ocupantes</t>
  </si>
  <si>
    <t>Listar Ocupantes</t>
  </si>
  <si>
    <t>Excluir Ocupantes</t>
  </si>
  <si>
    <t>Visualizar Identificação</t>
  </si>
  <si>
    <t>Modal seleção PF ou PJ</t>
  </si>
  <si>
    <t>Baixa</t>
  </si>
  <si>
    <t>Modal Responsável Patrimonial</t>
  </si>
  <si>
    <t>US 3 – Localização - Localização</t>
  </si>
  <si>
    <t>Município</t>
  </si>
  <si>
    <t>Cadastrar Localização</t>
  </si>
  <si>
    <t>Combobox listar município</t>
  </si>
  <si>
    <t>Combobox listar zoneamento</t>
  </si>
  <si>
    <t>Combobox listar unidade de medida</t>
  </si>
  <si>
    <t>Editar Localização</t>
  </si>
  <si>
    <t>Visualizar Localização</t>
  </si>
  <si>
    <t>Modal compor matrícula</t>
  </si>
  <si>
    <t>Itens excluídos da aba de Localização</t>
  </si>
  <si>
    <t>Listar matriculas</t>
  </si>
  <si>
    <t>Excluir matriculas</t>
  </si>
  <si>
    <t>US 4 – Buscas - Filtros de Buscas</t>
  </si>
  <si>
    <t>US 5 – Buscar por Matrícula</t>
  </si>
  <si>
    <t>Buscar imóvel por matrícula</t>
  </si>
  <si>
    <t>US 6 – Vínculos - Vínculos do Imóvel</t>
  </si>
  <si>
    <t>Vínculo Imóvel</t>
  </si>
  <si>
    <t>Vincular Imóvel Pai</t>
  </si>
  <si>
    <t>Desvincular Imóvel Pai</t>
  </si>
  <si>
    <t>Listar Imóveis Filhos</t>
  </si>
  <si>
    <t>SE</t>
  </si>
  <si>
    <t>Listar Imóvel Pai</t>
  </si>
  <si>
    <t>US 7 – Vistorias - Vistorias do Imóvel (Edificado)</t>
  </si>
  <si>
    <t>Vistorias do Imóvel</t>
  </si>
  <si>
    <t>Incluído o campo registro profissional do avaliador e número da vistoria</t>
  </si>
  <si>
    <t>Cadastrar Vistoria do Imóvel Edificado</t>
  </si>
  <si>
    <t>Combobox listar tipo de estado de conservação</t>
  </si>
  <si>
    <t>Editar Vistoria do Imóvel Edificado</t>
  </si>
  <si>
    <t>Incluir Documento</t>
  </si>
  <si>
    <t>Combobox listar tipo de documento vistoria</t>
  </si>
  <si>
    <t>Excluir Documento da Vistoria</t>
  </si>
  <si>
    <t>Listar Documentos da Vistoria</t>
  </si>
  <si>
    <t>Finalizar Vistoria Imóvel Edificado</t>
  </si>
  <si>
    <t>Visualizar Vistoria</t>
  </si>
  <si>
    <t>Visualizar Avaliação</t>
  </si>
  <si>
    <t>Excluir Vistoria do Imóvel</t>
  </si>
  <si>
    <t>US 09 – Registro do Imóvel</t>
  </si>
  <si>
    <t>Cadastrar Registro do Imóvel</t>
  </si>
  <si>
    <t>Editar Registro do Imóvel</t>
  </si>
  <si>
    <t>Listar Cartório</t>
  </si>
  <si>
    <t>Download arquivo</t>
  </si>
  <si>
    <t>Visualizar matrícula</t>
  </si>
  <si>
    <t>Editar Matricula</t>
  </si>
  <si>
    <t>Consulta implícita</t>
  </si>
  <si>
    <t>Visualizar anexo</t>
  </si>
  <si>
    <t>US 10 – Cadastro de Cartório</t>
  </si>
  <si>
    <t>Cartório</t>
  </si>
  <si>
    <t>Cadastrar Cartório</t>
  </si>
  <si>
    <t>Editar Cartório</t>
  </si>
  <si>
    <t>Excluir Cartório</t>
  </si>
  <si>
    <t>[US_23509] Relatório de Avaliação (interna)</t>
  </si>
  <si>
    <t>Antiga US 11 – Relatório de Avaliação - Gerar Relatório de Avaliação</t>
  </si>
  <si>
    <t>Relatório de Avaliação</t>
  </si>
  <si>
    <t>Relatório de Avaliação - Listagem</t>
  </si>
  <si>
    <t>Imprimir Relatório não Assinado</t>
  </si>
  <si>
    <t>US 12 – Vistorias - Vistorias do Imóvel Não Edificado</t>
  </si>
  <si>
    <t>Cadastrar Vistoria do Imóvel Não Edificado</t>
  </si>
  <si>
    <t>Editar Vistoria do Imóvel Não Edificado</t>
  </si>
  <si>
    <t>Finalizar Vistoria Imóvel Não Edificado</t>
  </si>
  <si>
    <t>US 13 – Relatório de Avaliação - Assinar Relatório de Avaliação</t>
  </si>
  <si>
    <t>Assinar Relatório</t>
  </si>
  <si>
    <t>US 14 – Relatório de Avaliação - Gerar Relatório de Avaliação Assinado</t>
  </si>
  <si>
    <t>[US_017] Manter Pessoas</t>
  </si>
  <si>
    <t>Pessoa Física</t>
  </si>
  <si>
    <t>Cadastrar Pessoa Física</t>
  </si>
  <si>
    <t>Combobox listar área de atuação</t>
  </si>
  <si>
    <t>Combobox listar tipo de pessoa</t>
  </si>
  <si>
    <t>Editar Pessoa Física</t>
  </si>
  <si>
    <t>Listar Pessoa Física</t>
  </si>
  <si>
    <t>Excluir Pessoa Física</t>
  </si>
  <si>
    <t>Visualizar Pessoa Física</t>
  </si>
  <si>
    <t>[US_018] Manter Avaliador</t>
  </si>
  <si>
    <t>Avaliador</t>
  </si>
  <si>
    <t>Cadastrar Avaliador</t>
  </si>
  <si>
    <t>Combobox listar tipo avaliador</t>
  </si>
  <si>
    <t>Editar Avaliador</t>
  </si>
  <si>
    <t>Listar Avaliador</t>
  </si>
  <si>
    <t>Excluir Avaliador</t>
  </si>
  <si>
    <t>Visualizar Avaliador</t>
  </si>
  <si>
    <t>[US_016] Processos Vinculados ao Imóvel</t>
  </si>
  <si>
    <t>Cadastrar Processos do Imóvel</t>
  </si>
  <si>
    <t>Editar Processos do Imóvel</t>
  </si>
  <si>
    <t>Listar Processos do Imóvel</t>
  </si>
  <si>
    <t>Visualizar Processos do Imóvel</t>
  </si>
  <si>
    <t>Excluir Processos do Imóvel</t>
  </si>
  <si>
    <t>[US_015] Manter Documento Vinculados ao Imóvel</t>
  </si>
  <si>
    <t>Cadastrar Documentos do Imóvel</t>
  </si>
  <si>
    <t>Editar Documentos do Imóvel</t>
  </si>
  <si>
    <t>Listar Documentos do Imóvel</t>
  </si>
  <si>
    <t>Download do Documento</t>
  </si>
  <si>
    <t>Excluir Documentos do Imóvel</t>
  </si>
  <si>
    <t>[US_019] Manter Tipos de Documento</t>
  </si>
  <si>
    <t>Tipos de Documento</t>
  </si>
  <si>
    <t>Cadastrar Tipos de Documento</t>
  </si>
  <si>
    <t>Combobox listar categoria</t>
  </si>
  <si>
    <t>Editar Tipos de Documento</t>
  </si>
  <si>
    <t>Listar Tipos de Documento</t>
  </si>
  <si>
    <t>Excluir Tipos de Documento</t>
  </si>
  <si>
    <t>[US_021] Manter Pessoas Jurídicas</t>
  </si>
  <si>
    <t>Entidade</t>
  </si>
  <si>
    <t>Estrutura disponibilizada pela equipe de banco de dados que concentra os dados tanto de pessoa jurídica, quanto pessoa física, quanto órgão</t>
  </si>
  <si>
    <t>Pessoa Jurídica</t>
  </si>
  <si>
    <t>Cadastrar Pessoa Jurídica</t>
  </si>
  <si>
    <t>Editar Pessoa Jurídica</t>
  </si>
  <si>
    <t>Listar Pessoa Jurídica</t>
  </si>
  <si>
    <t>Excluir Pessoa Jurídica</t>
  </si>
  <si>
    <t>Visualizar Pessoa Jurídica</t>
  </si>
  <si>
    <t>[US_022] Manter Contabilização do Terreno</t>
  </si>
  <si>
    <t>Conta Contábil</t>
  </si>
  <si>
    <t>Combobox listar exercício</t>
  </si>
  <si>
    <t>Listar conta contábil</t>
  </si>
  <si>
    <t>Contabilização do Terreno</t>
  </si>
  <si>
    <t>Cadastrar Contabilização do Terreno</t>
  </si>
  <si>
    <t>Combobox listar conta contábil</t>
  </si>
  <si>
    <t>Editar Contabilização do Terreno</t>
  </si>
  <si>
    <t>Listar Contabilização do Terreno</t>
  </si>
  <si>
    <t>Excluir Contabilização do Terreno</t>
  </si>
  <si>
    <t>Visualizar Contabilização do Terreno</t>
  </si>
  <si>
    <t>[US_023] Manter Contabilização da Edificação</t>
  </si>
  <si>
    <t>Conta Depreciação</t>
  </si>
  <si>
    <t>Contabilização da Edificação</t>
  </si>
  <si>
    <t>Cadastrar Contabilização da Edificação</t>
  </si>
  <si>
    <t>Combobox listar conta depreciação</t>
  </si>
  <si>
    <t>Modal estado de conservação</t>
  </si>
  <si>
    <t>Editar Contabilização da Edificação</t>
  </si>
  <si>
    <t>Listar Contabilização da Edificação</t>
  </si>
  <si>
    <t>Excluir Contabilização da Edificação</t>
  </si>
  <si>
    <t>Visualizar Contabilização da Edificação</t>
  </si>
  <si>
    <t>US058 - Posição de Estoque - Final</t>
  </si>
  <si>
    <t>Pesquisar posição de estoque</t>
  </si>
  <si>
    <t>Exportar posição de estoque de material por conta PDF</t>
  </si>
  <si>
    <t>Exportar posição de estoque de material por conta xls</t>
  </si>
  <si>
    <t>[US_5566] Matrícula Originária</t>
  </si>
  <si>
    <t>Matrícula Pai</t>
  </si>
  <si>
    <t>Cadastrar Matrícula Pai</t>
  </si>
  <si>
    <t>Aterar Matrícula Pai</t>
  </si>
  <si>
    <t>Consulta Explícita</t>
  </si>
  <si>
    <t>Excluir Matrícula Pai</t>
  </si>
  <si>
    <t>Visualizar Matrícula Pai</t>
  </si>
  <si>
    <t>Histórico Alteração</t>
  </si>
  <si>
    <t>Listar Matrícula Pai</t>
  </si>
  <si>
    <t>[US_5579] Históricos</t>
  </si>
  <si>
    <t>Histórico</t>
  </si>
  <si>
    <t>Cadastrar Histórico</t>
  </si>
  <si>
    <t>Aterar Histórico</t>
  </si>
  <si>
    <t>Excluir Histórico</t>
  </si>
  <si>
    <t>Visualizar Histórico</t>
  </si>
  <si>
    <t>[US_6313] Estrutura de Telas  Detalhes do Imóvel</t>
  </si>
  <si>
    <t>Consulta dados Imovel e Localização</t>
  </si>
  <si>
    <t>[US_7596] Vinculo- Tipos de Unidade e Conta Contábil</t>
  </si>
  <si>
    <t>Vinculo Tipo de Unidade e CC</t>
  </si>
  <si>
    <t>Cadastrar Vinculo</t>
  </si>
  <si>
    <t>Combobox listar tipo de unidade</t>
  </si>
  <si>
    <t>Alterar Vinculo</t>
  </si>
  <si>
    <t>Listar Vinculo</t>
  </si>
  <si>
    <t>Excluir Vinculo</t>
  </si>
  <si>
    <t>Visualizar Vínculo</t>
  </si>
  <si>
    <t>Exportar Vínculo</t>
  </si>
  <si>
    <t>[US_7633] Depreciação da Edificação</t>
  </si>
  <si>
    <t>Depreciação</t>
  </si>
  <si>
    <t>Visualizar Depreciação</t>
  </si>
  <si>
    <t>Listar Histórico Depreciação</t>
  </si>
  <si>
    <t>Exportar Depreciação</t>
  </si>
  <si>
    <t>[US_7736] Demanda de Inventário - Imóveis</t>
  </si>
  <si>
    <t>Demanda de inventário</t>
  </si>
  <si>
    <t>Incluir - Dados Gerais</t>
  </si>
  <si>
    <t>Combobox Parametro Inventário</t>
  </si>
  <si>
    <t>Combobox Buscar Servidor - AutoComplete</t>
  </si>
  <si>
    <t>Alterar - Dados Gerais</t>
  </si>
  <si>
    <t>Consulta implícita Dados Gerais</t>
  </si>
  <si>
    <t>Incluir - Ocupantes</t>
  </si>
  <si>
    <t>Consulta implícita Ocupantes da Demanda de Inventário</t>
  </si>
  <si>
    <t>Alterar - Unidades Inventariadas</t>
  </si>
  <si>
    <t>Consulta implícita Unidades Inventariadas</t>
  </si>
  <si>
    <t>Tela de Listagem</t>
  </si>
  <si>
    <t>Exportar</t>
  </si>
  <si>
    <t>Visualizar Dados Gerais</t>
  </si>
  <si>
    <t>Visualizar Ocupantes da Demanda</t>
  </si>
  <si>
    <t>Excluir</t>
  </si>
  <si>
    <t>Cancelar</t>
  </si>
  <si>
    <t>[US_7737] Comissão do Inventário</t>
  </si>
  <si>
    <t>Comissão do Inventário</t>
  </si>
  <si>
    <t>Incluir</t>
  </si>
  <si>
    <t>Alterar</t>
  </si>
  <si>
    <t>Visualizar</t>
  </si>
  <si>
    <t>Download</t>
  </si>
  <si>
    <t>[US_7738] Inventariar Imóveis - Anexos do Inventário</t>
  </si>
  <si>
    <t>Visualizar Documento</t>
  </si>
  <si>
    <t>Dowload do Documento</t>
  </si>
  <si>
    <t>Finalizar</t>
  </si>
  <si>
    <t>Validar/Encerrar</t>
  </si>
  <si>
    <t>[US_9256] Parametrização de Inventários</t>
  </si>
  <si>
    <t xml:space="preserve">Parametrização </t>
  </si>
  <si>
    <t>Pesquisar</t>
  </si>
  <si>
    <t>Combobox Tipo de Patrimonio</t>
  </si>
  <si>
    <t>[US_9982] Calculo de Depreciação da Edificação</t>
  </si>
  <si>
    <t xml:space="preserve">Calcular depreciação </t>
  </si>
  <si>
    <t>[US_10185] Gestão de Inventário de Imóveis</t>
  </si>
  <si>
    <t>Visualizar Gestão de inventário</t>
  </si>
  <si>
    <t>[US_10187] Notificar Responsáveis (Inventário)</t>
  </si>
  <si>
    <t>Notificar</t>
  </si>
  <si>
    <t>Selecionar Email - AutoComplete</t>
  </si>
  <si>
    <t>[US_10327] SUB Comissão de Inventário</t>
  </si>
  <si>
    <t>Subcomissão do Inventário</t>
  </si>
  <si>
    <t>Listar/Buscar ocupantes do imóvel</t>
  </si>
  <si>
    <t>[US_10426] Configurar Email De Notificações SIABI</t>
  </si>
  <si>
    <t>Configuração Email</t>
  </si>
  <si>
    <t>[US_10477] Estrutura de tela da Gestão de Inventário</t>
  </si>
  <si>
    <t>Consulta dados Inventário</t>
  </si>
  <si>
    <t>[US_10504] Inventariar Imóvel</t>
  </si>
  <si>
    <t>Inventario</t>
  </si>
  <si>
    <t>Inventariar Imóvel - Incluir Dados do Imóvel</t>
  </si>
  <si>
    <t>Dados Atuais do Imóvel - Consulta implícita</t>
  </si>
  <si>
    <t>Inventariar Imóvel - Incluir Identificação</t>
  </si>
  <si>
    <t>Dados Atuais de Identificação - Consulta implícita</t>
  </si>
  <si>
    <t>Inventariar Imóvel - Incluir localização</t>
  </si>
  <si>
    <t>Dados Atuais de Localização - Consulta implícita</t>
  </si>
  <si>
    <t>Inventariar Imóvel - Alterar Dados do Imóvel</t>
  </si>
  <si>
    <t>Dados do Imóvel - Consulta implícita</t>
  </si>
  <si>
    <t>Inventariar Imóvel - Alterar Identificação</t>
  </si>
  <si>
    <t>Identificação - Consulta implícita</t>
  </si>
  <si>
    <t>Inventariar Imóvel - Alterar localização</t>
  </si>
  <si>
    <t>Localização - Consulta implícita</t>
  </si>
  <si>
    <t>Visualizar Dados do Imóvel - Inventariar Imóvel</t>
  </si>
  <si>
    <t>Visualizar Identificação - Inventariar Imóvel</t>
  </si>
  <si>
    <t>Visualizar localização - Inventariar Imóvel</t>
  </si>
  <si>
    <t>Inventariar Imovel - aba Matricula - Listar matriculas</t>
  </si>
  <si>
    <t>Inventariar Imovel - aba Matricula - Listar Imóvel Pai</t>
  </si>
  <si>
    <t>Inventariar Imovel - aba Matricula - Modal compor matrícula</t>
  </si>
  <si>
    <t>Inventariar Imovel - aba Matricula - Excluir matriculas</t>
  </si>
  <si>
    <t>Inventariar Imovel - aba Matricula - Visualizar matrícula</t>
  </si>
  <si>
    <t>Inventariar Imovel - aba Matricula - Editar Matricula</t>
  </si>
  <si>
    <t>Inventariar Imovel - aba Matricula - Vincular Imóvel Pai</t>
  </si>
  <si>
    <t>Inventariar Imovel - aba Matricula - Desvincular Imóvel Pai</t>
  </si>
  <si>
    <t>Inventariar Imóvel - Incluir Proprietário (Manter Dados)</t>
  </si>
  <si>
    <t>Inventariar Imóvel - Alterar Proprietário</t>
  </si>
  <si>
    <t>Proprietário - Consulta implícita</t>
  </si>
  <si>
    <t>Visualizar Proprietários</t>
  </si>
  <si>
    <t>[US_10626] Inventariar Imóveis Acessar-Inicio</t>
  </si>
  <si>
    <t>Inventariar Imóvel Acessar - Consultar</t>
  </si>
  <si>
    <t>Combobox Responsável Patrimonial do Imóvel</t>
  </si>
  <si>
    <t>Combobox Listar Demanda de Iventário</t>
  </si>
  <si>
    <t>Combobox Ocupante do Imóvel</t>
  </si>
  <si>
    <t>Inventariar Imóvel Acessar - Pesquisar</t>
  </si>
  <si>
    <t>[US_10668] Relação de Imóveis do Inventário-Revisar</t>
  </si>
  <si>
    <t>Listagem</t>
  </si>
  <si>
    <t>Finalizar Inventario</t>
  </si>
  <si>
    <t>[US_11065] Notificar Comissão</t>
  </si>
  <si>
    <t>Consulta para notificar</t>
  </si>
  <si>
    <t>[US_11047] Finalizar Inventário</t>
  </si>
  <si>
    <t>Inventario de imóveis - Finalizar - Consulta</t>
  </si>
  <si>
    <t>Inventario de imóveis - Finalizar - Salvar</t>
  </si>
  <si>
    <t>Inventario de imóveis - Finalizar - Finalizar</t>
  </si>
  <si>
    <t>Inventario de imóveis - Finalizar - Editar</t>
  </si>
  <si>
    <t>Inventario de imóveis - Finalizar - Editar - Consulta Implicita</t>
  </si>
  <si>
    <t>Inventario de imóveis - Finalizar - Assinar</t>
  </si>
  <si>
    <t>Inventario de imóveis - Finalizar - Exportar</t>
  </si>
  <si>
    <t>[US_11080] Notificar SUB Comissão</t>
  </si>
  <si>
    <t>Notificar subcomissão - Consulta</t>
  </si>
  <si>
    <t>Notificar subcomissão - Enviar</t>
  </si>
  <si>
    <t>Notificar subcomissão - Visualizar</t>
  </si>
  <si>
    <t>Notificar subcomissão - Lista (email Para)</t>
  </si>
  <si>
    <t>[US_14368] Relatório Final De Inventário</t>
  </si>
  <si>
    <t>Gerar Relatório Final de inventário de imóveis</t>
  </si>
  <si>
    <t>[US_14369] Inventariar Imóvel - OBRAS EM ANDAMENTO</t>
  </si>
  <si>
    <t>Iventario Obras em Andamento</t>
  </si>
  <si>
    <t>Iventariar Imóvel - Obras em andamento Incluir</t>
  </si>
  <si>
    <t>Iventariar Imóvel - Obras em andamento Alterar</t>
  </si>
  <si>
    <t>Iventariar Imóvel - Obras em andamento Alterar - Consulta Implicita</t>
  </si>
  <si>
    <t xml:space="preserve">Iventariar Imóvel - Obras em andamento - Consultar conta Contabíl </t>
  </si>
  <si>
    <t>[US_21222] Avaliação Externa</t>
  </si>
  <si>
    <t>Avaliação Externa</t>
  </si>
  <si>
    <t>Avaliação Externa - Listar</t>
  </si>
  <si>
    <t>Avaliação Externa - Cadastrar</t>
  </si>
  <si>
    <t>Avaliação Externa - Combo Tipo Avaliação</t>
  </si>
  <si>
    <t>Avaliação Externa - Combo Finalidade Laudo</t>
  </si>
  <si>
    <t>Avaliação Externa - Editar</t>
  </si>
  <si>
    <t>Avaliação Externa - Consulta Implicita</t>
  </si>
  <si>
    <t>Avaliação Externa - Visualizar</t>
  </si>
  <si>
    <t>Avaliação Externa - Exportar</t>
  </si>
  <si>
    <t>Avaliação Externa - Excluir</t>
  </si>
  <si>
    <t>Avaliação Externa - Finalizar Avaliação</t>
  </si>
  <si>
    <t>[US_11121] Dados do Imóvel - Valor do Imóvel</t>
  </si>
  <si>
    <t>Valor do Imóvel Atual</t>
  </si>
  <si>
    <t>Histórico do Valor do Imóvel - Gráfico</t>
  </si>
  <si>
    <t>Histórico do Valor do Imóvel - Listagem</t>
  </si>
  <si>
    <t>Histórico do Valor do Imóvel - Exportar</t>
  </si>
  <si>
    <t>[US_25234] Dados Público do Imóvel</t>
  </si>
  <si>
    <t>Visualizar Dados Público do Imóvel</t>
  </si>
  <si>
    <t>SISPAT</t>
  </si>
  <si>
    <t>US01 - Pesquisar contrato e nota de empenho</t>
  </si>
  <si>
    <t>Contrato (view)</t>
  </si>
  <si>
    <t>Fornecedor (view)</t>
  </si>
  <si>
    <t xml:space="preserve">Unidade ADM </t>
  </si>
  <si>
    <t>Unidade ADM - COMBO</t>
  </si>
  <si>
    <t>Fornecedor - COMBO</t>
  </si>
  <si>
    <t>Combobox Tipo de Contrato</t>
  </si>
  <si>
    <t>Listar contratos e notas de empenho</t>
  </si>
  <si>
    <t>Detalhar contratos e notas de empenho</t>
  </si>
  <si>
    <t>US02 - Criar RMF</t>
  </si>
  <si>
    <t>RMF</t>
  </si>
  <si>
    <t xml:space="preserve">Criar Requisição </t>
  </si>
  <si>
    <t>Tipo de Contrato - COMBO</t>
  </si>
  <si>
    <t>Tipo de Instrumento - COMBO</t>
  </si>
  <si>
    <t>Combobox Local de Entrega</t>
  </si>
  <si>
    <t>Criar Requisição - Consulta implicita</t>
  </si>
  <si>
    <t>US03 - Listar RMF</t>
  </si>
  <si>
    <t xml:space="preserve"> Listar RMF</t>
  </si>
  <si>
    <t>US04 - Editar RMF</t>
  </si>
  <si>
    <t xml:space="preserve">Editar RMF </t>
  </si>
  <si>
    <t>US05 - Visualizar RMF</t>
  </si>
  <si>
    <t xml:space="preserve">Visualizar RMF </t>
  </si>
  <si>
    <t>US07 - Assinar RMF</t>
  </si>
  <si>
    <t>Assinar RMF</t>
  </si>
  <si>
    <t>US08 - Cancelar RMF</t>
  </si>
  <si>
    <t>Cancelar RMF</t>
  </si>
  <si>
    <t>US12 - Cadastrar Almoxarifado</t>
  </si>
  <si>
    <t>Almoxarifado</t>
  </si>
  <si>
    <t>Pessoa</t>
  </si>
  <si>
    <t>Cadastrar Almoxarifado</t>
  </si>
  <si>
    <t>Consulta CPF</t>
  </si>
  <si>
    <t>US13 - Listar Almoxarifado</t>
  </si>
  <si>
    <t>Listar Almoxarifado</t>
  </si>
  <si>
    <t>US14 - Excluir Almoxarifado</t>
  </si>
  <si>
    <t>Excluir Almoxarifado</t>
  </si>
  <si>
    <t>US15 - Editar Almoxarifado</t>
  </si>
  <si>
    <t>Editar Almoxarifado</t>
  </si>
  <si>
    <t>Consulta implicita</t>
  </si>
  <si>
    <t>Desvincular Almoxarifado</t>
  </si>
  <si>
    <t>US06 - Imprimir RMF</t>
  </si>
  <si>
    <t/>
  </si>
  <si>
    <t>Imprimir RMF</t>
  </si>
  <si>
    <t>Alta</t>
  </si>
  <si>
    <t>SEH</t>
  </si>
  <si>
    <t>H</t>
  </si>
  <si>
    <t>SEI</t>
  </si>
  <si>
    <t>US09 - Enviar RMF</t>
  </si>
  <si>
    <t>Enviar RMF</t>
  </si>
  <si>
    <t>Média</t>
  </si>
  <si>
    <t>SEA</t>
  </si>
  <si>
    <t>A</t>
  </si>
  <si>
    <t>Enviar RMF - Consulta Implicita</t>
  </si>
  <si>
    <t>CEL</t>
  </si>
  <si>
    <t>L</t>
  </si>
  <si>
    <t>CEI</t>
  </si>
  <si>
    <t>US10 - Notificar Protocolo da RMF</t>
  </si>
  <si>
    <t>Notificar Protocolo da RMF</t>
  </si>
  <si>
    <t>EEL</t>
  </si>
  <si>
    <t>EEI</t>
  </si>
  <si>
    <t>US11 - Confirmar recebimento da RMF</t>
  </si>
  <si>
    <t>Confirmar recebimento da RMF</t>
  </si>
  <si>
    <t>Confirmar recebimento da RMF - Consulta implicita</t>
  </si>
  <si>
    <t>CEA</t>
  </si>
  <si>
    <t>US016 - Adicionar histórico manual da RMF</t>
  </si>
  <si>
    <t>Adicionar histórico da RMF</t>
  </si>
  <si>
    <t>Visualizar linha do tempo</t>
  </si>
  <si>
    <t>US017 - Adicionar histórico automático da RMF</t>
  </si>
  <si>
    <t>Essa US em si não tem transações, mas impactou nas US 7, 9 e 11 apontadas acima. Manterei na planilha e baseline para referência</t>
  </si>
  <si>
    <t>US022 - Adicionar Endereço de Entrega</t>
  </si>
  <si>
    <t>Endereço de Entrega</t>
  </si>
  <si>
    <t>Endereço de Entrega - Adicionar</t>
  </si>
  <si>
    <t>Combobox Almoxarifado</t>
  </si>
  <si>
    <t>US023 - Editar Endereço de Entrega</t>
  </si>
  <si>
    <t>Endereço de Entrega - Alterar</t>
  </si>
  <si>
    <t>Endereço de Entrega - Alterar - Consulta Implicita</t>
  </si>
  <si>
    <t>US024 - Consultar Endereço de Entrega</t>
  </si>
  <si>
    <t>Endereço de Entrega - Consultar</t>
  </si>
  <si>
    <t>US025 - Excluir Endereço de Entrega</t>
  </si>
  <si>
    <t>Endereço de Entrega - Excluir</t>
  </si>
  <si>
    <t>História de Usuário - US026 - Adicionar Catálogo</t>
  </si>
  <si>
    <t>No Celad tem o AIE de Material</t>
  </si>
  <si>
    <t>Elemento / Subelemento</t>
  </si>
  <si>
    <t>Considerei um AIE pois existe o modal especifico (US31) para associar o Elemento e Subelemento e puxa de um estrutura especifica na Fiplan criada pela Seplag</t>
  </si>
  <si>
    <t>Catalogo</t>
  </si>
  <si>
    <t>Adicionar catalogo</t>
  </si>
  <si>
    <t>História de Usuário - US027 - Consultar Catálogo</t>
  </si>
  <si>
    <t>Consultar catalogo</t>
  </si>
  <si>
    <t>Combobox Material</t>
  </si>
  <si>
    <t>Combobox Elemento</t>
  </si>
  <si>
    <t>Combobox SubElemento</t>
  </si>
  <si>
    <t>História de Usuário - US028 - Editar Catálogo</t>
  </si>
  <si>
    <t>Editar catalogo</t>
  </si>
  <si>
    <t xml:space="preserve">Editar catalogo - Consulta Implicita </t>
  </si>
  <si>
    <t>História de Usuário - US029 - Excluir Catálogo</t>
  </si>
  <si>
    <t>Excluir catalogo</t>
  </si>
  <si>
    <t>História de Usuário - US030 - Pesquisar e adicionar material no catálogo</t>
  </si>
  <si>
    <t>Pesquisar e adicionar material no catálogo</t>
  </si>
  <si>
    <t>História de Usuário - US031 - Pesquisar e adicionar subelementos de despesas no catálogo</t>
  </si>
  <si>
    <t>Pesquisar e adicionar subelementos de despesas no catálogo</t>
  </si>
  <si>
    <t>História de Usuário - US032 - Pesquisar e adicionar unidades requisitantes no catálogo</t>
  </si>
  <si>
    <t>Pesquisar e adicionar unidades requisitantes no catálogo</t>
  </si>
  <si>
    <t>[US_43] Parâmetros de Características</t>
  </si>
  <si>
    <t>Parâmetros de Características</t>
  </si>
  <si>
    <t>Pesquisar Parametros</t>
  </si>
  <si>
    <t>Adicionar Parâmetros</t>
  </si>
  <si>
    <t>Alterar Parâmetros</t>
  </si>
  <si>
    <t>Consulta Implicita Parâmetros</t>
  </si>
  <si>
    <t>Excluir  Parâmetros</t>
  </si>
  <si>
    <t>Visualizar Parâmetros</t>
  </si>
  <si>
    <t>Cadastrar Campo</t>
  </si>
  <si>
    <t>Combobox Tipo de Campo</t>
  </si>
  <si>
    <t>Alterar Campo</t>
  </si>
  <si>
    <t>Consulta Implicita Campo</t>
  </si>
  <si>
    <t>Visualizar Campo</t>
  </si>
  <si>
    <t>Excluir Campo</t>
  </si>
  <si>
    <t>Ativar/Inativar Opção do Campo</t>
  </si>
  <si>
    <t>[US_44] Cadastro de Materiais</t>
  </si>
  <si>
    <t>Material</t>
  </si>
  <si>
    <t>Pesquisar Material</t>
  </si>
  <si>
    <t>Expandir Material</t>
  </si>
  <si>
    <t>Cadastrar Material</t>
  </si>
  <si>
    <t>Combobox - Grupo Patrimonial</t>
  </si>
  <si>
    <t>Alterar Material</t>
  </si>
  <si>
    <t>Consulta Implícita Material</t>
  </si>
  <si>
    <t>Visualizar Material</t>
  </si>
  <si>
    <t>Excluir Material</t>
  </si>
  <si>
    <t>[US_45] Variações do Material</t>
  </si>
  <si>
    <t>Variação do Material</t>
  </si>
  <si>
    <t>Pesquisar Variação do Material</t>
  </si>
  <si>
    <t>Cadastrar Variação do Material - Detalhes</t>
  </si>
  <si>
    <t>Alterar Variação do Material - Detalhes</t>
  </si>
  <si>
    <t>Consulta Implícita Variação do Material - Detalhes</t>
  </si>
  <si>
    <t>Visualizar Variação do Material - Detalhes</t>
  </si>
  <si>
    <t>Cadastrar Variação do Material - Características</t>
  </si>
  <si>
    <t>Alterar Variação do Material - Características</t>
  </si>
  <si>
    <t>Consulta Implícita Variação do Material - Características</t>
  </si>
  <si>
    <t>Visualizar Variação do Material - Características</t>
  </si>
  <si>
    <t>Excluir Variação do Material</t>
  </si>
  <si>
    <t>Consultar “Locais com este material”</t>
  </si>
  <si>
    <t>Consultar Catálogos com este material</t>
  </si>
  <si>
    <t xml:space="preserve">Listar Observações do cadastro do material </t>
  </si>
  <si>
    <t xml:space="preserve">Visualizar Observações do cadastro do material </t>
  </si>
  <si>
    <t xml:space="preserve">Cadastrar Observações do cadastro do material </t>
  </si>
  <si>
    <t xml:space="preserve">Alterar Observações do cadastro do material </t>
  </si>
  <si>
    <t xml:space="preserve">Excluir Observações do cadastro do material </t>
  </si>
  <si>
    <t>US033 Consultar o Cadastro do material</t>
  </si>
  <si>
    <t>Contrato / Material View Sispat</t>
  </si>
  <si>
    <t>AKST: Coloquei apenas como referência pois foi contato na US01 do Sispat</t>
  </si>
  <si>
    <t>Variação Material</t>
  </si>
  <si>
    <t>US034  Consultar Detalhes do cadastro de material</t>
  </si>
  <si>
    <t>Consultar Implícita - Detalhe</t>
  </si>
  <si>
    <t>Cadastrar/Alterar - Detalhe</t>
  </si>
  <si>
    <t>US035 Consultar Locais com este material</t>
  </si>
  <si>
    <t>US036 Consultar Catálogos com este material</t>
  </si>
  <si>
    <t xml:space="preserve"> Consultar Catálogos com este material</t>
  </si>
  <si>
    <t xml:space="preserve">US037 Consultar Observações do cadastro do material </t>
  </si>
  <si>
    <t xml:space="preserve">US038 Adicionar _Observações_ do material </t>
  </si>
  <si>
    <t>US039 Editar Observações do material</t>
  </si>
  <si>
    <t>US040 Excluir _Observações_ do material</t>
  </si>
  <si>
    <t>US041 Importar Nfe</t>
  </si>
  <si>
    <t>Recebimento de Materiais</t>
  </si>
  <si>
    <t>Nota fiscal importada (XML)</t>
  </si>
  <si>
    <t>Recebimento de material - Dados da entrada - Consulta Implícita</t>
  </si>
  <si>
    <t>Recebimento de material - Dados da entrada - Salvar</t>
  </si>
  <si>
    <t>Recebimento de material - Importar Nfe</t>
  </si>
  <si>
    <t>US042 Adicionar lotes na entrada de Materiais_Bens</t>
  </si>
  <si>
    <t>Lote</t>
  </si>
  <si>
    <t>Adicionar lotes na entrada de Materiais Bens</t>
  </si>
  <si>
    <t>Adicionar lotes na entrada de Materiais Bens - Consulta</t>
  </si>
  <si>
    <t>Lotes - Excluir</t>
  </si>
  <si>
    <t>US046 Registrar entrada de Materiais_Bens por arquivo XML</t>
  </si>
  <si>
    <t>Receber Materiais - Listar</t>
  </si>
  <si>
    <t>Receber Materiais - Listar extendido</t>
  </si>
  <si>
    <t>COMBO - Item RMF</t>
  </si>
  <si>
    <t>Receber Materiais - Salvar</t>
  </si>
  <si>
    <t>Receber Materiais - Finalizar</t>
  </si>
  <si>
    <t>[US_48] Entrada_ Compra Sem RMF (Sem XML)</t>
  </si>
  <si>
    <t>Fornecedor (API)</t>
  </si>
  <si>
    <t>Compra Sem RMF</t>
  </si>
  <si>
    <t>Compra Sem RMF - Pesquisar</t>
  </si>
  <si>
    <t>Compra Sem RMF - Cadastrar</t>
  </si>
  <si>
    <t>Combobox Tipo de Entrada</t>
  </si>
  <si>
    <t>Combobox Tipo do Documento</t>
  </si>
  <si>
    <t>Compra Sem RMF - Alterar</t>
  </si>
  <si>
    <t>Compra Sem RMF - Consulta Implícita</t>
  </si>
  <si>
    <t>Compra Sem RMF - Visualizar</t>
  </si>
  <si>
    <t>Compra Sem RMF - Excluir</t>
  </si>
  <si>
    <t>Compra Sem RMF - Cadastrar documento</t>
  </si>
  <si>
    <t>Compra Sem RMF - Alterar documento</t>
  </si>
  <si>
    <t>Compra Sem RMF - documento - consulta implícita</t>
  </si>
  <si>
    <t>Compra Sem RMF - Visualizar documento</t>
  </si>
  <si>
    <t>Compra Sem RMF - Excluir documento</t>
  </si>
  <si>
    <t>Compra Sem RMF - Item da compra - Cadastrar</t>
  </si>
  <si>
    <t>AKST: Transação foi substituída pela US205</t>
  </si>
  <si>
    <t>Compra Sem RMF - Item da compra - Alterar</t>
  </si>
  <si>
    <t>Compra Sem RMF - Item da compra - Consulta Implícita</t>
  </si>
  <si>
    <t>Compra Sem RMF - Item da compra - Visualizar</t>
  </si>
  <si>
    <t>Compra Sem RMF - Item da compra - Consultar Item (variação material)</t>
  </si>
  <si>
    <t>Compra Sem RMF - Finalizar</t>
  </si>
  <si>
    <t>[US_49] UNIDADE DE REQUISIÇÃO (UR)</t>
  </si>
  <si>
    <t>Unidade de Requisição</t>
  </si>
  <si>
    <t>Unidade de Requisição - Pesquisar</t>
  </si>
  <si>
    <t>Unidade de Requisição - Cadastrar</t>
  </si>
  <si>
    <t>Unidade de Requisição - Cadastrar - COMBOBOX Catálogo</t>
  </si>
  <si>
    <t>Unidade de Requisição - Alterar</t>
  </si>
  <si>
    <t>Unidade de Requisição - Consulta Implícita</t>
  </si>
  <si>
    <t>Unidade de Requisição - Visualizar</t>
  </si>
  <si>
    <t>Unidade de Requisição - Excluir</t>
  </si>
  <si>
    <t>US047 Visualizar nota de recebimento</t>
  </si>
  <si>
    <t>Visualizar nota de recebimento</t>
  </si>
  <si>
    <t>Visualizar nota de recebimento - Exportar PDF</t>
  </si>
  <si>
    <t>PDF e Excel são botões diferentes</t>
  </si>
  <si>
    <t>Visualizar nota de recebimento - Exportar Excel</t>
  </si>
  <si>
    <t>US050 Consultar Requisição de Materiais</t>
  </si>
  <si>
    <t>Consultar requisição de material</t>
  </si>
  <si>
    <t xml:space="preserve">COMBO - Atendente </t>
  </si>
  <si>
    <t xml:space="preserve">COMBO - Requisitante  </t>
  </si>
  <si>
    <t>COMBO - Situação</t>
  </si>
  <si>
    <t>Visualizar requisição de material</t>
  </si>
  <si>
    <t>US051 Adicionar Nova Requisição</t>
  </si>
  <si>
    <t>Requisição de Material</t>
  </si>
  <si>
    <t>Requisição de Material - Incluir</t>
  </si>
  <si>
    <t>Requisição de Material  - Material autocomplete</t>
  </si>
  <si>
    <t>Requisição de Material  - Material Listar</t>
  </si>
  <si>
    <t>O saldo do material é calculado</t>
  </si>
  <si>
    <t>US052 Alterar Requisição</t>
  </si>
  <si>
    <t xml:space="preserve">Requisição de Material - Alterar </t>
  </si>
  <si>
    <t>Requisição de Material - Consulta Implícita</t>
  </si>
  <si>
    <t>US053 Excluir Requisição</t>
  </si>
  <si>
    <t>Requisição - Excluir</t>
  </si>
  <si>
    <t>US055 Atender Requisições de Materiais</t>
  </si>
  <si>
    <t>Atendimento - Pesquisar</t>
  </si>
  <si>
    <t>Atendimento - Exportar Lista</t>
  </si>
  <si>
    <t>Atendimento - Atender</t>
  </si>
  <si>
    <t>Combo-box Atendimento do Item</t>
  </si>
  <si>
    <t>Atendimento - Atender - Consulta Implicita</t>
  </si>
  <si>
    <t>Atendimento - Atender - Exportar Requisição</t>
  </si>
  <si>
    <t>US056 Controlar lote</t>
  </si>
  <si>
    <t>Controlar Lote - Listar</t>
  </si>
  <si>
    <t>AKST: SE pois a quantidade disponível é sempre calculada ao abrir a tela</t>
  </si>
  <si>
    <t>Controlar Lote - Salvar</t>
  </si>
  <si>
    <t>US057 Finalizar requisição</t>
  </si>
  <si>
    <t>Recebimento Requisição - Listar</t>
  </si>
  <si>
    <t>Recebimento Requisição - Confirmar</t>
  </si>
  <si>
    <t xml:space="preserve">US059 - Fechamento do Mês - Final </t>
  </si>
  <si>
    <t xml:space="preserve">Fechamento do Mês </t>
  </si>
  <si>
    <t xml:space="preserve">Pesquisar Fechamento do Mês </t>
  </si>
  <si>
    <t>Combo Tipo de Fechamento</t>
  </si>
  <si>
    <t>Combo Situação Fechamento</t>
  </si>
  <si>
    <t>Fechar Mês Manual</t>
  </si>
  <si>
    <t>Fechar Mês Automático</t>
  </si>
  <si>
    <t>Alterar situação</t>
  </si>
  <si>
    <t>[US_200] Entrada  Incorporação</t>
  </si>
  <si>
    <t>Entrada por Incorporação</t>
  </si>
  <si>
    <t>Entrada por Incorporação - Pesquisar</t>
  </si>
  <si>
    <t>Combo Tipo de Entrada</t>
  </si>
  <si>
    <t>Combo Modalidade</t>
  </si>
  <si>
    <t>Entrada por Incorporação - Cadastrar</t>
  </si>
  <si>
    <t>Combo Tipo de Bem</t>
  </si>
  <si>
    <t>Combo Destinação da Entrada</t>
  </si>
  <si>
    <t>Entrada por Incorporação - Alterar</t>
  </si>
  <si>
    <t>Entrada por Incorporação - Consulta Implícita</t>
  </si>
  <si>
    <t>Entrada por Incorporação - Excluir</t>
  </si>
  <si>
    <t>Entrada por Incorporação - Pesquisar documento</t>
  </si>
  <si>
    <t>Entrada por Incorporação - Cadastrar documento</t>
  </si>
  <si>
    <t>Entrada por Incorporação - Alterar documento</t>
  </si>
  <si>
    <t>Entrada por Incorporação - documento - Consulta Implícita</t>
  </si>
  <si>
    <t>Entrada por Incorporação - documento - Visualizar</t>
  </si>
  <si>
    <t>Entrada por Incorporação - Excluir documento</t>
  </si>
  <si>
    <t>Entrada por Incorporação - Item de entrada - Cadastrar</t>
  </si>
  <si>
    <t>Entrada por Incorporação - Item de entrada - Alterar</t>
  </si>
  <si>
    <t>Entrada por Incorporação - Item da entada - Consulta Implícita</t>
  </si>
  <si>
    <t>Entrada por Incorporação - Item da entrada - Visualizar</t>
  </si>
  <si>
    <t>Entrada por Incorporação - Reavaliar e Depreciação de Bens</t>
  </si>
  <si>
    <t>Entrada por Incorporação - Reavaliar e Depreciação de Bens - Excluir Avaliação</t>
  </si>
  <si>
    <t>Entrada por Incorporação - Gerar Registro Patrimonial Manual</t>
  </si>
  <si>
    <t>Entrada por Incorporação - Gerar Registro Patrimonial Automático</t>
  </si>
  <si>
    <t>Entrada por Incorporação - Adicionar Alterar UL Destino</t>
  </si>
  <si>
    <t>Entrada por Incorporação - Adicionar Alterar UL Destino - Consulta Implícita</t>
  </si>
  <si>
    <t>Entrada por Incorporação - Finalizar</t>
  </si>
  <si>
    <t>Entrada por Incorporação - Visualizar</t>
  </si>
  <si>
    <t>[US_201] Entrada  Incorporação - Intangível</t>
  </si>
  <si>
    <t>Entrada por Incorporação Intangível- Cadastrar</t>
  </si>
  <si>
    <t>Entrada por Incorporação Intangível- Alterar</t>
  </si>
  <si>
    <t>Entrada por Incorporação Intangível- Consulta Implícita</t>
  </si>
  <si>
    <t>Entrada por Incorporação Intangível - Item de entrada - Cadastrar</t>
  </si>
  <si>
    <t>Entrada por Incorporação Intangível - Item de entrada - Alterar</t>
  </si>
  <si>
    <t>Entrada por Incorporação Intangível- Item da entrada - Consulta Implícita</t>
  </si>
  <si>
    <t>Entrada por Incorporação Intangível- Item da entrada - Visualizar</t>
  </si>
  <si>
    <t>Entrada por Incorporação Intangível- Adicionar Alterar UL Destino</t>
  </si>
  <si>
    <t>Entrada por Incorporação Intangível - Adicionar Alterar UL Destino - Consutla Implicita</t>
  </si>
  <si>
    <t>Entrada por Incorporação Intangível- Visualizar</t>
  </si>
  <si>
    <t>Entrada por Incorporação Intangível - Excluir</t>
  </si>
  <si>
    <t>Entrada por Incorporação Intangível - Finalizar</t>
  </si>
  <si>
    <t xml:space="preserve">[US_202] Avaliação do Material </t>
  </si>
  <si>
    <t xml:space="preserve">Avaliação/Reavaliação do Material - Incluir </t>
  </si>
  <si>
    <t>Combo Valor Institucional</t>
  </si>
  <si>
    <t>Combo Nivel detalhamento</t>
  </si>
  <si>
    <t xml:space="preserve">Avaliação/Reavaliação do Material - Alterar </t>
  </si>
  <si>
    <t>Avaliação/Reavaliação do Material - Consulta Implícita</t>
  </si>
  <si>
    <t xml:space="preserve">Avaliação/Reavaliação do Material - Visualizar </t>
  </si>
  <si>
    <t xml:space="preserve">[US_203] Reavaliação e Depreciação de Bens </t>
  </si>
  <si>
    <t>Reavaliação e Depreciação de Bens - Consulta implicita</t>
  </si>
  <si>
    <t>Reavaliação e Depreciação de Bens - Depreciar</t>
  </si>
  <si>
    <t>Modal Tabela de Depreciação</t>
  </si>
  <si>
    <t>[US_205] Entrada_ Compra Com e Sem XML - ADICIONAR_SELECIONAR MATERIAL)</t>
  </si>
  <si>
    <t>Incluir Material (sem xml)</t>
  </si>
  <si>
    <t>Incluir Material (Com xml)</t>
  </si>
  <si>
    <t>Resgistro patrimonial permanente - Incluir</t>
  </si>
  <si>
    <t>Adicionar UL/ULV Destino</t>
  </si>
  <si>
    <t>Adicionar UL/ULV Destino - Consulta implicita</t>
  </si>
  <si>
    <t xml:space="preserve">Gerar Registro Manual </t>
  </si>
  <si>
    <t>Gerar Registro Manual - Listagem</t>
  </si>
  <si>
    <t xml:space="preserve">Gerar Registro Manual - Excluir </t>
  </si>
  <si>
    <t xml:space="preserve">Adicionar Caracteristica exclusiva do bem </t>
  </si>
  <si>
    <t xml:space="preserve">Alterar Caracteristica exclusiva do bem </t>
  </si>
  <si>
    <t>Alterar Caracteristica exclusiva do bem - Consulta implicita</t>
  </si>
  <si>
    <t>Alterar  Material (Consumo)</t>
  </si>
  <si>
    <t>Acionada via US48</t>
  </si>
  <si>
    <t>Consulta Implícita Consumo</t>
  </si>
  <si>
    <t>Alterar Material (Permanente)</t>
  </si>
  <si>
    <t>Consulta Implícita Permanente</t>
  </si>
  <si>
    <t>Visualizar  Material (Consumo)</t>
  </si>
  <si>
    <t>Visualizar Material (Permanente)</t>
  </si>
  <si>
    <t>[US_206] Integração com a API do SIAG _ Materiais</t>
  </si>
  <si>
    <t>Material API SIAG</t>
  </si>
  <si>
    <t>Histórico Integração</t>
  </si>
  <si>
    <t>Sincronizar Material</t>
  </si>
  <si>
    <t>[US_207] Consultar Material Sincronizado SIAG</t>
  </si>
  <si>
    <t>Material Sincronizado - Pesquisar</t>
  </si>
  <si>
    <t>[US_208] Depreciação de Bens</t>
  </si>
  <si>
    <t>Depreciação - Listar</t>
  </si>
  <si>
    <t>Visualizar Depreciação - Consulta Implícita</t>
  </si>
  <si>
    <t>Pesquisar Depreciação pela Natureza de Despesa</t>
  </si>
  <si>
    <t>Depreciação Mensal Método cota constante - Pesquisar</t>
  </si>
  <si>
    <t>SE pois realiza o cálculo da depreciação nesse momento conforme data corrente</t>
  </si>
  <si>
    <t>Visualizar tabela de depreciação</t>
  </si>
  <si>
    <t>[US_209] Amortização de Bens</t>
  </si>
  <si>
    <t>Amortização - Listar</t>
  </si>
  <si>
    <t>Visualizar Amortização - Consulta Implícita</t>
  </si>
  <si>
    <t>Pesquisar Amortização pela Natureza de Despesa</t>
  </si>
  <si>
    <t>SE pois realiza o cálculo da amortização nesse momento conforme data corrente</t>
  </si>
  <si>
    <t>Amortização Mensal Método cota constante - Pesquisar</t>
  </si>
  <si>
    <t>Visualizar tabela de Amortização</t>
  </si>
  <si>
    <t>[US_210] Relatório UL e ULV</t>
  </si>
  <si>
    <t>Emitir relatório UL/ULV</t>
  </si>
  <si>
    <t>[US_211] Histórico de Membros UL_ULV</t>
  </si>
  <si>
    <t>Consultar Históricos de Membros</t>
  </si>
  <si>
    <t>Ativar Membro</t>
  </si>
  <si>
    <t xml:space="preserve">[US_212] Detalhes do Bem </t>
  </si>
  <si>
    <t>Visualizar Detalhes do Bem</t>
  </si>
  <si>
    <t>[US_213] Características do Bem</t>
  </si>
  <si>
    <t>Visualizar  Características do Bem</t>
  </si>
  <si>
    <t>[US_214] Características Exclusiva do Bem</t>
  </si>
  <si>
    <t>Visualizar Características Exclusiva do Bem</t>
  </si>
  <si>
    <t>[US_215] Avaliações do Bem</t>
  </si>
  <si>
    <t>Visualizar Avaliações do Bem</t>
  </si>
  <si>
    <t>[US_218] Levantamentos do Bem</t>
  </si>
  <si>
    <t>Visualizar Características Exclusiva do Bem.</t>
  </si>
  <si>
    <t>US061 - Consultar Entrada de Terceiros</t>
  </si>
  <si>
    <t>Pesquisar entrada de bens de terceiro</t>
  </si>
  <si>
    <t>Excluir entrada de bens de terceiros</t>
  </si>
  <si>
    <t>US062- Cadastrar Entrada de Terceiro</t>
  </si>
  <si>
    <t>Entrada de Bens de Terceiro</t>
  </si>
  <si>
    <t>Cadastrar Entrada de Terceiro</t>
  </si>
  <si>
    <t>Visualizar Entrada de Terceiro</t>
  </si>
  <si>
    <t>Alterar Entrada de Terceiro</t>
  </si>
  <si>
    <t>Entrada de Terceiro - Consulta Implícita</t>
  </si>
  <si>
    <t>Finalizar Entrada de Terceiro</t>
  </si>
  <si>
    <t>US063- Cadastrar Documento de Entrada de Terceiro</t>
  </si>
  <si>
    <t>Listar Documento de Entrada de Terceiro</t>
  </si>
  <si>
    <t>Cadastrar Documento de Entrada de Terceiro</t>
  </si>
  <si>
    <t>Alterar Documento de Entrada de Terceiro</t>
  </si>
  <si>
    <t>Alterar Documento de Entrada de Terceiro - Consulta implicita</t>
  </si>
  <si>
    <t>Visualizar Documento de Entrada de Terceiro</t>
  </si>
  <si>
    <t>Excluir  Documento de Entrada de Terceiro</t>
  </si>
  <si>
    <t>US064- Adicionar Materiais de Entrada de Terceiro</t>
  </si>
  <si>
    <t>Itens/materiais de entrada de terceiro - Listar</t>
  </si>
  <si>
    <t>Itens/materiais de entrada de terceiro - Adicionar</t>
  </si>
  <si>
    <t>Itens/materiais de entrada de terceiro - Alterar</t>
  </si>
  <si>
    <t xml:space="preserve">Itens/materiais de entrada de terceiro - Consulta Implicita </t>
  </si>
  <si>
    <t>Itens/materiais de entrada de terceiro - Visualizar</t>
  </si>
  <si>
    <t>Itens/materiais de entrada de terceiro  - Excluir</t>
  </si>
  <si>
    <t>Gerar Registro Patrimonial / Listar</t>
  </si>
  <si>
    <t>Alterar UL/ULV Destino e Detentor</t>
  </si>
  <si>
    <t>Incluir Caracteristica exclusiva</t>
  </si>
  <si>
    <t>US074 - Consultar Termo de Responsabilidade</t>
  </si>
  <si>
    <t>Consultar Termo de Responsabilidade</t>
  </si>
  <si>
    <t>US075 - Gerar Termo de Responsabilidade</t>
  </si>
  <si>
    <t>Termo de Responsabilidade</t>
  </si>
  <si>
    <t>Gerar Termo de Responsabilidade</t>
  </si>
  <si>
    <t>Visualizar Termo de resposnabilidade</t>
  </si>
  <si>
    <t>Emissão Automática de Termo de Responsabilidade</t>
  </si>
  <si>
    <t>Incluir credenciais do responsável patrimonial</t>
  </si>
  <si>
    <t>US076 - Assinatura do Responsável pela UL_ULV</t>
  </si>
  <si>
    <t>Assinar Termo</t>
  </si>
  <si>
    <t>Recusar Termo</t>
  </si>
  <si>
    <t>US077 -  Relatório_Termo de Responsabilidade</t>
  </si>
  <si>
    <t>Emitir Termo de Responsabilidade</t>
  </si>
  <si>
    <t>US078- Enviar Notificação de Termo de Responsabilidade</t>
  </si>
  <si>
    <t xml:space="preserve">Enviar Notificação de Termo de Responsabilidade </t>
  </si>
  <si>
    <t>CELAD</t>
  </si>
  <si>
    <t>[US_02] Depósitos CELAD</t>
  </si>
  <si>
    <t>Depoisto</t>
  </si>
  <si>
    <t>Depósitos CELAD - Pesquisar</t>
  </si>
  <si>
    <t>Depósitos CELAD - Exportar</t>
  </si>
  <si>
    <t>Depósitos CELAD - Cadastrar</t>
  </si>
  <si>
    <t>Consulta CEP</t>
  </si>
  <si>
    <t>Combobox Tipo Logradouro</t>
  </si>
  <si>
    <t>Depósitos CELAD - Alterar</t>
  </si>
  <si>
    <t>Alterar - Consulta Implícita</t>
  </si>
  <si>
    <t>Depósitos CELAD - Excluir</t>
  </si>
  <si>
    <t>Depósitos CELAD - Visualizar</t>
  </si>
  <si>
    <t>[US_03] Endereçamento de Armazenagem</t>
  </si>
  <si>
    <t>Rua/Endereçamento</t>
  </si>
  <si>
    <t>Adicionar Rua/Endereçamento</t>
  </si>
  <si>
    <t>Alterar Rua/Endereçamento</t>
  </si>
  <si>
    <t>Alterar - Consulta Implicita</t>
  </si>
  <si>
    <t>Visualizar Rua/Endereçamento</t>
  </si>
  <si>
    <t>Rua/Endereçamento - Excluir</t>
  </si>
  <si>
    <t>Endereçamento de armazenagem - Listagens de Rua expandido</t>
  </si>
  <si>
    <t>Endereçamento de armazenagem - Pesquisar Blocos</t>
  </si>
  <si>
    <t>[US_04] Configurar Gestor de Bens</t>
  </si>
  <si>
    <t>US Excluída</t>
  </si>
  <si>
    <t>Gestor de Bens</t>
  </si>
  <si>
    <t>Gestor de Bens - Pesquisar</t>
  </si>
  <si>
    <t>Gestor de Bens - Exportar</t>
  </si>
  <si>
    <t>Gestor de Bens - Cadastrar</t>
  </si>
  <si>
    <t>Combobox Tipo Bens</t>
  </si>
  <si>
    <t>Combo utilizada em outras funcionalidades</t>
  </si>
  <si>
    <t>Gestor de Bens - Alterar</t>
  </si>
  <si>
    <t>Gestor de Bens - Excluir</t>
  </si>
  <si>
    <t>Gestor de Bens - Visualizar</t>
  </si>
  <si>
    <t>[US_05] Requisições de Armazenamento</t>
  </si>
  <si>
    <t>Requisições de Armazenamento</t>
  </si>
  <si>
    <t>Material - SISPAT</t>
  </si>
  <si>
    <t>Requisições de Armazenamento - Pesquisar</t>
  </si>
  <si>
    <t>Requisições de Armazenamento - Cadastrar</t>
  </si>
  <si>
    <t>Combobox Situação</t>
  </si>
  <si>
    <t>Requisições de Armazenamento - Consumo - Cadastrar Material</t>
  </si>
  <si>
    <t>Combobox Tipo de Volume / Menor Unidade</t>
  </si>
  <si>
    <t>Combobox Natureza Armazenagem</t>
  </si>
  <si>
    <t>Consultar Natureza material, elemento e sub elemento de despesa</t>
  </si>
  <si>
    <t>Requisições de Armazenamento - Consumo - Alterar  Material</t>
  </si>
  <si>
    <t>Consumo - Alterar - Consulta Implícita</t>
  </si>
  <si>
    <t>Requisições de Armazenamento - Consumo - Visualizar  Material</t>
  </si>
  <si>
    <t>Requisições de Armazenamento - Consumo - Excluir Material</t>
  </si>
  <si>
    <t>Requisições de Armazenamento - Alterar</t>
  </si>
  <si>
    <t>Requisições de Armazenamento - Consulta Implicita</t>
  </si>
  <si>
    <t>Requisições de Armazenamento - Excluir</t>
  </si>
  <si>
    <t>Requisições de Armazenamento - Visualizar</t>
  </si>
  <si>
    <t>Requisições de Armazenamento - Enviar para Análise</t>
  </si>
  <si>
    <t>Requisições de Armazenamento - Cancelar Requisição</t>
  </si>
  <si>
    <t>Requisições de Armazenamento - Permanente - Cadastrar Material</t>
  </si>
  <si>
    <t>Requisições de Armazenamento - Permanente - Alterar  Material</t>
  </si>
  <si>
    <t>Permanente - Alterar - Consulta Implícita</t>
  </si>
  <si>
    <t>Requisições de Armazenamento - Permanente - Excluir Material</t>
  </si>
  <si>
    <t>[US_06]  Status da Requisição</t>
  </si>
  <si>
    <t>Status da Requisição - Visualizar</t>
  </si>
  <si>
    <t>[US_07] Analise de Requisição</t>
  </si>
  <si>
    <t>Análise - Consulta inicial</t>
  </si>
  <si>
    <t>Analise de Requisição - Aprovar</t>
  </si>
  <si>
    <t xml:space="preserve">Analise de Requisição - Reprovar </t>
  </si>
  <si>
    <t>Analise de Requisição - Revisar Requisição</t>
  </si>
  <si>
    <t>Analise de Requisição - Salvar</t>
  </si>
  <si>
    <t>Analise de Requisição - Editar</t>
  </si>
  <si>
    <t>Analise de Requisição - Finalizar</t>
  </si>
  <si>
    <t xml:space="preserve">Analise de Requisição - Visualizar </t>
  </si>
  <si>
    <t>[US_08]_Receber_Conferir Material</t>
  </si>
  <si>
    <t xml:space="preserve">Recebimento </t>
  </si>
  <si>
    <t xml:space="preserve">Recebimento e conferencia de material - Consulta </t>
  </si>
  <si>
    <t xml:space="preserve">Recebimento e conferencia de material - Receber  </t>
  </si>
  <si>
    <t xml:space="preserve">Recebimento e conferencia de material - Excluir  </t>
  </si>
  <si>
    <t xml:space="preserve">Recebimento e conferencia de material - Assinar Conferencia  </t>
  </si>
  <si>
    <t>[US_12]_Imprimir Requisição</t>
  </si>
  <si>
    <t>Imprimir Requisição</t>
  </si>
  <si>
    <t>[US_13]_Conferência de Volumes da Requisição</t>
  </si>
  <si>
    <t>Conferencia</t>
  </si>
  <si>
    <t>Volumes Para Conferencia’ - Pesquisar</t>
  </si>
  <si>
    <t>Iniciar Conferencia</t>
  </si>
  <si>
    <t>Excluir Conferencia</t>
  </si>
  <si>
    <t>Finalizar Conferência</t>
  </si>
  <si>
    <t>Salvar Conferencia</t>
  </si>
  <si>
    <t>Conferir Volumes do Material - Salvar</t>
  </si>
  <si>
    <t>Conferir Volumes do Material - Consulta implicita</t>
  </si>
  <si>
    <t>Finalizar Conferência De Volume</t>
  </si>
  <si>
    <t>Visualizar  Conferência De Volume</t>
  </si>
  <si>
    <t>Excluir Conferencia do Volume</t>
  </si>
  <si>
    <t>[US_15]_1.00_Imprimir Conferencia</t>
  </si>
  <si>
    <t>Imprimir conferencia</t>
  </si>
  <si>
    <t>[US_10]_Prorrogar Armazenamento</t>
  </si>
  <si>
    <t>Prorrogação</t>
  </si>
  <si>
    <t>Solicitar prorrogação de armazenamento - Consultar</t>
  </si>
  <si>
    <t>Prorrogação de Período de Armazenagem - Incluir</t>
  </si>
  <si>
    <t>Prorrogação de Período de Armazenagem - Consulta Implicita Gestor/Solicitante/Data da Solicitação/Período de Armazenagem Atual</t>
  </si>
  <si>
    <t>Prorrogação de Período de Armazenagem - Editar</t>
  </si>
  <si>
    <t>Prorrogação de Período de Armazenagem - Consulta Implicita</t>
  </si>
  <si>
    <t>Prorrogação de Período de Armazenagem - Visualizar</t>
  </si>
  <si>
    <t>Prorrogação de Período de Armazenagem - Enviar para Análise</t>
  </si>
  <si>
    <t xml:space="preserve">Prorrogação de Período de Armazenagem - Excluir </t>
  </si>
  <si>
    <t xml:space="preserve">Prorrogação de Período de Armazenagem - Cancelar </t>
  </si>
  <si>
    <t>Analisar solicitação prorrogação do período de armazenagem - Aprovar/Reprovar</t>
  </si>
  <si>
    <t>Analisar solicitação prorrogação do período de armazenagem - Editar (Botão Analisar)</t>
  </si>
  <si>
    <t>[US_09] Estocagem de Material</t>
  </si>
  <si>
    <t>Pallet</t>
  </si>
  <si>
    <t>Estocagem de Material - Pesquisar</t>
  </si>
  <si>
    <t>Estocagem de Material - Pesquisar - Expandir</t>
  </si>
  <si>
    <t>Estocagem de Material - Montar Pallets - Editar</t>
  </si>
  <si>
    <t>Estocagem de Material - Montar Pallets - Consulta Implícita</t>
  </si>
  <si>
    <t>Estocagem de Material - Montar Pallets - Visualizar</t>
  </si>
  <si>
    <t xml:space="preserve">Estocagem de Material - Excluir </t>
  </si>
  <si>
    <t>Estocagem de Material - Montar Pallets - Incluir</t>
  </si>
  <si>
    <t>Estocagem de Material - Montar Pallets - Selecionar Endereçamento</t>
  </si>
  <si>
    <t>Estocagem de Material - COMBO - Deposito CELAD</t>
  </si>
  <si>
    <t>Estocagem de Material - COMBO - RUA</t>
  </si>
  <si>
    <t>Estocagem de Material - COMBO - Bloco</t>
  </si>
  <si>
    <t>Estocagem de Material - COMBO - Orgão Ocupante</t>
  </si>
  <si>
    <t>Estocagem de Material - Montar Pallets - Selecionar Endereçamento - expandir</t>
  </si>
  <si>
    <t>Estocagem de Material - Materiais do Pallets - Incluir</t>
  </si>
  <si>
    <t>Estocagem de Material - Materiais do Pallets - Alterar</t>
  </si>
  <si>
    <t>Estocagem de Material - Materiais do Pallets - Consulta Implícita</t>
  </si>
  <si>
    <t>Estocagem de Material - Materiais do Pallets - Visualizar</t>
  </si>
  <si>
    <t>Estocagem de Material - Materiais do Pallets - Excluir</t>
  </si>
  <si>
    <t>Estocagem de Material - Materiais do Pallets - Pesquisar Material</t>
  </si>
  <si>
    <t>Estocagem de Material - Materiais do Pallets - Pesquisar Material Pendente</t>
  </si>
  <si>
    <t>Estocagem de Material - Finalizar estocagem</t>
  </si>
  <si>
    <t xml:space="preserve">[US_11] Retirada de Material </t>
  </si>
  <si>
    <t>Requisição de Saída</t>
  </si>
  <si>
    <t>Requisição de Saída - Listagem</t>
  </si>
  <si>
    <t>Requisição de Saída - Listagem - Todos pendentes</t>
  </si>
  <si>
    <t>Requisição de Saída - Incluir</t>
  </si>
  <si>
    <t>Requisição de Saída - Alterar</t>
  </si>
  <si>
    <t>Requisição de Saída - Consulta Implícita</t>
  </si>
  <si>
    <t>Requisição de Saída - Excluir</t>
  </si>
  <si>
    <t>Requisição de Saída - Visualizar</t>
  </si>
  <si>
    <t>Requisição de Saída - Cancelar requisição</t>
  </si>
  <si>
    <t>Requisição de Saída - Enviar para expedição</t>
  </si>
  <si>
    <t>Requisição de Saída - Baixa da requisição</t>
  </si>
  <si>
    <t>Requisição de Saída - Excluir Material</t>
  </si>
  <si>
    <t>Requisição de Saída - Consultar Material</t>
  </si>
  <si>
    <t>Requisição de Saída - Consultar Material - Expandir</t>
  </si>
  <si>
    <t>Requisição de Saída - Incluir Material</t>
  </si>
  <si>
    <t>Requisição de Saída - Alterar Material</t>
  </si>
  <si>
    <t>Requisição de Saída - Visualizar Material</t>
  </si>
  <si>
    <t xml:space="preserve">[US_14] Conferência Por Amostragem </t>
  </si>
  <si>
    <t>Conferencia por Amostragem</t>
  </si>
  <si>
    <t>Conferencia por Amostragem - Consultar</t>
  </si>
  <si>
    <t>Conferencia por Amostragem - Incluir</t>
  </si>
  <si>
    <t>Conferencia por Amostragem - Excluir</t>
  </si>
  <si>
    <t>Conferencia por Amostragem - Alterar</t>
  </si>
  <si>
    <t>Conferencia por Amostragem - Consulta Implícita</t>
  </si>
  <si>
    <t>Conferencia por Amostragem - Visualizar</t>
  </si>
  <si>
    <t xml:space="preserve">[US_16] Gestão de Estocagem </t>
  </si>
  <si>
    <t>Gestão de Estocagem - Consultar</t>
  </si>
  <si>
    <t>Gestão de Estocagem - Consultar - expandir</t>
  </si>
  <si>
    <t>Gestão de Estocagem - Estocagem</t>
  </si>
  <si>
    <t>Gestão de Estocagem - Estocagem - exportar</t>
  </si>
  <si>
    <t>Gestão de Estocagem - Estocagem - expandir</t>
  </si>
  <si>
    <t xml:space="preserve">Gestão de Estocagem - Alterar Estocagem do Pallet </t>
  </si>
  <si>
    <t>Gestão de Estocagem - Alterar Estocagem do Pallet - Consulta</t>
  </si>
  <si>
    <t>Gestão de Estocagem - Alterar Estocagem do Pallet - Expandir</t>
  </si>
  <si>
    <t>Gestão de Estocagem - Movimentação do Material</t>
  </si>
  <si>
    <t>Gestão de Estocagem - Movimentação do Material - exportar</t>
  </si>
  <si>
    <t>Gestão de Estocagem - Histórico do Estocagens do AP</t>
  </si>
  <si>
    <t>Gestão de Estocagem - Histórico do Estocagens do AP - exportar</t>
  </si>
  <si>
    <t>Gestão de Estocagem - Movimentação de materiais - Consultar</t>
  </si>
  <si>
    <t>Gestão de Estocagem - Movimentação de materiais - Exportar</t>
  </si>
  <si>
    <t>Gestão de Estocagem - Movimentação de materiais - Expandir</t>
  </si>
  <si>
    <t>Gestão de Estocagem - Movimentação de materiais - Expandir Pallet</t>
  </si>
  <si>
    <t>[US_18] Conferência de Bens Permanentes</t>
  </si>
  <si>
    <t>Conferencia Permanente</t>
  </si>
  <si>
    <t>Conferência de Bens Permanentes - Pesquisar</t>
  </si>
  <si>
    <t>Conferência de Bens Permanentes - Pesquisar Codigo Produto</t>
  </si>
  <si>
    <t>Conferência de Bens Permanentes - Todos Pendentes</t>
  </si>
  <si>
    <t>Conferência de Bens Permanentes - Iniciar Conferencia</t>
  </si>
  <si>
    <t>Conferência de Bens Permanentes - Conferir Bens</t>
  </si>
  <si>
    <t>Conferência de Bens Permanentes - Conferir Bens - Consulta implicita</t>
  </si>
  <si>
    <t>Conferência de Bens Permanentes - Visualizar Conferência Bem</t>
  </si>
  <si>
    <t>Conferência de Bens Permanentes - Salvar Conferência</t>
  </si>
  <si>
    <t>Conferência de de Bens Permanentes - Finalizar Conferência</t>
  </si>
  <si>
    <t>Inventário de Bens</t>
  </si>
  <si>
    <t>[US_01] UL_ GESTÃO DE UNIDADES DE LOCALIZAÇÃO</t>
  </si>
  <si>
    <t xml:space="preserve">Unidades de localização </t>
  </si>
  <si>
    <t>Unidade Orçamentária Fiplan</t>
  </si>
  <si>
    <t>Unidades de localização - Pesquisar</t>
  </si>
  <si>
    <t>Unidades de localização - Pesquisar - COMBO -UL</t>
  </si>
  <si>
    <t>Unidades de localização - Pesquisar - COMBO -ULV</t>
  </si>
  <si>
    <t>Unidades de localização - Pesquisar - COMBO -Unid Admin</t>
  </si>
  <si>
    <t>Unidades de localização - Pesquisar - COMBO -Imóvel</t>
  </si>
  <si>
    <t>Unidades de localização - Sincronizar</t>
  </si>
  <si>
    <t>Unidades de localização - Incluir</t>
  </si>
  <si>
    <t>Unidades de localização - COMBO - Situação UL</t>
  </si>
  <si>
    <t>Unidades de localização - COMBO - Matricula Responsável</t>
  </si>
  <si>
    <t xml:space="preserve">Unidades de localização - COMBO - Numero Matricula do Imóvel </t>
  </si>
  <si>
    <t>Unidades de localização - COMBO - RIP</t>
  </si>
  <si>
    <t>Unidades de localização - Incluir - Consulta informações UL</t>
  </si>
  <si>
    <t>Unidades de localização - Alterar</t>
  </si>
  <si>
    <t>Unidades de localização - Consulta implícita</t>
  </si>
  <si>
    <t>Unidades de localização - Visualizar</t>
  </si>
  <si>
    <t>Unidades de localização - Sincronizar Automático</t>
  </si>
  <si>
    <t>Membro Equipe - Pesquisar</t>
  </si>
  <si>
    <t>Membro Equipe - Incluir</t>
  </si>
  <si>
    <t>Membro Equipe - Alterar</t>
  </si>
  <si>
    <t>Membro Equipe - Consulta Implícita</t>
  </si>
  <si>
    <t>Membro Equipe - Visualizar</t>
  </si>
  <si>
    <t>Membro Equipe - Excluir</t>
  </si>
  <si>
    <t>Inativar UL</t>
  </si>
  <si>
    <t>Inativar ULV</t>
  </si>
  <si>
    <t>Voltar Situação Anterior UL</t>
  </si>
  <si>
    <t>Voltar Situação Anterior ULV</t>
  </si>
  <si>
    <t>[US_02] ULV_ UNIDADES DE LOCALIZAÇÃO VINCULADAS</t>
  </si>
  <si>
    <t>Unidade de localização Vinculadas - Pesquisar</t>
  </si>
  <si>
    <t>Unidade de localização Vinculadas - Incluir</t>
  </si>
  <si>
    <t>Unidade de localização Vinculadas - Alterar</t>
  </si>
  <si>
    <t>Unidade de localização Vinculadas - Consulta Implícita</t>
  </si>
  <si>
    <t>Unidade de localização Vinculadas - Visualizar</t>
  </si>
  <si>
    <t>Unidade de localização Vinculadas - Excluir</t>
  </si>
  <si>
    <t>[US_03] INVENTÁRIO DE BENS MÓVEIS PERMANENTES</t>
  </si>
  <si>
    <t xml:space="preserve">Inventário de Bens móveis </t>
  </si>
  <si>
    <t>Inventário de Bens móveis - Pesquisar</t>
  </si>
  <si>
    <t>Inventário de Bens móveis - Incluir</t>
  </si>
  <si>
    <t>Inventário de Bens móveis - Alterar</t>
  </si>
  <si>
    <t>Inventário de Bens móveis - Consulta Implícita</t>
  </si>
  <si>
    <t>Inventário de Bens móveis - Visualizar</t>
  </si>
  <si>
    <t>Inventário de Bens móveis - Excluir</t>
  </si>
  <si>
    <t>Inventário de Bens móveis - Cancelar Inventario</t>
  </si>
  <si>
    <t>[US_04] ESTRUTURA DE TELA _ INVENTÁRIO DE PERMANENTES</t>
  </si>
  <si>
    <t>Inventário de bens moveis permanentes - consultar</t>
  </si>
  <si>
    <t>[US_05] COMISSÃO INVENTÁRIANTE</t>
  </si>
  <si>
    <t xml:space="preserve">Comissão Inventariante </t>
  </si>
  <si>
    <t>Comissão Inventariante - Pesquisar</t>
  </si>
  <si>
    <t>Comissão Inventariante - Incluir</t>
  </si>
  <si>
    <t>Comissão Inventariante - Alterar</t>
  </si>
  <si>
    <t>Comissão Inventariante - Consulta implícita</t>
  </si>
  <si>
    <t>Comissão Inventariante - Visualizar</t>
  </si>
  <si>
    <t>Comissão Inventariante - Excluir</t>
  </si>
  <si>
    <t xml:space="preserve">[US_06] NOTIFICAR COMISSÃO INVENTARIANTE </t>
  </si>
  <si>
    <t xml:space="preserve">Notificar comissão inventariante </t>
  </si>
  <si>
    <t>Notificar comissão inventariante - Visualizar</t>
  </si>
  <si>
    <t>[US_07] GESTÃO DE LEVANTAMENTO FISICO</t>
  </si>
  <si>
    <t>Inventariante designado da ul</t>
  </si>
  <si>
    <t>Gestão de levantamento Fisico - Listagem relação de UL</t>
  </si>
  <si>
    <t>Gestão de levantamento Fisico - Gerar Relação UL do Inventário</t>
  </si>
  <si>
    <t>Gestão de levantamento Fisico - inventariante designado da ul - Pesquisar</t>
  </si>
  <si>
    <t>Gestão de levantamento Fisico - inventariante designado da ul - Incluir</t>
  </si>
  <si>
    <t>Gestão de levantamento Fisico - inventariante designado da ul - Alterar</t>
  </si>
  <si>
    <t>Gestão de levantamento Fisico - inventariante designado da ul - Consulta implícita</t>
  </si>
  <si>
    <t>Gestão de levantamento Fisico - inventariante designado da ul - Visualizar</t>
  </si>
  <si>
    <t>Gestão de levantamento Fisico - inventariante designado da ul - Excluir</t>
  </si>
  <si>
    <t>Modal endereço do imóvel</t>
  </si>
  <si>
    <t>[US_08] INVENTARIAR BENS MÓVEIS PERMANENTES</t>
  </si>
  <si>
    <t>Itens do Inventário Bens Móveis</t>
  </si>
  <si>
    <t>Inventariar bens móveis permanentes - Pesquisar</t>
  </si>
  <si>
    <t>Inventariar bens móveis permanentes - Pesquisar - Todos Pendentes</t>
  </si>
  <si>
    <t>COMBO - Inventário de Bens</t>
  </si>
  <si>
    <t>COMBO - Unidade de Localização do Inventário de Bens</t>
  </si>
  <si>
    <t>Inventariar bens móveis permanentes - Incluir</t>
  </si>
  <si>
    <t>COMBO - Estado de Conservação do Bem</t>
  </si>
  <si>
    <t>Inventariar bens móveis permanentes - Alterar</t>
  </si>
  <si>
    <t>Inventariar bens móveis permanentes - Consulta Implícita</t>
  </si>
  <si>
    <t>Inventariar bens móveis permanentes - Visualizar</t>
  </si>
  <si>
    <t>Inventariar bens móveis permanentes - Excluir</t>
  </si>
  <si>
    <t xml:space="preserve">Inventariar bens móveis permanentes - Finalizar </t>
  </si>
  <si>
    <t>[US_10] VISTORIAR ULV - LEVANTAMENTO FÍSICO [v1.00]</t>
  </si>
  <si>
    <t>Pesquisar  Vistoriar ULV: Levantamento físico</t>
  </si>
  <si>
    <t>COMBO - Situação Vistoria</t>
  </si>
  <si>
    <t>Cadastrar vistoria ULV</t>
  </si>
  <si>
    <t>Alterar vistoria ULV</t>
  </si>
  <si>
    <t>Visualizar vistoria ULV</t>
  </si>
  <si>
    <t>AKST: Entendo como um SE pois no final da tela tem a contabilização da quantidade de bens vistoriados</t>
  </si>
  <si>
    <t>Pesquisar bens vistoriados na ULV</t>
  </si>
  <si>
    <t>Finalizar vistoria</t>
  </si>
  <si>
    <t>[US_11] Assinar Levantamento Físico [v1.00]</t>
  </si>
  <si>
    <t>Assinar levantamento físico (Inventariante)</t>
  </si>
  <si>
    <t>Assinar levantamento físico (Responsável patrimonial)</t>
  </si>
  <si>
    <t>[US_12] ACERVO PATRIMONIAL</t>
  </si>
  <si>
    <t>Pesquisar Acervo Patrimonial</t>
  </si>
  <si>
    <t>COMBO - Estado de Conservação</t>
  </si>
  <si>
    <t>Visualizar detalhes do bem</t>
  </si>
  <si>
    <t>Combo-box Status do Bem</t>
  </si>
  <si>
    <t>Desfazer Baixa</t>
  </si>
  <si>
    <t>[US_19] Consultar Autenticidade de Assinatura [v1.00]</t>
  </si>
  <si>
    <t>Consultar autenticidade</t>
  </si>
  <si>
    <t xml:space="preserve">[US_09] Consolidar Levantamento </t>
  </si>
  <si>
    <t>Consolidar Levantamento - Bens Sem RP / Não Localizados - Pesquisar</t>
  </si>
  <si>
    <t>Consolidar Levantamento - Pesquisar para Vincular</t>
  </si>
  <si>
    <t>Consolidar Levantamento - Confirmar Vínculo</t>
  </si>
  <si>
    <t xml:space="preserve">[US_16] Avaliação Inicial do Bem </t>
  </si>
  <si>
    <t xml:space="preserve">Avaliação inicial do Bem </t>
  </si>
  <si>
    <t>Avaliação inicial do Bem - Incluir Avaliação</t>
  </si>
  <si>
    <t>Avaliação inicial do Bem - Editar Avaliação</t>
  </si>
  <si>
    <t>Avaliação inicial do Bem - Consulta Implícita</t>
  </si>
  <si>
    <t>Avaliação inicial do Bem - Visualizar</t>
  </si>
  <si>
    <t>Avaliação inicial do Bem - Excluir Avaliação</t>
  </si>
  <si>
    <t>[US_22] INTERCORRÊNCIAS E INCONSISTÊNCIAS</t>
  </si>
  <si>
    <t>Intercorrencia e incosistencia</t>
  </si>
  <si>
    <t xml:space="preserve">Intercorrencia e incosistencia - Pesquisar </t>
  </si>
  <si>
    <t xml:space="preserve">Intercorrencia e incosistencia - Incluir  </t>
  </si>
  <si>
    <t>Combo-box Tipo Intercorrência</t>
  </si>
  <si>
    <t xml:space="preserve">Intercorrencia e incosistencia - Alterar  </t>
  </si>
  <si>
    <t>Intercorrencia e incosistencia - Consulta Implícita</t>
  </si>
  <si>
    <t xml:space="preserve">Intercorrencia e incosistencia - Visualizar  </t>
  </si>
  <si>
    <t xml:space="preserve">Intercorrencia e incosistencia - Excluir  </t>
  </si>
  <si>
    <t>[US_13] Relatórios de Levantamento Físico</t>
  </si>
  <si>
    <t>Relatório de Levantamento Físico</t>
  </si>
  <si>
    <t>[US_14] Transferencia entre UL</t>
  </si>
  <si>
    <t>Transferencia</t>
  </si>
  <si>
    <t>Transferencia - Pesquisar</t>
  </si>
  <si>
    <t>Combo-box Situação Transferência UL</t>
  </si>
  <si>
    <t>Combo-box Tipo de Transferência</t>
  </si>
  <si>
    <t>Transferencia - Pesquisar - Expandir ULV</t>
  </si>
  <si>
    <t>Transferencia - Incluir</t>
  </si>
  <si>
    <t>Transferencia - Alterar</t>
  </si>
  <si>
    <t>Transferencia - Consulta Implícita</t>
  </si>
  <si>
    <t>Transferencia - Visualizar</t>
  </si>
  <si>
    <t>Transferencia - Excluir</t>
  </si>
  <si>
    <t>Transferencia - Incluir Bem</t>
  </si>
  <si>
    <t xml:space="preserve">Transferencia - Incluir - Modal Pesquisar BEM </t>
  </si>
  <si>
    <t xml:space="preserve">Transferencia - Excluir Item BEM </t>
  </si>
  <si>
    <t>Transferencia - Concluir Transferencia</t>
  </si>
  <si>
    <t>Combobox unidade cod/desc/data inicio/data fim / ativo</t>
  </si>
  <si>
    <t>AKST: Novo combo pela regras específicas</t>
  </si>
  <si>
    <t>Combobox listar órgão cod / desc / cnpj / tipo</t>
  </si>
  <si>
    <t>Transferência - Notificação Automática</t>
  </si>
  <si>
    <t>[US_15] Transferências Entre Órgão UG</t>
  </si>
  <si>
    <t>Transferencia externa</t>
  </si>
  <si>
    <t>Transferencia externa - Pesquisar</t>
  </si>
  <si>
    <t>Combo-box Situação Transferência UG</t>
  </si>
  <si>
    <t>Transferencia externa - Incluir</t>
  </si>
  <si>
    <t>Transferencia externa - Alterar</t>
  </si>
  <si>
    <t>Transferencia externa - Consulta Implícita</t>
  </si>
  <si>
    <t>Transferencia externa - Visualizar</t>
  </si>
  <si>
    <t>Transferencia externa - Excluir</t>
  </si>
  <si>
    <t>Transferencia externa - Incluir Bem</t>
  </si>
  <si>
    <t xml:space="preserve">Transferencia externa - Excluir Item BEM </t>
  </si>
  <si>
    <t>Transferência externa - Notificação Automática</t>
  </si>
  <si>
    <t>AKST: Nova transação na versão 2 da US</t>
  </si>
  <si>
    <t>[US_26] Relatório Termo de Transferência Entre UL's</t>
  </si>
  <si>
    <t>Emitir relatório Termo de Transferência Entre UL's</t>
  </si>
  <si>
    <t>[US_27] Relatório Termo de Transferência Entre Órgão UG</t>
  </si>
  <si>
    <t>Emitir relatório Termo de Transferência Entre orgão</t>
  </si>
  <si>
    <t>[US_28] Solicitar Transferência UG</t>
  </si>
  <si>
    <t xml:space="preserve">Enviar solicitação de transferencia </t>
  </si>
  <si>
    <t xml:space="preserve">Reenviar solicitação de transferencia </t>
  </si>
  <si>
    <t xml:space="preserve">Visualizar solicitação de transferencia </t>
  </si>
  <si>
    <t xml:space="preserve">[US_29] Autorizar Transferência </t>
  </si>
  <si>
    <t>Autorizar Transferência - Visualizar</t>
  </si>
  <si>
    <t>Autorizar Transferência origem - Sim</t>
  </si>
  <si>
    <t>Autorizar Transferência origem - Não</t>
  </si>
  <si>
    <t>Autorizar Transferência Destino - Sim</t>
  </si>
  <si>
    <t>Autorizar Transferência Destino - Não</t>
  </si>
  <si>
    <t>[US_25] Baixa Patrimonial de Bens</t>
  </si>
  <si>
    <t>Baixa Patrimonial</t>
  </si>
  <si>
    <t>Baixa Patrimonial - Consultar</t>
  </si>
  <si>
    <t>Combo-box Tipo de Baixa</t>
  </si>
  <si>
    <t>Baixa Patrimonial - Incluir</t>
  </si>
  <si>
    <t>Baixa Patrimonial - Alterar</t>
  </si>
  <si>
    <t>Baixa Patrimonial - Consulta Implícita</t>
  </si>
  <si>
    <t>Baixa Patrimonial - Visualizar</t>
  </si>
  <si>
    <t>Baixa Patrimonial - Excluir</t>
  </si>
  <si>
    <t>Baixa Patrimonial - Incluir Bem</t>
  </si>
  <si>
    <t xml:space="preserve">Baixa Patrimonial - Excluir Item BEM </t>
  </si>
  <si>
    <t>Baixa Patrimonial - Concluir Baixa</t>
  </si>
  <si>
    <t>[US_30] Termo de Baixa</t>
  </si>
  <si>
    <t>Emitir termo da baixa</t>
  </si>
  <si>
    <t>[US_31] Consultar Notificações</t>
  </si>
  <si>
    <t>AKST: Por enquanto essa US lista as notificações das US 14 e 15 por isso um ALI especifico para isso e não atualizar os ALIs dessas US</t>
  </si>
  <si>
    <t>Notificação Mobiliário</t>
  </si>
  <si>
    <t>Notificação - Consultar</t>
  </si>
  <si>
    <t>Notificação - Visualizar</t>
  </si>
  <si>
    <t>Notificação - Reenviar</t>
  </si>
  <si>
    <t>[US_32] Histórico de Eventos do Bem</t>
  </si>
  <si>
    <t xml:space="preserve">Historico de eventos do bem </t>
  </si>
  <si>
    <t>Historico de eventos do bem  - Consultar</t>
  </si>
  <si>
    <t>Combo-box Tipo de Evento</t>
  </si>
  <si>
    <t>Historico de eventos do bem  - Incluir</t>
  </si>
  <si>
    <t>Historico de eventos do bem  - Alterar</t>
  </si>
  <si>
    <t>Historico de eventos do bem  - Consulta Implícita</t>
  </si>
  <si>
    <t>Historico de eventos do bem  - Visualizar</t>
  </si>
  <si>
    <t>Historico de eventos do bem  - Excluir</t>
  </si>
  <si>
    <t>[US_33] Consultar Solicitações de Plaquetas</t>
  </si>
  <si>
    <t>Consultar Solicitações de Plaquetas</t>
  </si>
  <si>
    <t>Combo - Situação Solicitação</t>
  </si>
  <si>
    <t>Excluir Solicitações de Plaquetas</t>
  </si>
  <si>
    <t>[US_34] Solicitar Plaqueta</t>
  </si>
  <si>
    <t>Plaquetas</t>
  </si>
  <si>
    <t>Solicitar Plaquetas - Incluir</t>
  </si>
  <si>
    <t>Solicitar Plaquetas - Enviar</t>
  </si>
  <si>
    <t>Visualizar  Solicitações de Plaquetas</t>
  </si>
  <si>
    <t>Acionamento via US 33</t>
  </si>
  <si>
    <t>Alterar  Solicitações de Plaquetas</t>
  </si>
  <si>
    <t>[US_35] Analisar solicitação de Plaquetas</t>
  </si>
  <si>
    <t>Analisar solicitação de Plaquetas - Deferir</t>
  </si>
  <si>
    <t>Analisar solicitação de Plaquetas - Indeferir</t>
  </si>
  <si>
    <t>[US_36] Consultar Intervalo Patrimonial</t>
  </si>
  <si>
    <t>Consultar Intervalo Patrimonial</t>
  </si>
  <si>
    <t>Combo - Tipo Emplaquetamento</t>
  </si>
  <si>
    <t>01- Emplaquetado, 02- Não Emplaquetado e 03- Terceiros</t>
  </si>
  <si>
    <t xml:space="preserve">[US_37] Incluir Intervalo Patrimoniais 01-EMPLAQUETADO </t>
  </si>
  <si>
    <t>Intervalo Patrimonial</t>
  </si>
  <si>
    <t>Incluir intervalo</t>
  </si>
  <si>
    <t xml:space="preserve">Incluir cadastramento de caixas e plaquetas </t>
  </si>
  <si>
    <t>Incluir unidade gestora</t>
  </si>
  <si>
    <t>Combo - Caixa</t>
  </si>
  <si>
    <t>Intervalo Patrimonial - Finalizar</t>
  </si>
  <si>
    <t>Alterar intervalo</t>
  </si>
  <si>
    <t>SE pelo saldo</t>
  </si>
  <si>
    <t xml:space="preserve">Alterar cadastramento de caixas e plaquetas </t>
  </si>
  <si>
    <t>Alterar unidade gestora</t>
  </si>
  <si>
    <t>Visualizar intervalo</t>
  </si>
  <si>
    <t xml:space="preserve">Excluir cadastramento de caixas e plaquetas </t>
  </si>
  <si>
    <t>Excluir unidade gestora</t>
  </si>
  <si>
    <t>Finalizar intervalo</t>
  </si>
  <si>
    <t>[US_38] Incluir  Intervalo de N° Patrimoniais 02 NÃO EMPLAQUETADO e 03 TERCEIROS</t>
  </si>
  <si>
    <t>Incluir distribuição sequencias da unidade gestora</t>
  </si>
  <si>
    <t>Combo - Intervalo</t>
  </si>
  <si>
    <t>Alterar intervalo 02 NÃO EMPLAQUETADO e 03 TERCEIROS</t>
  </si>
  <si>
    <t>Alterar unidade gestora 02 NÃO EMPLAQUETADO e 03 TERCEIROS</t>
  </si>
  <si>
    <t>Visualizar intervalo 02 NÃO EMPLAQUETADO e 03 TERCEIROS</t>
  </si>
  <si>
    <t>Excluir intervalo</t>
  </si>
  <si>
    <t>Excluir distribuição sequencias da unidade gestora</t>
  </si>
  <si>
    <t>[US_39] Gerar Termo de Entrega do Intervalo de N° Patrimoniais</t>
  </si>
  <si>
    <t>Gerar Termo de Entrega do Intervalo de N° Patrimoniais</t>
  </si>
  <si>
    <t>[US_40] Imprimir Termo de Entrega do Intervalo de N° Patrimoniais</t>
  </si>
  <si>
    <t>Impressão do termo gerado, mesma CE da US39</t>
  </si>
  <si>
    <t>[US_41] Visualizar Histórico do Intervalo de N° Patrimoniais</t>
  </si>
  <si>
    <t>Visualizar Histórico do Intervalo de N° Patrimoniais</t>
  </si>
  <si>
    <t>Regularização Imobiliária</t>
  </si>
  <si>
    <t>[US_60] Regularização Imobiliária</t>
  </si>
  <si>
    <t>Regularização Imbobiliária</t>
  </si>
  <si>
    <t>Listar regularização imobiliária</t>
  </si>
  <si>
    <t>Solicitar regularização imobiliária</t>
  </si>
  <si>
    <t>Consultar imóvel</t>
  </si>
  <si>
    <t>COMBO - Tipo de Regularização</t>
  </si>
  <si>
    <t>Alterar solicitação regularização imobiliária</t>
  </si>
  <si>
    <t>Regularização imobiliária - consulta implícita</t>
  </si>
  <si>
    <t>Visualizar solicitação regularização imobiliária</t>
  </si>
  <si>
    <t>Listar solicitações cadastradas para o imóvel</t>
  </si>
  <si>
    <t>Excluir solicitação de regularização imobiliária</t>
  </si>
  <si>
    <t>[US_61] Equipes de Trabalho</t>
  </si>
  <si>
    <t xml:space="preserve">Equipe de trabalho </t>
  </si>
  <si>
    <t>Equipe de trabalho - Pesquisar</t>
  </si>
  <si>
    <t>Equipe de trabalho - Incluir</t>
  </si>
  <si>
    <t>Equipe de trabalho - Alterar</t>
  </si>
  <si>
    <t>Equipe de trabalho - Consulta Implícita</t>
  </si>
  <si>
    <t xml:space="preserve">Equipe de trabalho - Visualizar </t>
  </si>
  <si>
    <t xml:space="preserve">Equipe de trabalho - Excluir </t>
  </si>
  <si>
    <t>Equipe de trabalho - Membro - Pesquisar</t>
  </si>
  <si>
    <t>Equipe de trabalho - Membro - Incluir</t>
  </si>
  <si>
    <t>Combobox Tipo Membro</t>
  </si>
  <si>
    <t>Equipe de trabalho - Membro - Alterar</t>
  </si>
  <si>
    <t>Equipe de trabalho - Membro - Consulta Implícita</t>
  </si>
  <si>
    <t>Equipe de trabalho - Membro - Visualizar</t>
  </si>
  <si>
    <t xml:space="preserve">Equipe de trabalho - Membro - Excluir </t>
  </si>
  <si>
    <t>[US_62] Template de Atividades</t>
  </si>
  <si>
    <t>Atividade</t>
  </si>
  <si>
    <t>Template de atividades - Pesquisar</t>
  </si>
  <si>
    <t>Template de atividades - Incluir</t>
  </si>
  <si>
    <t>Template de atividades - Alterar</t>
  </si>
  <si>
    <t>Template de atividades - Consulta Implícita</t>
  </si>
  <si>
    <t>Template de atividades - Visualizar</t>
  </si>
  <si>
    <t>Template de atividades - Excluir</t>
  </si>
  <si>
    <t>Template de atividades - Sub Atividade - Pesquisar</t>
  </si>
  <si>
    <t>Template de atividades - Sub Atividade - Incluir</t>
  </si>
  <si>
    <t>Combobox Tipo Sub Atividade</t>
  </si>
  <si>
    <t>Template de atividades - Sub Atividade - Alterar</t>
  </si>
  <si>
    <t>Template de atividades - Sub Atividade - Consulta Implícita</t>
  </si>
  <si>
    <t>Template de atividades - Sub Atividade - Visualizar</t>
  </si>
  <si>
    <t>Template de atividades - Sub Atividade - Excluir</t>
  </si>
  <si>
    <t xml:space="preserve">[US_63] Gestão de Processo </t>
  </si>
  <si>
    <t xml:space="preserve">Gestão de processo </t>
  </si>
  <si>
    <t>Gestão de processo - Pesquisar</t>
  </si>
  <si>
    <t>Combobox Coordenador</t>
  </si>
  <si>
    <t>Combobox Situação Regularização</t>
  </si>
  <si>
    <t xml:space="preserve">Gestão de processo - Pesquisar - Expandir </t>
  </si>
  <si>
    <t>Gestão de processo - Incluir</t>
  </si>
  <si>
    <t>Combobox Solicitação</t>
  </si>
  <si>
    <t>Combobox Equipe</t>
  </si>
  <si>
    <t>Gestão de processo - Alterar</t>
  </si>
  <si>
    <t>Gestão de processo - Consulta Implícita</t>
  </si>
  <si>
    <t>Gestão de processo - Visualizar</t>
  </si>
  <si>
    <t>Gestão de processo - Excluir</t>
  </si>
  <si>
    <t>Gestão de processo - Concluir/Finalizar</t>
  </si>
  <si>
    <t>Gestão de processo - Pesquisar Atividades a serem Executadas</t>
  </si>
  <si>
    <t xml:space="preserve">[US_64] Tarefas do Processo </t>
  </si>
  <si>
    <t xml:space="preserve">Tarefas do Processo </t>
  </si>
  <si>
    <t>Tarefas do Processo - Incluir</t>
  </si>
  <si>
    <t>Tarefas do Processo - Alterar</t>
  </si>
  <si>
    <t>Tarefas do Processo - Consulta Implícita</t>
  </si>
  <si>
    <t>Tarefas do Processo - Visualizar</t>
  </si>
  <si>
    <t>Tarefas do Processo - Excluir</t>
  </si>
  <si>
    <t>Tarefas do Processo - Finalizar Tarefa</t>
  </si>
  <si>
    <t>Tarefas do Processo -  Sub tarefa - Expandir</t>
  </si>
  <si>
    <t>Tarefas do Processo - Sub tarefa Incluir</t>
  </si>
  <si>
    <t>Tarefas do Processo - Sub tarefa Alterar</t>
  </si>
  <si>
    <t>Tarefas do Processo - Sub tarefa Consulta Implícita</t>
  </si>
  <si>
    <t>Tarefas do Processo - Sub tarefa Visualizar</t>
  </si>
  <si>
    <t>Tarefas do Processo -  Checklist - Expandir</t>
  </si>
  <si>
    <t>US020 – Ações Menu do SISPAT</t>
  </si>
  <si>
    <t>Menu</t>
  </si>
  <si>
    <t>COS</t>
  </si>
  <si>
    <t>Itens Não Mensuráveis</t>
  </si>
  <si>
    <t>Tipo de Manutenção na Função</t>
  </si>
  <si>
    <t>Sigla</t>
  </si>
  <si>
    <t>Contribuição em PF Local</t>
  </si>
  <si>
    <t>PF Local FS</t>
  </si>
  <si>
    <t>Contrato</t>
  </si>
  <si>
    <t>Descrição</t>
  </si>
  <si>
    <t>Origem</t>
  </si>
  <si>
    <t>Percentual (%)</t>
  </si>
  <si>
    <t>Fixa (PF)</t>
  </si>
  <si>
    <t>Adicionada</t>
  </si>
  <si>
    <t>Inclusão</t>
  </si>
  <si>
    <t>Alterada</t>
  </si>
  <si>
    <t>Alteração (sem conhecimento do Fator de Impacto)</t>
  </si>
  <si>
    <t>SISP – 4.2 Projeto de Melhoria</t>
  </si>
  <si>
    <t>Excluída</t>
  </si>
  <si>
    <t>Exclusão</t>
  </si>
  <si>
    <t>Alteração (50%) de função desenvolvida ou já alterada pela empresa atual</t>
  </si>
  <si>
    <t>A50</t>
  </si>
  <si>
    <t>Alteração (75%) de função não desenv. e ainda não alterada pela empresa atual</t>
  </si>
  <si>
    <t>A75</t>
  </si>
  <si>
    <t>Alteração (75%+15%): o mesmo acima + redocumentar a função</t>
  </si>
  <si>
    <t>A90</t>
  </si>
  <si>
    <t>Migração de Dados</t>
  </si>
  <si>
    <t>SISP – 4.3 Projetos de Migração de Dados</t>
  </si>
  <si>
    <t>PMD</t>
  </si>
  <si>
    <t>Corretiva (sem conhecimento do Fator de Impacto)</t>
  </si>
  <si>
    <t>SISP – 4.4 Manutenção Corretiva</t>
  </si>
  <si>
    <t>COR</t>
  </si>
  <si>
    <t>Corretiva (50%) - Fora da garantia (mesma empresa)</t>
  </si>
  <si>
    <t>COR50</t>
  </si>
  <si>
    <t>Corretiva (75%) - Fora da garantia (outra empresa)</t>
  </si>
  <si>
    <t>COR75</t>
  </si>
  <si>
    <t>Corretiva (75%+15%) - Fora da garantia (outra empresa) + Redocumentação</t>
  </si>
  <si>
    <t>COR90</t>
  </si>
  <si>
    <t>Corretiva em Garantia</t>
  </si>
  <si>
    <t>GAR</t>
  </si>
  <si>
    <t>Mudança de Plataforma - Linguagem de Programação</t>
  </si>
  <si>
    <t>SISP – 4.5.1 Mudança de Plataforma – Linguagem de Programação</t>
  </si>
  <si>
    <t>MLP</t>
  </si>
  <si>
    <t>Mudança de Plataforma - Banco de Dados (outro paradigma)</t>
  </si>
  <si>
    <t>SISP – 4.5.2 Mudança de Plataforma – Banco de Dados</t>
  </si>
  <si>
    <t>MBO</t>
  </si>
  <si>
    <t>Mudança de Plataforma - Banco de Dados (mesmo paradigma com alterações)</t>
  </si>
  <si>
    <t>MBM</t>
  </si>
  <si>
    <t>Atualização de Versão – Linguagem de Programação</t>
  </si>
  <si>
    <t>SISP – 4.6.1 Atualização de Versão – Linguagem de Programação</t>
  </si>
  <si>
    <t>ALP</t>
  </si>
  <si>
    <t>Atualização de Versão – Browser</t>
  </si>
  <si>
    <t>SISP – 4.6.2 Atualização de Versão – Browser</t>
  </si>
  <si>
    <t>AVB</t>
  </si>
  <si>
    <t>Atualização de Versão – Banco de Dados</t>
  </si>
  <si>
    <t>SISP – 4.6.3 Atualização de Versão – Banco de Dados</t>
  </si>
  <si>
    <t>ABD</t>
  </si>
  <si>
    <t>Manutenção Cosmética</t>
  </si>
  <si>
    <t>SISP – 4.7 Manutenção Cosmética</t>
  </si>
  <si>
    <t>Adaptação em Funcionalidades sem Alteração de Requisitos Funcionais
(sem conhecimento do Fator de Impacto)</t>
  </si>
  <si>
    <t>SISP – 4.8 Adaptação em Funcionalidades sem Alteração de Requisitos Funcionais</t>
  </si>
  <si>
    <t>ARN</t>
  </si>
  <si>
    <t>Adaptação em Funcionalidades sem Alteração de Requisitos Funcionais (50%)
(em função desenvolvida ou já alterada pela empresa atual)</t>
  </si>
  <si>
    <t>ARN50</t>
  </si>
  <si>
    <t>Adaptação em Funcionalidades sem Alteração de Requisitos Funcionais (75%)
(em função não desenvolvida e ainda não alterada pela empresa atual)</t>
  </si>
  <si>
    <t>ARN75</t>
  </si>
  <si>
    <t>Atualização de Dados sem Consulta Prévia</t>
  </si>
  <si>
    <t>SISP – 4.9.1 Apuração Especial – Base de Dados</t>
  </si>
  <si>
    <t>ADS</t>
  </si>
  <si>
    <t>Consulta Prévia sem Atualização</t>
  </si>
  <si>
    <t>CPA</t>
  </si>
  <si>
    <t>Atualização de Dados com Consulta Prévia</t>
  </si>
  <si>
    <t>ADC</t>
  </si>
  <si>
    <t>Apuração Especial – Geração de Relatórios</t>
  </si>
  <si>
    <t>SISP – 4.9.2 Apuração Especial – Geração de Relatórios</t>
  </si>
  <si>
    <t>AGR</t>
  </si>
  <si>
    <t>Apuração Especial – Reexecução</t>
  </si>
  <si>
    <t>SISP – 4.9.3 Apuração Especial – Reexecução</t>
  </si>
  <si>
    <t>AER</t>
  </si>
  <si>
    <t>Atualização de Dados</t>
  </si>
  <si>
    <t>SISP – 4.10 Atualização de Dados</t>
  </si>
  <si>
    <t>ATD</t>
  </si>
  <si>
    <t>Manutenção de Documentação de Sistemas Legados</t>
  </si>
  <si>
    <t>SISP – 4.12 Manutenção de Documentação de Sistemas Legados</t>
  </si>
  <si>
    <t>MSL</t>
  </si>
  <si>
    <t>Verificação de Erros (Sem Documentação de Teste existente)</t>
  </si>
  <si>
    <t>SISP – 4.13 Verificação de Erros</t>
  </si>
  <si>
    <t>VES</t>
  </si>
  <si>
    <t>Verificação de Erros (Com Documentação de Teste existente)</t>
  </si>
  <si>
    <t>VEC</t>
  </si>
  <si>
    <t>Pontos de Função de Teste</t>
  </si>
  <si>
    <t>SISP – 4.14 Pontos de Função de Teste</t>
  </si>
  <si>
    <t>PFT</t>
  </si>
  <si>
    <t>Componente Interno Reusável</t>
  </si>
  <si>
    <t>SISP – 4.15 Componente Interno Reusável</t>
  </si>
  <si>
    <t>CIR</t>
  </si>
  <si>
    <t xml:space="preserve">           .</t>
  </si>
  <si>
    <t>Quantidade</t>
  </si>
  <si>
    <t>Páginas Estáticas</t>
  </si>
  <si>
    <t>SISP – 4.11 Desenvolvimento, Manutenção e Publicação de Paginas Estáticas de Intranet, Internet ou Portal</t>
  </si>
  <si>
    <t>PAG</t>
  </si>
  <si>
    <t>Manutenção Cosmética (atrelada a algo não funcional)</t>
  </si>
  <si>
    <t>COSNF</t>
  </si>
  <si>
    <t>Dados de Código</t>
  </si>
  <si>
    <t>DC</t>
  </si>
  <si>
    <t>Sumário da Contagem</t>
  </si>
  <si>
    <t>Tipo de Função</t>
  </si>
  <si>
    <t>Complexidade Funcional</t>
  </si>
  <si>
    <t>Total PF IFPUG por Complexidade</t>
  </si>
  <si>
    <t>%</t>
  </si>
  <si>
    <t>Total PF Local FS por tipo de manutenção básica</t>
  </si>
  <si>
    <t>x 3</t>
  </si>
  <si>
    <t>x 4</t>
  </si>
  <si>
    <t>x 6</t>
  </si>
  <si>
    <t>Qtd Total</t>
  </si>
  <si>
    <t>Total</t>
  </si>
  <si>
    <t>x 5</t>
  </si>
  <si>
    <t>x 7</t>
  </si>
  <si>
    <t>x 10</t>
  </si>
  <si>
    <t>x 15</t>
  </si>
  <si>
    <t>Total PF não ajustados (contagem detalhada)</t>
  </si>
  <si>
    <t>Total PF não ajustados (contagem estimativa)</t>
  </si>
  <si>
    <t>Total PF não ajustados (contagem indicativa)</t>
  </si>
  <si>
    <t>Sumário por Deflatores e Itens não mensuráveis</t>
  </si>
  <si>
    <t>Deflatores aplicados a Itens Funcionais</t>
  </si>
  <si>
    <t>Deflator</t>
  </si>
  <si>
    <t>Contrib. Fixa</t>
  </si>
  <si>
    <t>% LOCAL</t>
  </si>
  <si>
    <t>Total IFPUG</t>
  </si>
  <si>
    <t>Itens não Funcionais (Tipo de Função)</t>
  </si>
  <si>
    <t xml:space="preserve">US094 -  Relatório_Entrada de Bens por Incorporação </t>
  </si>
  <si>
    <t>Emitir Relatório: Entrada de Bens (permanente e intangível)</t>
  </si>
  <si>
    <t>Emitir Relatório: Entrada de Bens (Consumo)</t>
  </si>
  <si>
    <t>Combo Órgão do Executivo</t>
  </si>
  <si>
    <t>Entrada por Incorporação - Pesquisar - COMBO -UO</t>
  </si>
  <si>
    <t>COMBO -UL Ativas</t>
  </si>
  <si>
    <t>COMBO -ULV Ativas</t>
  </si>
  <si>
    <t>Entrada por Incorporação - Item da entrada - Excluir</t>
  </si>
  <si>
    <t>US095 - Gerenciar Inventário Coletado do App</t>
  </si>
  <si>
    <t>Pesquisar ULs Inventariadas</t>
  </si>
  <si>
    <t>Visualizar Detalhes da UL</t>
  </si>
  <si>
    <t>Enviar os Bens para a Importação</t>
  </si>
  <si>
    <t>US096 -Importação de Dados da STAGE</t>
  </si>
  <si>
    <t>Importação de Dados da STAGE</t>
  </si>
  <si>
    <t>Inventario Coletado</t>
  </si>
  <si>
    <t>Cadastro de requisitante - Pesquisar</t>
  </si>
  <si>
    <t>Cadastro de requisitante - Incluir</t>
  </si>
  <si>
    <t>Cadastro de requisitante - Alterar</t>
  </si>
  <si>
    <t>Cadastro de requisitante - Visualizar</t>
  </si>
  <si>
    <t>Cadastro de requisitante - Excluir</t>
  </si>
  <si>
    <t>Cadastro de requisitante - Consulta Implícita</t>
  </si>
  <si>
    <t>ArcGIS - Endereço</t>
  </si>
  <si>
    <t>Consultar Endereço ArcGIS - Endereço</t>
  </si>
  <si>
    <t>[US_301] Unidade Orçamentária - UO</t>
  </si>
  <si>
    <t>Unidade orçamentária - Pesqusiar</t>
  </si>
  <si>
    <t>Unidade orçamentária - Salvar</t>
  </si>
  <si>
    <t>Unidade orçamentária - Consulta Implícita</t>
  </si>
  <si>
    <t>US065 - Consultar Cadastro de Detentor</t>
  </si>
  <si>
    <t>Consultar Cadastro de Detentor</t>
  </si>
  <si>
    <t>Excluir Cadastro de Detentor</t>
  </si>
  <si>
    <t>Atendimento - Excluir</t>
  </si>
  <si>
    <t>US066 - Cadastrar Detentor do Bem</t>
  </si>
  <si>
    <t xml:space="preserve"> Detentor do Bem</t>
  </si>
  <si>
    <t>Cadastrar Detentor do Bem</t>
  </si>
  <si>
    <t xml:space="preserve">Pesquisar Material </t>
  </si>
  <si>
    <t xml:space="preserve">US097 - Mapear Estrutura Organizacional </t>
  </si>
  <si>
    <t>Pesquisar Dados do Sistema Antigo</t>
  </si>
  <si>
    <t>Salvar Nova Estrutura</t>
  </si>
  <si>
    <t>COMBO - UL Origem (Unidades vigentes e UL com situação &lt;&gt; Inativo)</t>
  </si>
  <si>
    <t>COMBO - ULV Destino (ULV com situação &lt;&gt; Inativo)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</si>
</sst>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0.00\ ;* \(#,##0.00\);* \-#\ ;@\ "/>
    <numFmt numFmtId="165" formatCode="dd/mm/yy"/>
    <numFmt numFmtId="166" formatCode="0.0000"/>
    <numFmt numFmtId="167" formatCode="0.0%"/>
  </numFmts>
  <fonts count="32" x14ac:knownFonts="1">
    <font>
      <sz val="10"/>
      <name val="Arial"/>
      <family val="2"/>
    </font>
    <font>
      <b/>
      <sz val="15"/>
      <color indexed="56"/>
      <name val="Calibri"/>
      <family val="2"/>
    </font>
    <font>
      <sz val="10"/>
      <name val="Franklin Gothic Medium"/>
      <family val="2"/>
    </font>
    <font>
      <b/>
      <sz val="12"/>
      <name val="Franklin Gothic Medium"/>
      <family val="2"/>
    </font>
    <font>
      <sz val="9"/>
      <color indexed="12"/>
      <name val="Franklin Gothic Medium"/>
      <family val="2"/>
    </font>
    <font>
      <sz val="9"/>
      <name val="Franklin Gothic Medium"/>
      <family val="2"/>
    </font>
    <font>
      <b/>
      <sz val="10"/>
      <name val="Franklin Gothic Medium"/>
      <family val="2"/>
    </font>
    <font>
      <b/>
      <sz val="8.5"/>
      <color indexed="63"/>
      <name val="Times New Roman"/>
      <family val="1"/>
    </font>
    <font>
      <sz val="8.5"/>
      <color indexed="63"/>
      <name val="Times New Roman"/>
      <family val="1"/>
    </font>
    <font>
      <b/>
      <sz val="8.5"/>
      <name val="Times New Roman"/>
      <family val="1"/>
    </font>
    <font>
      <sz val="8"/>
      <name val="Franklin Gothic Medium"/>
      <family val="2"/>
    </font>
    <font>
      <b/>
      <sz val="8"/>
      <color indexed="8"/>
      <name val="Tahoma"/>
      <family val="2"/>
    </font>
    <font>
      <sz val="8"/>
      <color indexed="8"/>
      <name val="Tahoma"/>
      <family val="2"/>
    </font>
    <font>
      <sz val="9"/>
      <color indexed="63"/>
      <name val="Franklin Gothic Medium"/>
      <family val="2"/>
    </font>
    <font>
      <b/>
      <sz val="9"/>
      <name val="Franklin Gothic Medium"/>
      <family val="2"/>
    </font>
    <font>
      <sz val="10"/>
      <name val="Arial"/>
      <family val="2"/>
    </font>
    <font>
      <sz val="8.5"/>
      <color indexed="81"/>
      <name val="Times New Roman"/>
      <family val="1"/>
    </font>
    <font>
      <sz val="9"/>
      <color theme="0"/>
      <name val="Franklin Gothic Medium"/>
      <family val="2"/>
    </font>
    <font>
      <sz val="8"/>
      <color theme="0"/>
      <name val="Franklin Gothic Medium"/>
      <family val="2"/>
    </font>
    <font>
      <sz val="9"/>
      <color indexed="81"/>
      <name val="Segoe UI"/>
      <family val="2"/>
    </font>
    <font>
      <b/>
      <sz val="9"/>
      <color indexed="81"/>
      <name val="Segoe UI"/>
      <family val="2"/>
    </font>
    <font>
      <b/>
      <sz val="8"/>
      <name val="Franklin Gothic Medium"/>
      <family val="2"/>
    </font>
    <font>
      <i/>
      <sz val="10"/>
      <color rgb="FF00B0F0"/>
      <name val="Franklin Gothic Medium"/>
      <family val="2"/>
    </font>
    <font>
      <sz val="8"/>
      <color theme="1"/>
      <name val="Franklin Gothic Medium"/>
      <family val="2"/>
    </font>
    <font>
      <b/>
      <sz val="8"/>
      <color theme="1"/>
      <name val="Franklin Gothic Medium"/>
      <family val="2"/>
    </font>
    <font>
      <b/>
      <sz val="8"/>
      <color theme="0"/>
      <name val="Franklin Gothic Medium"/>
      <family val="2"/>
    </font>
    <font>
      <i/>
      <sz val="10"/>
      <color rgb="FF008000"/>
      <name val="Franklin Gothic Medium"/>
      <family val="2"/>
    </font>
    <font>
      <sz val="8"/>
      <color theme="1" tint="0.14999847407452621"/>
      <name val="Franklin Gothic Medium"/>
      <family val="2"/>
    </font>
    <font>
      <sz val="10"/>
      <color theme="1" tint="0.14999847407452621"/>
      <name val="Arial"/>
      <family val="2"/>
    </font>
    <font>
      <sz val="8"/>
      <color rgb="FFFF0000"/>
      <name val="Franklin Gothic Medium"/>
      <family val="2"/>
    </font>
    <font>
      <sz val="8"/>
      <color rgb="FFFF0066"/>
      <name val="Franklin Gothic Medium"/>
      <family val="2"/>
    </font>
    <font>
      <sz val="9"/>
      <color indexed="81"/>
      <name val="Segoe UI"/>
      <charset val="1"/>
    </font>
  </fonts>
  <fills count="8">
    <fill>
      <patternFill patternType="none"/>
    </fill>
    <fill>
      <patternFill patternType="gray125"/>
    </fill>
    <fill>
      <patternFill patternType="solid">
        <fgColor indexed="22"/>
        <bgColor indexed="31"/>
      </patternFill>
    </fill>
    <fill>
      <patternFill patternType="solid">
        <fgColor indexed="13"/>
        <bgColor indexed="34"/>
      </patternFill>
    </fill>
    <fill>
      <patternFill patternType="solid">
        <fgColor indexed="23"/>
        <bgColor indexed="55"/>
      </patternFill>
    </fill>
    <fill>
      <patternFill patternType="solid">
        <fgColor theme="0"/>
        <bgColor indexed="64"/>
      </patternFill>
    </fill>
    <fill>
      <patternFill patternType="solid">
        <fgColor theme="4" tint="-0.499984740745262"/>
        <bgColor indexed="64"/>
      </patternFill>
    </fill>
    <fill>
      <patternFill patternType="solid">
        <fgColor rgb="FFCCFFFF"/>
        <bgColor rgb="FFCCFFFF"/>
      </patternFill>
    </fill>
  </fills>
  <borders count="58">
    <border>
      <left/>
      <right/>
      <top/>
      <bottom/>
      <diagonal/>
    </border>
    <border>
      <left/>
      <right/>
      <top/>
      <bottom style="thick">
        <color indexed="62"/>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medium">
        <color indexed="8"/>
      </right>
      <top/>
      <bottom/>
      <diagonal/>
    </border>
    <border>
      <left style="thin">
        <color indexed="8"/>
      </left>
      <right style="thin">
        <color indexed="8"/>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top/>
      <bottom/>
      <diagonal/>
    </border>
    <border>
      <left style="medium">
        <color indexed="8"/>
      </left>
      <right/>
      <top/>
      <bottom style="thin">
        <color indexed="8"/>
      </bottom>
      <diagonal/>
    </border>
    <border>
      <left/>
      <right style="medium">
        <color indexed="8"/>
      </right>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8"/>
      </left>
      <right style="thin">
        <color indexed="8"/>
      </right>
      <top style="thin">
        <color indexed="8"/>
      </top>
      <bottom style="hair">
        <color indexed="8"/>
      </bottom>
      <diagonal/>
    </border>
    <border>
      <left style="thin">
        <color indexed="8"/>
      </left>
      <right/>
      <top style="thin">
        <color indexed="8"/>
      </top>
      <bottom style="hair">
        <color indexed="8"/>
      </bottom>
      <diagonal/>
    </border>
    <border>
      <left style="thin">
        <color indexed="8"/>
      </left>
      <right style="hair">
        <color indexed="8"/>
      </right>
      <top style="thin">
        <color indexed="8"/>
      </top>
      <bottom style="hair">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medium">
        <color indexed="8"/>
      </left>
      <right style="medium">
        <color indexed="8"/>
      </right>
      <top style="medium">
        <color indexed="8"/>
      </top>
      <bottom style="hair">
        <color indexed="8"/>
      </bottom>
      <diagonal/>
    </border>
    <border>
      <left style="medium">
        <color indexed="8"/>
      </left>
      <right/>
      <top style="thin">
        <color indexed="8"/>
      </top>
      <bottom style="thin">
        <color indexed="8"/>
      </bottom>
      <diagonal/>
    </border>
    <border>
      <left/>
      <right style="medium">
        <color indexed="8"/>
      </right>
      <top style="thin">
        <color indexed="8"/>
      </top>
      <bottom style="thin">
        <color indexed="8"/>
      </bottom>
      <diagonal/>
    </border>
    <border>
      <left/>
      <right style="thin">
        <color indexed="8"/>
      </right>
      <top/>
      <bottom style="thin">
        <color indexed="8"/>
      </bottom>
      <diagonal/>
    </border>
    <border>
      <left/>
      <right/>
      <top/>
      <bottom style="hair">
        <color indexed="8"/>
      </bottom>
      <diagonal/>
    </border>
    <border>
      <left style="medium">
        <color indexed="64"/>
      </left>
      <right style="medium">
        <color indexed="8"/>
      </right>
      <top style="medium">
        <color indexed="64"/>
      </top>
      <bottom style="hair">
        <color indexed="8"/>
      </bottom>
      <diagonal/>
    </border>
    <border>
      <left style="medium">
        <color indexed="8"/>
      </left>
      <right style="medium">
        <color indexed="8"/>
      </right>
      <top style="medium">
        <color indexed="64"/>
      </top>
      <bottom style="hair">
        <color indexed="8"/>
      </bottom>
      <diagonal/>
    </border>
    <border>
      <left style="medium">
        <color indexed="8"/>
      </left>
      <right style="medium">
        <color indexed="64"/>
      </right>
      <top style="medium">
        <color indexed="64"/>
      </top>
      <bottom style="hair">
        <color indexed="8"/>
      </bottom>
      <diagonal/>
    </border>
    <border>
      <left style="medium">
        <color indexed="64"/>
      </left>
      <right style="medium">
        <color indexed="8"/>
      </right>
      <top style="medium">
        <color indexed="8"/>
      </top>
      <bottom style="hair">
        <color indexed="8"/>
      </bottom>
      <diagonal/>
    </border>
    <border>
      <left style="medium">
        <color indexed="8"/>
      </left>
      <right style="medium">
        <color indexed="64"/>
      </right>
      <top style="medium">
        <color indexed="8"/>
      </top>
      <bottom style="hair">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hair">
        <color indexed="8"/>
      </bottom>
      <diagonal/>
    </border>
    <border>
      <left style="thin">
        <color indexed="8"/>
      </left>
      <right style="medium">
        <color indexed="64"/>
      </right>
      <top style="thin">
        <color indexed="8"/>
      </top>
      <bottom style="hair">
        <color indexed="8"/>
      </bottom>
      <diagonal/>
    </border>
    <border>
      <left style="medium">
        <color indexed="64"/>
      </left>
      <right/>
      <top style="hair">
        <color indexed="8"/>
      </top>
      <bottom style="hair">
        <color indexed="8"/>
      </bottom>
      <diagonal/>
    </border>
    <border>
      <left style="hair">
        <color indexed="8"/>
      </left>
      <right style="medium">
        <color indexed="64"/>
      </right>
      <top/>
      <bottom style="hair">
        <color indexed="8"/>
      </bottom>
      <diagonal/>
    </border>
    <border>
      <left style="medium">
        <color indexed="64"/>
      </left>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medium">
        <color indexed="8"/>
      </left>
      <right/>
      <top style="hair">
        <color indexed="8"/>
      </top>
      <bottom style="hair">
        <color indexed="8"/>
      </bottom>
      <diagonal/>
    </border>
    <border>
      <left style="hair">
        <color indexed="8"/>
      </left>
      <right style="medium">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style="hair">
        <color indexed="8"/>
      </left>
      <right/>
      <top/>
      <bottom style="hair">
        <color indexed="8"/>
      </bottom>
      <diagonal/>
    </border>
  </borders>
  <cellStyleXfs count="4">
    <xf numFmtId="0" fontId="0" fillId="0" borderId="0"/>
    <xf numFmtId="9" fontId="15" fillId="0" borderId="0" applyBorder="0" applyAlignment="0" applyProtection="0"/>
    <xf numFmtId="0" fontId="1" fillId="0" borderId="1" applyAlignment="0" applyProtection="0"/>
    <xf numFmtId="164" fontId="15" fillId="0" borderId="0" applyBorder="0" applyAlignment="0" applyProtection="0"/>
  </cellStyleXfs>
  <cellXfs count="225">
    <xf numFmtId="0" fontId="0" fillId="0" borderId="0" xfId="0"/>
    <xf numFmtId="0" fontId="2" fillId="0" borderId="0" xfId="0" applyFont="1"/>
    <xf numFmtId="0" fontId="4" fillId="0" borderId="2" xfId="0" applyFont="1" applyBorder="1" applyAlignment="1">
      <alignment horizontal="left" vertical="center"/>
    </xf>
    <xf numFmtId="0" fontId="5" fillId="2" borderId="3" xfId="0" applyFont="1" applyFill="1" applyBorder="1" applyAlignment="1">
      <alignment horizontal="left" vertical="center"/>
    </xf>
    <xf numFmtId="0" fontId="10" fillId="0" borderId="5" xfId="0" applyFont="1" applyBorder="1" applyAlignment="1">
      <alignment horizontal="center" vertical="center"/>
    </xf>
    <xf numFmtId="0" fontId="10" fillId="2" borderId="5" xfId="0" applyFont="1" applyFill="1" applyBorder="1" applyAlignment="1">
      <alignment horizontal="center" vertical="center" wrapText="1"/>
    </xf>
    <xf numFmtId="0" fontId="10" fillId="0" borderId="5" xfId="0" applyFont="1" applyBorder="1" applyAlignment="1">
      <alignment horizontal="left" vertical="center" wrapText="1"/>
    </xf>
    <xf numFmtId="0" fontId="0" fillId="0" borderId="0" xfId="0" applyAlignment="1">
      <alignment horizontal="center"/>
    </xf>
    <xf numFmtId="0" fontId="0" fillId="0" borderId="0" xfId="0" applyAlignment="1">
      <alignment horizontal="right"/>
    </xf>
    <xf numFmtId="0" fontId="2" fillId="0" borderId="0" xfId="0" applyFont="1" applyAlignment="1">
      <alignment horizontal="center"/>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0" borderId="2" xfId="0" applyFont="1" applyBorder="1" applyAlignment="1">
      <alignment horizontal="center" vertical="center"/>
    </xf>
    <xf numFmtId="4" fontId="5" fillId="2" borderId="6" xfId="3" applyNumberFormat="1" applyFont="1" applyFill="1" applyBorder="1" applyAlignment="1" applyProtection="1">
      <alignment horizontal="center"/>
    </xf>
    <xf numFmtId="0" fontId="13" fillId="2" borderId="3" xfId="0" applyFont="1" applyFill="1" applyBorder="1" applyAlignment="1">
      <alignment horizontal="left" vertical="center"/>
    </xf>
    <xf numFmtId="3" fontId="5" fillId="2" borderId="2" xfId="3" applyNumberFormat="1" applyFont="1" applyFill="1" applyBorder="1" applyAlignment="1" applyProtection="1">
      <alignment horizontal="center"/>
    </xf>
    <xf numFmtId="0" fontId="13" fillId="2" borderId="7" xfId="0" applyFont="1" applyFill="1" applyBorder="1" applyAlignment="1">
      <alignment horizontal="center"/>
    </xf>
    <xf numFmtId="0" fontId="4" fillId="0" borderId="8" xfId="0" applyFont="1" applyBorder="1" applyAlignment="1">
      <alignment horizontal="left" vertical="center"/>
    </xf>
    <xf numFmtId="0" fontId="4" fillId="0" borderId="8" xfId="0" applyFont="1" applyBorder="1" applyAlignment="1">
      <alignment horizontal="center" vertical="center"/>
    </xf>
    <xf numFmtId="3" fontId="5" fillId="2" borderId="8" xfId="3" applyNumberFormat="1" applyFont="1" applyFill="1" applyBorder="1" applyAlignment="1" applyProtection="1">
      <alignment horizontal="center"/>
    </xf>
    <xf numFmtId="4" fontId="5" fillId="2" borderId="9" xfId="3" applyNumberFormat="1" applyFont="1" applyFill="1" applyBorder="1" applyAlignment="1" applyProtection="1">
      <alignment horizontal="center"/>
    </xf>
    <xf numFmtId="167" fontId="5" fillId="0" borderId="0" xfId="1" applyNumberFormat="1" applyFont="1" applyBorder="1" applyAlignment="1" applyProtection="1"/>
    <xf numFmtId="167" fontId="5" fillId="0" borderId="10" xfId="1" applyNumberFormat="1" applyFont="1" applyBorder="1" applyAlignment="1" applyProtection="1"/>
    <xf numFmtId="0" fontId="5" fillId="0" borderId="11" xfId="0" applyFont="1" applyBorder="1" applyAlignment="1">
      <alignment horizontal="center"/>
    </xf>
    <xf numFmtId="0" fontId="4" fillId="0" borderId="2" xfId="0" applyFont="1" applyBorder="1" applyAlignment="1">
      <alignment horizontal="center"/>
    </xf>
    <xf numFmtId="1" fontId="5" fillId="2" borderId="2" xfId="0" applyNumberFormat="1" applyFont="1" applyFill="1" applyBorder="1" applyAlignment="1">
      <alignment horizontal="center"/>
    </xf>
    <xf numFmtId="2" fontId="5" fillId="2" borderId="2" xfId="0" applyNumberFormat="1" applyFont="1" applyFill="1" applyBorder="1" applyAlignment="1">
      <alignment horizontal="center"/>
    </xf>
    <xf numFmtId="10" fontId="5" fillId="2" borderId="2" xfId="1" applyNumberFormat="1" applyFont="1" applyFill="1" applyBorder="1" applyAlignment="1" applyProtection="1">
      <alignment horizontal="center"/>
    </xf>
    <xf numFmtId="2" fontId="5" fillId="0" borderId="2" xfId="1" applyNumberFormat="1" applyFont="1" applyBorder="1" applyAlignment="1" applyProtection="1">
      <alignment horizontal="center"/>
    </xf>
    <xf numFmtId="2" fontId="14" fillId="3" borderId="2" xfId="1" applyNumberFormat="1" applyFont="1" applyFill="1" applyBorder="1" applyAlignment="1" applyProtection="1">
      <alignment horizontal="center"/>
    </xf>
    <xf numFmtId="0" fontId="0" fillId="0" borderId="12" xfId="0" applyBorder="1"/>
    <xf numFmtId="0" fontId="5" fillId="0" borderId="2" xfId="0" applyFont="1" applyBorder="1" applyAlignment="1">
      <alignment horizontal="center"/>
    </xf>
    <xf numFmtId="0" fontId="0" fillId="0" borderId="13" xfId="0" applyBorder="1"/>
    <xf numFmtId="0" fontId="5" fillId="0" borderId="14" xfId="0" applyFont="1" applyBorder="1"/>
    <xf numFmtId="0" fontId="5" fillId="0" borderId="15" xfId="0" applyFont="1" applyBorder="1"/>
    <xf numFmtId="0" fontId="5" fillId="0" borderId="16" xfId="0" applyFont="1" applyBorder="1"/>
    <xf numFmtId="0" fontId="14" fillId="0" borderId="17" xfId="0" applyFont="1" applyBorder="1" applyAlignment="1">
      <alignment horizontal="center"/>
    </xf>
    <xf numFmtId="0" fontId="5" fillId="0" borderId="0" xfId="0" applyFont="1"/>
    <xf numFmtId="0" fontId="5" fillId="0" borderId="12" xfId="0" applyFont="1" applyBorder="1" applyAlignment="1">
      <alignment vertical="center"/>
    </xf>
    <xf numFmtId="0" fontId="5" fillId="0" borderId="0" xfId="0" applyFont="1" applyAlignment="1">
      <alignment vertical="center"/>
    </xf>
    <xf numFmtId="0" fontId="5" fillId="0" borderId="12" xfId="0" applyFont="1" applyBorder="1"/>
    <xf numFmtId="2" fontId="5" fillId="0" borderId="12" xfId="0" applyNumberFormat="1" applyFont="1" applyBorder="1" applyAlignment="1">
      <alignment vertical="center"/>
    </xf>
    <xf numFmtId="0" fontId="5" fillId="0" borderId="10" xfId="0" applyFont="1" applyBorder="1"/>
    <xf numFmtId="0" fontId="5" fillId="0" borderId="17" xfId="0" applyFont="1" applyBorder="1"/>
    <xf numFmtId="10" fontId="5" fillId="0" borderId="10" xfId="0" applyNumberFormat="1" applyFont="1" applyBorder="1"/>
    <xf numFmtId="2" fontId="5" fillId="0" borderId="0" xfId="0" applyNumberFormat="1" applyFont="1"/>
    <xf numFmtId="0" fontId="14" fillId="0" borderId="0" xfId="0" applyFont="1"/>
    <xf numFmtId="0" fontId="5" fillId="0" borderId="18" xfId="0" applyFont="1" applyBorder="1"/>
    <xf numFmtId="0" fontId="5" fillId="0" borderId="19" xfId="0" applyFont="1" applyBorder="1"/>
    <xf numFmtId="2" fontId="5" fillId="0" borderId="12" xfId="0" applyNumberFormat="1" applyFont="1" applyBorder="1"/>
    <xf numFmtId="0" fontId="5" fillId="0" borderId="20" xfId="0" applyFont="1" applyBorder="1"/>
    <xf numFmtId="0" fontId="5" fillId="0" borderId="21" xfId="0" applyFont="1" applyBorder="1"/>
    <xf numFmtId="0" fontId="5" fillId="0" borderId="22" xfId="0" applyFont="1" applyBorder="1"/>
    <xf numFmtId="0" fontId="17" fillId="4" borderId="15" xfId="0" applyFont="1" applyFill="1" applyBorder="1" applyAlignment="1">
      <alignment horizontal="left" vertical="center" wrapText="1"/>
    </xf>
    <xf numFmtId="0" fontId="17" fillId="4" borderId="12" xfId="0" applyFont="1" applyFill="1" applyBorder="1" applyAlignment="1">
      <alignment horizontal="left" vertical="center" wrapText="1"/>
    </xf>
    <xf numFmtId="0" fontId="18" fillId="4" borderId="23" xfId="0" applyFont="1" applyFill="1" applyBorder="1" applyAlignment="1">
      <alignment horizontal="left" vertical="center"/>
    </xf>
    <xf numFmtId="0" fontId="18" fillId="4" borderId="24" xfId="0" applyFont="1" applyFill="1" applyBorder="1" applyAlignment="1">
      <alignment horizontal="left" vertical="center"/>
    </xf>
    <xf numFmtId="0" fontId="18" fillId="4" borderId="23" xfId="0" applyFont="1" applyFill="1" applyBorder="1" applyAlignment="1">
      <alignment horizontal="left"/>
    </xf>
    <xf numFmtId="0" fontId="18" fillId="4" borderId="23" xfId="0" applyFont="1" applyFill="1" applyBorder="1" applyAlignment="1">
      <alignment horizontal="center"/>
    </xf>
    <xf numFmtId="0" fontId="18" fillId="4" borderId="25" xfId="0" applyFont="1" applyFill="1" applyBorder="1" applyAlignment="1">
      <alignment horizontal="center"/>
    </xf>
    <xf numFmtId="0" fontId="18" fillId="4" borderId="24" xfId="0" applyFont="1" applyFill="1" applyBorder="1" applyAlignment="1">
      <alignment horizontal="center"/>
    </xf>
    <xf numFmtId="0" fontId="5" fillId="0" borderId="17" xfId="0" applyFont="1" applyBorder="1" applyAlignment="1">
      <alignment horizontal="left" vertical="center"/>
    </xf>
    <xf numFmtId="0" fontId="4" fillId="0" borderId="0" xfId="0" applyFont="1" applyAlignment="1">
      <alignment horizontal="left" vertical="center"/>
    </xf>
    <xf numFmtId="0" fontId="4" fillId="0" borderId="0" xfId="0" applyFont="1" applyAlignment="1">
      <alignment horizontal="center"/>
    </xf>
    <xf numFmtId="164" fontId="5" fillId="0" borderId="0" xfId="3" applyFont="1" applyBorder="1" applyAlignment="1" applyProtection="1">
      <alignment horizontal="right"/>
    </xf>
    <xf numFmtId="2" fontId="5" fillId="0" borderId="0" xfId="0" applyNumberFormat="1" applyFont="1" applyAlignment="1">
      <alignment horizontal="center"/>
    </xf>
    <xf numFmtId="2" fontId="5" fillId="0" borderId="10" xfId="0" applyNumberFormat="1" applyFont="1" applyBorder="1"/>
    <xf numFmtId="0" fontId="0" fillId="0" borderId="17" xfId="0" applyBorder="1"/>
    <xf numFmtId="0" fontId="0" fillId="0" borderId="10" xfId="0" applyBorder="1"/>
    <xf numFmtId="0" fontId="14" fillId="0" borderId="0" xfId="0" applyFont="1" applyAlignment="1">
      <alignment horizontal="center"/>
    </xf>
    <xf numFmtId="0" fontId="0" fillId="0" borderId="20" xfId="0" applyBorder="1"/>
    <xf numFmtId="0" fontId="4" fillId="0" borderId="21" xfId="0" applyFont="1" applyBorder="1" applyAlignment="1">
      <alignment horizontal="center" vertical="center"/>
    </xf>
    <xf numFmtId="0" fontId="0" fillId="0" borderId="21" xfId="0" applyBorder="1"/>
    <xf numFmtId="0" fontId="4" fillId="0" borderId="21" xfId="0" applyFont="1" applyBorder="1" applyAlignment="1">
      <alignment horizontal="center"/>
    </xf>
    <xf numFmtId="1" fontId="5" fillId="0" borderId="21" xfId="0" applyNumberFormat="1" applyFont="1" applyBorder="1" applyAlignment="1">
      <alignment horizontal="center"/>
    </xf>
    <xf numFmtId="2" fontId="5" fillId="0" borderId="21" xfId="0" applyNumberFormat="1" applyFont="1" applyBorder="1" applyAlignment="1">
      <alignment horizontal="center"/>
    </xf>
    <xf numFmtId="2" fontId="5" fillId="0" borderId="21" xfId="1" applyNumberFormat="1" applyFont="1" applyBorder="1" applyAlignment="1" applyProtection="1">
      <alignment horizontal="center"/>
    </xf>
    <xf numFmtId="10" fontId="5" fillId="0" borderId="21" xfId="1" applyNumberFormat="1" applyFont="1" applyBorder="1" applyAlignment="1" applyProtection="1"/>
    <xf numFmtId="0" fontId="0" fillId="0" borderId="22" xfId="0" applyBorder="1"/>
    <xf numFmtId="10" fontId="0" fillId="0" borderId="0" xfId="0" applyNumberFormat="1"/>
    <xf numFmtId="2" fontId="5" fillId="0" borderId="0" xfId="1" applyNumberFormat="1" applyFont="1" applyBorder="1" applyAlignment="1" applyProtection="1"/>
    <xf numFmtId="0" fontId="5" fillId="0" borderId="0" xfId="0" applyFont="1" applyAlignment="1">
      <alignment horizontal="center" vertical="center"/>
    </xf>
    <xf numFmtId="2" fontId="5" fillId="0" borderId="0" xfId="1" applyNumberFormat="1" applyFont="1" applyBorder="1" applyAlignment="1" applyProtection="1">
      <alignment horizontal="center"/>
    </xf>
    <xf numFmtId="10" fontId="5" fillId="0" borderId="0" xfId="1" applyNumberFormat="1" applyFont="1" applyBorder="1" applyAlignment="1" applyProtection="1"/>
    <xf numFmtId="0" fontId="4" fillId="0" borderId="2" xfId="0" applyFont="1" applyBorder="1" applyAlignment="1">
      <alignment horizontal="left" vertical="center" wrapText="1"/>
    </xf>
    <xf numFmtId="167" fontId="5" fillId="0" borderId="2" xfId="0" applyNumberFormat="1" applyFont="1" applyBorder="1" applyAlignment="1">
      <alignment horizontal="center" vertical="center"/>
    </xf>
    <xf numFmtId="2" fontId="5" fillId="0" borderId="2" xfId="0" applyNumberFormat="1" applyFont="1" applyBorder="1" applyAlignment="1">
      <alignment horizontal="center" vertical="center"/>
    </xf>
    <xf numFmtId="4" fontId="5" fillId="2" borderId="2" xfId="3" applyNumberFormat="1" applyFont="1" applyFill="1" applyBorder="1" applyAlignment="1" applyProtection="1">
      <alignment horizontal="center" vertical="center"/>
    </xf>
    <xf numFmtId="4" fontId="5" fillId="2" borderId="6" xfId="3" applyNumberFormat="1" applyFont="1" applyFill="1" applyBorder="1" applyAlignment="1" applyProtection="1">
      <alignment horizontal="center" vertical="center"/>
    </xf>
    <xf numFmtId="1" fontId="5" fillId="2" borderId="2" xfId="0" applyNumberFormat="1" applyFont="1" applyFill="1" applyBorder="1" applyAlignment="1">
      <alignment horizontal="center" vertical="center"/>
    </xf>
    <xf numFmtId="2" fontId="5" fillId="2" borderId="2" xfId="0" applyNumberFormat="1" applyFont="1" applyFill="1" applyBorder="1" applyAlignment="1">
      <alignment horizontal="center" vertical="center"/>
    </xf>
    <xf numFmtId="167" fontId="5" fillId="2" borderId="2" xfId="0" applyNumberFormat="1" applyFont="1" applyFill="1" applyBorder="1" applyAlignment="1">
      <alignment horizontal="center" vertical="center"/>
    </xf>
    <xf numFmtId="2" fontId="5" fillId="2" borderId="2" xfId="1" applyNumberFormat="1" applyFont="1" applyFill="1" applyBorder="1" applyAlignment="1" applyProtection="1">
      <alignment horizontal="center" vertical="center"/>
    </xf>
    <xf numFmtId="10" fontId="5" fillId="2" borderId="2" xfId="1" applyNumberFormat="1" applyFont="1" applyFill="1" applyBorder="1" applyAlignment="1" applyProtection="1">
      <alignment horizontal="center" vertical="center"/>
    </xf>
    <xf numFmtId="0" fontId="5" fillId="2" borderId="26" xfId="0" applyFont="1" applyFill="1" applyBorder="1" applyAlignment="1">
      <alignment vertical="center"/>
    </xf>
    <xf numFmtId="166" fontId="5" fillId="2" borderId="26" xfId="0" applyNumberFormat="1" applyFont="1" applyFill="1" applyBorder="1" applyAlignment="1">
      <alignment vertical="center"/>
    </xf>
    <xf numFmtId="2" fontId="5" fillId="2" borderId="26" xfId="0" applyNumberFormat="1" applyFont="1" applyFill="1" applyBorder="1" applyAlignment="1">
      <alignment vertical="center"/>
    </xf>
    <xf numFmtId="2" fontId="5" fillId="2" borderId="27" xfId="0" applyNumberFormat="1" applyFont="1" applyFill="1" applyBorder="1" applyAlignment="1">
      <alignment vertical="center"/>
    </xf>
    <xf numFmtId="0" fontId="4" fillId="0" borderId="26" xfId="0" applyFont="1" applyBorder="1" applyAlignment="1">
      <alignment horizontal="left" vertical="center"/>
    </xf>
    <xf numFmtId="0" fontId="4" fillId="0" borderId="13" xfId="0" applyFont="1" applyBorder="1" applyAlignment="1">
      <alignment horizontal="left" vertical="center"/>
    </xf>
    <xf numFmtId="0" fontId="4" fillId="0" borderId="27" xfId="0" applyFont="1" applyBorder="1" applyAlignment="1">
      <alignment horizontal="left" vertical="center"/>
    </xf>
    <xf numFmtId="0" fontId="18" fillId="4" borderId="2" xfId="0" applyFont="1" applyFill="1" applyBorder="1" applyAlignment="1">
      <alignment horizontal="center"/>
    </xf>
    <xf numFmtId="0" fontId="18" fillId="4" borderId="38" xfId="0" applyFont="1" applyFill="1" applyBorder="1" applyAlignment="1">
      <alignment horizontal="center"/>
    </xf>
    <xf numFmtId="0" fontId="10" fillId="5" borderId="4" xfId="0" applyFont="1" applyFill="1" applyBorder="1" applyAlignment="1">
      <alignment horizontal="center" vertical="center"/>
    </xf>
    <xf numFmtId="0" fontId="10" fillId="5" borderId="5" xfId="0" applyFont="1" applyFill="1" applyBorder="1" applyAlignment="1">
      <alignment horizontal="center" vertical="center"/>
    </xf>
    <xf numFmtId="0" fontId="10" fillId="0" borderId="5" xfId="0" applyFont="1" applyBorder="1" applyAlignment="1">
      <alignment horizontal="center" vertical="center" wrapText="1"/>
    </xf>
    <xf numFmtId="4" fontId="10" fillId="0" borderId="5" xfId="0" applyNumberFormat="1" applyFont="1" applyBorder="1" applyAlignment="1">
      <alignment horizontal="center" vertical="center"/>
    </xf>
    <xf numFmtId="0" fontId="5" fillId="2" borderId="44" xfId="0" applyFont="1" applyFill="1" applyBorder="1" applyAlignment="1">
      <alignment horizontal="left" vertical="center"/>
    </xf>
    <xf numFmtId="0" fontId="5" fillId="2" borderId="44" xfId="0" applyFont="1" applyFill="1" applyBorder="1" applyAlignment="1">
      <alignment vertical="center"/>
    </xf>
    <xf numFmtId="0" fontId="18" fillId="4" borderId="46" xfId="0" applyFont="1" applyFill="1" applyBorder="1" applyAlignment="1">
      <alignment horizontal="center" vertical="center" wrapText="1"/>
    </xf>
    <xf numFmtId="0" fontId="18" fillId="4" borderId="47" xfId="0" applyFont="1" applyFill="1" applyBorder="1" applyAlignment="1">
      <alignment horizontal="center"/>
    </xf>
    <xf numFmtId="0" fontId="10" fillId="0" borderId="49" xfId="0" applyFont="1" applyBorder="1" applyAlignment="1">
      <alignment horizontal="left" vertical="center" wrapText="1"/>
    </xf>
    <xf numFmtId="0" fontId="10" fillId="0" borderId="48" xfId="0" applyFont="1" applyBorder="1" applyAlignment="1">
      <alignment horizontal="left" vertical="center" wrapText="1" indent="1"/>
    </xf>
    <xf numFmtId="0" fontId="10" fillId="0" borderId="4" xfId="0" applyFont="1" applyBorder="1" applyAlignment="1">
      <alignment horizontal="center" vertical="center"/>
    </xf>
    <xf numFmtId="0" fontId="10" fillId="0" borderId="48" xfId="0" applyFont="1" applyBorder="1" applyAlignment="1">
      <alignment horizontal="left" vertical="center" wrapText="1" indent="2"/>
    </xf>
    <xf numFmtId="0" fontId="21" fillId="0" borderId="48" xfId="0" applyFont="1" applyBorder="1" applyAlignment="1">
      <alignment horizontal="left" vertical="center" wrapText="1"/>
    </xf>
    <xf numFmtId="4" fontId="10" fillId="0" borderId="5" xfId="0" applyNumberFormat="1" applyFont="1" applyBorder="1" applyAlignment="1">
      <alignment horizontal="left" vertical="center" indent="1"/>
    </xf>
    <xf numFmtId="0" fontId="0" fillId="0" borderId="0" xfId="0" applyAlignment="1">
      <alignment horizontal="left" indent="1"/>
    </xf>
    <xf numFmtId="0" fontId="10" fillId="0" borderId="5" xfId="0" applyFont="1" applyBorder="1" applyAlignment="1">
      <alignment horizontal="left" vertical="center" indent="1"/>
    </xf>
    <xf numFmtId="0" fontId="25" fillId="6" borderId="48" xfId="0" applyFont="1" applyFill="1" applyBorder="1" applyAlignment="1">
      <alignment horizontal="left" vertical="center" wrapText="1"/>
    </xf>
    <xf numFmtId="0" fontId="18" fillId="6" borderId="4" xfId="0" applyFont="1" applyFill="1" applyBorder="1" applyAlignment="1">
      <alignment horizontal="center" vertical="center"/>
    </xf>
    <xf numFmtId="4" fontId="18" fillId="6" borderId="5" xfId="0" applyNumberFormat="1" applyFont="1" applyFill="1" applyBorder="1" applyAlignment="1">
      <alignment horizontal="center" vertical="center"/>
    </xf>
    <xf numFmtId="4" fontId="18" fillId="6" borderId="5" xfId="0" applyNumberFormat="1" applyFont="1" applyFill="1" applyBorder="1" applyAlignment="1">
      <alignment horizontal="left" vertical="center"/>
    </xf>
    <xf numFmtId="4" fontId="10" fillId="0" borderId="5" xfId="0" applyNumberFormat="1" applyFont="1" applyBorder="1" applyAlignment="1">
      <alignment horizontal="left" vertical="center"/>
    </xf>
    <xf numFmtId="4" fontId="10" fillId="0" borderId="5" xfId="0" applyNumberFormat="1" applyFont="1" applyBorder="1" applyAlignment="1">
      <alignment vertical="center"/>
    </xf>
    <xf numFmtId="4" fontId="10" fillId="0" borderId="5" xfId="0" applyNumberFormat="1" applyFont="1" applyBorder="1" applyAlignment="1">
      <alignment horizontal="left" vertical="center" wrapText="1"/>
    </xf>
    <xf numFmtId="0" fontId="10" fillId="0" borderId="51" xfId="0" applyFont="1" applyBorder="1" applyAlignment="1">
      <alignment horizontal="center" vertical="center"/>
    </xf>
    <xf numFmtId="0" fontId="26" fillId="7" borderId="51" xfId="0" applyFont="1" applyFill="1" applyBorder="1" applyAlignment="1">
      <alignment horizontal="center" vertical="center"/>
    </xf>
    <xf numFmtId="0" fontId="10" fillId="0" borderId="52" xfId="0" applyFont="1" applyBorder="1" applyAlignment="1">
      <alignment horizontal="center" vertical="center" wrapText="1"/>
    </xf>
    <xf numFmtId="0" fontId="10" fillId="0" borderId="52" xfId="0" applyFont="1" applyBorder="1" applyAlignment="1">
      <alignment horizontal="center" vertical="center"/>
    </xf>
    <xf numFmtId="4" fontId="10" fillId="0" borderId="5" xfId="0" applyNumberFormat="1" applyFont="1" applyBorder="1" applyAlignment="1">
      <alignment vertical="center" wrapText="1"/>
    </xf>
    <xf numFmtId="0" fontId="27" fillId="0" borderId="4" xfId="0" applyFont="1" applyBorder="1" applyAlignment="1">
      <alignment horizontal="center" vertical="center"/>
    </xf>
    <xf numFmtId="0" fontId="27" fillId="0" borderId="5" xfId="0" applyFont="1" applyBorder="1" applyAlignment="1">
      <alignment horizontal="center" vertical="center"/>
    </xf>
    <xf numFmtId="4" fontId="27" fillId="0" borderId="5" xfId="0" applyNumberFormat="1" applyFont="1" applyBorder="1" applyAlignment="1">
      <alignment horizontal="center" vertical="center"/>
    </xf>
    <xf numFmtId="0" fontId="27" fillId="0" borderId="5" xfId="0" applyFont="1" applyBorder="1" applyAlignment="1">
      <alignment horizontal="center" vertical="center" wrapText="1"/>
    </xf>
    <xf numFmtId="4" fontId="27" fillId="0" borderId="5" xfId="0" applyNumberFormat="1" applyFont="1" applyBorder="1" applyAlignment="1">
      <alignment horizontal="left" vertical="center" indent="1"/>
    </xf>
    <xf numFmtId="0" fontId="28" fillId="0" borderId="0" xfId="0" applyFont="1" applyAlignment="1">
      <alignment horizontal="left" indent="1"/>
    </xf>
    <xf numFmtId="0" fontId="28" fillId="0" borderId="0" xfId="0" applyFont="1"/>
    <xf numFmtId="4" fontId="29" fillId="0" borderId="5" xfId="0" applyNumberFormat="1" applyFont="1" applyBorder="1" applyAlignment="1">
      <alignment vertical="center"/>
    </xf>
    <xf numFmtId="4" fontId="29" fillId="0" borderId="5" xfId="0" applyNumberFormat="1" applyFont="1" applyBorder="1" applyAlignment="1">
      <alignment vertical="center" wrapText="1"/>
    </xf>
    <xf numFmtId="4" fontId="30" fillId="0" borderId="5" xfId="0" applyNumberFormat="1" applyFont="1" applyBorder="1" applyAlignment="1">
      <alignment vertical="center"/>
    </xf>
    <xf numFmtId="0" fontId="30" fillId="0" borderId="49" xfId="0" applyFont="1" applyBorder="1" applyAlignment="1">
      <alignment horizontal="left" vertical="center" wrapText="1"/>
    </xf>
    <xf numFmtId="4" fontId="29" fillId="0" borderId="5" xfId="0" applyNumberFormat="1" applyFont="1" applyBorder="1" applyAlignment="1">
      <alignment horizontal="left" vertical="center" wrapText="1"/>
    </xf>
    <xf numFmtId="0" fontId="21" fillId="0" borderId="53" xfId="0" applyFont="1" applyBorder="1" applyAlignment="1">
      <alignment horizontal="left" vertical="center" wrapText="1"/>
    </xf>
    <xf numFmtId="0" fontId="10" fillId="0" borderId="54" xfId="0" applyFont="1" applyBorder="1" applyAlignment="1">
      <alignment horizontal="left" vertical="center" wrapText="1"/>
    </xf>
    <xf numFmtId="0" fontId="10" fillId="0" borderId="53" xfId="0" applyFont="1" applyBorder="1" applyAlignment="1">
      <alignment horizontal="left" vertical="center" wrapText="1"/>
    </xf>
    <xf numFmtId="0" fontId="10" fillId="0" borderId="53" xfId="0" applyFont="1" applyBorder="1" applyAlignment="1">
      <alignment horizontal="left" vertical="center" wrapText="1" indent="1"/>
    </xf>
    <xf numFmtId="0" fontId="10" fillId="0" borderId="53" xfId="0" applyFont="1" applyBorder="1" applyAlignment="1">
      <alignment horizontal="left" vertical="center" wrapText="1" indent="2"/>
    </xf>
    <xf numFmtId="4" fontId="10" fillId="0" borderId="5" xfId="0" applyNumberFormat="1" applyFont="1" applyBorder="1" applyAlignment="1">
      <alignment horizontal="center" vertical="center" wrapText="1"/>
    </xf>
    <xf numFmtId="0" fontId="10" fillId="0" borderId="55" xfId="0" applyFont="1" applyBorder="1" applyAlignment="1">
      <alignment horizontal="left" vertical="center" wrapText="1"/>
    </xf>
    <xf numFmtId="0" fontId="29" fillId="0" borderId="54" xfId="0" applyFont="1" applyBorder="1" applyAlignment="1">
      <alignment horizontal="left" vertical="center" wrapText="1"/>
    </xf>
    <xf numFmtId="0" fontId="10" fillId="2" borderId="5" xfId="0" applyFont="1" applyFill="1" applyBorder="1" applyAlignment="1">
      <alignment horizontal="center" vertical="center"/>
    </xf>
    <xf numFmtId="4" fontId="10" fillId="2" borderId="5" xfId="0" applyNumberFormat="1" applyFont="1" applyFill="1" applyBorder="1" applyAlignment="1">
      <alignment horizontal="center" vertical="center"/>
    </xf>
    <xf numFmtId="0" fontId="10" fillId="0" borderId="0" xfId="0" applyFont="1" applyAlignment="1">
      <alignment horizontal="left" vertical="center" wrapText="1"/>
    </xf>
    <xf numFmtId="0" fontId="10" fillId="0" borderId="56" xfId="0" applyFont="1" applyBorder="1" applyAlignment="1">
      <alignment horizontal="left" vertical="center" wrapText="1" indent="1"/>
    </xf>
    <xf numFmtId="0" fontId="10" fillId="0" borderId="50" xfId="0" applyFont="1" applyBorder="1" applyAlignment="1">
      <alignment horizontal="left" vertical="center" wrapText="1" indent="1"/>
    </xf>
    <xf numFmtId="0" fontId="27" fillId="0" borderId="48" xfId="0" applyFont="1" applyBorder="1" applyAlignment="1">
      <alignment horizontal="left" vertical="center" wrapText="1" indent="2"/>
    </xf>
    <xf numFmtId="0" fontId="27" fillId="0" borderId="48" xfId="0" applyFont="1" applyBorder="1" applyAlignment="1">
      <alignment horizontal="left" vertical="center" wrapText="1" indent="1"/>
    </xf>
    <xf numFmtId="0" fontId="21" fillId="0" borderId="53" xfId="0" quotePrefix="1" applyFont="1" applyBorder="1" applyAlignment="1">
      <alignment horizontal="left" vertical="center" wrapText="1"/>
    </xf>
    <xf numFmtId="0" fontId="24" fillId="0" borderId="48" xfId="0" applyFont="1" applyBorder="1" applyAlignment="1">
      <alignment horizontal="left" vertical="center" wrapText="1"/>
    </xf>
    <xf numFmtId="0" fontId="23" fillId="0" borderId="48" xfId="0" applyFont="1" applyBorder="1" applyAlignment="1">
      <alignment horizontal="left" vertical="center" wrapText="1" indent="1"/>
    </xf>
    <xf numFmtId="4" fontId="10" fillId="0" borderId="57" xfId="0" applyNumberFormat="1" applyFont="1" applyBorder="1" applyAlignment="1">
      <alignment horizontal="center" vertical="center"/>
    </xf>
    <xf numFmtId="0" fontId="10" fillId="0" borderId="48" xfId="0" applyFont="1" applyBorder="1" applyAlignment="1">
      <alignment horizontal="left" vertical="center" wrapText="1"/>
    </xf>
    <xf numFmtId="0" fontId="10" fillId="0" borderId="56" xfId="0" applyFont="1" applyBorder="1" applyAlignment="1">
      <alignment horizontal="left" vertical="center" wrapText="1"/>
    </xf>
    <xf numFmtId="0" fontId="10" fillId="0" borderId="56" xfId="0" applyFont="1" applyBorder="1" applyAlignment="1">
      <alignment horizontal="left" vertical="center" wrapText="1" indent="2"/>
    </xf>
    <xf numFmtId="0" fontId="10" fillId="0" borderId="0" xfId="0" applyFont="1" applyAlignment="1">
      <alignment horizontal="left" vertical="center" wrapText="1" indent="1"/>
    </xf>
    <xf numFmtId="0" fontId="4" fillId="0" borderId="3" xfId="0" applyFont="1" applyBorder="1" applyAlignment="1">
      <alignment horizontal="left" vertical="center"/>
    </xf>
    <xf numFmtId="0" fontId="5" fillId="0" borderId="26" xfId="0" applyFont="1" applyBorder="1" applyAlignment="1" applyProtection="1">
      <alignment horizontal="left" vertical="center"/>
      <protection locked="0"/>
    </xf>
    <xf numFmtId="0" fontId="4" fillId="0" borderId="2" xfId="0" applyFont="1" applyBorder="1" applyAlignment="1">
      <alignment horizontal="left" vertical="center"/>
    </xf>
    <xf numFmtId="164" fontId="5" fillId="2" borderId="6" xfId="3" applyFont="1" applyFill="1" applyBorder="1" applyAlignment="1" applyProtection="1">
      <alignment horizontal="right" indent="1"/>
    </xf>
    <xf numFmtId="0" fontId="3" fillId="0" borderId="31" xfId="0" applyFont="1" applyBorder="1" applyAlignment="1">
      <alignment horizontal="center" vertical="center"/>
    </xf>
    <xf numFmtId="0" fontId="4" fillId="0" borderId="26" xfId="0" applyFont="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6" xfId="0" applyFont="1" applyBorder="1" applyAlignment="1" applyProtection="1">
      <alignment horizontal="left" vertical="center"/>
      <protection locked="0"/>
    </xf>
    <xf numFmtId="0" fontId="4" fillId="0" borderId="2" xfId="0" applyFont="1" applyBorder="1" applyAlignment="1">
      <alignment horizontal="left"/>
    </xf>
    <xf numFmtId="165" fontId="5" fillId="0" borderId="6" xfId="0" applyNumberFormat="1" applyFont="1" applyBorder="1" applyAlignment="1" applyProtection="1">
      <alignment horizontal="center"/>
      <protection locked="0"/>
    </xf>
    <xf numFmtId="0" fontId="6" fillId="2" borderId="28" xfId="0" applyFont="1" applyFill="1" applyBorder="1" applyAlignment="1">
      <alignment horizontal="center" vertical="center"/>
    </xf>
    <xf numFmtId="0" fontId="22" fillId="0" borderId="29" xfId="0" applyFont="1" applyBorder="1" applyAlignment="1" applyProtection="1">
      <alignment horizontal="justify" vertical="top" wrapText="1"/>
      <protection locked="0"/>
    </xf>
    <xf numFmtId="0" fontId="2" fillId="0" borderId="29" xfId="0" applyFont="1" applyBorder="1" applyAlignment="1" applyProtection="1">
      <alignment horizontal="justify" vertical="top" wrapText="1"/>
      <protection locked="0"/>
    </xf>
    <xf numFmtId="0" fontId="22" fillId="0" borderId="30" xfId="0" quotePrefix="1" applyFont="1" applyBorder="1" applyAlignment="1" applyProtection="1">
      <alignment horizontal="justify" vertical="top" wrapText="1"/>
      <protection locked="0"/>
    </xf>
    <xf numFmtId="0" fontId="2" fillId="0" borderId="30" xfId="0" applyFont="1" applyBorder="1" applyAlignment="1" applyProtection="1">
      <alignment horizontal="justify" vertical="top" wrapText="1"/>
      <protection locked="0"/>
    </xf>
    <xf numFmtId="0" fontId="5" fillId="2" borderId="32" xfId="0" applyFont="1" applyFill="1" applyBorder="1" applyAlignment="1">
      <alignment horizontal="left" vertical="center"/>
    </xf>
    <xf numFmtId="0" fontId="5" fillId="2" borderId="15" xfId="0" applyFont="1" applyFill="1" applyBorder="1" applyAlignment="1">
      <alignment horizontal="left" vertical="center"/>
    </xf>
    <xf numFmtId="0" fontId="5" fillId="2" borderId="33" xfId="0" applyFont="1" applyFill="1" applyBorder="1" applyAlignment="1">
      <alignment horizontal="left" vertical="center"/>
    </xf>
    <xf numFmtId="0" fontId="5" fillId="2" borderId="6" xfId="0" applyFont="1" applyFill="1" applyBorder="1" applyAlignment="1">
      <alignment horizontal="left" vertical="center"/>
    </xf>
    <xf numFmtId="0" fontId="5" fillId="2" borderId="45" xfId="0" applyFont="1" applyFill="1" applyBorder="1" applyAlignment="1">
      <alignment horizontal="left"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3" fillId="0" borderId="41" xfId="0" applyFont="1" applyBorder="1" applyAlignment="1">
      <alignment horizontal="center" vertical="center"/>
    </xf>
    <xf numFmtId="0" fontId="3" fillId="0" borderId="42" xfId="0" applyFont="1" applyBorder="1" applyAlignment="1">
      <alignment horizontal="center" vertical="center"/>
    </xf>
    <xf numFmtId="0" fontId="3" fillId="0" borderId="34" xfId="0" applyFont="1" applyBorder="1" applyAlignment="1">
      <alignment horizontal="center" vertical="center"/>
    </xf>
    <xf numFmtId="0" fontId="3" fillId="0" borderId="43" xfId="0" applyFont="1" applyBorder="1" applyAlignment="1">
      <alignment horizontal="center" vertical="center"/>
    </xf>
    <xf numFmtId="2" fontId="5" fillId="2" borderId="6" xfId="0" applyNumberFormat="1" applyFont="1" applyFill="1" applyBorder="1" applyAlignment="1">
      <alignment horizontal="left" vertical="center"/>
    </xf>
    <xf numFmtId="2" fontId="5" fillId="2" borderId="45" xfId="0" applyNumberFormat="1" applyFont="1" applyFill="1" applyBorder="1" applyAlignment="1">
      <alignment horizontal="left" vertical="center"/>
    </xf>
    <xf numFmtId="0" fontId="5" fillId="2" borderId="26" xfId="0" applyFont="1" applyFill="1" applyBorder="1" applyAlignment="1">
      <alignment horizontal="left" vertical="center"/>
    </xf>
    <xf numFmtId="0" fontId="5" fillId="2" borderId="13" xfId="0" applyFont="1" applyFill="1" applyBorder="1" applyAlignment="1">
      <alignment horizontal="left" vertical="center"/>
    </xf>
    <xf numFmtId="0" fontId="5" fillId="2" borderId="27" xfId="0" applyFont="1" applyFill="1" applyBorder="1" applyAlignment="1">
      <alignment horizontal="left" vertical="center"/>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0" borderId="26" xfId="0" applyFont="1" applyBorder="1" applyAlignment="1">
      <alignment horizontal="left" vertical="center" wrapText="1"/>
    </xf>
    <xf numFmtId="0" fontId="4" fillId="0" borderId="13" xfId="0" applyFont="1" applyBorder="1" applyAlignment="1">
      <alignment horizontal="left" vertical="center" wrapText="1"/>
    </xf>
    <xf numFmtId="0" fontId="4" fillId="0" borderId="27" xfId="0" applyFont="1" applyBorder="1" applyAlignment="1">
      <alignment horizontal="left" vertical="center" wrapText="1"/>
    </xf>
    <xf numFmtId="0" fontId="4" fillId="0" borderId="2" xfId="0" applyFont="1" applyBorder="1" applyAlignment="1">
      <alignment horizontal="left" vertical="center" wrapText="1"/>
    </xf>
    <xf numFmtId="2" fontId="13" fillId="0" borderId="2" xfId="0" applyNumberFormat="1" applyFont="1" applyBorder="1" applyAlignment="1">
      <alignment horizontal="center" vertical="center"/>
    </xf>
    <xf numFmtId="0" fontId="4" fillId="0" borderId="8" xfId="0" applyFont="1" applyBorder="1" applyAlignment="1">
      <alignment horizontal="left" vertical="center"/>
    </xf>
    <xf numFmtId="2" fontId="13" fillId="0" borderId="8" xfId="0" applyNumberFormat="1" applyFont="1" applyBorder="1" applyAlignment="1">
      <alignment horizontal="center" vertical="center"/>
    </xf>
    <xf numFmtId="0" fontId="17" fillId="4" borderId="13" xfId="0" applyFont="1" applyFill="1" applyBorder="1" applyAlignment="1">
      <alignment horizontal="center" vertical="center" wrapText="1"/>
    </xf>
    <xf numFmtId="0" fontId="17" fillId="4" borderId="36" xfId="0" applyFont="1" applyFill="1" applyBorder="1" applyAlignment="1">
      <alignment horizontal="center" vertical="center" wrapText="1"/>
    </xf>
    <xf numFmtId="0" fontId="5" fillId="2" borderId="3" xfId="0" applyFont="1" applyFill="1" applyBorder="1" applyAlignment="1">
      <alignment horizontal="left" vertical="center"/>
    </xf>
    <xf numFmtId="0" fontId="5" fillId="0" borderId="0" xfId="0" applyFont="1" applyAlignment="1">
      <alignment horizontal="left"/>
    </xf>
    <xf numFmtId="0" fontId="17" fillId="4" borderId="35" xfId="0" applyFont="1" applyFill="1" applyBorder="1" applyAlignment="1">
      <alignment horizontal="center" vertical="center" wrapText="1"/>
    </xf>
    <xf numFmtId="0" fontId="17" fillId="4" borderId="13" xfId="0" applyFont="1" applyFill="1" applyBorder="1" applyAlignment="1">
      <alignment horizontal="center" vertical="center"/>
    </xf>
    <xf numFmtId="0" fontId="5" fillId="2" borderId="35" xfId="0" applyFont="1" applyFill="1" applyBorder="1" applyAlignment="1">
      <alignment horizontal="left" vertical="center"/>
    </xf>
    <xf numFmtId="0" fontId="14" fillId="0" borderId="0" xfId="0" applyFont="1" applyAlignment="1">
      <alignment horizontal="center"/>
    </xf>
    <xf numFmtId="0" fontId="14" fillId="0" borderId="0" xfId="0" applyFont="1" applyAlignment="1">
      <alignment horizontal="center" vertical="center"/>
    </xf>
    <xf numFmtId="0" fontId="14" fillId="0" borderId="37" xfId="0" applyFont="1" applyBorder="1" applyAlignment="1">
      <alignment horizontal="center"/>
    </xf>
    <xf numFmtId="0" fontId="21" fillId="0" borderId="48" xfId="0" applyFont="1" applyFill="1" applyBorder="1" applyAlignment="1">
      <alignment horizontal="left" vertical="center" wrapText="1"/>
    </xf>
    <xf numFmtId="0" fontId="10" fillId="0" borderId="48" xfId="0" applyFont="1" applyFill="1" applyBorder="1" applyAlignment="1">
      <alignment horizontal="left" vertical="center" wrapText="1" indent="1"/>
    </xf>
    <xf numFmtId="0" fontId="10" fillId="0" borderId="48" xfId="0" applyFont="1" applyFill="1" applyBorder="1" applyAlignment="1">
      <alignment horizontal="left" vertical="center" wrapText="1" indent="2"/>
    </xf>
    <xf numFmtId="0" fontId="10" fillId="0" borderId="57" xfId="0" applyFont="1" applyBorder="1" applyAlignment="1">
      <alignment horizontal="left" vertical="center" wrapText="1"/>
    </xf>
    <xf numFmtId="0" fontId="10" fillId="0" borderId="53" xfId="0" applyFont="1" applyFill="1" applyBorder="1" applyAlignment="1">
      <alignment horizontal="left" vertical="center" wrapText="1" indent="1"/>
    </xf>
    <xf numFmtId="0" fontId="21" fillId="0" borderId="53" xfId="0" applyFont="1" applyFill="1" applyBorder="1" applyAlignment="1">
      <alignment horizontal="left" vertical="center" wrapText="1"/>
    </xf>
    <xf numFmtId="0" fontId="10" fillId="0" borderId="53" xfId="0" applyFont="1" applyFill="1" applyBorder="1" applyAlignment="1">
      <alignment horizontal="left" vertical="center" wrapText="1"/>
    </xf>
    <xf numFmtId="0" fontId="10" fillId="0" borderId="56" xfId="0" applyFont="1" applyFill="1" applyBorder="1" applyAlignment="1">
      <alignment horizontal="left" vertical="center" wrapText="1" indent="1"/>
    </xf>
  </cellXfs>
  <cellStyles count="4">
    <cellStyle name="Normal" xfId="0" builtinId="0"/>
    <cellStyle name="Porcentagem" xfId="1" builtinId="5"/>
    <cellStyle name="TableStyleLight1" xfId="2" xr:uid="{00000000-0005-0000-0000-000002000000}"/>
    <cellStyle name="Vírgula" xfId="3" builtinId="3"/>
  </cellStyles>
  <dxfs count="224">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C0504D"/>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4F81BD"/>
      <rgbColor rgb="004BACC6"/>
      <rgbColor rgb="009BBB59"/>
      <rgbColor rgb="00FFCC00"/>
      <rgbColor rgb="00FF9900"/>
      <rgbColor rgb="00FF6600"/>
      <rgbColor rgb="008064A2"/>
      <rgbColor rgb="00969696"/>
      <rgbColor rgb="00003366"/>
      <rgbColor rgb="00339966"/>
      <rgbColor rgb="00003300"/>
      <rgbColor rgb="00333300"/>
      <rgbColor rgb="00993300"/>
      <rgbColor rgb="00993366"/>
      <rgbColor rgb="00333399"/>
      <rgbColor rgb="00333333"/>
    </indexedColors>
    <mruColors>
      <color rgb="FFFFFF99"/>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333333"/>
                </a:solidFill>
                <a:latin typeface="Arial"/>
                <a:ea typeface="Arial"/>
                <a:cs typeface="Arial"/>
              </a:defRPr>
            </a:pPr>
            <a:r>
              <a:rPr lang="pt-BR"/>
              <a:t>% por Tipo de Função</a:t>
            </a:r>
          </a:p>
        </c:rich>
      </c:tx>
      <c:layout>
        <c:manualLayout>
          <c:xMode val="edge"/>
          <c:yMode val="edge"/>
          <c:x val="0.25274802188188017"/>
          <c:y val="0.7734375"/>
        </c:manualLayout>
      </c:layout>
      <c:overlay val="0"/>
      <c:spPr>
        <a:noFill/>
        <a:ln w="25400">
          <a:noFill/>
        </a:ln>
      </c:spPr>
    </c:title>
    <c:autoTitleDeleted val="0"/>
    <c:view3D>
      <c:rotX val="80"/>
      <c:rotY val="0"/>
      <c:rAngAx val="0"/>
      <c:perspective val="0"/>
    </c:view3D>
    <c:floor>
      <c:thickness val="0"/>
    </c:floor>
    <c:sideWall>
      <c:thickness val="0"/>
    </c:sideWall>
    <c:backWall>
      <c:thickness val="0"/>
    </c:backWall>
    <c:plotArea>
      <c:layout>
        <c:manualLayout>
          <c:layoutTarget val="inner"/>
          <c:xMode val="edge"/>
          <c:yMode val="edge"/>
          <c:x val="0.31868245865691769"/>
          <c:y val="0.125"/>
          <c:w val="0.27472625746286011"/>
          <c:h val="0.59375"/>
        </c:manualLayout>
      </c:layout>
      <c:pie3DChart>
        <c:varyColors val="1"/>
        <c:ser>
          <c:idx val="0"/>
          <c:order val="0"/>
          <c:spPr>
            <a:solidFill>
              <a:srgbClr val="4F81BD"/>
            </a:solidFill>
            <a:ln w="3175">
              <a:solidFill>
                <a:srgbClr val="333333"/>
              </a:solidFill>
              <a:prstDash val="solid"/>
            </a:ln>
          </c:spPr>
          <c:dPt>
            <c:idx val="0"/>
            <c:bubble3D val="0"/>
            <c:extLst>
              <c:ext xmlns:c16="http://schemas.microsoft.com/office/drawing/2014/chart" uri="{C3380CC4-5D6E-409C-BE32-E72D297353CC}">
                <c16:uniqueId val="{00000000-402C-4CF6-AF68-7582DA9D427C}"/>
              </c:ext>
            </c:extLst>
          </c:dPt>
          <c:dPt>
            <c:idx val="1"/>
            <c:bubble3D val="0"/>
            <c:spPr>
              <a:solidFill>
                <a:srgbClr val="C0504D"/>
              </a:solidFill>
              <a:ln w="3175">
                <a:solidFill>
                  <a:srgbClr val="333333"/>
                </a:solidFill>
                <a:prstDash val="solid"/>
              </a:ln>
            </c:spPr>
            <c:extLst>
              <c:ext xmlns:c16="http://schemas.microsoft.com/office/drawing/2014/chart" uri="{C3380CC4-5D6E-409C-BE32-E72D297353CC}">
                <c16:uniqueId val="{00000002-402C-4CF6-AF68-7582DA9D427C}"/>
              </c:ext>
            </c:extLst>
          </c:dPt>
          <c:dPt>
            <c:idx val="2"/>
            <c:bubble3D val="0"/>
            <c:spPr>
              <a:solidFill>
                <a:srgbClr val="9BBB59"/>
              </a:solidFill>
              <a:ln w="3175">
                <a:solidFill>
                  <a:srgbClr val="333333"/>
                </a:solidFill>
                <a:prstDash val="solid"/>
              </a:ln>
            </c:spPr>
            <c:extLst>
              <c:ext xmlns:c16="http://schemas.microsoft.com/office/drawing/2014/chart" uri="{C3380CC4-5D6E-409C-BE32-E72D297353CC}">
                <c16:uniqueId val="{00000004-402C-4CF6-AF68-7582DA9D427C}"/>
              </c:ext>
            </c:extLst>
          </c:dPt>
          <c:dPt>
            <c:idx val="3"/>
            <c:bubble3D val="0"/>
            <c:spPr>
              <a:solidFill>
                <a:srgbClr val="8064A2"/>
              </a:solidFill>
              <a:ln w="3175">
                <a:solidFill>
                  <a:srgbClr val="333333"/>
                </a:solidFill>
                <a:prstDash val="solid"/>
              </a:ln>
            </c:spPr>
            <c:extLst>
              <c:ext xmlns:c16="http://schemas.microsoft.com/office/drawing/2014/chart" uri="{C3380CC4-5D6E-409C-BE32-E72D297353CC}">
                <c16:uniqueId val="{00000006-402C-4CF6-AF68-7582DA9D427C}"/>
              </c:ext>
            </c:extLst>
          </c:dPt>
          <c:dPt>
            <c:idx val="4"/>
            <c:bubble3D val="0"/>
            <c:spPr>
              <a:solidFill>
                <a:srgbClr val="4BACC6"/>
              </a:solidFill>
              <a:ln w="3175">
                <a:solidFill>
                  <a:srgbClr val="333333"/>
                </a:solidFill>
                <a:prstDash val="solid"/>
              </a:ln>
            </c:spPr>
            <c:extLst>
              <c:ext xmlns:c16="http://schemas.microsoft.com/office/drawing/2014/chart" uri="{C3380CC4-5D6E-409C-BE32-E72D297353CC}">
                <c16:uniqueId val="{00000008-402C-4CF6-AF68-7582DA9D427C}"/>
              </c:ext>
            </c:extLst>
          </c:dPt>
          <c:dLbls>
            <c:dLbl>
              <c:idx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extLst>
                <c:ext xmlns:c16="http://schemas.microsoft.com/office/drawing/2014/chart" uri="{C3380CC4-5D6E-409C-BE32-E72D297353CC}">
                  <c16:uniqueId val="{00000000-402C-4CF6-AF68-7582DA9D427C}"/>
                </c:ext>
              </c:extLst>
            </c:dLbl>
            <c:dLbl>
              <c:idx val="1"/>
              <c:spPr>
                <a:noFill/>
                <a:ln w="25400">
                  <a:noFill/>
                </a:ln>
              </c:spPr>
              <c:txPr>
                <a:bodyPr/>
                <a:lstStyle/>
                <a:p>
                  <a:pPr>
                    <a:defRPr sz="10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extLst>
                <c:ext xmlns:c16="http://schemas.microsoft.com/office/drawing/2014/chart" uri="{C3380CC4-5D6E-409C-BE32-E72D297353CC}">
                  <c16:uniqueId val="{00000002-402C-4CF6-AF68-7582DA9D427C}"/>
                </c:ext>
              </c:extLst>
            </c:dLbl>
            <c:dLbl>
              <c:idx val="2"/>
              <c:spPr>
                <a:noFill/>
                <a:ln w="25400">
                  <a:noFill/>
                </a:ln>
              </c:spPr>
              <c:txPr>
                <a:bodyPr/>
                <a:lstStyle/>
                <a:p>
                  <a:pPr>
                    <a:defRPr sz="10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extLst>
                <c:ext xmlns:c16="http://schemas.microsoft.com/office/drawing/2014/chart" uri="{C3380CC4-5D6E-409C-BE32-E72D297353CC}">
                  <c16:uniqueId val="{00000004-402C-4CF6-AF68-7582DA9D427C}"/>
                </c:ext>
              </c:extLst>
            </c:dLbl>
            <c:dLbl>
              <c:idx val="3"/>
              <c:spPr>
                <a:noFill/>
                <a:ln w="25400">
                  <a:noFill/>
                </a:ln>
              </c:spPr>
              <c:txPr>
                <a:bodyPr/>
                <a:lstStyle/>
                <a:p>
                  <a:pPr>
                    <a:defRPr sz="10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extLst>
                <c:ext xmlns:c16="http://schemas.microsoft.com/office/drawing/2014/chart" uri="{C3380CC4-5D6E-409C-BE32-E72D297353CC}">
                  <c16:uniqueId val="{00000006-402C-4CF6-AF68-7582DA9D427C}"/>
                </c:ext>
              </c:extLst>
            </c:dLbl>
            <c:dLbl>
              <c:idx val="4"/>
              <c:spPr>
                <a:noFill/>
                <a:ln w="25400">
                  <a:noFill/>
                </a:ln>
              </c:spPr>
              <c:txPr>
                <a:bodyPr/>
                <a:lstStyle/>
                <a:p>
                  <a:pPr>
                    <a:defRPr sz="10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extLst>
                <c:ext xmlns:c16="http://schemas.microsoft.com/office/drawing/2014/chart" uri="{C3380CC4-5D6E-409C-BE32-E72D297353CC}">
                  <c16:uniqueId val="{00000008-402C-4CF6-AF68-7582DA9D427C}"/>
                </c:ext>
              </c:extLst>
            </c:dLbl>
            <c:spPr>
              <a:noFill/>
              <a:ln w="25400">
                <a:noFill/>
              </a:ln>
            </c:spPr>
            <c:txPr>
              <a:bodyPr wrap="square" lIns="38100" tIns="19050" rIns="38100" bIns="19050" anchor="ctr">
                <a:spAutoFit/>
              </a:bodyPr>
              <a:lstStyle/>
              <a:p>
                <a:pPr>
                  <a:defRPr sz="1000" b="0" i="0" u="none" strike="noStrike" baseline="0">
                    <a:solidFill>
                      <a:srgbClr val="33333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('Sumário 1'!$B$10,'Sumário 1'!$B$17,'Sumário 1'!$B$24,'Sumário 1'!$B$31,'Sumário 1'!$B$38)</c:f>
              <c:strCache>
                <c:ptCount val="5"/>
                <c:pt idx="0">
                  <c:v>EE</c:v>
                </c:pt>
                <c:pt idx="1">
                  <c:v>SE</c:v>
                </c:pt>
                <c:pt idx="2">
                  <c:v>CE</c:v>
                </c:pt>
                <c:pt idx="3">
                  <c:v>ALI</c:v>
                </c:pt>
                <c:pt idx="4">
                  <c:v>AIE</c:v>
                </c:pt>
              </c:strCache>
            </c:strRef>
          </c:cat>
          <c:val>
            <c:numRef>
              <c:f>('Sumário 1'!$H$14,'Sumário 1'!$H$21,'Sumário 1'!$H$28,'Sumário 1'!$H$35,'Sumário 1'!$H$42)</c:f>
              <c:numCache>
                <c:formatCode>0.0%</c:formatCode>
                <c:ptCount val="5"/>
                <c:pt idx="0">
                  <c:v>0.3712574850299401</c:v>
                </c:pt>
                <c:pt idx="1">
                  <c:v>6.2874251497005984E-2</c:v>
                </c:pt>
                <c:pt idx="2">
                  <c:v>0.37425149700598803</c:v>
                </c:pt>
                <c:pt idx="3">
                  <c:v>0.17664670658682635</c:v>
                </c:pt>
                <c:pt idx="4">
                  <c:v>1.4970059880239521E-2</c:v>
                </c:pt>
              </c:numCache>
            </c:numRef>
          </c:val>
          <c:extLst>
            <c:ext xmlns:c16="http://schemas.microsoft.com/office/drawing/2014/chart" uri="{C3380CC4-5D6E-409C-BE32-E72D297353CC}">
              <c16:uniqueId val="{00000009-402C-4CF6-AF68-7582DA9D427C}"/>
            </c:ext>
          </c:extLst>
        </c:ser>
        <c:dLbls>
          <c:showLegendKey val="0"/>
          <c:showVal val="0"/>
          <c:showCatName val="0"/>
          <c:showSerName val="0"/>
          <c:showPercent val="0"/>
          <c:showBubbleSize val="0"/>
          <c:showLeaderLines val="0"/>
        </c:dLbls>
      </c:pie3DChart>
      <c:spPr>
        <a:noFill/>
        <a:ln w="25400">
          <a:noFill/>
        </a:ln>
      </c:spPr>
    </c:plotArea>
    <c:legend>
      <c:legendPos val="r"/>
      <c:layout>
        <c:manualLayout>
          <c:xMode val="edge"/>
          <c:yMode val="edge"/>
          <c:x val="0.67399498139655623"/>
          <c:y val="6.25E-2"/>
          <c:w val="0.14652053108746022"/>
          <c:h val="0.9140625"/>
        </c:manualLayout>
      </c:layout>
      <c:overlay val="0"/>
      <c:spPr>
        <a:solidFill>
          <a:srgbClr val="FFFFFF"/>
        </a:solidFill>
        <a:ln w="3175">
          <a:solidFill>
            <a:srgbClr val="333333"/>
          </a:solidFill>
          <a:prstDash val="solid"/>
        </a:ln>
      </c:spPr>
      <c:txPr>
        <a:bodyPr/>
        <a:lstStyle/>
        <a:p>
          <a:pPr>
            <a:defRPr sz="84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0.984251969" l="0.78740157499999996" r="0.78740157499999996" t="0.984251969" header="0.51180555555555551" footer="0.51180555555555551"/>
    <c:pageSetup firstPageNumber="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0</xdr:col>
      <xdr:colOff>26670</xdr:colOff>
      <xdr:row>0</xdr:row>
      <xdr:rowOff>130125</xdr:rowOff>
    </xdr:from>
    <xdr:to>
      <xdr:col>2</xdr:col>
      <xdr:colOff>320953</xdr:colOff>
      <xdr:row>2</xdr:row>
      <xdr:rowOff>102869</xdr:rowOff>
    </xdr:to>
    <xdr:pic>
      <xdr:nvPicPr>
        <xdr:cNvPr id="1296" name="Figura 1">
          <a:extLst>
            <a:ext uri="{FF2B5EF4-FFF2-40B4-BE49-F238E27FC236}">
              <a16:creationId xmlns:a16="http://schemas.microsoft.com/office/drawing/2014/main" id="{00000000-0008-0000-0000-00001005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8575" y="13393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0</xdr:row>
      <xdr:rowOff>0</xdr:rowOff>
    </xdr:from>
    <xdr:to>
      <xdr:col>22</xdr:col>
      <xdr:colOff>0</xdr:colOff>
      <xdr:row>44</xdr:row>
      <xdr:rowOff>161925</xdr:rowOff>
    </xdr:to>
    <xdr:sp macro="" textlink="">
      <xdr:nvSpPr>
        <xdr:cNvPr id="1297" name="shapetype_202" hidden="1">
          <a:extLst>
            <a:ext uri="{FF2B5EF4-FFF2-40B4-BE49-F238E27FC236}">
              <a16:creationId xmlns:a16="http://schemas.microsoft.com/office/drawing/2014/main" id="{00000000-0008-0000-0000-000011050000}"/>
            </a:ext>
          </a:extLst>
        </xdr:cNvPr>
        <xdr:cNvSpPr txBox="1">
          <a:spLocks noChangeArrowheads="1"/>
        </xdr:cNvSpPr>
      </xdr:nvSpPr>
      <xdr:spPr bwMode="auto">
        <a:xfrm>
          <a:off x="0" y="0"/>
          <a:ext cx="9105900" cy="7362825"/>
        </a:xfrm>
        <a:prstGeom prst="rect">
          <a:avLst/>
        </a:prstGeom>
        <a:solidFill>
          <a:srgbClr val="FFFFFF"/>
        </a:solidFill>
        <a:ln w="936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0</xdr:row>
      <xdr:rowOff>0</xdr:rowOff>
    </xdr:from>
    <xdr:to>
      <xdr:col>22</xdr:col>
      <xdr:colOff>0</xdr:colOff>
      <xdr:row>44</xdr:row>
      <xdr:rowOff>161925</xdr:rowOff>
    </xdr:to>
    <xdr:sp macro="" textlink="">
      <xdr:nvSpPr>
        <xdr:cNvPr id="1298" name="shapetype_202" hidden="1">
          <a:extLst>
            <a:ext uri="{FF2B5EF4-FFF2-40B4-BE49-F238E27FC236}">
              <a16:creationId xmlns:a16="http://schemas.microsoft.com/office/drawing/2014/main" id="{00000000-0008-0000-0000-000012050000}"/>
            </a:ext>
          </a:extLst>
        </xdr:cNvPr>
        <xdr:cNvSpPr txBox="1">
          <a:spLocks noChangeArrowheads="1"/>
        </xdr:cNvSpPr>
      </xdr:nvSpPr>
      <xdr:spPr bwMode="auto">
        <a:xfrm>
          <a:off x="0" y="0"/>
          <a:ext cx="9105900" cy="7362825"/>
        </a:xfrm>
        <a:prstGeom prst="rect">
          <a:avLst/>
        </a:prstGeom>
        <a:solidFill>
          <a:srgbClr val="FFFFFF"/>
        </a:solidFill>
        <a:ln w="936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0</xdr:row>
      <xdr:rowOff>0</xdr:rowOff>
    </xdr:from>
    <xdr:to>
      <xdr:col>22</xdr:col>
      <xdr:colOff>0</xdr:colOff>
      <xdr:row>44</xdr:row>
      <xdr:rowOff>161925</xdr:rowOff>
    </xdr:to>
    <xdr:sp macro="" textlink="">
      <xdr:nvSpPr>
        <xdr:cNvPr id="1299" name="shapetype_202" hidden="1">
          <a:extLst>
            <a:ext uri="{FF2B5EF4-FFF2-40B4-BE49-F238E27FC236}">
              <a16:creationId xmlns:a16="http://schemas.microsoft.com/office/drawing/2014/main" id="{00000000-0008-0000-0000-000013050000}"/>
            </a:ext>
          </a:extLst>
        </xdr:cNvPr>
        <xdr:cNvSpPr txBox="1">
          <a:spLocks noChangeArrowheads="1"/>
        </xdr:cNvSpPr>
      </xdr:nvSpPr>
      <xdr:spPr bwMode="auto">
        <a:xfrm>
          <a:off x="0" y="0"/>
          <a:ext cx="9105900" cy="7362825"/>
        </a:xfrm>
        <a:prstGeom prst="rect">
          <a:avLst/>
        </a:prstGeom>
        <a:solidFill>
          <a:srgbClr val="FFFFFF"/>
        </a:solidFill>
        <a:ln w="936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34925</xdr:colOff>
      <xdr:row>0</xdr:row>
      <xdr:rowOff>144095</xdr:rowOff>
    </xdr:from>
    <xdr:to>
      <xdr:col>0</xdr:col>
      <xdr:colOff>1216303</xdr:colOff>
      <xdr:row>2</xdr:row>
      <xdr:rowOff>106679</xdr:rowOff>
    </xdr:to>
    <xdr:pic>
      <xdr:nvPicPr>
        <xdr:cNvPr id="66585" name="Figura 1">
          <a:extLst>
            <a:ext uri="{FF2B5EF4-FFF2-40B4-BE49-F238E27FC236}">
              <a16:creationId xmlns:a16="http://schemas.microsoft.com/office/drawing/2014/main" id="{00000000-0008-0000-0100-00001904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8575" y="13393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0</xdr:col>
      <xdr:colOff>0</xdr:colOff>
      <xdr:row>869</xdr:row>
      <xdr:rowOff>0</xdr:rowOff>
    </xdr:from>
    <xdr:to>
      <xdr:col>0</xdr:col>
      <xdr:colOff>304800</xdr:colOff>
      <xdr:row>870</xdr:row>
      <xdr:rowOff>143509</xdr:rowOff>
    </xdr:to>
    <xdr:sp macro="" textlink="">
      <xdr:nvSpPr>
        <xdr:cNvPr id="3" name="avatar">
          <a:extLst>
            <a:ext uri="{FF2B5EF4-FFF2-40B4-BE49-F238E27FC236}">
              <a16:creationId xmlns:a16="http://schemas.microsoft.com/office/drawing/2014/main" id="{3FF70CDE-3D15-4A76-B73D-98F8CF5CFC8A}"/>
            </a:ext>
          </a:extLst>
        </xdr:cNvPr>
        <xdr:cNvSpPr>
          <a:spLocks noChangeAspect="1" noChangeArrowheads="1"/>
        </xdr:cNvSpPr>
      </xdr:nvSpPr>
      <xdr:spPr bwMode="auto">
        <a:xfrm>
          <a:off x="0" y="1136650"/>
          <a:ext cx="304800" cy="302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869</xdr:row>
      <xdr:rowOff>0</xdr:rowOff>
    </xdr:from>
    <xdr:ext cx="304800" cy="304701"/>
    <xdr:sp macro="" textlink="">
      <xdr:nvSpPr>
        <xdr:cNvPr id="4" name="avatar">
          <a:extLst>
            <a:ext uri="{FF2B5EF4-FFF2-40B4-BE49-F238E27FC236}">
              <a16:creationId xmlns:a16="http://schemas.microsoft.com/office/drawing/2014/main" id="{5DE470AB-1FE8-44AF-8910-29CC87DE60DF}"/>
            </a:ext>
          </a:extLst>
        </xdr:cNvPr>
        <xdr:cNvSpPr>
          <a:spLocks noChangeAspect="1" noChangeArrowheads="1"/>
        </xdr:cNvSpPr>
      </xdr:nvSpPr>
      <xdr:spPr bwMode="auto">
        <a:xfrm>
          <a:off x="0" y="1136650"/>
          <a:ext cx="304800" cy="3047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absolute">
    <xdr:from>
      <xdr:col>0</xdr:col>
      <xdr:colOff>28575</xdr:colOff>
      <xdr:row>0</xdr:row>
      <xdr:rowOff>85725</xdr:rowOff>
    </xdr:from>
    <xdr:to>
      <xdr:col>1</xdr:col>
      <xdr:colOff>429538</xdr:colOff>
      <xdr:row>0</xdr:row>
      <xdr:rowOff>380414</xdr:rowOff>
    </xdr:to>
    <xdr:pic>
      <xdr:nvPicPr>
        <xdr:cNvPr id="3" name="Figura 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8575" y="8572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28575</xdr:colOff>
      <xdr:row>43</xdr:row>
      <xdr:rowOff>28575</xdr:rowOff>
    </xdr:from>
    <xdr:to>
      <xdr:col>11</xdr:col>
      <xdr:colOff>342900</xdr:colOff>
      <xdr:row>50</xdr:row>
      <xdr:rowOff>142875</xdr:rowOff>
    </xdr:to>
    <xdr:graphicFrame macro="">
      <xdr:nvGraphicFramePr>
        <xdr:cNvPr id="4233" name="Gráfico 3">
          <a:extLst>
            <a:ext uri="{FF2B5EF4-FFF2-40B4-BE49-F238E27FC236}">
              <a16:creationId xmlns:a16="http://schemas.microsoft.com/office/drawing/2014/main" id="{00000000-0008-0000-0300-000089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76200</xdr:colOff>
      <xdr:row>0</xdr:row>
      <xdr:rowOff>123825</xdr:rowOff>
    </xdr:from>
    <xdr:to>
      <xdr:col>2</xdr:col>
      <xdr:colOff>505738</xdr:colOff>
      <xdr:row>2</xdr:row>
      <xdr:rowOff>94664</xdr:rowOff>
    </xdr:to>
    <xdr:pic>
      <xdr:nvPicPr>
        <xdr:cNvPr id="4" name="Figura 1">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76200" y="12382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152400</xdr:colOff>
      <xdr:row>0</xdr:row>
      <xdr:rowOff>114300</xdr:rowOff>
    </xdr:from>
    <xdr:to>
      <xdr:col>1</xdr:col>
      <xdr:colOff>1115338</xdr:colOff>
      <xdr:row>2</xdr:row>
      <xdr:rowOff>85139</xdr:rowOff>
    </xdr:to>
    <xdr:pic>
      <xdr:nvPicPr>
        <xdr:cNvPr id="3" name="Figura 1">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52400" y="114300"/>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a.karyna\Downloads\APF-%20SIABI%20-%20CELAD,%20SISPAT%20e%20Inventario%20de%20Bens%20-%20v0.40%20-%20Contagem.xlsx" TargetMode="External"/><Relationship Id="rId1" Type="http://schemas.openxmlformats.org/officeDocument/2006/relationships/externalLinkPath" Target="APF-%20SIABI%20-%20CELAD,%20SISPAT%20e%20Inventario%20de%20Bens%20-%20v0.40%20-%20Contage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agem"/>
      <sheetName val="Funções"/>
      <sheetName val="Deflatores"/>
      <sheetName val="Sumário 1"/>
      <sheetName val="Sumário 2"/>
    </sheetNames>
    <sheetDataSet>
      <sheetData sheetId="0" refreshError="1"/>
      <sheetData sheetId="1" refreshError="1"/>
      <sheetData sheetId="2">
        <row r="4">
          <cell r="G4" t="str">
            <v>I</v>
          </cell>
          <cell r="H4">
            <v>1</v>
          </cell>
        </row>
        <row r="5">
          <cell r="G5" t="str">
            <v>A</v>
          </cell>
          <cell r="H5">
            <v>0.5</v>
          </cell>
        </row>
        <row r="6">
          <cell r="G6" t="str">
            <v>E</v>
          </cell>
          <cell r="H6">
            <v>0.4</v>
          </cell>
        </row>
        <row r="7">
          <cell r="G7" t="str">
            <v>A50</v>
          </cell>
          <cell r="H7">
            <v>0.5</v>
          </cell>
        </row>
        <row r="8">
          <cell r="G8" t="str">
            <v>A75</v>
          </cell>
          <cell r="H8">
            <v>0.75</v>
          </cell>
        </row>
        <row r="9">
          <cell r="G9" t="str">
            <v>A90</v>
          </cell>
          <cell r="H9">
            <v>0.9</v>
          </cell>
        </row>
        <row r="10">
          <cell r="G10" t="str">
            <v>PMD</v>
          </cell>
          <cell r="H10">
            <v>1</v>
          </cell>
        </row>
        <row r="11">
          <cell r="G11" t="str">
            <v>COR</v>
          </cell>
          <cell r="H11">
            <v>0.5</v>
          </cell>
        </row>
        <row r="12">
          <cell r="G12" t="str">
            <v>COR50</v>
          </cell>
          <cell r="H12">
            <v>0.5</v>
          </cell>
        </row>
        <row r="13">
          <cell r="G13" t="str">
            <v>COR75</v>
          </cell>
          <cell r="H13">
            <v>0.75</v>
          </cell>
        </row>
        <row r="14">
          <cell r="G14" t="str">
            <v>COR90</v>
          </cell>
          <cell r="H14">
            <v>0.9</v>
          </cell>
        </row>
        <row r="15">
          <cell r="G15" t="str">
            <v>GAR</v>
          </cell>
          <cell r="H15">
            <v>0</v>
          </cell>
        </row>
        <row r="16">
          <cell r="G16" t="str">
            <v>MLP</v>
          </cell>
          <cell r="H16">
            <v>1</v>
          </cell>
        </row>
        <row r="17">
          <cell r="G17" t="str">
            <v>MBO</v>
          </cell>
          <cell r="H17">
            <v>1</v>
          </cell>
        </row>
        <row r="18">
          <cell r="G18" t="str">
            <v>MBM</v>
          </cell>
          <cell r="H18">
            <v>0.3</v>
          </cell>
        </row>
        <row r="19">
          <cell r="G19" t="str">
            <v>ALP</v>
          </cell>
          <cell r="H19">
            <v>0.3</v>
          </cell>
        </row>
        <row r="20">
          <cell r="G20" t="str">
            <v>AVB</v>
          </cell>
          <cell r="H20">
            <v>0.3</v>
          </cell>
        </row>
        <row r="21">
          <cell r="G21" t="str">
            <v>ABD</v>
          </cell>
          <cell r="H21">
            <v>0.3</v>
          </cell>
        </row>
        <row r="22">
          <cell r="G22" t="str">
            <v>COS</v>
          </cell>
          <cell r="I22">
            <v>0.6</v>
          </cell>
        </row>
        <row r="23">
          <cell r="G23" t="str">
            <v>ARN</v>
          </cell>
          <cell r="H23">
            <v>0.5</v>
          </cell>
        </row>
        <row r="24">
          <cell r="G24" t="str">
            <v>ARN50</v>
          </cell>
          <cell r="H24">
            <v>0.5</v>
          </cell>
        </row>
        <row r="25">
          <cell r="G25" t="str">
            <v>ARN75</v>
          </cell>
          <cell r="H25">
            <v>0.75</v>
          </cell>
        </row>
        <row r="26">
          <cell r="G26" t="str">
            <v>ADS</v>
          </cell>
          <cell r="H26">
            <v>1</v>
          </cell>
        </row>
        <row r="27">
          <cell r="G27" t="str">
            <v>CPA</v>
          </cell>
          <cell r="H27">
            <v>1</v>
          </cell>
        </row>
        <row r="28">
          <cell r="G28" t="str">
            <v>ADC</v>
          </cell>
          <cell r="H28">
            <v>0.6</v>
          </cell>
        </row>
        <row r="29">
          <cell r="G29" t="str">
            <v>AGR</v>
          </cell>
          <cell r="H29">
            <v>1</v>
          </cell>
        </row>
        <row r="30">
          <cell r="G30" t="str">
            <v>AER</v>
          </cell>
          <cell r="H30">
            <v>0.1</v>
          </cell>
        </row>
        <row r="31">
          <cell r="G31" t="str">
            <v>ATD</v>
          </cell>
          <cell r="H31">
            <v>0.1</v>
          </cell>
        </row>
        <row r="32">
          <cell r="G32" t="str">
            <v>MSL</v>
          </cell>
          <cell r="H32">
            <v>0.25</v>
          </cell>
        </row>
        <row r="33">
          <cell r="G33" t="str">
            <v>VES</v>
          </cell>
          <cell r="H33">
            <v>0.2</v>
          </cell>
        </row>
        <row r="34">
          <cell r="G34" t="str">
            <v>VEC</v>
          </cell>
          <cell r="H34">
            <v>0.15</v>
          </cell>
        </row>
        <row r="35">
          <cell r="G35" t="str">
            <v>PFT</v>
          </cell>
          <cell r="H35">
            <v>0.15</v>
          </cell>
        </row>
        <row r="36">
          <cell r="G36" t="str">
            <v>CIR</v>
          </cell>
          <cell r="H36">
            <v>1</v>
          </cell>
        </row>
        <row r="37">
          <cell r="G37" t="str">
            <v xml:space="preserve">           .</v>
          </cell>
        </row>
        <row r="38">
          <cell r="G38" t="str">
            <v xml:space="preserve">           .</v>
          </cell>
        </row>
        <row r="42">
          <cell r="G42" t="str">
            <v>PAG</v>
          </cell>
          <cell r="H42">
            <v>0.6</v>
          </cell>
        </row>
        <row r="43">
          <cell r="G43" t="str">
            <v>COSNF</v>
          </cell>
          <cell r="H43">
            <v>0.6</v>
          </cell>
        </row>
        <row r="44">
          <cell r="G44" t="str">
            <v>DC</v>
          </cell>
          <cell r="H44">
            <v>0</v>
          </cell>
        </row>
        <row r="45">
          <cell r="G45" t="str">
            <v xml:space="preserve">           .</v>
          </cell>
        </row>
        <row r="46">
          <cell r="G46" t="str">
            <v xml:space="preserve">           .</v>
          </cell>
        </row>
        <row r="47">
          <cell r="G47" t="str">
            <v xml:space="preserve">           .</v>
          </cell>
        </row>
        <row r="48">
          <cell r="G48" t="str">
            <v xml:space="preserve">           .</v>
          </cell>
        </row>
        <row r="49">
          <cell r="G49" t="str">
            <v xml:space="preserve">           .</v>
          </cell>
        </row>
        <row r="50">
          <cell r="G50" t="str">
            <v xml:space="preserve">           .</v>
          </cell>
        </row>
        <row r="51">
          <cell r="G51" t="str">
            <v xml:space="preserve">           .</v>
          </cell>
        </row>
        <row r="52">
          <cell r="G52" t="str">
            <v xml:space="preserve">           .</v>
          </cell>
        </row>
        <row r="53">
          <cell r="G53" t="str">
            <v xml:space="preserve">           .</v>
          </cell>
        </row>
        <row r="54">
          <cell r="G54" t="str">
            <v xml:space="preserve">           .</v>
          </cell>
        </row>
        <row r="55">
          <cell r="G55" t="str">
            <v xml:space="preserve">           .</v>
          </cell>
        </row>
        <row r="56">
          <cell r="G56" t="str">
            <v xml:space="preserve">           .</v>
          </cell>
        </row>
        <row r="57">
          <cell r="G57" t="str">
            <v xml:space="preserve">           .</v>
          </cell>
        </row>
        <row r="58">
          <cell r="G58" t="str">
            <v xml:space="preserve">           .</v>
          </cell>
        </row>
        <row r="59">
          <cell r="G59" t="str">
            <v xml:space="preserve">           .</v>
          </cell>
        </row>
        <row r="60">
          <cell r="G60" t="str">
            <v xml:space="preserve">           .</v>
          </cell>
        </row>
        <row r="61">
          <cell r="G61" t="str">
            <v xml:space="preserve">           .</v>
          </cell>
        </row>
        <row r="62">
          <cell r="G62" t="str">
            <v xml:space="preserve">           .</v>
          </cell>
        </row>
        <row r="63">
          <cell r="G63" t="str">
            <v xml:space="preserve">           .</v>
          </cell>
        </row>
        <row r="64">
          <cell r="G64" t="str">
            <v xml:space="preserve">           .</v>
          </cell>
        </row>
      </sheetData>
      <sheetData sheetId="3" refreshError="1"/>
      <sheetData sheetId="4" refreshError="1"/>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V45"/>
  <sheetViews>
    <sheetView showGridLines="0" zoomScaleNormal="100" zoomScaleSheetLayoutView="100" workbookViewId="0">
      <pane ySplit="3" topLeftCell="A4" activePane="bottomLeft" state="frozen"/>
      <selection activeCell="B11" sqref="B11"/>
      <selection pane="bottomLeft" activeCell="A21" sqref="A21:V21"/>
    </sheetView>
  </sheetViews>
  <sheetFormatPr defaultRowHeight="13.5" x14ac:dyDescent="0.35"/>
  <cols>
    <col min="1" max="1" width="10.453125" style="1" customWidth="1"/>
    <col min="2" max="2" width="2.54296875" style="1" customWidth="1"/>
    <col min="3" max="3" width="8.54296875" style="1" customWidth="1"/>
    <col min="4" max="4" width="4.54296875" style="1" customWidth="1"/>
    <col min="5" max="5" width="4" style="1" customWidth="1"/>
    <col min="6" max="6" width="4.54296875" style="1" customWidth="1"/>
    <col min="7" max="12" width="6" style="1" customWidth="1"/>
    <col min="13" max="13" width="18.453125" style="1" customWidth="1"/>
    <col min="14" max="14" width="8.453125" style="1" customWidth="1"/>
    <col min="15" max="15" width="11.54296875" style="1" customWidth="1"/>
    <col min="16" max="16" width="5.81640625" style="1" customWidth="1"/>
    <col min="17" max="18" width="2.54296875" style="1" customWidth="1"/>
    <col min="19" max="19" width="8" style="1" customWidth="1"/>
    <col min="20" max="22" width="2.54296875" style="1" customWidth="1"/>
  </cols>
  <sheetData>
    <row r="1" spans="1:22" ht="12.5" x14ac:dyDescent="0.25">
      <c r="A1" s="170" t="s">
        <v>0</v>
      </c>
      <c r="B1" s="170"/>
      <c r="C1" s="170"/>
      <c r="D1" s="170"/>
      <c r="E1" s="170"/>
      <c r="F1" s="170"/>
      <c r="G1" s="170"/>
      <c r="H1" s="170"/>
      <c r="I1" s="170"/>
      <c r="J1" s="170"/>
      <c r="K1" s="170"/>
      <c r="L1" s="170"/>
      <c r="M1" s="170"/>
      <c r="N1" s="170"/>
      <c r="O1" s="170"/>
      <c r="P1" s="170"/>
      <c r="Q1" s="170"/>
      <c r="R1" s="170"/>
      <c r="S1" s="170"/>
      <c r="T1" s="170"/>
      <c r="U1" s="170"/>
      <c r="V1" s="170"/>
    </row>
    <row r="2" spans="1:22" ht="12.5" x14ac:dyDescent="0.25">
      <c r="A2" s="170"/>
      <c r="B2" s="170"/>
      <c r="C2" s="170"/>
      <c r="D2" s="170"/>
      <c r="E2" s="170"/>
      <c r="F2" s="170"/>
      <c r="G2" s="170"/>
      <c r="H2" s="170"/>
      <c r="I2" s="170"/>
      <c r="J2" s="170"/>
      <c r="K2" s="170"/>
      <c r="L2" s="170"/>
      <c r="M2" s="170"/>
      <c r="N2" s="170"/>
      <c r="O2" s="170"/>
      <c r="P2" s="170"/>
      <c r="Q2" s="170"/>
      <c r="R2" s="170"/>
      <c r="S2" s="170"/>
      <c r="T2" s="170"/>
      <c r="U2" s="170"/>
      <c r="V2" s="170"/>
    </row>
    <row r="3" spans="1:22" ht="12.5" x14ac:dyDescent="0.25">
      <c r="A3" s="170"/>
      <c r="B3" s="170"/>
      <c r="C3" s="170"/>
      <c r="D3" s="170"/>
      <c r="E3" s="170"/>
      <c r="F3" s="170"/>
      <c r="G3" s="170"/>
      <c r="H3" s="170"/>
      <c r="I3" s="170"/>
      <c r="J3" s="170"/>
      <c r="K3" s="170"/>
      <c r="L3" s="170"/>
      <c r="M3" s="170"/>
      <c r="N3" s="170"/>
      <c r="O3" s="170"/>
      <c r="P3" s="170"/>
      <c r="Q3" s="170"/>
      <c r="R3" s="170"/>
      <c r="S3" s="170"/>
      <c r="T3" s="170"/>
      <c r="U3" s="170"/>
      <c r="V3" s="170"/>
    </row>
    <row r="4" spans="1:22" x14ac:dyDescent="0.35">
      <c r="A4" s="166" t="s">
        <v>1</v>
      </c>
      <c r="B4" s="166"/>
      <c r="C4" s="166"/>
      <c r="D4" s="166"/>
      <c r="E4" s="166"/>
      <c r="F4" s="167" t="s">
        <v>2</v>
      </c>
      <c r="G4" s="167"/>
      <c r="H4" s="167"/>
      <c r="I4" s="167"/>
      <c r="J4" s="167"/>
      <c r="K4" s="167"/>
      <c r="L4" s="167"/>
      <c r="M4" s="167"/>
      <c r="N4" s="167"/>
      <c r="O4" s="171" t="s">
        <v>3</v>
      </c>
      <c r="P4" s="171"/>
      <c r="Q4" s="169">
        <f>Funções!L4</f>
        <v>5222</v>
      </c>
      <c r="R4" s="169"/>
      <c r="S4" s="169"/>
      <c r="T4" s="169"/>
      <c r="U4" s="169"/>
      <c r="V4" s="169"/>
    </row>
    <row r="5" spans="1:22" x14ac:dyDescent="0.35">
      <c r="A5" s="166" t="s">
        <v>4</v>
      </c>
      <c r="B5" s="166"/>
      <c r="C5" s="166"/>
      <c r="D5" s="166"/>
      <c r="E5" s="166"/>
      <c r="F5" s="167"/>
      <c r="G5" s="167"/>
      <c r="H5" s="167"/>
      <c r="I5" s="167"/>
      <c r="J5" s="167"/>
      <c r="K5" s="167"/>
      <c r="L5" s="167"/>
      <c r="M5" s="167"/>
      <c r="N5" s="167"/>
      <c r="O5" s="168" t="s">
        <v>5</v>
      </c>
      <c r="P5" s="168"/>
      <c r="Q5" s="169">
        <f>Funções!L5</f>
        <v>5198</v>
      </c>
      <c r="R5" s="169"/>
      <c r="S5" s="169"/>
      <c r="T5" s="169"/>
      <c r="U5" s="169"/>
      <c r="V5" s="169"/>
    </row>
    <row r="6" spans="1:22" x14ac:dyDescent="0.35">
      <c r="A6" s="166" t="s">
        <v>6</v>
      </c>
      <c r="B6" s="166"/>
      <c r="C6" s="166"/>
      <c r="D6" s="166"/>
      <c r="E6" s="166"/>
      <c r="F6" s="172" t="s">
        <v>7</v>
      </c>
      <c r="G6" s="172"/>
      <c r="H6" s="172"/>
      <c r="I6" s="172"/>
      <c r="J6" s="172"/>
      <c r="K6" s="172"/>
      <c r="L6" s="172"/>
      <c r="M6" s="172"/>
      <c r="N6" s="172"/>
      <c r="O6" s="168" t="s">
        <v>8</v>
      </c>
      <c r="P6" s="168"/>
      <c r="Q6" s="169">
        <f>Funções!L6</f>
        <v>5088.7999999999984</v>
      </c>
      <c r="R6" s="169"/>
      <c r="S6" s="169"/>
      <c r="T6" s="169"/>
      <c r="U6" s="169"/>
      <c r="V6" s="169"/>
    </row>
    <row r="7" spans="1:22" ht="12.5" x14ac:dyDescent="0.25">
      <c r="A7" s="166" t="s">
        <v>9</v>
      </c>
      <c r="B7" s="166"/>
      <c r="C7" s="166"/>
      <c r="D7" s="166"/>
      <c r="E7" s="166"/>
      <c r="F7" s="167" t="s">
        <v>10</v>
      </c>
      <c r="G7" s="167"/>
      <c r="H7" s="167"/>
      <c r="I7" s="167"/>
      <c r="J7" s="167"/>
      <c r="K7" s="167"/>
      <c r="L7" s="167"/>
      <c r="M7" s="167"/>
      <c r="N7" s="167"/>
      <c r="O7" s="168" t="s">
        <v>11</v>
      </c>
      <c r="P7" s="168"/>
      <c r="Q7" s="168"/>
      <c r="R7" s="173" t="s">
        <v>12</v>
      </c>
      <c r="S7" s="173"/>
      <c r="T7" s="173"/>
      <c r="U7" s="173"/>
      <c r="V7" s="173"/>
    </row>
    <row r="8" spans="1:22" ht="12.5" x14ac:dyDescent="0.25">
      <c r="A8" s="166" t="s">
        <v>13</v>
      </c>
      <c r="B8" s="166"/>
      <c r="C8" s="166"/>
      <c r="D8" s="166"/>
      <c r="E8" s="166"/>
      <c r="F8" s="167" t="s">
        <v>14</v>
      </c>
      <c r="G8" s="167"/>
      <c r="H8" s="167"/>
      <c r="I8" s="167"/>
      <c r="J8" s="167"/>
      <c r="K8" s="167"/>
      <c r="L8" s="167"/>
      <c r="M8" s="167"/>
      <c r="N8" s="167"/>
      <c r="O8" s="168" t="s">
        <v>15</v>
      </c>
      <c r="P8" s="168"/>
      <c r="Q8" s="168"/>
      <c r="R8" s="173" t="s">
        <v>16</v>
      </c>
      <c r="S8" s="173"/>
      <c r="T8" s="173"/>
      <c r="U8" s="173"/>
      <c r="V8" s="173"/>
    </row>
    <row r="9" spans="1:22" x14ac:dyDescent="0.35">
      <c r="A9" s="166" t="s">
        <v>17</v>
      </c>
      <c r="B9" s="166"/>
      <c r="C9" s="166"/>
      <c r="D9" s="166"/>
      <c r="E9" s="166"/>
      <c r="F9" s="172" t="s">
        <v>18</v>
      </c>
      <c r="G9" s="172"/>
      <c r="H9" s="172"/>
      <c r="I9" s="172"/>
      <c r="J9" s="172"/>
      <c r="K9" s="172"/>
      <c r="L9" s="172"/>
      <c r="M9" s="172"/>
      <c r="N9" s="172"/>
      <c r="O9" s="174" t="s">
        <v>19</v>
      </c>
      <c r="P9" s="174"/>
      <c r="Q9" s="174"/>
      <c r="R9" s="175">
        <v>44844</v>
      </c>
      <c r="S9" s="175"/>
      <c r="T9" s="175"/>
      <c r="U9" s="175"/>
      <c r="V9" s="175"/>
    </row>
    <row r="10" spans="1:22" x14ac:dyDescent="0.35">
      <c r="A10" s="166" t="s">
        <v>20</v>
      </c>
      <c r="B10" s="166"/>
      <c r="C10" s="166"/>
      <c r="D10" s="166"/>
      <c r="E10" s="166"/>
      <c r="F10" s="172"/>
      <c r="G10" s="172"/>
      <c r="H10" s="172"/>
      <c r="I10" s="172"/>
      <c r="J10" s="172"/>
      <c r="K10" s="172"/>
      <c r="L10" s="172"/>
      <c r="M10" s="172"/>
      <c r="N10" s="172"/>
      <c r="O10" s="174" t="s">
        <v>21</v>
      </c>
      <c r="P10" s="174"/>
      <c r="Q10" s="174"/>
      <c r="R10" s="175"/>
      <c r="S10" s="175"/>
      <c r="T10" s="175"/>
      <c r="U10" s="175"/>
      <c r="V10" s="175"/>
    </row>
    <row r="11" spans="1:22" x14ac:dyDescent="0.25">
      <c r="A11" s="176" t="s">
        <v>22</v>
      </c>
      <c r="B11" s="176"/>
      <c r="C11" s="176"/>
      <c r="D11" s="176"/>
      <c r="E11" s="176"/>
      <c r="F11" s="176"/>
      <c r="G11" s="176"/>
      <c r="H11" s="176"/>
      <c r="I11" s="176"/>
      <c r="J11" s="176"/>
      <c r="K11" s="176"/>
      <c r="L11" s="176"/>
      <c r="M11" s="176"/>
      <c r="N11" s="176"/>
      <c r="O11" s="176"/>
      <c r="P11" s="176"/>
      <c r="Q11" s="176"/>
      <c r="R11" s="176"/>
      <c r="S11" s="176"/>
      <c r="T11" s="176"/>
      <c r="U11" s="176"/>
      <c r="V11" s="176"/>
    </row>
    <row r="12" spans="1:22" ht="12.5" x14ac:dyDescent="0.25">
      <c r="A12" s="178" t="s">
        <v>23</v>
      </c>
      <c r="B12" s="178"/>
      <c r="C12" s="178"/>
      <c r="D12" s="178"/>
      <c r="E12" s="178"/>
      <c r="F12" s="178"/>
      <c r="G12" s="178"/>
      <c r="H12" s="178"/>
      <c r="I12" s="178"/>
      <c r="J12" s="178"/>
      <c r="K12" s="178"/>
      <c r="L12" s="178"/>
      <c r="M12" s="178"/>
      <c r="N12" s="178"/>
      <c r="O12" s="178"/>
      <c r="P12" s="178"/>
      <c r="Q12" s="178"/>
      <c r="R12" s="178"/>
      <c r="S12" s="178"/>
      <c r="T12" s="178"/>
      <c r="U12" s="178"/>
      <c r="V12" s="178"/>
    </row>
    <row r="13" spans="1:22" ht="12.5" x14ac:dyDescent="0.25">
      <c r="A13" s="178"/>
      <c r="B13" s="178"/>
      <c r="C13" s="178"/>
      <c r="D13" s="178"/>
      <c r="E13" s="178"/>
      <c r="F13" s="178"/>
      <c r="G13" s="178"/>
      <c r="H13" s="178"/>
      <c r="I13" s="178"/>
      <c r="J13" s="178"/>
      <c r="K13" s="178"/>
      <c r="L13" s="178"/>
      <c r="M13" s="178"/>
      <c r="N13" s="178"/>
      <c r="O13" s="178"/>
      <c r="P13" s="178"/>
      <c r="Q13" s="178"/>
      <c r="R13" s="178"/>
      <c r="S13" s="178"/>
      <c r="T13" s="178"/>
      <c r="U13" s="178"/>
      <c r="V13" s="178"/>
    </row>
    <row r="14" spans="1:22" ht="12.5" x14ac:dyDescent="0.25">
      <c r="A14" s="178"/>
      <c r="B14" s="178"/>
      <c r="C14" s="178"/>
      <c r="D14" s="178"/>
      <c r="E14" s="178"/>
      <c r="F14" s="178"/>
      <c r="G14" s="178"/>
      <c r="H14" s="178"/>
      <c r="I14" s="178"/>
      <c r="J14" s="178"/>
      <c r="K14" s="178"/>
      <c r="L14" s="178"/>
      <c r="M14" s="178"/>
      <c r="N14" s="178"/>
      <c r="O14" s="178"/>
      <c r="P14" s="178"/>
      <c r="Q14" s="178"/>
      <c r="R14" s="178"/>
      <c r="S14" s="178"/>
      <c r="T14" s="178"/>
      <c r="U14" s="178"/>
      <c r="V14" s="178"/>
    </row>
    <row r="15" spans="1:22" ht="90.75" customHeight="1" x14ac:dyDescent="0.25">
      <c r="A15" s="178"/>
      <c r="B15" s="178"/>
      <c r="C15" s="178"/>
      <c r="D15" s="178"/>
      <c r="E15" s="178"/>
      <c r="F15" s="178"/>
      <c r="G15" s="178"/>
      <c r="H15" s="178"/>
      <c r="I15" s="178"/>
      <c r="J15" s="178"/>
      <c r="K15" s="178"/>
      <c r="L15" s="178"/>
      <c r="M15" s="178"/>
      <c r="N15" s="178"/>
      <c r="O15" s="178"/>
      <c r="P15" s="178"/>
      <c r="Q15" s="178"/>
      <c r="R15" s="178"/>
      <c r="S15" s="178"/>
      <c r="T15" s="178"/>
      <c r="U15" s="178"/>
      <c r="V15" s="178"/>
    </row>
    <row r="16" spans="1:22" x14ac:dyDescent="0.25">
      <c r="A16" s="176" t="s">
        <v>24</v>
      </c>
      <c r="B16" s="176"/>
      <c r="C16" s="176"/>
      <c r="D16" s="176"/>
      <c r="E16" s="176"/>
      <c r="F16" s="176"/>
      <c r="G16" s="176"/>
      <c r="H16" s="176"/>
      <c r="I16" s="176"/>
      <c r="J16" s="176"/>
      <c r="K16" s="176"/>
      <c r="L16" s="176"/>
      <c r="M16" s="176"/>
      <c r="N16" s="176"/>
      <c r="O16" s="176"/>
      <c r="P16" s="176"/>
      <c r="Q16" s="176"/>
      <c r="R16" s="176"/>
      <c r="S16" s="176"/>
      <c r="T16" s="176"/>
      <c r="U16" s="176"/>
      <c r="V16" s="176"/>
    </row>
    <row r="17" spans="1:22" ht="12.5" x14ac:dyDescent="0.25">
      <c r="A17" s="177" t="s">
        <v>25</v>
      </c>
      <c r="B17" s="178"/>
      <c r="C17" s="178"/>
      <c r="D17" s="178"/>
      <c r="E17" s="178"/>
      <c r="F17" s="178"/>
      <c r="G17" s="178"/>
      <c r="H17" s="178"/>
      <c r="I17" s="178"/>
      <c r="J17" s="178"/>
      <c r="K17" s="178"/>
      <c r="L17" s="178"/>
      <c r="M17" s="178"/>
      <c r="N17" s="178"/>
      <c r="O17" s="178"/>
      <c r="P17" s="178"/>
      <c r="Q17" s="178"/>
      <c r="R17" s="178"/>
      <c r="S17" s="178"/>
      <c r="T17" s="178"/>
      <c r="U17" s="178"/>
      <c r="V17" s="178"/>
    </row>
    <row r="18" spans="1:22" ht="12.5" x14ac:dyDescent="0.25">
      <c r="A18" s="178"/>
      <c r="B18" s="178"/>
      <c r="C18" s="178"/>
      <c r="D18" s="178"/>
      <c r="E18" s="178"/>
      <c r="F18" s="178"/>
      <c r="G18" s="178"/>
      <c r="H18" s="178"/>
      <c r="I18" s="178"/>
      <c r="J18" s="178"/>
      <c r="K18" s="178"/>
      <c r="L18" s="178"/>
      <c r="M18" s="178"/>
      <c r="N18" s="178"/>
      <c r="O18" s="178"/>
      <c r="P18" s="178"/>
      <c r="Q18" s="178"/>
      <c r="R18" s="178"/>
      <c r="S18" s="178"/>
      <c r="T18" s="178"/>
      <c r="U18" s="178"/>
      <c r="V18" s="178"/>
    </row>
    <row r="19" spans="1:22" ht="39.75" customHeight="1" x14ac:dyDescent="0.25">
      <c r="A19" s="178"/>
      <c r="B19" s="178"/>
      <c r="C19" s="178"/>
      <c r="D19" s="178"/>
      <c r="E19" s="178"/>
      <c r="F19" s="178"/>
      <c r="G19" s="178"/>
      <c r="H19" s="178"/>
      <c r="I19" s="178"/>
      <c r="J19" s="178"/>
      <c r="K19" s="178"/>
      <c r="L19" s="178"/>
      <c r="M19" s="178"/>
      <c r="N19" s="178"/>
      <c r="O19" s="178"/>
      <c r="P19" s="178"/>
      <c r="Q19" s="178"/>
      <c r="R19" s="178"/>
      <c r="S19" s="178"/>
      <c r="T19" s="178"/>
      <c r="U19" s="178"/>
      <c r="V19" s="178"/>
    </row>
    <row r="20" spans="1:22" ht="273.75" customHeight="1" x14ac:dyDescent="0.25">
      <c r="A20" s="178"/>
      <c r="B20" s="178"/>
      <c r="C20" s="178"/>
      <c r="D20" s="178"/>
      <c r="E20" s="178"/>
      <c r="F20" s="178"/>
      <c r="G20" s="178"/>
      <c r="H20" s="178"/>
      <c r="I20" s="178"/>
      <c r="J20" s="178"/>
      <c r="K20" s="178"/>
      <c r="L20" s="178"/>
      <c r="M20" s="178"/>
      <c r="N20" s="178"/>
      <c r="O20" s="178"/>
      <c r="P20" s="178"/>
      <c r="Q20" s="178"/>
      <c r="R20" s="178"/>
      <c r="S20" s="178"/>
      <c r="T20" s="178"/>
      <c r="U20" s="178"/>
      <c r="V20" s="178"/>
    </row>
    <row r="21" spans="1:22" x14ac:dyDescent="0.25">
      <c r="A21" s="176" t="s">
        <v>26</v>
      </c>
      <c r="B21" s="176"/>
      <c r="C21" s="176"/>
      <c r="D21" s="176"/>
      <c r="E21" s="176"/>
      <c r="F21" s="176"/>
      <c r="G21" s="176"/>
      <c r="H21" s="176"/>
      <c r="I21" s="176"/>
      <c r="J21" s="176"/>
      <c r="K21" s="176"/>
      <c r="L21" s="176"/>
      <c r="M21" s="176"/>
      <c r="N21" s="176"/>
      <c r="O21" s="176"/>
      <c r="P21" s="176"/>
      <c r="Q21" s="176"/>
      <c r="R21" s="176"/>
      <c r="S21" s="176"/>
      <c r="T21" s="176"/>
      <c r="U21" s="176"/>
      <c r="V21" s="176"/>
    </row>
    <row r="22" spans="1:22" ht="12.5" x14ac:dyDescent="0.25">
      <c r="A22" s="179" t="s">
        <v>27</v>
      </c>
      <c r="B22" s="180"/>
      <c r="C22" s="180"/>
      <c r="D22" s="180"/>
      <c r="E22" s="180"/>
      <c r="F22" s="180"/>
      <c r="G22" s="180"/>
      <c r="H22" s="180"/>
      <c r="I22" s="180"/>
      <c r="J22" s="180"/>
      <c r="K22" s="180"/>
      <c r="L22" s="180"/>
      <c r="M22" s="180"/>
      <c r="N22" s="180"/>
      <c r="O22" s="180"/>
      <c r="P22" s="180"/>
      <c r="Q22" s="180"/>
      <c r="R22" s="180"/>
      <c r="S22" s="180"/>
      <c r="T22" s="180"/>
      <c r="U22" s="180"/>
      <c r="V22" s="180"/>
    </row>
    <row r="23" spans="1:22" ht="12.5" x14ac:dyDescent="0.25">
      <c r="A23" s="180"/>
      <c r="B23" s="180"/>
      <c r="C23" s="180"/>
      <c r="D23" s="180"/>
      <c r="E23" s="180"/>
      <c r="F23" s="180"/>
      <c r="G23" s="180"/>
      <c r="H23" s="180"/>
      <c r="I23" s="180"/>
      <c r="J23" s="180"/>
      <c r="K23" s="180"/>
      <c r="L23" s="180"/>
      <c r="M23" s="180"/>
      <c r="N23" s="180"/>
      <c r="O23" s="180"/>
      <c r="P23" s="180"/>
      <c r="Q23" s="180"/>
      <c r="R23" s="180"/>
      <c r="S23" s="180"/>
      <c r="T23" s="180"/>
      <c r="U23" s="180"/>
      <c r="V23" s="180"/>
    </row>
    <row r="24" spans="1:22" ht="12.5" x14ac:dyDescent="0.25">
      <c r="A24" s="180"/>
      <c r="B24" s="180"/>
      <c r="C24" s="180"/>
      <c r="D24" s="180"/>
      <c r="E24" s="180"/>
      <c r="F24" s="180"/>
      <c r="G24" s="180"/>
      <c r="H24" s="180"/>
      <c r="I24" s="180"/>
      <c r="J24" s="180"/>
      <c r="K24" s="180"/>
      <c r="L24" s="180"/>
      <c r="M24" s="180"/>
      <c r="N24" s="180"/>
      <c r="O24" s="180"/>
      <c r="P24" s="180"/>
      <c r="Q24" s="180"/>
      <c r="R24" s="180"/>
      <c r="S24" s="180"/>
      <c r="T24" s="180"/>
      <c r="U24" s="180"/>
      <c r="V24" s="180"/>
    </row>
    <row r="25" spans="1:22" ht="12.5" x14ac:dyDescent="0.25">
      <c r="A25" s="180"/>
      <c r="B25" s="180"/>
      <c r="C25" s="180"/>
      <c r="D25" s="180"/>
      <c r="E25" s="180"/>
      <c r="F25" s="180"/>
      <c r="G25" s="180"/>
      <c r="H25" s="180"/>
      <c r="I25" s="180"/>
      <c r="J25" s="180"/>
      <c r="K25" s="180"/>
      <c r="L25" s="180"/>
      <c r="M25" s="180"/>
      <c r="N25" s="180"/>
      <c r="O25" s="180"/>
      <c r="P25" s="180"/>
      <c r="Q25" s="180"/>
      <c r="R25" s="180"/>
      <c r="S25" s="180"/>
      <c r="T25" s="180"/>
      <c r="U25" s="180"/>
      <c r="V25" s="180"/>
    </row>
    <row r="26" spans="1:22" ht="12.5" x14ac:dyDescent="0.25">
      <c r="A26" s="180"/>
      <c r="B26" s="180"/>
      <c r="C26" s="180"/>
      <c r="D26" s="180"/>
      <c r="E26" s="180"/>
      <c r="F26" s="180"/>
      <c r="G26" s="180"/>
      <c r="H26" s="180"/>
      <c r="I26" s="180"/>
      <c r="J26" s="180"/>
      <c r="K26" s="180"/>
      <c r="L26" s="180"/>
      <c r="M26" s="180"/>
      <c r="N26" s="180"/>
      <c r="O26" s="180"/>
      <c r="P26" s="180"/>
      <c r="Q26" s="180"/>
      <c r="R26" s="180"/>
      <c r="S26" s="180"/>
      <c r="T26" s="180"/>
      <c r="U26" s="180"/>
      <c r="V26" s="180"/>
    </row>
    <row r="27" spans="1:22" ht="12.5" x14ac:dyDescent="0.25">
      <c r="A27" s="180"/>
      <c r="B27" s="180"/>
      <c r="C27" s="180"/>
      <c r="D27" s="180"/>
      <c r="E27" s="180"/>
      <c r="F27" s="180"/>
      <c r="G27" s="180"/>
      <c r="H27" s="180"/>
      <c r="I27" s="180"/>
      <c r="J27" s="180"/>
      <c r="K27" s="180"/>
      <c r="L27" s="180"/>
      <c r="M27" s="180"/>
      <c r="N27" s="180"/>
      <c r="O27" s="180"/>
      <c r="P27" s="180"/>
      <c r="Q27" s="180"/>
      <c r="R27" s="180"/>
      <c r="S27" s="180"/>
      <c r="T27" s="180"/>
      <c r="U27" s="180"/>
      <c r="V27" s="180"/>
    </row>
    <row r="28" spans="1:22" ht="12.5" x14ac:dyDescent="0.25">
      <c r="A28" s="180"/>
      <c r="B28" s="180"/>
      <c r="C28" s="180"/>
      <c r="D28" s="180"/>
      <c r="E28" s="180"/>
      <c r="F28" s="180"/>
      <c r="G28" s="180"/>
      <c r="H28" s="180"/>
      <c r="I28" s="180"/>
      <c r="J28" s="180"/>
      <c r="K28" s="180"/>
      <c r="L28" s="180"/>
      <c r="M28" s="180"/>
      <c r="N28" s="180"/>
      <c r="O28" s="180"/>
      <c r="P28" s="180"/>
      <c r="Q28" s="180"/>
      <c r="R28" s="180"/>
      <c r="S28" s="180"/>
      <c r="T28" s="180"/>
      <c r="U28" s="180"/>
      <c r="V28" s="180"/>
    </row>
    <row r="29" spans="1:22" ht="12.5" x14ac:dyDescent="0.25">
      <c r="A29" s="180"/>
      <c r="B29" s="180"/>
      <c r="C29" s="180"/>
      <c r="D29" s="180"/>
      <c r="E29" s="180"/>
      <c r="F29" s="180"/>
      <c r="G29" s="180"/>
      <c r="H29" s="180"/>
      <c r="I29" s="180"/>
      <c r="J29" s="180"/>
      <c r="K29" s="180"/>
      <c r="L29" s="180"/>
      <c r="M29" s="180"/>
      <c r="N29" s="180"/>
      <c r="O29" s="180"/>
      <c r="P29" s="180"/>
      <c r="Q29" s="180"/>
      <c r="R29" s="180"/>
      <c r="S29" s="180"/>
      <c r="T29" s="180"/>
      <c r="U29" s="180"/>
      <c r="V29" s="180"/>
    </row>
    <row r="30" spans="1:22" ht="12.5" x14ac:dyDescent="0.25">
      <c r="A30" s="180"/>
      <c r="B30" s="180"/>
      <c r="C30" s="180"/>
      <c r="D30" s="180"/>
      <c r="E30" s="180"/>
      <c r="F30" s="180"/>
      <c r="G30" s="180"/>
      <c r="H30" s="180"/>
      <c r="I30" s="180"/>
      <c r="J30" s="180"/>
      <c r="K30" s="180"/>
      <c r="L30" s="180"/>
      <c r="M30" s="180"/>
      <c r="N30" s="180"/>
      <c r="O30" s="180"/>
      <c r="P30" s="180"/>
      <c r="Q30" s="180"/>
      <c r="R30" s="180"/>
      <c r="S30" s="180"/>
      <c r="T30" s="180"/>
      <c r="U30" s="180"/>
      <c r="V30" s="180"/>
    </row>
    <row r="31" spans="1:22" ht="12.5" x14ac:dyDescent="0.25">
      <c r="A31" s="180"/>
      <c r="B31" s="180"/>
      <c r="C31" s="180"/>
      <c r="D31" s="180"/>
      <c r="E31" s="180"/>
      <c r="F31" s="180"/>
      <c r="G31" s="180"/>
      <c r="H31" s="180"/>
      <c r="I31" s="180"/>
      <c r="J31" s="180"/>
      <c r="K31" s="180"/>
      <c r="L31" s="180"/>
      <c r="M31" s="180"/>
      <c r="N31" s="180"/>
      <c r="O31" s="180"/>
      <c r="P31" s="180"/>
      <c r="Q31" s="180"/>
      <c r="R31" s="180"/>
      <c r="S31" s="180"/>
      <c r="T31" s="180"/>
      <c r="U31" s="180"/>
      <c r="V31" s="180"/>
    </row>
    <row r="32" spans="1:22" ht="12.5" x14ac:dyDescent="0.25">
      <c r="A32" s="180"/>
      <c r="B32" s="180"/>
      <c r="C32" s="180"/>
      <c r="D32" s="180"/>
      <c r="E32" s="180"/>
      <c r="F32" s="180"/>
      <c r="G32" s="180"/>
      <c r="H32" s="180"/>
      <c r="I32" s="180"/>
      <c r="J32" s="180"/>
      <c r="K32" s="180"/>
      <c r="L32" s="180"/>
      <c r="M32" s="180"/>
      <c r="N32" s="180"/>
      <c r="O32" s="180"/>
      <c r="P32" s="180"/>
      <c r="Q32" s="180"/>
      <c r="R32" s="180"/>
      <c r="S32" s="180"/>
      <c r="T32" s="180"/>
      <c r="U32" s="180"/>
      <c r="V32" s="180"/>
    </row>
    <row r="33" spans="1:22" ht="12.5" x14ac:dyDescent="0.25">
      <c r="A33" s="180"/>
      <c r="B33" s="180"/>
      <c r="C33" s="180"/>
      <c r="D33" s="180"/>
      <c r="E33" s="180"/>
      <c r="F33" s="180"/>
      <c r="G33" s="180"/>
      <c r="H33" s="180"/>
      <c r="I33" s="180"/>
      <c r="J33" s="180"/>
      <c r="K33" s="180"/>
      <c r="L33" s="180"/>
      <c r="M33" s="180"/>
      <c r="N33" s="180"/>
      <c r="O33" s="180"/>
      <c r="P33" s="180"/>
      <c r="Q33" s="180"/>
      <c r="R33" s="180"/>
      <c r="S33" s="180"/>
      <c r="T33" s="180"/>
      <c r="U33" s="180"/>
      <c r="V33" s="180"/>
    </row>
    <row r="34" spans="1:22" ht="12.5" x14ac:dyDescent="0.25">
      <c r="A34" s="180"/>
      <c r="B34" s="180"/>
      <c r="C34" s="180"/>
      <c r="D34" s="180"/>
      <c r="E34" s="180"/>
      <c r="F34" s="180"/>
      <c r="G34" s="180"/>
      <c r="H34" s="180"/>
      <c r="I34" s="180"/>
      <c r="J34" s="180"/>
      <c r="K34" s="180"/>
      <c r="L34" s="180"/>
      <c r="M34" s="180"/>
      <c r="N34" s="180"/>
      <c r="O34" s="180"/>
      <c r="P34" s="180"/>
      <c r="Q34" s="180"/>
      <c r="R34" s="180"/>
      <c r="S34" s="180"/>
      <c r="T34" s="180"/>
      <c r="U34" s="180"/>
      <c r="V34" s="180"/>
    </row>
    <row r="35" spans="1:22" ht="12.5" x14ac:dyDescent="0.25">
      <c r="A35" s="180"/>
      <c r="B35" s="180"/>
      <c r="C35" s="180"/>
      <c r="D35" s="180"/>
      <c r="E35" s="180"/>
      <c r="F35" s="180"/>
      <c r="G35" s="180"/>
      <c r="H35" s="180"/>
      <c r="I35" s="180"/>
      <c r="J35" s="180"/>
      <c r="K35" s="180"/>
      <c r="L35" s="180"/>
      <c r="M35" s="180"/>
      <c r="N35" s="180"/>
      <c r="O35" s="180"/>
      <c r="P35" s="180"/>
      <c r="Q35" s="180"/>
      <c r="R35" s="180"/>
      <c r="S35" s="180"/>
      <c r="T35" s="180"/>
      <c r="U35" s="180"/>
      <c r="V35" s="180"/>
    </row>
    <row r="36" spans="1:22" ht="12.5" x14ac:dyDescent="0.25">
      <c r="A36" s="180"/>
      <c r="B36" s="180"/>
      <c r="C36" s="180"/>
      <c r="D36" s="180"/>
      <c r="E36" s="180"/>
      <c r="F36" s="180"/>
      <c r="G36" s="180"/>
      <c r="H36" s="180"/>
      <c r="I36" s="180"/>
      <c r="J36" s="180"/>
      <c r="K36" s="180"/>
      <c r="L36" s="180"/>
      <c r="M36" s="180"/>
      <c r="N36" s="180"/>
      <c r="O36" s="180"/>
      <c r="P36" s="180"/>
      <c r="Q36" s="180"/>
      <c r="R36" s="180"/>
      <c r="S36" s="180"/>
      <c r="T36" s="180"/>
      <c r="U36" s="180"/>
      <c r="V36" s="180"/>
    </row>
    <row r="37" spans="1:22" ht="12.5" x14ac:dyDescent="0.25">
      <c r="A37" s="180"/>
      <c r="B37" s="180"/>
      <c r="C37" s="180"/>
      <c r="D37" s="180"/>
      <c r="E37" s="180"/>
      <c r="F37" s="180"/>
      <c r="G37" s="180"/>
      <c r="H37" s="180"/>
      <c r="I37" s="180"/>
      <c r="J37" s="180"/>
      <c r="K37" s="180"/>
      <c r="L37" s="180"/>
      <c r="M37" s="180"/>
      <c r="N37" s="180"/>
      <c r="O37" s="180"/>
      <c r="P37" s="180"/>
      <c r="Q37" s="180"/>
      <c r="R37" s="180"/>
      <c r="S37" s="180"/>
      <c r="T37" s="180"/>
      <c r="U37" s="180"/>
      <c r="V37" s="180"/>
    </row>
    <row r="38" spans="1:22" ht="12.5" x14ac:dyDescent="0.25">
      <c r="A38" s="180"/>
      <c r="B38" s="180"/>
      <c r="C38" s="180"/>
      <c r="D38" s="180"/>
      <c r="E38" s="180"/>
      <c r="F38" s="180"/>
      <c r="G38" s="180"/>
      <c r="H38" s="180"/>
      <c r="I38" s="180"/>
      <c r="J38" s="180"/>
      <c r="K38" s="180"/>
      <c r="L38" s="180"/>
      <c r="M38" s="180"/>
      <c r="N38" s="180"/>
      <c r="O38" s="180"/>
      <c r="P38" s="180"/>
      <c r="Q38" s="180"/>
      <c r="R38" s="180"/>
      <c r="S38" s="180"/>
      <c r="T38" s="180"/>
      <c r="U38" s="180"/>
      <c r="V38" s="180"/>
    </row>
    <row r="39" spans="1:22" ht="12.5" x14ac:dyDescent="0.25">
      <c r="A39" s="180"/>
      <c r="B39" s="180"/>
      <c r="C39" s="180"/>
      <c r="D39" s="180"/>
      <c r="E39" s="180"/>
      <c r="F39" s="180"/>
      <c r="G39" s="180"/>
      <c r="H39" s="180"/>
      <c r="I39" s="180"/>
      <c r="J39" s="180"/>
      <c r="K39" s="180"/>
      <c r="L39" s="180"/>
      <c r="M39" s="180"/>
      <c r="N39" s="180"/>
      <c r="O39" s="180"/>
      <c r="P39" s="180"/>
      <c r="Q39" s="180"/>
      <c r="R39" s="180"/>
      <c r="S39" s="180"/>
      <c r="T39" s="180"/>
      <c r="U39" s="180"/>
      <c r="V39" s="180"/>
    </row>
    <row r="40" spans="1:22" ht="12.5" x14ac:dyDescent="0.25">
      <c r="A40" s="180"/>
      <c r="B40" s="180"/>
      <c r="C40" s="180"/>
      <c r="D40" s="180"/>
      <c r="E40" s="180"/>
      <c r="F40" s="180"/>
      <c r="G40" s="180"/>
      <c r="H40" s="180"/>
      <c r="I40" s="180"/>
      <c r="J40" s="180"/>
      <c r="K40" s="180"/>
      <c r="L40" s="180"/>
      <c r="M40" s="180"/>
      <c r="N40" s="180"/>
      <c r="O40" s="180"/>
      <c r="P40" s="180"/>
      <c r="Q40" s="180"/>
      <c r="R40" s="180"/>
      <c r="S40" s="180"/>
      <c r="T40" s="180"/>
      <c r="U40" s="180"/>
      <c r="V40" s="180"/>
    </row>
    <row r="41" spans="1:22" ht="12.5" x14ac:dyDescent="0.25">
      <c r="A41" s="180"/>
      <c r="B41" s="180"/>
      <c r="C41" s="180"/>
      <c r="D41" s="180"/>
      <c r="E41" s="180"/>
      <c r="F41" s="180"/>
      <c r="G41" s="180"/>
      <c r="H41" s="180"/>
      <c r="I41" s="180"/>
      <c r="J41" s="180"/>
      <c r="K41" s="180"/>
      <c r="L41" s="180"/>
      <c r="M41" s="180"/>
      <c r="N41" s="180"/>
      <c r="O41" s="180"/>
      <c r="P41" s="180"/>
      <c r="Q41" s="180"/>
      <c r="R41" s="180"/>
      <c r="S41" s="180"/>
      <c r="T41" s="180"/>
      <c r="U41" s="180"/>
      <c r="V41" s="180"/>
    </row>
    <row r="42" spans="1:22" ht="12.5" x14ac:dyDescent="0.25">
      <c r="A42" s="180"/>
      <c r="B42" s="180"/>
      <c r="C42" s="180"/>
      <c r="D42" s="180"/>
      <c r="E42" s="180"/>
      <c r="F42" s="180"/>
      <c r="G42" s="180"/>
      <c r="H42" s="180"/>
      <c r="I42" s="180"/>
      <c r="J42" s="180"/>
      <c r="K42" s="180"/>
      <c r="L42" s="180"/>
      <c r="M42" s="180"/>
      <c r="N42" s="180"/>
      <c r="O42" s="180"/>
      <c r="P42" s="180"/>
      <c r="Q42" s="180"/>
      <c r="R42" s="180"/>
      <c r="S42" s="180"/>
      <c r="T42" s="180"/>
      <c r="U42" s="180"/>
      <c r="V42" s="180"/>
    </row>
    <row r="43" spans="1:22" ht="12.5" x14ac:dyDescent="0.25">
      <c r="A43" s="180"/>
      <c r="B43" s="180"/>
      <c r="C43" s="180"/>
      <c r="D43" s="180"/>
      <c r="E43" s="180"/>
      <c r="F43" s="180"/>
      <c r="G43" s="180"/>
      <c r="H43" s="180"/>
      <c r="I43" s="180"/>
      <c r="J43" s="180"/>
      <c r="K43" s="180"/>
      <c r="L43" s="180"/>
      <c r="M43" s="180"/>
      <c r="N43" s="180"/>
      <c r="O43" s="180"/>
      <c r="P43" s="180"/>
      <c r="Q43" s="180"/>
      <c r="R43" s="180"/>
      <c r="S43" s="180"/>
      <c r="T43" s="180"/>
      <c r="U43" s="180"/>
      <c r="V43" s="180"/>
    </row>
    <row r="44" spans="1:22" ht="12.5" x14ac:dyDescent="0.25">
      <c r="A44" s="180"/>
      <c r="B44" s="180"/>
      <c r="C44" s="180"/>
      <c r="D44" s="180"/>
      <c r="E44" s="180"/>
      <c r="F44" s="180"/>
      <c r="G44" s="180"/>
      <c r="H44" s="180"/>
      <c r="I44" s="180"/>
      <c r="J44" s="180"/>
      <c r="K44" s="180"/>
      <c r="L44" s="180"/>
      <c r="M44" s="180"/>
      <c r="N44" s="180"/>
      <c r="O44" s="180"/>
      <c r="P44" s="180"/>
      <c r="Q44" s="180"/>
      <c r="R44" s="180"/>
      <c r="S44" s="180"/>
      <c r="T44" s="180"/>
      <c r="U44" s="180"/>
      <c r="V44" s="180"/>
    </row>
    <row r="45" spans="1:22" ht="68.25" customHeight="1" x14ac:dyDescent="0.25">
      <c r="A45" s="180"/>
      <c r="B45" s="180"/>
      <c r="C45" s="180"/>
      <c r="D45" s="180"/>
      <c r="E45" s="180"/>
      <c r="F45" s="180"/>
      <c r="G45" s="180"/>
      <c r="H45" s="180"/>
      <c r="I45" s="180"/>
      <c r="J45" s="180"/>
      <c r="K45" s="180"/>
      <c r="L45" s="180"/>
      <c r="M45" s="180"/>
      <c r="N45" s="180"/>
      <c r="O45" s="180"/>
      <c r="P45" s="180"/>
      <c r="Q45" s="180"/>
      <c r="R45" s="180"/>
      <c r="S45" s="180"/>
      <c r="T45" s="180"/>
      <c r="U45" s="180"/>
      <c r="V45" s="180"/>
    </row>
  </sheetData>
  <sheetProtection selectLockedCells="1" selectUnlockedCells="1"/>
  <mergeCells count="35">
    <mergeCell ref="A16:V16"/>
    <mergeCell ref="A17:V20"/>
    <mergeCell ref="A21:V21"/>
    <mergeCell ref="A22:V45"/>
    <mergeCell ref="A10:E10"/>
    <mergeCell ref="F10:N10"/>
    <mergeCell ref="O10:Q10"/>
    <mergeCell ref="R10:V10"/>
    <mergeCell ref="A11:V11"/>
    <mergeCell ref="A12:V15"/>
    <mergeCell ref="A8:E8"/>
    <mergeCell ref="F8:N8"/>
    <mergeCell ref="O8:Q8"/>
    <mergeCell ref="R8:V8"/>
    <mergeCell ref="A9:E9"/>
    <mergeCell ref="F9:N9"/>
    <mergeCell ref="O9:Q9"/>
    <mergeCell ref="R9:V9"/>
    <mergeCell ref="A6:E6"/>
    <mergeCell ref="F6:N6"/>
    <mergeCell ref="O6:P6"/>
    <mergeCell ref="Q6:V6"/>
    <mergeCell ref="A7:E7"/>
    <mergeCell ref="F7:N7"/>
    <mergeCell ref="O7:Q7"/>
    <mergeCell ref="R7:V7"/>
    <mergeCell ref="A5:E5"/>
    <mergeCell ref="F5:N5"/>
    <mergeCell ref="O5:P5"/>
    <mergeCell ref="Q5:V5"/>
    <mergeCell ref="A1:V3"/>
    <mergeCell ref="A4:E4"/>
    <mergeCell ref="F4:N4"/>
    <mergeCell ref="O4:P4"/>
    <mergeCell ref="Q4:V4"/>
  </mergeCells>
  <dataValidations count="3">
    <dataValidation type="list" operator="equal" allowBlank="1" showErrorMessage="1" sqref="F6" xr:uid="{00000000-0002-0000-0000-000000000000}">
      <formula1>"Aplicação,Projeto de Desenvolvimento,Projeto de Melhoria"</formula1>
      <formula2>0</formula2>
    </dataValidation>
    <dataValidation type="list" operator="equal" allowBlank="1" showErrorMessage="1" sqref="G6:N7" xr:uid="{00000000-0002-0000-0000-000001000000}">
      <formula1>"Aplicação,Estimativa,Projeto de Desenvolvimento,Projeto de Melhoria"</formula1>
      <formula2>0</formula2>
    </dataValidation>
    <dataValidation type="list" operator="equal" allowBlank="1" showErrorMessage="1" promptTitle="Método de COntagem" prompt="Detalhada (IFPUG)_x000a_Estimativa (NESMA)_x000a_Indicativa (NESMA)" sqref="F7" xr:uid="{00000000-0002-0000-0000-000002000000}">
      <formula1>"Detalhada (IFPUG),Estimativa (NESMA),Indicativa (NESMA)"</formula1>
      <formula2>0</formula2>
    </dataValidation>
  </dataValidations>
  <pageMargins left="0.78749999999999998" right="0.78749999999999998" top="0.78749999999999998" bottom="0.78749999999999998" header="0.51180555555555551" footer="0.51180555555555551"/>
  <pageSetup paperSize="9" scale="59" firstPageNumber="0" orientation="portrait" horizontalDpi="300" verticalDpi="300" r:id="rId1"/>
  <headerFooter alignWithMargins="0">
    <oddFooter>&amp;R&amp;"Tahoma,Normal"&amp;8&amp;F - &amp;A</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pageSetUpPr fitToPage="1"/>
  </sheetPr>
  <dimension ref="A1:O1506"/>
  <sheetViews>
    <sheetView showGridLines="0" tabSelected="1" zoomScaleNormal="100" zoomScaleSheetLayoutView="100" workbookViewId="0">
      <pane ySplit="7" topLeftCell="A940" activePane="bottomLeft" state="frozen"/>
      <selection activeCell="B11" sqref="B11"/>
      <selection pane="bottomLeft" activeCell="A943" sqref="A943:A953"/>
    </sheetView>
  </sheetViews>
  <sheetFormatPr defaultRowHeight="12.5" x14ac:dyDescent="0.25"/>
  <cols>
    <col min="1" max="1" width="55.81640625" customWidth="1"/>
    <col min="2" max="2" width="5" customWidth="1"/>
    <col min="3" max="3" width="10.453125" customWidth="1"/>
    <col min="4" max="4" width="3.54296875" customWidth="1"/>
    <col min="5" max="5" width="6.453125" customWidth="1"/>
    <col min="6" max="6" width="8" customWidth="1"/>
    <col min="7" max="7" width="9" hidden="1" customWidth="1"/>
    <col min="8" max="8" width="12" customWidth="1"/>
    <col min="9" max="9" width="6.54296875" hidden="1" customWidth="1"/>
    <col min="10" max="10" width="7.453125" hidden="1" customWidth="1"/>
    <col min="11" max="11" width="12.54296875" customWidth="1"/>
    <col min="12" max="12" width="12" customWidth="1"/>
    <col min="13" max="13" width="6.81640625" customWidth="1"/>
    <col min="14" max="14" width="10.54296875" customWidth="1"/>
    <col min="15" max="15" width="40.81640625" customWidth="1"/>
  </cols>
  <sheetData>
    <row r="1" spans="1:15" ht="13" thickBot="1" x14ac:dyDescent="0.3">
      <c r="A1" s="186" t="s">
        <v>28</v>
      </c>
      <c r="B1" s="187"/>
      <c r="C1" s="187"/>
      <c r="D1" s="187"/>
      <c r="E1" s="187"/>
      <c r="F1" s="187"/>
      <c r="G1" s="187"/>
      <c r="H1" s="187"/>
      <c r="I1" s="187"/>
      <c r="J1" s="187"/>
      <c r="K1" s="187"/>
      <c r="L1" s="187"/>
      <c r="M1" s="187"/>
      <c r="N1" s="187"/>
      <c r="O1" s="188"/>
    </row>
    <row r="2" spans="1:15" ht="13" thickBot="1" x14ac:dyDescent="0.3">
      <c r="A2" s="189"/>
      <c r="B2" s="190"/>
      <c r="C2" s="190"/>
      <c r="D2" s="190"/>
      <c r="E2" s="190"/>
      <c r="F2" s="190"/>
      <c r="G2" s="190"/>
      <c r="H2" s="190"/>
      <c r="I2" s="190"/>
      <c r="J2" s="190"/>
      <c r="K2" s="190"/>
      <c r="L2" s="190"/>
      <c r="M2" s="190"/>
      <c r="N2" s="190"/>
      <c r="O2" s="191"/>
    </row>
    <row r="3" spans="1:15" x14ac:dyDescent="0.25">
      <c r="A3" s="189"/>
      <c r="B3" s="190"/>
      <c r="C3" s="190"/>
      <c r="D3" s="190"/>
      <c r="E3" s="190"/>
      <c r="F3" s="190"/>
      <c r="G3" s="190"/>
      <c r="H3" s="190"/>
      <c r="I3" s="190"/>
      <c r="J3" s="190"/>
      <c r="K3" s="190"/>
      <c r="L3" s="190"/>
      <c r="M3" s="190"/>
      <c r="N3" s="190"/>
      <c r="O3" s="191"/>
    </row>
    <row r="4" spans="1:15" x14ac:dyDescent="0.25">
      <c r="A4" s="107" t="str">
        <f>Contagem!A5&amp;" : "&amp;Contagem!F5</f>
        <v xml:space="preserve">Aplicação : </v>
      </c>
      <c r="B4" s="194" t="str">
        <f>Contagem!A8&amp;" : "&amp;Contagem!F8</f>
        <v>Projeto : SIABI - Sistema de Avaliação de Imóveis</v>
      </c>
      <c r="C4" s="195"/>
      <c r="D4" s="195"/>
      <c r="E4" s="195"/>
      <c r="F4" s="195"/>
      <c r="G4" s="195"/>
      <c r="H4" s="195"/>
      <c r="I4" s="195"/>
      <c r="J4" s="196"/>
      <c r="K4" s="94" t="s">
        <v>3</v>
      </c>
      <c r="L4" s="97">
        <f>SUM(H9:J2458)</f>
        <v>5222</v>
      </c>
      <c r="M4" s="184"/>
      <c r="N4" s="184"/>
      <c r="O4" s="185"/>
    </row>
    <row r="5" spans="1:15" x14ac:dyDescent="0.25">
      <c r="A5" s="107" t="str">
        <f>Contagem!A9&amp;" : "&amp;Contagem!F9</f>
        <v>Responsável : Luana Alves de Araujo Passos Aguiar</v>
      </c>
      <c r="B5" s="194" t="str">
        <f>Contagem!A10&amp;" : "&amp;Contagem!F10</f>
        <v xml:space="preserve">Revisor : </v>
      </c>
      <c r="C5" s="195"/>
      <c r="D5" s="195"/>
      <c r="E5" s="195"/>
      <c r="F5" s="195"/>
      <c r="G5" s="195"/>
      <c r="H5" s="195"/>
      <c r="I5" s="195"/>
      <c r="J5" s="196"/>
      <c r="K5" s="96" t="s">
        <v>5</v>
      </c>
      <c r="L5" s="97">
        <f>SUM(K9:K2458)</f>
        <v>5198</v>
      </c>
      <c r="M5" s="192"/>
      <c r="N5" s="192"/>
      <c r="O5" s="193"/>
    </row>
    <row r="6" spans="1:15" x14ac:dyDescent="0.25">
      <c r="A6" s="108" t="str">
        <f>Contagem!A4&amp;" : "&amp;Contagem!F4</f>
        <v>Empresa : Secretaria de Estado de Planejamento e Gestão de Mato Grosso</v>
      </c>
      <c r="B6" s="181" t="str">
        <f>"Tipo da Contagem : "&amp;Contagem!F6</f>
        <v>Tipo da Contagem : Projeto de Desenvolvimento</v>
      </c>
      <c r="C6" s="182"/>
      <c r="D6" s="182"/>
      <c r="E6" s="182"/>
      <c r="F6" s="182"/>
      <c r="G6" s="182"/>
      <c r="H6" s="182"/>
      <c r="I6" s="182"/>
      <c r="J6" s="183"/>
      <c r="K6" s="95" t="s">
        <v>8</v>
      </c>
      <c r="L6" s="97">
        <f>SUM(L9:L2082)</f>
        <v>5088.7999999999984</v>
      </c>
      <c r="M6" s="184"/>
      <c r="N6" s="184"/>
      <c r="O6" s="185"/>
    </row>
    <row r="7" spans="1:15" ht="13.5" customHeight="1" x14ac:dyDescent="0.3">
      <c r="A7" s="109" t="s">
        <v>29</v>
      </c>
      <c r="B7" s="55" t="s">
        <v>30</v>
      </c>
      <c r="C7" s="56" t="s">
        <v>31</v>
      </c>
      <c r="D7" s="57" t="s">
        <v>32</v>
      </c>
      <c r="E7" s="57" t="s">
        <v>33</v>
      </c>
      <c r="F7" s="57" t="s">
        <v>34</v>
      </c>
      <c r="G7" s="58" t="s">
        <v>35</v>
      </c>
      <c r="H7" s="58" t="s">
        <v>3</v>
      </c>
      <c r="I7" s="101" t="s">
        <v>36</v>
      </c>
      <c r="J7" s="101" t="s">
        <v>37</v>
      </c>
      <c r="K7" s="58" t="s">
        <v>5</v>
      </c>
      <c r="L7" s="59" t="s">
        <v>8</v>
      </c>
      <c r="M7" s="60" t="s">
        <v>38</v>
      </c>
      <c r="N7" s="60" t="s">
        <v>39</v>
      </c>
      <c r="O7" s="110" t="s">
        <v>40</v>
      </c>
    </row>
    <row r="8" spans="1:15" ht="13.5" customHeight="1" x14ac:dyDescent="0.25">
      <c r="A8" s="119" t="s">
        <v>41</v>
      </c>
      <c r="B8" s="120"/>
      <c r="C8" s="120"/>
      <c r="D8" s="120"/>
      <c r="E8" s="120"/>
      <c r="F8" s="121"/>
      <c r="G8" s="121"/>
      <c r="H8" s="121"/>
      <c r="I8" s="121"/>
      <c r="J8" s="121"/>
      <c r="K8" s="121"/>
      <c r="L8" s="121"/>
      <c r="M8" s="121"/>
      <c r="N8" s="121"/>
      <c r="O8" s="122"/>
    </row>
    <row r="9" spans="1:15" ht="13.5" customHeight="1" x14ac:dyDescent="0.3">
      <c r="A9" s="115" t="s">
        <v>42</v>
      </c>
      <c r="B9" s="103"/>
      <c r="C9" s="103"/>
      <c r="D9" s="104"/>
      <c r="E9" s="104"/>
      <c r="F9" s="5" t="str">
        <f>IF(ISBLANK(B9),"",IF(I9="L","Baixa",IF(I9="A","Média",IF(I9="","","Alta"))))</f>
        <v/>
      </c>
      <c r="G9" s="102"/>
      <c r="H9" s="4" t="str">
        <f>IF(ISBLANK(B9),"",IF(B9="ALI",IF(I9="L",7,IF(I9="A",10,15)),IF(B9="AIE",IF(I9="L",5,IF(I9="A",7,10)),IF(B9="SE",IF(I9="L",4,IF(I9="A",5,7)),IF(OR(B9="EE",B9="CE"),IF(I9="L",3,IF(I9="A",4,6)),0)))))</f>
        <v/>
      </c>
      <c r="I9" s="105" t="str">
        <f>IF(OR(ISBLANK(D9),ISBLANK(E9)),IF(OR(B9="ALI",B9="AIE"),"L",IF(OR(B9="EE",B9="SE",B9="CE"),"A","")),IF(B9="EE",IF(E9&gt;=3,IF(D9&gt;=5,"H","A"),IF(E9&gt;=2,IF(D9&gt;=16,"H",IF(D9&lt;=4,"L","A")),IF(D9&lt;=15,"L","A"))),IF(OR(B9="SE",B9="CE"),IF(E9&gt;=4,IF(D9&gt;=6,"H","A"),IF(E9&gt;=2,IF(D9&gt;=20,"H",IF(D9&lt;=5,"L","A")),IF(D9&lt;=19,"L","A"))),IF(OR(B9="ALI",B9="AIE"),IF(E9&gt;=6,IF(D9&gt;=20,"H","A"),IF(E9&gt;=2,IF(D9&gt;=51,"H",IF(D9&lt;=19,"L","A")),IF(D9&lt;=50,"L","A"))),""))))</f>
        <v/>
      </c>
      <c r="J9" s="4" t="str">
        <f>CONCATENATE(B9,C9)</f>
        <v/>
      </c>
      <c r="K9" s="106" t="str">
        <f>IF(OR(H9="",H9=0),L9,H9)</f>
        <v/>
      </c>
      <c r="L9" s="106" t="str">
        <f>IF(NOT(ISERROR(VLOOKUP(B9,Deflatores!G$42:H$64,2,FALSE))),VLOOKUP(B9,Deflatores!G$42:H$64,2,FALSE),IF(OR(ISBLANK(C9),ISBLANK(B9)),"",VLOOKUP(C9,Deflatores!G$4:H$38,2,FALSE)*H9+VLOOKUP(C9,Deflatores!G$4:I$38,3,FALSE)))</f>
        <v/>
      </c>
      <c r="M9" s="6"/>
      <c r="N9" s="6"/>
      <c r="O9" s="111"/>
    </row>
    <row r="10" spans="1:15" ht="22" x14ac:dyDescent="0.25">
      <c r="A10" s="112" t="s">
        <v>43</v>
      </c>
      <c r="B10" s="113" t="s">
        <v>44</v>
      </c>
      <c r="C10" s="113" t="s">
        <v>45</v>
      </c>
      <c r="D10" s="4">
        <v>147</v>
      </c>
      <c r="E10" s="4">
        <v>15</v>
      </c>
      <c r="F10" s="105" t="str">
        <f>IF(ISBLANK(B10),"",IF(I10="L","Baixa",IF(I10="A","Média",IF(I10="","","Alta"))))</f>
        <v>Alta</v>
      </c>
      <c r="G10" s="4" t="str">
        <f>CONCATENATE(B10,I10)</f>
        <v>ALIH</v>
      </c>
      <c r="H10" s="4">
        <f>IF(ISBLANK(B10),"",IF(B10="ALI",IF(I10="L",7,IF(I10="A",10,15)),IF(B10="AIE",IF(I10="L",5,IF(I10="A",7,10)),IF(B10="SE",IF(I10="L",4,IF(I10="A",5,7)),IF(OR(B10="EE",B10="CE"),IF(I10="L",3,IF(I10="A",4,6)),0)))))</f>
        <v>15</v>
      </c>
      <c r="I10" s="105" t="str">
        <f>IF(OR(ISBLANK(D10),ISBLANK(E10)),IF(OR(B10="ALI",B10="AIE"),"L",IF(OR(B10="EE",B10="SE",B10="CE"),"A","")),IF(B10="EE",IF(E10&gt;=3,IF(D10&gt;=5,"H","A"),IF(E10&gt;=2,IF(D10&gt;=16,"H",IF(D10&lt;=4,"L","A")),IF(D10&lt;=15,"L","A"))),IF(OR(B10="SE",B10="CE"),IF(E10&gt;=4,IF(D10&gt;=6,"H","A"),IF(E10&gt;=2,IF(D10&gt;=20,"H",IF(D10&lt;=5,"L","A")),IF(D10&lt;=19,"L","A"))),IF(OR(B10="ALI",B10="AIE"),IF(E10&gt;=6,IF(D10&gt;=20,"H","A"),IF(E10&gt;=2,IF(D10&gt;=51,"H",IF(D10&lt;=19,"L","A")),IF(D10&lt;=50,"L","A"))),""))))</f>
        <v>H</v>
      </c>
      <c r="J10" s="4" t="str">
        <f>CONCATENATE(B10,C10)</f>
        <v>ALII</v>
      </c>
      <c r="K10" s="106">
        <f>IF(OR(H10="",H10=0),L10,H10)</f>
        <v>15</v>
      </c>
      <c r="L10" s="106">
        <f>IF(NOT(ISERROR(VLOOKUP(B10,Deflatores!G$42:H$64,2,FALSE))),VLOOKUP(B10,Deflatores!G$42:H$64,2,FALSE),IF(OR(ISBLANK(C10),ISBLANK(B10)),"",VLOOKUP(C10,Deflatores!G$4:H$38,2,FALSE)*H10+VLOOKUP(C10,Deflatores!G$4:I$38,3,FALSE)))</f>
        <v>15</v>
      </c>
      <c r="M10" s="6"/>
      <c r="N10" s="6"/>
      <c r="O10" s="111" t="s">
        <v>46</v>
      </c>
    </row>
    <row r="11" spans="1:15" ht="13.5" customHeight="1" x14ac:dyDescent="0.25">
      <c r="A11" s="112" t="s">
        <v>47</v>
      </c>
      <c r="B11" s="113" t="s">
        <v>48</v>
      </c>
      <c r="C11" s="113" t="s">
        <v>45</v>
      </c>
      <c r="D11" s="4">
        <v>33</v>
      </c>
      <c r="E11" s="4">
        <v>1</v>
      </c>
      <c r="F11" s="105" t="str">
        <f t="shared" ref="F11:F94" si="0">IF(ISBLANK(B11),"",IF(I11="L","Baixa",IF(I11="A","Média",IF(I11="","","Alta"))))</f>
        <v>Média</v>
      </c>
      <c r="G11" s="4" t="str">
        <f t="shared" ref="G11:G94" si="1">CONCATENATE(B11,I11)</f>
        <v>EEA</v>
      </c>
      <c r="H11" s="4">
        <f t="shared" ref="H11:H91" si="2">IF(ISBLANK(B11),"",IF(B11="ALI",IF(I11="L",7,IF(I11="A",10,15)),IF(B11="AIE",IF(I11="L",5,IF(I11="A",7,10)),IF(B11="SE",IF(I11="L",4,IF(I11="A",5,7)),IF(OR(B11="EE",B11="CE"),IF(I11="L",3,IF(I11="A",4,6)),0)))))</f>
        <v>4</v>
      </c>
      <c r="I11" s="105" t="str">
        <f t="shared" ref="I11:I91" si="3">IF(OR(ISBLANK(D11),ISBLANK(E11)),IF(OR(B11="ALI",B11="AIE"),"L",IF(OR(B11="EE",B11="SE",B11="CE"),"A","")),IF(B11="EE",IF(E11&gt;=3,IF(D11&gt;=5,"H","A"),IF(E11&gt;=2,IF(D11&gt;=16,"H",IF(D11&lt;=4,"L","A")),IF(D11&lt;=15,"L","A"))),IF(OR(B11="SE",B11="CE"),IF(E11&gt;=4,IF(D11&gt;=6,"H","A"),IF(E11&gt;=2,IF(D11&gt;=20,"H",IF(D11&lt;=5,"L","A")),IF(D11&lt;=19,"L","A"))),IF(OR(B11="ALI",B11="AIE"),IF(E11&gt;=6,IF(D11&gt;=20,"H","A"),IF(E11&gt;=2,IF(D11&gt;=51,"H",IF(D11&lt;=19,"L","A")),IF(D11&lt;=50,"L","A"))),""))))</f>
        <v>A</v>
      </c>
      <c r="J11" s="4" t="str">
        <f t="shared" ref="J11:J91" si="4">CONCATENATE(B11,C11)</f>
        <v>EEI</v>
      </c>
      <c r="K11" s="106">
        <f t="shared" ref="K11:K91" si="5">IF(OR(H11="",H11=0),L11,H11)</f>
        <v>4</v>
      </c>
      <c r="L11" s="106">
        <f>IF(NOT(ISERROR(VLOOKUP(B11,Deflatores!G$42:H$64,2,FALSE))),VLOOKUP(B11,Deflatores!G$42:H$64,2,FALSE),IF(OR(ISBLANK(C11),ISBLANK(B11)),"",VLOOKUP(C11,Deflatores!G$4:H$38,2,FALSE)*H11+VLOOKUP(C11,Deflatores!G$4:I$38,3,FALSE)))</f>
        <v>4</v>
      </c>
      <c r="M11" s="6"/>
      <c r="N11" s="6"/>
      <c r="O11" s="111"/>
    </row>
    <row r="12" spans="1:15" ht="13.5" customHeight="1" x14ac:dyDescent="0.25">
      <c r="A12" s="114" t="s">
        <v>49</v>
      </c>
      <c r="B12" s="113" t="s">
        <v>50</v>
      </c>
      <c r="C12" s="113" t="s">
        <v>45</v>
      </c>
      <c r="D12" s="4">
        <v>2</v>
      </c>
      <c r="E12" s="4">
        <v>1</v>
      </c>
      <c r="F12" s="105" t="str">
        <f t="shared" si="0"/>
        <v>Baixa</v>
      </c>
      <c r="G12" s="4" t="str">
        <f t="shared" si="1"/>
        <v>CEL</v>
      </c>
      <c r="H12" s="4">
        <f t="shared" si="2"/>
        <v>3</v>
      </c>
      <c r="I12" s="105" t="str">
        <f t="shared" si="3"/>
        <v>L</v>
      </c>
      <c r="J12" s="4" t="str">
        <f t="shared" si="4"/>
        <v>CEI</v>
      </c>
      <c r="K12" s="106">
        <f t="shared" si="5"/>
        <v>3</v>
      </c>
      <c r="L12" s="106">
        <f>IF(NOT(ISERROR(VLOOKUP(B12,Deflatores!G$42:H$64,2,FALSE))),VLOOKUP(B12,Deflatores!G$42:H$64,2,FALSE),IF(OR(ISBLANK(C12),ISBLANK(B12)),"",VLOOKUP(C12,Deflatores!G$4:H$38,2,FALSE)*H12+VLOOKUP(C12,Deflatores!G$4:I$38,3,FALSE)))</f>
        <v>3</v>
      </c>
      <c r="M12" s="6"/>
      <c r="N12" s="6"/>
      <c r="O12" s="111"/>
    </row>
    <row r="13" spans="1:15" ht="13.5" customHeight="1" x14ac:dyDescent="0.25">
      <c r="A13" s="114" t="s">
        <v>51</v>
      </c>
      <c r="B13" s="113" t="s">
        <v>50</v>
      </c>
      <c r="C13" s="113" t="s">
        <v>45</v>
      </c>
      <c r="D13" s="4">
        <v>2</v>
      </c>
      <c r="E13" s="4">
        <v>1</v>
      </c>
      <c r="F13" s="105" t="str">
        <f t="shared" si="0"/>
        <v>Baixa</v>
      </c>
      <c r="G13" s="4" t="str">
        <f t="shared" si="1"/>
        <v>CEL</v>
      </c>
      <c r="H13" s="4">
        <f t="shared" si="2"/>
        <v>3</v>
      </c>
      <c r="I13" s="105" t="str">
        <f t="shared" si="3"/>
        <v>L</v>
      </c>
      <c r="J13" s="4" t="str">
        <f t="shared" si="4"/>
        <v>CEI</v>
      </c>
      <c r="K13" s="106">
        <f t="shared" si="5"/>
        <v>3</v>
      </c>
      <c r="L13" s="106">
        <f>IF(NOT(ISERROR(VLOOKUP(B13,Deflatores!G$42:H$64,2,FALSE))),VLOOKUP(B13,Deflatores!G$42:H$64,2,FALSE),IF(OR(ISBLANK(C13),ISBLANK(B13)),"",VLOOKUP(C13,Deflatores!G$4:H$38,2,FALSE)*H13+VLOOKUP(C13,Deflatores!G$4:I$38,3,FALSE)))</f>
        <v>3</v>
      </c>
      <c r="M13" s="6"/>
      <c r="N13" s="6"/>
      <c r="O13" s="111"/>
    </row>
    <row r="14" spans="1:15" ht="13.5" customHeight="1" x14ac:dyDescent="0.25">
      <c r="A14" s="114" t="s">
        <v>52</v>
      </c>
      <c r="B14" s="113" t="s">
        <v>50</v>
      </c>
      <c r="C14" s="113" t="s">
        <v>45</v>
      </c>
      <c r="D14" s="4">
        <v>2</v>
      </c>
      <c r="E14" s="4">
        <v>1</v>
      </c>
      <c r="F14" s="105" t="str">
        <f t="shared" si="0"/>
        <v>Baixa</v>
      </c>
      <c r="G14" s="4" t="str">
        <f t="shared" si="1"/>
        <v>CEL</v>
      </c>
      <c r="H14" s="4">
        <f t="shared" si="2"/>
        <v>3</v>
      </c>
      <c r="I14" s="105" t="str">
        <f t="shared" si="3"/>
        <v>L</v>
      </c>
      <c r="J14" s="4" t="str">
        <f t="shared" si="4"/>
        <v>CEI</v>
      </c>
      <c r="K14" s="106">
        <f t="shared" si="5"/>
        <v>3</v>
      </c>
      <c r="L14" s="106">
        <f>IF(NOT(ISERROR(VLOOKUP(B14,Deflatores!G$42:H$64,2,FALSE))),VLOOKUP(B14,Deflatores!G$42:H$64,2,FALSE),IF(OR(ISBLANK(C14),ISBLANK(B14)),"",VLOOKUP(C14,Deflatores!G$4:H$38,2,FALSE)*H14+VLOOKUP(C14,Deflatores!G$4:I$38,3,FALSE)))</f>
        <v>3</v>
      </c>
      <c r="M14" s="6"/>
      <c r="N14" s="6"/>
      <c r="O14" s="111"/>
    </row>
    <row r="15" spans="1:15" ht="13.5" customHeight="1" x14ac:dyDescent="0.25">
      <c r="A15" s="114" t="s">
        <v>53</v>
      </c>
      <c r="B15" s="113" t="s">
        <v>50</v>
      </c>
      <c r="C15" s="113" t="s">
        <v>45</v>
      </c>
      <c r="D15" s="4">
        <v>2</v>
      </c>
      <c r="E15" s="4">
        <v>1</v>
      </c>
      <c r="F15" s="105" t="str">
        <f t="shared" si="0"/>
        <v>Baixa</v>
      </c>
      <c r="G15" s="4" t="str">
        <f t="shared" si="1"/>
        <v>CEL</v>
      </c>
      <c r="H15" s="4">
        <f t="shared" si="2"/>
        <v>3</v>
      </c>
      <c r="I15" s="105" t="str">
        <f t="shared" si="3"/>
        <v>L</v>
      </c>
      <c r="J15" s="4" t="str">
        <f t="shared" si="4"/>
        <v>CEI</v>
      </c>
      <c r="K15" s="106">
        <f t="shared" si="5"/>
        <v>3</v>
      </c>
      <c r="L15" s="106">
        <f>IF(NOT(ISERROR(VLOOKUP(B15,Deflatores!G$42:H$64,2,FALSE))),VLOOKUP(B15,Deflatores!G$42:H$64,2,FALSE),IF(OR(ISBLANK(C15),ISBLANK(B15)),"",VLOOKUP(C15,Deflatores!G$4:H$38,2,FALSE)*H15+VLOOKUP(C15,Deflatores!G$4:I$38,3,FALSE)))</f>
        <v>3</v>
      </c>
      <c r="M15" s="6"/>
      <c r="N15" s="6"/>
      <c r="O15" s="111"/>
    </row>
    <row r="16" spans="1:15" ht="13.5" customHeight="1" x14ac:dyDescent="0.25">
      <c r="A16" s="114" t="s">
        <v>54</v>
      </c>
      <c r="B16" s="113" t="s">
        <v>50</v>
      </c>
      <c r="C16" s="113" t="s">
        <v>45</v>
      </c>
      <c r="D16" s="4">
        <v>2</v>
      </c>
      <c r="E16" s="4">
        <v>1</v>
      </c>
      <c r="F16" s="105" t="str">
        <f>IF(ISBLANK(B16),"",IF(I16="L","Baixa",IF(I16="A","Média",IF(I16="","","Alta"))))</f>
        <v>Baixa</v>
      </c>
      <c r="G16" s="4" t="str">
        <f>CONCATENATE(B16,I16)</f>
        <v>CEL</v>
      </c>
      <c r="H16" s="4">
        <f>IF(ISBLANK(B16),"",IF(B16="ALI",IF(I16="L",7,IF(I16="A",10,15)),IF(B16="AIE",IF(I16="L",5,IF(I16="A",7,10)),IF(B16="SE",IF(I16="L",4,IF(I16="A",5,7)),IF(OR(B16="EE",B16="CE"),IF(I16="L",3,IF(I16="A",4,6)),0)))))</f>
        <v>3</v>
      </c>
      <c r="I16" s="105" t="str">
        <f>IF(OR(ISBLANK(D16),ISBLANK(E16)),IF(OR(B16="ALI",B16="AIE"),"L",IF(OR(B16="EE",B16="SE",B16="CE"),"A","")),IF(B16="EE",IF(E16&gt;=3,IF(D16&gt;=5,"H","A"),IF(E16&gt;=2,IF(D16&gt;=16,"H",IF(D16&lt;=4,"L","A")),IF(D16&lt;=15,"L","A"))),IF(OR(B16="SE",B16="CE"),IF(E16&gt;=4,IF(D16&gt;=6,"H","A"),IF(E16&gt;=2,IF(D16&gt;=20,"H",IF(D16&lt;=5,"L","A")),IF(D16&lt;=19,"L","A"))),IF(OR(B16="ALI",B16="AIE"),IF(E16&gt;=6,IF(D16&gt;=20,"H","A"),IF(E16&gt;=2,IF(D16&gt;=51,"H",IF(D16&lt;=19,"L","A")),IF(D16&lt;=50,"L","A"))),""))))</f>
        <v>L</v>
      </c>
      <c r="J16" s="4" t="str">
        <f>CONCATENATE(B16,C16)</f>
        <v>CEI</v>
      </c>
      <c r="K16" s="106">
        <f>IF(OR(H16="",H16=0),L16,H16)</f>
        <v>3</v>
      </c>
      <c r="L16" s="106">
        <f>IF(NOT(ISERROR(VLOOKUP(B16,Deflatores!G$42:H$64,2,FALSE))),VLOOKUP(B16,Deflatores!G$42:H$64,2,FALSE),IF(OR(ISBLANK(C16),ISBLANK(B16)),"",VLOOKUP(C16,Deflatores!G$4:H$38,2,FALSE)*H16+VLOOKUP(C16,Deflatores!G$4:I$38,3,FALSE)))</f>
        <v>3</v>
      </c>
      <c r="M16" s="6"/>
      <c r="N16" s="6"/>
      <c r="O16" s="111"/>
    </row>
    <row r="17" spans="1:15" ht="13.5" customHeight="1" x14ac:dyDescent="0.25">
      <c r="A17" s="114" t="s">
        <v>55</v>
      </c>
      <c r="B17" s="113" t="s">
        <v>50</v>
      </c>
      <c r="C17" s="113" t="s">
        <v>45</v>
      </c>
      <c r="D17" s="4">
        <v>3</v>
      </c>
      <c r="E17" s="4">
        <v>1</v>
      </c>
      <c r="F17" s="105" t="str">
        <f>IF(ISBLANK(B17),"",IF(I17="L","Baixa",IF(I17="A","Média",IF(I17="","","Alta"))))</f>
        <v>Baixa</v>
      </c>
      <c r="G17" s="4" t="str">
        <f>CONCATENATE(B17,I17)</f>
        <v>CEL</v>
      </c>
      <c r="H17" s="4">
        <f>IF(ISBLANK(B17),"",IF(B17="ALI",IF(I17="L",7,IF(I17="A",10,15)),IF(B17="AIE",IF(I17="L",5,IF(I17="A",7,10)),IF(B17="SE",IF(I17="L",4,IF(I17="A",5,7)),IF(OR(B17="EE",B17="CE"),IF(I17="L",3,IF(I17="A",4,6)),0)))))</f>
        <v>3</v>
      </c>
      <c r="I17" s="105" t="str">
        <f>IF(OR(ISBLANK(D17),ISBLANK(E17)),IF(OR(B17="ALI",B17="AIE"),"L",IF(OR(B17="EE",B17="SE",B17="CE"),"A","")),IF(B17="EE",IF(E17&gt;=3,IF(D17&gt;=5,"H","A"),IF(E17&gt;=2,IF(D17&gt;=16,"H",IF(D17&lt;=4,"L","A")),IF(D17&lt;=15,"L","A"))),IF(OR(B17="SE",B17="CE"),IF(E17&gt;=4,IF(D17&gt;=6,"H","A"),IF(E17&gt;=2,IF(D17&gt;=20,"H",IF(D17&lt;=5,"L","A")),IF(D17&lt;=19,"L","A"))),IF(OR(B17="ALI",B17="AIE"),IF(E17&gt;=6,IF(D17&gt;=20,"H","A"),IF(E17&gt;=2,IF(D17&gt;=51,"H",IF(D17&lt;=19,"L","A")),IF(D17&lt;=50,"L","A"))),""))))</f>
        <v>L</v>
      </c>
      <c r="J17" s="4" t="str">
        <f>CONCATENATE(B17,C17)</f>
        <v>CEI</v>
      </c>
      <c r="K17" s="106">
        <f>IF(OR(H17="",H17=0),L17,H17)</f>
        <v>3</v>
      </c>
      <c r="L17" s="106">
        <f>IF(NOT(ISERROR(VLOOKUP(B17,Deflatores!G$42:H$64,2,FALSE))),VLOOKUP(B17,Deflatores!G$42:H$64,2,FALSE),IF(OR(ISBLANK(C17),ISBLANK(B17)),"",VLOOKUP(C17,Deflatores!G$4:H$38,2,FALSE)*H17+VLOOKUP(C17,Deflatores!G$4:I$38,3,FALSE)))</f>
        <v>3</v>
      </c>
      <c r="M17" s="6"/>
      <c r="N17" s="6"/>
      <c r="O17" s="111"/>
    </row>
    <row r="18" spans="1:15" ht="13.5" customHeight="1" x14ac:dyDescent="0.25">
      <c r="A18" s="114" t="s">
        <v>56</v>
      </c>
      <c r="B18" s="113" t="s">
        <v>50</v>
      </c>
      <c r="C18" s="113" t="s">
        <v>45</v>
      </c>
      <c r="D18" s="4">
        <v>3</v>
      </c>
      <c r="E18" s="4">
        <v>1</v>
      </c>
      <c r="F18" s="105" t="str">
        <f>IF(ISBLANK(B18),"",IF(I18="L","Baixa",IF(I18="A","Média",IF(I18="","","Alta"))))</f>
        <v>Baixa</v>
      </c>
      <c r="G18" s="4" t="str">
        <f>CONCATENATE(B18,I18)</f>
        <v>CEL</v>
      </c>
      <c r="H18" s="4">
        <f>IF(ISBLANK(B18),"",IF(B18="ALI",IF(I18="L",7,IF(I18="A",10,15)),IF(B18="AIE",IF(I18="L",5,IF(I18="A",7,10)),IF(B18="SE",IF(I18="L",4,IF(I18="A",5,7)),IF(OR(B18="EE",B18="CE"),IF(I18="L",3,IF(I18="A",4,6)),0)))))</f>
        <v>3</v>
      </c>
      <c r="I18" s="105" t="str">
        <f>IF(OR(ISBLANK(D18),ISBLANK(E18)),IF(OR(B18="ALI",B18="AIE"),"L",IF(OR(B18="EE",B18="SE",B18="CE"),"A","")),IF(B18="EE",IF(E18&gt;=3,IF(D18&gt;=5,"H","A"),IF(E18&gt;=2,IF(D18&gt;=16,"H",IF(D18&lt;=4,"L","A")),IF(D18&lt;=15,"L","A"))),IF(OR(B18="SE",B18="CE"),IF(E18&gt;=4,IF(D18&gt;=6,"H","A"),IF(E18&gt;=2,IF(D18&gt;=20,"H",IF(D18&lt;=5,"L","A")),IF(D18&lt;=19,"L","A"))),IF(OR(B18="ALI",B18="AIE"),IF(E18&gt;=6,IF(D18&gt;=20,"H","A"),IF(E18&gt;=2,IF(D18&gt;=51,"H",IF(D18&lt;=19,"L","A")),IF(D18&lt;=50,"L","A"))),""))))</f>
        <v>L</v>
      </c>
      <c r="J18" s="4" t="str">
        <f>CONCATENATE(B18,C18)</f>
        <v>CEI</v>
      </c>
      <c r="K18" s="106">
        <f>IF(OR(H18="",H18=0),L18,H18)</f>
        <v>3</v>
      </c>
      <c r="L18" s="106">
        <f>IF(NOT(ISERROR(VLOOKUP(B18,Deflatores!G$42:H$64,2,FALSE))),VLOOKUP(B18,Deflatores!G$42:H$64,2,FALSE),IF(OR(ISBLANK(C18),ISBLANK(B18)),"",VLOOKUP(C18,Deflatores!G$4:H$38,2,FALSE)*H18+VLOOKUP(C18,Deflatores!G$4:I$38,3,FALSE)))</f>
        <v>3</v>
      </c>
      <c r="M18" s="6"/>
      <c r="N18" s="6"/>
      <c r="O18" s="111"/>
    </row>
    <row r="19" spans="1:15" ht="13.5" customHeight="1" x14ac:dyDescent="0.25">
      <c r="A19" s="112" t="s">
        <v>57</v>
      </c>
      <c r="B19" s="113" t="s">
        <v>48</v>
      </c>
      <c r="C19" s="113" t="s">
        <v>45</v>
      </c>
      <c r="D19" s="4">
        <v>33</v>
      </c>
      <c r="E19" s="4">
        <v>1</v>
      </c>
      <c r="F19" s="105" t="str">
        <f t="shared" si="0"/>
        <v>Média</v>
      </c>
      <c r="G19" s="4" t="str">
        <f t="shared" si="1"/>
        <v>EEA</v>
      </c>
      <c r="H19" s="4">
        <f t="shared" si="2"/>
        <v>4</v>
      </c>
      <c r="I19" s="105" t="str">
        <f t="shared" si="3"/>
        <v>A</v>
      </c>
      <c r="J19" s="4" t="str">
        <f t="shared" si="4"/>
        <v>EEI</v>
      </c>
      <c r="K19" s="106">
        <f t="shared" si="5"/>
        <v>4</v>
      </c>
      <c r="L19" s="106">
        <f>IF(NOT(ISERROR(VLOOKUP(B19,Deflatores!G$42:H$64,2,FALSE))),VLOOKUP(B19,Deflatores!G$42:H$64,2,FALSE),IF(OR(ISBLANK(C19),ISBLANK(B19)),"",VLOOKUP(C19,Deflatores!G$4:H$38,2,FALSE)*H19+VLOOKUP(C19,Deflatores!G$4:I$38,3,FALSE)))</f>
        <v>4</v>
      </c>
      <c r="M19" s="6"/>
      <c r="N19" s="6"/>
      <c r="O19" s="111"/>
    </row>
    <row r="20" spans="1:15" ht="13.5" customHeight="1" x14ac:dyDescent="0.25">
      <c r="A20" s="114" t="s">
        <v>58</v>
      </c>
      <c r="B20" s="113" t="s">
        <v>50</v>
      </c>
      <c r="C20" s="113" t="s">
        <v>45</v>
      </c>
      <c r="D20" s="4">
        <v>30</v>
      </c>
      <c r="E20" s="4">
        <v>2</v>
      </c>
      <c r="F20" s="105" t="str">
        <f t="shared" si="0"/>
        <v>Alta</v>
      </c>
      <c r="G20" s="4" t="str">
        <f t="shared" si="1"/>
        <v>CEH</v>
      </c>
      <c r="H20" s="4">
        <f t="shared" si="2"/>
        <v>6</v>
      </c>
      <c r="I20" s="105" t="str">
        <f t="shared" si="3"/>
        <v>H</v>
      </c>
      <c r="J20" s="4" t="str">
        <f t="shared" si="4"/>
        <v>CEI</v>
      </c>
      <c r="K20" s="106">
        <f t="shared" si="5"/>
        <v>6</v>
      </c>
      <c r="L20" s="106">
        <f>IF(NOT(ISERROR(VLOOKUP(B20,Deflatores!G$42:H$64,2,FALSE))),VLOOKUP(B20,Deflatores!G$42:H$64,2,FALSE),IF(OR(ISBLANK(C20),ISBLANK(B20)),"",VLOOKUP(C20,Deflatores!G$4:H$38,2,FALSE)*H20+VLOOKUP(C20,Deflatores!G$4:I$38,3,FALSE)))</f>
        <v>6</v>
      </c>
      <c r="M20" s="6"/>
      <c r="N20" s="6"/>
      <c r="O20" s="111"/>
    </row>
    <row r="21" spans="1:15" ht="13.5" customHeight="1" x14ac:dyDescent="0.25">
      <c r="A21" s="112" t="s">
        <v>59</v>
      </c>
      <c r="B21" s="113" t="s">
        <v>50</v>
      </c>
      <c r="C21" s="113" t="s">
        <v>45</v>
      </c>
      <c r="D21" s="4">
        <v>22</v>
      </c>
      <c r="E21" s="4">
        <v>7</v>
      </c>
      <c r="F21" s="105" t="str">
        <f t="shared" si="0"/>
        <v>Alta</v>
      </c>
      <c r="G21" s="4" t="str">
        <f t="shared" si="1"/>
        <v>CEH</v>
      </c>
      <c r="H21" s="4">
        <f t="shared" si="2"/>
        <v>6</v>
      </c>
      <c r="I21" s="105" t="str">
        <f t="shared" si="3"/>
        <v>H</v>
      </c>
      <c r="J21" s="4" t="str">
        <f t="shared" si="4"/>
        <v>CEI</v>
      </c>
      <c r="K21" s="106">
        <f t="shared" si="5"/>
        <v>6</v>
      </c>
      <c r="L21" s="106">
        <f>IF(NOT(ISERROR(VLOOKUP(B21,Deflatores!G$42:H$64,2,FALSE))),VLOOKUP(B21,Deflatores!G$42:H$64,2,FALSE),IF(OR(ISBLANK(C21),ISBLANK(B21)),"",VLOOKUP(C21,Deflatores!G$4:H$38,2,FALSE)*H21+VLOOKUP(C21,Deflatores!G$4:I$38,3,FALSE)))</f>
        <v>6</v>
      </c>
      <c r="M21" s="6"/>
      <c r="N21" s="6"/>
      <c r="O21" s="111"/>
    </row>
    <row r="22" spans="1:15" ht="13.5" customHeight="1" x14ac:dyDescent="0.25">
      <c r="A22" s="112" t="s">
        <v>60</v>
      </c>
      <c r="B22" s="113" t="s">
        <v>50</v>
      </c>
      <c r="C22" s="113" t="s">
        <v>45</v>
      </c>
      <c r="D22" s="4">
        <v>22</v>
      </c>
      <c r="E22" s="4">
        <v>7</v>
      </c>
      <c r="F22" s="105" t="str">
        <f>IF(ISBLANK(B22),"",IF(I22="L","Baixa",IF(I22="A","Média",IF(I22="","","Alta"))))</f>
        <v>Alta</v>
      </c>
      <c r="G22" s="4" t="str">
        <f>CONCATENATE(B22,I22)</f>
        <v>CEH</v>
      </c>
      <c r="H22" s="4">
        <f>IF(ISBLANK(B22),"",IF(B22="ALI",IF(I22="L",7,IF(I22="A",10,15)),IF(B22="AIE",IF(I22="L",5,IF(I22="A",7,10)),IF(B22="SE",IF(I22="L",4,IF(I22="A",5,7)),IF(OR(B22="EE",B22="CE"),IF(I22="L",3,IF(I22="A",4,6)),0)))))</f>
        <v>6</v>
      </c>
      <c r="I22" s="105" t="str">
        <f>IF(OR(ISBLANK(D22),ISBLANK(E22)),IF(OR(B22="ALI",B22="AIE"),"L",IF(OR(B22="EE",B22="SE",B22="CE"),"A","")),IF(B22="EE",IF(E22&gt;=3,IF(D22&gt;=5,"H","A"),IF(E22&gt;=2,IF(D22&gt;=16,"H",IF(D22&lt;=4,"L","A")),IF(D22&lt;=15,"L","A"))),IF(OR(B22="SE",B22="CE"),IF(E22&gt;=4,IF(D22&gt;=6,"H","A"),IF(E22&gt;=2,IF(D22&gt;=20,"H",IF(D22&lt;=5,"L","A")),IF(D22&lt;=19,"L","A"))),IF(OR(B22="ALI",B22="AIE"),IF(E22&gt;=6,IF(D22&gt;=20,"H","A"),IF(E22&gt;=2,IF(D22&gt;=51,"H",IF(D22&lt;=19,"L","A")),IF(D22&lt;=50,"L","A"))),""))))</f>
        <v>H</v>
      </c>
      <c r="J22" s="4" t="str">
        <f>CONCATENATE(B22,C22)</f>
        <v>CEI</v>
      </c>
      <c r="K22" s="106">
        <f>IF(OR(H22="",H22=0),L22,H22)</f>
        <v>6</v>
      </c>
      <c r="L22" s="106">
        <f>IF(NOT(ISERROR(VLOOKUP(B22,Deflatores!G$42:H$64,2,FALSE))),VLOOKUP(B22,Deflatores!G$42:H$64,2,FALSE),IF(OR(ISBLANK(C22),ISBLANK(B22)),"",VLOOKUP(C22,Deflatores!G$4:H$38,2,FALSE)*H22+VLOOKUP(C22,Deflatores!G$4:I$38,3,FALSE)))</f>
        <v>6</v>
      </c>
      <c r="M22" s="6"/>
      <c r="N22" s="6"/>
      <c r="O22" s="111"/>
    </row>
    <row r="23" spans="1:15" ht="13.5" customHeight="1" x14ac:dyDescent="0.25">
      <c r="A23" s="112" t="s">
        <v>61</v>
      </c>
      <c r="B23" s="113" t="s">
        <v>50</v>
      </c>
      <c r="C23" s="113" t="s">
        <v>45</v>
      </c>
      <c r="D23" s="4">
        <v>3</v>
      </c>
      <c r="E23" s="4">
        <v>1</v>
      </c>
      <c r="F23" s="105" t="str">
        <f>IF(ISBLANK(B23),"",IF(I23="L","Baixa",IF(I23="A","Média",IF(I23="","","Alta"))))</f>
        <v>Baixa</v>
      </c>
      <c r="G23" s="4" t="str">
        <f>CONCATENATE(B23,I23)</f>
        <v>CEL</v>
      </c>
      <c r="H23" s="4">
        <f>IF(ISBLANK(B23),"",IF(B23="ALI",IF(I23="L",7,IF(I23="A",10,15)),IF(B23="AIE",IF(I23="L",5,IF(I23="A",7,10)),IF(B23="SE",IF(I23="L",4,IF(I23="A",5,7)),IF(OR(B23="EE",B23="CE"),IF(I23="L",3,IF(I23="A",4,6)),0)))))</f>
        <v>3</v>
      </c>
      <c r="I23" s="105" t="str">
        <f>IF(OR(ISBLANK(D23),ISBLANK(E23)),IF(OR(B23="ALI",B23="AIE"),"L",IF(OR(B23="EE",B23="SE",B23="CE"),"A","")),IF(B23="EE",IF(E23&gt;=3,IF(D23&gt;=5,"H","A"),IF(E23&gt;=2,IF(D23&gt;=16,"H",IF(D23&lt;=4,"L","A")),IF(D23&lt;=15,"L","A"))),IF(OR(B23="SE",B23="CE"),IF(E23&gt;=4,IF(D23&gt;=6,"H","A"),IF(E23&gt;=2,IF(D23&gt;=20,"H",IF(D23&lt;=5,"L","A")),IF(D23&lt;=19,"L","A"))),IF(OR(B23="ALI",B23="AIE"),IF(E23&gt;=6,IF(D23&gt;=20,"H","A"),IF(E23&gt;=2,IF(D23&gt;=51,"H",IF(D23&lt;=19,"L","A")),IF(D23&lt;=50,"L","A"))),""))))</f>
        <v>L</v>
      </c>
      <c r="J23" s="4" t="str">
        <f>CONCATENATE(B23,C23)</f>
        <v>CEI</v>
      </c>
      <c r="K23" s="106">
        <f>IF(OR(H23="",H23=0),L23,H23)</f>
        <v>3</v>
      </c>
      <c r="L23" s="106">
        <f>IF(NOT(ISERROR(VLOOKUP(B23,Deflatores!G$42:H$64,2,FALSE))),VLOOKUP(B23,Deflatores!G$42:H$64,2,FALSE),IF(OR(ISBLANK(C23),ISBLANK(B23)),"",VLOOKUP(C23,Deflatores!G$4:H$38,2,FALSE)*H23+VLOOKUP(C23,Deflatores!G$4:I$38,3,FALSE)))</f>
        <v>3</v>
      </c>
      <c r="M23" s="6"/>
      <c r="N23" s="6"/>
      <c r="O23" s="111"/>
    </row>
    <row r="24" spans="1:15" ht="13.5" customHeight="1" x14ac:dyDescent="0.25">
      <c r="A24" s="112" t="s">
        <v>62</v>
      </c>
      <c r="B24" s="113" t="s">
        <v>50</v>
      </c>
      <c r="C24" s="113" t="s">
        <v>45</v>
      </c>
      <c r="D24" s="4">
        <v>32</v>
      </c>
      <c r="E24" s="4">
        <v>2</v>
      </c>
      <c r="F24" s="105" t="str">
        <f t="shared" si="0"/>
        <v>Alta</v>
      </c>
      <c r="G24" s="4" t="str">
        <f t="shared" si="1"/>
        <v>CEH</v>
      </c>
      <c r="H24" s="4">
        <f t="shared" si="2"/>
        <v>6</v>
      </c>
      <c r="I24" s="105" t="str">
        <f t="shared" si="3"/>
        <v>H</v>
      </c>
      <c r="J24" s="4" t="str">
        <f t="shared" si="4"/>
        <v>CEI</v>
      </c>
      <c r="K24" s="106">
        <f t="shared" si="5"/>
        <v>6</v>
      </c>
      <c r="L24" s="106">
        <f>IF(NOT(ISERROR(VLOOKUP(B24,Deflatores!G$42:H$64,2,FALSE))),VLOOKUP(B24,Deflatores!G$42:H$64,2,FALSE),IF(OR(ISBLANK(C24),ISBLANK(B24)),"",VLOOKUP(C24,Deflatores!G$4:H$38,2,FALSE)*H24+VLOOKUP(C24,Deflatores!G$4:I$38,3,FALSE)))</f>
        <v>6</v>
      </c>
      <c r="M24" s="6"/>
      <c r="N24" s="6"/>
      <c r="O24" s="111"/>
    </row>
    <row r="25" spans="1:15" ht="13.5" customHeight="1" x14ac:dyDescent="0.25">
      <c r="A25" s="112" t="s">
        <v>63</v>
      </c>
      <c r="B25" s="113" t="s">
        <v>48</v>
      </c>
      <c r="C25" s="113" t="s">
        <v>45</v>
      </c>
      <c r="D25" s="4">
        <v>4</v>
      </c>
      <c r="E25" s="4">
        <v>1</v>
      </c>
      <c r="F25" s="105" t="str">
        <f>IF(ISBLANK(B25),"",IF(I25="L","Baixa",IF(I25="A","Média",IF(I25="","","Alta"))))</f>
        <v>Baixa</v>
      </c>
      <c r="G25" s="4" t="str">
        <f>CONCATENATE(B25,I25)</f>
        <v>EEL</v>
      </c>
      <c r="H25" s="4">
        <f t="shared" si="2"/>
        <v>3</v>
      </c>
      <c r="I25" s="105" t="str">
        <f t="shared" si="3"/>
        <v>L</v>
      </c>
      <c r="J25" s="4" t="str">
        <f t="shared" si="4"/>
        <v>EEI</v>
      </c>
      <c r="K25" s="106">
        <f t="shared" si="5"/>
        <v>3</v>
      </c>
      <c r="L25" s="106">
        <f>IF(NOT(ISERROR(VLOOKUP(B25,Deflatores!G$42:H$64,2,FALSE))),VLOOKUP(B25,Deflatores!G$42:H$64,2,FALSE),IF(OR(ISBLANK(C25),ISBLANK(B25)),"",VLOOKUP(C25,Deflatores!G$4:H$38,2,FALSE)*H25+VLOOKUP(C25,Deflatores!G$4:I$38,3,FALSE)))</f>
        <v>3</v>
      </c>
      <c r="M25" s="6"/>
      <c r="N25" s="6"/>
      <c r="O25" s="111"/>
    </row>
    <row r="26" spans="1:15" ht="13.5" customHeight="1" x14ac:dyDescent="0.25">
      <c r="A26" s="112"/>
      <c r="B26" s="113"/>
      <c r="C26" s="113"/>
      <c r="D26" s="4"/>
      <c r="E26" s="4"/>
      <c r="F26" s="105"/>
      <c r="G26" s="4"/>
      <c r="H26" s="4" t="str">
        <f t="shared" si="2"/>
        <v/>
      </c>
      <c r="I26" s="105" t="str">
        <f t="shared" si="3"/>
        <v/>
      </c>
      <c r="J26" s="4" t="str">
        <f t="shared" si="4"/>
        <v/>
      </c>
      <c r="K26" s="106" t="str">
        <f t="shared" si="5"/>
        <v/>
      </c>
      <c r="L26" s="106" t="str">
        <f>IF(NOT(ISERROR(VLOOKUP(B26,Deflatores!G$42:H$64,2,FALSE))),VLOOKUP(B26,Deflatores!G$42:H$64,2,FALSE),IF(OR(ISBLANK(C26),ISBLANK(B26)),"",VLOOKUP(C26,Deflatores!G$4:H$38,2,FALSE)*H26+VLOOKUP(C26,Deflatores!G$4:I$38,3,FALSE)))</f>
        <v/>
      </c>
      <c r="M26" s="6"/>
      <c r="N26" s="6"/>
      <c r="O26" s="111"/>
    </row>
    <row r="27" spans="1:15" ht="13.5" customHeight="1" x14ac:dyDescent="0.25">
      <c r="A27" s="115" t="s">
        <v>64</v>
      </c>
      <c r="B27" s="113"/>
      <c r="C27" s="113"/>
      <c r="D27" s="4"/>
      <c r="E27" s="4"/>
      <c r="F27" s="105" t="str">
        <f t="shared" si="0"/>
        <v/>
      </c>
      <c r="G27" s="4" t="str">
        <f t="shared" si="1"/>
        <v/>
      </c>
      <c r="H27" s="4" t="str">
        <f t="shared" si="2"/>
        <v/>
      </c>
      <c r="I27" s="105" t="str">
        <f t="shared" si="3"/>
        <v/>
      </c>
      <c r="J27" s="4" t="str">
        <f t="shared" si="4"/>
        <v/>
      </c>
      <c r="K27" s="106" t="str">
        <f t="shared" si="5"/>
        <v/>
      </c>
      <c r="L27" s="106" t="str">
        <f>IF(NOT(ISERROR(VLOOKUP(B27,Deflatores!G$42:H$64,2,FALSE))),VLOOKUP(B27,Deflatores!G$42:H$64,2,FALSE),IF(OR(ISBLANK(C27),ISBLANK(B27)),"",VLOOKUP(C27,Deflatores!G$4:H$38,2,FALSE)*H27+VLOOKUP(C27,Deflatores!G$4:I$38,3,FALSE)))</f>
        <v/>
      </c>
      <c r="M27" s="6"/>
      <c r="N27" s="6"/>
      <c r="O27" s="111" t="s">
        <v>65</v>
      </c>
    </row>
    <row r="28" spans="1:15" x14ac:dyDescent="0.25">
      <c r="A28" s="112" t="s">
        <v>66</v>
      </c>
      <c r="B28" s="113" t="s">
        <v>67</v>
      </c>
      <c r="C28" s="113" t="s">
        <v>45</v>
      </c>
      <c r="D28" s="4">
        <v>4</v>
      </c>
      <c r="E28" s="4">
        <v>1</v>
      </c>
      <c r="F28" s="105" t="str">
        <f t="shared" si="0"/>
        <v>Baixa</v>
      </c>
      <c r="G28" s="4" t="str">
        <f t="shared" si="1"/>
        <v>AIEL</v>
      </c>
      <c r="H28" s="4">
        <f t="shared" si="2"/>
        <v>5</v>
      </c>
      <c r="I28" s="105" t="str">
        <f t="shared" si="3"/>
        <v>L</v>
      </c>
      <c r="J28" s="4" t="str">
        <f t="shared" si="4"/>
        <v>AIEI</v>
      </c>
      <c r="K28" s="106">
        <f t="shared" si="5"/>
        <v>5</v>
      </c>
      <c r="L28" s="106">
        <f>IF(NOT(ISERROR(VLOOKUP(B28,Deflatores!G$42:H$64,2,FALSE))),VLOOKUP(B28,Deflatores!G$42:H$64,2,FALSE),IF(OR(ISBLANK(C28),ISBLANK(B28)),"",VLOOKUP(C28,Deflatores!G$4:H$38,2,FALSE)*H28+VLOOKUP(C28,Deflatores!G$4:I$38,3,FALSE)))</f>
        <v>5</v>
      </c>
      <c r="M28" s="6"/>
      <c r="N28" s="6"/>
      <c r="O28" s="111"/>
    </row>
    <row r="29" spans="1:15" x14ac:dyDescent="0.25">
      <c r="A29" s="112" t="s">
        <v>68</v>
      </c>
      <c r="B29" s="113" t="s">
        <v>67</v>
      </c>
      <c r="C29" s="113" t="s">
        <v>45</v>
      </c>
      <c r="D29" s="4">
        <v>4</v>
      </c>
      <c r="E29" s="4">
        <v>1</v>
      </c>
      <c r="F29" s="105" t="str">
        <f t="shared" si="0"/>
        <v>Baixa</v>
      </c>
      <c r="G29" s="4" t="str">
        <f>CONCATENATE(B29,I29)</f>
        <v>AIEL</v>
      </c>
      <c r="H29" s="4">
        <f>IF(ISBLANK(B29),"",IF(B29="ALI",IF(I29="L",7,IF(I29="A",10,15)),IF(B29="AIE",IF(I29="L",5,IF(I29="A",7,10)),IF(B29="SE",IF(I29="L",4,IF(I29="A",5,7)),IF(OR(B29="EE",B29="CE"),IF(I29="L",3,IF(I29="A",4,6)),0)))))</f>
        <v>5</v>
      </c>
      <c r="I29" s="105" t="str">
        <f>IF(OR(ISBLANK(D29),ISBLANK(E29)),IF(OR(B29="ALI",B29="AIE"),"L",IF(OR(B29="EE",B29="SE",B29="CE"),"A","")),IF(B29="EE",IF(E29&gt;=3,IF(D29&gt;=5,"H","A"),IF(E29&gt;=2,IF(D29&gt;=16,"H",IF(D29&lt;=4,"L","A")),IF(D29&lt;=15,"L","A"))),IF(OR(B29="SE",B29="CE"),IF(E29&gt;=4,IF(D29&gt;=6,"H","A"),IF(E29&gt;=2,IF(D29&gt;=20,"H",IF(D29&lt;=5,"L","A")),IF(D29&lt;=19,"L","A"))),IF(OR(B29="ALI",B29="AIE"),IF(E29&gt;=6,IF(D29&gt;=20,"H","A"),IF(E29&gt;=2,IF(D29&gt;=51,"H",IF(D29&lt;=19,"L","A")),IF(D29&lt;=50,"L","A"))),""))))</f>
        <v>L</v>
      </c>
      <c r="J29" s="4" t="str">
        <f>CONCATENATE(B29,C29)</f>
        <v>AIEI</v>
      </c>
      <c r="K29" s="106">
        <f>IF(OR(H29="",H29=0),L29,H29)</f>
        <v>5</v>
      </c>
      <c r="L29" s="106">
        <f>IF(NOT(ISERROR(VLOOKUP(B29,Deflatores!G$42:H$64,2,FALSE))),VLOOKUP(B29,Deflatores!G$42:H$64,2,FALSE),IF(OR(ISBLANK(C29),ISBLANK(B29)),"",VLOOKUP(C29,Deflatores!G$4:H$38,2,FALSE)*H29+VLOOKUP(C29,Deflatores!G$4:I$38,3,FALSE)))</f>
        <v>5</v>
      </c>
      <c r="M29" s="6"/>
      <c r="N29" s="6"/>
      <c r="O29" s="111"/>
    </row>
    <row r="30" spans="1:15" ht="13.5" customHeight="1" x14ac:dyDescent="0.25">
      <c r="A30" s="112" t="s">
        <v>69</v>
      </c>
      <c r="B30" s="113" t="s">
        <v>44</v>
      </c>
      <c r="C30" s="113" t="s">
        <v>45</v>
      </c>
      <c r="D30" s="4">
        <v>61</v>
      </c>
      <c r="E30" s="4">
        <v>6</v>
      </c>
      <c r="F30" s="105" t="str">
        <f t="shared" si="0"/>
        <v>Alta</v>
      </c>
      <c r="G30" s="4" t="str">
        <f t="shared" si="1"/>
        <v>ALIH</v>
      </c>
      <c r="H30" s="4">
        <f t="shared" si="2"/>
        <v>15</v>
      </c>
      <c r="I30" s="105" t="str">
        <f t="shared" si="3"/>
        <v>H</v>
      </c>
      <c r="J30" s="4" t="str">
        <f t="shared" si="4"/>
        <v>ALII</v>
      </c>
      <c r="K30" s="106">
        <f t="shared" si="5"/>
        <v>15</v>
      </c>
      <c r="L30" s="106">
        <f>IF(NOT(ISERROR(VLOOKUP(B30,Deflatores!G$42:H$64,2,FALSE))),VLOOKUP(B30,Deflatores!G$42:H$64,2,FALSE),IF(OR(ISBLANK(C30),ISBLANK(B30)),"",VLOOKUP(C30,Deflatores!G$4:H$38,2,FALSE)*H30+VLOOKUP(C30,Deflatores!G$4:I$38,3,FALSE)))</f>
        <v>15</v>
      </c>
      <c r="M30" s="6"/>
      <c r="N30" s="6"/>
      <c r="O30" s="111"/>
    </row>
    <row r="31" spans="1:15" ht="13.5" customHeight="1" x14ac:dyDescent="0.25">
      <c r="A31" s="112" t="s">
        <v>70</v>
      </c>
      <c r="B31" s="113" t="s">
        <v>48</v>
      </c>
      <c r="C31" s="113" t="s">
        <v>45</v>
      </c>
      <c r="D31" s="4">
        <v>19</v>
      </c>
      <c r="E31" s="4">
        <v>4</v>
      </c>
      <c r="F31" s="105" t="str">
        <f t="shared" si="0"/>
        <v>Alta</v>
      </c>
      <c r="G31" s="4" t="str">
        <f t="shared" si="1"/>
        <v>EEH</v>
      </c>
      <c r="H31" s="4">
        <f t="shared" si="2"/>
        <v>6</v>
      </c>
      <c r="I31" s="105" t="str">
        <f t="shared" si="3"/>
        <v>H</v>
      </c>
      <c r="J31" s="4" t="str">
        <f t="shared" si="4"/>
        <v>EEI</v>
      </c>
      <c r="K31" s="106">
        <f t="shared" si="5"/>
        <v>6</v>
      </c>
      <c r="L31" s="106">
        <f>IF(NOT(ISERROR(VLOOKUP(B31,Deflatores!G$42:H$64,2,FALSE))),VLOOKUP(B31,Deflatores!G$42:H$64,2,FALSE),IF(OR(ISBLANK(C31),ISBLANK(B31)),"",VLOOKUP(C31,Deflatores!G$4:H$38,2,FALSE)*H31+VLOOKUP(C31,Deflatores!G$4:I$38,3,FALSE)))</f>
        <v>6</v>
      </c>
      <c r="M31" s="6"/>
      <c r="N31" s="6"/>
      <c r="O31" s="111"/>
    </row>
    <row r="32" spans="1:15" ht="13.5" customHeight="1" x14ac:dyDescent="0.25">
      <c r="A32" s="114" t="s">
        <v>71</v>
      </c>
      <c r="B32" s="113" t="s">
        <v>50</v>
      </c>
      <c r="C32" s="113" t="s">
        <v>72</v>
      </c>
      <c r="D32" s="4">
        <v>4</v>
      </c>
      <c r="E32" s="4">
        <v>1</v>
      </c>
      <c r="F32" s="105" t="str">
        <f t="shared" si="0"/>
        <v>Baixa</v>
      </c>
      <c r="G32" s="4" t="str">
        <f t="shared" si="1"/>
        <v>CEL</v>
      </c>
      <c r="H32" s="4">
        <f t="shared" si="2"/>
        <v>3</v>
      </c>
      <c r="I32" s="105" t="str">
        <f t="shared" si="3"/>
        <v>L</v>
      </c>
      <c r="J32" s="4" t="str">
        <f t="shared" si="4"/>
        <v>CEE</v>
      </c>
      <c r="K32" s="106">
        <f t="shared" si="5"/>
        <v>3</v>
      </c>
      <c r="L32" s="106">
        <f>IF(NOT(ISERROR(VLOOKUP(B32,Deflatores!G$42:H$64,2,FALSE))),VLOOKUP(B32,Deflatores!G$42:H$64,2,FALSE),IF(OR(ISBLANK(C32),ISBLANK(B32)),"",VLOOKUP(C32,Deflatores!G$4:H$38,2,FALSE)*H32+VLOOKUP(C32,Deflatores!G$4:I$38,3,FALSE)))</f>
        <v>1.2000000000000002</v>
      </c>
      <c r="M32" s="6"/>
      <c r="N32" s="6"/>
      <c r="O32" s="111"/>
    </row>
    <row r="33" spans="1:15" ht="13.5" customHeight="1" x14ac:dyDescent="0.25">
      <c r="A33" s="114" t="s">
        <v>73</v>
      </c>
      <c r="B33" s="113" t="s">
        <v>50</v>
      </c>
      <c r="C33" s="113" t="s">
        <v>72</v>
      </c>
      <c r="D33" s="4">
        <v>5</v>
      </c>
      <c r="E33" s="4">
        <v>1</v>
      </c>
      <c r="F33" s="105" t="str">
        <f t="shared" si="0"/>
        <v>Baixa</v>
      </c>
      <c r="G33" s="4" t="str">
        <f t="shared" si="1"/>
        <v>CEL</v>
      </c>
      <c r="H33" s="4">
        <f t="shared" si="2"/>
        <v>3</v>
      </c>
      <c r="I33" s="105" t="str">
        <f t="shared" si="3"/>
        <v>L</v>
      </c>
      <c r="J33" s="4" t="str">
        <f t="shared" si="4"/>
        <v>CEE</v>
      </c>
      <c r="K33" s="106">
        <f t="shared" si="5"/>
        <v>3</v>
      </c>
      <c r="L33" s="106">
        <f>IF(NOT(ISERROR(VLOOKUP(B33,Deflatores!G$42:H$64,2,FALSE))),VLOOKUP(B33,Deflatores!G$42:H$64,2,FALSE),IF(OR(ISBLANK(C33),ISBLANK(B33)),"",VLOOKUP(C33,Deflatores!G$4:H$38,2,FALSE)*H33+VLOOKUP(C33,Deflatores!G$4:I$38,3,FALSE)))</f>
        <v>1.2000000000000002</v>
      </c>
      <c r="M33" s="6"/>
      <c r="N33" s="6"/>
      <c r="O33" s="111"/>
    </row>
    <row r="34" spans="1:15" ht="13.5" customHeight="1" x14ac:dyDescent="0.25">
      <c r="A34" s="114" t="s">
        <v>74</v>
      </c>
      <c r="B34" s="113" t="s">
        <v>50</v>
      </c>
      <c r="C34" s="113" t="s">
        <v>72</v>
      </c>
      <c r="D34" s="4">
        <v>7</v>
      </c>
      <c r="E34" s="4">
        <v>3</v>
      </c>
      <c r="F34" s="105" t="str">
        <f t="shared" si="0"/>
        <v>Média</v>
      </c>
      <c r="G34" s="4" t="str">
        <f t="shared" si="1"/>
        <v>CEA</v>
      </c>
      <c r="H34" s="4">
        <f t="shared" si="2"/>
        <v>4</v>
      </c>
      <c r="I34" s="105" t="str">
        <f t="shared" si="3"/>
        <v>A</v>
      </c>
      <c r="J34" s="4" t="str">
        <f t="shared" si="4"/>
        <v>CEE</v>
      </c>
      <c r="K34" s="106">
        <f t="shared" si="5"/>
        <v>4</v>
      </c>
      <c r="L34" s="106">
        <f>IF(NOT(ISERROR(VLOOKUP(B34,Deflatores!G$42:H$64,2,FALSE))),VLOOKUP(B34,Deflatores!G$42:H$64,2,FALSE),IF(OR(ISBLANK(C34),ISBLANK(B34)),"",VLOOKUP(C34,Deflatores!G$4:H$38,2,FALSE)*H34+VLOOKUP(C34,Deflatores!G$4:I$38,3,FALSE)))</f>
        <v>1.6</v>
      </c>
      <c r="M34" s="6"/>
      <c r="N34" s="6"/>
      <c r="O34" s="111"/>
    </row>
    <row r="35" spans="1:15" ht="13.5" customHeight="1" x14ac:dyDescent="0.25">
      <c r="A35" s="114" t="s">
        <v>75</v>
      </c>
      <c r="B35" s="113" t="s">
        <v>50</v>
      </c>
      <c r="C35" s="113" t="s">
        <v>72</v>
      </c>
      <c r="D35" s="4">
        <v>7</v>
      </c>
      <c r="E35" s="4">
        <v>3</v>
      </c>
      <c r="F35" s="105" t="str">
        <f t="shared" si="0"/>
        <v>Média</v>
      </c>
      <c r="G35" s="4" t="str">
        <f t="shared" si="1"/>
        <v>CEA</v>
      </c>
      <c r="H35" s="4">
        <f t="shared" si="2"/>
        <v>4</v>
      </c>
      <c r="I35" s="105" t="str">
        <f t="shared" si="3"/>
        <v>A</v>
      </c>
      <c r="J35" s="4" t="str">
        <f t="shared" si="4"/>
        <v>CEE</v>
      </c>
      <c r="K35" s="106">
        <f t="shared" si="5"/>
        <v>4</v>
      </c>
      <c r="L35" s="106">
        <f>IF(NOT(ISERROR(VLOOKUP(B35,Deflatores!G$42:H$64,2,FALSE))),VLOOKUP(B35,Deflatores!G$42:H$64,2,FALSE),IF(OR(ISBLANK(C35),ISBLANK(B35)),"",VLOOKUP(C35,Deflatores!G$4:H$38,2,FALSE)*H35+VLOOKUP(C35,Deflatores!G$4:I$38,3,FALSE)))</f>
        <v>1.6</v>
      </c>
      <c r="M35" s="6"/>
      <c r="N35" s="6"/>
      <c r="O35" s="111"/>
    </row>
    <row r="36" spans="1:15" ht="13.5" customHeight="1" x14ac:dyDescent="0.25">
      <c r="A36" s="114" t="s">
        <v>76</v>
      </c>
      <c r="B36" s="113" t="s">
        <v>50</v>
      </c>
      <c r="C36" s="113" t="s">
        <v>45</v>
      </c>
      <c r="D36" s="4">
        <v>6</v>
      </c>
      <c r="E36" s="4">
        <v>2</v>
      </c>
      <c r="F36" s="105" t="str">
        <f t="shared" si="0"/>
        <v>Média</v>
      </c>
      <c r="G36" s="4" t="str">
        <f>CONCATENATE(B36,I36)</f>
        <v>CEA</v>
      </c>
      <c r="H36" s="4">
        <f>IF(ISBLANK(B36),"",IF(B36="ALI",IF(I36="L",7,IF(I36="A",10,15)),IF(B36="AIE",IF(I36="L",5,IF(I36="A",7,10)),IF(B36="SE",IF(I36="L",4,IF(I36="A",5,7)),IF(OR(B36="EE",B36="CE"),IF(I36="L",3,IF(I36="A",4,6)),0)))))</f>
        <v>4</v>
      </c>
      <c r="I36" s="105" t="str">
        <f>IF(OR(ISBLANK(D36),ISBLANK(E36)),IF(OR(B36="ALI",B36="AIE"),"L",IF(OR(B36="EE",B36="SE",B36="CE"),"A","")),IF(B36="EE",IF(E36&gt;=3,IF(D36&gt;=5,"H","A"),IF(E36&gt;=2,IF(D36&gt;=16,"H",IF(D36&lt;=4,"L","A")),IF(D36&lt;=15,"L","A"))),IF(OR(B36="SE",B36="CE"),IF(E36&gt;=4,IF(D36&gt;=6,"H","A"),IF(E36&gt;=2,IF(D36&gt;=20,"H",IF(D36&lt;=5,"L","A")),IF(D36&lt;=19,"L","A"))),IF(OR(B36="ALI",B36="AIE"),IF(E36&gt;=6,IF(D36&gt;=20,"H","A"),IF(E36&gt;=2,IF(D36&gt;=51,"H",IF(D36&lt;=19,"L","A")),IF(D36&lt;=50,"L","A"))),""))))</f>
        <v>A</v>
      </c>
      <c r="J36" s="4" t="str">
        <f>CONCATENATE(B36,C36)</f>
        <v>CEI</v>
      </c>
      <c r="K36" s="106">
        <f>IF(OR(H36="",H36=0),L36,H36)</f>
        <v>4</v>
      </c>
      <c r="L36" s="106">
        <f>IF(NOT(ISERROR(VLOOKUP(B36,Deflatores!G$42:H$64,2,FALSE))),VLOOKUP(B36,Deflatores!G$42:H$64,2,FALSE),IF(OR(ISBLANK(C36),ISBLANK(B36)),"",VLOOKUP(C36,Deflatores!G$4:H$38,2,FALSE)*H36+VLOOKUP(C36,Deflatores!G$4:I$38,3,FALSE)))</f>
        <v>4</v>
      </c>
      <c r="M36" s="6"/>
      <c r="N36" s="6"/>
      <c r="O36" s="111"/>
    </row>
    <row r="37" spans="1:15" ht="13.5" customHeight="1" x14ac:dyDescent="0.25">
      <c r="A37" s="114" t="s">
        <v>77</v>
      </c>
      <c r="B37" s="113" t="s">
        <v>50</v>
      </c>
      <c r="C37" s="113" t="s">
        <v>45</v>
      </c>
      <c r="D37" s="4">
        <v>6</v>
      </c>
      <c r="E37" s="4">
        <v>1</v>
      </c>
      <c r="F37" s="105" t="str">
        <f t="shared" si="0"/>
        <v>Baixa</v>
      </c>
      <c r="G37" s="4" t="str">
        <f>CONCATENATE(B37,I37)</f>
        <v>CEL</v>
      </c>
      <c r="H37" s="4">
        <f>IF(ISBLANK(B37),"",IF(B37="ALI",IF(I37="L",7,IF(I37="A",10,15)),IF(B37="AIE",IF(I37="L",5,IF(I37="A",7,10)),IF(B37="SE",IF(I37="L",4,IF(I37="A",5,7)),IF(OR(B37="EE",B37="CE"),IF(I37="L",3,IF(I37="A",4,6)),0)))))</f>
        <v>3</v>
      </c>
      <c r="I37" s="105" t="str">
        <f>IF(OR(ISBLANK(D37),ISBLANK(E37)),IF(OR(B37="ALI",B37="AIE"),"L",IF(OR(B37="EE",B37="SE",B37="CE"),"A","")),IF(B37="EE",IF(E37&gt;=3,IF(D37&gt;=5,"H","A"),IF(E37&gt;=2,IF(D37&gt;=16,"H",IF(D37&lt;=4,"L","A")),IF(D37&lt;=15,"L","A"))),IF(OR(B37="SE",B37="CE"),IF(E37&gt;=4,IF(D37&gt;=6,"H","A"),IF(E37&gt;=2,IF(D37&gt;=20,"H",IF(D37&lt;=5,"L","A")),IF(D37&lt;=19,"L","A"))),IF(OR(B37="ALI",B37="AIE"),IF(E37&gt;=6,IF(D37&gt;=20,"H","A"),IF(E37&gt;=2,IF(D37&gt;=51,"H",IF(D37&lt;=19,"L","A")),IF(D37&lt;=50,"L","A"))),""))))</f>
        <v>L</v>
      </c>
      <c r="J37" s="4" t="str">
        <f>CONCATENATE(B37,C37)</f>
        <v>CEI</v>
      </c>
      <c r="K37" s="106">
        <f>IF(OR(H37="",H37=0),L37,H37)</f>
        <v>3</v>
      </c>
      <c r="L37" s="106">
        <f>IF(NOT(ISERROR(VLOOKUP(B37,Deflatores!G$42:H$64,2,FALSE))),VLOOKUP(B37,Deflatores!G$42:H$64,2,FALSE),IF(OR(ISBLANK(C37),ISBLANK(B37)),"",VLOOKUP(C37,Deflatores!G$4:H$38,2,FALSE)*H37+VLOOKUP(C37,Deflatores!G$4:I$38,3,FALSE)))</f>
        <v>3</v>
      </c>
      <c r="M37" s="6"/>
      <c r="N37" s="6"/>
      <c r="O37" s="111"/>
    </row>
    <row r="38" spans="1:15" ht="44" x14ac:dyDescent="0.25">
      <c r="A38" s="114" t="s">
        <v>78</v>
      </c>
      <c r="B38" s="113" t="s">
        <v>50</v>
      </c>
      <c r="C38" s="113" t="s">
        <v>45</v>
      </c>
      <c r="D38" s="4">
        <v>9</v>
      </c>
      <c r="E38" s="4">
        <v>2</v>
      </c>
      <c r="F38" s="105" t="str">
        <f t="shared" si="0"/>
        <v>Média</v>
      </c>
      <c r="G38" s="4" t="str">
        <f>CONCATENATE(B38,I38)</f>
        <v>CEA</v>
      </c>
      <c r="H38" s="4">
        <f>IF(ISBLANK(B38),"",IF(B38="ALI",IF(I38="L",7,IF(I38="A",10,15)),IF(B38="AIE",IF(I38="L",5,IF(I38="A",7,10)),IF(B38="SE",IF(I38="L",4,IF(I38="A",5,7)),IF(OR(B38="EE",B38="CE"),IF(I38="L",3,IF(I38="A",4,6)),0)))))</f>
        <v>4</v>
      </c>
      <c r="I38" s="105" t="str">
        <f>IF(OR(ISBLANK(D38),ISBLANK(E38)),IF(OR(B38="ALI",B38="AIE"),"L",IF(OR(B38="EE",B38="SE",B38="CE"),"A","")),IF(B38="EE",IF(E38&gt;=3,IF(D38&gt;=5,"H","A"),IF(E38&gt;=2,IF(D38&gt;=16,"H",IF(D38&lt;=4,"L","A")),IF(D38&lt;=15,"L","A"))),IF(OR(B38="SE",B38="CE"),IF(E38&gt;=4,IF(D38&gt;=6,"H","A"),IF(E38&gt;=2,IF(D38&gt;=20,"H",IF(D38&lt;=5,"L","A")),IF(D38&lt;=19,"L","A"))),IF(OR(B38="ALI",B38="AIE"),IF(E38&gt;=6,IF(D38&gt;=20,"H","A"),IF(E38&gt;=2,IF(D38&gt;=51,"H",IF(D38&lt;=19,"L","A")),IF(D38&lt;=50,"L","A"))),""))))</f>
        <v>A</v>
      </c>
      <c r="J38" s="4" t="str">
        <f>CONCATENATE(B38,C38)</f>
        <v>CEI</v>
      </c>
      <c r="K38" s="106">
        <f>IF(OR(H38="",H38=0),L38,H38)</f>
        <v>4</v>
      </c>
      <c r="L38" s="106">
        <v>4</v>
      </c>
      <c r="M38" s="6"/>
      <c r="O38" s="111" t="s">
        <v>79</v>
      </c>
    </row>
    <row r="39" spans="1:15" x14ac:dyDescent="0.25">
      <c r="A39" s="114" t="s">
        <v>80</v>
      </c>
      <c r="B39" s="113" t="s">
        <v>50</v>
      </c>
      <c r="C39" s="113" t="s">
        <v>45</v>
      </c>
      <c r="D39" s="4">
        <v>3</v>
      </c>
      <c r="E39" s="4">
        <v>2</v>
      </c>
      <c r="F39" s="105" t="str">
        <f t="shared" si="0"/>
        <v>Baixa</v>
      </c>
      <c r="G39" s="4" t="str">
        <f>CONCATENATE(B39,I39)</f>
        <v>CEL</v>
      </c>
      <c r="H39" s="4">
        <f>IF(ISBLANK(B39),"",IF(B39="ALI",IF(I39="L",7,IF(I39="A",10,15)),IF(B39="AIE",IF(I39="L",5,IF(I39="A",7,10)),IF(B39="SE",IF(I39="L",4,IF(I39="A",5,7)),IF(OR(B39="EE",B39="CE"),IF(I39="L",3,IF(I39="A",4,6)),0)))))</f>
        <v>3</v>
      </c>
      <c r="I39" s="105" t="str">
        <f>IF(OR(ISBLANK(D39),ISBLANK(E39)),IF(OR(B39="ALI",B39="AIE"),"L",IF(OR(B39="EE",B39="SE",B39="CE"),"A","")),IF(B39="EE",IF(E39&gt;=3,IF(D39&gt;=5,"H","A"),IF(E39&gt;=2,IF(D39&gt;=16,"H",IF(D39&lt;=4,"L","A")),IF(D39&lt;=15,"L","A"))),IF(OR(B39="SE",B39="CE"),IF(E39&gt;=4,IF(D39&gt;=6,"H","A"),IF(E39&gt;=2,IF(D39&gt;=20,"H",IF(D39&lt;=5,"L","A")),IF(D39&lt;=19,"L","A"))),IF(OR(B39="ALI",B39="AIE"),IF(E39&gt;=6,IF(D39&gt;=20,"H","A"),IF(E39&gt;=2,IF(D39&gt;=51,"H",IF(D39&lt;=19,"L","A")),IF(D39&lt;=50,"L","A"))),""))))</f>
        <v>L</v>
      </c>
      <c r="J39" s="4" t="str">
        <f>CONCATENATE(B39,C39)</f>
        <v>CEI</v>
      </c>
      <c r="K39" s="106">
        <f>IF(OR(H39="",H39=0),L39,H39)</f>
        <v>3</v>
      </c>
      <c r="L39" s="106">
        <f>IF(NOT(ISERROR(VLOOKUP(B39,Deflatores!G$42:H$64,2,FALSE))),VLOOKUP(B39,Deflatores!G$42:H$64,2,FALSE),IF(OR(ISBLANK(C39),ISBLANK(B39)),"",VLOOKUP(C39,Deflatores!G$4:H$38,2,FALSE)*H39+VLOOKUP(C39,Deflatores!G$4:I$38,3,FALSE)))</f>
        <v>3</v>
      </c>
      <c r="M39" s="6"/>
      <c r="N39" s="6"/>
      <c r="O39" s="111"/>
    </row>
    <row r="40" spans="1:15" ht="13.5" customHeight="1" x14ac:dyDescent="0.25">
      <c r="A40" s="112" t="s">
        <v>81</v>
      </c>
      <c r="B40" s="113" t="s">
        <v>48</v>
      </c>
      <c r="C40" s="113" t="s">
        <v>45</v>
      </c>
      <c r="D40" s="4">
        <v>27</v>
      </c>
      <c r="E40" s="4">
        <v>6</v>
      </c>
      <c r="F40" s="105" t="str">
        <f t="shared" si="0"/>
        <v>Alta</v>
      </c>
      <c r="G40" s="4" t="str">
        <f t="shared" si="1"/>
        <v>EEH</v>
      </c>
      <c r="H40" s="4">
        <f t="shared" si="2"/>
        <v>6</v>
      </c>
      <c r="I40" s="105" t="str">
        <f t="shared" si="3"/>
        <v>H</v>
      </c>
      <c r="J40" s="4" t="str">
        <f t="shared" si="4"/>
        <v>EEI</v>
      </c>
      <c r="K40" s="106">
        <f t="shared" si="5"/>
        <v>6</v>
      </c>
      <c r="L40" s="106">
        <f>IF(NOT(ISERROR(VLOOKUP(B40,Deflatores!G$42:H$64,2,FALSE))),VLOOKUP(B40,Deflatores!G$42:H$64,2,FALSE),IF(OR(ISBLANK(C40),ISBLANK(B40)),"",VLOOKUP(C40,Deflatores!G$4:H$38,2,FALSE)*H40+VLOOKUP(C40,Deflatores!G$4:I$38,3,FALSE)))</f>
        <v>6</v>
      </c>
      <c r="M40" s="6"/>
      <c r="N40" s="6"/>
      <c r="O40" s="111"/>
    </row>
    <row r="41" spans="1:15" ht="13.5" customHeight="1" x14ac:dyDescent="0.25">
      <c r="A41" s="114" t="s">
        <v>82</v>
      </c>
      <c r="B41" s="113" t="s">
        <v>50</v>
      </c>
      <c r="C41" s="113" t="s">
        <v>45</v>
      </c>
      <c r="D41" s="4">
        <v>20</v>
      </c>
      <c r="E41" s="4">
        <v>6</v>
      </c>
      <c r="F41" s="105" t="str">
        <f t="shared" si="0"/>
        <v>Alta</v>
      </c>
      <c r="G41" s="4" t="str">
        <f t="shared" si="1"/>
        <v>CEH</v>
      </c>
      <c r="H41" s="4">
        <f t="shared" si="2"/>
        <v>6</v>
      </c>
      <c r="I41" s="105" t="str">
        <f t="shared" si="3"/>
        <v>H</v>
      </c>
      <c r="J41" s="4" t="str">
        <f t="shared" si="4"/>
        <v>CEI</v>
      </c>
      <c r="K41" s="106">
        <f t="shared" si="5"/>
        <v>6</v>
      </c>
      <c r="L41" s="106">
        <f>IF(NOT(ISERROR(VLOOKUP(B41,Deflatores!G$42:H$64,2,FALSE))),VLOOKUP(B41,Deflatores!G$42:H$64,2,FALSE),IF(OR(ISBLANK(C41),ISBLANK(B41)),"",VLOOKUP(C41,Deflatores!G$4:H$38,2,FALSE)*H41+VLOOKUP(C41,Deflatores!G$4:I$38,3,FALSE)))</f>
        <v>6</v>
      </c>
      <c r="M41" s="6"/>
      <c r="N41" s="6"/>
      <c r="O41" s="111"/>
    </row>
    <row r="42" spans="1:15" ht="13.5" customHeight="1" x14ac:dyDescent="0.25">
      <c r="A42" s="112" t="s">
        <v>83</v>
      </c>
      <c r="B42" s="113" t="s">
        <v>48</v>
      </c>
      <c r="C42" s="113" t="s">
        <v>45</v>
      </c>
      <c r="D42" s="4">
        <v>12</v>
      </c>
      <c r="E42" s="4">
        <v>6</v>
      </c>
      <c r="F42" s="105" t="str">
        <f t="shared" si="0"/>
        <v>Alta</v>
      </c>
      <c r="G42" s="4" t="str">
        <f t="shared" si="1"/>
        <v>EEH</v>
      </c>
      <c r="H42" s="4">
        <f t="shared" si="2"/>
        <v>6</v>
      </c>
      <c r="I42" s="105" t="str">
        <f t="shared" si="3"/>
        <v>H</v>
      </c>
      <c r="J42" s="4" t="str">
        <f t="shared" si="4"/>
        <v>EEI</v>
      </c>
      <c r="K42" s="106">
        <f t="shared" si="5"/>
        <v>6</v>
      </c>
      <c r="L42" s="106">
        <f>IF(NOT(ISERROR(VLOOKUP(B42,Deflatores!G$42:H$64,2,FALSE))),VLOOKUP(B42,Deflatores!G$42:H$64,2,FALSE),IF(OR(ISBLANK(C42),ISBLANK(B42)),"",VLOOKUP(C42,Deflatores!G$4:H$38,2,FALSE)*H42+VLOOKUP(C42,Deflatores!G$4:I$38,3,FALSE)))</f>
        <v>6</v>
      </c>
      <c r="M42" s="6"/>
      <c r="N42" s="6"/>
      <c r="O42" s="111"/>
    </row>
    <row r="43" spans="1:15" ht="13.5" customHeight="1" x14ac:dyDescent="0.25">
      <c r="A43" s="114" t="s">
        <v>84</v>
      </c>
      <c r="B43" s="113" t="s">
        <v>50</v>
      </c>
      <c r="C43" s="113" t="s">
        <v>45</v>
      </c>
      <c r="D43" s="4">
        <v>2</v>
      </c>
      <c r="E43" s="4">
        <v>1</v>
      </c>
      <c r="F43" s="105" t="str">
        <f t="shared" si="0"/>
        <v>Baixa</v>
      </c>
      <c r="G43" s="4" t="str">
        <f t="shared" si="1"/>
        <v>CEL</v>
      </c>
      <c r="H43" s="4">
        <f t="shared" si="2"/>
        <v>3</v>
      </c>
      <c r="I43" s="105" t="str">
        <f t="shared" si="3"/>
        <v>L</v>
      </c>
      <c r="J43" s="4" t="str">
        <f t="shared" si="4"/>
        <v>CEI</v>
      </c>
      <c r="K43" s="106">
        <f t="shared" si="5"/>
        <v>3</v>
      </c>
      <c r="L43" s="106">
        <f>IF(NOT(ISERROR(VLOOKUP(B43,Deflatores!G$42:H$64,2,FALSE))),VLOOKUP(B43,Deflatores!G$42:H$64,2,FALSE),IF(OR(ISBLANK(C43),ISBLANK(B43)),"",VLOOKUP(C43,Deflatores!G$4:H$38,2,FALSE)*H43+VLOOKUP(C43,Deflatores!G$4:I$38,3,FALSE)))</f>
        <v>3</v>
      </c>
      <c r="M43" s="6"/>
      <c r="N43" s="6"/>
      <c r="O43" s="111"/>
    </row>
    <row r="44" spans="1:15" ht="13.5" customHeight="1" x14ac:dyDescent="0.25">
      <c r="A44" s="114" t="s">
        <v>85</v>
      </c>
      <c r="B44" s="113" t="s">
        <v>50</v>
      </c>
      <c r="C44" s="113" t="s">
        <v>45</v>
      </c>
      <c r="D44" s="4">
        <v>2</v>
      </c>
      <c r="E44" s="4">
        <v>1</v>
      </c>
      <c r="F44" s="105" t="str">
        <f t="shared" si="0"/>
        <v>Baixa</v>
      </c>
      <c r="G44" s="4" t="str">
        <f t="shared" si="1"/>
        <v>CEL</v>
      </c>
      <c r="H44" s="4">
        <f t="shared" si="2"/>
        <v>3</v>
      </c>
      <c r="I44" s="105" t="str">
        <f t="shared" si="3"/>
        <v>L</v>
      </c>
      <c r="J44" s="4" t="str">
        <f t="shared" si="4"/>
        <v>CEI</v>
      </c>
      <c r="K44" s="106">
        <f t="shared" si="5"/>
        <v>3</v>
      </c>
      <c r="L44" s="106">
        <f>IF(NOT(ISERROR(VLOOKUP(B44,Deflatores!G$42:H$64,2,FALSE))),VLOOKUP(B44,Deflatores!G$42:H$64,2,FALSE),IF(OR(ISBLANK(C44),ISBLANK(B44)),"",VLOOKUP(C44,Deflatores!G$4:H$38,2,FALSE)*H44+VLOOKUP(C44,Deflatores!G$4:I$38,3,FALSE)))</f>
        <v>3</v>
      </c>
      <c r="M44" s="6"/>
      <c r="N44" s="6"/>
      <c r="O44" s="111"/>
    </row>
    <row r="45" spans="1:15" ht="13.5" customHeight="1" x14ac:dyDescent="0.25">
      <c r="A45" s="112" t="s">
        <v>86</v>
      </c>
      <c r="B45" s="113" t="s">
        <v>48</v>
      </c>
      <c r="C45" s="113" t="s">
        <v>45</v>
      </c>
      <c r="D45" s="4">
        <v>18</v>
      </c>
      <c r="E45" s="4">
        <v>6</v>
      </c>
      <c r="F45" s="105" t="str">
        <f t="shared" si="0"/>
        <v>Alta</v>
      </c>
      <c r="G45" s="4" t="str">
        <f t="shared" si="1"/>
        <v>EEH</v>
      </c>
      <c r="H45" s="4">
        <f t="shared" si="2"/>
        <v>6</v>
      </c>
      <c r="I45" s="105" t="str">
        <f t="shared" si="3"/>
        <v>H</v>
      </c>
      <c r="J45" s="4" t="str">
        <f t="shared" si="4"/>
        <v>EEI</v>
      </c>
      <c r="K45" s="106">
        <f t="shared" si="5"/>
        <v>6</v>
      </c>
      <c r="L45" s="106">
        <f>IF(NOT(ISERROR(VLOOKUP(B45,Deflatores!G$42:H$64,2,FALSE))),VLOOKUP(B45,Deflatores!G$42:H$64,2,FALSE),IF(OR(ISBLANK(C45),ISBLANK(B45)),"",VLOOKUP(C45,Deflatores!G$4:H$38,2,FALSE)*H45+VLOOKUP(C45,Deflatores!G$4:I$38,3,FALSE)))</f>
        <v>6</v>
      </c>
      <c r="M45" s="6"/>
      <c r="N45" s="6"/>
      <c r="O45" s="111"/>
    </row>
    <row r="46" spans="1:15" ht="13.5" customHeight="1" x14ac:dyDescent="0.25">
      <c r="A46" s="114" t="s">
        <v>58</v>
      </c>
      <c r="B46" s="113" t="s">
        <v>50</v>
      </c>
      <c r="C46" s="113" t="s">
        <v>45</v>
      </c>
      <c r="D46" s="4">
        <v>14</v>
      </c>
      <c r="E46" s="4">
        <v>5</v>
      </c>
      <c r="F46" s="105" t="str">
        <f t="shared" si="0"/>
        <v>Alta</v>
      </c>
      <c r="G46" s="4" t="str">
        <f t="shared" si="1"/>
        <v>CEH</v>
      </c>
      <c r="H46" s="4">
        <f t="shared" si="2"/>
        <v>6</v>
      </c>
      <c r="I46" s="105" t="str">
        <f t="shared" si="3"/>
        <v>H</v>
      </c>
      <c r="J46" s="4" t="str">
        <f t="shared" si="4"/>
        <v>CEI</v>
      </c>
      <c r="K46" s="106">
        <f t="shared" si="5"/>
        <v>6</v>
      </c>
      <c r="L46" s="106">
        <f>IF(NOT(ISERROR(VLOOKUP(B46,Deflatores!G$42:H$64,2,FALSE))),VLOOKUP(B46,Deflatores!G$42:H$64,2,FALSE),IF(OR(ISBLANK(C46),ISBLANK(B46)),"",VLOOKUP(C46,Deflatores!G$4:H$38,2,FALSE)*H46+VLOOKUP(C46,Deflatores!G$4:I$38,3,FALSE)))</f>
        <v>6</v>
      </c>
      <c r="M46" s="6"/>
      <c r="N46" s="6"/>
      <c r="O46" s="111"/>
    </row>
    <row r="47" spans="1:15" ht="13.5" customHeight="1" x14ac:dyDescent="0.25">
      <c r="A47" s="112" t="s">
        <v>87</v>
      </c>
      <c r="B47" s="113" t="s">
        <v>50</v>
      </c>
      <c r="C47" s="113" t="s">
        <v>45</v>
      </c>
      <c r="D47" s="4">
        <v>13</v>
      </c>
      <c r="E47" s="4">
        <v>3</v>
      </c>
      <c r="F47" s="105" t="str">
        <f t="shared" si="0"/>
        <v>Média</v>
      </c>
      <c r="G47" s="4" t="str">
        <f t="shared" si="1"/>
        <v>CEA</v>
      </c>
      <c r="H47" s="4">
        <f t="shared" si="2"/>
        <v>4</v>
      </c>
      <c r="I47" s="105" t="str">
        <f t="shared" si="3"/>
        <v>A</v>
      </c>
      <c r="J47" s="4" t="str">
        <f t="shared" si="4"/>
        <v>CEI</v>
      </c>
      <c r="K47" s="106">
        <f t="shared" si="5"/>
        <v>4</v>
      </c>
      <c r="L47" s="106">
        <f>IF(NOT(ISERROR(VLOOKUP(B47,Deflatores!G$42:H$64,2,FALSE))),VLOOKUP(B47,Deflatores!G$42:H$64,2,FALSE),IF(OR(ISBLANK(C47),ISBLANK(B47)),"",VLOOKUP(C47,Deflatores!G$4:H$38,2,FALSE)*H47+VLOOKUP(C47,Deflatores!G$4:I$38,3,FALSE)))</f>
        <v>4</v>
      </c>
      <c r="M47" s="6"/>
      <c r="N47" s="6"/>
      <c r="O47" s="111"/>
    </row>
    <row r="48" spans="1:15" ht="13.5" customHeight="1" x14ac:dyDescent="0.25">
      <c r="A48" s="112" t="s">
        <v>88</v>
      </c>
      <c r="B48" s="113" t="s">
        <v>48</v>
      </c>
      <c r="C48" s="113" t="s">
        <v>45</v>
      </c>
      <c r="D48" s="4">
        <v>3</v>
      </c>
      <c r="E48" s="4">
        <v>1</v>
      </c>
      <c r="F48" s="105" t="str">
        <f t="shared" si="0"/>
        <v>Baixa</v>
      </c>
      <c r="G48" s="4" t="str">
        <f t="shared" si="1"/>
        <v>EEL</v>
      </c>
      <c r="H48" s="4">
        <f t="shared" si="2"/>
        <v>3</v>
      </c>
      <c r="I48" s="105" t="str">
        <f t="shared" si="3"/>
        <v>L</v>
      </c>
      <c r="J48" s="4" t="str">
        <f t="shared" si="4"/>
        <v>EEI</v>
      </c>
      <c r="K48" s="106">
        <f t="shared" si="5"/>
        <v>3</v>
      </c>
      <c r="L48" s="106">
        <f>IF(NOT(ISERROR(VLOOKUP(B48,Deflatores!G$42:H$64,2,FALSE))),VLOOKUP(B48,Deflatores!G$42:H$64,2,FALSE),IF(OR(ISBLANK(C48),ISBLANK(B48)),"",VLOOKUP(C48,Deflatores!G$4:H$38,2,FALSE)*H48+VLOOKUP(C48,Deflatores!G$4:I$38,3,FALSE)))</f>
        <v>3</v>
      </c>
      <c r="M48" s="6"/>
      <c r="N48" s="6"/>
      <c r="O48" s="111"/>
    </row>
    <row r="49" spans="1:15" ht="13.5" customHeight="1" x14ac:dyDescent="0.25">
      <c r="A49" s="112" t="s">
        <v>89</v>
      </c>
      <c r="B49" s="113" t="s">
        <v>50</v>
      </c>
      <c r="C49" s="113" t="s">
        <v>45</v>
      </c>
      <c r="D49" s="4">
        <v>38</v>
      </c>
      <c r="E49" s="4">
        <v>5</v>
      </c>
      <c r="F49" s="105" t="str">
        <f t="shared" si="0"/>
        <v>Alta</v>
      </c>
      <c r="G49" s="4" t="str">
        <f t="shared" si="1"/>
        <v>CEH</v>
      </c>
      <c r="H49" s="4">
        <f t="shared" si="2"/>
        <v>6</v>
      </c>
      <c r="I49" s="105" t="str">
        <f t="shared" si="3"/>
        <v>H</v>
      </c>
      <c r="J49" s="4" t="str">
        <f t="shared" si="4"/>
        <v>CEI</v>
      </c>
      <c r="K49" s="106">
        <f t="shared" si="5"/>
        <v>6</v>
      </c>
      <c r="L49" s="106">
        <f>IF(NOT(ISERROR(VLOOKUP(B49,Deflatores!G$42:H$64,2,FALSE))),VLOOKUP(B49,Deflatores!G$42:H$64,2,FALSE),IF(OR(ISBLANK(C49),ISBLANK(B49)),"",VLOOKUP(C49,Deflatores!G$4:H$38,2,FALSE)*H49+VLOOKUP(C49,Deflatores!G$4:I$38,3,FALSE)))</f>
        <v>6</v>
      </c>
      <c r="M49" s="6"/>
      <c r="N49" s="6"/>
      <c r="O49" s="111"/>
    </row>
    <row r="50" spans="1:15" ht="13.5" x14ac:dyDescent="0.25">
      <c r="A50" s="155" t="s">
        <v>90</v>
      </c>
      <c r="B50" s="126" t="s">
        <v>48</v>
      </c>
      <c r="C50" s="127" t="s">
        <v>45</v>
      </c>
      <c r="D50" s="4">
        <v>13</v>
      </c>
      <c r="E50" s="4">
        <v>2</v>
      </c>
      <c r="F50" s="128" t="s">
        <v>91</v>
      </c>
      <c r="G50" s="129">
        <v>3</v>
      </c>
      <c r="H50" s="129">
        <v>3</v>
      </c>
      <c r="I50" s="129">
        <v>3</v>
      </c>
      <c r="J50" s="129"/>
      <c r="K50" s="106">
        <f t="shared" si="5"/>
        <v>3</v>
      </c>
      <c r="L50" s="106">
        <f>IF(NOT(ISERROR(VLOOKUP(B50,Deflatores!G$42:H$64,2,FALSE))),VLOOKUP(B50,Deflatores!G$42:H$64,2,FALSE),IF(OR(ISBLANK(C50),ISBLANK(B50)),"",VLOOKUP(C50,Deflatores!G$4:H$38,2,FALSE)*H50+VLOOKUP(C50,Deflatores!G$4:I$38,3,FALSE)))</f>
        <v>3</v>
      </c>
      <c r="N50" s="6"/>
      <c r="O50" s="111"/>
    </row>
    <row r="51" spans="1:15" x14ac:dyDescent="0.25">
      <c r="A51" s="145" t="s">
        <v>92</v>
      </c>
      <c r="B51" s="113" t="s">
        <v>50</v>
      </c>
      <c r="C51" s="113" t="s">
        <v>45</v>
      </c>
      <c r="D51" s="4">
        <v>10</v>
      </c>
      <c r="E51" s="4">
        <v>2</v>
      </c>
      <c r="F51" s="105" t="str">
        <f>IF(ISBLANK(B51),"",IF(I51="L","Baixa",IF(I51="A","Média",IF(I51="","","Alta"))))</f>
        <v>Média</v>
      </c>
      <c r="G51" s="4" t="str">
        <f>CONCATENATE(B51,I51)</f>
        <v>CEA</v>
      </c>
      <c r="H51" s="4">
        <f>IF(ISBLANK(B51),"",IF(B51="ALI",IF(I51="L",7,IF(I51="A",10,15)),IF(B51="AIE",IF(I51="L",5,IF(I51="A",7,10)),IF(B51="SE",IF(I51="L",4,IF(I51="A",5,7)),IF(OR(B51="EE",B51="CE"),IF(I51="L",3,IF(I51="A",4,6)),0)))))</f>
        <v>4</v>
      </c>
      <c r="I51" s="105" t="str">
        <f>IF(OR(ISBLANK(D51),ISBLANK(E51)),IF(OR(B51="ALI",B51="AIE"),"L",IF(OR(B51="EE",B51="SE",B51="CE"),"A","")),IF(B51="EE",IF(E51&gt;=3,IF(D51&gt;=5,"H","A"),IF(E51&gt;=2,IF(D51&gt;=16,"H",IF(D51&lt;=4,"L","A")),IF(D51&lt;=15,"L","A"))),IF(OR(B51="SE",B51="CE"),IF(E51&gt;=4,IF(D51&gt;=6,"H","A"),IF(E51&gt;=2,IF(D51&gt;=20,"H",IF(D51&lt;=5,"L","A")),IF(D51&lt;=19,"L","A"))),IF(OR(B51="ALI",B51="AIE"),IF(E51&gt;=6,IF(D51&gt;=20,"H","A"),IF(E51&gt;=2,IF(D51&gt;=51,"H",IF(D51&lt;=19,"L","A")),IF(D51&lt;=50,"L","A"))),""))))</f>
        <v>A</v>
      </c>
      <c r="J51" s="4" t="str">
        <f>CONCATENATE(B51,C51)</f>
        <v>CEI</v>
      </c>
      <c r="K51" s="106">
        <f t="shared" si="5"/>
        <v>4</v>
      </c>
      <c r="L51" s="106">
        <f>IF(NOT(ISERROR(VLOOKUP(B51,Deflatores!G$42:H$64,2,FALSE))),VLOOKUP(B51,Deflatores!G$42:H$64,2,FALSE),IF(OR(ISBLANK(C51),ISBLANK(B51)),"",VLOOKUP(C51,Deflatores!G$4:H$38,2,FALSE)*H51+VLOOKUP(C51,Deflatores!G$4:I$38,3,FALSE)))</f>
        <v>4</v>
      </c>
      <c r="M51" s="6"/>
      <c r="N51" s="6"/>
      <c r="O51" s="144"/>
    </row>
    <row r="52" spans="1:15" ht="13.5" customHeight="1" x14ac:dyDescent="0.25">
      <c r="A52" s="112"/>
      <c r="B52" s="113"/>
      <c r="C52" s="113"/>
      <c r="D52" s="4"/>
      <c r="E52" s="4"/>
      <c r="F52" s="105" t="str">
        <f t="shared" si="0"/>
        <v/>
      </c>
      <c r="G52" s="4" t="str">
        <f t="shared" si="1"/>
        <v/>
      </c>
      <c r="H52" s="4" t="str">
        <f t="shared" si="2"/>
        <v/>
      </c>
      <c r="I52" s="105" t="str">
        <f t="shared" si="3"/>
        <v/>
      </c>
      <c r="J52" s="4" t="str">
        <f t="shared" si="4"/>
        <v/>
      </c>
      <c r="K52" s="106" t="str">
        <f t="shared" si="5"/>
        <v/>
      </c>
      <c r="L52" s="106" t="str">
        <f>IF(NOT(ISERROR(VLOOKUP(B52,Deflatores!G$42:H$64,2,FALSE))),VLOOKUP(B52,Deflatores!G$42:H$64,2,FALSE),IF(OR(ISBLANK(C52),ISBLANK(B52)),"",VLOOKUP(C52,Deflatores!G$4:H$38,2,FALSE)*H52+VLOOKUP(C52,Deflatores!G$4:I$38,3,FALSE)))</f>
        <v/>
      </c>
      <c r="M52" s="6"/>
      <c r="N52" s="6"/>
      <c r="O52" s="111"/>
    </row>
    <row r="53" spans="1:15" ht="13.5" customHeight="1" x14ac:dyDescent="0.25">
      <c r="A53" s="115" t="s">
        <v>93</v>
      </c>
      <c r="B53" s="113"/>
      <c r="C53" s="113" t="s">
        <v>45</v>
      </c>
      <c r="D53" s="4"/>
      <c r="E53" s="4"/>
      <c r="F53" s="105" t="str">
        <f t="shared" si="0"/>
        <v/>
      </c>
      <c r="G53" s="4" t="str">
        <f t="shared" si="1"/>
        <v/>
      </c>
      <c r="H53" s="4" t="str">
        <f t="shared" si="2"/>
        <v/>
      </c>
      <c r="I53" s="105" t="str">
        <f t="shared" si="3"/>
        <v/>
      </c>
      <c r="J53" s="4" t="str">
        <f t="shared" si="4"/>
        <v>I</v>
      </c>
      <c r="K53" s="106" t="str">
        <f t="shared" si="5"/>
        <v/>
      </c>
      <c r="L53" s="106" t="str">
        <f>IF(NOT(ISERROR(VLOOKUP(B53,Deflatores!G$42:H$64,2,FALSE))),VLOOKUP(B53,Deflatores!G$42:H$64,2,FALSE),IF(OR(ISBLANK(C53),ISBLANK(B53)),"",VLOOKUP(C53,Deflatores!G$4:H$38,2,FALSE)*H53+VLOOKUP(C53,Deflatores!G$4:I$38,3,FALSE)))</f>
        <v/>
      </c>
      <c r="M53" s="6"/>
      <c r="N53" s="6"/>
      <c r="O53" s="111"/>
    </row>
    <row r="54" spans="1:15" ht="13.5" customHeight="1" x14ac:dyDescent="0.25">
      <c r="A54" s="112" t="s">
        <v>94</v>
      </c>
      <c r="B54" s="113" t="s">
        <v>67</v>
      </c>
      <c r="C54" s="113" t="s">
        <v>45</v>
      </c>
      <c r="D54" s="4">
        <v>4</v>
      </c>
      <c r="E54" s="4">
        <v>1</v>
      </c>
      <c r="F54" s="105" t="str">
        <f t="shared" si="0"/>
        <v>Baixa</v>
      </c>
      <c r="G54" s="4" t="str">
        <f t="shared" si="1"/>
        <v>AIEL</v>
      </c>
      <c r="H54" s="4">
        <f t="shared" si="2"/>
        <v>5</v>
      </c>
      <c r="I54" s="105" t="str">
        <f t="shared" si="3"/>
        <v>L</v>
      </c>
      <c r="J54" s="4" t="str">
        <f t="shared" si="4"/>
        <v>AIEI</v>
      </c>
      <c r="K54" s="106">
        <f t="shared" si="5"/>
        <v>5</v>
      </c>
      <c r="L54" s="106">
        <f>IF(NOT(ISERROR(VLOOKUP(B54,Deflatores!G$42:H$64,2,FALSE))),VLOOKUP(B54,Deflatores!G$42:H$64,2,FALSE),IF(OR(ISBLANK(C54),ISBLANK(B54)),"",VLOOKUP(C54,Deflatores!G$4:H$38,2,FALSE)*H54+VLOOKUP(C54,Deflatores!G$4:I$38,3,FALSE)))</f>
        <v>5</v>
      </c>
      <c r="M54" s="6"/>
      <c r="N54" s="6"/>
      <c r="O54" s="111"/>
    </row>
    <row r="55" spans="1:15" ht="13.5" customHeight="1" x14ac:dyDescent="0.25">
      <c r="A55" s="112" t="s">
        <v>95</v>
      </c>
      <c r="B55" s="113" t="s">
        <v>48</v>
      </c>
      <c r="C55" s="113" t="s">
        <v>45</v>
      </c>
      <c r="D55" s="4">
        <v>18</v>
      </c>
      <c r="E55" s="4">
        <v>2</v>
      </c>
      <c r="F55" s="105" t="str">
        <f t="shared" si="0"/>
        <v>Alta</v>
      </c>
      <c r="G55" s="4" t="str">
        <f t="shared" si="1"/>
        <v>EEH</v>
      </c>
      <c r="H55" s="4">
        <f t="shared" si="2"/>
        <v>6</v>
      </c>
      <c r="I55" s="105" t="str">
        <f t="shared" si="3"/>
        <v>H</v>
      </c>
      <c r="J55" s="4" t="str">
        <f t="shared" si="4"/>
        <v>EEI</v>
      </c>
      <c r="K55" s="106">
        <f t="shared" si="5"/>
        <v>6</v>
      </c>
      <c r="L55" s="106">
        <f>IF(NOT(ISERROR(VLOOKUP(B55,Deflatores!G$42:H$64,2,FALSE))),VLOOKUP(B55,Deflatores!G$42:H$64,2,FALSE),IF(OR(ISBLANK(C55),ISBLANK(B55)),"",VLOOKUP(C55,Deflatores!G$4:H$38,2,FALSE)*H55+VLOOKUP(C55,Deflatores!G$4:I$38,3,FALSE)))</f>
        <v>6</v>
      </c>
      <c r="M55" s="6"/>
      <c r="N55" s="6"/>
      <c r="O55" s="111"/>
    </row>
    <row r="56" spans="1:15" ht="13.5" customHeight="1" x14ac:dyDescent="0.25">
      <c r="A56" s="114" t="s">
        <v>96</v>
      </c>
      <c r="B56" s="113" t="s">
        <v>50</v>
      </c>
      <c r="C56" s="113" t="s">
        <v>45</v>
      </c>
      <c r="D56" s="4">
        <v>4</v>
      </c>
      <c r="E56" s="4">
        <v>1</v>
      </c>
      <c r="F56" s="105" t="str">
        <f t="shared" si="0"/>
        <v>Baixa</v>
      </c>
      <c r="G56" s="4" t="str">
        <f t="shared" si="1"/>
        <v>CEL</v>
      </c>
      <c r="H56" s="4">
        <f t="shared" si="2"/>
        <v>3</v>
      </c>
      <c r="I56" s="105" t="str">
        <f t="shared" si="3"/>
        <v>L</v>
      </c>
      <c r="J56" s="4" t="str">
        <f t="shared" si="4"/>
        <v>CEI</v>
      </c>
      <c r="K56" s="106">
        <f t="shared" si="5"/>
        <v>3</v>
      </c>
      <c r="L56" s="106">
        <f>IF(NOT(ISERROR(VLOOKUP(B56,Deflatores!G$42:H$64,2,FALSE))),VLOOKUP(B56,Deflatores!G$42:H$64,2,FALSE),IF(OR(ISBLANK(C56),ISBLANK(B56)),"",VLOOKUP(C56,Deflatores!G$4:H$38,2,FALSE)*H56+VLOOKUP(C56,Deflatores!G$4:I$38,3,FALSE)))</f>
        <v>3</v>
      </c>
      <c r="M56" s="6"/>
      <c r="N56" s="6"/>
      <c r="O56" s="111"/>
    </row>
    <row r="57" spans="1:15" ht="13.5" customHeight="1" x14ac:dyDescent="0.25">
      <c r="A57" s="114" t="s">
        <v>97</v>
      </c>
      <c r="B57" s="113" t="s">
        <v>50</v>
      </c>
      <c r="C57" s="113" t="s">
        <v>45</v>
      </c>
      <c r="D57" s="4">
        <v>2</v>
      </c>
      <c r="E57" s="4">
        <v>1</v>
      </c>
      <c r="F57" s="105" t="str">
        <f t="shared" si="0"/>
        <v>Baixa</v>
      </c>
      <c r="G57" s="4" t="str">
        <f t="shared" si="1"/>
        <v>CEL</v>
      </c>
      <c r="H57" s="4">
        <f t="shared" si="2"/>
        <v>3</v>
      </c>
      <c r="I57" s="105" t="str">
        <f t="shared" si="3"/>
        <v>L</v>
      </c>
      <c r="J57" s="4" t="str">
        <f t="shared" si="4"/>
        <v>CEI</v>
      </c>
      <c r="K57" s="106">
        <f t="shared" si="5"/>
        <v>3</v>
      </c>
      <c r="L57" s="106">
        <f>IF(NOT(ISERROR(VLOOKUP(B57,Deflatores!G$42:H$64,2,FALSE))),VLOOKUP(B57,Deflatores!G$42:H$64,2,FALSE),IF(OR(ISBLANK(C57),ISBLANK(B57)),"",VLOOKUP(C57,Deflatores!G$4:H$38,2,FALSE)*H57+VLOOKUP(C57,Deflatores!G$4:I$38,3,FALSE)))</f>
        <v>3</v>
      </c>
      <c r="M57" s="6"/>
      <c r="N57" s="6"/>
      <c r="O57" s="111"/>
    </row>
    <row r="58" spans="1:15" ht="13.5" customHeight="1" x14ac:dyDescent="0.25">
      <c r="A58" s="114" t="s">
        <v>98</v>
      </c>
      <c r="B58" s="113" t="s">
        <v>50</v>
      </c>
      <c r="C58" s="113" t="s">
        <v>45</v>
      </c>
      <c r="D58" s="4">
        <v>2</v>
      </c>
      <c r="E58" s="4">
        <v>1</v>
      </c>
      <c r="F58" s="105" t="str">
        <f t="shared" si="0"/>
        <v>Baixa</v>
      </c>
      <c r="G58" s="4" t="str">
        <f t="shared" si="1"/>
        <v>CEL</v>
      </c>
      <c r="H58" s="4">
        <f t="shared" si="2"/>
        <v>3</v>
      </c>
      <c r="I58" s="105" t="str">
        <f t="shared" si="3"/>
        <v>L</v>
      </c>
      <c r="J58" s="4" t="str">
        <f t="shared" si="4"/>
        <v>CEI</v>
      </c>
      <c r="K58" s="106">
        <f t="shared" si="5"/>
        <v>3</v>
      </c>
      <c r="L58" s="106">
        <f>IF(NOT(ISERROR(VLOOKUP(B58,Deflatores!G$42:H$64,2,FALSE))),VLOOKUP(B58,Deflatores!G$42:H$64,2,FALSE),IF(OR(ISBLANK(C58),ISBLANK(B58)),"",VLOOKUP(C58,Deflatores!G$4:H$38,2,FALSE)*H58+VLOOKUP(C58,Deflatores!G$4:I$38,3,FALSE)))</f>
        <v>3</v>
      </c>
      <c r="M58" s="6"/>
      <c r="N58" s="6"/>
      <c r="O58" s="111"/>
    </row>
    <row r="59" spans="1:15" ht="13.5" customHeight="1" x14ac:dyDescent="0.25">
      <c r="A59" s="112" t="s">
        <v>99</v>
      </c>
      <c r="B59" s="113" t="s">
        <v>48</v>
      </c>
      <c r="C59" s="113" t="s">
        <v>45</v>
      </c>
      <c r="D59" s="4">
        <v>19</v>
      </c>
      <c r="E59" s="4">
        <v>2</v>
      </c>
      <c r="F59" s="105" t="str">
        <f t="shared" si="0"/>
        <v>Alta</v>
      </c>
      <c r="G59" s="4" t="str">
        <f t="shared" si="1"/>
        <v>EEH</v>
      </c>
      <c r="H59" s="4">
        <f t="shared" si="2"/>
        <v>6</v>
      </c>
      <c r="I59" s="105" t="str">
        <f t="shared" si="3"/>
        <v>H</v>
      </c>
      <c r="J59" s="4" t="str">
        <f t="shared" si="4"/>
        <v>EEI</v>
      </c>
      <c r="K59" s="106">
        <f t="shared" si="5"/>
        <v>6</v>
      </c>
      <c r="L59" s="106">
        <f>IF(NOT(ISERROR(VLOOKUP(B59,Deflatores!G$42:H$64,2,FALSE))),VLOOKUP(B59,Deflatores!G$42:H$64,2,FALSE),IF(OR(ISBLANK(C59),ISBLANK(B59)),"",VLOOKUP(C59,Deflatores!G$4:H$38,2,FALSE)*H59+VLOOKUP(C59,Deflatores!G$4:I$38,3,FALSE)))</f>
        <v>6</v>
      </c>
      <c r="M59" s="6"/>
      <c r="N59" s="6"/>
      <c r="O59" s="111"/>
    </row>
    <row r="60" spans="1:15" ht="13.5" customHeight="1" x14ac:dyDescent="0.25">
      <c r="A60" s="114" t="s">
        <v>58</v>
      </c>
      <c r="B60" s="113" t="s">
        <v>50</v>
      </c>
      <c r="C60" s="113" t="s">
        <v>45</v>
      </c>
      <c r="D60" s="4">
        <v>14</v>
      </c>
      <c r="E60" s="4">
        <v>1</v>
      </c>
      <c r="F60" s="105" t="str">
        <f t="shared" si="0"/>
        <v>Baixa</v>
      </c>
      <c r="G60" s="4" t="str">
        <f t="shared" si="1"/>
        <v>CEL</v>
      </c>
      <c r="H60" s="4">
        <f t="shared" si="2"/>
        <v>3</v>
      </c>
      <c r="I60" s="105" t="str">
        <f t="shared" si="3"/>
        <v>L</v>
      </c>
      <c r="J60" s="4" t="str">
        <f t="shared" si="4"/>
        <v>CEI</v>
      </c>
      <c r="K60" s="106">
        <f t="shared" si="5"/>
        <v>3</v>
      </c>
      <c r="L60" s="106">
        <f>IF(NOT(ISERROR(VLOOKUP(B60,Deflatores!G$42:H$64,2,FALSE))),VLOOKUP(B60,Deflatores!G$42:H$64,2,FALSE),IF(OR(ISBLANK(C60),ISBLANK(B60)),"",VLOOKUP(C60,Deflatores!G$4:H$38,2,FALSE)*H60+VLOOKUP(C60,Deflatores!G$4:I$38,3,FALSE)))</f>
        <v>3</v>
      </c>
      <c r="M60" s="6"/>
      <c r="N60" s="6"/>
      <c r="O60" s="111"/>
    </row>
    <row r="61" spans="1:15" ht="13.5" customHeight="1" x14ac:dyDescent="0.25">
      <c r="A61" s="112" t="s">
        <v>100</v>
      </c>
      <c r="B61" s="113" t="s">
        <v>50</v>
      </c>
      <c r="C61" s="113" t="s">
        <v>45</v>
      </c>
      <c r="D61" s="4">
        <v>19</v>
      </c>
      <c r="E61" s="4">
        <v>2</v>
      </c>
      <c r="F61" s="105" t="str">
        <f t="shared" si="0"/>
        <v>Média</v>
      </c>
      <c r="G61" s="4" t="str">
        <f t="shared" si="1"/>
        <v>CEA</v>
      </c>
      <c r="H61" s="4">
        <f t="shared" si="2"/>
        <v>4</v>
      </c>
      <c r="I61" s="105" t="str">
        <f t="shared" si="3"/>
        <v>A</v>
      </c>
      <c r="J61" s="4" t="str">
        <f t="shared" si="4"/>
        <v>CEI</v>
      </c>
      <c r="K61" s="106">
        <f t="shared" si="5"/>
        <v>4</v>
      </c>
      <c r="L61" s="106">
        <f>IF(NOT(ISERROR(VLOOKUP(B61,Deflatores!G$42:H$64,2,FALSE))),VLOOKUP(B61,Deflatores!G$42:H$64,2,FALSE),IF(OR(ISBLANK(C61),ISBLANK(B61)),"",VLOOKUP(C61,Deflatores!G$4:H$38,2,FALSE)*H61+VLOOKUP(C61,Deflatores!G$4:I$38,3,FALSE)))</f>
        <v>4</v>
      </c>
      <c r="M61" s="6"/>
      <c r="N61" s="6"/>
      <c r="O61" s="111"/>
    </row>
    <row r="62" spans="1:15" ht="13.5" customHeight="1" x14ac:dyDescent="0.25">
      <c r="A62" s="112" t="s">
        <v>101</v>
      </c>
      <c r="B62" s="113" t="s">
        <v>48</v>
      </c>
      <c r="C62" s="113" t="s">
        <v>72</v>
      </c>
      <c r="D62" s="4">
        <v>8</v>
      </c>
      <c r="E62" s="4">
        <v>1</v>
      </c>
      <c r="F62" s="105" t="str">
        <f>IF(ISBLANK(B62),"",IF(I62="L","Baixa",IF(I62="A","Média",IF(I62="","","Alta"))))</f>
        <v>Baixa</v>
      </c>
      <c r="G62" s="4" t="str">
        <f>CONCATENATE(B62,I62)</f>
        <v>EEL</v>
      </c>
      <c r="H62" s="4">
        <f>IF(ISBLANK(B62),"",IF(B62="ALI",IF(I62="L",7,IF(I62="A",10,15)),IF(B62="AIE",IF(I62="L",5,IF(I62="A",7,10)),IF(B62="SE",IF(I62="L",4,IF(I62="A",5,7)),IF(OR(B62="EE",B62="CE"),IF(I62="L",3,IF(I62="A",4,6)),0)))))</f>
        <v>3</v>
      </c>
      <c r="I62" s="105" t="str">
        <f>IF(OR(ISBLANK(D62),ISBLANK(E62)),IF(OR(B62="ALI",B62="AIE"),"L",IF(OR(B62="EE",B62="SE",B62="CE"),"A","")),IF(B62="EE",IF(E62&gt;=3,IF(D62&gt;=5,"H","A"),IF(E62&gt;=2,IF(D62&gt;=16,"H",IF(D62&lt;=4,"L","A")),IF(D62&lt;=15,"L","A"))),IF(OR(B62="SE",B62="CE"),IF(E62&gt;=4,IF(D62&gt;=6,"H","A"),IF(E62&gt;=2,IF(D62&gt;=20,"H",IF(D62&lt;=5,"L","A")),IF(D62&lt;=19,"L","A"))),IF(OR(B62="ALI",B62="AIE"),IF(E62&gt;=6,IF(D62&gt;=20,"H","A"),IF(E62&gt;=2,IF(D62&gt;=51,"H",IF(D62&lt;=19,"L","A")),IF(D62&lt;=50,"L","A"))),""))))</f>
        <v>L</v>
      </c>
      <c r="J62" s="4" t="str">
        <f>CONCATENATE(B62,C62)</f>
        <v>EEE</v>
      </c>
      <c r="K62" s="106">
        <f>IF(OR(H62="",H62=0),L62,H62)</f>
        <v>3</v>
      </c>
      <c r="L62" s="106">
        <f>IF(NOT(ISERROR(VLOOKUP(B62,Deflatores!G$42:H$64,2,FALSE))),VLOOKUP(B62,Deflatores!G$42:H$64,2,FALSE),IF(OR(ISBLANK(C62),ISBLANK(B62)),"",VLOOKUP(C62,Deflatores!G$4:H$38,2,FALSE)*H62+VLOOKUP(C62,Deflatores!G$4:I$38,3,FALSE)))</f>
        <v>1.2000000000000002</v>
      </c>
      <c r="M62" s="6"/>
      <c r="N62" s="6"/>
      <c r="O62" s="111" t="s">
        <v>102</v>
      </c>
    </row>
    <row r="63" spans="1:15" ht="13.5" customHeight="1" x14ac:dyDescent="0.25">
      <c r="A63" s="112" t="s">
        <v>103</v>
      </c>
      <c r="B63" s="113" t="s">
        <v>50</v>
      </c>
      <c r="C63" s="113" t="s">
        <v>72</v>
      </c>
      <c r="D63" s="4">
        <v>8</v>
      </c>
      <c r="E63" s="4">
        <v>1</v>
      </c>
      <c r="F63" s="105" t="str">
        <f>IF(ISBLANK(B63),"",IF(I63="L","Baixa",IF(I63="A","Média",IF(I63="","","Alta"))))</f>
        <v>Baixa</v>
      </c>
      <c r="G63" s="4" t="str">
        <f>CONCATENATE(B63,I63)</f>
        <v>CEL</v>
      </c>
      <c r="H63" s="4">
        <f>IF(ISBLANK(B63),"",IF(B63="ALI",IF(I63="L",7,IF(I63="A",10,15)),IF(B63="AIE",IF(I63="L",5,IF(I63="A",7,10)),IF(B63="SE",IF(I63="L",4,IF(I63="A",5,7)),IF(OR(B63="EE",B63="CE"),IF(I63="L",3,IF(I63="A",4,6)),0)))))</f>
        <v>3</v>
      </c>
      <c r="I63" s="105" t="str">
        <f>IF(OR(ISBLANK(D63),ISBLANK(E63)),IF(OR(B63="ALI",B63="AIE"),"L",IF(OR(B63="EE",B63="SE",B63="CE"),"A","")),IF(B63="EE",IF(E63&gt;=3,IF(D63&gt;=5,"H","A"),IF(E63&gt;=2,IF(D63&gt;=16,"H",IF(D63&lt;=4,"L","A")),IF(D63&lt;=15,"L","A"))),IF(OR(B63="SE",B63="CE"),IF(E63&gt;=4,IF(D63&gt;=6,"H","A"),IF(E63&gt;=2,IF(D63&gt;=20,"H",IF(D63&lt;=5,"L","A")),IF(D63&lt;=19,"L","A"))),IF(OR(B63="ALI",B63="AIE"),IF(E63&gt;=6,IF(D63&gt;=20,"H","A"),IF(E63&gt;=2,IF(D63&gt;=51,"H",IF(D63&lt;=19,"L","A")),IF(D63&lt;=50,"L","A"))),""))))</f>
        <v>L</v>
      </c>
      <c r="J63" s="4" t="str">
        <f>CONCATENATE(B63,C63)</f>
        <v>CEE</v>
      </c>
      <c r="K63" s="106">
        <f>IF(OR(H63="",H63=0),L63,H63)</f>
        <v>3</v>
      </c>
      <c r="L63" s="106">
        <f>IF(NOT(ISERROR(VLOOKUP(B63,Deflatores!G$42:H$64,2,FALSE))),VLOOKUP(B63,Deflatores!G$42:H$64,2,FALSE),IF(OR(ISBLANK(C63),ISBLANK(B63)),"",VLOOKUP(C63,Deflatores!G$4:H$38,2,FALSE)*H63+VLOOKUP(C63,Deflatores!G$4:I$38,3,FALSE)))</f>
        <v>1.2000000000000002</v>
      </c>
      <c r="M63" s="6"/>
      <c r="N63" s="6"/>
      <c r="O63" s="111" t="s">
        <v>102</v>
      </c>
    </row>
    <row r="64" spans="1:15" ht="13.5" customHeight="1" x14ac:dyDescent="0.25">
      <c r="A64" s="112" t="s">
        <v>104</v>
      </c>
      <c r="B64" s="113" t="s">
        <v>48</v>
      </c>
      <c r="C64" s="113" t="s">
        <v>72</v>
      </c>
      <c r="D64" s="4">
        <v>3</v>
      </c>
      <c r="E64" s="4">
        <v>1</v>
      </c>
      <c r="F64" s="105" t="str">
        <f>IF(ISBLANK(B64),"",IF(I64="L","Baixa",IF(I64="A","Média",IF(I64="","","Alta"))))</f>
        <v>Baixa</v>
      </c>
      <c r="G64" s="4" t="str">
        <f>CONCATENATE(B64,I64)</f>
        <v>EEL</v>
      </c>
      <c r="H64" s="4">
        <f>IF(ISBLANK(B64),"",IF(B64="ALI",IF(I64="L",7,IF(I64="A",10,15)),IF(B64="AIE",IF(I64="L",5,IF(I64="A",7,10)),IF(B64="SE",IF(I64="L",4,IF(I64="A",5,7)),IF(OR(B64="EE",B64="CE"),IF(I64="L",3,IF(I64="A",4,6)),0)))))</f>
        <v>3</v>
      </c>
      <c r="I64" s="105" t="str">
        <f>IF(OR(ISBLANK(D64),ISBLANK(E64)),IF(OR(B64="ALI",B64="AIE"),"L",IF(OR(B64="EE",B64="SE",B64="CE"),"A","")),IF(B64="EE",IF(E64&gt;=3,IF(D64&gt;=5,"H","A"),IF(E64&gt;=2,IF(D64&gt;=16,"H",IF(D64&lt;=4,"L","A")),IF(D64&lt;=15,"L","A"))),IF(OR(B64="SE",B64="CE"),IF(E64&gt;=4,IF(D64&gt;=6,"H","A"),IF(E64&gt;=2,IF(D64&gt;=20,"H",IF(D64&lt;=5,"L","A")),IF(D64&lt;=19,"L","A"))),IF(OR(B64="ALI",B64="AIE"),IF(E64&gt;=6,IF(D64&gt;=20,"H","A"),IF(E64&gt;=2,IF(D64&gt;=51,"H",IF(D64&lt;=19,"L","A")),IF(D64&lt;=50,"L","A"))),""))))</f>
        <v>L</v>
      </c>
      <c r="J64" s="4" t="str">
        <f>CONCATENATE(B64,C64)</f>
        <v>EEE</v>
      </c>
      <c r="K64" s="106">
        <f>IF(OR(H64="",H64=0),L64,H64)</f>
        <v>3</v>
      </c>
      <c r="L64" s="106">
        <f>IF(NOT(ISERROR(VLOOKUP(B64,Deflatores!G$42:H$64,2,FALSE))),VLOOKUP(B64,Deflatores!G$42:H$64,2,FALSE),IF(OR(ISBLANK(C64),ISBLANK(B64)),"",VLOOKUP(C64,Deflatores!G$4:H$38,2,FALSE)*H64+VLOOKUP(C64,Deflatores!G$4:I$38,3,FALSE)))</f>
        <v>1.2000000000000002</v>
      </c>
      <c r="M64" s="6"/>
      <c r="N64" s="6"/>
      <c r="O64" s="111" t="s">
        <v>102</v>
      </c>
    </row>
    <row r="65" spans="1:15" ht="13.5" customHeight="1" x14ac:dyDescent="0.25">
      <c r="A65" s="112" t="s">
        <v>1432</v>
      </c>
      <c r="B65" s="113" t="s">
        <v>67</v>
      </c>
      <c r="C65" s="113" t="s">
        <v>45</v>
      </c>
      <c r="D65" s="4">
        <v>5</v>
      </c>
      <c r="E65" s="4">
        <v>1</v>
      </c>
      <c r="F65" s="105" t="str">
        <f t="shared" ref="F65:F66" si="6">IF(ISBLANK(B65),"",IF(I65="L","Baixa",IF(I65="A","Média",IF(I65="","","Alta"))))</f>
        <v>Baixa</v>
      </c>
      <c r="G65" s="4" t="str">
        <f t="shared" ref="G65:G66" si="7">CONCATENATE(B65,I65)</f>
        <v>AIEL</v>
      </c>
      <c r="H65" s="4">
        <f t="shared" ref="H65:H66" si="8">IF(ISBLANK(B65),"",IF(B65="ALI",IF(I65="L",7,IF(I65="A",10,15)),IF(B65="AIE",IF(I65="L",5,IF(I65="A",7,10)),IF(B65="SE",IF(I65="L",4,IF(I65="A",5,7)),IF(OR(B65="EE",B65="CE"),IF(I65="L",3,IF(I65="A",4,6)),0)))))</f>
        <v>5</v>
      </c>
      <c r="I65" s="105" t="str">
        <f t="shared" ref="I65:I66" si="9">IF(OR(ISBLANK(D65),ISBLANK(E65)),IF(OR(B65="ALI",B65="AIE"),"L",IF(OR(B65="EE",B65="SE",B65="CE"),"A","")),IF(B65="EE",IF(E65&gt;=3,IF(D65&gt;=5,"H","A"),IF(E65&gt;=2,IF(D65&gt;=16,"H",IF(D65&lt;=4,"L","A")),IF(D65&lt;=15,"L","A"))),IF(OR(B65="SE",B65="CE"),IF(E65&gt;=4,IF(D65&gt;=6,"H","A"),IF(E65&gt;=2,IF(D65&gt;=20,"H",IF(D65&lt;=5,"L","A")),IF(D65&lt;=19,"L","A"))),IF(OR(B65="ALI",B65="AIE"),IF(E65&gt;=6,IF(D65&gt;=20,"H","A"),IF(E65&gt;=2,IF(D65&gt;=51,"H",IF(D65&lt;=19,"L","A")),IF(D65&lt;=50,"L","A"))),""))))</f>
        <v>L</v>
      </c>
      <c r="J65" s="4" t="str">
        <f t="shared" ref="J65:J66" si="10">CONCATENATE(B65,C65)</f>
        <v>AIEI</v>
      </c>
      <c r="K65" s="106">
        <f t="shared" ref="K65:K66" si="11">IF(OR(H65="",H65=0),L65,H65)</f>
        <v>5</v>
      </c>
      <c r="L65" s="106">
        <f>IF(NOT(ISERROR(VLOOKUP(B65,Deflatores!G$42:H$64,2,FALSE))),VLOOKUP(B65,Deflatores!G$42:H$64,2,FALSE),IF(OR(ISBLANK(C65),ISBLANK(B65)),"",VLOOKUP(C65,Deflatores!G$4:H$38,2,FALSE)*H65+VLOOKUP(C65,Deflatores!G$4:I$38,3,FALSE)))</f>
        <v>5</v>
      </c>
      <c r="M65" s="6"/>
      <c r="N65" s="6"/>
      <c r="O65" s="111"/>
    </row>
    <row r="66" spans="1:15" ht="13.5" customHeight="1" x14ac:dyDescent="0.25">
      <c r="A66" s="112" t="s">
        <v>1433</v>
      </c>
      <c r="B66" s="113" t="s">
        <v>50</v>
      </c>
      <c r="C66" s="113" t="s">
        <v>45</v>
      </c>
      <c r="D66" s="4">
        <v>6</v>
      </c>
      <c r="E66" s="4">
        <v>1</v>
      </c>
      <c r="F66" s="105" t="str">
        <f t="shared" si="6"/>
        <v>Baixa</v>
      </c>
      <c r="G66" s="4" t="str">
        <f t="shared" si="7"/>
        <v>CEL</v>
      </c>
      <c r="H66" s="4">
        <f t="shared" si="8"/>
        <v>3</v>
      </c>
      <c r="I66" s="105" t="str">
        <f t="shared" si="9"/>
        <v>L</v>
      </c>
      <c r="J66" s="4" t="str">
        <f t="shared" si="10"/>
        <v>CEI</v>
      </c>
      <c r="K66" s="106">
        <f t="shared" si="11"/>
        <v>3</v>
      </c>
      <c r="L66" s="106">
        <f>IF(NOT(ISERROR(VLOOKUP(B66,Deflatores!G$42:H$64,2,FALSE))),VLOOKUP(B66,Deflatores!G$42:H$64,2,FALSE),IF(OR(ISBLANK(C66),ISBLANK(B66)),"",VLOOKUP(C66,Deflatores!G$4:H$38,2,FALSE)*H66+VLOOKUP(C66,Deflatores!G$4:I$38,3,FALSE)))</f>
        <v>3</v>
      </c>
      <c r="M66" s="6"/>
      <c r="N66" s="6"/>
      <c r="O66" s="111"/>
    </row>
    <row r="67" spans="1:15" ht="13.5" customHeight="1" x14ac:dyDescent="0.25">
      <c r="A67" s="112"/>
      <c r="B67" s="113"/>
      <c r="C67" s="113"/>
      <c r="D67" s="4"/>
      <c r="E67" s="4"/>
      <c r="F67" s="105" t="str">
        <f t="shared" si="0"/>
        <v/>
      </c>
      <c r="G67" s="4" t="str">
        <f t="shared" si="1"/>
        <v/>
      </c>
      <c r="H67" s="4" t="str">
        <f t="shared" si="2"/>
        <v/>
      </c>
      <c r="I67" s="105" t="str">
        <f t="shared" si="3"/>
        <v/>
      </c>
      <c r="J67" s="4" t="str">
        <f t="shared" si="4"/>
        <v/>
      </c>
      <c r="K67" s="106" t="str">
        <f t="shared" si="5"/>
        <v/>
      </c>
      <c r="L67" s="106" t="str">
        <f>IF(NOT(ISERROR(VLOOKUP(B67,Deflatores!G$42:H$64,2,FALSE))),VLOOKUP(B67,Deflatores!G$42:H$64,2,FALSE),IF(OR(ISBLANK(C67),ISBLANK(B67)),"",VLOOKUP(C67,Deflatores!G$4:H$38,2,FALSE)*H67+VLOOKUP(C67,Deflatores!G$4:I$38,3,FALSE)))</f>
        <v/>
      </c>
      <c r="M67" s="6"/>
      <c r="N67" s="6"/>
      <c r="O67" s="111"/>
    </row>
    <row r="68" spans="1:15" x14ac:dyDescent="0.25">
      <c r="A68" s="159" t="s">
        <v>105</v>
      </c>
      <c r="B68" s="113"/>
      <c r="C68" s="113" t="s">
        <v>45</v>
      </c>
      <c r="D68" s="4"/>
      <c r="E68" s="4"/>
      <c r="F68" s="105" t="str">
        <f t="shared" si="0"/>
        <v/>
      </c>
      <c r="G68" s="4" t="str">
        <f t="shared" si="1"/>
        <v/>
      </c>
      <c r="H68" s="4" t="str">
        <f t="shared" si="2"/>
        <v/>
      </c>
      <c r="I68" s="105" t="str">
        <f t="shared" si="3"/>
        <v/>
      </c>
      <c r="J68" s="4" t="str">
        <f t="shared" si="4"/>
        <v>I</v>
      </c>
      <c r="K68" s="106" t="str">
        <f t="shared" si="5"/>
        <v/>
      </c>
      <c r="L68" s="106" t="str">
        <f>IF(NOT(ISERROR(VLOOKUP(B68,Deflatores!G$42:H$64,2,FALSE))),VLOOKUP(B68,Deflatores!G$42:H$64,2,FALSE),IF(OR(ISBLANK(C68),ISBLANK(B68)),"",VLOOKUP(C68,Deflatores!G$4:H$38,2,FALSE)*H68+VLOOKUP(C68,Deflatores!G$4:I$38,3,FALSE)))</f>
        <v/>
      </c>
      <c r="M68" s="6"/>
      <c r="N68" s="6"/>
      <c r="O68" s="111"/>
    </row>
    <row r="69" spans="1:15" x14ac:dyDescent="0.25">
      <c r="A69" s="112"/>
      <c r="B69" s="113"/>
      <c r="C69" s="113"/>
      <c r="D69" s="4"/>
      <c r="E69" s="4"/>
      <c r="F69" s="105" t="str">
        <f t="shared" si="0"/>
        <v/>
      </c>
      <c r="G69" s="4" t="str">
        <f t="shared" si="1"/>
        <v/>
      </c>
      <c r="H69" s="4" t="str">
        <f t="shared" si="2"/>
        <v/>
      </c>
      <c r="I69" s="105" t="str">
        <f t="shared" si="3"/>
        <v/>
      </c>
      <c r="J69" s="4" t="str">
        <f t="shared" si="4"/>
        <v/>
      </c>
      <c r="K69" s="106" t="str">
        <f t="shared" si="5"/>
        <v/>
      </c>
      <c r="L69" s="106" t="str">
        <f>IF(NOT(ISERROR(VLOOKUP(B69,Deflatores!G$42:H$64,2,FALSE))),VLOOKUP(B69,Deflatores!G$42:H$64,2,FALSE),IF(OR(ISBLANK(C69),ISBLANK(B69)),"",VLOOKUP(C69,Deflatores!G$4:H$38,2,FALSE)*H69+VLOOKUP(C69,Deflatores!G$4:I$38,3,FALSE)))</f>
        <v/>
      </c>
      <c r="M69" s="6"/>
      <c r="N69" s="6"/>
      <c r="O69" s="111"/>
    </row>
    <row r="70" spans="1:15" ht="13.5" customHeight="1" x14ac:dyDescent="0.25">
      <c r="A70" s="159" t="s">
        <v>106</v>
      </c>
      <c r="B70" s="113"/>
      <c r="C70" s="113"/>
      <c r="D70" s="4"/>
      <c r="E70" s="4"/>
      <c r="F70" s="105" t="str">
        <f t="shared" si="0"/>
        <v/>
      </c>
      <c r="G70" s="4" t="str">
        <f t="shared" si="1"/>
        <v/>
      </c>
      <c r="H70" s="4" t="str">
        <f t="shared" si="2"/>
        <v/>
      </c>
      <c r="I70" s="105" t="str">
        <f t="shared" si="3"/>
        <v/>
      </c>
      <c r="J70" s="4" t="str">
        <f t="shared" si="4"/>
        <v/>
      </c>
      <c r="K70" s="106" t="str">
        <f t="shared" si="5"/>
        <v/>
      </c>
      <c r="L70" s="106" t="str">
        <f>IF(NOT(ISERROR(VLOOKUP(B70,Deflatores!G$42:H$64,2,FALSE))),VLOOKUP(B70,Deflatores!G$42:H$64,2,FALSE),IF(OR(ISBLANK(C70),ISBLANK(B70)),"",VLOOKUP(C70,Deflatores!G$4:H$38,2,FALSE)*H70+VLOOKUP(C70,Deflatores!G$4:I$38,3,FALSE)))</f>
        <v/>
      </c>
      <c r="M70" s="6"/>
      <c r="N70" s="6"/>
      <c r="O70" s="111"/>
    </row>
    <row r="71" spans="1:15" ht="13.5" customHeight="1" x14ac:dyDescent="0.25">
      <c r="A71" s="112" t="s">
        <v>107</v>
      </c>
      <c r="B71" s="113" t="s">
        <v>50</v>
      </c>
      <c r="C71" s="113" t="s">
        <v>45</v>
      </c>
      <c r="D71" s="4">
        <v>5</v>
      </c>
      <c r="E71" s="4">
        <v>1</v>
      </c>
      <c r="F71" s="105" t="str">
        <f t="shared" si="0"/>
        <v>Baixa</v>
      </c>
      <c r="G71" s="4" t="str">
        <f t="shared" si="1"/>
        <v>CEL</v>
      </c>
      <c r="H71" s="4">
        <f t="shared" si="2"/>
        <v>3</v>
      </c>
      <c r="I71" s="105" t="str">
        <f t="shared" si="3"/>
        <v>L</v>
      </c>
      <c r="J71" s="4" t="str">
        <f t="shared" si="4"/>
        <v>CEI</v>
      </c>
      <c r="K71" s="106">
        <f t="shared" si="5"/>
        <v>3</v>
      </c>
      <c r="L71" s="106">
        <f>IF(NOT(ISERROR(VLOOKUP(B71,Deflatores!G$42:H$64,2,FALSE))),VLOOKUP(B71,Deflatores!G$42:H$64,2,FALSE),IF(OR(ISBLANK(C71),ISBLANK(B71)),"",VLOOKUP(C71,Deflatores!G$4:H$38,2,FALSE)*H71+VLOOKUP(C71,Deflatores!G$4:I$38,3,FALSE)))</f>
        <v>3</v>
      </c>
      <c r="M71" s="6"/>
      <c r="N71" s="6"/>
      <c r="O71" s="111"/>
    </row>
    <row r="72" spans="1:15" ht="13.5" customHeight="1" x14ac:dyDescent="0.25">
      <c r="A72" s="112"/>
      <c r="B72" s="113"/>
      <c r="C72" s="113"/>
      <c r="D72" s="4"/>
      <c r="E72" s="4"/>
      <c r="F72" s="105" t="str">
        <f t="shared" si="0"/>
        <v/>
      </c>
      <c r="G72" s="4" t="str">
        <f t="shared" si="1"/>
        <v/>
      </c>
      <c r="H72" s="4" t="str">
        <f t="shared" si="2"/>
        <v/>
      </c>
      <c r="I72" s="105" t="str">
        <f t="shared" si="3"/>
        <v/>
      </c>
      <c r="J72" s="4" t="str">
        <f t="shared" si="4"/>
        <v/>
      </c>
      <c r="K72" s="106" t="str">
        <f t="shared" si="5"/>
        <v/>
      </c>
      <c r="L72" s="106" t="str">
        <f>IF(NOT(ISERROR(VLOOKUP(B72,Deflatores!G$42:H$64,2,FALSE))),VLOOKUP(B72,Deflatores!G$42:H$64,2,FALSE),IF(OR(ISBLANK(C72),ISBLANK(B72)),"",VLOOKUP(C72,Deflatores!G$4:H$38,2,FALSE)*H72+VLOOKUP(C72,Deflatores!G$4:I$38,3,FALSE)))</f>
        <v/>
      </c>
      <c r="M72" s="6"/>
      <c r="N72" s="6"/>
      <c r="O72" s="111"/>
    </row>
    <row r="73" spans="1:15" ht="13.5" customHeight="1" x14ac:dyDescent="0.25">
      <c r="A73" s="159" t="s">
        <v>108</v>
      </c>
      <c r="B73" s="113"/>
      <c r="C73" s="113"/>
      <c r="D73" s="4"/>
      <c r="E73" s="4"/>
      <c r="F73" s="105" t="str">
        <f t="shared" si="0"/>
        <v/>
      </c>
      <c r="G73" s="4" t="str">
        <f t="shared" si="1"/>
        <v/>
      </c>
      <c r="H73" s="4" t="str">
        <f t="shared" si="2"/>
        <v/>
      </c>
      <c r="I73" s="105" t="str">
        <f t="shared" si="3"/>
        <v/>
      </c>
      <c r="J73" s="4" t="str">
        <f t="shared" si="4"/>
        <v/>
      </c>
      <c r="K73" s="106" t="str">
        <f t="shared" si="5"/>
        <v/>
      </c>
      <c r="L73" s="106" t="str">
        <f>IF(NOT(ISERROR(VLOOKUP(B73,Deflatores!G$42:H$64,2,FALSE))),VLOOKUP(B73,Deflatores!G$42:H$64,2,FALSE),IF(OR(ISBLANK(C73),ISBLANK(B73)),"",VLOOKUP(C73,Deflatores!G$4:H$38,2,FALSE)*H73+VLOOKUP(C73,Deflatores!G$4:I$38,3,FALSE)))</f>
        <v/>
      </c>
      <c r="M73" s="6"/>
      <c r="N73" s="6"/>
      <c r="O73" s="111"/>
    </row>
    <row r="74" spans="1:15" ht="13.5" customHeight="1" x14ac:dyDescent="0.25">
      <c r="A74" s="160" t="s">
        <v>109</v>
      </c>
      <c r="B74" s="113" t="s">
        <v>44</v>
      </c>
      <c r="C74" s="113" t="s">
        <v>45</v>
      </c>
      <c r="D74" s="4">
        <v>25</v>
      </c>
      <c r="E74" s="4">
        <v>2</v>
      </c>
      <c r="F74" s="105" t="str">
        <f t="shared" si="0"/>
        <v>Média</v>
      </c>
      <c r="G74" s="4" t="str">
        <f t="shared" si="1"/>
        <v>ALIA</v>
      </c>
      <c r="H74" s="4">
        <f t="shared" si="2"/>
        <v>10</v>
      </c>
      <c r="I74" s="105" t="str">
        <f t="shared" si="3"/>
        <v>A</v>
      </c>
      <c r="J74" s="4" t="str">
        <f t="shared" si="4"/>
        <v>ALII</v>
      </c>
      <c r="K74" s="106">
        <f t="shared" si="5"/>
        <v>10</v>
      </c>
      <c r="L74" s="106">
        <f>IF(NOT(ISERROR(VLOOKUP(B74,Deflatores!G$42:H$64,2,FALSE))),VLOOKUP(B74,Deflatores!G$42:H$64,2,FALSE),IF(OR(ISBLANK(C74),ISBLANK(B74)),"",VLOOKUP(C74,Deflatores!G$4:H$38,2,FALSE)*H74+VLOOKUP(C74,Deflatores!G$4:I$38,3,FALSE)))</f>
        <v>10</v>
      </c>
      <c r="M74" s="6"/>
      <c r="N74" s="6"/>
      <c r="O74" s="111"/>
    </row>
    <row r="75" spans="1:15" ht="13.5" customHeight="1" x14ac:dyDescent="0.25">
      <c r="A75" s="112" t="s">
        <v>110</v>
      </c>
      <c r="B75" s="113" t="s">
        <v>48</v>
      </c>
      <c r="C75" s="113" t="s">
        <v>45</v>
      </c>
      <c r="D75" s="4">
        <v>28</v>
      </c>
      <c r="E75" s="4">
        <v>4</v>
      </c>
      <c r="F75" s="105" t="str">
        <f t="shared" si="0"/>
        <v>Alta</v>
      </c>
      <c r="G75" s="4" t="str">
        <f t="shared" si="1"/>
        <v>EEH</v>
      </c>
      <c r="H75" s="4">
        <f t="shared" si="2"/>
        <v>6</v>
      </c>
      <c r="I75" s="105" t="str">
        <f t="shared" si="3"/>
        <v>H</v>
      </c>
      <c r="J75" s="4" t="str">
        <f t="shared" si="4"/>
        <v>EEI</v>
      </c>
      <c r="K75" s="106">
        <f t="shared" si="5"/>
        <v>6</v>
      </c>
      <c r="L75" s="106">
        <f>IF(NOT(ISERROR(VLOOKUP(B75,Deflatores!G$42:H$64,2,FALSE))),VLOOKUP(B75,Deflatores!G$42:H$64,2,FALSE),IF(OR(ISBLANK(C75),ISBLANK(B75)),"",VLOOKUP(C75,Deflatores!G$4:H$38,2,FALSE)*H75+VLOOKUP(C75,Deflatores!G$4:I$38,3,FALSE)))</f>
        <v>6</v>
      </c>
      <c r="M75" s="6"/>
      <c r="N75" s="6"/>
      <c r="O75" s="111"/>
    </row>
    <row r="76" spans="1:15" ht="13.5" customHeight="1" x14ac:dyDescent="0.25">
      <c r="A76" s="112" t="s">
        <v>111</v>
      </c>
      <c r="B76" s="113" t="s">
        <v>48</v>
      </c>
      <c r="C76" s="113" t="s">
        <v>45</v>
      </c>
      <c r="D76" s="4">
        <v>11</v>
      </c>
      <c r="E76" s="4">
        <v>3</v>
      </c>
      <c r="F76" s="105" t="str">
        <f t="shared" si="0"/>
        <v>Alta</v>
      </c>
      <c r="G76" s="4" t="str">
        <f t="shared" si="1"/>
        <v>EEH</v>
      </c>
      <c r="H76" s="4">
        <f t="shared" si="2"/>
        <v>6</v>
      </c>
      <c r="I76" s="105" t="str">
        <f t="shared" si="3"/>
        <v>H</v>
      </c>
      <c r="J76" s="4" t="str">
        <f t="shared" si="4"/>
        <v>EEI</v>
      </c>
      <c r="K76" s="106">
        <f t="shared" si="5"/>
        <v>6</v>
      </c>
      <c r="L76" s="106">
        <f>IF(NOT(ISERROR(VLOOKUP(B76,Deflatores!G$42:H$64,2,FALSE))),VLOOKUP(B76,Deflatores!G$42:H$64,2,FALSE),IF(OR(ISBLANK(C76),ISBLANK(B76)),"",VLOOKUP(C76,Deflatores!G$4:H$38,2,FALSE)*H76+VLOOKUP(C76,Deflatores!G$4:I$38,3,FALSE)))</f>
        <v>6</v>
      </c>
      <c r="M76" s="6"/>
      <c r="N76" s="6"/>
      <c r="O76" s="111"/>
    </row>
    <row r="77" spans="1:15" ht="13.5" customHeight="1" x14ac:dyDescent="0.25">
      <c r="A77" s="112" t="s">
        <v>112</v>
      </c>
      <c r="B77" s="113" t="s">
        <v>113</v>
      </c>
      <c r="C77" s="113" t="s">
        <v>72</v>
      </c>
      <c r="D77" s="4">
        <v>18</v>
      </c>
      <c r="E77" s="4">
        <v>5</v>
      </c>
      <c r="F77" s="105" t="str">
        <f t="shared" si="0"/>
        <v>Alta</v>
      </c>
      <c r="G77" s="4" t="str">
        <f t="shared" si="1"/>
        <v>SEH</v>
      </c>
      <c r="H77" s="4">
        <f t="shared" si="2"/>
        <v>7</v>
      </c>
      <c r="I77" s="105" t="str">
        <f t="shared" si="3"/>
        <v>H</v>
      </c>
      <c r="J77" s="4" t="str">
        <f t="shared" si="4"/>
        <v>SEE</v>
      </c>
      <c r="K77" s="106">
        <f t="shared" si="5"/>
        <v>7</v>
      </c>
      <c r="L77" s="106">
        <f>IF(NOT(ISERROR(VLOOKUP(B77,Deflatores!G$42:H$64,2,FALSE))),VLOOKUP(B77,Deflatores!G$42:H$64,2,FALSE),IF(OR(ISBLANK(C77),ISBLANK(B77)),"",VLOOKUP(C77,Deflatores!G$4:H$38,2,FALSE)*H77+VLOOKUP(C77,Deflatores!G$4:I$38,3,FALSE)))</f>
        <v>2.8000000000000003</v>
      </c>
      <c r="M77" s="6"/>
      <c r="N77" s="6"/>
      <c r="O77" s="111"/>
    </row>
    <row r="78" spans="1:15" ht="13.4" customHeight="1" x14ac:dyDescent="0.25">
      <c r="A78" s="112" t="s">
        <v>114</v>
      </c>
      <c r="B78" s="113" t="s">
        <v>113</v>
      </c>
      <c r="C78" s="113" t="s">
        <v>45</v>
      </c>
      <c r="D78" s="4">
        <v>12</v>
      </c>
      <c r="E78" s="4">
        <v>4</v>
      </c>
      <c r="F78" s="105" t="str">
        <f t="shared" si="0"/>
        <v>Alta</v>
      </c>
      <c r="G78" s="4" t="str">
        <f t="shared" si="1"/>
        <v>SEH</v>
      </c>
      <c r="H78" s="4">
        <f t="shared" si="2"/>
        <v>7</v>
      </c>
      <c r="I78" s="105" t="str">
        <f t="shared" si="3"/>
        <v>H</v>
      </c>
      <c r="J78" s="4" t="str">
        <f t="shared" si="4"/>
        <v>SEI</v>
      </c>
      <c r="K78" s="106">
        <f t="shared" si="5"/>
        <v>7</v>
      </c>
      <c r="L78" s="106">
        <f>IF(NOT(ISERROR(VLOOKUP(B78,Deflatores!G$42:H$64,2,FALSE))),VLOOKUP(B78,Deflatores!G$42:H$64,2,FALSE),IF(OR(ISBLANK(C78),ISBLANK(B78)),"",VLOOKUP(C78,Deflatores!G$4:H$38,2,FALSE)*H78+VLOOKUP(C78,Deflatores!G$4:I$38,3,FALSE)))</f>
        <v>7</v>
      </c>
      <c r="M78" s="6"/>
      <c r="N78" s="6"/>
      <c r="O78" s="111"/>
    </row>
    <row r="79" spans="1:15" ht="13.5" customHeight="1" x14ac:dyDescent="0.25">
      <c r="A79" s="112"/>
      <c r="B79" s="113"/>
      <c r="C79" s="113"/>
      <c r="D79" s="4"/>
      <c r="E79" s="4"/>
      <c r="F79" s="105" t="str">
        <f t="shared" si="0"/>
        <v/>
      </c>
      <c r="G79" s="4" t="str">
        <f t="shared" si="1"/>
        <v/>
      </c>
      <c r="H79" s="4" t="str">
        <f t="shared" si="2"/>
        <v/>
      </c>
      <c r="I79" s="105" t="str">
        <f t="shared" si="3"/>
        <v/>
      </c>
      <c r="J79" s="4" t="str">
        <f t="shared" si="4"/>
        <v/>
      </c>
      <c r="K79" s="106" t="str">
        <f t="shared" si="5"/>
        <v/>
      </c>
      <c r="L79" s="106" t="str">
        <f>IF(NOT(ISERROR(VLOOKUP(B79,Deflatores!G$42:H$64,2,FALSE))),VLOOKUP(B79,Deflatores!G$42:H$64,2,FALSE),IF(OR(ISBLANK(C79),ISBLANK(B79)),"",VLOOKUP(C79,Deflatores!G$4:H$38,2,FALSE)*H79+VLOOKUP(C79,Deflatores!G$4:I$38,3,FALSE)))</f>
        <v/>
      </c>
      <c r="M79" s="6"/>
      <c r="N79" s="6"/>
      <c r="O79" s="111"/>
    </row>
    <row r="80" spans="1:15" ht="13.5" customHeight="1" x14ac:dyDescent="0.25">
      <c r="A80" s="115" t="s">
        <v>115</v>
      </c>
      <c r="B80" s="113"/>
      <c r="C80" s="113" t="s">
        <v>45</v>
      </c>
      <c r="D80" s="4"/>
      <c r="E80" s="4"/>
      <c r="F80" s="105" t="str">
        <f t="shared" si="0"/>
        <v/>
      </c>
      <c r="G80" s="4" t="str">
        <f t="shared" si="1"/>
        <v/>
      </c>
      <c r="H80" s="4" t="str">
        <f t="shared" si="2"/>
        <v/>
      </c>
      <c r="I80" s="105" t="str">
        <f t="shared" si="3"/>
        <v/>
      </c>
      <c r="J80" s="4" t="str">
        <f t="shared" si="4"/>
        <v>I</v>
      </c>
      <c r="K80" s="106" t="str">
        <f t="shared" si="5"/>
        <v/>
      </c>
      <c r="L80" s="106" t="str">
        <f>IF(NOT(ISERROR(VLOOKUP(B80,Deflatores!G$42:H$64,2,FALSE))),VLOOKUP(B80,Deflatores!G$42:H$64,2,FALSE),IF(OR(ISBLANK(C80),ISBLANK(B80)),"",VLOOKUP(C80,Deflatores!G$4:H$38,2,FALSE)*H80+VLOOKUP(C80,Deflatores!G$4:I$38,3,FALSE)))</f>
        <v/>
      </c>
      <c r="M80" s="6"/>
      <c r="N80" s="6"/>
      <c r="O80" s="111"/>
    </row>
    <row r="81" spans="1:15" ht="22" x14ac:dyDescent="0.25">
      <c r="A81" s="112" t="s">
        <v>116</v>
      </c>
      <c r="B81" s="113" t="s">
        <v>44</v>
      </c>
      <c r="C81" s="113" t="s">
        <v>45</v>
      </c>
      <c r="D81" s="4">
        <v>68</v>
      </c>
      <c r="E81" s="4">
        <v>6</v>
      </c>
      <c r="F81" s="105" t="str">
        <f t="shared" si="0"/>
        <v>Alta</v>
      </c>
      <c r="G81" s="4" t="str">
        <f t="shared" si="1"/>
        <v>ALIH</v>
      </c>
      <c r="H81" s="4">
        <f t="shared" si="2"/>
        <v>15</v>
      </c>
      <c r="I81" s="105" t="str">
        <f t="shared" si="3"/>
        <v>H</v>
      </c>
      <c r="J81" s="4" t="str">
        <f t="shared" si="4"/>
        <v>ALII</v>
      </c>
      <c r="K81" s="106">
        <f t="shared" si="5"/>
        <v>15</v>
      </c>
      <c r="L81" s="106">
        <f>IF(NOT(ISERROR(VLOOKUP(B81,Deflatores!G$42:H$64,2,FALSE))),VLOOKUP(B81,Deflatores!G$42:H$64,2,FALSE),IF(OR(ISBLANK(C81),ISBLANK(B81)),"",VLOOKUP(C81,Deflatores!G$4:H$38,2,FALSE)*H81+VLOOKUP(C81,Deflatores!G$4:I$38,3,FALSE)))</f>
        <v>15</v>
      </c>
      <c r="M81" s="6"/>
      <c r="N81" s="6"/>
      <c r="O81" s="111" t="s">
        <v>117</v>
      </c>
    </row>
    <row r="82" spans="1:15" ht="13.5" customHeight="1" x14ac:dyDescent="0.25">
      <c r="A82" s="112" t="s">
        <v>118</v>
      </c>
      <c r="B82" s="113" t="s">
        <v>48</v>
      </c>
      <c r="C82" s="113" t="s">
        <v>45</v>
      </c>
      <c r="D82" s="4">
        <v>17</v>
      </c>
      <c r="E82" s="4">
        <v>3</v>
      </c>
      <c r="F82" s="105" t="str">
        <f t="shared" si="0"/>
        <v>Alta</v>
      </c>
      <c r="G82" s="4" t="str">
        <f t="shared" si="1"/>
        <v>EEH</v>
      </c>
      <c r="H82" s="4">
        <f t="shared" si="2"/>
        <v>6</v>
      </c>
      <c r="I82" s="105" t="str">
        <f t="shared" si="3"/>
        <v>H</v>
      </c>
      <c r="J82" s="4" t="str">
        <f t="shared" si="4"/>
        <v>EEI</v>
      </c>
      <c r="K82" s="106">
        <f t="shared" si="5"/>
        <v>6</v>
      </c>
      <c r="L82" s="106">
        <f>IF(NOT(ISERROR(VLOOKUP(B82,Deflatores!G$42:H$64,2,FALSE))),VLOOKUP(B82,Deflatores!G$42:H$64,2,FALSE),IF(OR(ISBLANK(C82),ISBLANK(B82)),"",VLOOKUP(C82,Deflatores!G$4:H$38,2,FALSE)*H82+VLOOKUP(C82,Deflatores!G$4:I$38,3,FALSE)))</f>
        <v>6</v>
      </c>
      <c r="M82" s="6"/>
      <c r="N82" s="6"/>
      <c r="O82" s="111"/>
    </row>
    <row r="83" spans="1:15" ht="13.5" customHeight="1" x14ac:dyDescent="0.25">
      <c r="A83" s="114" t="s">
        <v>119</v>
      </c>
      <c r="B83" s="113" t="s">
        <v>50</v>
      </c>
      <c r="C83" s="113" t="s">
        <v>45</v>
      </c>
      <c r="D83" s="4">
        <v>2</v>
      </c>
      <c r="E83" s="4">
        <v>1</v>
      </c>
      <c r="F83" s="105" t="str">
        <f t="shared" si="0"/>
        <v>Baixa</v>
      </c>
      <c r="G83" s="4" t="str">
        <f t="shared" si="1"/>
        <v>CEL</v>
      </c>
      <c r="H83" s="4">
        <f t="shared" si="2"/>
        <v>3</v>
      </c>
      <c r="I83" s="105" t="str">
        <f t="shared" si="3"/>
        <v>L</v>
      </c>
      <c r="J83" s="4" t="str">
        <f t="shared" si="4"/>
        <v>CEI</v>
      </c>
      <c r="K83" s="106">
        <f t="shared" si="5"/>
        <v>3</v>
      </c>
      <c r="L83" s="106">
        <f>IF(NOT(ISERROR(VLOOKUP(B83,Deflatores!G$42:H$64,2,FALSE))),VLOOKUP(B83,Deflatores!G$42:H$64,2,FALSE),IF(OR(ISBLANK(C83),ISBLANK(B83)),"",VLOOKUP(C83,Deflatores!G$4:H$38,2,FALSE)*H83+VLOOKUP(C83,Deflatores!G$4:I$38,3,FALSE)))</f>
        <v>3</v>
      </c>
      <c r="M83" s="6"/>
      <c r="N83" s="6"/>
      <c r="O83" s="111"/>
    </row>
    <row r="84" spans="1:15" ht="13.5" customHeight="1" x14ac:dyDescent="0.25">
      <c r="A84" s="112" t="s">
        <v>120</v>
      </c>
      <c r="C84" s="113" t="s">
        <v>45</v>
      </c>
      <c r="D84" s="4">
        <v>17</v>
      </c>
      <c r="E84" s="4">
        <v>3</v>
      </c>
      <c r="F84" s="105" t="str">
        <f t="shared" si="0"/>
        <v/>
      </c>
      <c r="G84" s="4" t="str">
        <f t="shared" si="1"/>
        <v/>
      </c>
      <c r="H84" s="4" t="str">
        <f t="shared" si="2"/>
        <v/>
      </c>
      <c r="I84" s="105" t="str">
        <f t="shared" si="3"/>
        <v/>
      </c>
      <c r="J84" s="4" t="str">
        <f t="shared" si="4"/>
        <v>I</v>
      </c>
      <c r="K84" s="106" t="str">
        <f t="shared" si="5"/>
        <v/>
      </c>
      <c r="L84" s="106" t="str">
        <f>IF(NOT(ISERROR(VLOOKUP(B84,Deflatores!G$42:H$64,2,FALSE))),VLOOKUP(B84,Deflatores!G$42:H$64,2,FALSE),IF(OR(ISBLANK(C84),ISBLANK(B84)),"",VLOOKUP(C84,Deflatores!G$4:H$38,2,FALSE)*H84+VLOOKUP(C84,Deflatores!G$4:I$38,3,FALSE)))</f>
        <v/>
      </c>
      <c r="M84" s="6"/>
      <c r="N84" s="6"/>
      <c r="O84" s="111"/>
    </row>
    <row r="85" spans="1:15" ht="13.5" customHeight="1" x14ac:dyDescent="0.25">
      <c r="A85" s="114" t="s">
        <v>58</v>
      </c>
      <c r="B85" s="113" t="s">
        <v>50</v>
      </c>
      <c r="C85" s="113" t="s">
        <v>45</v>
      </c>
      <c r="D85" s="4">
        <v>10</v>
      </c>
      <c r="E85" s="4">
        <v>2</v>
      </c>
      <c r="F85" s="105" t="str">
        <f t="shared" si="0"/>
        <v>Média</v>
      </c>
      <c r="G85" s="4" t="str">
        <f t="shared" si="1"/>
        <v>CEA</v>
      </c>
      <c r="H85" s="4">
        <f t="shared" si="2"/>
        <v>4</v>
      </c>
      <c r="I85" s="105" t="str">
        <f t="shared" si="3"/>
        <v>A</v>
      </c>
      <c r="J85" s="4" t="str">
        <f t="shared" si="4"/>
        <v>CEI</v>
      </c>
      <c r="K85" s="106">
        <f t="shared" si="5"/>
        <v>4</v>
      </c>
      <c r="L85" s="106">
        <f>IF(NOT(ISERROR(VLOOKUP(B85,Deflatores!G$42:H$64,2,FALSE))),VLOOKUP(B85,Deflatores!G$42:H$64,2,FALSE),IF(OR(ISBLANK(C85),ISBLANK(B85)),"",VLOOKUP(C85,Deflatores!G$4:H$38,2,FALSE)*H85+VLOOKUP(C85,Deflatores!G$4:I$38,3,FALSE)))</f>
        <v>4</v>
      </c>
      <c r="M85" s="6"/>
      <c r="N85" s="6"/>
      <c r="O85" s="111"/>
    </row>
    <row r="86" spans="1:15" x14ac:dyDescent="0.25">
      <c r="A86" s="112" t="s">
        <v>121</v>
      </c>
      <c r="B86" s="113" t="s">
        <v>48</v>
      </c>
      <c r="C86" s="113" t="s">
        <v>45</v>
      </c>
      <c r="D86" s="4">
        <v>11</v>
      </c>
      <c r="E86" s="4">
        <v>1</v>
      </c>
      <c r="F86" s="105" t="str">
        <f t="shared" si="0"/>
        <v>Baixa</v>
      </c>
      <c r="G86" s="4" t="str">
        <f t="shared" si="1"/>
        <v>EEL</v>
      </c>
      <c r="H86" s="4">
        <f t="shared" si="2"/>
        <v>3</v>
      </c>
      <c r="I86" s="105" t="str">
        <f t="shared" si="3"/>
        <v>L</v>
      </c>
      <c r="J86" s="4" t="str">
        <f t="shared" si="4"/>
        <v>EEI</v>
      </c>
      <c r="K86" s="106">
        <f t="shared" si="5"/>
        <v>3</v>
      </c>
      <c r="L86" s="106">
        <f>IF(NOT(ISERROR(VLOOKUP(B86,Deflatores!G$42:H$64,2,FALSE))),VLOOKUP(B86,Deflatores!G$42:H$64,2,FALSE),IF(OR(ISBLANK(C86),ISBLANK(B86)),"",VLOOKUP(C86,Deflatores!G$4:H$38,2,FALSE)*H86+VLOOKUP(C86,Deflatores!G$4:I$38,3,FALSE)))</f>
        <v>3</v>
      </c>
      <c r="M86" s="6"/>
      <c r="N86" s="6"/>
      <c r="O86" s="111"/>
    </row>
    <row r="87" spans="1:15" x14ac:dyDescent="0.25">
      <c r="A87" s="114" t="s">
        <v>122</v>
      </c>
      <c r="B87" s="113" t="s">
        <v>50</v>
      </c>
      <c r="C87" s="113" t="s">
        <v>45</v>
      </c>
      <c r="D87" s="4">
        <v>2</v>
      </c>
      <c r="E87" s="4">
        <v>1</v>
      </c>
      <c r="F87" s="105" t="str">
        <f t="shared" si="0"/>
        <v>Baixa</v>
      </c>
      <c r="G87" s="4" t="str">
        <f t="shared" si="1"/>
        <v>CEL</v>
      </c>
      <c r="H87" s="4">
        <f t="shared" si="2"/>
        <v>3</v>
      </c>
      <c r="I87" s="105" t="str">
        <f t="shared" si="3"/>
        <v>L</v>
      </c>
      <c r="J87" s="4" t="str">
        <f t="shared" si="4"/>
        <v>CEI</v>
      </c>
      <c r="K87" s="106">
        <f t="shared" si="5"/>
        <v>3</v>
      </c>
      <c r="L87" s="106">
        <f>IF(NOT(ISERROR(VLOOKUP(B87,Deflatores!G$42:H$64,2,FALSE))),VLOOKUP(B87,Deflatores!G$42:H$64,2,FALSE),IF(OR(ISBLANK(C87),ISBLANK(B87)),"",VLOOKUP(C87,Deflatores!G$4:H$38,2,FALSE)*H87+VLOOKUP(C87,Deflatores!G$4:I$38,3,FALSE)))</f>
        <v>3</v>
      </c>
      <c r="M87" s="6"/>
      <c r="N87" s="6"/>
      <c r="O87" s="111"/>
    </row>
    <row r="88" spans="1:15" x14ac:dyDescent="0.25">
      <c r="A88" s="112" t="s">
        <v>123</v>
      </c>
      <c r="B88" s="113" t="s">
        <v>48</v>
      </c>
      <c r="C88" s="113" t="s">
        <v>45</v>
      </c>
      <c r="D88" s="4">
        <v>3</v>
      </c>
      <c r="E88" s="4">
        <v>1</v>
      </c>
      <c r="F88" s="105" t="str">
        <f t="shared" si="0"/>
        <v>Baixa</v>
      </c>
      <c r="G88" s="4" t="str">
        <f t="shared" si="1"/>
        <v>EEL</v>
      </c>
      <c r="H88" s="4">
        <f t="shared" si="2"/>
        <v>3</v>
      </c>
      <c r="I88" s="105" t="str">
        <f t="shared" si="3"/>
        <v>L</v>
      </c>
      <c r="J88" s="4" t="str">
        <f t="shared" si="4"/>
        <v>EEI</v>
      </c>
      <c r="K88" s="106">
        <f t="shared" si="5"/>
        <v>3</v>
      </c>
      <c r="L88" s="106">
        <f>IF(NOT(ISERROR(VLOOKUP(B88,Deflatores!G$42:H$64,2,FALSE))),VLOOKUP(B88,Deflatores!G$42:H$64,2,FALSE),IF(OR(ISBLANK(C88),ISBLANK(B88)),"",VLOOKUP(C88,Deflatores!G$4:H$38,2,FALSE)*H88+VLOOKUP(C88,Deflatores!G$4:I$38,3,FALSE)))</f>
        <v>3</v>
      </c>
      <c r="M88" s="6"/>
      <c r="N88" s="6"/>
      <c r="O88" s="111"/>
    </row>
    <row r="89" spans="1:15" x14ac:dyDescent="0.25">
      <c r="A89" s="112" t="s">
        <v>124</v>
      </c>
      <c r="B89" s="113" t="s">
        <v>50</v>
      </c>
      <c r="C89" s="113" t="s">
        <v>45</v>
      </c>
      <c r="D89" s="4">
        <v>6</v>
      </c>
      <c r="E89" s="4">
        <v>1</v>
      </c>
      <c r="F89" s="105" t="str">
        <f t="shared" si="0"/>
        <v>Baixa</v>
      </c>
      <c r="G89" s="4" t="str">
        <f t="shared" si="1"/>
        <v>CEL</v>
      </c>
      <c r="H89" s="4">
        <f t="shared" si="2"/>
        <v>3</v>
      </c>
      <c r="I89" s="105" t="str">
        <f t="shared" si="3"/>
        <v>L</v>
      </c>
      <c r="J89" s="4" t="str">
        <f t="shared" si="4"/>
        <v>CEI</v>
      </c>
      <c r="K89" s="106">
        <f t="shared" si="5"/>
        <v>3</v>
      </c>
      <c r="L89" s="106">
        <f>IF(NOT(ISERROR(VLOOKUP(B89,Deflatores!G$42:H$64,2,FALSE))),VLOOKUP(B89,Deflatores!G$42:H$64,2,FALSE),IF(OR(ISBLANK(C89),ISBLANK(B89)),"",VLOOKUP(C89,Deflatores!G$4:H$38,2,FALSE)*H89+VLOOKUP(C89,Deflatores!G$4:I$38,3,FALSE)))</f>
        <v>3</v>
      </c>
      <c r="M89" s="6"/>
      <c r="N89" s="6"/>
      <c r="O89" s="111"/>
    </row>
    <row r="90" spans="1:15" x14ac:dyDescent="0.25">
      <c r="A90" s="112" t="s">
        <v>125</v>
      </c>
      <c r="B90" s="113" t="s">
        <v>113</v>
      </c>
      <c r="C90" s="113" t="s">
        <v>45</v>
      </c>
      <c r="D90" s="4">
        <v>47</v>
      </c>
      <c r="E90" s="4">
        <v>3</v>
      </c>
      <c r="F90" s="105" t="str">
        <f t="shared" si="0"/>
        <v>Alta</v>
      </c>
      <c r="G90" s="4" t="str">
        <f t="shared" si="1"/>
        <v>SEH</v>
      </c>
      <c r="H90" s="4">
        <f t="shared" si="2"/>
        <v>7</v>
      </c>
      <c r="I90" s="105" t="str">
        <f t="shared" si="3"/>
        <v>H</v>
      </c>
      <c r="J90" s="4" t="str">
        <f t="shared" si="4"/>
        <v>SEI</v>
      </c>
      <c r="K90" s="106">
        <f t="shared" si="5"/>
        <v>7</v>
      </c>
      <c r="L90" s="106">
        <f>IF(NOT(ISERROR(VLOOKUP(B90,Deflatores!G$42:H$64,2,FALSE))),VLOOKUP(B90,Deflatores!G$42:H$64,2,FALSE),IF(OR(ISBLANK(C90),ISBLANK(B90)),"",VLOOKUP(C90,Deflatores!G$4:H$38,2,FALSE)*H90+VLOOKUP(C90,Deflatores!G$4:I$38,3,FALSE)))</f>
        <v>7</v>
      </c>
      <c r="M90" s="6"/>
      <c r="N90" s="6"/>
      <c r="O90" s="111"/>
    </row>
    <row r="91" spans="1:15" x14ac:dyDescent="0.25">
      <c r="A91" s="112" t="s">
        <v>126</v>
      </c>
      <c r="B91" s="113" t="s">
        <v>50</v>
      </c>
      <c r="C91" s="113" t="s">
        <v>45</v>
      </c>
      <c r="D91" s="4">
        <v>23</v>
      </c>
      <c r="E91" s="4">
        <v>4</v>
      </c>
      <c r="F91" s="105" t="str">
        <f t="shared" si="0"/>
        <v>Alta</v>
      </c>
      <c r="G91" s="4" t="str">
        <f t="shared" si="1"/>
        <v>CEH</v>
      </c>
      <c r="H91" s="4">
        <f t="shared" si="2"/>
        <v>6</v>
      </c>
      <c r="I91" s="105" t="str">
        <f t="shared" si="3"/>
        <v>H</v>
      </c>
      <c r="J91" s="4" t="str">
        <f t="shared" si="4"/>
        <v>CEI</v>
      </c>
      <c r="K91" s="106">
        <f t="shared" si="5"/>
        <v>6</v>
      </c>
      <c r="L91" s="106">
        <f>IF(NOT(ISERROR(VLOOKUP(B91,Deflatores!G$42:H$64,2,FALSE))),VLOOKUP(B91,Deflatores!G$42:H$64,2,FALSE),IF(OR(ISBLANK(C91),ISBLANK(B91)),"",VLOOKUP(C91,Deflatores!G$4:H$38,2,FALSE)*H91+VLOOKUP(C91,Deflatores!G$4:I$38,3,FALSE)))</f>
        <v>6</v>
      </c>
      <c r="M91" s="6"/>
      <c r="N91" s="6"/>
      <c r="O91" s="111"/>
    </row>
    <row r="92" spans="1:15" x14ac:dyDescent="0.25">
      <c r="A92" s="112" t="s">
        <v>127</v>
      </c>
      <c r="B92" s="113" t="s">
        <v>50</v>
      </c>
      <c r="C92" s="113" t="s">
        <v>45</v>
      </c>
      <c r="D92" s="4">
        <v>27</v>
      </c>
      <c r="E92" s="4">
        <v>4</v>
      </c>
      <c r="F92" s="105" t="str">
        <f t="shared" si="0"/>
        <v>Alta</v>
      </c>
      <c r="G92" s="4" t="str">
        <f t="shared" si="1"/>
        <v>CEH</v>
      </c>
      <c r="H92" s="4">
        <f t="shared" ref="H92:H163" si="12">IF(ISBLANK(B92),"",IF(B92="ALI",IF(I92="L",7,IF(I92="A",10,15)),IF(B92="AIE",IF(I92="L",5,IF(I92="A",7,10)),IF(B92="SE",IF(I92="L",4,IF(I92="A",5,7)),IF(OR(B92="EE",B92="CE"),IF(I92="L",3,IF(I92="A",4,6)),0)))))</f>
        <v>6</v>
      </c>
      <c r="I92" s="105" t="str">
        <f t="shared" ref="I92:I163" si="13">IF(OR(ISBLANK(D92),ISBLANK(E92)),IF(OR(B92="ALI",B92="AIE"),"L",IF(OR(B92="EE",B92="SE",B92="CE"),"A","")),IF(B92="EE",IF(E92&gt;=3,IF(D92&gt;=5,"H","A"),IF(E92&gt;=2,IF(D92&gt;=16,"H",IF(D92&lt;=4,"L","A")),IF(D92&lt;=15,"L","A"))),IF(OR(B92="SE",B92="CE"),IF(E92&gt;=4,IF(D92&gt;=6,"H","A"),IF(E92&gt;=2,IF(D92&gt;=20,"H",IF(D92&lt;=5,"L","A")),IF(D92&lt;=19,"L","A"))),IF(OR(B92="ALI",B92="AIE"),IF(E92&gt;=6,IF(D92&gt;=20,"H","A"),IF(E92&gt;=2,IF(D92&gt;=51,"H",IF(D92&lt;=19,"L","A")),IF(D92&lt;=50,"L","A"))),""))))</f>
        <v>H</v>
      </c>
      <c r="J92" s="4" t="str">
        <f t="shared" ref="J92:J163" si="14">CONCATENATE(B92,C92)</f>
        <v>CEI</v>
      </c>
      <c r="K92" s="106">
        <f t="shared" ref="K92:K163" si="15">IF(OR(H92="",H92=0),L92,H92)</f>
        <v>6</v>
      </c>
      <c r="L92" s="106">
        <f>IF(NOT(ISERROR(VLOOKUP(B92,Deflatores!G$42:H$64,2,FALSE))),VLOOKUP(B92,Deflatores!G$42:H$64,2,FALSE),IF(OR(ISBLANK(C92),ISBLANK(B92)),"",VLOOKUP(C92,Deflatores!G$4:H$38,2,FALSE)*H92+VLOOKUP(C92,Deflatores!G$4:I$38,3,FALSE)))</f>
        <v>6</v>
      </c>
      <c r="M92" s="6"/>
      <c r="N92" s="6"/>
      <c r="O92" s="111"/>
    </row>
    <row r="93" spans="1:15" x14ac:dyDescent="0.25">
      <c r="A93" s="112" t="s">
        <v>128</v>
      </c>
      <c r="B93" s="113" t="s">
        <v>48</v>
      </c>
      <c r="C93" s="113" t="s">
        <v>45</v>
      </c>
      <c r="D93" s="4">
        <v>2</v>
      </c>
      <c r="E93" s="4">
        <v>1</v>
      </c>
      <c r="F93" s="105" t="str">
        <f>IF(ISBLANK(B93),"",IF(I93="L","Baixa",IF(I93="A","Média",IF(I93="","","Alta"))))</f>
        <v>Baixa</v>
      </c>
      <c r="G93" s="4" t="str">
        <f>CONCATENATE(B93,I93)</f>
        <v>EEL</v>
      </c>
      <c r="H93" s="4">
        <f t="shared" si="12"/>
        <v>3</v>
      </c>
      <c r="I93" s="105" t="str">
        <f t="shared" si="13"/>
        <v>L</v>
      </c>
      <c r="J93" s="4" t="str">
        <f t="shared" si="14"/>
        <v>EEI</v>
      </c>
      <c r="K93" s="106">
        <f t="shared" si="15"/>
        <v>3</v>
      </c>
      <c r="L93" s="106">
        <f>IF(NOT(ISERROR(VLOOKUP(B93,Deflatores!G$42:H$64,2,FALSE))),VLOOKUP(B93,Deflatores!G$42:H$64,2,FALSE),IF(OR(ISBLANK(C93),ISBLANK(B93)),"",VLOOKUP(C93,Deflatores!G$4:H$38,2,FALSE)*H93+VLOOKUP(C93,Deflatores!G$4:I$38,3,FALSE)))</f>
        <v>3</v>
      </c>
      <c r="M93" s="6"/>
      <c r="N93" s="6"/>
      <c r="O93" s="111"/>
    </row>
    <row r="94" spans="1:15" x14ac:dyDescent="0.25">
      <c r="A94" s="112"/>
      <c r="B94" s="113"/>
      <c r="C94" s="113"/>
      <c r="D94" s="4"/>
      <c r="E94" s="4"/>
      <c r="F94" s="105" t="str">
        <f t="shared" si="0"/>
        <v/>
      </c>
      <c r="G94" s="4" t="str">
        <f t="shared" si="1"/>
        <v/>
      </c>
      <c r="H94" s="4" t="str">
        <f t="shared" si="12"/>
        <v/>
      </c>
      <c r="I94" s="105" t="str">
        <f t="shared" si="13"/>
        <v/>
      </c>
      <c r="J94" s="4" t="str">
        <f t="shared" si="14"/>
        <v/>
      </c>
      <c r="K94" s="106" t="str">
        <f t="shared" si="15"/>
        <v/>
      </c>
      <c r="L94" s="106" t="str">
        <f>IF(NOT(ISERROR(VLOOKUP(B94,Deflatores!G$42:H$64,2,FALSE))),VLOOKUP(B94,Deflatores!G$42:H$64,2,FALSE),IF(OR(ISBLANK(C94),ISBLANK(B94)),"",VLOOKUP(C94,Deflatores!G$4:H$38,2,FALSE)*H94+VLOOKUP(C94,Deflatores!G$4:I$38,3,FALSE)))</f>
        <v/>
      </c>
      <c r="M94" s="6"/>
      <c r="N94" s="6"/>
      <c r="O94" s="111"/>
    </row>
    <row r="95" spans="1:15" x14ac:dyDescent="0.25">
      <c r="A95" s="115" t="s">
        <v>129</v>
      </c>
      <c r="B95" s="113"/>
      <c r="C95" s="113" t="s">
        <v>45</v>
      </c>
      <c r="D95" s="4"/>
      <c r="E95" s="4"/>
      <c r="F95" s="105" t="str">
        <f t="shared" ref="F95:F166" si="16">IF(ISBLANK(B95),"",IF(I95="L","Baixa",IF(I95="A","Média",IF(I95="","","Alta"))))</f>
        <v/>
      </c>
      <c r="G95" s="4" t="str">
        <f t="shared" ref="G95:G166" si="17">CONCATENATE(B95,I95)</f>
        <v/>
      </c>
      <c r="H95" s="4" t="str">
        <f t="shared" si="12"/>
        <v/>
      </c>
      <c r="I95" s="105" t="str">
        <f t="shared" si="13"/>
        <v/>
      </c>
      <c r="J95" s="4" t="str">
        <f t="shared" si="14"/>
        <v>I</v>
      </c>
      <c r="K95" s="106" t="str">
        <f t="shared" si="15"/>
        <v/>
      </c>
      <c r="L95" s="106" t="str">
        <f>IF(NOT(ISERROR(VLOOKUP(B95,Deflatores!G$42:H$64,2,FALSE))),VLOOKUP(B95,Deflatores!G$42:H$64,2,FALSE),IF(OR(ISBLANK(C95),ISBLANK(B95)),"",VLOOKUP(C95,Deflatores!G$4:H$38,2,FALSE)*H95+VLOOKUP(C95,Deflatores!G$4:I$38,3,FALSE)))</f>
        <v/>
      </c>
      <c r="M95" s="6"/>
      <c r="N95" s="6"/>
      <c r="O95" s="111"/>
    </row>
    <row r="96" spans="1:15" x14ac:dyDescent="0.25">
      <c r="A96" s="112" t="s">
        <v>130</v>
      </c>
      <c r="B96" s="113" t="s">
        <v>48</v>
      </c>
      <c r="C96" s="113" t="s">
        <v>45</v>
      </c>
      <c r="D96" s="4">
        <v>11</v>
      </c>
      <c r="E96" s="4">
        <v>1</v>
      </c>
      <c r="F96" s="105" t="str">
        <f t="shared" si="16"/>
        <v>Baixa</v>
      </c>
      <c r="G96" s="4" t="str">
        <f t="shared" si="17"/>
        <v>EEL</v>
      </c>
      <c r="H96" s="4">
        <f t="shared" si="12"/>
        <v>3</v>
      </c>
      <c r="I96" s="105" t="str">
        <f t="shared" si="13"/>
        <v>L</v>
      </c>
      <c r="J96" s="4" t="str">
        <f t="shared" si="14"/>
        <v>EEI</v>
      </c>
      <c r="K96" s="106">
        <f t="shared" si="15"/>
        <v>3</v>
      </c>
      <c r="L96" s="106">
        <f>IF(NOT(ISERROR(VLOOKUP(B96,Deflatores!G$42:H$64,2,FALSE))),VLOOKUP(B96,Deflatores!G$42:H$64,2,FALSE),IF(OR(ISBLANK(C96),ISBLANK(B96)),"",VLOOKUP(C96,Deflatores!G$4:H$38,2,FALSE)*H96+VLOOKUP(C96,Deflatores!G$4:I$38,3,FALSE)))</f>
        <v>3</v>
      </c>
      <c r="M96" s="6"/>
      <c r="N96" s="6"/>
      <c r="O96" s="111"/>
    </row>
    <row r="97" spans="1:15" x14ac:dyDescent="0.25">
      <c r="A97" s="112" t="s">
        <v>131</v>
      </c>
      <c r="B97" s="113" t="s">
        <v>48</v>
      </c>
      <c r="C97" s="113" t="s">
        <v>45</v>
      </c>
      <c r="D97" s="4">
        <v>11</v>
      </c>
      <c r="E97" s="4">
        <v>1</v>
      </c>
      <c r="F97" s="105" t="str">
        <f t="shared" si="16"/>
        <v>Baixa</v>
      </c>
      <c r="G97" s="4" t="str">
        <f t="shared" si="17"/>
        <v>EEL</v>
      </c>
      <c r="H97" s="4">
        <f t="shared" si="12"/>
        <v>3</v>
      </c>
      <c r="I97" s="105" t="str">
        <f t="shared" si="13"/>
        <v>L</v>
      </c>
      <c r="J97" s="4" t="str">
        <f t="shared" si="14"/>
        <v>EEI</v>
      </c>
      <c r="K97" s="106">
        <f t="shared" si="15"/>
        <v>3</v>
      </c>
      <c r="L97" s="106">
        <f>IF(NOT(ISERROR(VLOOKUP(B97,Deflatores!G$42:H$64,2,FALSE))),VLOOKUP(B97,Deflatores!G$42:H$64,2,FALSE),IF(OR(ISBLANK(C97),ISBLANK(B97)),"",VLOOKUP(C97,Deflatores!G$4:H$38,2,FALSE)*H97+VLOOKUP(C97,Deflatores!G$4:I$38,3,FALSE)))</f>
        <v>3</v>
      </c>
      <c r="M97" s="6"/>
      <c r="N97" s="6"/>
      <c r="O97" s="111"/>
    </row>
    <row r="98" spans="1:15" x14ac:dyDescent="0.25">
      <c r="A98" s="114" t="s">
        <v>82</v>
      </c>
      <c r="B98" s="113" t="s">
        <v>50</v>
      </c>
      <c r="C98" s="113" t="s">
        <v>45</v>
      </c>
      <c r="D98" s="4">
        <v>9</v>
      </c>
      <c r="E98" s="4">
        <v>1</v>
      </c>
      <c r="F98" s="105" t="str">
        <f t="shared" si="16"/>
        <v>Baixa</v>
      </c>
      <c r="G98" s="4" t="str">
        <f t="shared" si="17"/>
        <v>CEL</v>
      </c>
      <c r="H98" s="4">
        <f t="shared" si="12"/>
        <v>3</v>
      </c>
      <c r="I98" s="105" t="str">
        <f t="shared" si="13"/>
        <v>L</v>
      </c>
      <c r="J98" s="4" t="str">
        <f t="shared" si="14"/>
        <v>CEI</v>
      </c>
      <c r="K98" s="106">
        <f t="shared" si="15"/>
        <v>3</v>
      </c>
      <c r="L98" s="106">
        <f>IF(NOT(ISERROR(VLOOKUP(B98,Deflatores!G$42:H$64,2,FALSE))),VLOOKUP(B98,Deflatores!G$42:H$64,2,FALSE),IF(OR(ISBLANK(C98),ISBLANK(B98)),"",VLOOKUP(C98,Deflatores!G$4:H$38,2,FALSE)*H98+VLOOKUP(C98,Deflatores!G$4:I$38,3,FALSE)))</f>
        <v>3</v>
      </c>
      <c r="M98" s="6"/>
      <c r="N98" s="6"/>
      <c r="O98" s="111"/>
    </row>
    <row r="99" spans="1:15" ht="13.5" x14ac:dyDescent="0.25">
      <c r="A99" s="155" t="s">
        <v>101</v>
      </c>
      <c r="B99" s="126" t="s">
        <v>48</v>
      </c>
      <c r="C99" s="127" t="s">
        <v>45</v>
      </c>
      <c r="D99" s="4">
        <v>19</v>
      </c>
      <c r="E99" s="4">
        <v>3</v>
      </c>
      <c r="F99" s="128" t="s">
        <v>91</v>
      </c>
      <c r="G99" s="129">
        <v>3</v>
      </c>
      <c r="H99" s="129">
        <v>3</v>
      </c>
      <c r="I99" s="129">
        <v>3</v>
      </c>
      <c r="J99" s="129"/>
      <c r="K99" s="106">
        <f t="shared" si="15"/>
        <v>3</v>
      </c>
      <c r="L99" s="106">
        <f>IF(NOT(ISERROR(VLOOKUP(B99,Deflatores!G$42:H$64,2,FALSE))),VLOOKUP(B99,Deflatores!G$42:H$64,2,FALSE),IF(OR(ISBLANK(C99),ISBLANK(B99)),"",VLOOKUP(C99,Deflatores!G$4:H$38,2,FALSE)*H99+VLOOKUP(C99,Deflatores!G$4:I$38,3,FALSE)))</f>
        <v>3</v>
      </c>
      <c r="N99" s="6"/>
      <c r="O99" s="111"/>
    </row>
    <row r="100" spans="1:15" x14ac:dyDescent="0.25">
      <c r="A100" s="114" t="s">
        <v>132</v>
      </c>
      <c r="B100" s="113" t="s">
        <v>50</v>
      </c>
      <c r="C100" s="113" t="s">
        <v>45</v>
      </c>
      <c r="D100" s="4">
        <v>7</v>
      </c>
      <c r="E100" s="4">
        <v>2</v>
      </c>
      <c r="F100" s="105" t="str">
        <f>IF(ISBLANK(B100),"",IF(I100="L","Baixa",IF(I100="A","Média",IF(I100="","","Alta"))))</f>
        <v>Média</v>
      </c>
      <c r="G100" s="4" t="str">
        <f>CONCATENATE(B100,I100)</f>
        <v>CEA</v>
      </c>
      <c r="H100" s="4">
        <f>IF(ISBLANK(B100),"",IF(B100="ALI",IF(I100="L",7,IF(I100="A",10,15)),IF(B100="AIE",IF(I100="L",5,IF(I100="A",7,10)),IF(B100="SE",IF(I100="L",4,IF(I100="A",5,7)),IF(OR(B100="EE",B100="CE"),IF(I100="L",3,IF(I100="A",4,6)),0)))))</f>
        <v>4</v>
      </c>
      <c r="I100" s="105" t="str">
        <f>IF(OR(ISBLANK(D100),ISBLANK(E100)),IF(OR(B100="ALI",B100="AIE"),"L",IF(OR(B100="EE",B100="SE",B100="CE"),"A","")),IF(B100="EE",IF(E100&gt;=3,IF(D100&gt;=5,"H","A"),IF(E100&gt;=2,IF(D100&gt;=16,"H",IF(D100&lt;=4,"L","A")),IF(D100&lt;=15,"L","A"))),IF(OR(B100="SE",B100="CE"),IF(E100&gt;=4,IF(D100&gt;=6,"H","A"),IF(E100&gt;=2,IF(D100&gt;=20,"H",IF(D100&lt;=5,"L","A")),IF(D100&lt;=19,"L","A"))),IF(OR(B100="ALI",B100="AIE"),IF(E100&gt;=6,IF(D100&gt;=20,"H","A"),IF(E100&gt;=2,IF(D100&gt;=51,"H",IF(D100&lt;=19,"L","A")),IF(D100&lt;=50,"L","A"))),""))))</f>
        <v>A</v>
      </c>
      <c r="J100" s="4" t="str">
        <f>CONCATENATE(B100,C100)</f>
        <v>CEI</v>
      </c>
      <c r="K100" s="106">
        <f>IF(OR(H100="",H100=0),L100,H100)</f>
        <v>4</v>
      </c>
      <c r="L100" s="106">
        <f>IF(NOT(ISERROR(VLOOKUP(B100,Deflatores!G$42:H$64,2,FALSE))),VLOOKUP(B100,Deflatores!G$42:H$64,2,FALSE),IF(OR(ISBLANK(C100),ISBLANK(B100)),"",VLOOKUP(C100,Deflatores!G$4:H$38,2,FALSE)*H100+VLOOKUP(C100,Deflatores!G$4:I$38,3,FALSE)))</f>
        <v>4</v>
      </c>
      <c r="M100" s="6"/>
      <c r="N100" s="6"/>
      <c r="O100" s="111"/>
    </row>
    <row r="101" spans="1:15" ht="13.5" x14ac:dyDescent="0.25">
      <c r="A101" s="155" t="s">
        <v>103</v>
      </c>
      <c r="B101" s="126" t="s">
        <v>50</v>
      </c>
      <c r="C101" s="127" t="s">
        <v>45</v>
      </c>
      <c r="D101" s="4">
        <v>16</v>
      </c>
      <c r="E101" s="4">
        <v>3</v>
      </c>
      <c r="F101" s="128" t="s">
        <v>91</v>
      </c>
      <c r="G101" s="129">
        <v>3</v>
      </c>
      <c r="H101" s="129">
        <v>3</v>
      </c>
      <c r="I101" s="129">
        <v>3</v>
      </c>
      <c r="J101" s="129"/>
      <c r="K101" s="106">
        <f t="shared" si="15"/>
        <v>3</v>
      </c>
      <c r="L101" s="106">
        <f>IF(NOT(ISERROR(VLOOKUP(B101,Deflatores!G$42:H$64,2,FALSE))),VLOOKUP(B101,Deflatores!G$42:H$64,2,FALSE),IF(OR(ISBLANK(C101),ISBLANK(B101)),"",VLOOKUP(C101,Deflatores!G$4:H$38,2,FALSE)*H101+VLOOKUP(C101,Deflatores!G$4:I$38,3,FALSE)))</f>
        <v>3</v>
      </c>
      <c r="N101" s="6"/>
      <c r="O101" s="111"/>
    </row>
    <row r="102" spans="1:15" ht="13.5" x14ac:dyDescent="0.25">
      <c r="A102" s="155" t="s">
        <v>104</v>
      </c>
      <c r="B102" s="126" t="s">
        <v>48</v>
      </c>
      <c r="C102" s="127" t="s">
        <v>45</v>
      </c>
      <c r="D102" s="4">
        <v>5</v>
      </c>
      <c r="E102" s="4">
        <v>1</v>
      </c>
      <c r="F102" s="128" t="s">
        <v>91</v>
      </c>
      <c r="G102" s="129">
        <v>3</v>
      </c>
      <c r="H102" s="129">
        <v>3</v>
      </c>
      <c r="I102" s="129">
        <v>3</v>
      </c>
      <c r="J102" s="129"/>
      <c r="K102" s="106">
        <f t="shared" si="15"/>
        <v>3</v>
      </c>
      <c r="L102" s="106">
        <f>IF(NOT(ISERROR(VLOOKUP(B102,Deflatores!G$42:H$64,2,FALSE))),VLOOKUP(B102,Deflatores!G$42:H$64,2,FALSE),IF(OR(ISBLANK(C102),ISBLANK(B102)),"",VLOOKUP(C102,Deflatores!G$4:H$38,2,FALSE)*H102+VLOOKUP(C102,Deflatores!G$4:I$38,3,FALSE)))</f>
        <v>3</v>
      </c>
      <c r="N102" s="6"/>
      <c r="O102" s="111"/>
    </row>
    <row r="103" spans="1:15" ht="13.5" x14ac:dyDescent="0.25">
      <c r="A103" s="155" t="s">
        <v>133</v>
      </c>
      <c r="B103" s="126" t="s">
        <v>50</v>
      </c>
      <c r="C103" s="127" t="s">
        <v>45</v>
      </c>
      <c r="D103" s="4">
        <v>4</v>
      </c>
      <c r="E103" s="4">
        <v>1</v>
      </c>
      <c r="F103" s="129" t="s">
        <v>91</v>
      </c>
      <c r="G103" s="129">
        <v>3</v>
      </c>
      <c r="H103" s="129">
        <v>3</v>
      </c>
      <c r="I103" s="129">
        <v>3</v>
      </c>
      <c r="J103" s="129"/>
      <c r="K103" s="106">
        <f t="shared" si="15"/>
        <v>3</v>
      </c>
      <c r="L103" s="106">
        <f>IF(NOT(ISERROR(VLOOKUP(B103,Deflatores!G$42:H$64,2,FALSE))),VLOOKUP(B103,Deflatores!G$42:H$64,2,FALSE),IF(OR(ISBLANK(C103),ISBLANK(B103)),"",VLOOKUP(C103,Deflatores!G$4:H$38,2,FALSE)*H103+VLOOKUP(C103,Deflatores!G$4:I$38,3,FALSE)))</f>
        <v>3</v>
      </c>
      <c r="N103" s="6"/>
      <c r="O103" s="111"/>
    </row>
    <row r="104" spans="1:15" x14ac:dyDescent="0.25">
      <c r="A104" s="112" t="s">
        <v>134</v>
      </c>
      <c r="B104" s="113" t="s">
        <v>50</v>
      </c>
      <c r="C104" s="113" t="s">
        <v>45</v>
      </c>
      <c r="D104" s="4">
        <v>19</v>
      </c>
      <c r="E104" s="4">
        <v>3</v>
      </c>
      <c r="F104" s="105" t="str">
        <f>IF(ISBLANK(B104),"",IF(I104="L","Baixa",IF(I104="A","Média",IF(I104="","","Alta"))))</f>
        <v>Média</v>
      </c>
      <c r="G104" s="4" t="str">
        <f>CONCATENATE(B104,I104)</f>
        <v>CEA</v>
      </c>
      <c r="H104" s="4">
        <f>IF(ISBLANK(B104),"",IF(B104="ALI",IF(I104="L",7,IF(I104="A",10,15)),IF(B104="AIE",IF(I104="L",5,IF(I104="A",7,10)),IF(B104="SE",IF(I104="L",4,IF(I104="A",5,7)),IF(OR(B104="EE",B104="CE"),IF(I104="L",3,IF(I104="A",4,6)),0)))))</f>
        <v>4</v>
      </c>
      <c r="I104" s="105" t="str">
        <f>IF(OR(ISBLANK(D104),ISBLANK(E104)),IF(OR(B104="ALI",B104="AIE"),"L",IF(OR(B104="EE",B104="SE",B104="CE"),"A","")),IF(B104="EE",IF(E104&gt;=3,IF(D104&gt;=5,"H","A"),IF(E104&gt;=2,IF(D104&gt;=16,"H",IF(D104&lt;=4,"L","A")),IF(D104&lt;=15,"L","A"))),IF(OR(B104="SE",B104="CE"),IF(E104&gt;=4,IF(D104&gt;=6,"H","A"),IF(E104&gt;=2,IF(D104&gt;=20,"H",IF(D104&lt;=5,"L","A")),IF(D104&lt;=19,"L","A"))),IF(OR(B104="ALI",B104="AIE"),IF(E104&gt;=6,IF(D104&gt;=20,"H","A"),IF(E104&gt;=2,IF(D104&gt;=51,"H",IF(D104&lt;=19,"L","A")),IF(D104&lt;=50,"L","A"))),""))))</f>
        <v>A</v>
      </c>
      <c r="J104" s="4" t="str">
        <f>CONCATENATE(B104,C104)</f>
        <v>CEI</v>
      </c>
      <c r="K104" s="106">
        <f t="shared" si="15"/>
        <v>4</v>
      </c>
      <c r="L104" s="106">
        <f>IF(NOT(ISERROR(VLOOKUP(B104,Deflatores!G$42:H$64,2,FALSE))),VLOOKUP(B104,Deflatores!G$42:H$64,2,FALSE),IF(OR(ISBLANK(C104),ISBLANK(B104)),"",VLOOKUP(C104,Deflatores!G$4:H$38,2,FALSE)*H104+VLOOKUP(C104,Deflatores!G$4:I$38,3,FALSE)))</f>
        <v>4</v>
      </c>
      <c r="M104" s="6"/>
      <c r="N104" s="6"/>
      <c r="O104" s="111"/>
    </row>
    <row r="105" spans="1:15" x14ac:dyDescent="0.25">
      <c r="A105" s="112" t="s">
        <v>135</v>
      </c>
      <c r="B105" s="113" t="s">
        <v>48</v>
      </c>
      <c r="C105" s="113" t="s">
        <v>45</v>
      </c>
      <c r="D105" s="4">
        <v>18</v>
      </c>
      <c r="E105" s="4">
        <v>3</v>
      </c>
      <c r="F105" s="105" t="str">
        <f>IF(ISBLANK(B105),"",IF(I105="L","Baixa",IF(I105="A","Média",IF(I105="","","Alta"))))</f>
        <v>Alta</v>
      </c>
      <c r="G105" s="4" t="str">
        <f>CONCATENATE(B105,I105)</f>
        <v>EEH</v>
      </c>
      <c r="H105" s="4">
        <f>IF(ISBLANK(B105),"",IF(B105="ALI",IF(I105="L",7,IF(I105="A",10,15)),IF(B105="AIE",IF(I105="L",5,IF(I105="A",7,10)),IF(B105="SE",IF(I105="L",4,IF(I105="A",5,7)),IF(OR(B105="EE",B105="CE"),IF(I105="L",3,IF(I105="A",4,6)),0)))))</f>
        <v>6</v>
      </c>
      <c r="I105" s="105" t="str">
        <f>IF(OR(ISBLANK(D105),ISBLANK(E105)),IF(OR(B105="ALI",B105="AIE"),"L",IF(OR(B105="EE",B105="SE",B105="CE"),"A","")),IF(B105="EE",IF(E105&gt;=3,IF(D105&gt;=5,"H","A"),IF(E105&gt;=2,IF(D105&gt;=16,"H",IF(D105&lt;=4,"L","A")),IF(D105&lt;=15,"L","A"))),IF(OR(B105="SE",B105="CE"),IF(E105&gt;=4,IF(D105&gt;=6,"H","A"),IF(E105&gt;=2,IF(D105&gt;=20,"H",IF(D105&lt;=5,"L","A")),IF(D105&lt;=19,"L","A"))),IF(OR(B105="ALI",B105="AIE"),IF(E105&gt;=6,IF(D105&gt;=20,"H","A"),IF(E105&gt;=2,IF(D105&gt;=51,"H",IF(D105&lt;=19,"L","A")),IF(D105&lt;=50,"L","A"))),""))))</f>
        <v>H</v>
      </c>
      <c r="J105" s="4" t="str">
        <f>CONCATENATE(B105,C105)</f>
        <v>EEI</v>
      </c>
      <c r="K105" s="106">
        <f t="shared" si="15"/>
        <v>6</v>
      </c>
      <c r="L105" s="106">
        <f>IF(NOT(ISERROR(VLOOKUP(B105,Deflatores!G$42:H$64,2,FALSE))),VLOOKUP(B105,Deflatores!G$42:H$64,2,FALSE),IF(OR(ISBLANK(C105),ISBLANK(B105)),"",VLOOKUP(C105,Deflatores!G$4:H$38,2,FALSE)*H105+VLOOKUP(C105,Deflatores!G$4:I$38,3,FALSE)))</f>
        <v>6</v>
      </c>
      <c r="M105" s="6"/>
      <c r="N105" s="6"/>
      <c r="O105" s="111"/>
    </row>
    <row r="106" spans="1:15" ht="25.5" customHeight="1" x14ac:dyDescent="0.25">
      <c r="A106" s="114" t="s">
        <v>136</v>
      </c>
      <c r="B106" s="113" t="s">
        <v>50</v>
      </c>
      <c r="C106" s="113" t="s">
        <v>45</v>
      </c>
      <c r="D106" s="4">
        <v>17</v>
      </c>
      <c r="E106" s="4">
        <v>3</v>
      </c>
      <c r="F106" s="105" t="str">
        <f>IF(ISBLANK(B106),"",IF(I106="L","Baixa",IF(I106="A","Média",IF(I106="","","Alta"))))</f>
        <v>Média</v>
      </c>
      <c r="G106" s="4" t="str">
        <f>CONCATENATE(B106,I106)</f>
        <v>CEA</v>
      </c>
      <c r="H106" s="4">
        <f>IF(ISBLANK(B106),"",IF(B106="ALI",IF(I106="L",7,IF(I106="A",10,15)),IF(B106="AIE",IF(I106="L",5,IF(I106="A",7,10)),IF(B106="SE",IF(I106="L",4,IF(I106="A",5,7)),IF(OR(B106="EE",B106="CE"),IF(I106="L",3,IF(I106="A",4,6)),0)))))</f>
        <v>4</v>
      </c>
      <c r="I106" s="105" t="str">
        <f>IF(OR(ISBLANK(D106),ISBLANK(E106)),IF(OR(B106="ALI",B106="AIE"),"L",IF(OR(B106="EE",B106="SE",B106="CE"),"A","")),IF(B106="EE",IF(E106&gt;=3,IF(D106&gt;=5,"H","A"),IF(E106&gt;=2,IF(D106&gt;=16,"H",IF(D106&lt;=4,"L","A")),IF(D106&lt;=15,"L","A"))),IF(OR(B106="SE",B106="CE"),IF(E106&gt;=4,IF(D106&gt;=6,"H","A"),IF(E106&gt;=2,IF(D106&gt;=20,"H",IF(D106&lt;=5,"L","A")),IF(D106&lt;=19,"L","A"))),IF(OR(B106="ALI",B106="AIE"),IF(E106&gt;=6,IF(D106&gt;=20,"H","A"),IF(E106&gt;=2,IF(D106&gt;=51,"H",IF(D106&lt;=19,"L","A")),IF(D106&lt;=50,"L","A"))),""))))</f>
        <v>A</v>
      </c>
      <c r="J106" s="4" t="str">
        <f>CONCATENATE(B106,C106)</f>
        <v>CEI</v>
      </c>
      <c r="K106" s="106">
        <f>IF(OR(H106="",H106=0),L106,H106)</f>
        <v>4</v>
      </c>
      <c r="L106" s="106">
        <f>IF(NOT(ISERROR(VLOOKUP(B106,Deflatores!G$42:H$64,2,FALSE))),VLOOKUP(B106,Deflatores!G$42:H$64,2,FALSE),IF(OR(ISBLANK(C106),ISBLANK(B106)),"",VLOOKUP(C106,Deflatores!G$4:H$38,2,FALSE)*H106+VLOOKUP(C106,Deflatores!G$4:I$38,3,FALSE)))</f>
        <v>4</v>
      </c>
      <c r="M106" s="6"/>
      <c r="N106" s="6"/>
      <c r="O106" s="141"/>
    </row>
    <row r="107" spans="1:15" x14ac:dyDescent="0.25">
      <c r="A107" s="146" t="s">
        <v>137</v>
      </c>
      <c r="B107" s="113" t="s">
        <v>50</v>
      </c>
      <c r="C107" s="113" t="s">
        <v>45</v>
      </c>
      <c r="D107" s="4">
        <v>3</v>
      </c>
      <c r="E107" s="4">
        <v>1</v>
      </c>
      <c r="F107" s="105" t="str">
        <f>IF(ISBLANK(B107),"",IF(I107="L","Baixa",IF(I107="A","Média",IF(I107="","","Alta"))))</f>
        <v>Baixa</v>
      </c>
      <c r="G107" s="4" t="str">
        <f>CONCATENATE(B107,I107)</f>
        <v>CEL</v>
      </c>
      <c r="H107" s="4">
        <f>IF(ISBLANK(B107),"",IF(B107="ALI",IF(I107="L",7,IF(I107="A",10,15)),IF(B107="AIE",IF(I107="L",5,IF(I107="A",7,10)),IF(B107="SE",IF(I107="L",4,IF(I107="A",5,7)),IF(OR(B107="EE",B107="CE"),IF(I107="L",3,IF(I107="A",4,6)),0)))))</f>
        <v>3</v>
      </c>
      <c r="I107" s="105" t="str">
        <f>IF(OR(ISBLANK(D107),ISBLANK(E107)),IF(OR(B107="ALI",B107="AIE"),"L",IF(OR(B107="EE",B107="SE",B107="CE"),"A","")),IF(B107="EE",IF(E107&gt;=3,IF(D107&gt;=5,"H","A"),IF(E107&gt;=2,IF(D107&gt;=16,"H",IF(D107&lt;=4,"L","A")),IF(D107&lt;=15,"L","A"))),IF(OR(B107="SE",B107="CE"),IF(E107&gt;=4,IF(D107&gt;=6,"H","A"),IF(E107&gt;=2,IF(D107&gt;=20,"H",IF(D107&lt;=5,"L","A")),IF(D107&lt;=19,"L","A"))),IF(OR(B107="ALI",B107="AIE"),IF(E107&gt;=6,IF(D107&gt;=20,"H","A"),IF(E107&gt;=2,IF(D107&gt;=51,"H",IF(D107&lt;=19,"L","A")),IF(D107&lt;=50,"L","A"))),""))))</f>
        <v>L</v>
      </c>
      <c r="J107" s="4" t="str">
        <f>CONCATENATE(B107,C107)</f>
        <v>CEI</v>
      </c>
      <c r="K107" s="106">
        <f>IF(OR(H107="",H107=0),L107,H107)</f>
        <v>3</v>
      </c>
      <c r="L107" s="106">
        <f>IF(NOT(ISERROR(VLOOKUP(B107,Deflatores!G$42:H$64,2,FALSE))),VLOOKUP(B107,Deflatores!G$42:H$64,2,FALSE),IF(OR(ISBLANK(C107),ISBLANK(B107)),"",VLOOKUP(C107,Deflatores!G$4:H$38,2,FALSE)*H107+VLOOKUP(C107,Deflatores!G$4:I$38,3,FALSE)))</f>
        <v>3</v>
      </c>
      <c r="M107" s="6"/>
      <c r="N107" s="6"/>
      <c r="O107" s="144"/>
    </row>
    <row r="108" spans="1:15" x14ac:dyDescent="0.25">
      <c r="A108" s="112"/>
      <c r="B108" s="113"/>
      <c r="C108" s="113"/>
      <c r="D108" s="4"/>
      <c r="E108" s="4"/>
      <c r="F108" s="105" t="str">
        <f t="shared" si="16"/>
        <v/>
      </c>
      <c r="G108" s="4" t="str">
        <f t="shared" si="17"/>
        <v/>
      </c>
      <c r="H108" s="4" t="str">
        <f t="shared" si="12"/>
        <v/>
      </c>
      <c r="I108" s="105" t="str">
        <f t="shared" si="13"/>
        <v/>
      </c>
      <c r="J108" s="4" t="str">
        <f t="shared" si="14"/>
        <v/>
      </c>
      <c r="K108" s="106" t="str">
        <f t="shared" si="15"/>
        <v/>
      </c>
      <c r="L108" s="106" t="str">
        <f>IF(NOT(ISERROR(VLOOKUP(B108,Deflatores!G$42:H$64,2,FALSE))),VLOOKUP(B108,Deflatores!G$42:H$64,2,FALSE),IF(OR(ISBLANK(C108),ISBLANK(B108)),"",VLOOKUP(C108,Deflatores!G$4:H$38,2,FALSE)*H108+VLOOKUP(C108,Deflatores!G$4:I$38,3,FALSE)))</f>
        <v/>
      </c>
      <c r="M108" s="6"/>
      <c r="N108" s="6"/>
      <c r="O108" s="111"/>
    </row>
    <row r="109" spans="1:15" x14ac:dyDescent="0.25">
      <c r="A109" s="115" t="s">
        <v>138</v>
      </c>
      <c r="B109" s="113"/>
      <c r="C109" s="113" t="s">
        <v>45</v>
      </c>
      <c r="D109" s="4"/>
      <c r="E109" s="4"/>
      <c r="F109" s="105" t="str">
        <f t="shared" si="16"/>
        <v/>
      </c>
      <c r="G109" s="4" t="str">
        <f t="shared" si="17"/>
        <v/>
      </c>
      <c r="H109" s="4" t="str">
        <f t="shared" si="12"/>
        <v/>
      </c>
      <c r="I109" s="105" t="str">
        <f t="shared" si="13"/>
        <v/>
      </c>
      <c r="J109" s="4" t="str">
        <f t="shared" si="14"/>
        <v>I</v>
      </c>
      <c r="K109" s="106" t="str">
        <f t="shared" si="15"/>
        <v/>
      </c>
      <c r="L109" s="106" t="str">
        <f>IF(NOT(ISERROR(VLOOKUP(B109,Deflatores!G$42:H$64,2,FALSE))),VLOOKUP(B109,Deflatores!G$42:H$64,2,FALSE),IF(OR(ISBLANK(C109),ISBLANK(B109)),"",VLOOKUP(C109,Deflatores!G$4:H$38,2,FALSE)*H109+VLOOKUP(C109,Deflatores!G$4:I$38,3,FALSE)))</f>
        <v/>
      </c>
      <c r="M109" s="6"/>
      <c r="N109" s="6"/>
      <c r="O109" s="111"/>
    </row>
    <row r="110" spans="1:15" x14ac:dyDescent="0.25">
      <c r="A110" s="112" t="s">
        <v>139</v>
      </c>
      <c r="B110" s="113" t="s">
        <v>44</v>
      </c>
      <c r="C110" s="113" t="s">
        <v>45</v>
      </c>
      <c r="D110" s="4">
        <v>25</v>
      </c>
      <c r="E110" s="4">
        <v>1</v>
      </c>
      <c r="F110" s="105" t="str">
        <f t="shared" si="16"/>
        <v>Baixa</v>
      </c>
      <c r="G110" s="4" t="str">
        <f t="shared" si="17"/>
        <v>ALIL</v>
      </c>
      <c r="H110" s="4">
        <f t="shared" si="12"/>
        <v>7</v>
      </c>
      <c r="I110" s="105" t="str">
        <f t="shared" si="13"/>
        <v>L</v>
      </c>
      <c r="J110" s="4" t="str">
        <f t="shared" si="14"/>
        <v>ALII</v>
      </c>
      <c r="K110" s="106">
        <f t="shared" si="15"/>
        <v>7</v>
      </c>
      <c r="L110" s="106">
        <f>IF(NOT(ISERROR(VLOOKUP(B110,Deflatores!G$42:H$64,2,FALSE))),VLOOKUP(B110,Deflatores!G$42:H$64,2,FALSE),IF(OR(ISBLANK(C110),ISBLANK(B110)),"",VLOOKUP(C110,Deflatores!G$4:H$38,2,FALSE)*H110+VLOOKUP(C110,Deflatores!G$4:I$38,3,FALSE)))</f>
        <v>7</v>
      </c>
      <c r="M110" s="6"/>
      <c r="N110" s="6"/>
      <c r="O110" s="111"/>
    </row>
    <row r="111" spans="1:15" x14ac:dyDescent="0.25">
      <c r="A111" s="112" t="s">
        <v>140</v>
      </c>
      <c r="B111" s="113" t="s">
        <v>48</v>
      </c>
      <c r="C111" s="113" t="s">
        <v>45</v>
      </c>
      <c r="D111" s="4">
        <v>26</v>
      </c>
      <c r="E111" s="4">
        <v>2</v>
      </c>
      <c r="F111" s="105" t="str">
        <f t="shared" si="16"/>
        <v>Alta</v>
      </c>
      <c r="G111" s="4" t="str">
        <f t="shared" si="17"/>
        <v>EEH</v>
      </c>
      <c r="H111" s="4">
        <f t="shared" si="12"/>
        <v>6</v>
      </c>
      <c r="I111" s="105" t="str">
        <f t="shared" si="13"/>
        <v>H</v>
      </c>
      <c r="J111" s="4" t="str">
        <f t="shared" si="14"/>
        <v>EEI</v>
      </c>
      <c r="K111" s="106">
        <f t="shared" si="15"/>
        <v>6</v>
      </c>
      <c r="L111" s="106">
        <f>IF(NOT(ISERROR(VLOOKUP(B111,Deflatores!G$42:H$64,2,FALSE))),VLOOKUP(B111,Deflatores!G$42:H$64,2,FALSE),IF(OR(ISBLANK(C111),ISBLANK(B111)),"",VLOOKUP(C111,Deflatores!G$4:H$38,2,FALSE)*H111+VLOOKUP(C111,Deflatores!G$4:I$38,3,FALSE)))</f>
        <v>6</v>
      </c>
      <c r="M111" s="6"/>
      <c r="N111" s="6"/>
      <c r="O111" s="111"/>
    </row>
    <row r="112" spans="1:15" x14ac:dyDescent="0.25">
      <c r="A112" s="112" t="s">
        <v>141</v>
      </c>
      <c r="B112" s="113" t="s">
        <v>48</v>
      </c>
      <c r="C112" s="113" t="s">
        <v>45</v>
      </c>
      <c r="D112" s="4">
        <v>26</v>
      </c>
      <c r="E112" s="4">
        <v>2</v>
      </c>
      <c r="F112" s="105" t="str">
        <f t="shared" si="16"/>
        <v>Alta</v>
      </c>
      <c r="G112" s="4" t="str">
        <f t="shared" si="17"/>
        <v>EEH</v>
      </c>
      <c r="H112" s="4">
        <f t="shared" si="12"/>
        <v>6</v>
      </c>
      <c r="I112" s="105" t="str">
        <f t="shared" si="13"/>
        <v>H</v>
      </c>
      <c r="J112" s="4" t="str">
        <f t="shared" si="14"/>
        <v>EEI</v>
      </c>
      <c r="K112" s="106">
        <f t="shared" si="15"/>
        <v>6</v>
      </c>
      <c r="L112" s="106">
        <f>IF(NOT(ISERROR(VLOOKUP(B112,Deflatores!G$42:H$64,2,FALSE))),VLOOKUP(B112,Deflatores!G$42:H$64,2,FALSE),IF(OR(ISBLANK(C112),ISBLANK(B112)),"",VLOOKUP(C112,Deflatores!G$4:H$38,2,FALSE)*H112+VLOOKUP(C112,Deflatores!G$4:I$38,3,FALSE)))</f>
        <v>6</v>
      </c>
      <c r="M112" s="6"/>
      <c r="N112" s="6"/>
      <c r="O112" s="111"/>
    </row>
    <row r="113" spans="1:15" x14ac:dyDescent="0.25">
      <c r="A113" s="114" t="s">
        <v>82</v>
      </c>
      <c r="B113" s="113" t="s">
        <v>50</v>
      </c>
      <c r="C113" s="113" t="s">
        <v>45</v>
      </c>
      <c r="D113" s="4">
        <v>23</v>
      </c>
      <c r="E113" s="4">
        <v>2</v>
      </c>
      <c r="F113" s="105" t="str">
        <f t="shared" si="16"/>
        <v>Alta</v>
      </c>
      <c r="G113" s="4" t="str">
        <f t="shared" si="17"/>
        <v>CEH</v>
      </c>
      <c r="H113" s="4">
        <f t="shared" si="12"/>
        <v>6</v>
      </c>
      <c r="I113" s="105" t="str">
        <f t="shared" si="13"/>
        <v>H</v>
      </c>
      <c r="J113" s="4" t="str">
        <f t="shared" si="14"/>
        <v>CEI</v>
      </c>
      <c r="K113" s="106">
        <f t="shared" si="15"/>
        <v>6</v>
      </c>
      <c r="L113" s="106">
        <f>IF(NOT(ISERROR(VLOOKUP(B113,Deflatores!G$42:H$64,2,FALSE))),VLOOKUP(B113,Deflatores!G$42:H$64,2,FALSE),IF(OR(ISBLANK(C113),ISBLANK(B113)),"",VLOOKUP(C113,Deflatores!G$4:H$38,2,FALSE)*H113+VLOOKUP(C113,Deflatores!G$4:I$38,3,FALSE)))</f>
        <v>6</v>
      </c>
      <c r="M113" s="6"/>
      <c r="N113" s="6"/>
      <c r="O113" s="111"/>
    </row>
    <row r="114" spans="1:15" x14ac:dyDescent="0.25">
      <c r="A114" s="112" t="s">
        <v>132</v>
      </c>
      <c r="B114" s="113" t="s">
        <v>50</v>
      </c>
      <c r="C114" s="113" t="s">
        <v>45</v>
      </c>
      <c r="D114" s="4">
        <v>9</v>
      </c>
      <c r="E114" s="4">
        <v>2</v>
      </c>
      <c r="F114" s="105" t="str">
        <f t="shared" si="16"/>
        <v>Média</v>
      </c>
      <c r="G114" s="4" t="str">
        <f t="shared" si="17"/>
        <v>CEA</v>
      </c>
      <c r="H114" s="4">
        <f t="shared" si="12"/>
        <v>4</v>
      </c>
      <c r="I114" s="105" t="str">
        <f t="shared" si="13"/>
        <v>A</v>
      </c>
      <c r="J114" s="4" t="str">
        <f t="shared" si="14"/>
        <v>CEI</v>
      </c>
      <c r="K114" s="106">
        <f t="shared" si="15"/>
        <v>4</v>
      </c>
      <c r="L114" s="106">
        <f>IF(NOT(ISERROR(VLOOKUP(B114,Deflatores!G$42:H$64,2,FALSE))),VLOOKUP(B114,Deflatores!G$42:H$64,2,FALSE),IF(OR(ISBLANK(C114),ISBLANK(B114)),"",VLOOKUP(C114,Deflatores!G$4:H$38,2,FALSE)*H114+VLOOKUP(C114,Deflatores!G$4:I$38,3,FALSE)))</f>
        <v>4</v>
      </c>
      <c r="M114" s="6"/>
      <c r="N114" s="6"/>
      <c r="O114" s="111"/>
    </row>
    <row r="115" spans="1:15" x14ac:dyDescent="0.25">
      <c r="A115" s="112" t="s">
        <v>142</v>
      </c>
      <c r="B115" s="113" t="s">
        <v>48</v>
      </c>
      <c r="C115" s="113" t="s">
        <v>45</v>
      </c>
      <c r="D115" s="4">
        <v>3</v>
      </c>
      <c r="E115" s="4">
        <v>1</v>
      </c>
      <c r="F115" s="105" t="str">
        <f t="shared" si="16"/>
        <v>Baixa</v>
      </c>
      <c r="G115" s="4" t="str">
        <f t="shared" si="17"/>
        <v>EEL</v>
      </c>
      <c r="H115" s="4">
        <f t="shared" si="12"/>
        <v>3</v>
      </c>
      <c r="I115" s="105" t="str">
        <f t="shared" si="13"/>
        <v>L</v>
      </c>
      <c r="J115" s="4" t="str">
        <f t="shared" si="14"/>
        <v>EEI</v>
      </c>
      <c r="K115" s="106">
        <f t="shared" si="15"/>
        <v>3</v>
      </c>
      <c r="L115" s="106">
        <f>IF(NOT(ISERROR(VLOOKUP(B115,Deflatores!G$42:H$64,2,FALSE))),VLOOKUP(B115,Deflatores!G$42:H$64,2,FALSE),IF(OR(ISBLANK(C115),ISBLANK(B115)),"",VLOOKUP(C115,Deflatores!G$4:H$38,2,FALSE)*H115+VLOOKUP(C115,Deflatores!G$4:I$38,3,FALSE)))</f>
        <v>3</v>
      </c>
      <c r="M115" s="6"/>
      <c r="N115" s="6"/>
      <c r="O115" s="111"/>
    </row>
    <row r="116" spans="1:15" x14ac:dyDescent="0.25">
      <c r="A116" s="112"/>
      <c r="B116" s="113"/>
      <c r="C116" s="113"/>
      <c r="D116" s="4"/>
      <c r="E116" s="4"/>
      <c r="F116" s="105" t="str">
        <f t="shared" si="16"/>
        <v/>
      </c>
      <c r="G116" s="4" t="str">
        <f t="shared" si="17"/>
        <v/>
      </c>
      <c r="H116" s="4" t="str">
        <f t="shared" si="12"/>
        <v/>
      </c>
      <c r="I116" s="105" t="str">
        <f t="shared" si="13"/>
        <v/>
      </c>
      <c r="J116" s="4" t="str">
        <f t="shared" si="14"/>
        <v/>
      </c>
      <c r="K116" s="106" t="str">
        <f t="shared" si="15"/>
        <v/>
      </c>
      <c r="L116" s="106" t="str">
        <f>IF(NOT(ISERROR(VLOOKUP(B116,Deflatores!G$42:H$64,2,FALSE))),VLOOKUP(B116,Deflatores!G$42:H$64,2,FALSE),IF(OR(ISBLANK(C116),ISBLANK(B116)),"",VLOOKUP(C116,Deflatores!G$4:H$38,2,FALSE)*H116+VLOOKUP(C116,Deflatores!G$4:I$38,3,FALSE)))</f>
        <v/>
      </c>
      <c r="M116" s="6"/>
      <c r="N116" s="6"/>
      <c r="O116" s="111"/>
    </row>
    <row r="117" spans="1:15" ht="22" x14ac:dyDescent="0.25">
      <c r="A117" s="115" t="s">
        <v>143</v>
      </c>
      <c r="B117" s="113"/>
      <c r="C117" s="113" t="s">
        <v>45</v>
      </c>
      <c r="D117" s="4"/>
      <c r="E117" s="4"/>
      <c r="F117" s="105" t="str">
        <f t="shared" si="16"/>
        <v/>
      </c>
      <c r="G117" s="4" t="str">
        <f t="shared" si="17"/>
        <v/>
      </c>
      <c r="H117" s="4" t="str">
        <f t="shared" si="12"/>
        <v/>
      </c>
      <c r="I117" s="105" t="str">
        <f t="shared" si="13"/>
        <v/>
      </c>
      <c r="J117" s="4" t="str">
        <f t="shared" si="14"/>
        <v>I</v>
      </c>
      <c r="K117" s="106" t="str">
        <f t="shared" si="15"/>
        <v/>
      </c>
      <c r="L117" s="106" t="str">
        <f>IF(NOT(ISERROR(VLOOKUP(B117,Deflatores!G$42:H$64,2,FALSE))),VLOOKUP(B117,Deflatores!G$42:H$64,2,FALSE),IF(OR(ISBLANK(C117),ISBLANK(B117)),"",VLOOKUP(C117,Deflatores!G$4:H$38,2,FALSE)*H117+VLOOKUP(C117,Deflatores!G$4:I$38,3,FALSE)))</f>
        <v/>
      </c>
      <c r="M117" s="6"/>
      <c r="N117" s="149"/>
      <c r="O117" s="111" t="s">
        <v>144</v>
      </c>
    </row>
    <row r="118" spans="1:15" x14ac:dyDescent="0.25">
      <c r="A118" s="112" t="s">
        <v>145</v>
      </c>
      <c r="B118" s="113" t="s">
        <v>44</v>
      </c>
      <c r="C118" s="113" t="s">
        <v>45</v>
      </c>
      <c r="D118" s="4">
        <v>8</v>
      </c>
      <c r="E118" s="4">
        <v>1</v>
      </c>
      <c r="F118" s="105" t="str">
        <f t="shared" si="16"/>
        <v>Baixa</v>
      </c>
      <c r="G118" s="4" t="str">
        <f t="shared" si="17"/>
        <v>ALIL</v>
      </c>
      <c r="H118" s="4">
        <f t="shared" si="12"/>
        <v>7</v>
      </c>
      <c r="I118" s="105" t="str">
        <f t="shared" si="13"/>
        <v>L</v>
      </c>
      <c r="J118" s="4" t="str">
        <f t="shared" si="14"/>
        <v>ALII</v>
      </c>
      <c r="K118" s="106">
        <f t="shared" si="15"/>
        <v>7</v>
      </c>
      <c r="L118" s="106">
        <f>IF(NOT(ISERROR(VLOOKUP(B118,Deflatores!G$42:H$64,2,FALSE))),VLOOKUP(B118,Deflatores!G$42:H$64,2,FALSE),IF(OR(ISBLANK(C118),ISBLANK(B118)),"",VLOOKUP(C118,Deflatores!G$4:H$38,2,FALSE)*H118+VLOOKUP(C118,Deflatores!G$4:I$38,3,FALSE)))</f>
        <v>7</v>
      </c>
      <c r="M118" s="6"/>
      <c r="N118" s="6"/>
      <c r="O118" s="111"/>
    </row>
    <row r="119" spans="1:15" x14ac:dyDescent="0.25">
      <c r="A119" s="112" t="s">
        <v>146</v>
      </c>
      <c r="B119" s="113" t="s">
        <v>50</v>
      </c>
      <c r="C119" s="113" t="s">
        <v>45</v>
      </c>
      <c r="D119" s="4">
        <v>18</v>
      </c>
      <c r="E119" s="4">
        <v>5</v>
      </c>
      <c r="F119" s="105" t="str">
        <f t="shared" si="16"/>
        <v>Alta</v>
      </c>
      <c r="G119" s="4" t="str">
        <f t="shared" si="17"/>
        <v>CEH</v>
      </c>
      <c r="H119" s="4">
        <f t="shared" si="12"/>
        <v>6</v>
      </c>
      <c r="I119" s="105" t="str">
        <f t="shared" si="13"/>
        <v>H</v>
      </c>
      <c r="J119" s="4" t="str">
        <f t="shared" si="14"/>
        <v>CEI</v>
      </c>
      <c r="K119" s="106">
        <f t="shared" si="15"/>
        <v>6</v>
      </c>
      <c r="L119" s="106">
        <f>IF(NOT(ISERROR(VLOOKUP(B119,Deflatores!G$42:H$64,2,FALSE))),VLOOKUP(B119,Deflatores!G$42:H$64,2,FALSE),IF(OR(ISBLANK(C119),ISBLANK(B119)),"",VLOOKUP(C119,Deflatores!G$4:H$38,2,FALSE)*H119+VLOOKUP(C119,Deflatores!G$4:I$38,3,FALSE)))</f>
        <v>6</v>
      </c>
      <c r="M119" s="6"/>
      <c r="N119" s="6"/>
      <c r="O119" s="111"/>
    </row>
    <row r="120" spans="1:15" x14ac:dyDescent="0.25">
      <c r="A120" s="112" t="s">
        <v>147</v>
      </c>
      <c r="B120" s="113" t="s">
        <v>50</v>
      </c>
      <c r="C120" s="113" t="s">
        <v>45</v>
      </c>
      <c r="D120" s="4">
        <v>38</v>
      </c>
      <c r="E120" s="4">
        <v>6</v>
      </c>
      <c r="F120" s="105" t="str">
        <f t="shared" si="16"/>
        <v>Alta</v>
      </c>
      <c r="G120" s="4" t="str">
        <f t="shared" si="17"/>
        <v>CEH</v>
      </c>
      <c r="H120" s="4">
        <f t="shared" si="12"/>
        <v>6</v>
      </c>
      <c r="I120" s="105" t="str">
        <f t="shared" si="13"/>
        <v>H</v>
      </c>
      <c r="J120" s="4" t="str">
        <f t="shared" si="14"/>
        <v>CEI</v>
      </c>
      <c r="K120" s="106">
        <f t="shared" si="15"/>
        <v>6</v>
      </c>
      <c r="L120" s="106">
        <f>IF(NOT(ISERROR(VLOOKUP(B120,Deflatores!G$42:H$64,2,FALSE))),VLOOKUP(B120,Deflatores!G$42:H$64,2,FALSE),IF(OR(ISBLANK(C120),ISBLANK(B120)),"",VLOOKUP(C120,Deflatores!G$4:H$38,2,FALSE)*H120+VLOOKUP(C120,Deflatores!G$4:I$38,3,FALSE)))</f>
        <v>6</v>
      </c>
      <c r="M120" s="6"/>
      <c r="N120" s="6"/>
      <c r="O120" s="111"/>
    </row>
    <row r="121" spans="1:15" x14ac:dyDescent="0.25">
      <c r="A121" s="112"/>
      <c r="B121" s="113"/>
      <c r="C121" s="113"/>
      <c r="D121" s="4"/>
      <c r="E121" s="4"/>
      <c r="F121" s="105" t="str">
        <f t="shared" si="16"/>
        <v/>
      </c>
      <c r="G121" s="4" t="str">
        <f t="shared" si="17"/>
        <v/>
      </c>
      <c r="H121" s="4" t="str">
        <f t="shared" si="12"/>
        <v/>
      </c>
      <c r="I121" s="105" t="str">
        <f t="shared" si="13"/>
        <v/>
      </c>
      <c r="J121" s="4" t="str">
        <f t="shared" si="14"/>
        <v/>
      </c>
      <c r="K121" s="106" t="str">
        <f t="shared" si="15"/>
        <v/>
      </c>
      <c r="L121" s="106" t="str">
        <f>IF(NOT(ISERROR(VLOOKUP(B121,Deflatores!G$42:H$64,2,FALSE))),VLOOKUP(B121,Deflatores!G$42:H$64,2,FALSE),IF(OR(ISBLANK(C121),ISBLANK(B121)),"",VLOOKUP(C121,Deflatores!G$4:H$38,2,FALSE)*H121+VLOOKUP(C121,Deflatores!G$4:I$38,3,FALSE)))</f>
        <v/>
      </c>
      <c r="M121" s="6"/>
      <c r="N121" s="6"/>
      <c r="O121" s="111"/>
    </row>
    <row r="122" spans="1:15" x14ac:dyDescent="0.25">
      <c r="A122" s="115" t="s">
        <v>148</v>
      </c>
      <c r="B122" s="113"/>
      <c r="C122" s="113" t="s">
        <v>45</v>
      </c>
      <c r="D122" s="4"/>
      <c r="E122" s="4"/>
      <c r="F122" s="105" t="str">
        <f t="shared" si="16"/>
        <v/>
      </c>
      <c r="G122" s="4" t="str">
        <f t="shared" si="17"/>
        <v/>
      </c>
      <c r="H122" s="4" t="str">
        <f t="shared" si="12"/>
        <v/>
      </c>
      <c r="I122" s="105" t="str">
        <f t="shared" si="13"/>
        <v/>
      </c>
      <c r="J122" s="4" t="str">
        <f t="shared" si="14"/>
        <v>I</v>
      </c>
      <c r="K122" s="106" t="str">
        <f t="shared" si="15"/>
        <v/>
      </c>
      <c r="L122" s="106" t="str">
        <f>IF(NOT(ISERROR(VLOOKUP(B122,Deflatores!G$42:H$64,2,FALSE))),VLOOKUP(B122,Deflatores!G$42:H$64,2,FALSE),IF(OR(ISBLANK(C122),ISBLANK(B122)),"",VLOOKUP(C122,Deflatores!G$4:H$38,2,FALSE)*H122+VLOOKUP(C122,Deflatores!G$4:I$38,3,FALSE)))</f>
        <v/>
      </c>
      <c r="M122" s="6"/>
      <c r="N122" s="6"/>
      <c r="O122" s="111"/>
    </row>
    <row r="123" spans="1:15" x14ac:dyDescent="0.25">
      <c r="A123" s="112" t="s">
        <v>149</v>
      </c>
      <c r="B123" s="113" t="s">
        <v>48</v>
      </c>
      <c r="C123" s="113" t="s">
        <v>45</v>
      </c>
      <c r="D123" s="4">
        <v>13</v>
      </c>
      <c r="E123" s="4">
        <v>3</v>
      </c>
      <c r="F123" s="105" t="str">
        <f t="shared" si="16"/>
        <v>Alta</v>
      </c>
      <c r="G123" s="4" t="str">
        <f t="shared" si="17"/>
        <v>EEH</v>
      </c>
      <c r="H123" s="4">
        <f t="shared" si="12"/>
        <v>6</v>
      </c>
      <c r="I123" s="105" t="str">
        <f t="shared" si="13"/>
        <v>H</v>
      </c>
      <c r="J123" s="4" t="str">
        <f t="shared" si="14"/>
        <v>EEI</v>
      </c>
      <c r="K123" s="106">
        <f t="shared" si="15"/>
        <v>6</v>
      </c>
      <c r="L123" s="106">
        <f>IF(NOT(ISERROR(VLOOKUP(B123,Deflatores!G$42:H$64,2,FALSE))),VLOOKUP(B123,Deflatores!G$42:H$64,2,FALSE),IF(OR(ISBLANK(C123),ISBLANK(B123)),"",VLOOKUP(C123,Deflatores!G$4:H$38,2,FALSE)*H123+VLOOKUP(C123,Deflatores!G$4:I$38,3,FALSE)))</f>
        <v>6</v>
      </c>
      <c r="M123" s="6"/>
      <c r="N123" s="6"/>
      <c r="O123" s="111"/>
    </row>
    <row r="124" spans="1:15" x14ac:dyDescent="0.25">
      <c r="A124" s="112" t="s">
        <v>150</v>
      </c>
      <c r="B124" s="113" t="s">
        <v>48</v>
      </c>
      <c r="C124" s="113" t="s">
        <v>45</v>
      </c>
      <c r="D124" s="4">
        <v>13</v>
      </c>
      <c r="E124" s="4">
        <v>3</v>
      </c>
      <c r="F124" s="105" t="str">
        <f t="shared" si="16"/>
        <v>Alta</v>
      </c>
      <c r="G124" s="4" t="str">
        <f t="shared" si="17"/>
        <v>EEH</v>
      </c>
      <c r="H124" s="4">
        <f t="shared" si="12"/>
        <v>6</v>
      </c>
      <c r="I124" s="105" t="str">
        <f t="shared" si="13"/>
        <v>H</v>
      </c>
      <c r="J124" s="4" t="str">
        <f t="shared" si="14"/>
        <v>EEI</v>
      </c>
      <c r="K124" s="106">
        <f t="shared" si="15"/>
        <v>6</v>
      </c>
      <c r="L124" s="106">
        <f>IF(NOT(ISERROR(VLOOKUP(B124,Deflatores!G$42:H$64,2,FALSE))),VLOOKUP(B124,Deflatores!G$42:H$64,2,FALSE),IF(OR(ISBLANK(C124),ISBLANK(B124)),"",VLOOKUP(C124,Deflatores!G$4:H$38,2,FALSE)*H124+VLOOKUP(C124,Deflatores!G$4:I$38,3,FALSE)))</f>
        <v>6</v>
      </c>
      <c r="M124" s="6"/>
      <c r="N124" s="6"/>
      <c r="O124" s="111"/>
    </row>
    <row r="125" spans="1:15" x14ac:dyDescent="0.25">
      <c r="A125" s="114" t="s">
        <v>58</v>
      </c>
      <c r="B125" s="113" t="s">
        <v>50</v>
      </c>
      <c r="C125" s="113" t="s">
        <v>45</v>
      </c>
      <c r="D125" s="4">
        <v>5</v>
      </c>
      <c r="E125" s="4">
        <v>2</v>
      </c>
      <c r="F125" s="105" t="str">
        <f t="shared" si="16"/>
        <v>Baixa</v>
      </c>
      <c r="G125" s="4" t="str">
        <f t="shared" si="17"/>
        <v>CEL</v>
      </c>
      <c r="H125" s="4">
        <f t="shared" si="12"/>
        <v>3</v>
      </c>
      <c r="I125" s="105" t="str">
        <f t="shared" si="13"/>
        <v>L</v>
      </c>
      <c r="J125" s="4" t="str">
        <f t="shared" si="14"/>
        <v>CEI</v>
      </c>
      <c r="K125" s="106">
        <f t="shared" si="15"/>
        <v>3</v>
      </c>
      <c r="L125" s="106">
        <f>IF(NOT(ISERROR(VLOOKUP(B125,Deflatores!G$42:H$64,2,FALSE))),VLOOKUP(B125,Deflatores!G$42:H$64,2,FALSE),IF(OR(ISBLANK(C125),ISBLANK(B125)),"",VLOOKUP(C125,Deflatores!G$4:H$38,2,FALSE)*H125+VLOOKUP(C125,Deflatores!G$4:I$38,3,FALSE)))</f>
        <v>3</v>
      </c>
      <c r="M125" s="6"/>
      <c r="N125" s="6"/>
      <c r="O125" s="111"/>
    </row>
    <row r="126" spans="1:15" x14ac:dyDescent="0.25">
      <c r="A126" s="112" t="s">
        <v>151</v>
      </c>
      <c r="B126" s="113" t="s">
        <v>113</v>
      </c>
      <c r="C126" s="113" t="s">
        <v>45</v>
      </c>
      <c r="D126" s="4">
        <v>20</v>
      </c>
      <c r="E126" s="4">
        <v>3</v>
      </c>
      <c r="F126" s="105" t="str">
        <f t="shared" si="16"/>
        <v>Alta</v>
      </c>
      <c r="G126" s="4" t="str">
        <f t="shared" si="17"/>
        <v>SEH</v>
      </c>
      <c r="H126" s="4">
        <f t="shared" si="12"/>
        <v>7</v>
      </c>
      <c r="I126" s="105" t="str">
        <f t="shared" si="13"/>
        <v>H</v>
      </c>
      <c r="J126" s="4" t="str">
        <f t="shared" si="14"/>
        <v>SEI</v>
      </c>
      <c r="K126" s="106">
        <f t="shared" si="15"/>
        <v>7</v>
      </c>
      <c r="L126" s="106">
        <f>IF(NOT(ISERROR(VLOOKUP(B126,Deflatores!G$42:H$64,2,FALSE))),VLOOKUP(B126,Deflatores!G$42:H$64,2,FALSE),IF(OR(ISBLANK(C126),ISBLANK(B126)),"",VLOOKUP(C126,Deflatores!G$4:H$38,2,FALSE)*H126+VLOOKUP(C126,Deflatores!G$4:I$38,3,FALSE)))</f>
        <v>7</v>
      </c>
      <c r="M126" s="6"/>
      <c r="N126" s="6"/>
      <c r="O126" s="111"/>
    </row>
    <row r="127" spans="1:15" x14ac:dyDescent="0.25">
      <c r="A127" s="112"/>
      <c r="B127" s="113"/>
      <c r="C127" s="113"/>
      <c r="D127" s="4"/>
      <c r="E127" s="4"/>
      <c r="F127" s="105" t="str">
        <f t="shared" si="16"/>
        <v/>
      </c>
      <c r="G127" s="4" t="str">
        <f t="shared" si="17"/>
        <v/>
      </c>
      <c r="H127" s="4" t="str">
        <f t="shared" si="12"/>
        <v/>
      </c>
      <c r="I127" s="105" t="str">
        <f t="shared" si="13"/>
        <v/>
      </c>
      <c r="J127" s="4" t="str">
        <f t="shared" si="14"/>
        <v/>
      </c>
      <c r="K127" s="106" t="str">
        <f t="shared" si="15"/>
        <v/>
      </c>
      <c r="L127" s="106" t="str">
        <f>IF(NOT(ISERROR(VLOOKUP(B127,Deflatores!G$42:H$64,2,FALSE))),VLOOKUP(B127,Deflatores!G$42:H$64,2,FALSE),IF(OR(ISBLANK(C127),ISBLANK(B127)),"",VLOOKUP(C127,Deflatores!G$4:H$38,2,FALSE)*H127+VLOOKUP(C127,Deflatores!G$4:I$38,3,FALSE)))</f>
        <v/>
      </c>
      <c r="M127" s="6"/>
      <c r="N127" s="6"/>
      <c r="O127" s="111"/>
    </row>
    <row r="128" spans="1:15" x14ac:dyDescent="0.25">
      <c r="A128" s="115" t="s">
        <v>152</v>
      </c>
      <c r="B128" s="113"/>
      <c r="C128" s="113" t="s">
        <v>45</v>
      </c>
      <c r="D128" s="4"/>
      <c r="E128" s="4"/>
      <c r="F128" s="105" t="str">
        <f t="shared" si="16"/>
        <v/>
      </c>
      <c r="G128" s="4" t="str">
        <f t="shared" si="17"/>
        <v/>
      </c>
      <c r="H128" s="4" t="str">
        <f t="shared" si="12"/>
        <v/>
      </c>
      <c r="I128" s="105" t="str">
        <f t="shared" si="13"/>
        <v/>
      </c>
      <c r="J128" s="4" t="str">
        <f t="shared" si="14"/>
        <v>I</v>
      </c>
      <c r="K128" s="106" t="str">
        <f t="shared" si="15"/>
        <v/>
      </c>
      <c r="L128" s="106" t="str">
        <f>IF(NOT(ISERROR(VLOOKUP(B128,Deflatores!G$42:H$64,2,FALSE))),VLOOKUP(B128,Deflatores!G$42:H$64,2,FALSE),IF(OR(ISBLANK(C128),ISBLANK(B128)),"",VLOOKUP(C128,Deflatores!G$4:H$38,2,FALSE)*H128+VLOOKUP(C128,Deflatores!G$4:I$38,3,FALSE)))</f>
        <v/>
      </c>
      <c r="M128" s="6"/>
      <c r="N128" s="6"/>
      <c r="O128" s="111"/>
    </row>
    <row r="129" spans="1:15" x14ac:dyDescent="0.25">
      <c r="A129" s="112" t="s">
        <v>153</v>
      </c>
      <c r="B129" s="113" t="s">
        <v>113</v>
      </c>
      <c r="C129" s="113" t="s">
        <v>45</v>
      </c>
      <c r="D129" s="4">
        <v>46</v>
      </c>
      <c r="E129" s="4">
        <v>7</v>
      </c>
      <c r="F129" s="105" t="str">
        <f t="shared" si="16"/>
        <v>Alta</v>
      </c>
      <c r="G129" s="4" t="str">
        <f t="shared" si="17"/>
        <v>SEH</v>
      </c>
      <c r="H129" s="4">
        <f t="shared" si="12"/>
        <v>7</v>
      </c>
      <c r="I129" s="105" t="str">
        <f t="shared" si="13"/>
        <v>H</v>
      </c>
      <c r="J129" s="4" t="str">
        <f t="shared" si="14"/>
        <v>SEI</v>
      </c>
      <c r="K129" s="106">
        <f t="shared" si="15"/>
        <v>7</v>
      </c>
      <c r="L129" s="106">
        <f>IF(NOT(ISERROR(VLOOKUP(B129,Deflatores!G$42:H$64,2,FALSE))),VLOOKUP(B129,Deflatores!G$42:H$64,2,FALSE),IF(OR(ISBLANK(C129),ISBLANK(B129)),"",VLOOKUP(C129,Deflatores!G$4:H$38,2,FALSE)*H129+VLOOKUP(C129,Deflatores!G$4:I$38,3,FALSE)))</f>
        <v>7</v>
      </c>
      <c r="M129" s="6"/>
      <c r="N129" s="6"/>
      <c r="O129" s="111"/>
    </row>
    <row r="130" spans="1:15" x14ac:dyDescent="0.25">
      <c r="A130" s="112"/>
      <c r="B130" s="113"/>
      <c r="C130" s="113"/>
      <c r="D130" s="4"/>
      <c r="E130" s="4"/>
      <c r="F130" s="105" t="str">
        <f t="shared" si="16"/>
        <v/>
      </c>
      <c r="G130" s="4" t="str">
        <f t="shared" si="17"/>
        <v/>
      </c>
      <c r="H130" s="4" t="str">
        <f t="shared" si="12"/>
        <v/>
      </c>
      <c r="I130" s="105" t="str">
        <f t="shared" si="13"/>
        <v/>
      </c>
      <c r="J130" s="4" t="str">
        <f t="shared" si="14"/>
        <v/>
      </c>
      <c r="K130" s="106" t="str">
        <f t="shared" si="15"/>
        <v/>
      </c>
      <c r="L130" s="106" t="str">
        <f>IF(NOT(ISERROR(VLOOKUP(B130,Deflatores!G$42:H$64,2,FALSE))),VLOOKUP(B130,Deflatores!G$42:H$64,2,FALSE),IF(OR(ISBLANK(C130),ISBLANK(B130)),"",VLOOKUP(C130,Deflatores!G$4:H$38,2,FALSE)*H130+VLOOKUP(C130,Deflatores!G$4:I$38,3,FALSE)))</f>
        <v/>
      </c>
      <c r="M130" s="6"/>
      <c r="N130" s="6"/>
      <c r="O130" s="111"/>
    </row>
    <row r="131" spans="1:15" x14ac:dyDescent="0.25">
      <c r="A131" s="115" t="s">
        <v>154</v>
      </c>
      <c r="B131" s="113"/>
      <c r="C131" s="113" t="s">
        <v>45</v>
      </c>
      <c r="D131" s="4"/>
      <c r="E131" s="4"/>
      <c r="F131" s="105" t="str">
        <f t="shared" si="16"/>
        <v/>
      </c>
      <c r="G131" s="4" t="str">
        <f t="shared" si="17"/>
        <v/>
      </c>
      <c r="H131" s="4" t="str">
        <f t="shared" si="12"/>
        <v/>
      </c>
      <c r="I131" s="105" t="str">
        <f t="shared" si="13"/>
        <v/>
      </c>
      <c r="J131" s="4" t="str">
        <f t="shared" si="14"/>
        <v>I</v>
      </c>
      <c r="K131" s="106" t="str">
        <f t="shared" si="15"/>
        <v/>
      </c>
      <c r="L131" s="106" t="str">
        <f>IF(NOT(ISERROR(VLOOKUP(B131,Deflatores!G$42:H$64,2,FALSE))),VLOOKUP(B131,Deflatores!G$42:H$64,2,FALSE),IF(OR(ISBLANK(C131),ISBLANK(B131)),"",VLOOKUP(C131,Deflatores!G$4:H$38,2,FALSE)*H131+VLOOKUP(C131,Deflatores!G$4:I$38,3,FALSE)))</f>
        <v/>
      </c>
      <c r="M131" s="6"/>
      <c r="N131" s="6"/>
      <c r="O131" s="111"/>
    </row>
    <row r="132" spans="1:15" x14ac:dyDescent="0.25">
      <c r="A132" s="112" t="s">
        <v>69</v>
      </c>
      <c r="B132" s="113" t="s">
        <v>44</v>
      </c>
      <c r="C132" s="113" t="s">
        <v>45</v>
      </c>
      <c r="D132" s="4">
        <v>39</v>
      </c>
      <c r="E132" s="4">
        <v>4</v>
      </c>
      <c r="F132" s="105" t="str">
        <f t="shared" si="16"/>
        <v>Média</v>
      </c>
      <c r="G132" s="4" t="str">
        <f t="shared" si="17"/>
        <v>ALIA</v>
      </c>
      <c r="H132" s="4">
        <f t="shared" si="12"/>
        <v>10</v>
      </c>
      <c r="I132" s="105" t="str">
        <f t="shared" si="13"/>
        <v>A</v>
      </c>
      <c r="J132" s="4" t="str">
        <f t="shared" si="14"/>
        <v>ALII</v>
      </c>
      <c r="K132" s="106">
        <f t="shared" si="15"/>
        <v>10</v>
      </c>
      <c r="L132" s="106">
        <f>IF(NOT(ISERROR(VLOOKUP(B132,Deflatores!G$42:H$64,2,FALSE))),VLOOKUP(B132,Deflatores!G$42:H$64,2,FALSE),IF(OR(ISBLANK(C132),ISBLANK(B132)),"",VLOOKUP(C132,Deflatores!G$4:H$38,2,FALSE)*H132+VLOOKUP(C132,Deflatores!G$4:I$38,3,FALSE)))</f>
        <v>10</v>
      </c>
      <c r="M132" s="6"/>
      <c r="N132" s="6"/>
      <c r="O132" s="111"/>
    </row>
    <row r="133" spans="1:15" x14ac:dyDescent="0.25">
      <c r="A133" s="112"/>
      <c r="B133" s="113"/>
      <c r="C133" s="113"/>
      <c r="D133" s="4"/>
      <c r="E133" s="4"/>
      <c r="F133" s="105" t="str">
        <f t="shared" si="16"/>
        <v/>
      </c>
      <c r="G133" s="4" t="str">
        <f t="shared" si="17"/>
        <v/>
      </c>
      <c r="H133" s="4" t="str">
        <f t="shared" si="12"/>
        <v/>
      </c>
      <c r="I133" s="105" t="str">
        <f t="shared" si="13"/>
        <v/>
      </c>
      <c r="J133" s="4" t="str">
        <f t="shared" si="14"/>
        <v/>
      </c>
      <c r="K133" s="106" t="str">
        <f t="shared" si="15"/>
        <v/>
      </c>
      <c r="L133" s="106" t="str">
        <f>IF(NOT(ISERROR(VLOOKUP(B133,Deflatores!G$42:H$64,2,FALSE))),VLOOKUP(B133,Deflatores!G$42:H$64,2,FALSE),IF(OR(ISBLANK(C133),ISBLANK(B133)),"",VLOOKUP(C133,Deflatores!G$4:H$38,2,FALSE)*H133+VLOOKUP(C133,Deflatores!G$4:I$38,3,FALSE)))</f>
        <v/>
      </c>
      <c r="M133" s="6"/>
      <c r="N133" s="6"/>
      <c r="O133" s="111"/>
    </row>
    <row r="134" spans="1:15" x14ac:dyDescent="0.25">
      <c r="A134" s="115" t="s">
        <v>155</v>
      </c>
      <c r="B134" s="113"/>
      <c r="C134" s="113"/>
      <c r="D134" s="4"/>
      <c r="E134" s="4"/>
      <c r="F134" s="105" t="str">
        <f t="shared" si="16"/>
        <v/>
      </c>
      <c r="G134" s="4" t="str">
        <f t="shared" si="17"/>
        <v/>
      </c>
      <c r="H134" s="4" t="str">
        <f t="shared" si="12"/>
        <v/>
      </c>
      <c r="I134" s="105" t="str">
        <f t="shared" si="13"/>
        <v/>
      </c>
      <c r="J134" s="4" t="str">
        <f t="shared" si="14"/>
        <v/>
      </c>
      <c r="K134" s="106" t="str">
        <f t="shared" si="15"/>
        <v/>
      </c>
      <c r="L134" s="106" t="str">
        <f>IF(NOT(ISERROR(VLOOKUP(B134,Deflatores!G$42:H$64,2,FALSE))),VLOOKUP(B134,Deflatores!G$42:H$64,2,FALSE),IF(OR(ISBLANK(C134),ISBLANK(B134)),"",VLOOKUP(C134,Deflatores!G$4:H$38,2,FALSE)*H134+VLOOKUP(C134,Deflatores!G$4:I$38,3,FALSE)))</f>
        <v/>
      </c>
      <c r="M134" s="6"/>
      <c r="N134" s="6"/>
      <c r="O134" s="111"/>
    </row>
    <row r="135" spans="1:15" x14ac:dyDescent="0.25">
      <c r="A135" s="112" t="s">
        <v>156</v>
      </c>
      <c r="B135" s="113" t="s">
        <v>44</v>
      </c>
      <c r="C135" s="113" t="s">
        <v>45</v>
      </c>
      <c r="D135" s="4">
        <v>16</v>
      </c>
      <c r="E135" s="4">
        <v>1</v>
      </c>
      <c r="F135" s="105" t="str">
        <f t="shared" si="16"/>
        <v>Baixa</v>
      </c>
      <c r="G135" s="4" t="str">
        <f t="shared" si="17"/>
        <v>ALIL</v>
      </c>
      <c r="H135" s="4">
        <f t="shared" si="12"/>
        <v>7</v>
      </c>
      <c r="I135" s="105" t="str">
        <f t="shared" si="13"/>
        <v>L</v>
      </c>
      <c r="J135" s="4" t="str">
        <f t="shared" si="14"/>
        <v>ALII</v>
      </c>
      <c r="K135" s="106">
        <f t="shared" si="15"/>
        <v>7</v>
      </c>
      <c r="L135" s="106">
        <f>IF(NOT(ISERROR(VLOOKUP(B135,Deflatores!G$42:H$64,2,FALSE))),VLOOKUP(B135,Deflatores!G$42:H$64,2,FALSE),IF(OR(ISBLANK(C135),ISBLANK(B135)),"",VLOOKUP(C135,Deflatores!G$4:H$38,2,FALSE)*H135+VLOOKUP(C135,Deflatores!G$4:I$38,3,FALSE)))</f>
        <v>7</v>
      </c>
      <c r="M135" s="6"/>
      <c r="N135" s="6"/>
      <c r="O135" s="111"/>
    </row>
    <row r="136" spans="1:15" x14ac:dyDescent="0.25">
      <c r="A136" s="112" t="s">
        <v>157</v>
      </c>
      <c r="B136" s="113" t="s">
        <v>48</v>
      </c>
      <c r="C136" s="113" t="s">
        <v>45</v>
      </c>
      <c r="D136" s="4">
        <v>19</v>
      </c>
      <c r="E136" s="4">
        <v>2</v>
      </c>
      <c r="F136" s="105" t="str">
        <f t="shared" si="16"/>
        <v>Alta</v>
      </c>
      <c r="G136" s="4" t="str">
        <f t="shared" si="17"/>
        <v>EEH</v>
      </c>
      <c r="H136" s="4">
        <f t="shared" si="12"/>
        <v>6</v>
      </c>
      <c r="I136" s="105" t="str">
        <f t="shared" si="13"/>
        <v>H</v>
      </c>
      <c r="J136" s="4" t="str">
        <f t="shared" si="14"/>
        <v>EEI</v>
      </c>
      <c r="K136" s="106">
        <f t="shared" si="15"/>
        <v>6</v>
      </c>
      <c r="L136" s="106">
        <f>IF(NOT(ISERROR(VLOOKUP(B136,Deflatores!G$42:H$64,2,FALSE))),VLOOKUP(B136,Deflatores!G$42:H$64,2,FALSE),IF(OR(ISBLANK(C136),ISBLANK(B136)),"",VLOOKUP(C136,Deflatores!G$4:H$38,2,FALSE)*H136+VLOOKUP(C136,Deflatores!G$4:I$38,3,FALSE)))</f>
        <v>6</v>
      </c>
      <c r="M136" s="6"/>
      <c r="N136" s="6"/>
      <c r="O136" s="111"/>
    </row>
    <row r="137" spans="1:15" x14ac:dyDescent="0.25">
      <c r="A137" s="114" t="s">
        <v>158</v>
      </c>
      <c r="B137" s="113" t="s">
        <v>50</v>
      </c>
      <c r="C137" s="113" t="s">
        <v>72</v>
      </c>
      <c r="D137" s="4">
        <v>2</v>
      </c>
      <c r="E137" s="4">
        <v>1</v>
      </c>
      <c r="F137" s="105" t="str">
        <f t="shared" si="16"/>
        <v>Baixa</v>
      </c>
      <c r="G137" s="4" t="str">
        <f t="shared" si="17"/>
        <v>CEL</v>
      </c>
      <c r="H137" s="4">
        <f t="shared" si="12"/>
        <v>3</v>
      </c>
      <c r="I137" s="105" t="str">
        <f t="shared" si="13"/>
        <v>L</v>
      </c>
      <c r="J137" s="4" t="str">
        <f t="shared" si="14"/>
        <v>CEE</v>
      </c>
      <c r="K137" s="106">
        <f t="shared" si="15"/>
        <v>3</v>
      </c>
      <c r="L137" s="106">
        <f>IF(NOT(ISERROR(VLOOKUP(B137,Deflatores!G$42:H$64,2,FALSE))),VLOOKUP(B137,Deflatores!G$42:H$64,2,FALSE),IF(OR(ISBLANK(C137),ISBLANK(B137)),"",VLOOKUP(C137,Deflatores!G$4:H$38,2,FALSE)*H137+VLOOKUP(C137,Deflatores!G$4:I$38,3,FALSE)))</f>
        <v>1.2000000000000002</v>
      </c>
      <c r="M137" s="6"/>
      <c r="N137" s="6"/>
      <c r="O137" s="111"/>
    </row>
    <row r="138" spans="1:15" x14ac:dyDescent="0.25">
      <c r="A138" s="114" t="s">
        <v>159</v>
      </c>
      <c r="B138" s="113" t="s">
        <v>50</v>
      </c>
      <c r="C138" s="113" t="s">
        <v>72</v>
      </c>
      <c r="D138" s="4">
        <v>2</v>
      </c>
      <c r="E138" s="4">
        <v>1</v>
      </c>
      <c r="F138" s="105" t="str">
        <f t="shared" si="16"/>
        <v>Baixa</v>
      </c>
      <c r="G138" s="4" t="str">
        <f t="shared" si="17"/>
        <v>CEL</v>
      </c>
      <c r="H138" s="4">
        <f t="shared" si="12"/>
        <v>3</v>
      </c>
      <c r="I138" s="105" t="str">
        <f t="shared" si="13"/>
        <v>L</v>
      </c>
      <c r="J138" s="4" t="str">
        <f t="shared" si="14"/>
        <v>CEE</v>
      </c>
      <c r="K138" s="106">
        <f t="shared" si="15"/>
        <v>3</v>
      </c>
      <c r="L138" s="106">
        <f>IF(NOT(ISERROR(VLOOKUP(B138,Deflatores!G$42:H$64,2,FALSE))),VLOOKUP(B138,Deflatores!G$42:H$64,2,FALSE),IF(OR(ISBLANK(C138),ISBLANK(B138)),"",VLOOKUP(C138,Deflatores!G$4:H$38,2,FALSE)*H138+VLOOKUP(C138,Deflatores!G$4:I$38,3,FALSE)))</f>
        <v>1.2000000000000002</v>
      </c>
      <c r="M138" s="6"/>
      <c r="N138" s="6"/>
      <c r="O138" s="111"/>
    </row>
    <row r="139" spans="1:15" x14ac:dyDescent="0.25">
      <c r="A139" s="112" t="s">
        <v>160</v>
      </c>
      <c r="B139" s="113" t="s">
        <v>48</v>
      </c>
      <c r="C139" s="113" t="s">
        <v>45</v>
      </c>
      <c r="D139" s="4">
        <v>19</v>
      </c>
      <c r="E139" s="4">
        <v>2</v>
      </c>
      <c r="F139" s="105" t="str">
        <f t="shared" si="16"/>
        <v>Alta</v>
      </c>
      <c r="G139" s="4" t="str">
        <f t="shared" si="17"/>
        <v>EEH</v>
      </c>
      <c r="H139" s="4">
        <f t="shared" si="12"/>
        <v>6</v>
      </c>
      <c r="I139" s="105" t="str">
        <f t="shared" si="13"/>
        <v>H</v>
      </c>
      <c r="J139" s="4" t="str">
        <f t="shared" si="14"/>
        <v>EEI</v>
      </c>
      <c r="K139" s="106">
        <f t="shared" si="15"/>
        <v>6</v>
      </c>
      <c r="L139" s="106">
        <f>IF(NOT(ISERROR(VLOOKUP(B139,Deflatores!G$42:H$64,2,FALSE))),VLOOKUP(B139,Deflatores!G$42:H$64,2,FALSE),IF(OR(ISBLANK(C139),ISBLANK(B139)),"",VLOOKUP(C139,Deflatores!G$4:H$38,2,FALSE)*H139+VLOOKUP(C139,Deflatores!G$4:I$38,3,FALSE)))</f>
        <v>6</v>
      </c>
      <c r="M139" s="6"/>
      <c r="N139" s="6"/>
      <c r="O139" s="111"/>
    </row>
    <row r="140" spans="1:15" x14ac:dyDescent="0.25">
      <c r="A140" s="114" t="s">
        <v>82</v>
      </c>
      <c r="B140" s="113" t="s">
        <v>50</v>
      </c>
      <c r="C140" s="113" t="s">
        <v>45</v>
      </c>
      <c r="D140" s="4">
        <v>13</v>
      </c>
      <c r="E140" s="4">
        <v>1</v>
      </c>
      <c r="F140" s="105" t="str">
        <f t="shared" si="16"/>
        <v>Baixa</v>
      </c>
      <c r="G140" s="4" t="str">
        <f t="shared" si="17"/>
        <v>CEL</v>
      </c>
      <c r="H140" s="4">
        <f t="shared" si="12"/>
        <v>3</v>
      </c>
      <c r="I140" s="105" t="str">
        <f t="shared" si="13"/>
        <v>L</v>
      </c>
      <c r="J140" s="4" t="str">
        <f t="shared" si="14"/>
        <v>CEI</v>
      </c>
      <c r="K140" s="106">
        <f t="shared" si="15"/>
        <v>3</v>
      </c>
      <c r="L140" s="106">
        <f>IF(NOT(ISERROR(VLOOKUP(B140,Deflatores!G$42:H$64,2,FALSE))),VLOOKUP(B140,Deflatores!G$42:H$64,2,FALSE),IF(OR(ISBLANK(C140),ISBLANK(B140)),"",VLOOKUP(C140,Deflatores!G$4:H$38,2,FALSE)*H140+VLOOKUP(C140,Deflatores!G$4:I$38,3,FALSE)))</f>
        <v>3</v>
      </c>
      <c r="M140" s="6"/>
      <c r="N140" s="6"/>
      <c r="O140" s="111"/>
    </row>
    <row r="141" spans="1:15" x14ac:dyDescent="0.25">
      <c r="A141" s="112" t="s">
        <v>161</v>
      </c>
      <c r="B141" s="113" t="s">
        <v>50</v>
      </c>
      <c r="C141" s="113" t="s">
        <v>45</v>
      </c>
      <c r="D141" s="4">
        <v>8</v>
      </c>
      <c r="E141" s="4">
        <v>1</v>
      </c>
      <c r="F141" s="105" t="str">
        <f t="shared" si="16"/>
        <v>Baixa</v>
      </c>
      <c r="G141" s="4" t="str">
        <f t="shared" si="17"/>
        <v>CEL</v>
      </c>
      <c r="H141" s="4">
        <f t="shared" si="12"/>
        <v>3</v>
      </c>
      <c r="I141" s="105" t="str">
        <f t="shared" si="13"/>
        <v>L</v>
      </c>
      <c r="J141" s="4" t="str">
        <f t="shared" si="14"/>
        <v>CEI</v>
      </c>
      <c r="K141" s="106">
        <f t="shared" si="15"/>
        <v>3</v>
      </c>
      <c r="L141" s="106">
        <f>IF(NOT(ISERROR(VLOOKUP(B141,Deflatores!G$42:H$64,2,FALSE))),VLOOKUP(B141,Deflatores!G$42:H$64,2,FALSE),IF(OR(ISBLANK(C141),ISBLANK(B141)),"",VLOOKUP(C141,Deflatores!G$4:H$38,2,FALSE)*H141+VLOOKUP(C141,Deflatores!G$4:I$38,3,FALSE)))</f>
        <v>3</v>
      </c>
      <c r="M141" s="6"/>
      <c r="N141" s="6"/>
      <c r="O141" s="111"/>
    </row>
    <row r="142" spans="1:15" x14ac:dyDescent="0.25">
      <c r="A142" s="112" t="s">
        <v>162</v>
      </c>
      <c r="B142" s="113" t="s">
        <v>48</v>
      </c>
      <c r="C142" s="113" t="s">
        <v>45</v>
      </c>
      <c r="D142" s="4">
        <v>4</v>
      </c>
      <c r="E142" s="4">
        <v>2</v>
      </c>
      <c r="F142" s="105" t="str">
        <f t="shared" si="16"/>
        <v>Baixa</v>
      </c>
      <c r="G142" s="4" t="str">
        <f t="shared" si="17"/>
        <v>EEL</v>
      </c>
      <c r="H142" s="4">
        <f t="shared" si="12"/>
        <v>3</v>
      </c>
      <c r="I142" s="105" t="str">
        <f t="shared" si="13"/>
        <v>L</v>
      </c>
      <c r="J142" s="4" t="str">
        <f t="shared" si="14"/>
        <v>EEI</v>
      </c>
      <c r="K142" s="106">
        <f t="shared" si="15"/>
        <v>3</v>
      </c>
      <c r="L142" s="106">
        <f>IF(NOT(ISERROR(VLOOKUP(B142,Deflatores!G$42:H$64,2,FALSE))),VLOOKUP(B142,Deflatores!G$42:H$64,2,FALSE),IF(OR(ISBLANK(C142),ISBLANK(B142)),"",VLOOKUP(C142,Deflatores!G$4:H$38,2,FALSE)*H142+VLOOKUP(C142,Deflatores!G$4:I$38,3,FALSE)))</f>
        <v>3</v>
      </c>
      <c r="M142" s="6"/>
      <c r="N142" s="6"/>
      <c r="O142" s="111"/>
    </row>
    <row r="143" spans="1:15" x14ac:dyDescent="0.25">
      <c r="A143" s="112" t="s">
        <v>163</v>
      </c>
      <c r="B143" s="113" t="s">
        <v>50</v>
      </c>
      <c r="C143" s="113" t="s">
        <v>45</v>
      </c>
      <c r="D143" s="4">
        <v>9</v>
      </c>
      <c r="E143" s="4">
        <v>1</v>
      </c>
      <c r="F143" s="105" t="str">
        <f t="shared" si="16"/>
        <v>Baixa</v>
      </c>
      <c r="G143" s="4" t="str">
        <f t="shared" si="17"/>
        <v>CEL</v>
      </c>
      <c r="H143" s="4">
        <f t="shared" si="12"/>
        <v>3</v>
      </c>
      <c r="I143" s="105" t="str">
        <f t="shared" si="13"/>
        <v>L</v>
      </c>
      <c r="J143" s="4" t="str">
        <f t="shared" si="14"/>
        <v>CEI</v>
      </c>
      <c r="K143" s="106">
        <f t="shared" si="15"/>
        <v>3</v>
      </c>
      <c r="L143" s="106">
        <f>IF(NOT(ISERROR(VLOOKUP(B143,Deflatores!G$42:H$64,2,FALSE))),VLOOKUP(B143,Deflatores!G$42:H$64,2,FALSE),IF(OR(ISBLANK(C143),ISBLANK(B143)),"",VLOOKUP(C143,Deflatores!G$4:H$38,2,FALSE)*H143+VLOOKUP(C143,Deflatores!G$4:I$38,3,FALSE)))</f>
        <v>3</v>
      </c>
      <c r="M143" s="6"/>
      <c r="N143" s="6"/>
      <c r="O143" s="111"/>
    </row>
    <row r="144" spans="1:15" x14ac:dyDescent="0.25">
      <c r="A144" s="112"/>
      <c r="B144" s="113"/>
      <c r="C144" s="113"/>
      <c r="D144" s="4"/>
      <c r="E144" s="4"/>
      <c r="F144" s="105" t="str">
        <f t="shared" si="16"/>
        <v/>
      </c>
      <c r="G144" s="4" t="str">
        <f t="shared" si="17"/>
        <v/>
      </c>
      <c r="H144" s="4" t="str">
        <f t="shared" si="12"/>
        <v/>
      </c>
      <c r="I144" s="105" t="str">
        <f t="shared" si="13"/>
        <v/>
      </c>
      <c r="J144" s="4" t="str">
        <f t="shared" si="14"/>
        <v/>
      </c>
      <c r="K144" s="106" t="str">
        <f t="shared" si="15"/>
        <v/>
      </c>
      <c r="L144" s="106" t="str">
        <f>IF(NOT(ISERROR(VLOOKUP(B144,Deflatores!G$42:H$64,2,FALSE))),VLOOKUP(B144,Deflatores!G$42:H$64,2,FALSE),IF(OR(ISBLANK(C144),ISBLANK(B144)),"",VLOOKUP(C144,Deflatores!G$4:H$38,2,FALSE)*H144+VLOOKUP(C144,Deflatores!G$4:I$38,3,FALSE)))</f>
        <v/>
      </c>
      <c r="M144" s="6"/>
      <c r="N144" s="6"/>
      <c r="O144" s="111"/>
    </row>
    <row r="145" spans="1:15" x14ac:dyDescent="0.25">
      <c r="A145" s="115" t="s">
        <v>164</v>
      </c>
      <c r="B145" s="113"/>
      <c r="C145" s="113"/>
      <c r="D145" s="4"/>
      <c r="E145" s="4"/>
      <c r="F145" s="105" t="str">
        <f t="shared" si="16"/>
        <v/>
      </c>
      <c r="G145" s="4" t="str">
        <f t="shared" si="17"/>
        <v/>
      </c>
      <c r="H145" s="4" t="str">
        <f t="shared" si="12"/>
        <v/>
      </c>
      <c r="I145" s="105" t="str">
        <f t="shared" si="13"/>
        <v/>
      </c>
      <c r="J145" s="4" t="str">
        <f t="shared" si="14"/>
        <v/>
      </c>
      <c r="K145" s="106" t="str">
        <f t="shared" si="15"/>
        <v/>
      </c>
      <c r="L145" s="106" t="str">
        <f>IF(NOT(ISERROR(VLOOKUP(B145,Deflatores!G$42:H$64,2,FALSE))),VLOOKUP(B145,Deflatores!G$42:H$64,2,FALSE),IF(OR(ISBLANK(C145),ISBLANK(B145)),"",VLOOKUP(C145,Deflatores!G$4:H$38,2,FALSE)*H145+VLOOKUP(C145,Deflatores!G$4:I$38,3,FALSE)))</f>
        <v/>
      </c>
      <c r="M145" s="6"/>
      <c r="N145" s="6"/>
      <c r="O145" s="111"/>
    </row>
    <row r="146" spans="1:15" x14ac:dyDescent="0.25">
      <c r="A146" s="112" t="s">
        <v>165</v>
      </c>
      <c r="B146" s="113" t="s">
        <v>44</v>
      </c>
      <c r="C146" s="113" t="s">
        <v>45</v>
      </c>
      <c r="D146" s="4">
        <v>12</v>
      </c>
      <c r="E146" s="4">
        <v>2</v>
      </c>
      <c r="F146" s="105" t="str">
        <f t="shared" si="16"/>
        <v>Baixa</v>
      </c>
      <c r="G146" s="4" t="str">
        <f t="shared" si="17"/>
        <v>ALIL</v>
      </c>
      <c r="H146" s="4">
        <f t="shared" si="12"/>
        <v>7</v>
      </c>
      <c r="I146" s="105" t="str">
        <f t="shared" si="13"/>
        <v>L</v>
      </c>
      <c r="J146" s="4" t="str">
        <f t="shared" si="14"/>
        <v>ALII</v>
      </c>
      <c r="K146" s="106">
        <f t="shared" si="15"/>
        <v>7</v>
      </c>
      <c r="L146" s="106">
        <f>IF(NOT(ISERROR(VLOOKUP(B146,Deflatores!G$42:H$64,2,FALSE))),VLOOKUP(B146,Deflatores!G$42:H$64,2,FALSE),IF(OR(ISBLANK(C146),ISBLANK(B146)),"",VLOOKUP(C146,Deflatores!G$4:H$38,2,FALSE)*H146+VLOOKUP(C146,Deflatores!G$4:I$38,3,FALSE)))</f>
        <v>7</v>
      </c>
      <c r="M146" s="6"/>
      <c r="N146" s="6"/>
      <c r="O146" s="111"/>
    </row>
    <row r="147" spans="1:15" x14ac:dyDescent="0.25">
      <c r="A147" s="112" t="s">
        <v>166</v>
      </c>
      <c r="B147" s="113" t="s">
        <v>48</v>
      </c>
      <c r="C147" s="113" t="s">
        <v>45</v>
      </c>
      <c r="D147" s="4">
        <v>12</v>
      </c>
      <c r="E147" s="4">
        <v>4</v>
      </c>
      <c r="F147" s="105" t="str">
        <f t="shared" si="16"/>
        <v>Alta</v>
      </c>
      <c r="G147" s="4" t="str">
        <f t="shared" si="17"/>
        <v>EEH</v>
      </c>
      <c r="H147" s="4">
        <f t="shared" si="12"/>
        <v>6</v>
      </c>
      <c r="I147" s="105" t="str">
        <f t="shared" si="13"/>
        <v>H</v>
      </c>
      <c r="J147" s="4" t="str">
        <f t="shared" si="14"/>
        <v>EEI</v>
      </c>
      <c r="K147" s="106">
        <f t="shared" si="15"/>
        <v>6</v>
      </c>
      <c r="L147" s="106">
        <f>IF(NOT(ISERROR(VLOOKUP(B147,Deflatores!G$42:H$64,2,FALSE))),VLOOKUP(B147,Deflatores!G$42:H$64,2,FALSE),IF(OR(ISBLANK(C147),ISBLANK(B147)),"",VLOOKUP(C147,Deflatores!G$4:H$38,2,FALSE)*H147+VLOOKUP(C147,Deflatores!G$4:I$38,3,FALSE)))</f>
        <v>6</v>
      </c>
      <c r="M147" s="6"/>
      <c r="N147" s="6"/>
      <c r="O147" s="111"/>
    </row>
    <row r="148" spans="1:15" x14ac:dyDescent="0.25">
      <c r="A148" s="114" t="s">
        <v>167</v>
      </c>
      <c r="B148" s="113" t="s">
        <v>50</v>
      </c>
      <c r="C148" s="113" t="s">
        <v>45</v>
      </c>
      <c r="D148" s="4">
        <v>2</v>
      </c>
      <c r="E148" s="4">
        <v>1</v>
      </c>
      <c r="F148" s="105" t="str">
        <f t="shared" si="16"/>
        <v>Baixa</v>
      </c>
      <c r="G148" s="4" t="str">
        <f t="shared" si="17"/>
        <v>CEL</v>
      </c>
      <c r="H148" s="4">
        <f t="shared" si="12"/>
        <v>3</v>
      </c>
      <c r="I148" s="105" t="str">
        <f t="shared" si="13"/>
        <v>L</v>
      </c>
      <c r="J148" s="4" t="str">
        <f t="shared" si="14"/>
        <v>CEI</v>
      </c>
      <c r="K148" s="106">
        <f t="shared" si="15"/>
        <v>3</v>
      </c>
      <c r="L148" s="106">
        <f>IF(NOT(ISERROR(VLOOKUP(B148,Deflatores!G$42:H$64,2,FALSE))),VLOOKUP(B148,Deflatores!G$42:H$64,2,FALSE),IF(OR(ISBLANK(C148),ISBLANK(B148)),"",VLOOKUP(C148,Deflatores!G$4:H$38,2,FALSE)*H148+VLOOKUP(C148,Deflatores!G$4:I$38,3,FALSE)))</f>
        <v>3</v>
      </c>
      <c r="M148" s="6"/>
      <c r="N148" s="6"/>
      <c r="O148" s="111"/>
    </row>
    <row r="149" spans="1:15" x14ac:dyDescent="0.25">
      <c r="A149" s="112" t="s">
        <v>168</v>
      </c>
      <c r="B149" s="113" t="s">
        <v>48</v>
      </c>
      <c r="C149" s="113" t="s">
        <v>45</v>
      </c>
      <c r="D149" s="4">
        <v>12</v>
      </c>
      <c r="E149" s="4">
        <v>4</v>
      </c>
      <c r="F149" s="105" t="str">
        <f t="shared" si="16"/>
        <v>Alta</v>
      </c>
      <c r="G149" s="4" t="str">
        <f t="shared" si="17"/>
        <v>EEH</v>
      </c>
      <c r="H149" s="4">
        <f t="shared" si="12"/>
        <v>6</v>
      </c>
      <c r="I149" s="105" t="str">
        <f t="shared" si="13"/>
        <v>H</v>
      </c>
      <c r="J149" s="4" t="str">
        <f t="shared" si="14"/>
        <v>EEI</v>
      </c>
      <c r="K149" s="106">
        <f t="shared" si="15"/>
        <v>6</v>
      </c>
      <c r="L149" s="106">
        <f>IF(NOT(ISERROR(VLOOKUP(B149,Deflatores!G$42:H$64,2,FALSE))),VLOOKUP(B149,Deflatores!G$42:H$64,2,FALSE),IF(OR(ISBLANK(C149),ISBLANK(B149)),"",VLOOKUP(C149,Deflatores!G$4:H$38,2,FALSE)*H149+VLOOKUP(C149,Deflatores!G$4:I$38,3,FALSE)))</f>
        <v>6</v>
      </c>
      <c r="M149" s="6"/>
      <c r="N149" s="6"/>
      <c r="O149" s="111"/>
    </row>
    <row r="150" spans="1:15" x14ac:dyDescent="0.25">
      <c r="A150" s="114" t="s">
        <v>82</v>
      </c>
      <c r="B150" s="113" t="s">
        <v>50</v>
      </c>
      <c r="C150" s="113" t="s">
        <v>45</v>
      </c>
      <c r="D150" s="4">
        <v>6</v>
      </c>
      <c r="E150" s="4">
        <v>1</v>
      </c>
      <c r="F150" s="105" t="str">
        <f t="shared" si="16"/>
        <v>Baixa</v>
      </c>
      <c r="G150" s="4" t="str">
        <f t="shared" si="17"/>
        <v>CEL</v>
      </c>
      <c r="H150" s="4">
        <f t="shared" si="12"/>
        <v>3</v>
      </c>
      <c r="I150" s="105" t="str">
        <f t="shared" si="13"/>
        <v>L</v>
      </c>
      <c r="J150" s="4" t="str">
        <f t="shared" si="14"/>
        <v>CEI</v>
      </c>
      <c r="K150" s="106">
        <f t="shared" si="15"/>
        <v>3</v>
      </c>
      <c r="L150" s="106">
        <f>IF(NOT(ISERROR(VLOOKUP(B150,Deflatores!G$42:H$64,2,FALSE))),VLOOKUP(B150,Deflatores!G$42:H$64,2,FALSE),IF(OR(ISBLANK(C150),ISBLANK(B150)),"",VLOOKUP(C150,Deflatores!G$4:H$38,2,FALSE)*H150+VLOOKUP(C150,Deflatores!G$4:I$38,3,FALSE)))</f>
        <v>3</v>
      </c>
      <c r="M150" s="6"/>
      <c r="N150" s="6"/>
      <c r="O150" s="111"/>
    </row>
    <row r="151" spans="1:15" x14ac:dyDescent="0.25">
      <c r="A151" s="112" t="s">
        <v>169</v>
      </c>
      <c r="B151" s="113" t="s">
        <v>50</v>
      </c>
      <c r="C151" s="113" t="s">
        <v>45</v>
      </c>
      <c r="D151" s="4">
        <v>10</v>
      </c>
      <c r="E151" s="4">
        <v>4</v>
      </c>
      <c r="F151" s="105" t="str">
        <f t="shared" si="16"/>
        <v>Alta</v>
      </c>
      <c r="G151" s="4" t="str">
        <f t="shared" si="17"/>
        <v>CEH</v>
      </c>
      <c r="H151" s="4">
        <f t="shared" si="12"/>
        <v>6</v>
      </c>
      <c r="I151" s="105" t="str">
        <f t="shared" si="13"/>
        <v>H</v>
      </c>
      <c r="J151" s="4" t="str">
        <f t="shared" si="14"/>
        <v>CEI</v>
      </c>
      <c r="K151" s="106">
        <f t="shared" si="15"/>
        <v>6</v>
      </c>
      <c r="L151" s="106">
        <f>IF(NOT(ISERROR(VLOOKUP(B151,Deflatores!G$42:H$64,2,FALSE))),VLOOKUP(B151,Deflatores!G$42:H$64,2,FALSE),IF(OR(ISBLANK(C151),ISBLANK(B151)),"",VLOOKUP(C151,Deflatores!G$4:H$38,2,FALSE)*H151+VLOOKUP(C151,Deflatores!G$4:I$38,3,FALSE)))</f>
        <v>6</v>
      </c>
      <c r="M151" s="6"/>
      <c r="N151" s="6"/>
      <c r="O151" s="111"/>
    </row>
    <row r="152" spans="1:15" x14ac:dyDescent="0.25">
      <c r="A152" s="112" t="s">
        <v>170</v>
      </c>
      <c r="B152" s="113" t="s">
        <v>48</v>
      </c>
      <c r="C152" s="113" t="s">
        <v>45</v>
      </c>
      <c r="D152" s="4">
        <v>3</v>
      </c>
      <c r="E152" s="4">
        <v>1</v>
      </c>
      <c r="F152" s="105" t="str">
        <f t="shared" si="16"/>
        <v>Baixa</v>
      </c>
      <c r="G152" s="4" t="str">
        <f t="shared" si="17"/>
        <v>EEL</v>
      </c>
      <c r="H152" s="4">
        <f t="shared" si="12"/>
        <v>3</v>
      </c>
      <c r="I152" s="105" t="str">
        <f t="shared" si="13"/>
        <v>L</v>
      </c>
      <c r="J152" s="4" t="str">
        <f t="shared" si="14"/>
        <v>EEI</v>
      </c>
      <c r="K152" s="106">
        <f t="shared" si="15"/>
        <v>3</v>
      </c>
      <c r="L152" s="106">
        <f>IF(NOT(ISERROR(VLOOKUP(B152,Deflatores!G$42:H$64,2,FALSE))),VLOOKUP(B152,Deflatores!G$42:H$64,2,FALSE),IF(OR(ISBLANK(C152),ISBLANK(B152)),"",VLOOKUP(C152,Deflatores!G$4:H$38,2,FALSE)*H152+VLOOKUP(C152,Deflatores!G$4:I$38,3,FALSE)))</f>
        <v>3</v>
      </c>
      <c r="M152" s="6"/>
      <c r="N152" s="6"/>
      <c r="O152" s="111"/>
    </row>
    <row r="153" spans="1:15" x14ac:dyDescent="0.25">
      <c r="A153" s="112" t="s">
        <v>171</v>
      </c>
      <c r="B153" s="113" t="s">
        <v>44</v>
      </c>
      <c r="C153" s="113" t="s">
        <v>45</v>
      </c>
      <c r="D153" s="4">
        <v>11</v>
      </c>
      <c r="E153" s="4">
        <v>4</v>
      </c>
      <c r="F153" s="105" t="str">
        <f t="shared" si="16"/>
        <v>Baixa</v>
      </c>
      <c r="G153" s="4" t="str">
        <f t="shared" si="17"/>
        <v>ALIL</v>
      </c>
      <c r="H153" s="4">
        <f t="shared" si="12"/>
        <v>7</v>
      </c>
      <c r="I153" s="105" t="str">
        <f t="shared" si="13"/>
        <v>L</v>
      </c>
      <c r="J153" s="4" t="str">
        <f t="shared" si="14"/>
        <v>ALII</v>
      </c>
      <c r="K153" s="106">
        <f t="shared" si="15"/>
        <v>7</v>
      </c>
      <c r="L153" s="106">
        <f>IF(NOT(ISERROR(VLOOKUP(B153,Deflatores!G$42:H$64,2,FALSE))),VLOOKUP(B153,Deflatores!G$42:H$64,2,FALSE),IF(OR(ISBLANK(C153),ISBLANK(B153)),"",VLOOKUP(C153,Deflatores!G$4:H$38,2,FALSE)*H153+VLOOKUP(C153,Deflatores!G$4:I$38,3,FALSE)))</f>
        <v>7</v>
      </c>
      <c r="M153" s="6"/>
      <c r="N153" s="6"/>
      <c r="O153" s="111"/>
    </row>
    <row r="154" spans="1:15" x14ac:dyDescent="0.25">
      <c r="A154" s="112"/>
      <c r="B154" s="113"/>
      <c r="C154" s="113"/>
      <c r="D154" s="4"/>
      <c r="E154" s="4"/>
      <c r="F154" s="105" t="str">
        <f t="shared" si="16"/>
        <v/>
      </c>
      <c r="G154" s="4" t="str">
        <f t="shared" si="17"/>
        <v/>
      </c>
      <c r="H154" s="4" t="str">
        <f t="shared" si="12"/>
        <v/>
      </c>
      <c r="I154" s="105" t="str">
        <f t="shared" si="13"/>
        <v/>
      </c>
      <c r="J154" s="4" t="str">
        <f t="shared" si="14"/>
        <v/>
      </c>
      <c r="K154" s="106" t="str">
        <f t="shared" si="15"/>
        <v/>
      </c>
      <c r="L154" s="106" t="str">
        <f>IF(NOT(ISERROR(VLOOKUP(B154,Deflatores!G$42:H$64,2,FALSE))),VLOOKUP(B154,Deflatores!G$42:H$64,2,FALSE),IF(OR(ISBLANK(C154),ISBLANK(B154)),"",VLOOKUP(C154,Deflatores!G$4:H$38,2,FALSE)*H154+VLOOKUP(C154,Deflatores!G$4:I$38,3,FALSE)))</f>
        <v/>
      </c>
      <c r="M154" s="6"/>
      <c r="N154" s="6"/>
      <c r="O154" s="111"/>
    </row>
    <row r="155" spans="1:15" x14ac:dyDescent="0.25">
      <c r="A155" s="115" t="s">
        <v>172</v>
      </c>
      <c r="B155" s="113"/>
      <c r="C155" s="113"/>
      <c r="E155" s="4"/>
      <c r="F155" s="105" t="str">
        <f t="shared" si="16"/>
        <v/>
      </c>
      <c r="G155" s="4" t="str">
        <f t="shared" si="17"/>
        <v/>
      </c>
      <c r="H155" s="4" t="str">
        <f t="shared" si="12"/>
        <v/>
      </c>
      <c r="I155" s="105" t="str">
        <f t="shared" si="13"/>
        <v/>
      </c>
      <c r="J155" s="4" t="str">
        <f t="shared" si="14"/>
        <v/>
      </c>
      <c r="K155" s="106" t="str">
        <f t="shared" si="15"/>
        <v/>
      </c>
      <c r="L155" s="106" t="str">
        <f>IF(NOT(ISERROR(VLOOKUP(B155,Deflatores!G$42:H$64,2,FALSE))),VLOOKUP(B155,Deflatores!G$42:H$64,2,FALSE),IF(OR(ISBLANK(C155),ISBLANK(B155)),"",VLOOKUP(C155,Deflatores!G$4:H$38,2,FALSE)*H155+VLOOKUP(C155,Deflatores!G$4:I$38,3,FALSE)))</f>
        <v/>
      </c>
      <c r="M155" s="6"/>
      <c r="N155" s="6"/>
      <c r="O155" s="111"/>
    </row>
    <row r="156" spans="1:15" x14ac:dyDescent="0.25">
      <c r="A156" s="112" t="s">
        <v>173</v>
      </c>
      <c r="B156" s="113" t="s">
        <v>48</v>
      </c>
      <c r="C156" s="113" t="s">
        <v>45</v>
      </c>
      <c r="D156" s="4">
        <v>10</v>
      </c>
      <c r="E156" s="4">
        <v>1</v>
      </c>
      <c r="F156" s="105" t="str">
        <f t="shared" si="16"/>
        <v>Baixa</v>
      </c>
      <c r="G156" s="4" t="str">
        <f t="shared" si="17"/>
        <v>EEL</v>
      </c>
      <c r="H156" s="4">
        <f t="shared" si="12"/>
        <v>3</v>
      </c>
      <c r="I156" s="105" t="str">
        <f t="shared" si="13"/>
        <v>L</v>
      </c>
      <c r="J156" s="4" t="str">
        <f t="shared" si="14"/>
        <v>EEI</v>
      </c>
      <c r="K156" s="106">
        <f t="shared" si="15"/>
        <v>3</v>
      </c>
      <c r="L156" s="106">
        <f>IF(NOT(ISERROR(VLOOKUP(B156,Deflatores!G$42:H$64,2,FALSE))),VLOOKUP(B156,Deflatores!G$42:H$64,2,FALSE),IF(OR(ISBLANK(C156),ISBLANK(B156)),"",VLOOKUP(C156,Deflatores!G$4:H$38,2,FALSE)*H156+VLOOKUP(C156,Deflatores!G$4:I$38,3,FALSE)))</f>
        <v>3</v>
      </c>
      <c r="M156" s="6"/>
      <c r="N156" s="6"/>
      <c r="O156" s="111"/>
    </row>
    <row r="157" spans="1:15" x14ac:dyDescent="0.25">
      <c r="A157" s="112" t="s">
        <v>174</v>
      </c>
      <c r="B157" s="113" t="s">
        <v>48</v>
      </c>
      <c r="C157" s="113" t="s">
        <v>45</v>
      </c>
      <c r="D157" s="4">
        <v>10</v>
      </c>
      <c r="E157" s="4">
        <v>1</v>
      </c>
      <c r="F157" s="105" t="str">
        <f t="shared" si="16"/>
        <v>Baixa</v>
      </c>
      <c r="G157" s="4" t="str">
        <f t="shared" si="17"/>
        <v>EEL</v>
      </c>
      <c r="H157" s="4">
        <f t="shared" si="12"/>
        <v>3</v>
      </c>
      <c r="I157" s="105" t="str">
        <f t="shared" si="13"/>
        <v>L</v>
      </c>
      <c r="J157" s="4" t="str">
        <f t="shared" si="14"/>
        <v>EEI</v>
      </c>
      <c r="K157" s="106">
        <f t="shared" si="15"/>
        <v>3</v>
      </c>
      <c r="L157" s="106">
        <f>IF(NOT(ISERROR(VLOOKUP(B157,Deflatores!G$42:H$64,2,FALSE))),VLOOKUP(B157,Deflatores!G$42:H$64,2,FALSE),IF(OR(ISBLANK(C157),ISBLANK(B157)),"",VLOOKUP(C157,Deflatores!G$4:H$38,2,FALSE)*H157+VLOOKUP(C157,Deflatores!G$4:I$38,3,FALSE)))</f>
        <v>3</v>
      </c>
      <c r="M157" s="6"/>
      <c r="N157" s="6"/>
      <c r="O157" s="111"/>
    </row>
    <row r="158" spans="1:15" x14ac:dyDescent="0.25">
      <c r="A158" s="114" t="s">
        <v>82</v>
      </c>
      <c r="B158" s="113" t="s">
        <v>50</v>
      </c>
      <c r="C158" s="113" t="s">
        <v>45</v>
      </c>
      <c r="D158" s="4">
        <v>6</v>
      </c>
      <c r="E158" s="4">
        <v>1</v>
      </c>
      <c r="F158" s="105" t="str">
        <f t="shared" si="16"/>
        <v>Baixa</v>
      </c>
      <c r="G158" s="4" t="str">
        <f t="shared" si="17"/>
        <v>CEL</v>
      </c>
      <c r="H158" s="4">
        <f t="shared" si="12"/>
        <v>3</v>
      </c>
      <c r="I158" s="105" t="str">
        <f t="shared" si="13"/>
        <v>L</v>
      </c>
      <c r="J158" s="4" t="str">
        <f t="shared" si="14"/>
        <v>CEI</v>
      </c>
      <c r="K158" s="106">
        <f t="shared" si="15"/>
        <v>3</v>
      </c>
      <c r="L158" s="106">
        <f>IF(NOT(ISERROR(VLOOKUP(B158,Deflatores!G$42:H$64,2,FALSE))),VLOOKUP(B158,Deflatores!G$42:H$64,2,FALSE),IF(OR(ISBLANK(C158),ISBLANK(B158)),"",VLOOKUP(C158,Deflatores!G$4:H$38,2,FALSE)*H158+VLOOKUP(C158,Deflatores!G$4:I$38,3,FALSE)))</f>
        <v>3</v>
      </c>
      <c r="M158" s="6"/>
      <c r="N158" s="6"/>
      <c r="O158" s="111"/>
    </row>
    <row r="159" spans="1:15" x14ac:dyDescent="0.25">
      <c r="A159" s="112" t="s">
        <v>175</v>
      </c>
      <c r="B159" s="113" t="s">
        <v>50</v>
      </c>
      <c r="C159" s="113" t="s">
        <v>45</v>
      </c>
      <c r="D159" s="4">
        <v>7</v>
      </c>
      <c r="E159" s="4">
        <v>1</v>
      </c>
      <c r="F159" s="105" t="str">
        <f t="shared" si="16"/>
        <v>Baixa</v>
      </c>
      <c r="G159" s="4" t="str">
        <f t="shared" si="17"/>
        <v>CEL</v>
      </c>
      <c r="H159" s="4">
        <f t="shared" si="12"/>
        <v>3</v>
      </c>
      <c r="I159" s="105" t="str">
        <f t="shared" si="13"/>
        <v>L</v>
      </c>
      <c r="J159" s="4" t="str">
        <f t="shared" si="14"/>
        <v>CEI</v>
      </c>
      <c r="K159" s="106">
        <f t="shared" si="15"/>
        <v>3</v>
      </c>
      <c r="L159" s="106">
        <f>IF(NOT(ISERROR(VLOOKUP(B159,Deflatores!G$42:H$64,2,FALSE))),VLOOKUP(B159,Deflatores!G$42:H$64,2,FALSE),IF(OR(ISBLANK(C159),ISBLANK(B159)),"",VLOOKUP(C159,Deflatores!G$4:H$38,2,FALSE)*H159+VLOOKUP(C159,Deflatores!G$4:I$38,3,FALSE)))</f>
        <v>3</v>
      </c>
      <c r="M159" s="6"/>
      <c r="N159" s="6"/>
      <c r="O159" s="111"/>
    </row>
    <row r="160" spans="1:15" x14ac:dyDescent="0.25">
      <c r="A160" s="112" t="s">
        <v>176</v>
      </c>
      <c r="B160" s="113" t="s">
        <v>50</v>
      </c>
      <c r="C160" s="113" t="s">
        <v>45</v>
      </c>
      <c r="D160" s="4">
        <v>8</v>
      </c>
      <c r="E160" s="4">
        <v>1</v>
      </c>
      <c r="F160" s="105" t="str">
        <f t="shared" si="16"/>
        <v>Baixa</v>
      </c>
      <c r="G160" s="4" t="str">
        <f t="shared" si="17"/>
        <v>CEL</v>
      </c>
      <c r="H160" s="4">
        <f t="shared" si="12"/>
        <v>3</v>
      </c>
      <c r="I160" s="105" t="str">
        <f t="shared" si="13"/>
        <v>L</v>
      </c>
      <c r="J160" s="4" t="str">
        <f t="shared" si="14"/>
        <v>CEI</v>
      </c>
      <c r="K160" s="106">
        <f t="shared" si="15"/>
        <v>3</v>
      </c>
      <c r="L160" s="106">
        <f>IF(NOT(ISERROR(VLOOKUP(B160,Deflatores!G$42:H$64,2,FALSE))),VLOOKUP(B160,Deflatores!G$42:H$64,2,FALSE),IF(OR(ISBLANK(C160),ISBLANK(B160)),"",VLOOKUP(C160,Deflatores!G$4:H$38,2,FALSE)*H160+VLOOKUP(C160,Deflatores!G$4:I$38,3,FALSE)))</f>
        <v>3</v>
      </c>
      <c r="M160" s="6"/>
      <c r="N160" s="6"/>
      <c r="O160" s="111"/>
    </row>
    <row r="161" spans="1:15" x14ac:dyDescent="0.25">
      <c r="A161" s="112" t="s">
        <v>177</v>
      </c>
      <c r="B161" s="113" t="s">
        <v>48</v>
      </c>
      <c r="C161" s="113" t="s">
        <v>45</v>
      </c>
      <c r="D161" s="4">
        <v>3</v>
      </c>
      <c r="E161" s="4">
        <v>1</v>
      </c>
      <c r="F161" s="105" t="str">
        <f t="shared" si="16"/>
        <v>Baixa</v>
      </c>
      <c r="G161" s="4" t="str">
        <f t="shared" si="17"/>
        <v>EEL</v>
      </c>
      <c r="H161" s="4">
        <f t="shared" si="12"/>
        <v>3</v>
      </c>
      <c r="I161" s="105" t="str">
        <f t="shared" si="13"/>
        <v>L</v>
      </c>
      <c r="J161" s="4" t="str">
        <f t="shared" si="14"/>
        <v>EEI</v>
      </c>
      <c r="K161" s="106">
        <f t="shared" si="15"/>
        <v>3</v>
      </c>
      <c r="L161" s="106">
        <f>IF(NOT(ISERROR(VLOOKUP(B161,Deflatores!G$42:H$64,2,FALSE))),VLOOKUP(B161,Deflatores!G$42:H$64,2,FALSE),IF(OR(ISBLANK(C161),ISBLANK(B161)),"",VLOOKUP(C161,Deflatores!G$4:H$38,2,FALSE)*H161+VLOOKUP(C161,Deflatores!G$4:I$38,3,FALSE)))</f>
        <v>3</v>
      </c>
      <c r="M161" s="6"/>
      <c r="N161" s="6"/>
      <c r="O161" s="111"/>
    </row>
    <row r="162" spans="1:15" x14ac:dyDescent="0.25">
      <c r="A162" s="112"/>
      <c r="B162" s="113"/>
      <c r="C162" s="113"/>
      <c r="D162" s="4"/>
      <c r="E162" s="4"/>
      <c r="F162" s="105" t="str">
        <f t="shared" si="16"/>
        <v/>
      </c>
      <c r="G162" s="4" t="str">
        <f t="shared" si="17"/>
        <v/>
      </c>
      <c r="H162" s="4" t="str">
        <f t="shared" si="12"/>
        <v/>
      </c>
      <c r="I162" s="105" t="str">
        <f t="shared" si="13"/>
        <v/>
      </c>
      <c r="J162" s="4" t="str">
        <f t="shared" si="14"/>
        <v/>
      </c>
      <c r="K162" s="106" t="str">
        <f t="shared" si="15"/>
        <v/>
      </c>
      <c r="L162" s="106" t="str">
        <f>IF(NOT(ISERROR(VLOOKUP(B162,Deflatores!G$42:H$64,2,FALSE))),VLOOKUP(B162,Deflatores!G$42:H$64,2,FALSE),IF(OR(ISBLANK(C162),ISBLANK(B162)),"",VLOOKUP(C162,Deflatores!G$4:H$38,2,FALSE)*H162+VLOOKUP(C162,Deflatores!G$4:I$38,3,FALSE)))</f>
        <v/>
      </c>
      <c r="M162" s="6"/>
      <c r="N162" s="6"/>
      <c r="O162" s="111"/>
    </row>
    <row r="163" spans="1:15" x14ac:dyDescent="0.25">
      <c r="A163" s="115" t="s">
        <v>178</v>
      </c>
      <c r="B163" s="113"/>
      <c r="C163" s="113"/>
      <c r="D163" s="4"/>
      <c r="E163" s="4"/>
      <c r="F163" s="105" t="str">
        <f t="shared" si="16"/>
        <v/>
      </c>
      <c r="G163" s="4" t="str">
        <f t="shared" si="17"/>
        <v/>
      </c>
      <c r="H163" s="4" t="str">
        <f t="shared" si="12"/>
        <v/>
      </c>
      <c r="I163" s="105" t="str">
        <f t="shared" si="13"/>
        <v/>
      </c>
      <c r="J163" s="4" t="str">
        <f t="shared" si="14"/>
        <v/>
      </c>
      <c r="K163" s="106" t="str">
        <f t="shared" si="15"/>
        <v/>
      </c>
      <c r="L163" s="106" t="str">
        <f>IF(NOT(ISERROR(VLOOKUP(B163,Deflatores!G$42:H$64,2,FALSE))),VLOOKUP(B163,Deflatores!G$42:H$64,2,FALSE),IF(OR(ISBLANK(C163),ISBLANK(B163)),"",VLOOKUP(C163,Deflatores!G$4:H$38,2,FALSE)*H163+VLOOKUP(C163,Deflatores!G$4:I$38,3,FALSE)))</f>
        <v/>
      </c>
      <c r="M163" s="6"/>
      <c r="N163" s="6"/>
      <c r="O163" s="111"/>
    </row>
    <row r="164" spans="1:15" x14ac:dyDescent="0.25">
      <c r="A164" s="112" t="s">
        <v>179</v>
      </c>
      <c r="B164" s="113" t="s">
        <v>48</v>
      </c>
      <c r="C164" s="113" t="s">
        <v>45</v>
      </c>
      <c r="D164" s="4">
        <v>20</v>
      </c>
      <c r="E164" s="4">
        <v>2</v>
      </c>
      <c r="F164" s="105" t="str">
        <f t="shared" si="16"/>
        <v>Alta</v>
      </c>
      <c r="G164" s="4" t="str">
        <f t="shared" si="17"/>
        <v>EEH</v>
      </c>
      <c r="H164" s="4">
        <f t="shared" ref="H164:H233" si="18">IF(ISBLANK(B164),"",IF(B164="ALI",IF(I164="L",7,IF(I164="A",10,15)),IF(B164="AIE",IF(I164="L",5,IF(I164="A",7,10)),IF(B164="SE",IF(I164="L",4,IF(I164="A",5,7)),IF(OR(B164="EE",B164="CE"),IF(I164="L",3,IF(I164="A",4,6)),0)))))</f>
        <v>6</v>
      </c>
      <c r="I164" s="105" t="str">
        <f t="shared" ref="I164:I233" si="19">IF(OR(ISBLANK(D164),ISBLANK(E164)),IF(OR(B164="ALI",B164="AIE"),"L",IF(OR(B164="EE",B164="SE",B164="CE"),"A","")),IF(B164="EE",IF(E164&gt;=3,IF(D164&gt;=5,"H","A"),IF(E164&gt;=2,IF(D164&gt;=16,"H",IF(D164&lt;=4,"L","A")),IF(D164&lt;=15,"L","A"))),IF(OR(B164="SE",B164="CE"),IF(E164&gt;=4,IF(D164&gt;=6,"H","A"),IF(E164&gt;=2,IF(D164&gt;=20,"H",IF(D164&lt;=5,"L","A")),IF(D164&lt;=19,"L","A"))),IF(OR(B164="ALI",B164="AIE"),IF(E164&gt;=6,IF(D164&gt;=20,"H","A"),IF(E164&gt;=2,IF(D164&gt;=51,"H",IF(D164&lt;=19,"L","A")),IF(D164&lt;=50,"L","A"))),""))))</f>
        <v>H</v>
      </c>
      <c r="J164" s="4" t="str">
        <f t="shared" ref="J164:J233" si="20">CONCATENATE(B164,C164)</f>
        <v>EEI</v>
      </c>
      <c r="K164" s="106">
        <f t="shared" ref="K164:K233" si="21">IF(OR(H164="",H164=0),L164,H164)</f>
        <v>6</v>
      </c>
      <c r="L164" s="106">
        <f>IF(NOT(ISERROR(VLOOKUP(B164,Deflatores!G$42:H$64,2,FALSE))),VLOOKUP(B164,Deflatores!G$42:H$64,2,FALSE),IF(OR(ISBLANK(C164),ISBLANK(B164)),"",VLOOKUP(C164,Deflatores!G$4:H$38,2,FALSE)*H164+VLOOKUP(C164,Deflatores!G$4:I$38,3,FALSE)))</f>
        <v>6</v>
      </c>
      <c r="M164" s="6"/>
      <c r="N164" s="6"/>
      <c r="O164" s="111"/>
    </row>
    <row r="165" spans="1:15" x14ac:dyDescent="0.25">
      <c r="A165" s="112" t="s">
        <v>180</v>
      </c>
      <c r="B165" s="113" t="s">
        <v>48</v>
      </c>
      <c r="C165" s="113" t="s">
        <v>45</v>
      </c>
      <c r="D165" s="4">
        <v>20</v>
      </c>
      <c r="E165" s="4">
        <v>2</v>
      </c>
      <c r="F165" s="105" t="str">
        <f t="shared" si="16"/>
        <v>Alta</v>
      </c>
      <c r="G165" s="4" t="str">
        <f t="shared" si="17"/>
        <v>EEH</v>
      </c>
      <c r="H165" s="4">
        <f t="shared" si="18"/>
        <v>6</v>
      </c>
      <c r="I165" s="105" t="str">
        <f t="shared" si="19"/>
        <v>H</v>
      </c>
      <c r="J165" s="4" t="str">
        <f t="shared" si="20"/>
        <v>EEI</v>
      </c>
      <c r="K165" s="106">
        <f t="shared" si="21"/>
        <v>6</v>
      </c>
      <c r="L165" s="106">
        <f>IF(NOT(ISERROR(VLOOKUP(B165,Deflatores!G$42:H$64,2,FALSE))),VLOOKUP(B165,Deflatores!G$42:H$64,2,FALSE),IF(OR(ISBLANK(C165),ISBLANK(B165)),"",VLOOKUP(C165,Deflatores!G$4:H$38,2,FALSE)*H165+VLOOKUP(C165,Deflatores!G$4:I$38,3,FALSE)))</f>
        <v>6</v>
      </c>
      <c r="M165" s="6"/>
      <c r="N165" s="6"/>
      <c r="O165" s="111"/>
    </row>
    <row r="166" spans="1:15" x14ac:dyDescent="0.25">
      <c r="A166" s="114" t="s">
        <v>82</v>
      </c>
      <c r="B166" s="113" t="s">
        <v>50</v>
      </c>
      <c r="C166" s="113" t="s">
        <v>45</v>
      </c>
      <c r="D166" s="4">
        <v>4</v>
      </c>
      <c r="E166" s="4">
        <v>1</v>
      </c>
      <c r="F166" s="105" t="str">
        <f t="shared" si="16"/>
        <v>Baixa</v>
      </c>
      <c r="G166" s="4" t="str">
        <f t="shared" si="17"/>
        <v>CEL</v>
      </c>
      <c r="H166" s="4">
        <f t="shared" si="18"/>
        <v>3</v>
      </c>
      <c r="I166" s="105" t="str">
        <f t="shared" si="19"/>
        <v>L</v>
      </c>
      <c r="J166" s="4" t="str">
        <f t="shared" si="20"/>
        <v>CEI</v>
      </c>
      <c r="K166" s="106">
        <f t="shared" si="21"/>
        <v>3</v>
      </c>
      <c r="L166" s="106">
        <f>IF(NOT(ISERROR(VLOOKUP(B166,Deflatores!G$42:H$64,2,FALSE))),VLOOKUP(B166,Deflatores!G$42:H$64,2,FALSE),IF(OR(ISBLANK(C166),ISBLANK(B166)),"",VLOOKUP(C166,Deflatores!G$4:H$38,2,FALSE)*H166+VLOOKUP(C166,Deflatores!G$4:I$38,3,FALSE)))</f>
        <v>3</v>
      </c>
      <c r="M166" s="6"/>
      <c r="N166" s="6"/>
      <c r="O166" s="111"/>
    </row>
    <row r="167" spans="1:15" x14ac:dyDescent="0.25">
      <c r="A167" s="112" t="s">
        <v>181</v>
      </c>
      <c r="B167" s="113" t="s">
        <v>50</v>
      </c>
      <c r="C167" s="113" t="s">
        <v>45</v>
      </c>
      <c r="D167" s="4">
        <v>5</v>
      </c>
      <c r="E167" s="4">
        <v>1</v>
      </c>
      <c r="F167" s="105" t="str">
        <f t="shared" ref="F167:F213" si="22">IF(ISBLANK(B167),"",IF(I167="L","Baixa",IF(I167="A","Média",IF(I167="","","Alta"))))</f>
        <v>Baixa</v>
      </c>
      <c r="G167" s="4" t="str">
        <f t="shared" ref="G167:G213" si="23">CONCATENATE(B167,I167)</f>
        <v>CEL</v>
      </c>
      <c r="H167" s="4">
        <f t="shared" si="18"/>
        <v>3</v>
      </c>
      <c r="I167" s="105" t="str">
        <f t="shared" si="19"/>
        <v>L</v>
      </c>
      <c r="J167" s="4" t="str">
        <f t="shared" si="20"/>
        <v>CEI</v>
      </c>
      <c r="K167" s="106">
        <f t="shared" si="21"/>
        <v>3</v>
      </c>
      <c r="L167" s="106">
        <f>IF(NOT(ISERROR(VLOOKUP(B167,Deflatores!G$42:H$64,2,FALSE))),VLOOKUP(B167,Deflatores!G$42:H$64,2,FALSE),IF(OR(ISBLANK(C167),ISBLANK(B167)),"",VLOOKUP(C167,Deflatores!G$4:H$38,2,FALSE)*H167+VLOOKUP(C167,Deflatores!G$4:I$38,3,FALSE)))</f>
        <v>3</v>
      </c>
      <c r="M167" s="6"/>
      <c r="N167" s="6"/>
      <c r="O167" s="111"/>
    </row>
    <row r="168" spans="1:15" x14ac:dyDescent="0.25">
      <c r="A168" s="112" t="s">
        <v>182</v>
      </c>
      <c r="B168" s="113" t="s">
        <v>50</v>
      </c>
      <c r="C168" s="113" t="s">
        <v>45</v>
      </c>
      <c r="D168" s="4">
        <v>4</v>
      </c>
      <c r="E168" s="4">
        <v>1</v>
      </c>
      <c r="F168" s="105" t="str">
        <f t="shared" si="22"/>
        <v>Baixa</v>
      </c>
      <c r="G168" s="4" t="str">
        <f t="shared" si="23"/>
        <v>CEL</v>
      </c>
      <c r="H168" s="4">
        <f t="shared" si="18"/>
        <v>3</v>
      </c>
      <c r="I168" s="105" t="str">
        <f t="shared" si="19"/>
        <v>L</v>
      </c>
      <c r="J168" s="4" t="str">
        <f t="shared" si="20"/>
        <v>CEI</v>
      </c>
      <c r="K168" s="106">
        <f t="shared" si="21"/>
        <v>3</v>
      </c>
      <c r="L168" s="106">
        <f>IF(NOT(ISERROR(VLOOKUP(B168,Deflatores!G$42:H$64,2,FALSE))),VLOOKUP(B168,Deflatores!G$42:H$64,2,FALSE),IF(OR(ISBLANK(C168),ISBLANK(B168)),"",VLOOKUP(C168,Deflatores!G$4:H$38,2,FALSE)*H168+VLOOKUP(C168,Deflatores!G$4:I$38,3,FALSE)))</f>
        <v>3</v>
      </c>
      <c r="M168" s="6"/>
      <c r="N168" s="6"/>
      <c r="O168" s="111"/>
    </row>
    <row r="169" spans="1:15" x14ac:dyDescent="0.25">
      <c r="A169" s="112" t="s">
        <v>183</v>
      </c>
      <c r="B169" s="113" t="s">
        <v>48</v>
      </c>
      <c r="C169" s="113" t="s">
        <v>45</v>
      </c>
      <c r="D169" s="4">
        <v>15</v>
      </c>
      <c r="E169" s="4">
        <v>2</v>
      </c>
      <c r="F169" s="105" t="str">
        <f t="shared" si="22"/>
        <v>Média</v>
      </c>
      <c r="G169" s="4" t="str">
        <f t="shared" si="23"/>
        <v>EEA</v>
      </c>
      <c r="H169" s="4">
        <f t="shared" si="18"/>
        <v>4</v>
      </c>
      <c r="I169" s="105" t="str">
        <f t="shared" si="19"/>
        <v>A</v>
      </c>
      <c r="J169" s="4" t="str">
        <f t="shared" si="20"/>
        <v>EEI</v>
      </c>
      <c r="K169" s="106">
        <f t="shared" si="21"/>
        <v>4</v>
      </c>
      <c r="L169" s="106">
        <f>IF(NOT(ISERROR(VLOOKUP(B169,Deflatores!G$42:H$64,2,FALSE))),VLOOKUP(B169,Deflatores!G$42:H$64,2,FALSE),IF(OR(ISBLANK(C169),ISBLANK(B169)),"",VLOOKUP(C169,Deflatores!G$4:H$38,2,FALSE)*H169+VLOOKUP(C169,Deflatores!G$4:I$38,3,FALSE)))</f>
        <v>4</v>
      </c>
      <c r="M169" s="6"/>
      <c r="N169" s="6"/>
      <c r="O169" s="111"/>
    </row>
    <row r="170" spans="1:15" x14ac:dyDescent="0.25">
      <c r="A170" s="112"/>
      <c r="B170" s="113"/>
      <c r="C170" s="113"/>
      <c r="D170" s="4"/>
      <c r="E170" s="4"/>
      <c r="F170" s="105" t="str">
        <f t="shared" si="22"/>
        <v/>
      </c>
      <c r="G170" s="4" t="str">
        <f t="shared" si="23"/>
        <v/>
      </c>
      <c r="H170" s="4" t="str">
        <f t="shared" si="18"/>
        <v/>
      </c>
      <c r="I170" s="105" t="str">
        <f t="shared" si="19"/>
        <v/>
      </c>
      <c r="J170" s="4" t="str">
        <f t="shared" si="20"/>
        <v/>
      </c>
      <c r="K170" s="106" t="str">
        <f t="shared" si="21"/>
        <v/>
      </c>
      <c r="L170" s="106" t="str">
        <f>IF(NOT(ISERROR(VLOOKUP(B170,Deflatores!G$42:H$64,2,FALSE))),VLOOKUP(B170,Deflatores!G$42:H$64,2,FALSE),IF(OR(ISBLANK(C170),ISBLANK(B170)),"",VLOOKUP(C170,Deflatores!G$4:H$38,2,FALSE)*H170+VLOOKUP(C170,Deflatores!G$4:I$38,3,FALSE)))</f>
        <v/>
      </c>
      <c r="M170" s="6"/>
      <c r="N170" s="6"/>
      <c r="O170" s="111"/>
    </row>
    <row r="171" spans="1:15" x14ac:dyDescent="0.25">
      <c r="A171" s="115" t="s">
        <v>184</v>
      </c>
      <c r="B171" s="113"/>
      <c r="C171" s="113"/>
      <c r="D171" s="4"/>
      <c r="E171" s="4"/>
      <c r="F171" s="105" t="str">
        <f t="shared" si="22"/>
        <v/>
      </c>
      <c r="G171" s="4" t="str">
        <f t="shared" si="23"/>
        <v/>
      </c>
      <c r="H171" s="4" t="str">
        <f t="shared" si="18"/>
        <v/>
      </c>
      <c r="I171" s="105" t="str">
        <f t="shared" si="19"/>
        <v/>
      </c>
      <c r="J171" s="4" t="str">
        <f t="shared" si="20"/>
        <v/>
      </c>
      <c r="K171" s="106" t="str">
        <f t="shared" si="21"/>
        <v/>
      </c>
      <c r="L171" s="106" t="str">
        <f>IF(NOT(ISERROR(VLOOKUP(B171,Deflatores!G$42:H$64,2,FALSE))),VLOOKUP(B171,Deflatores!G$42:H$64,2,FALSE),IF(OR(ISBLANK(C171),ISBLANK(B171)),"",VLOOKUP(C171,Deflatores!G$4:H$38,2,FALSE)*H171+VLOOKUP(C171,Deflatores!G$4:I$38,3,FALSE)))</f>
        <v/>
      </c>
      <c r="M171" s="6"/>
      <c r="N171" s="6"/>
      <c r="O171" s="111"/>
    </row>
    <row r="172" spans="1:15" x14ac:dyDescent="0.25">
      <c r="A172" s="112" t="s">
        <v>185</v>
      </c>
      <c r="B172" s="113" t="s">
        <v>44</v>
      </c>
      <c r="C172" s="113" t="s">
        <v>45</v>
      </c>
      <c r="D172" s="4">
        <v>10</v>
      </c>
      <c r="E172" s="4">
        <v>2</v>
      </c>
      <c r="F172" s="105" t="str">
        <f t="shared" si="22"/>
        <v>Baixa</v>
      </c>
      <c r="G172" s="4" t="str">
        <f t="shared" si="23"/>
        <v>ALIL</v>
      </c>
      <c r="H172" s="4">
        <f t="shared" si="18"/>
        <v>7</v>
      </c>
      <c r="I172" s="105" t="str">
        <f t="shared" si="19"/>
        <v>L</v>
      </c>
      <c r="J172" s="4" t="str">
        <f t="shared" si="20"/>
        <v>ALII</v>
      </c>
      <c r="K172" s="106">
        <f t="shared" si="21"/>
        <v>7</v>
      </c>
      <c r="L172" s="106">
        <f>IF(NOT(ISERROR(VLOOKUP(B172,Deflatores!G$42:H$64,2,FALSE))),VLOOKUP(B172,Deflatores!G$42:H$64,2,FALSE),IF(OR(ISBLANK(C172),ISBLANK(B172)),"",VLOOKUP(C172,Deflatores!G$4:H$38,2,FALSE)*H172+VLOOKUP(C172,Deflatores!G$4:I$38,3,FALSE)))</f>
        <v>7</v>
      </c>
      <c r="M172" s="6"/>
      <c r="N172" s="6"/>
      <c r="O172" s="111"/>
    </row>
    <row r="173" spans="1:15" x14ac:dyDescent="0.25">
      <c r="A173" s="112" t="s">
        <v>186</v>
      </c>
      <c r="B173" s="113" t="s">
        <v>48</v>
      </c>
      <c r="C173" s="113" t="s">
        <v>45</v>
      </c>
      <c r="D173" s="4">
        <v>8</v>
      </c>
      <c r="E173" s="4">
        <v>1</v>
      </c>
      <c r="F173" s="105" t="str">
        <f t="shared" si="22"/>
        <v>Baixa</v>
      </c>
      <c r="G173" s="4" t="str">
        <f t="shared" si="23"/>
        <v>EEL</v>
      </c>
      <c r="H173" s="4">
        <f t="shared" si="18"/>
        <v>3</v>
      </c>
      <c r="I173" s="105" t="str">
        <f t="shared" si="19"/>
        <v>L</v>
      </c>
      <c r="J173" s="4" t="str">
        <f t="shared" si="20"/>
        <v>EEI</v>
      </c>
      <c r="K173" s="106">
        <f t="shared" si="21"/>
        <v>3</v>
      </c>
      <c r="L173" s="106">
        <f>IF(NOT(ISERROR(VLOOKUP(B173,Deflatores!G$42:H$64,2,FALSE))),VLOOKUP(B173,Deflatores!G$42:H$64,2,FALSE),IF(OR(ISBLANK(C173),ISBLANK(B173)),"",VLOOKUP(C173,Deflatores!G$4:H$38,2,FALSE)*H173+VLOOKUP(C173,Deflatores!G$4:I$38,3,FALSE)))</f>
        <v>3</v>
      </c>
      <c r="M173" s="6"/>
      <c r="N173" s="6"/>
      <c r="O173" s="111"/>
    </row>
    <row r="174" spans="1:15" x14ac:dyDescent="0.25">
      <c r="A174" s="114" t="s">
        <v>187</v>
      </c>
      <c r="B174" s="113" t="s">
        <v>50</v>
      </c>
      <c r="C174" s="113" t="s">
        <v>45</v>
      </c>
      <c r="D174" s="4">
        <v>2</v>
      </c>
      <c r="E174" s="4">
        <v>1</v>
      </c>
      <c r="F174" s="105" t="str">
        <f t="shared" si="22"/>
        <v>Baixa</v>
      </c>
      <c r="G174" s="4" t="str">
        <f t="shared" si="23"/>
        <v>CEL</v>
      </c>
      <c r="H174" s="4">
        <f t="shared" si="18"/>
        <v>3</v>
      </c>
      <c r="I174" s="105" t="str">
        <f t="shared" si="19"/>
        <v>L</v>
      </c>
      <c r="J174" s="4" t="str">
        <f t="shared" si="20"/>
        <v>CEI</v>
      </c>
      <c r="K174" s="106">
        <f t="shared" si="21"/>
        <v>3</v>
      </c>
      <c r="L174" s="106">
        <f>IF(NOT(ISERROR(VLOOKUP(B174,Deflatores!G$42:H$64,2,FALSE))),VLOOKUP(B174,Deflatores!G$42:H$64,2,FALSE),IF(OR(ISBLANK(C174),ISBLANK(B174)),"",VLOOKUP(C174,Deflatores!G$4:H$38,2,FALSE)*H174+VLOOKUP(C174,Deflatores!G$4:I$38,3,FALSE)))</f>
        <v>3</v>
      </c>
      <c r="M174" s="6"/>
      <c r="N174" s="6"/>
      <c r="O174" s="111"/>
    </row>
    <row r="175" spans="1:15" x14ac:dyDescent="0.25">
      <c r="A175" s="112" t="s">
        <v>188</v>
      </c>
      <c r="B175" s="113" t="s">
        <v>48</v>
      </c>
      <c r="C175" s="113" t="s">
        <v>45</v>
      </c>
      <c r="D175" s="4">
        <v>8</v>
      </c>
      <c r="E175" s="4">
        <v>1</v>
      </c>
      <c r="F175" s="105" t="str">
        <f t="shared" si="22"/>
        <v>Baixa</v>
      </c>
      <c r="G175" s="4" t="str">
        <f t="shared" si="23"/>
        <v>EEL</v>
      </c>
      <c r="H175" s="4">
        <f t="shared" si="18"/>
        <v>3</v>
      </c>
      <c r="I175" s="105" t="str">
        <f t="shared" si="19"/>
        <v>L</v>
      </c>
      <c r="J175" s="4" t="str">
        <f t="shared" si="20"/>
        <v>EEI</v>
      </c>
      <c r="K175" s="106">
        <f t="shared" si="21"/>
        <v>3</v>
      </c>
      <c r="L175" s="106">
        <f>IF(NOT(ISERROR(VLOOKUP(B175,Deflatores!G$42:H$64,2,FALSE))),VLOOKUP(B175,Deflatores!G$42:H$64,2,FALSE),IF(OR(ISBLANK(C175),ISBLANK(B175)),"",VLOOKUP(C175,Deflatores!G$4:H$38,2,FALSE)*H175+VLOOKUP(C175,Deflatores!G$4:I$38,3,FALSE)))</f>
        <v>3</v>
      </c>
      <c r="M175" s="6"/>
      <c r="N175" s="6"/>
      <c r="O175" s="111"/>
    </row>
    <row r="176" spans="1:15" x14ac:dyDescent="0.25">
      <c r="A176" s="114" t="s">
        <v>82</v>
      </c>
      <c r="B176" s="113" t="s">
        <v>50</v>
      </c>
      <c r="C176" s="113" t="s">
        <v>45</v>
      </c>
      <c r="D176" s="4">
        <v>4</v>
      </c>
      <c r="E176" s="4">
        <v>1</v>
      </c>
      <c r="F176" s="105" t="str">
        <f t="shared" si="22"/>
        <v>Baixa</v>
      </c>
      <c r="G176" s="4" t="str">
        <f t="shared" si="23"/>
        <v>CEL</v>
      </c>
      <c r="H176" s="4">
        <f t="shared" si="18"/>
        <v>3</v>
      </c>
      <c r="I176" s="105" t="str">
        <f t="shared" si="19"/>
        <v>L</v>
      </c>
      <c r="J176" s="4" t="str">
        <f t="shared" si="20"/>
        <v>CEI</v>
      </c>
      <c r="K176" s="106">
        <f t="shared" si="21"/>
        <v>3</v>
      </c>
      <c r="L176" s="106">
        <f>IF(NOT(ISERROR(VLOOKUP(B176,Deflatores!G$42:H$64,2,FALSE))),VLOOKUP(B176,Deflatores!G$42:H$64,2,FALSE),IF(OR(ISBLANK(C176),ISBLANK(B176)),"",VLOOKUP(C176,Deflatores!G$4:H$38,2,FALSE)*H176+VLOOKUP(C176,Deflatores!G$4:I$38,3,FALSE)))</f>
        <v>3</v>
      </c>
      <c r="M176" s="6"/>
      <c r="N176" s="6"/>
      <c r="O176" s="111"/>
    </row>
    <row r="177" spans="1:15" x14ac:dyDescent="0.25">
      <c r="A177" s="112" t="s">
        <v>189</v>
      </c>
      <c r="B177" s="113" t="s">
        <v>50</v>
      </c>
      <c r="C177" s="113" t="s">
        <v>45</v>
      </c>
      <c r="D177" s="4">
        <v>7</v>
      </c>
      <c r="E177" s="4">
        <v>1</v>
      </c>
      <c r="F177" s="105" t="str">
        <f t="shared" si="22"/>
        <v>Baixa</v>
      </c>
      <c r="G177" s="4" t="str">
        <f t="shared" si="23"/>
        <v>CEL</v>
      </c>
      <c r="H177" s="4">
        <f t="shared" si="18"/>
        <v>3</v>
      </c>
      <c r="I177" s="105" t="str">
        <f t="shared" si="19"/>
        <v>L</v>
      </c>
      <c r="J177" s="4" t="str">
        <f t="shared" si="20"/>
        <v>CEI</v>
      </c>
      <c r="K177" s="106">
        <f t="shared" si="21"/>
        <v>3</v>
      </c>
      <c r="L177" s="106">
        <f>IF(NOT(ISERROR(VLOOKUP(B177,Deflatores!G$42:H$64,2,FALSE))),VLOOKUP(B177,Deflatores!G$42:H$64,2,FALSE),IF(OR(ISBLANK(C177),ISBLANK(B177)),"",VLOOKUP(C177,Deflatores!G$4:H$38,2,FALSE)*H177+VLOOKUP(C177,Deflatores!G$4:I$38,3,FALSE)))</f>
        <v>3</v>
      </c>
      <c r="M177" s="6"/>
      <c r="N177" s="6"/>
      <c r="O177" s="111"/>
    </row>
    <row r="178" spans="1:15" x14ac:dyDescent="0.25">
      <c r="A178" s="112" t="s">
        <v>190</v>
      </c>
      <c r="B178" s="113" t="s">
        <v>48</v>
      </c>
      <c r="C178" s="113" t="s">
        <v>45</v>
      </c>
      <c r="D178" s="4">
        <v>3</v>
      </c>
      <c r="E178" s="4">
        <v>1</v>
      </c>
      <c r="F178" s="105" t="str">
        <f t="shared" si="22"/>
        <v>Baixa</v>
      </c>
      <c r="G178" s="4" t="str">
        <f t="shared" si="23"/>
        <v>EEL</v>
      </c>
      <c r="H178" s="4">
        <f t="shared" si="18"/>
        <v>3</v>
      </c>
      <c r="I178" s="105" t="str">
        <f t="shared" si="19"/>
        <v>L</v>
      </c>
      <c r="J178" s="4" t="str">
        <f t="shared" si="20"/>
        <v>EEI</v>
      </c>
      <c r="K178" s="106">
        <f t="shared" si="21"/>
        <v>3</v>
      </c>
      <c r="L178" s="106">
        <f>IF(NOT(ISERROR(VLOOKUP(B178,Deflatores!G$42:H$64,2,FALSE))),VLOOKUP(B178,Deflatores!G$42:H$64,2,FALSE),IF(OR(ISBLANK(C178),ISBLANK(B178)),"",VLOOKUP(C178,Deflatores!G$4:H$38,2,FALSE)*H178+VLOOKUP(C178,Deflatores!G$4:I$38,3,FALSE)))</f>
        <v>3</v>
      </c>
      <c r="M178" s="6"/>
      <c r="N178" s="6"/>
      <c r="O178" s="111"/>
    </row>
    <row r="179" spans="1:15" x14ac:dyDescent="0.25">
      <c r="A179" s="112"/>
      <c r="B179" s="113"/>
      <c r="C179" s="113"/>
      <c r="D179" s="4"/>
      <c r="E179" s="4"/>
      <c r="F179" s="105" t="str">
        <f t="shared" si="22"/>
        <v/>
      </c>
      <c r="G179" s="4" t="str">
        <f t="shared" si="23"/>
        <v/>
      </c>
      <c r="H179" s="4" t="str">
        <f t="shared" si="18"/>
        <v/>
      </c>
      <c r="I179" s="105" t="str">
        <f t="shared" si="19"/>
        <v/>
      </c>
      <c r="J179" s="4" t="str">
        <f t="shared" si="20"/>
        <v/>
      </c>
      <c r="K179" s="106" t="str">
        <f t="shared" si="21"/>
        <v/>
      </c>
      <c r="L179" s="106" t="str">
        <f>IF(NOT(ISERROR(VLOOKUP(B179,Deflatores!G$42:H$64,2,FALSE))),VLOOKUP(B179,Deflatores!G$42:H$64,2,FALSE),IF(OR(ISBLANK(C179),ISBLANK(B179)),"",VLOOKUP(C179,Deflatores!G$4:H$38,2,FALSE)*H179+VLOOKUP(C179,Deflatores!G$4:I$38,3,FALSE)))</f>
        <v/>
      </c>
      <c r="M179" s="6"/>
      <c r="N179" s="6"/>
      <c r="O179" s="111"/>
    </row>
    <row r="180" spans="1:15" x14ac:dyDescent="0.25">
      <c r="A180" s="115" t="s">
        <v>191</v>
      </c>
      <c r="B180" s="113"/>
      <c r="C180" s="113"/>
      <c r="D180" s="4"/>
      <c r="E180" s="4"/>
      <c r="F180" s="105" t="str">
        <f t="shared" si="22"/>
        <v/>
      </c>
      <c r="G180" s="4" t="str">
        <f t="shared" si="23"/>
        <v/>
      </c>
      <c r="H180" s="4" t="str">
        <f t="shared" si="18"/>
        <v/>
      </c>
      <c r="I180" s="105" t="str">
        <f t="shared" si="19"/>
        <v/>
      </c>
      <c r="J180" s="4" t="str">
        <f t="shared" si="20"/>
        <v/>
      </c>
      <c r="K180" s="106" t="str">
        <f t="shared" si="21"/>
        <v/>
      </c>
      <c r="L180" s="106" t="str">
        <f>IF(NOT(ISERROR(VLOOKUP(B180,Deflatores!G$42:H$64,2,FALSE))),VLOOKUP(B180,Deflatores!G$42:H$64,2,FALSE),IF(OR(ISBLANK(C180),ISBLANK(B180)),"",VLOOKUP(C180,Deflatores!G$4:H$38,2,FALSE)*H180+VLOOKUP(C180,Deflatores!G$4:I$38,3,FALSE)))</f>
        <v/>
      </c>
      <c r="M180" s="6"/>
      <c r="N180" s="6"/>
      <c r="O180" s="111"/>
    </row>
    <row r="181" spans="1:15" ht="47.15" customHeight="1" x14ac:dyDescent="0.25">
      <c r="A181" s="112" t="s">
        <v>192</v>
      </c>
      <c r="B181" s="113" t="s">
        <v>67</v>
      </c>
      <c r="C181" s="113" t="s">
        <v>45</v>
      </c>
      <c r="D181" s="4">
        <v>4</v>
      </c>
      <c r="E181" s="4">
        <v>1</v>
      </c>
      <c r="F181" s="105" t="str">
        <f t="shared" si="22"/>
        <v>Baixa</v>
      </c>
      <c r="G181" s="4" t="str">
        <f t="shared" si="23"/>
        <v>AIEL</v>
      </c>
      <c r="H181" s="4">
        <f t="shared" si="18"/>
        <v>5</v>
      </c>
      <c r="I181" s="105" t="str">
        <f t="shared" si="19"/>
        <v>L</v>
      </c>
      <c r="J181" s="4" t="str">
        <f t="shared" si="20"/>
        <v>AIEI</v>
      </c>
      <c r="K181" s="106">
        <f t="shared" si="21"/>
        <v>5</v>
      </c>
      <c r="L181" s="106">
        <f>IF(NOT(ISERROR(VLOOKUP(B181,Deflatores!G$42:H$64,2,FALSE))),VLOOKUP(B181,Deflatores!G$42:H$64,2,FALSE),IF(OR(ISBLANK(C181),ISBLANK(B181)),"",VLOOKUP(C181,Deflatores!G$4:H$38,2,FALSE)*H181+VLOOKUP(C181,Deflatores!G$4:I$38,3,FALSE)))</f>
        <v>5</v>
      </c>
      <c r="M181" s="6"/>
      <c r="N181" s="6"/>
      <c r="O181" s="111" t="s">
        <v>193</v>
      </c>
    </row>
    <row r="182" spans="1:15" x14ac:dyDescent="0.25">
      <c r="A182" s="112" t="s">
        <v>194</v>
      </c>
      <c r="B182" s="113" t="s">
        <v>44</v>
      </c>
      <c r="C182" s="113" t="s">
        <v>45</v>
      </c>
      <c r="D182" s="4">
        <v>11</v>
      </c>
      <c r="E182" s="4">
        <v>1</v>
      </c>
      <c r="F182" s="105" t="str">
        <f t="shared" si="22"/>
        <v>Baixa</v>
      </c>
      <c r="G182" s="4" t="str">
        <f t="shared" si="23"/>
        <v>ALIL</v>
      </c>
      <c r="H182" s="4">
        <f t="shared" si="18"/>
        <v>7</v>
      </c>
      <c r="I182" s="105" t="str">
        <f t="shared" si="19"/>
        <v>L</v>
      </c>
      <c r="J182" s="4" t="str">
        <f t="shared" si="20"/>
        <v>ALII</v>
      </c>
      <c r="K182" s="106">
        <f t="shared" si="21"/>
        <v>7</v>
      </c>
      <c r="L182" s="106">
        <f>IF(NOT(ISERROR(VLOOKUP(B182,Deflatores!G$42:H$64,2,FALSE))),VLOOKUP(B182,Deflatores!G$42:H$64,2,FALSE),IF(OR(ISBLANK(C182),ISBLANK(B182)),"",VLOOKUP(C182,Deflatores!G$4:H$38,2,FALSE)*H182+VLOOKUP(C182,Deflatores!G$4:I$38,3,FALSE)))</f>
        <v>7</v>
      </c>
      <c r="M182" s="6"/>
      <c r="N182" s="6"/>
      <c r="O182" s="111"/>
    </row>
    <row r="183" spans="1:15" x14ac:dyDescent="0.25">
      <c r="A183" s="112" t="s">
        <v>195</v>
      </c>
      <c r="B183" s="113" t="s">
        <v>48</v>
      </c>
      <c r="C183" s="113" t="s">
        <v>45</v>
      </c>
      <c r="D183" s="4">
        <v>15</v>
      </c>
      <c r="E183" s="4">
        <v>2</v>
      </c>
      <c r="F183" s="105" t="str">
        <f t="shared" si="22"/>
        <v>Média</v>
      </c>
      <c r="G183" s="4" t="str">
        <f t="shared" si="23"/>
        <v>EEA</v>
      </c>
      <c r="H183" s="4">
        <f t="shared" si="18"/>
        <v>4</v>
      </c>
      <c r="I183" s="105" t="str">
        <f t="shared" si="19"/>
        <v>A</v>
      </c>
      <c r="J183" s="4" t="str">
        <f t="shared" si="20"/>
        <v>EEI</v>
      </c>
      <c r="K183" s="106">
        <f t="shared" si="21"/>
        <v>4</v>
      </c>
      <c r="L183" s="106">
        <f>IF(NOT(ISERROR(VLOOKUP(B183,Deflatores!G$42:H$64,2,FALSE))),VLOOKUP(B183,Deflatores!G$42:H$64,2,FALSE),IF(OR(ISBLANK(C183),ISBLANK(B183)),"",VLOOKUP(C183,Deflatores!G$4:H$38,2,FALSE)*H183+VLOOKUP(C183,Deflatores!G$4:I$38,3,FALSE)))</f>
        <v>4</v>
      </c>
      <c r="M183" s="6"/>
      <c r="N183" s="6"/>
      <c r="O183" s="111"/>
    </row>
    <row r="184" spans="1:15" x14ac:dyDescent="0.25">
      <c r="A184" s="112" t="s">
        <v>196</v>
      </c>
      <c r="B184" s="113" t="s">
        <v>48</v>
      </c>
      <c r="C184" s="113" t="s">
        <v>45</v>
      </c>
      <c r="D184" s="4">
        <v>15</v>
      </c>
      <c r="E184" s="4">
        <v>2</v>
      </c>
      <c r="F184" s="105" t="str">
        <f t="shared" si="22"/>
        <v>Média</v>
      </c>
      <c r="G184" s="4" t="str">
        <f t="shared" si="23"/>
        <v>EEA</v>
      </c>
      <c r="H184" s="4">
        <f t="shared" si="18"/>
        <v>4</v>
      </c>
      <c r="I184" s="105" t="str">
        <f t="shared" si="19"/>
        <v>A</v>
      </c>
      <c r="J184" s="4" t="str">
        <f t="shared" si="20"/>
        <v>EEI</v>
      </c>
      <c r="K184" s="106">
        <f t="shared" si="21"/>
        <v>4</v>
      </c>
      <c r="L184" s="106">
        <f>IF(NOT(ISERROR(VLOOKUP(B184,Deflatores!G$42:H$64,2,FALSE))),VLOOKUP(B184,Deflatores!G$42:H$64,2,FALSE),IF(OR(ISBLANK(C184),ISBLANK(B184)),"",VLOOKUP(C184,Deflatores!G$4:H$38,2,FALSE)*H184+VLOOKUP(C184,Deflatores!G$4:I$38,3,FALSE)))</f>
        <v>4</v>
      </c>
      <c r="M184" s="6"/>
      <c r="N184" s="6"/>
      <c r="O184" s="111"/>
    </row>
    <row r="185" spans="1:15" x14ac:dyDescent="0.25">
      <c r="A185" s="114" t="s">
        <v>82</v>
      </c>
      <c r="B185" s="113" t="s">
        <v>50</v>
      </c>
      <c r="C185" s="113" t="s">
        <v>45</v>
      </c>
      <c r="D185" s="4">
        <v>8</v>
      </c>
      <c r="E185" s="4">
        <v>2</v>
      </c>
      <c r="F185" s="105" t="str">
        <f t="shared" si="22"/>
        <v>Média</v>
      </c>
      <c r="G185" s="4" t="str">
        <f t="shared" si="23"/>
        <v>CEA</v>
      </c>
      <c r="H185" s="4">
        <f t="shared" si="18"/>
        <v>4</v>
      </c>
      <c r="I185" s="105" t="str">
        <f t="shared" si="19"/>
        <v>A</v>
      </c>
      <c r="J185" s="4" t="str">
        <f t="shared" si="20"/>
        <v>CEI</v>
      </c>
      <c r="K185" s="106">
        <f t="shared" si="21"/>
        <v>4</v>
      </c>
      <c r="L185" s="106">
        <f>IF(NOT(ISERROR(VLOOKUP(B185,Deflatores!G$42:H$64,2,FALSE))),VLOOKUP(B185,Deflatores!G$42:H$64,2,FALSE),IF(OR(ISBLANK(C185),ISBLANK(B185)),"",VLOOKUP(C185,Deflatores!G$4:H$38,2,FALSE)*H185+VLOOKUP(C185,Deflatores!G$4:I$38,3,FALSE)))</f>
        <v>4</v>
      </c>
      <c r="M185" s="6"/>
      <c r="N185" s="6"/>
      <c r="O185" s="111"/>
    </row>
    <row r="186" spans="1:15" x14ac:dyDescent="0.25">
      <c r="A186" s="112" t="s">
        <v>197</v>
      </c>
      <c r="B186" s="113" t="s">
        <v>50</v>
      </c>
      <c r="C186" s="113" t="s">
        <v>45</v>
      </c>
      <c r="D186" s="4">
        <v>6</v>
      </c>
      <c r="E186" s="4">
        <v>1</v>
      </c>
      <c r="F186" s="105" t="str">
        <f t="shared" si="22"/>
        <v>Baixa</v>
      </c>
      <c r="G186" s="4" t="str">
        <f t="shared" si="23"/>
        <v>CEL</v>
      </c>
      <c r="H186" s="4">
        <f t="shared" si="18"/>
        <v>3</v>
      </c>
      <c r="I186" s="105" t="str">
        <f t="shared" si="19"/>
        <v>L</v>
      </c>
      <c r="J186" s="4" t="str">
        <f t="shared" si="20"/>
        <v>CEI</v>
      </c>
      <c r="K186" s="106">
        <f t="shared" si="21"/>
        <v>3</v>
      </c>
      <c r="L186" s="106">
        <f>IF(NOT(ISERROR(VLOOKUP(B186,Deflatores!G$42:H$64,2,FALSE))),VLOOKUP(B186,Deflatores!G$42:H$64,2,FALSE),IF(OR(ISBLANK(C186),ISBLANK(B186)),"",VLOOKUP(C186,Deflatores!G$4:H$38,2,FALSE)*H186+VLOOKUP(C186,Deflatores!G$4:I$38,3,FALSE)))</f>
        <v>3</v>
      </c>
      <c r="M186" s="6"/>
      <c r="N186" s="6"/>
      <c r="O186" s="111"/>
    </row>
    <row r="187" spans="1:15" x14ac:dyDescent="0.25">
      <c r="A187" s="112" t="s">
        <v>198</v>
      </c>
      <c r="B187" s="113" t="s">
        <v>48</v>
      </c>
      <c r="C187" s="113" t="s">
        <v>45</v>
      </c>
      <c r="D187" s="4">
        <v>5</v>
      </c>
      <c r="E187" s="4">
        <v>2</v>
      </c>
      <c r="F187" s="105" t="str">
        <f t="shared" si="22"/>
        <v>Média</v>
      </c>
      <c r="G187" s="4" t="str">
        <f t="shared" si="23"/>
        <v>EEA</v>
      </c>
      <c r="H187" s="4">
        <f t="shared" si="18"/>
        <v>4</v>
      </c>
      <c r="I187" s="105" t="str">
        <f t="shared" si="19"/>
        <v>A</v>
      </c>
      <c r="J187" s="4" t="str">
        <f t="shared" si="20"/>
        <v>EEI</v>
      </c>
      <c r="K187" s="106">
        <f t="shared" si="21"/>
        <v>4</v>
      </c>
      <c r="L187" s="106">
        <f>IF(NOT(ISERROR(VLOOKUP(B187,Deflatores!G$42:H$64,2,FALSE))),VLOOKUP(B187,Deflatores!G$42:H$64,2,FALSE),IF(OR(ISBLANK(C187),ISBLANK(B187)),"",VLOOKUP(C187,Deflatores!G$4:H$38,2,FALSE)*H187+VLOOKUP(C187,Deflatores!G$4:I$38,3,FALSE)))</f>
        <v>4</v>
      </c>
      <c r="M187" s="6"/>
      <c r="N187" s="6"/>
      <c r="O187" s="111"/>
    </row>
    <row r="188" spans="1:15" x14ac:dyDescent="0.25">
      <c r="A188" s="112" t="s">
        <v>199</v>
      </c>
      <c r="B188" s="113" t="s">
        <v>50</v>
      </c>
      <c r="C188" s="113" t="s">
        <v>45</v>
      </c>
      <c r="D188" s="4">
        <v>8</v>
      </c>
      <c r="E188" s="4">
        <v>1</v>
      </c>
      <c r="F188" s="105" t="str">
        <f t="shared" si="22"/>
        <v>Baixa</v>
      </c>
      <c r="G188" s="4" t="str">
        <f t="shared" si="23"/>
        <v>CEL</v>
      </c>
      <c r="H188" s="4">
        <f t="shared" si="18"/>
        <v>3</v>
      </c>
      <c r="I188" s="105" t="str">
        <f t="shared" si="19"/>
        <v>L</v>
      </c>
      <c r="J188" s="4" t="str">
        <f t="shared" si="20"/>
        <v>CEI</v>
      </c>
      <c r="K188" s="106">
        <f t="shared" si="21"/>
        <v>3</v>
      </c>
      <c r="L188" s="106">
        <f>IF(NOT(ISERROR(VLOOKUP(B188,Deflatores!G$42:H$64,2,FALSE))),VLOOKUP(B188,Deflatores!G$42:H$64,2,FALSE),IF(OR(ISBLANK(C188),ISBLANK(B188)),"",VLOOKUP(C188,Deflatores!G$4:H$38,2,FALSE)*H188+VLOOKUP(C188,Deflatores!G$4:I$38,3,FALSE)))</f>
        <v>3</v>
      </c>
      <c r="M188" s="6"/>
      <c r="N188" s="6"/>
      <c r="O188" s="111"/>
    </row>
    <row r="189" spans="1:15" x14ac:dyDescent="0.25">
      <c r="A189" s="112"/>
      <c r="B189" s="113"/>
      <c r="C189" s="113"/>
      <c r="D189" s="4"/>
      <c r="E189" s="4"/>
      <c r="F189" s="105" t="str">
        <f t="shared" si="22"/>
        <v/>
      </c>
      <c r="G189" s="4" t="str">
        <f t="shared" si="23"/>
        <v/>
      </c>
      <c r="H189" s="4" t="str">
        <f t="shared" si="18"/>
        <v/>
      </c>
      <c r="I189" s="105" t="str">
        <f t="shared" si="19"/>
        <v/>
      </c>
      <c r="J189" s="4" t="str">
        <f t="shared" si="20"/>
        <v/>
      </c>
      <c r="K189" s="106" t="str">
        <f t="shared" si="21"/>
        <v/>
      </c>
      <c r="L189" s="106" t="str">
        <f>IF(NOT(ISERROR(VLOOKUP(B189,Deflatores!G$42:H$64,2,FALSE))),VLOOKUP(B189,Deflatores!G$42:H$64,2,FALSE),IF(OR(ISBLANK(C189),ISBLANK(B189)),"",VLOOKUP(C189,Deflatores!G$4:H$38,2,FALSE)*H189+VLOOKUP(C189,Deflatores!G$4:I$38,3,FALSE)))</f>
        <v/>
      </c>
      <c r="M189" s="6"/>
      <c r="N189" s="6"/>
      <c r="O189" s="111"/>
    </row>
    <row r="190" spans="1:15" x14ac:dyDescent="0.25">
      <c r="A190" s="115" t="s">
        <v>200</v>
      </c>
      <c r="B190" s="113"/>
      <c r="C190" s="113"/>
      <c r="D190" s="4"/>
      <c r="E190" s="4"/>
      <c r="F190" s="105" t="str">
        <f t="shared" si="22"/>
        <v/>
      </c>
      <c r="G190" s="4" t="str">
        <f t="shared" si="23"/>
        <v/>
      </c>
      <c r="H190" s="4" t="str">
        <f t="shared" si="18"/>
        <v/>
      </c>
      <c r="I190" s="105" t="str">
        <f t="shared" si="19"/>
        <v/>
      </c>
      <c r="J190" s="4" t="str">
        <f t="shared" si="20"/>
        <v/>
      </c>
      <c r="K190" s="106" t="str">
        <f t="shared" si="21"/>
        <v/>
      </c>
      <c r="L190" s="106" t="str">
        <f>IF(NOT(ISERROR(VLOOKUP(B190,Deflatores!G$42:H$64,2,FALSE))),VLOOKUP(B190,Deflatores!G$42:H$64,2,FALSE),IF(OR(ISBLANK(C190),ISBLANK(B190)),"",VLOOKUP(C190,Deflatores!G$4:H$38,2,FALSE)*H190+VLOOKUP(C190,Deflatores!G$4:I$38,3,FALSE)))</f>
        <v/>
      </c>
      <c r="M190" s="6"/>
      <c r="N190" s="6"/>
      <c r="O190" s="111"/>
    </row>
    <row r="191" spans="1:15" x14ac:dyDescent="0.25">
      <c r="A191" s="112" t="s">
        <v>201</v>
      </c>
      <c r="B191" s="113" t="s">
        <v>67</v>
      </c>
      <c r="C191" s="113" t="s">
        <v>45</v>
      </c>
      <c r="D191" s="4">
        <v>4</v>
      </c>
      <c r="E191" s="4">
        <v>1</v>
      </c>
      <c r="F191" s="105" t="str">
        <f t="shared" si="22"/>
        <v>Baixa</v>
      </c>
      <c r="G191" s="4" t="str">
        <f t="shared" si="23"/>
        <v>AIEL</v>
      </c>
      <c r="H191" s="4">
        <f t="shared" si="18"/>
        <v>5</v>
      </c>
      <c r="I191" s="105" t="str">
        <f t="shared" si="19"/>
        <v>L</v>
      </c>
      <c r="J191" s="4" t="str">
        <f t="shared" si="20"/>
        <v>AIEI</v>
      </c>
      <c r="K191" s="106">
        <f t="shared" si="21"/>
        <v>5</v>
      </c>
      <c r="L191" s="106">
        <f>IF(NOT(ISERROR(VLOOKUP(B191,Deflatores!G$42:H$64,2,FALSE))),VLOOKUP(B191,Deflatores!G$42:H$64,2,FALSE),IF(OR(ISBLANK(C191),ISBLANK(B191)),"",VLOOKUP(C191,Deflatores!G$4:H$38,2,FALSE)*H191+VLOOKUP(C191,Deflatores!G$4:I$38,3,FALSE)))</f>
        <v>5</v>
      </c>
      <c r="M191" s="6"/>
      <c r="N191" s="6"/>
      <c r="O191" s="111"/>
    </row>
    <row r="192" spans="1:15" x14ac:dyDescent="0.25">
      <c r="A192" s="112" t="s">
        <v>202</v>
      </c>
      <c r="B192" s="113" t="s">
        <v>50</v>
      </c>
      <c r="C192" s="113" t="s">
        <v>45</v>
      </c>
      <c r="D192" s="4">
        <v>2</v>
      </c>
      <c r="E192" s="4">
        <v>1</v>
      </c>
      <c r="F192" s="105" t="str">
        <f>IF(ISBLANK(B192),"",IF(I192="L","Baixa",IF(I192="A","Média",IF(I192="","","Alta"))))</f>
        <v>Baixa</v>
      </c>
      <c r="G192" s="4" t="str">
        <f>CONCATENATE(B192,I192)</f>
        <v>CEL</v>
      </c>
      <c r="H192" s="4">
        <f t="shared" si="18"/>
        <v>3</v>
      </c>
      <c r="I192" s="105" t="str">
        <f t="shared" si="19"/>
        <v>L</v>
      </c>
      <c r="J192" s="4" t="str">
        <f t="shared" si="20"/>
        <v>CEI</v>
      </c>
      <c r="K192" s="106">
        <f t="shared" si="21"/>
        <v>3</v>
      </c>
      <c r="L192" s="106">
        <f>IF(NOT(ISERROR(VLOOKUP(B192,Deflatores!G$42:H$64,2,FALSE))),VLOOKUP(B192,Deflatores!G$42:H$64,2,FALSE),IF(OR(ISBLANK(C192),ISBLANK(B192)),"",VLOOKUP(C192,Deflatores!G$4:H$38,2,FALSE)*H192+VLOOKUP(C192,Deflatores!G$4:I$38,3,FALSE)))</f>
        <v>3</v>
      </c>
      <c r="M192" s="6"/>
      <c r="N192" s="6"/>
      <c r="O192" s="111"/>
    </row>
    <row r="193" spans="1:15" x14ac:dyDescent="0.25">
      <c r="A193" s="112" t="s">
        <v>203</v>
      </c>
      <c r="B193" s="113" t="s">
        <v>50</v>
      </c>
      <c r="C193" s="113" t="s">
        <v>45</v>
      </c>
      <c r="D193" s="4">
        <v>6</v>
      </c>
      <c r="E193" s="4">
        <v>1</v>
      </c>
      <c r="F193" s="105" t="str">
        <f>IF(ISBLANK(B193),"",IF(I193="L","Baixa",IF(I193="A","Média",IF(I193="","","Alta"))))</f>
        <v>Baixa</v>
      </c>
      <c r="G193" s="4" t="str">
        <f>CONCATENATE(B193,I193)</f>
        <v>CEL</v>
      </c>
      <c r="H193" s="4">
        <f t="shared" si="18"/>
        <v>3</v>
      </c>
      <c r="I193" s="105" t="str">
        <f t="shared" si="19"/>
        <v>L</v>
      </c>
      <c r="J193" s="4" t="str">
        <f t="shared" si="20"/>
        <v>CEI</v>
      </c>
      <c r="K193" s="106">
        <f t="shared" si="21"/>
        <v>3</v>
      </c>
      <c r="L193" s="106">
        <f>IF(NOT(ISERROR(VLOOKUP(B193,Deflatores!G$42:H$64,2,FALSE))),VLOOKUP(B193,Deflatores!G$42:H$64,2,FALSE),IF(OR(ISBLANK(C193),ISBLANK(B193)),"",VLOOKUP(C193,Deflatores!G$4:H$38,2,FALSE)*H193+VLOOKUP(C193,Deflatores!G$4:I$38,3,FALSE)))</f>
        <v>3</v>
      </c>
      <c r="M193" s="6"/>
      <c r="N193" s="6"/>
      <c r="O193" s="111"/>
    </row>
    <row r="194" spans="1:15" x14ac:dyDescent="0.25">
      <c r="A194" s="112" t="s">
        <v>204</v>
      </c>
      <c r="B194" s="113" t="s">
        <v>44</v>
      </c>
      <c r="C194" s="113" t="s">
        <v>45</v>
      </c>
      <c r="D194" s="4">
        <v>12</v>
      </c>
      <c r="E194" s="4">
        <v>1</v>
      </c>
      <c r="F194" s="105" t="str">
        <f t="shared" si="22"/>
        <v>Baixa</v>
      </c>
      <c r="G194" s="4" t="str">
        <f t="shared" si="23"/>
        <v>ALIL</v>
      </c>
      <c r="H194" s="4">
        <f t="shared" si="18"/>
        <v>7</v>
      </c>
      <c r="I194" s="105" t="str">
        <f t="shared" si="19"/>
        <v>L</v>
      </c>
      <c r="J194" s="4" t="str">
        <f t="shared" si="20"/>
        <v>ALII</v>
      </c>
      <c r="K194" s="106">
        <f t="shared" si="21"/>
        <v>7</v>
      </c>
      <c r="L194" s="106">
        <f>IF(NOT(ISERROR(VLOOKUP(B194,Deflatores!G$42:H$64,2,FALSE))),VLOOKUP(B194,Deflatores!G$42:H$64,2,FALSE),IF(OR(ISBLANK(C194),ISBLANK(B194)),"",VLOOKUP(C194,Deflatores!G$4:H$38,2,FALSE)*H194+VLOOKUP(C194,Deflatores!G$4:I$38,3,FALSE)))</f>
        <v>7</v>
      </c>
      <c r="M194" s="6"/>
      <c r="N194" s="6"/>
      <c r="O194" s="111"/>
    </row>
    <row r="195" spans="1:15" x14ac:dyDescent="0.25">
      <c r="A195" s="112" t="s">
        <v>205</v>
      </c>
      <c r="B195" s="113" t="s">
        <v>48</v>
      </c>
      <c r="C195" s="113" t="s">
        <v>45</v>
      </c>
      <c r="D195" s="4">
        <v>13</v>
      </c>
      <c r="E195" s="4">
        <v>2</v>
      </c>
      <c r="F195" s="105" t="str">
        <f t="shared" si="22"/>
        <v>Média</v>
      </c>
      <c r="G195" s="4" t="str">
        <f t="shared" si="23"/>
        <v>EEA</v>
      </c>
      <c r="H195" s="4">
        <f t="shared" si="18"/>
        <v>4</v>
      </c>
      <c r="I195" s="105" t="str">
        <f t="shared" si="19"/>
        <v>A</v>
      </c>
      <c r="J195" s="4" t="str">
        <f t="shared" si="20"/>
        <v>EEI</v>
      </c>
      <c r="K195" s="106">
        <f t="shared" si="21"/>
        <v>4</v>
      </c>
      <c r="L195" s="106">
        <f>IF(NOT(ISERROR(VLOOKUP(B195,Deflatores!G$42:H$64,2,FALSE))),VLOOKUP(B195,Deflatores!G$42:H$64,2,FALSE),IF(OR(ISBLANK(C195),ISBLANK(B195)),"",VLOOKUP(C195,Deflatores!G$4:H$38,2,FALSE)*H195+VLOOKUP(C195,Deflatores!G$4:I$38,3,FALSE)))</f>
        <v>4</v>
      </c>
      <c r="M195" s="6"/>
      <c r="N195" s="6"/>
      <c r="O195" s="111"/>
    </row>
    <row r="196" spans="1:15" x14ac:dyDescent="0.25">
      <c r="A196" s="114" t="s">
        <v>206</v>
      </c>
      <c r="B196" s="113" t="s">
        <v>50</v>
      </c>
      <c r="C196" s="113" t="s">
        <v>72</v>
      </c>
      <c r="D196" s="4">
        <v>3</v>
      </c>
      <c r="E196" s="4">
        <v>1</v>
      </c>
      <c r="F196" s="105" t="str">
        <f t="shared" si="22"/>
        <v>Baixa</v>
      </c>
      <c r="G196" s="4" t="str">
        <f t="shared" si="23"/>
        <v>CEL</v>
      </c>
      <c r="H196" s="4">
        <f t="shared" si="18"/>
        <v>3</v>
      </c>
      <c r="I196" s="105" t="str">
        <f t="shared" si="19"/>
        <v>L</v>
      </c>
      <c r="J196" s="4" t="str">
        <f t="shared" si="20"/>
        <v>CEE</v>
      </c>
      <c r="K196" s="106">
        <f t="shared" si="21"/>
        <v>3</v>
      </c>
      <c r="L196" s="106">
        <f>IF(NOT(ISERROR(VLOOKUP(B196,Deflatores!G$42:H$64,2,FALSE))),VLOOKUP(B196,Deflatores!G$42:H$64,2,FALSE),IF(OR(ISBLANK(C196),ISBLANK(B196)),"",VLOOKUP(C196,Deflatores!G$4:H$38,2,FALSE)*H196+VLOOKUP(C196,Deflatores!G$4:I$38,3,FALSE)))</f>
        <v>1.2000000000000002</v>
      </c>
      <c r="M196" s="6"/>
      <c r="N196" s="6"/>
      <c r="O196" s="111"/>
    </row>
    <row r="197" spans="1:15" x14ac:dyDescent="0.25">
      <c r="A197" s="112" t="s">
        <v>207</v>
      </c>
      <c r="B197" s="113" t="s">
        <v>48</v>
      </c>
      <c r="C197" s="113" t="s">
        <v>45</v>
      </c>
      <c r="D197" s="4">
        <v>13</v>
      </c>
      <c r="E197" s="4">
        <v>2</v>
      </c>
      <c r="F197" s="105" t="str">
        <f t="shared" si="22"/>
        <v>Média</v>
      </c>
      <c r="G197" s="4" t="str">
        <f t="shared" si="23"/>
        <v>EEA</v>
      </c>
      <c r="H197" s="4">
        <f t="shared" si="18"/>
        <v>4</v>
      </c>
      <c r="I197" s="105" t="str">
        <f t="shared" si="19"/>
        <v>A</v>
      </c>
      <c r="J197" s="4" t="str">
        <f t="shared" si="20"/>
        <v>EEI</v>
      </c>
      <c r="K197" s="106">
        <f t="shared" si="21"/>
        <v>4</v>
      </c>
      <c r="L197" s="106">
        <f>IF(NOT(ISERROR(VLOOKUP(B197,Deflatores!G$42:H$64,2,FALSE))),VLOOKUP(B197,Deflatores!G$42:H$64,2,FALSE),IF(OR(ISBLANK(C197),ISBLANK(B197)),"",VLOOKUP(C197,Deflatores!G$4:H$38,2,FALSE)*H197+VLOOKUP(C197,Deflatores!G$4:I$38,3,FALSE)))</f>
        <v>4</v>
      </c>
      <c r="M197" s="6"/>
      <c r="N197" s="6"/>
      <c r="O197" s="111"/>
    </row>
    <row r="198" spans="1:15" x14ac:dyDescent="0.25">
      <c r="A198" s="114" t="s">
        <v>82</v>
      </c>
      <c r="B198" s="113" t="s">
        <v>50</v>
      </c>
      <c r="C198" s="113" t="s">
        <v>45</v>
      </c>
      <c r="D198" s="4">
        <v>9</v>
      </c>
      <c r="E198" s="4">
        <v>2</v>
      </c>
      <c r="F198" s="105" t="str">
        <f t="shared" si="22"/>
        <v>Média</v>
      </c>
      <c r="G198" s="4" t="str">
        <f t="shared" si="23"/>
        <v>CEA</v>
      </c>
      <c r="H198" s="4">
        <f t="shared" si="18"/>
        <v>4</v>
      </c>
      <c r="I198" s="105" t="str">
        <f t="shared" si="19"/>
        <v>A</v>
      </c>
      <c r="J198" s="4" t="str">
        <f t="shared" si="20"/>
        <v>CEI</v>
      </c>
      <c r="K198" s="106">
        <f t="shared" si="21"/>
        <v>4</v>
      </c>
      <c r="L198" s="106">
        <f>IF(NOT(ISERROR(VLOOKUP(B198,Deflatores!G$42:H$64,2,FALSE))),VLOOKUP(B198,Deflatores!G$42:H$64,2,FALSE),IF(OR(ISBLANK(C198),ISBLANK(B198)),"",VLOOKUP(C198,Deflatores!G$4:H$38,2,FALSE)*H198+VLOOKUP(C198,Deflatores!G$4:I$38,3,FALSE)))</f>
        <v>4</v>
      </c>
      <c r="M198" s="6"/>
      <c r="N198" s="6"/>
      <c r="O198" s="111"/>
    </row>
    <row r="199" spans="1:15" x14ac:dyDescent="0.25">
      <c r="A199" s="112" t="s">
        <v>208</v>
      </c>
      <c r="B199" s="113" t="s">
        <v>50</v>
      </c>
      <c r="C199" s="113" t="s">
        <v>45</v>
      </c>
      <c r="D199" s="4">
        <v>8</v>
      </c>
      <c r="E199" s="4">
        <v>2</v>
      </c>
      <c r="F199" s="105" t="str">
        <f t="shared" si="22"/>
        <v>Média</v>
      </c>
      <c r="G199" s="4" t="str">
        <f t="shared" si="23"/>
        <v>CEA</v>
      </c>
      <c r="H199" s="4">
        <f t="shared" si="18"/>
        <v>4</v>
      </c>
      <c r="I199" s="105" t="str">
        <f t="shared" si="19"/>
        <v>A</v>
      </c>
      <c r="J199" s="4" t="str">
        <f t="shared" si="20"/>
        <v>CEI</v>
      </c>
      <c r="K199" s="106">
        <f t="shared" si="21"/>
        <v>4</v>
      </c>
      <c r="L199" s="106">
        <f>IF(NOT(ISERROR(VLOOKUP(B199,Deflatores!G$42:H$64,2,FALSE))),VLOOKUP(B199,Deflatores!G$42:H$64,2,FALSE),IF(OR(ISBLANK(C199),ISBLANK(B199)),"",VLOOKUP(C199,Deflatores!G$4:H$38,2,FALSE)*H199+VLOOKUP(C199,Deflatores!G$4:I$38,3,FALSE)))</f>
        <v>4</v>
      </c>
      <c r="M199" s="6"/>
      <c r="N199" s="6"/>
      <c r="O199" s="111"/>
    </row>
    <row r="200" spans="1:15" x14ac:dyDescent="0.25">
      <c r="A200" s="112" t="s">
        <v>209</v>
      </c>
      <c r="B200" s="113" t="s">
        <v>48</v>
      </c>
      <c r="C200" s="113" t="s">
        <v>45</v>
      </c>
      <c r="D200" s="4">
        <v>3</v>
      </c>
      <c r="E200" s="4">
        <v>1</v>
      </c>
      <c r="F200" s="105" t="str">
        <f t="shared" si="22"/>
        <v>Baixa</v>
      </c>
      <c r="G200" s="4" t="str">
        <f t="shared" si="23"/>
        <v>EEL</v>
      </c>
      <c r="H200" s="4">
        <f t="shared" si="18"/>
        <v>3</v>
      </c>
      <c r="I200" s="105" t="str">
        <f t="shared" si="19"/>
        <v>L</v>
      </c>
      <c r="J200" s="4" t="str">
        <f t="shared" si="20"/>
        <v>EEI</v>
      </c>
      <c r="K200" s="106">
        <f t="shared" si="21"/>
        <v>3</v>
      </c>
      <c r="L200" s="106">
        <f>IF(NOT(ISERROR(VLOOKUP(B200,Deflatores!G$42:H$64,2,FALSE))),VLOOKUP(B200,Deflatores!G$42:H$64,2,FALSE),IF(OR(ISBLANK(C200),ISBLANK(B200)),"",VLOOKUP(C200,Deflatores!G$4:H$38,2,FALSE)*H200+VLOOKUP(C200,Deflatores!G$4:I$38,3,FALSE)))</f>
        <v>3</v>
      </c>
      <c r="M200" s="6"/>
      <c r="N200" s="6"/>
      <c r="O200" s="111"/>
    </row>
    <row r="201" spans="1:15" x14ac:dyDescent="0.25">
      <c r="A201" s="112" t="s">
        <v>210</v>
      </c>
      <c r="B201" s="113" t="s">
        <v>50</v>
      </c>
      <c r="C201" s="113" t="s">
        <v>45</v>
      </c>
      <c r="D201" s="4">
        <v>11</v>
      </c>
      <c r="E201" s="4">
        <v>2</v>
      </c>
      <c r="F201" s="105" t="str">
        <f t="shared" si="22"/>
        <v>Média</v>
      </c>
      <c r="G201" s="4" t="str">
        <f t="shared" si="23"/>
        <v>CEA</v>
      </c>
      <c r="H201" s="4">
        <f t="shared" si="18"/>
        <v>4</v>
      </c>
      <c r="I201" s="105" t="str">
        <f t="shared" si="19"/>
        <v>A</v>
      </c>
      <c r="J201" s="4" t="str">
        <f t="shared" si="20"/>
        <v>CEI</v>
      </c>
      <c r="K201" s="106">
        <f t="shared" si="21"/>
        <v>4</v>
      </c>
      <c r="L201" s="106">
        <f>IF(NOT(ISERROR(VLOOKUP(B201,Deflatores!G$42:H$64,2,FALSE))),VLOOKUP(B201,Deflatores!G$42:H$64,2,FALSE),IF(OR(ISBLANK(C201),ISBLANK(B201)),"",VLOOKUP(C201,Deflatores!G$4:H$38,2,FALSE)*H201+VLOOKUP(C201,Deflatores!G$4:I$38,3,FALSE)))</f>
        <v>4</v>
      </c>
      <c r="M201" s="6"/>
      <c r="N201" s="6"/>
      <c r="O201" s="111"/>
    </row>
    <row r="202" spans="1:15" x14ac:dyDescent="0.25">
      <c r="A202" s="112"/>
      <c r="B202" s="113"/>
      <c r="C202" s="113"/>
      <c r="D202" s="4"/>
      <c r="E202" s="4"/>
      <c r="F202" s="105" t="str">
        <f t="shared" si="22"/>
        <v/>
      </c>
      <c r="G202" s="4" t="str">
        <f t="shared" si="23"/>
        <v/>
      </c>
      <c r="H202" s="4" t="str">
        <f t="shared" si="18"/>
        <v/>
      </c>
      <c r="I202" s="105" t="str">
        <f t="shared" si="19"/>
        <v/>
      </c>
      <c r="J202" s="4" t="str">
        <f t="shared" si="20"/>
        <v/>
      </c>
      <c r="K202" s="106" t="str">
        <f t="shared" si="21"/>
        <v/>
      </c>
      <c r="L202" s="106" t="str">
        <f>IF(NOT(ISERROR(VLOOKUP(B202,Deflatores!G$42:H$64,2,FALSE))),VLOOKUP(B202,Deflatores!G$42:H$64,2,FALSE),IF(OR(ISBLANK(C202),ISBLANK(B202)),"",VLOOKUP(C202,Deflatores!G$4:H$38,2,FALSE)*H202+VLOOKUP(C202,Deflatores!G$4:I$38,3,FALSE)))</f>
        <v/>
      </c>
      <c r="M202" s="6"/>
      <c r="N202" s="6"/>
      <c r="O202" s="111"/>
    </row>
    <row r="203" spans="1:15" x14ac:dyDescent="0.25">
      <c r="A203" s="115" t="s">
        <v>211</v>
      </c>
      <c r="B203" s="113"/>
      <c r="C203" s="113"/>
      <c r="D203" s="4"/>
      <c r="E203" s="4"/>
      <c r="F203" s="105" t="str">
        <f t="shared" si="22"/>
        <v/>
      </c>
      <c r="G203" s="4" t="str">
        <f t="shared" si="23"/>
        <v/>
      </c>
      <c r="H203" s="4" t="str">
        <f t="shared" si="18"/>
        <v/>
      </c>
      <c r="I203" s="105" t="str">
        <f t="shared" si="19"/>
        <v/>
      </c>
      <c r="J203" s="4" t="str">
        <f t="shared" si="20"/>
        <v/>
      </c>
      <c r="K203" s="106" t="str">
        <f t="shared" si="21"/>
        <v/>
      </c>
      <c r="L203" s="106" t="str">
        <f>IF(NOT(ISERROR(VLOOKUP(B203,Deflatores!G$42:H$64,2,FALSE))),VLOOKUP(B203,Deflatores!G$42:H$64,2,FALSE),IF(OR(ISBLANK(C203),ISBLANK(B203)),"",VLOOKUP(C203,Deflatores!G$4:H$38,2,FALSE)*H203+VLOOKUP(C203,Deflatores!G$4:I$38,3,FALSE)))</f>
        <v/>
      </c>
      <c r="M203" s="6"/>
      <c r="N203" s="6"/>
      <c r="O203" s="111"/>
    </row>
    <row r="204" spans="1:15" x14ac:dyDescent="0.25">
      <c r="A204" s="112" t="s">
        <v>212</v>
      </c>
      <c r="B204" s="113" t="s">
        <v>67</v>
      </c>
      <c r="C204" s="113" t="s">
        <v>45</v>
      </c>
      <c r="D204" s="4">
        <v>3</v>
      </c>
      <c r="E204" s="4">
        <v>1</v>
      </c>
      <c r="F204" s="105" t="str">
        <f t="shared" si="22"/>
        <v>Baixa</v>
      </c>
      <c r="G204" s="4" t="str">
        <f t="shared" si="23"/>
        <v>AIEL</v>
      </c>
      <c r="H204" s="4">
        <f t="shared" si="18"/>
        <v>5</v>
      </c>
      <c r="I204" s="105" t="str">
        <f t="shared" si="19"/>
        <v>L</v>
      </c>
      <c r="J204" s="4" t="str">
        <f t="shared" si="20"/>
        <v>AIEI</v>
      </c>
      <c r="K204" s="106">
        <f t="shared" si="21"/>
        <v>5</v>
      </c>
      <c r="L204" s="106">
        <f>IF(NOT(ISERROR(VLOOKUP(B204,Deflatores!G$42:H$64,2,FALSE))),VLOOKUP(B204,Deflatores!G$42:H$64,2,FALSE),IF(OR(ISBLANK(C204),ISBLANK(B204)),"",VLOOKUP(C204,Deflatores!G$4:H$38,2,FALSE)*H204+VLOOKUP(C204,Deflatores!G$4:I$38,3,FALSE)))</f>
        <v>5</v>
      </c>
      <c r="M204" s="6"/>
      <c r="N204" s="6"/>
      <c r="O204" s="111"/>
    </row>
    <row r="205" spans="1:15" x14ac:dyDescent="0.25">
      <c r="A205" s="112" t="s">
        <v>213</v>
      </c>
      <c r="B205" s="113" t="s">
        <v>44</v>
      </c>
      <c r="C205" s="113" t="s">
        <v>45</v>
      </c>
      <c r="D205" s="4">
        <v>24</v>
      </c>
      <c r="E205" s="4">
        <v>2</v>
      </c>
      <c r="F205" s="105" t="str">
        <f t="shared" si="22"/>
        <v>Média</v>
      </c>
      <c r="G205" s="4" t="str">
        <f t="shared" si="23"/>
        <v>ALIA</v>
      </c>
      <c r="H205" s="4">
        <f t="shared" si="18"/>
        <v>10</v>
      </c>
      <c r="I205" s="105" t="str">
        <f t="shared" si="19"/>
        <v>A</v>
      </c>
      <c r="J205" s="4" t="str">
        <f t="shared" si="20"/>
        <v>ALII</v>
      </c>
      <c r="K205" s="106">
        <f t="shared" si="21"/>
        <v>10</v>
      </c>
      <c r="L205" s="106">
        <f>IF(NOT(ISERROR(VLOOKUP(B205,Deflatores!G$42:H$64,2,FALSE))),VLOOKUP(B205,Deflatores!G$42:H$64,2,FALSE),IF(OR(ISBLANK(C205),ISBLANK(B205)),"",VLOOKUP(C205,Deflatores!G$4:H$38,2,FALSE)*H205+VLOOKUP(C205,Deflatores!G$4:I$38,3,FALSE)))</f>
        <v>10</v>
      </c>
      <c r="M205" s="6"/>
      <c r="N205" s="6"/>
      <c r="O205" s="111"/>
    </row>
    <row r="206" spans="1:15" x14ac:dyDescent="0.25">
      <c r="A206" s="112" t="s">
        <v>214</v>
      </c>
      <c r="B206" s="113" t="s">
        <v>48</v>
      </c>
      <c r="C206" s="113" t="s">
        <v>45</v>
      </c>
      <c r="D206" s="4">
        <v>26</v>
      </c>
      <c r="E206" s="4">
        <v>3</v>
      </c>
      <c r="F206" s="105" t="str">
        <f t="shared" si="22"/>
        <v>Alta</v>
      </c>
      <c r="G206" s="4" t="str">
        <f t="shared" si="23"/>
        <v>EEH</v>
      </c>
      <c r="H206" s="4">
        <f t="shared" si="18"/>
        <v>6</v>
      </c>
      <c r="I206" s="105" t="str">
        <f t="shared" si="19"/>
        <v>H</v>
      </c>
      <c r="J206" s="4" t="str">
        <f t="shared" si="20"/>
        <v>EEI</v>
      </c>
      <c r="K206" s="106">
        <f t="shared" si="21"/>
        <v>6</v>
      </c>
      <c r="L206" s="106">
        <f>IF(NOT(ISERROR(VLOOKUP(B206,Deflatores!G$42:H$64,2,FALSE))),VLOOKUP(B206,Deflatores!G$42:H$64,2,FALSE),IF(OR(ISBLANK(C206),ISBLANK(B206)),"",VLOOKUP(C206,Deflatores!G$4:H$38,2,FALSE)*H206+VLOOKUP(C206,Deflatores!G$4:I$38,3,FALSE)))</f>
        <v>6</v>
      </c>
      <c r="M206" s="6"/>
      <c r="N206" s="6"/>
      <c r="O206" s="111"/>
    </row>
    <row r="207" spans="1:15" x14ac:dyDescent="0.25">
      <c r="A207" s="114" t="s">
        <v>215</v>
      </c>
      <c r="B207" s="113" t="s">
        <v>50</v>
      </c>
      <c r="C207" s="113" t="s">
        <v>72</v>
      </c>
      <c r="D207" s="4">
        <v>3</v>
      </c>
      <c r="E207" s="4">
        <v>1</v>
      </c>
      <c r="F207" s="105" t="str">
        <f t="shared" si="22"/>
        <v>Baixa</v>
      </c>
      <c r="G207" s="4" t="str">
        <f t="shared" si="23"/>
        <v>CEL</v>
      </c>
      <c r="H207" s="4">
        <f t="shared" si="18"/>
        <v>3</v>
      </c>
      <c r="I207" s="105" t="str">
        <f t="shared" si="19"/>
        <v>L</v>
      </c>
      <c r="J207" s="4" t="str">
        <f t="shared" si="20"/>
        <v>CEE</v>
      </c>
      <c r="K207" s="106">
        <f t="shared" si="21"/>
        <v>3</v>
      </c>
      <c r="L207" s="106">
        <f>IF(NOT(ISERROR(VLOOKUP(B207,Deflatores!G$42:H$64,2,FALSE))),VLOOKUP(B207,Deflatores!G$42:H$64,2,FALSE),IF(OR(ISBLANK(C207),ISBLANK(B207)),"",VLOOKUP(C207,Deflatores!G$4:H$38,2,FALSE)*H207+VLOOKUP(C207,Deflatores!G$4:I$38,3,FALSE)))</f>
        <v>1.2000000000000002</v>
      </c>
      <c r="M207" s="6"/>
      <c r="N207" s="6"/>
      <c r="O207" s="111"/>
    </row>
    <row r="208" spans="1:15" x14ac:dyDescent="0.25">
      <c r="A208" s="114" t="s">
        <v>216</v>
      </c>
      <c r="B208" s="113" t="s">
        <v>50</v>
      </c>
      <c r="C208" s="113" t="s">
        <v>45</v>
      </c>
      <c r="D208" s="4">
        <v>9</v>
      </c>
      <c r="E208" s="4">
        <v>1</v>
      </c>
      <c r="F208" s="105" t="str">
        <f>IF(ISBLANK(B208),"",IF(I208="L","Baixa",IF(I208="A","Média",IF(I208="","","Alta"))))</f>
        <v>Baixa</v>
      </c>
      <c r="G208" s="4" t="str">
        <f>CONCATENATE(B208,I208)</f>
        <v>CEL</v>
      </c>
      <c r="H208" s="4">
        <f t="shared" si="18"/>
        <v>3</v>
      </c>
      <c r="I208" s="105" t="str">
        <f t="shared" si="19"/>
        <v>L</v>
      </c>
      <c r="J208" s="4" t="str">
        <f t="shared" si="20"/>
        <v>CEI</v>
      </c>
      <c r="K208" s="106">
        <f t="shared" si="21"/>
        <v>3</v>
      </c>
      <c r="L208" s="106">
        <f>IF(NOT(ISERROR(VLOOKUP(B208,Deflatores!G$42:H$64,2,FALSE))),VLOOKUP(B208,Deflatores!G$42:H$64,2,FALSE),IF(OR(ISBLANK(C208),ISBLANK(B208)),"",VLOOKUP(C208,Deflatores!G$4:H$38,2,FALSE)*H208+VLOOKUP(C208,Deflatores!G$4:I$38,3,FALSE)))</f>
        <v>3</v>
      </c>
      <c r="M208" s="6"/>
      <c r="N208" s="6"/>
      <c r="O208" s="111"/>
    </row>
    <row r="209" spans="1:15" x14ac:dyDescent="0.25">
      <c r="A209" s="112" t="s">
        <v>217</v>
      </c>
      <c r="B209" s="113" t="s">
        <v>48</v>
      </c>
      <c r="C209" s="113" t="s">
        <v>45</v>
      </c>
      <c r="D209" s="4">
        <v>26</v>
      </c>
      <c r="E209" s="4">
        <v>3</v>
      </c>
      <c r="F209" s="105" t="str">
        <f t="shared" si="22"/>
        <v>Alta</v>
      </c>
      <c r="G209" s="4" t="str">
        <f t="shared" si="23"/>
        <v>EEH</v>
      </c>
      <c r="H209" s="4">
        <f t="shared" si="18"/>
        <v>6</v>
      </c>
      <c r="I209" s="105" t="str">
        <f t="shared" si="19"/>
        <v>H</v>
      </c>
      <c r="J209" s="4" t="str">
        <f t="shared" si="20"/>
        <v>EEI</v>
      </c>
      <c r="K209" s="106">
        <f t="shared" si="21"/>
        <v>6</v>
      </c>
      <c r="L209" s="106">
        <f>IF(NOT(ISERROR(VLOOKUP(B209,Deflatores!G$42:H$64,2,FALSE))),VLOOKUP(B209,Deflatores!G$42:H$64,2,FALSE),IF(OR(ISBLANK(C209),ISBLANK(B209)),"",VLOOKUP(C209,Deflatores!G$4:H$38,2,FALSE)*H209+VLOOKUP(C209,Deflatores!G$4:I$38,3,FALSE)))</f>
        <v>6</v>
      </c>
      <c r="M209" s="6"/>
      <c r="N209" s="6"/>
      <c r="O209" s="111"/>
    </row>
    <row r="210" spans="1:15" x14ac:dyDescent="0.25">
      <c r="A210" s="114" t="s">
        <v>82</v>
      </c>
      <c r="B210" s="113" t="s">
        <v>50</v>
      </c>
      <c r="C210" s="113" t="s">
        <v>45</v>
      </c>
      <c r="D210" s="4">
        <v>17</v>
      </c>
      <c r="E210" s="4">
        <v>1</v>
      </c>
      <c r="F210" s="105" t="str">
        <f t="shared" si="22"/>
        <v>Baixa</v>
      </c>
      <c r="G210" s="4" t="str">
        <f t="shared" si="23"/>
        <v>CEL</v>
      </c>
      <c r="H210" s="4">
        <f t="shared" si="18"/>
        <v>3</v>
      </c>
      <c r="I210" s="105" t="str">
        <f t="shared" si="19"/>
        <v>L</v>
      </c>
      <c r="J210" s="4" t="str">
        <f t="shared" si="20"/>
        <v>CEI</v>
      </c>
      <c r="K210" s="106">
        <f t="shared" si="21"/>
        <v>3</v>
      </c>
      <c r="L210" s="106">
        <f>IF(NOT(ISERROR(VLOOKUP(B210,Deflatores!G$42:H$64,2,FALSE))),VLOOKUP(B210,Deflatores!G$42:H$64,2,FALSE),IF(OR(ISBLANK(C210),ISBLANK(B210)),"",VLOOKUP(C210,Deflatores!G$4:H$38,2,FALSE)*H210+VLOOKUP(C210,Deflatores!G$4:I$38,3,FALSE)))</f>
        <v>3</v>
      </c>
      <c r="M210" s="6"/>
      <c r="N210" s="6"/>
      <c r="O210" s="111"/>
    </row>
    <row r="211" spans="1:15" x14ac:dyDescent="0.25">
      <c r="A211" s="112" t="s">
        <v>218</v>
      </c>
      <c r="B211" s="113" t="s">
        <v>50</v>
      </c>
      <c r="C211" s="113" t="s">
        <v>45</v>
      </c>
      <c r="D211" s="4">
        <v>15</v>
      </c>
      <c r="E211" s="4">
        <v>2</v>
      </c>
      <c r="F211" s="105" t="str">
        <f t="shared" si="22"/>
        <v>Média</v>
      </c>
      <c r="G211" s="4" t="str">
        <f t="shared" si="23"/>
        <v>CEA</v>
      </c>
      <c r="H211" s="4">
        <f t="shared" si="18"/>
        <v>4</v>
      </c>
      <c r="I211" s="105" t="str">
        <f t="shared" si="19"/>
        <v>A</v>
      </c>
      <c r="J211" s="4" t="str">
        <f t="shared" si="20"/>
        <v>CEI</v>
      </c>
      <c r="K211" s="106">
        <f t="shared" si="21"/>
        <v>4</v>
      </c>
      <c r="L211" s="106">
        <f>IF(NOT(ISERROR(VLOOKUP(B211,Deflatores!G$42:H$64,2,FALSE))),VLOOKUP(B211,Deflatores!G$42:H$64,2,FALSE),IF(OR(ISBLANK(C211),ISBLANK(B211)),"",VLOOKUP(C211,Deflatores!G$4:H$38,2,FALSE)*H211+VLOOKUP(C211,Deflatores!G$4:I$38,3,FALSE)))</f>
        <v>4</v>
      </c>
      <c r="M211" s="6"/>
      <c r="N211" s="6"/>
      <c r="O211" s="111"/>
    </row>
    <row r="212" spans="1:15" x14ac:dyDescent="0.25">
      <c r="A212" s="112" t="s">
        <v>219</v>
      </c>
      <c r="B212" s="113" t="s">
        <v>48</v>
      </c>
      <c r="C212" s="113" t="s">
        <v>45</v>
      </c>
      <c r="D212" s="4">
        <v>3</v>
      </c>
      <c r="E212" s="4">
        <v>1</v>
      </c>
      <c r="F212" s="105" t="str">
        <f t="shared" si="22"/>
        <v>Baixa</v>
      </c>
      <c r="G212" s="4" t="str">
        <f t="shared" si="23"/>
        <v>EEL</v>
      </c>
      <c r="H212" s="4">
        <f t="shared" si="18"/>
        <v>3</v>
      </c>
      <c r="I212" s="105" t="str">
        <f t="shared" si="19"/>
        <v>L</v>
      </c>
      <c r="J212" s="4" t="str">
        <f t="shared" si="20"/>
        <v>EEI</v>
      </c>
      <c r="K212" s="106">
        <f t="shared" si="21"/>
        <v>3</v>
      </c>
      <c r="L212" s="106">
        <f>IF(NOT(ISERROR(VLOOKUP(B212,Deflatores!G$42:H$64,2,FALSE))),VLOOKUP(B212,Deflatores!G$42:H$64,2,FALSE),IF(OR(ISBLANK(C212),ISBLANK(B212)),"",VLOOKUP(C212,Deflatores!G$4:H$38,2,FALSE)*H212+VLOOKUP(C212,Deflatores!G$4:I$38,3,FALSE)))</f>
        <v>3</v>
      </c>
      <c r="M212" s="6"/>
      <c r="N212" s="6"/>
      <c r="O212" s="111"/>
    </row>
    <row r="213" spans="1:15" x14ac:dyDescent="0.25">
      <c r="A213" s="112" t="s">
        <v>220</v>
      </c>
      <c r="B213" s="113" t="s">
        <v>50</v>
      </c>
      <c r="C213" s="113" t="s">
        <v>45</v>
      </c>
      <c r="D213" s="4">
        <v>19</v>
      </c>
      <c r="E213" s="4">
        <v>1</v>
      </c>
      <c r="F213" s="105" t="str">
        <f t="shared" si="22"/>
        <v>Baixa</v>
      </c>
      <c r="G213" s="4" t="str">
        <f t="shared" si="23"/>
        <v>CEL</v>
      </c>
      <c r="H213" s="4">
        <f t="shared" si="18"/>
        <v>3</v>
      </c>
      <c r="I213" s="105" t="str">
        <f t="shared" si="19"/>
        <v>L</v>
      </c>
      <c r="J213" s="4" t="str">
        <f t="shared" si="20"/>
        <v>CEI</v>
      </c>
      <c r="K213" s="106">
        <f t="shared" si="21"/>
        <v>3</v>
      </c>
      <c r="L213" s="106">
        <f>IF(NOT(ISERROR(VLOOKUP(B213,Deflatores!G$42:H$64,2,FALSE))),VLOOKUP(B213,Deflatores!G$42:H$64,2,FALSE),IF(OR(ISBLANK(C213),ISBLANK(B213)),"",VLOOKUP(C213,Deflatores!G$4:H$38,2,FALSE)*H213+VLOOKUP(C213,Deflatores!G$4:I$38,3,FALSE)))</f>
        <v>3</v>
      </c>
      <c r="M213" s="6"/>
      <c r="N213" s="6"/>
      <c r="O213" s="111"/>
    </row>
    <row r="214" spans="1:15" x14ac:dyDescent="0.25">
      <c r="A214" s="165"/>
      <c r="B214" s="113"/>
      <c r="C214" s="113"/>
      <c r="D214" s="113"/>
      <c r="E214" s="113"/>
      <c r="F214" s="105" t="str">
        <f t="shared" ref="F214:F220" si="24">IF(ISBLANK(B214),"",IF(I214="L","Baixa",IF(I214="A","Média",IF(I214="","","Alta"))))</f>
        <v/>
      </c>
      <c r="G214" s="4" t="str">
        <f t="shared" ref="G214:G220" si="25">CONCATENATE(B214,I214)</f>
        <v/>
      </c>
      <c r="H214" s="4" t="str">
        <f t="shared" ref="H214:H220" si="26">IF(ISBLANK(B214),"",IF(B214="ALI",IF(I214="L",7,IF(I214="A",10,15)),IF(B214="AIE",IF(I214="L",5,IF(I214="A",7,10)),IF(B214="SE",IF(I214="L",4,IF(I214="A",5,7)),IF(OR(B214="EE",B214="CE"),IF(I214="L",3,IF(I214="A",4,6)),0)))))</f>
        <v/>
      </c>
      <c r="I214" s="105" t="str">
        <f t="shared" ref="I214:I220" si="27">IF(OR(ISBLANK(D214),ISBLANK(E214)),IF(OR(B214="ALI",B214="AIE"),"L",IF(OR(B214="EE",B214="SE",B214="CE"),"A","")),IF(B214="EE",IF(E214&gt;=3,IF(D214&gt;=5,"H","A"),IF(E214&gt;=2,IF(D214&gt;=16,"H",IF(D214&lt;=4,"L","A")),IF(D214&lt;=15,"L","A"))),IF(OR(B214="SE",B214="CE"),IF(E214&gt;=4,IF(D214&gt;=6,"H","A"),IF(E214&gt;=2,IF(D214&gt;=20,"H",IF(D214&lt;=5,"L","A")),IF(D214&lt;=19,"L","A"))),IF(OR(B214="ALI",B214="AIE"),IF(E214&gt;=6,IF(D214&gt;=20,"H","A"),IF(E214&gt;=2,IF(D214&gt;=51,"H",IF(D214&lt;=19,"L","A")),IF(D214&lt;=50,"L","A"))),""))))</f>
        <v/>
      </c>
      <c r="J214" s="4" t="str">
        <f t="shared" ref="J214:J220" si="28">CONCATENATE(B214,C214)</f>
        <v/>
      </c>
      <c r="K214" s="106" t="str">
        <f t="shared" ref="K214:K220" si="29">IF(OR(H214="",H214=0),L214,H214)</f>
        <v/>
      </c>
      <c r="L214" s="106" t="str">
        <f>IF(NOT(ISERROR(VLOOKUP(B214,Deflatores!G$42:H$64,2,FALSE))),VLOOKUP(B214,Deflatores!G$42:H$64,2,FALSE),IF(OR(ISBLANK(C214),ISBLANK(B214)),"",VLOOKUP(C214,Deflatores!G$4:H$38,2,FALSE)*H214+VLOOKUP(C214,Deflatores!G$4:I$38,3,FALSE)))</f>
        <v/>
      </c>
      <c r="M214" s="153"/>
      <c r="N214" s="6"/>
      <c r="O214" s="111"/>
    </row>
    <row r="215" spans="1:15" x14ac:dyDescent="0.25">
      <c r="A215" s="143" t="s">
        <v>221</v>
      </c>
      <c r="B215" s="113"/>
      <c r="C215" s="113"/>
      <c r="D215" s="4"/>
      <c r="E215" s="4"/>
      <c r="F215" s="105" t="str">
        <f t="shared" si="24"/>
        <v/>
      </c>
      <c r="G215" s="4" t="str">
        <f t="shared" si="25"/>
        <v/>
      </c>
      <c r="H215" s="4" t="str">
        <f t="shared" si="26"/>
        <v/>
      </c>
      <c r="I215" s="105" t="str">
        <f t="shared" si="27"/>
        <v/>
      </c>
      <c r="J215" s="4" t="str">
        <f t="shared" si="28"/>
        <v/>
      </c>
      <c r="K215" s="106" t="str">
        <f t="shared" si="29"/>
        <v/>
      </c>
      <c r="L215" s="106" t="str">
        <f>IF(NOT(ISERROR(VLOOKUP(B215,Deflatores!G$42:H$64,2,FALSE))),VLOOKUP(B215,Deflatores!G$42:H$64,2,FALSE),IF(OR(ISBLANK(C215),ISBLANK(B215)),"",VLOOKUP(C215,Deflatores!G$4:H$38,2,FALSE)*H215+VLOOKUP(C215,Deflatores!G$4:I$38,3,FALSE)))</f>
        <v/>
      </c>
      <c r="M215" s="153"/>
      <c r="N215" s="6"/>
      <c r="O215" s="111"/>
    </row>
    <row r="216" spans="1:15" x14ac:dyDescent="0.25">
      <c r="A216" s="154" t="s">
        <v>222</v>
      </c>
      <c r="B216" s="113" t="s">
        <v>50</v>
      </c>
      <c r="C216" s="113" t="s">
        <v>45</v>
      </c>
      <c r="D216" s="4">
        <v>9</v>
      </c>
      <c r="E216" s="4">
        <v>4</v>
      </c>
      <c r="F216" s="105" t="str">
        <f t="shared" si="24"/>
        <v>Alta</v>
      </c>
      <c r="G216" s="4" t="str">
        <f t="shared" si="25"/>
        <v>CEH</v>
      </c>
      <c r="H216" s="4">
        <f t="shared" si="26"/>
        <v>6</v>
      </c>
      <c r="I216" s="105" t="str">
        <f t="shared" si="27"/>
        <v>H</v>
      </c>
      <c r="J216" s="4" t="str">
        <f t="shared" si="28"/>
        <v>CEI</v>
      </c>
      <c r="K216" s="106">
        <f t="shared" si="29"/>
        <v>6</v>
      </c>
      <c r="L216" s="106">
        <f>IF(NOT(ISERROR(VLOOKUP(B216,Deflatores!G$42:H$64,2,FALSE))),VLOOKUP(B216,Deflatores!G$42:H$64,2,FALSE),IF(OR(ISBLANK(C216),ISBLANK(B216)),"",VLOOKUP(C216,Deflatores!G$4:H$38,2,FALSE)*H216+VLOOKUP(C216,Deflatores!G$4:I$38,3,FALSE)))</f>
        <v>6</v>
      </c>
      <c r="M216" s="153"/>
      <c r="N216" s="6"/>
      <c r="O216" s="111"/>
    </row>
    <row r="217" spans="1:15" x14ac:dyDescent="0.25">
      <c r="A217" s="154" t="s">
        <v>223</v>
      </c>
      <c r="B217" s="113" t="s">
        <v>113</v>
      </c>
      <c r="C217" s="113" t="s">
        <v>45</v>
      </c>
      <c r="D217" s="4">
        <v>13</v>
      </c>
      <c r="E217" s="4">
        <v>4</v>
      </c>
      <c r="F217" s="105" t="str">
        <f t="shared" si="24"/>
        <v>Alta</v>
      </c>
      <c r="G217" s="4" t="str">
        <f t="shared" si="25"/>
        <v>SEH</v>
      </c>
      <c r="H217" s="4">
        <f t="shared" si="26"/>
        <v>7</v>
      </c>
      <c r="I217" s="105" t="str">
        <f t="shared" si="27"/>
        <v>H</v>
      </c>
      <c r="J217" s="4" t="str">
        <f t="shared" si="28"/>
        <v>SEI</v>
      </c>
      <c r="K217" s="106">
        <f t="shared" si="29"/>
        <v>7</v>
      </c>
      <c r="L217" s="106">
        <f>IF(NOT(ISERROR(VLOOKUP(B217,Deflatores!G$42:H$64,2,FALSE))),VLOOKUP(B217,Deflatores!G$42:H$64,2,FALSE),IF(OR(ISBLANK(C217),ISBLANK(B217)),"",VLOOKUP(C217,Deflatores!G$4:H$38,2,FALSE)*H217+VLOOKUP(C217,Deflatores!G$4:I$38,3,FALSE)))</f>
        <v>7</v>
      </c>
      <c r="M217" s="153"/>
      <c r="N217" s="6"/>
      <c r="O217" s="111"/>
    </row>
    <row r="218" spans="1:15" x14ac:dyDescent="0.25">
      <c r="A218" s="154" t="s">
        <v>224</v>
      </c>
      <c r="B218" s="113" t="s">
        <v>113</v>
      </c>
      <c r="C218" s="113" t="s">
        <v>45</v>
      </c>
      <c r="D218" s="4">
        <v>13</v>
      </c>
      <c r="E218" s="4">
        <v>4</v>
      </c>
      <c r="F218" s="105" t="str">
        <f t="shared" si="24"/>
        <v>Alta</v>
      </c>
      <c r="G218" s="4" t="str">
        <f t="shared" si="25"/>
        <v>SEH</v>
      </c>
      <c r="H218" s="4">
        <f t="shared" si="26"/>
        <v>7</v>
      </c>
      <c r="I218" s="105" t="str">
        <f t="shared" si="27"/>
        <v>H</v>
      </c>
      <c r="J218" s="4" t="str">
        <f t="shared" si="28"/>
        <v>SEI</v>
      </c>
      <c r="K218" s="106">
        <f t="shared" si="29"/>
        <v>7</v>
      </c>
      <c r="L218" s="106">
        <f>IF(NOT(ISERROR(VLOOKUP(B218,Deflatores!G$42:H$64,2,FALSE))),VLOOKUP(B218,Deflatores!G$42:H$64,2,FALSE),IF(OR(ISBLANK(C218),ISBLANK(B218)),"",VLOOKUP(C218,Deflatores!G$4:H$38,2,FALSE)*H218+VLOOKUP(C218,Deflatores!G$4:I$38,3,FALSE)))</f>
        <v>7</v>
      </c>
      <c r="M218" s="153"/>
      <c r="N218" s="6"/>
      <c r="O218" s="111"/>
    </row>
    <row r="219" spans="1:15" x14ac:dyDescent="0.25">
      <c r="B219" s="113"/>
      <c r="C219" s="113"/>
      <c r="D219" s="113"/>
      <c r="E219" s="113"/>
      <c r="F219" s="105" t="str">
        <f t="shared" si="24"/>
        <v/>
      </c>
      <c r="G219" s="4" t="str">
        <f t="shared" si="25"/>
        <v/>
      </c>
      <c r="H219" s="4" t="str">
        <f t="shared" si="26"/>
        <v/>
      </c>
      <c r="I219" s="105" t="str">
        <f t="shared" si="27"/>
        <v/>
      </c>
      <c r="J219" s="4" t="str">
        <f t="shared" si="28"/>
        <v/>
      </c>
      <c r="K219" s="106" t="str">
        <f t="shared" si="29"/>
        <v/>
      </c>
      <c r="L219" s="106" t="str">
        <f>IF(NOT(ISERROR(VLOOKUP(B219,Deflatores!G$42:H$64,2,FALSE))),VLOOKUP(B219,Deflatores!G$42:H$64,2,FALSE),IF(OR(ISBLANK(C219),ISBLANK(B219)),"",VLOOKUP(C219,Deflatores!G$4:H$38,2,FALSE)*H219+VLOOKUP(C219,Deflatores!G$4:I$38,3,FALSE)))</f>
        <v/>
      </c>
      <c r="N219" s="6"/>
      <c r="O219" s="111"/>
    </row>
    <row r="220" spans="1:15" x14ac:dyDescent="0.25">
      <c r="A220" s="115" t="s">
        <v>225</v>
      </c>
      <c r="B220" s="113"/>
      <c r="C220" s="113"/>
      <c r="D220" s="113"/>
      <c r="E220" s="113"/>
      <c r="F220" s="105" t="str">
        <f t="shared" si="24"/>
        <v/>
      </c>
      <c r="G220" s="4" t="str">
        <f t="shared" si="25"/>
        <v/>
      </c>
      <c r="H220" s="4" t="str">
        <f t="shared" si="26"/>
        <v/>
      </c>
      <c r="I220" s="105" t="str">
        <f t="shared" si="27"/>
        <v/>
      </c>
      <c r="J220" s="4" t="str">
        <f t="shared" si="28"/>
        <v/>
      </c>
      <c r="K220" s="106" t="str">
        <f t="shared" si="29"/>
        <v/>
      </c>
      <c r="L220" s="106" t="str">
        <f>IF(NOT(ISERROR(VLOOKUP(B220,Deflatores!G$42:H$64,2,FALSE))),VLOOKUP(B220,Deflatores!G$42:H$64,2,FALSE),IF(OR(ISBLANK(C220),ISBLANK(B220)),"",VLOOKUP(C220,Deflatores!G$4:H$38,2,FALSE)*H220+VLOOKUP(C220,Deflatores!G$4:I$38,3,FALSE)))</f>
        <v/>
      </c>
      <c r="M220" s="6"/>
      <c r="N220" s="6"/>
      <c r="O220" s="141"/>
    </row>
    <row r="221" spans="1:15" x14ac:dyDescent="0.25">
      <c r="A221" s="112" t="s">
        <v>226</v>
      </c>
      <c r="B221" s="113" t="s">
        <v>44</v>
      </c>
      <c r="C221" s="113" t="s">
        <v>45</v>
      </c>
      <c r="D221" s="4">
        <v>24</v>
      </c>
      <c r="E221" s="4">
        <v>2</v>
      </c>
      <c r="F221" s="105" t="str">
        <f t="shared" ref="F221:F256" si="30">IF(ISBLANK(B221),"",IF(I221="L","Baixa",IF(I221="A","Média",IF(I221="","","Alta"))))</f>
        <v>Média</v>
      </c>
      <c r="G221" s="4" t="str">
        <f t="shared" ref="G221:G256" si="31">CONCATENATE(B221,I221)</f>
        <v>ALIA</v>
      </c>
      <c r="H221" s="4">
        <f t="shared" si="18"/>
        <v>10</v>
      </c>
      <c r="I221" s="105" t="str">
        <f t="shared" si="19"/>
        <v>A</v>
      </c>
      <c r="J221" s="4" t="str">
        <f t="shared" si="20"/>
        <v>ALII</v>
      </c>
      <c r="K221" s="106">
        <f t="shared" si="21"/>
        <v>10</v>
      </c>
      <c r="L221" s="106">
        <f>IF(NOT(ISERROR(VLOOKUP(B221,Deflatores!G$42:H$64,2,FALSE))),VLOOKUP(B221,Deflatores!G$42:H$64,2,FALSE),IF(OR(ISBLANK(C221),ISBLANK(B221)),"",VLOOKUP(C221,Deflatores!G$4:H$38,2,FALSE)*H221+VLOOKUP(C221,Deflatores!G$4:I$38,3,FALSE)))</f>
        <v>10</v>
      </c>
      <c r="M221" s="6"/>
      <c r="N221" s="6"/>
      <c r="O221" s="111"/>
    </row>
    <row r="222" spans="1:15" x14ac:dyDescent="0.25">
      <c r="A222" s="112" t="s">
        <v>227</v>
      </c>
      <c r="B222" s="113" t="s">
        <v>48</v>
      </c>
      <c r="C222" s="113" t="s">
        <v>45</v>
      </c>
      <c r="D222" s="4">
        <v>18</v>
      </c>
      <c r="E222" s="4">
        <v>3</v>
      </c>
      <c r="F222" s="105" t="str">
        <f t="shared" si="30"/>
        <v>Alta</v>
      </c>
      <c r="G222" s="4" t="str">
        <f t="shared" si="31"/>
        <v>EEH</v>
      </c>
      <c r="H222" s="4">
        <f t="shared" si="18"/>
        <v>6</v>
      </c>
      <c r="I222" s="105" t="str">
        <f t="shared" si="19"/>
        <v>H</v>
      </c>
      <c r="J222" s="4" t="str">
        <f t="shared" si="20"/>
        <v>EEI</v>
      </c>
      <c r="K222" s="106">
        <f t="shared" si="21"/>
        <v>6</v>
      </c>
      <c r="L222" s="106">
        <f>IF(NOT(ISERROR(VLOOKUP(B222,Deflatores!G$42:H$64,2,FALSE))),VLOOKUP(B222,Deflatores!G$42:H$64,2,FALSE),IF(OR(ISBLANK(C222),ISBLANK(B222)),"",VLOOKUP(C222,Deflatores!G$4:H$38,2,FALSE)*H222+VLOOKUP(C222,Deflatores!G$4:I$38,3,FALSE)))</f>
        <v>6</v>
      </c>
      <c r="M222" s="6"/>
      <c r="N222" s="6"/>
      <c r="O222" s="111"/>
    </row>
    <row r="223" spans="1:15" x14ac:dyDescent="0.25">
      <c r="A223" s="112" t="s">
        <v>228</v>
      </c>
      <c r="B223" s="113" t="s">
        <v>48</v>
      </c>
      <c r="C223" s="113" t="s">
        <v>45</v>
      </c>
      <c r="D223" s="4">
        <v>21</v>
      </c>
      <c r="E223" s="4">
        <v>4</v>
      </c>
      <c r="F223" s="105" t="str">
        <f t="shared" si="30"/>
        <v>Alta</v>
      </c>
      <c r="G223" s="4" t="str">
        <f t="shared" si="31"/>
        <v>EEH</v>
      </c>
      <c r="H223" s="4">
        <f t="shared" si="18"/>
        <v>6</v>
      </c>
      <c r="I223" s="105" t="str">
        <f t="shared" si="19"/>
        <v>H</v>
      </c>
      <c r="J223" s="4" t="str">
        <f t="shared" si="20"/>
        <v>EEI</v>
      </c>
      <c r="K223" s="106">
        <f t="shared" si="21"/>
        <v>6</v>
      </c>
      <c r="L223" s="106">
        <f>IF(NOT(ISERROR(VLOOKUP(B223,Deflatores!G$42:H$64,2,FALSE))),VLOOKUP(B223,Deflatores!G$42:H$64,2,FALSE),IF(OR(ISBLANK(C223),ISBLANK(B223)),"",VLOOKUP(C223,Deflatores!G$4:H$38,2,FALSE)*H223+VLOOKUP(C223,Deflatores!G$4:I$38,3,FALSE)))</f>
        <v>6</v>
      </c>
      <c r="M223" s="6"/>
      <c r="N223" s="6"/>
      <c r="O223" s="111"/>
    </row>
    <row r="224" spans="1:15" x14ac:dyDescent="0.25">
      <c r="A224" s="114" t="s">
        <v>229</v>
      </c>
      <c r="B224" s="113" t="s">
        <v>50</v>
      </c>
      <c r="C224" s="113" t="s">
        <v>45</v>
      </c>
      <c r="D224" s="4">
        <v>19</v>
      </c>
      <c r="E224" s="4">
        <v>3</v>
      </c>
      <c r="F224" s="105" t="str">
        <f t="shared" si="30"/>
        <v>Média</v>
      </c>
      <c r="G224" s="4" t="str">
        <f t="shared" si="31"/>
        <v>CEA</v>
      </c>
      <c r="H224" s="4">
        <f t="shared" si="18"/>
        <v>4</v>
      </c>
      <c r="I224" s="105" t="str">
        <f t="shared" si="19"/>
        <v>A</v>
      </c>
      <c r="J224" s="4" t="str">
        <f t="shared" si="20"/>
        <v>CEI</v>
      </c>
      <c r="K224" s="106">
        <f t="shared" si="21"/>
        <v>4</v>
      </c>
      <c r="L224" s="106">
        <f>IF(NOT(ISERROR(VLOOKUP(B224,Deflatores!G$42:H$64,2,FALSE))),VLOOKUP(B224,Deflatores!G$42:H$64,2,FALSE),IF(OR(ISBLANK(C224),ISBLANK(B224)),"",VLOOKUP(C224,Deflatores!G$4:H$38,2,FALSE)*H224+VLOOKUP(C224,Deflatores!G$4:I$38,3,FALSE)))</f>
        <v>4</v>
      </c>
      <c r="M224" s="6"/>
      <c r="N224" s="6"/>
      <c r="O224" s="111"/>
    </row>
    <row r="225" spans="1:15" x14ac:dyDescent="0.25">
      <c r="A225" s="112" t="s">
        <v>230</v>
      </c>
      <c r="B225" s="113" t="s">
        <v>48</v>
      </c>
      <c r="C225" s="113" t="s">
        <v>45</v>
      </c>
      <c r="D225" s="4">
        <v>3</v>
      </c>
      <c r="E225" s="4">
        <v>2</v>
      </c>
      <c r="F225" s="105" t="str">
        <f t="shared" si="30"/>
        <v>Baixa</v>
      </c>
      <c r="G225" s="4" t="str">
        <f t="shared" si="31"/>
        <v>EEL</v>
      </c>
      <c r="H225" s="4">
        <f t="shared" si="18"/>
        <v>3</v>
      </c>
      <c r="I225" s="105" t="str">
        <f t="shared" si="19"/>
        <v>L</v>
      </c>
      <c r="J225" s="4" t="str">
        <f t="shared" si="20"/>
        <v>EEI</v>
      </c>
      <c r="K225" s="106">
        <f t="shared" si="21"/>
        <v>3</v>
      </c>
      <c r="L225" s="106">
        <f>IF(NOT(ISERROR(VLOOKUP(B225,Deflatores!G$42:H$64,2,FALSE))),VLOOKUP(B225,Deflatores!G$42:H$64,2,FALSE),IF(OR(ISBLANK(C225),ISBLANK(B225)),"",VLOOKUP(C225,Deflatores!G$4:H$38,2,FALSE)*H225+VLOOKUP(C225,Deflatores!G$4:I$38,3,FALSE)))</f>
        <v>3</v>
      </c>
      <c r="M225" s="6"/>
      <c r="N225" s="6"/>
      <c r="O225" s="111"/>
    </row>
    <row r="226" spans="1:15" x14ac:dyDescent="0.25">
      <c r="A226" s="112" t="s">
        <v>231</v>
      </c>
      <c r="B226" s="113" t="s">
        <v>50</v>
      </c>
      <c r="C226" s="113" t="s">
        <v>45</v>
      </c>
      <c r="D226" s="4">
        <v>32</v>
      </c>
      <c r="E226" s="4">
        <v>7</v>
      </c>
      <c r="F226" s="105" t="str">
        <f t="shared" si="30"/>
        <v>Alta</v>
      </c>
      <c r="G226" s="4" t="str">
        <f t="shared" si="31"/>
        <v>CEH</v>
      </c>
      <c r="H226" s="4">
        <f t="shared" si="18"/>
        <v>6</v>
      </c>
      <c r="I226" s="105" t="str">
        <f t="shared" si="19"/>
        <v>H</v>
      </c>
      <c r="J226" s="4" t="str">
        <f t="shared" si="20"/>
        <v>CEI</v>
      </c>
      <c r="K226" s="106">
        <f t="shared" si="21"/>
        <v>6</v>
      </c>
      <c r="L226" s="106">
        <f>IF(NOT(ISERROR(VLOOKUP(B226,Deflatores!G$42:H$64,2,FALSE))),VLOOKUP(B226,Deflatores!G$42:H$64,2,FALSE),IF(OR(ISBLANK(C226),ISBLANK(B226)),"",VLOOKUP(C226,Deflatores!G$4:H$38,2,FALSE)*H226+VLOOKUP(C226,Deflatores!G$4:I$38,3,FALSE)))</f>
        <v>6</v>
      </c>
      <c r="M226" s="6"/>
      <c r="N226" s="6"/>
      <c r="O226" s="111"/>
    </row>
    <row r="227" spans="1:15" x14ac:dyDescent="0.25">
      <c r="A227" s="112" t="s">
        <v>232</v>
      </c>
      <c r="B227" s="113" t="s">
        <v>50</v>
      </c>
      <c r="C227" s="113" t="s">
        <v>45</v>
      </c>
      <c r="D227" s="4">
        <v>13</v>
      </c>
      <c r="E227" s="4">
        <v>2</v>
      </c>
      <c r="F227" s="105" t="str">
        <f t="shared" si="30"/>
        <v>Média</v>
      </c>
      <c r="G227" s="4" t="str">
        <f t="shared" si="31"/>
        <v>CEA</v>
      </c>
      <c r="H227" s="4">
        <f t="shared" si="18"/>
        <v>4</v>
      </c>
      <c r="I227" s="105" t="str">
        <f t="shared" si="19"/>
        <v>A</v>
      </c>
      <c r="J227" s="4" t="str">
        <f t="shared" si="20"/>
        <v>CEI</v>
      </c>
      <c r="K227" s="106">
        <f t="shared" si="21"/>
        <v>4</v>
      </c>
      <c r="L227" s="106">
        <f>IF(NOT(ISERROR(VLOOKUP(B227,Deflatores!G$42:H$64,2,FALSE))),VLOOKUP(B227,Deflatores!G$42:H$64,2,FALSE),IF(OR(ISBLANK(C227),ISBLANK(B227)),"",VLOOKUP(C227,Deflatores!G$4:H$38,2,FALSE)*H227+VLOOKUP(C227,Deflatores!G$4:I$38,3,FALSE)))</f>
        <v>4</v>
      </c>
      <c r="M227" s="6"/>
      <c r="N227" s="6"/>
      <c r="O227" s="111"/>
    </row>
    <row r="228" spans="1:15" x14ac:dyDescent="0.25">
      <c r="A228" s="112" t="s">
        <v>233</v>
      </c>
      <c r="B228" s="113" t="s">
        <v>48</v>
      </c>
      <c r="C228" s="113" t="s">
        <v>45</v>
      </c>
      <c r="D228" s="4">
        <v>10</v>
      </c>
      <c r="E228" s="4">
        <v>2</v>
      </c>
      <c r="F228" s="105" t="str">
        <f>IF(ISBLANK(B228),"",IF(I228="L","Baixa",IF(I228="A","Média",IF(I228="","","Alta"))))</f>
        <v>Média</v>
      </c>
      <c r="G228" s="4" t="str">
        <f>CONCATENATE(B228,I228)</f>
        <v>EEA</v>
      </c>
      <c r="H228" s="4">
        <f>IF(ISBLANK(B228),"",IF(B228="ALI",IF(I228="L",7,IF(I228="A",10,15)),IF(B228="AIE",IF(I228="L",5,IF(I228="A",7,10)),IF(B228="SE",IF(I228="L",4,IF(I228="A",5,7)),IF(OR(B228="EE",B228="CE"),IF(I228="L",3,IF(I228="A",4,6)),0)))))</f>
        <v>4</v>
      </c>
      <c r="I228" s="105" t="str">
        <f>IF(OR(ISBLANK(D228),ISBLANK(E228)),IF(OR(B228="ALI",B228="AIE"),"L",IF(OR(B228="EE",B228="SE",B228="CE"),"A","")),IF(B228="EE",IF(E228&gt;=3,IF(D228&gt;=5,"H","A"),IF(E228&gt;=2,IF(D228&gt;=16,"H",IF(D228&lt;=4,"L","A")),IF(D228&lt;=15,"L","A"))),IF(OR(B228="SE",B228="CE"),IF(E228&gt;=4,IF(D228&gt;=6,"H","A"),IF(E228&gt;=2,IF(D228&gt;=20,"H",IF(D228&lt;=5,"L","A")),IF(D228&lt;=19,"L","A"))),IF(OR(B228="ALI",B228="AIE"),IF(E228&gt;=6,IF(D228&gt;=20,"H","A"),IF(E228&gt;=2,IF(D228&gt;=51,"H",IF(D228&lt;=19,"L","A")),IF(D228&lt;=50,"L","A"))),""))))</f>
        <v>A</v>
      </c>
      <c r="J228" s="4" t="str">
        <f>CONCATENATE(B228,C228)</f>
        <v>EEI</v>
      </c>
      <c r="K228" s="106">
        <f>IF(OR(H228="",H228=0),L228,H228)</f>
        <v>4</v>
      </c>
      <c r="L228" s="106">
        <f>IF(NOT(ISERROR(VLOOKUP(B228,Deflatores!G$42:H$64,2,FALSE))),VLOOKUP(B228,Deflatores!G$42:H$64,2,FALSE),IF(OR(ISBLANK(C228),ISBLANK(B228)),"",VLOOKUP(C228,Deflatores!G$4:H$38,2,FALSE)*H228+VLOOKUP(C228,Deflatores!G$4:I$38,3,FALSE)))</f>
        <v>4</v>
      </c>
      <c r="M228" s="6"/>
      <c r="N228" s="6"/>
      <c r="O228" s="141"/>
    </row>
    <row r="229" spans="1:15" x14ac:dyDescent="0.25">
      <c r="A229" s="112"/>
      <c r="B229" s="113"/>
      <c r="C229" s="113"/>
      <c r="D229" s="4"/>
      <c r="E229" s="4"/>
      <c r="F229" s="105" t="str">
        <f t="shared" si="30"/>
        <v/>
      </c>
      <c r="G229" s="4" t="str">
        <f t="shared" si="31"/>
        <v/>
      </c>
      <c r="H229" s="4" t="str">
        <f t="shared" si="18"/>
        <v/>
      </c>
      <c r="I229" s="105" t="str">
        <f t="shared" si="19"/>
        <v/>
      </c>
      <c r="J229" s="4" t="str">
        <f t="shared" si="20"/>
        <v/>
      </c>
      <c r="K229" s="106" t="str">
        <f t="shared" si="21"/>
        <v/>
      </c>
      <c r="L229" s="106" t="str">
        <f>IF(NOT(ISERROR(VLOOKUP(B229,Deflatores!G$42:H$64,2,FALSE))),VLOOKUP(B229,Deflatores!G$42:H$64,2,FALSE),IF(OR(ISBLANK(C229),ISBLANK(B229)),"",VLOOKUP(C229,Deflatores!G$4:H$38,2,FALSE)*H229+VLOOKUP(C229,Deflatores!G$4:I$38,3,FALSE)))</f>
        <v/>
      </c>
      <c r="M229" s="6"/>
      <c r="N229" s="6"/>
      <c r="O229" s="111"/>
    </row>
    <row r="230" spans="1:15" x14ac:dyDescent="0.25">
      <c r="A230" s="115" t="s">
        <v>234</v>
      </c>
      <c r="B230" s="113"/>
      <c r="C230" s="113"/>
      <c r="D230" s="113"/>
      <c r="E230" s="113"/>
      <c r="F230" s="105" t="str">
        <f t="shared" si="30"/>
        <v/>
      </c>
      <c r="G230" s="4" t="str">
        <f t="shared" si="31"/>
        <v/>
      </c>
      <c r="H230" s="4" t="str">
        <f t="shared" si="18"/>
        <v/>
      </c>
      <c r="I230" s="105" t="str">
        <f t="shared" si="19"/>
        <v/>
      </c>
      <c r="J230" s="4" t="str">
        <f t="shared" si="20"/>
        <v/>
      </c>
      <c r="K230" s="106" t="str">
        <f t="shared" si="21"/>
        <v/>
      </c>
      <c r="L230" s="106" t="str">
        <f>IF(NOT(ISERROR(VLOOKUP(B230,Deflatores!G$42:H$64,2,FALSE))),VLOOKUP(B230,Deflatores!G$42:H$64,2,FALSE),IF(OR(ISBLANK(C230),ISBLANK(B230)),"",VLOOKUP(C230,Deflatores!G$4:H$38,2,FALSE)*H230+VLOOKUP(C230,Deflatores!G$4:I$38,3,FALSE)))</f>
        <v/>
      </c>
      <c r="M230" s="6"/>
      <c r="N230" s="6"/>
      <c r="O230" s="111"/>
    </row>
    <row r="231" spans="1:15" x14ac:dyDescent="0.25">
      <c r="A231" s="112" t="s">
        <v>235</v>
      </c>
      <c r="B231" s="113" t="s">
        <v>44</v>
      </c>
      <c r="C231" s="113" t="s">
        <v>45</v>
      </c>
      <c r="D231" s="4">
        <v>12</v>
      </c>
      <c r="E231" s="4">
        <v>1</v>
      </c>
      <c r="F231" s="105" t="str">
        <f t="shared" si="30"/>
        <v>Baixa</v>
      </c>
      <c r="G231" s="4" t="str">
        <f t="shared" si="31"/>
        <v>ALIL</v>
      </c>
      <c r="H231" s="4">
        <f t="shared" si="18"/>
        <v>7</v>
      </c>
      <c r="I231" s="105" t="str">
        <f t="shared" si="19"/>
        <v>L</v>
      </c>
      <c r="J231" s="4" t="str">
        <f t="shared" si="20"/>
        <v>ALII</v>
      </c>
      <c r="K231" s="106">
        <f t="shared" si="21"/>
        <v>7</v>
      </c>
      <c r="L231" s="106">
        <f>IF(NOT(ISERROR(VLOOKUP(B231,Deflatores!G$42:H$64,2,FALSE))),VLOOKUP(B231,Deflatores!G$42:H$64,2,FALSE),IF(OR(ISBLANK(C231),ISBLANK(B231)),"",VLOOKUP(C231,Deflatores!G$4:H$38,2,FALSE)*H231+VLOOKUP(C231,Deflatores!G$4:I$38,3,FALSE)))</f>
        <v>7</v>
      </c>
      <c r="M231" s="6"/>
      <c r="N231" s="6"/>
      <c r="O231" s="111"/>
    </row>
    <row r="232" spans="1:15" x14ac:dyDescent="0.25">
      <c r="A232" s="112" t="s">
        <v>236</v>
      </c>
      <c r="B232" s="113" t="s">
        <v>48</v>
      </c>
      <c r="C232" s="113" t="s">
        <v>45</v>
      </c>
      <c r="D232" s="4">
        <v>12</v>
      </c>
      <c r="E232" s="4">
        <v>1</v>
      </c>
      <c r="F232" s="105" t="str">
        <f t="shared" si="30"/>
        <v>Baixa</v>
      </c>
      <c r="G232" s="4" t="str">
        <f t="shared" si="31"/>
        <v>EEL</v>
      </c>
      <c r="H232" s="4">
        <f t="shared" si="18"/>
        <v>3</v>
      </c>
      <c r="I232" s="105" t="str">
        <f t="shared" si="19"/>
        <v>L</v>
      </c>
      <c r="J232" s="4" t="str">
        <f t="shared" si="20"/>
        <v>EEI</v>
      </c>
      <c r="K232" s="106">
        <f t="shared" si="21"/>
        <v>3</v>
      </c>
      <c r="L232" s="106">
        <f>IF(NOT(ISERROR(VLOOKUP(B232,Deflatores!G$42:H$64,2,FALSE))),VLOOKUP(B232,Deflatores!G$42:H$64,2,FALSE),IF(OR(ISBLANK(C232),ISBLANK(B232)),"",VLOOKUP(C232,Deflatores!G$4:H$38,2,FALSE)*H232+VLOOKUP(C232,Deflatores!G$4:I$38,3,FALSE)))</f>
        <v>3</v>
      </c>
      <c r="M232" s="106"/>
      <c r="N232" s="106"/>
      <c r="O232" s="106"/>
    </row>
    <row r="233" spans="1:15" x14ac:dyDescent="0.25">
      <c r="A233" s="112" t="s">
        <v>237</v>
      </c>
      <c r="B233" s="113" t="s">
        <v>48</v>
      </c>
      <c r="C233" s="113" t="s">
        <v>45</v>
      </c>
      <c r="D233" s="4">
        <v>12</v>
      </c>
      <c r="E233" s="4">
        <v>1</v>
      </c>
      <c r="F233" s="105" t="str">
        <f t="shared" si="30"/>
        <v>Baixa</v>
      </c>
      <c r="G233" s="4" t="str">
        <f t="shared" si="31"/>
        <v>EEL</v>
      </c>
      <c r="H233" s="4">
        <f t="shared" si="18"/>
        <v>3</v>
      </c>
      <c r="I233" s="105" t="str">
        <f t="shared" si="19"/>
        <v>L</v>
      </c>
      <c r="J233" s="4" t="str">
        <f t="shared" si="20"/>
        <v>EEI</v>
      </c>
      <c r="K233" s="106">
        <f t="shared" si="21"/>
        <v>3</v>
      </c>
      <c r="L233" s="106">
        <f>IF(NOT(ISERROR(VLOOKUP(B233,Deflatores!G$42:H$64,2,FALSE))),VLOOKUP(B233,Deflatores!G$42:H$64,2,FALSE),IF(OR(ISBLANK(C233),ISBLANK(B233)),"",VLOOKUP(C233,Deflatores!G$4:H$38,2,FALSE)*H233+VLOOKUP(C233,Deflatores!G$4:I$38,3,FALSE)))</f>
        <v>3</v>
      </c>
      <c r="M233" s="106"/>
      <c r="N233" s="106"/>
      <c r="O233" s="106"/>
    </row>
    <row r="234" spans="1:15" x14ac:dyDescent="0.25">
      <c r="A234" s="114" t="s">
        <v>229</v>
      </c>
      <c r="B234" s="113" t="s">
        <v>50</v>
      </c>
      <c r="C234" s="113" t="s">
        <v>45</v>
      </c>
      <c r="D234" s="4">
        <v>8</v>
      </c>
      <c r="E234" s="4">
        <v>1</v>
      </c>
      <c r="F234" s="105" t="str">
        <f t="shared" si="30"/>
        <v>Baixa</v>
      </c>
      <c r="G234" s="4" t="str">
        <f t="shared" si="31"/>
        <v>CEL</v>
      </c>
      <c r="H234" s="4">
        <f t="shared" ref="H234:H297" si="32">IF(ISBLANK(B234),"",IF(B234="ALI",IF(I234="L",7,IF(I234="A",10,15)),IF(B234="AIE",IF(I234="L",5,IF(I234="A",7,10)),IF(B234="SE",IF(I234="L",4,IF(I234="A",5,7)),IF(OR(B234="EE",B234="CE"),IF(I234="L",3,IF(I234="A",4,6)),0)))))</f>
        <v>3</v>
      </c>
      <c r="I234" s="105" t="str">
        <f t="shared" ref="I234:I297" si="33">IF(OR(ISBLANK(D234),ISBLANK(E234)),IF(OR(B234="ALI",B234="AIE"),"L",IF(OR(B234="EE",B234="SE",B234="CE"),"A","")),IF(B234="EE",IF(E234&gt;=3,IF(D234&gt;=5,"H","A"),IF(E234&gt;=2,IF(D234&gt;=16,"H",IF(D234&lt;=4,"L","A")),IF(D234&lt;=15,"L","A"))),IF(OR(B234="SE",B234="CE"),IF(E234&gt;=4,IF(D234&gt;=6,"H","A"),IF(E234&gt;=2,IF(D234&gt;=20,"H",IF(D234&lt;=5,"L","A")),IF(D234&lt;=19,"L","A"))),IF(OR(B234="ALI",B234="AIE"),IF(E234&gt;=6,IF(D234&gt;=20,"H","A"),IF(E234&gt;=2,IF(D234&gt;=51,"H",IF(D234&lt;=19,"L","A")),IF(D234&lt;=50,"L","A"))),""))))</f>
        <v>L</v>
      </c>
      <c r="J234" s="4" t="str">
        <f t="shared" ref="J234:J297" si="34">CONCATENATE(B234,C234)</f>
        <v>CEI</v>
      </c>
      <c r="K234" s="106">
        <f t="shared" ref="K234:K297" si="35">IF(OR(H234="",H234=0),L234,H234)</f>
        <v>3</v>
      </c>
      <c r="L234" s="106">
        <f>IF(NOT(ISERROR(VLOOKUP(B234,Deflatores!G$42:H$64,2,FALSE))),VLOOKUP(B234,Deflatores!G$42:H$64,2,FALSE),IF(OR(ISBLANK(C234),ISBLANK(B234)),"",VLOOKUP(C234,Deflatores!G$4:H$38,2,FALSE)*H234+VLOOKUP(C234,Deflatores!G$4:I$38,3,FALSE)))</f>
        <v>3</v>
      </c>
      <c r="M234" s="106"/>
      <c r="N234" s="106"/>
      <c r="O234" s="106"/>
    </row>
    <row r="235" spans="1:15" x14ac:dyDescent="0.25">
      <c r="A235" s="112" t="s">
        <v>238</v>
      </c>
      <c r="B235" s="113" t="s">
        <v>48</v>
      </c>
      <c r="C235" s="113" t="s">
        <v>45</v>
      </c>
      <c r="D235" s="4">
        <v>3</v>
      </c>
      <c r="E235" s="4">
        <v>1</v>
      </c>
      <c r="F235" s="105" t="str">
        <f t="shared" si="30"/>
        <v>Baixa</v>
      </c>
      <c r="G235" s="4" t="str">
        <f t="shared" si="31"/>
        <v>EEL</v>
      </c>
      <c r="H235" s="4">
        <f t="shared" si="32"/>
        <v>3</v>
      </c>
      <c r="I235" s="105" t="str">
        <f t="shared" si="33"/>
        <v>L</v>
      </c>
      <c r="J235" s="4" t="str">
        <f t="shared" si="34"/>
        <v>EEI</v>
      </c>
      <c r="K235" s="106">
        <f t="shared" si="35"/>
        <v>3</v>
      </c>
      <c r="L235" s="106">
        <f>IF(NOT(ISERROR(VLOOKUP(B235,Deflatores!G$42:H$64,2,FALSE))),VLOOKUP(B235,Deflatores!G$42:H$64,2,FALSE),IF(OR(ISBLANK(C235),ISBLANK(B235)),"",VLOOKUP(C235,Deflatores!G$4:H$38,2,FALSE)*H235+VLOOKUP(C235,Deflatores!G$4:I$38,3,FALSE)))</f>
        <v>3</v>
      </c>
      <c r="M235" s="106"/>
      <c r="N235" s="106"/>
      <c r="O235" s="106"/>
    </row>
    <row r="236" spans="1:15" x14ac:dyDescent="0.25">
      <c r="A236" s="112" t="s">
        <v>239</v>
      </c>
      <c r="B236" s="113" t="s">
        <v>50</v>
      </c>
      <c r="C236" s="113" t="s">
        <v>45</v>
      </c>
      <c r="D236" s="4">
        <v>10</v>
      </c>
      <c r="E236" s="4">
        <v>2</v>
      </c>
      <c r="F236" s="105" t="str">
        <f t="shared" si="30"/>
        <v>Média</v>
      </c>
      <c r="G236" s="4" t="str">
        <f t="shared" si="31"/>
        <v>CEA</v>
      </c>
      <c r="H236" s="4">
        <f t="shared" si="32"/>
        <v>4</v>
      </c>
      <c r="I236" s="105" t="str">
        <f t="shared" si="33"/>
        <v>A</v>
      </c>
      <c r="J236" s="4" t="str">
        <f t="shared" si="34"/>
        <v>CEI</v>
      </c>
      <c r="K236" s="106">
        <f t="shared" si="35"/>
        <v>4</v>
      </c>
      <c r="L236" s="106">
        <f>IF(NOT(ISERROR(VLOOKUP(B236,Deflatores!G$42:H$64,2,FALSE))),VLOOKUP(B236,Deflatores!G$42:H$64,2,FALSE),IF(OR(ISBLANK(C236),ISBLANK(B236)),"",VLOOKUP(C236,Deflatores!G$4:H$38,2,FALSE)*H236+VLOOKUP(C236,Deflatores!G$4:I$38,3,FALSE)))</f>
        <v>4</v>
      </c>
      <c r="M236" s="106"/>
      <c r="N236" s="106"/>
      <c r="O236" s="106"/>
    </row>
    <row r="237" spans="1:15" x14ac:dyDescent="0.25">
      <c r="A237" s="106"/>
      <c r="B237" s="106"/>
      <c r="C237" s="106"/>
      <c r="D237" s="106"/>
      <c r="E237" s="106"/>
      <c r="F237" s="106" t="str">
        <f t="shared" si="30"/>
        <v/>
      </c>
      <c r="G237" s="106" t="str">
        <f t="shared" si="31"/>
        <v/>
      </c>
      <c r="H237" s="4" t="str">
        <f t="shared" si="32"/>
        <v/>
      </c>
      <c r="I237" s="105" t="str">
        <f t="shared" si="33"/>
        <v/>
      </c>
      <c r="J237" s="4" t="str">
        <f t="shared" si="34"/>
        <v/>
      </c>
      <c r="K237" s="106" t="str">
        <f t="shared" si="35"/>
        <v/>
      </c>
      <c r="L237" s="106" t="str">
        <f>IF(NOT(ISERROR(VLOOKUP(B237,Deflatores!G$42:H$64,2,FALSE))),VLOOKUP(B237,Deflatores!G$42:H$64,2,FALSE),IF(OR(ISBLANK(C237),ISBLANK(B237)),"",VLOOKUP(C237,Deflatores!G$4:H$38,2,FALSE)*H237+VLOOKUP(C237,Deflatores!G$4:I$38,3,FALSE)))</f>
        <v/>
      </c>
      <c r="M237" s="106"/>
      <c r="N237" s="106"/>
      <c r="O237" s="106"/>
    </row>
    <row r="238" spans="1:15" x14ac:dyDescent="0.25">
      <c r="A238" s="115" t="s">
        <v>240</v>
      </c>
      <c r="B238" s="113"/>
      <c r="C238" s="113"/>
      <c r="D238" s="113"/>
      <c r="E238" s="113"/>
      <c r="F238" s="105" t="str">
        <f t="shared" si="30"/>
        <v/>
      </c>
      <c r="G238" s="4" t="str">
        <f t="shared" si="31"/>
        <v/>
      </c>
      <c r="H238" s="4" t="str">
        <f t="shared" si="32"/>
        <v/>
      </c>
      <c r="I238" s="105" t="str">
        <f t="shared" si="33"/>
        <v/>
      </c>
      <c r="J238" s="4" t="str">
        <f t="shared" si="34"/>
        <v/>
      </c>
      <c r="K238" s="106" t="str">
        <f t="shared" si="35"/>
        <v/>
      </c>
      <c r="L238" s="106" t="str">
        <f>IF(NOT(ISERROR(VLOOKUP(B238,Deflatores!G$42:H$64,2,FALSE))),VLOOKUP(B238,Deflatores!G$42:H$64,2,FALSE),IF(OR(ISBLANK(C238),ISBLANK(B238)),"",VLOOKUP(C238,Deflatores!G$4:H$38,2,FALSE)*H238+VLOOKUP(C238,Deflatores!G$4:I$38,3,FALSE)))</f>
        <v/>
      </c>
      <c r="M238" s="6"/>
      <c r="N238" s="6"/>
      <c r="O238" s="111"/>
    </row>
    <row r="239" spans="1:15" x14ac:dyDescent="0.25">
      <c r="A239" s="112" t="s">
        <v>241</v>
      </c>
      <c r="B239" s="113" t="s">
        <v>50</v>
      </c>
      <c r="C239" s="113" t="s">
        <v>45</v>
      </c>
      <c r="D239" s="4">
        <v>9</v>
      </c>
      <c r="E239" s="4">
        <v>3</v>
      </c>
      <c r="F239" s="105" t="str">
        <f t="shared" si="30"/>
        <v>Média</v>
      </c>
      <c r="G239" s="4" t="str">
        <f t="shared" si="31"/>
        <v>CEA</v>
      </c>
      <c r="H239" s="4">
        <f t="shared" si="32"/>
        <v>4</v>
      </c>
      <c r="I239" s="105" t="str">
        <f t="shared" si="33"/>
        <v>A</v>
      </c>
      <c r="J239" s="4" t="str">
        <f t="shared" si="34"/>
        <v>CEI</v>
      </c>
      <c r="K239" s="106">
        <f t="shared" si="35"/>
        <v>4</v>
      </c>
      <c r="L239" s="106">
        <f>IF(NOT(ISERROR(VLOOKUP(B239,Deflatores!G$42:H$64,2,FALSE))),VLOOKUP(B239,Deflatores!G$42:H$64,2,FALSE),IF(OR(ISBLANK(C239),ISBLANK(B239)),"",VLOOKUP(C239,Deflatores!G$4:H$38,2,FALSE)*H239+VLOOKUP(C239,Deflatores!G$4:I$38,3,FALSE)))</f>
        <v>4</v>
      </c>
      <c r="M239" s="6"/>
      <c r="N239" s="6"/>
      <c r="O239" s="111"/>
    </row>
    <row r="240" spans="1:15" x14ac:dyDescent="0.25">
      <c r="A240" s="112"/>
      <c r="B240" s="113"/>
      <c r="C240" s="113"/>
      <c r="D240" s="4"/>
      <c r="E240" s="4"/>
      <c r="F240" s="105" t="str">
        <f t="shared" si="30"/>
        <v/>
      </c>
      <c r="G240" s="4" t="str">
        <f t="shared" si="31"/>
        <v/>
      </c>
      <c r="H240" s="4" t="str">
        <f t="shared" si="32"/>
        <v/>
      </c>
      <c r="I240" s="105" t="str">
        <f t="shared" si="33"/>
        <v/>
      </c>
      <c r="J240" s="4" t="str">
        <f t="shared" si="34"/>
        <v/>
      </c>
      <c r="K240" s="106" t="str">
        <f t="shared" si="35"/>
        <v/>
      </c>
      <c r="L240" s="106" t="str">
        <f>IF(NOT(ISERROR(VLOOKUP(B240,Deflatores!G$42:H$64,2,FALSE))),VLOOKUP(B240,Deflatores!G$42:H$64,2,FALSE),IF(OR(ISBLANK(C240),ISBLANK(B240)),"",VLOOKUP(C240,Deflatores!G$4:H$38,2,FALSE)*H240+VLOOKUP(C240,Deflatores!G$4:I$38,3,FALSE)))</f>
        <v/>
      </c>
      <c r="M240" s="6"/>
      <c r="N240" s="6"/>
      <c r="O240" s="111"/>
    </row>
    <row r="241" spans="1:15" x14ac:dyDescent="0.25">
      <c r="A241" s="115" t="s">
        <v>242</v>
      </c>
      <c r="B241" s="113"/>
      <c r="C241" s="113"/>
      <c r="D241" s="113"/>
      <c r="E241" s="113"/>
      <c r="F241" s="105" t="str">
        <f t="shared" si="30"/>
        <v/>
      </c>
      <c r="G241" s="4" t="str">
        <f t="shared" si="31"/>
        <v/>
      </c>
      <c r="H241" s="4" t="str">
        <f t="shared" si="32"/>
        <v/>
      </c>
      <c r="I241" s="105" t="str">
        <f t="shared" si="33"/>
        <v/>
      </c>
      <c r="J241" s="4" t="str">
        <f t="shared" si="34"/>
        <v/>
      </c>
      <c r="K241" s="106" t="str">
        <f t="shared" si="35"/>
        <v/>
      </c>
      <c r="L241" s="106" t="str">
        <f>IF(NOT(ISERROR(VLOOKUP(B241,Deflatores!G$42:H$64,2,FALSE))),VLOOKUP(B241,Deflatores!G$42:H$64,2,FALSE),IF(OR(ISBLANK(C241),ISBLANK(B241)),"",VLOOKUP(C241,Deflatores!G$4:H$38,2,FALSE)*H241+VLOOKUP(C241,Deflatores!G$4:I$38,3,FALSE)))</f>
        <v/>
      </c>
      <c r="M241" s="6"/>
      <c r="N241" s="6"/>
      <c r="O241" s="111"/>
    </row>
    <row r="242" spans="1:15" x14ac:dyDescent="0.25">
      <c r="A242" s="112" t="s">
        <v>243</v>
      </c>
      <c r="B242" s="113" t="s">
        <v>44</v>
      </c>
      <c r="C242" s="113" t="s">
        <v>45</v>
      </c>
      <c r="D242" s="4">
        <v>8</v>
      </c>
      <c r="E242" s="4">
        <v>1</v>
      </c>
      <c r="F242" s="105" t="str">
        <f t="shared" si="30"/>
        <v>Baixa</v>
      </c>
      <c r="G242" s="4" t="str">
        <f t="shared" si="31"/>
        <v>ALIL</v>
      </c>
      <c r="H242" s="4">
        <f t="shared" si="32"/>
        <v>7</v>
      </c>
      <c r="I242" s="105" t="str">
        <f t="shared" si="33"/>
        <v>L</v>
      </c>
      <c r="J242" s="4" t="str">
        <f t="shared" si="34"/>
        <v>ALII</v>
      </c>
      <c r="K242" s="106">
        <f t="shared" si="35"/>
        <v>7</v>
      </c>
      <c r="L242" s="106">
        <f>IF(NOT(ISERROR(VLOOKUP(B242,Deflatores!G$42:H$64,2,FALSE))),VLOOKUP(B242,Deflatores!G$42:H$64,2,FALSE),IF(OR(ISBLANK(C242),ISBLANK(B242)),"",VLOOKUP(C242,Deflatores!G$4:H$38,2,FALSE)*H242+VLOOKUP(C242,Deflatores!G$4:I$38,3,FALSE)))</f>
        <v>7</v>
      </c>
      <c r="M242" s="6"/>
      <c r="N242" s="6"/>
      <c r="O242" s="111"/>
    </row>
    <row r="243" spans="1:15" x14ac:dyDescent="0.25">
      <c r="A243" s="112" t="s">
        <v>244</v>
      </c>
      <c r="B243" s="113" t="s">
        <v>48</v>
      </c>
      <c r="C243" s="113" t="s">
        <v>45</v>
      </c>
      <c r="D243" s="4">
        <v>8</v>
      </c>
      <c r="E243" s="4">
        <v>3</v>
      </c>
      <c r="F243" s="105" t="str">
        <f t="shared" si="30"/>
        <v>Alta</v>
      </c>
      <c r="G243" s="4" t="str">
        <f t="shared" si="31"/>
        <v>EEH</v>
      </c>
      <c r="H243" s="4">
        <f t="shared" si="32"/>
        <v>6</v>
      </c>
      <c r="I243" s="105" t="str">
        <f t="shared" si="33"/>
        <v>H</v>
      </c>
      <c r="J243" s="4" t="str">
        <f t="shared" si="34"/>
        <v>EEI</v>
      </c>
      <c r="K243" s="106">
        <f t="shared" si="35"/>
        <v>6</v>
      </c>
      <c r="L243" s="106">
        <f>IF(NOT(ISERROR(VLOOKUP(B243,Deflatores!G$42:H$64,2,FALSE))),VLOOKUP(B243,Deflatores!G$42:H$64,2,FALSE),IF(OR(ISBLANK(C243),ISBLANK(B243)),"",VLOOKUP(C243,Deflatores!G$4:H$38,2,FALSE)*H243+VLOOKUP(C243,Deflatores!G$4:I$38,3,FALSE)))</f>
        <v>6</v>
      </c>
      <c r="M243" s="106"/>
      <c r="N243" s="106"/>
      <c r="O243" s="106"/>
    </row>
    <row r="244" spans="1:15" ht="13.5" customHeight="1" x14ac:dyDescent="0.25">
      <c r="A244" s="114" t="s">
        <v>245</v>
      </c>
      <c r="B244" s="113" t="s">
        <v>50</v>
      </c>
      <c r="C244" s="113" t="s">
        <v>45</v>
      </c>
      <c r="D244" s="4">
        <v>2</v>
      </c>
      <c r="E244" s="4">
        <v>1</v>
      </c>
      <c r="F244" s="105" t="str">
        <f t="shared" si="30"/>
        <v>Baixa</v>
      </c>
      <c r="G244" s="4" t="str">
        <f t="shared" si="31"/>
        <v>CEL</v>
      </c>
      <c r="H244" s="4">
        <f t="shared" si="32"/>
        <v>3</v>
      </c>
      <c r="I244" s="105" t="str">
        <f t="shared" si="33"/>
        <v>L</v>
      </c>
      <c r="J244" s="4" t="str">
        <f t="shared" si="34"/>
        <v>CEI</v>
      </c>
      <c r="K244" s="106">
        <f t="shared" si="35"/>
        <v>3</v>
      </c>
      <c r="L244" s="106">
        <f>IF(NOT(ISERROR(VLOOKUP(B244,Deflatores!G$42:H$64,2,FALSE))),VLOOKUP(B244,Deflatores!G$42:H$64,2,FALSE),IF(OR(ISBLANK(C244),ISBLANK(B244)),"",VLOOKUP(C244,Deflatores!G$4:H$38,2,FALSE)*H244+VLOOKUP(C244,Deflatores!G$4:I$38,3,FALSE)))</f>
        <v>3</v>
      </c>
      <c r="M244" s="6"/>
      <c r="N244" s="6"/>
      <c r="O244" s="111"/>
    </row>
    <row r="245" spans="1:15" x14ac:dyDescent="0.25">
      <c r="A245" s="112" t="s">
        <v>246</v>
      </c>
      <c r="B245" s="113" t="s">
        <v>48</v>
      </c>
      <c r="C245" s="113" t="s">
        <v>45</v>
      </c>
      <c r="D245" s="4">
        <v>8</v>
      </c>
      <c r="E245" s="4">
        <v>3</v>
      </c>
      <c r="F245" s="105" t="str">
        <f t="shared" si="30"/>
        <v>Alta</v>
      </c>
      <c r="G245" s="4" t="str">
        <f t="shared" si="31"/>
        <v>EEH</v>
      </c>
      <c r="H245" s="4">
        <f t="shared" si="32"/>
        <v>6</v>
      </c>
      <c r="I245" s="105" t="str">
        <f t="shared" si="33"/>
        <v>H</v>
      </c>
      <c r="J245" s="4" t="str">
        <f t="shared" si="34"/>
        <v>EEI</v>
      </c>
      <c r="K245" s="106">
        <f t="shared" si="35"/>
        <v>6</v>
      </c>
      <c r="L245" s="106">
        <f>IF(NOT(ISERROR(VLOOKUP(B245,Deflatores!G$42:H$64,2,FALSE))),VLOOKUP(B245,Deflatores!G$42:H$64,2,FALSE),IF(OR(ISBLANK(C245),ISBLANK(B245)),"",VLOOKUP(C245,Deflatores!G$4:H$38,2,FALSE)*H245+VLOOKUP(C245,Deflatores!G$4:I$38,3,FALSE)))</f>
        <v>6</v>
      </c>
      <c r="M245" s="106"/>
      <c r="N245" s="106"/>
      <c r="O245" s="106"/>
    </row>
    <row r="246" spans="1:15" x14ac:dyDescent="0.25">
      <c r="A246" s="114" t="s">
        <v>229</v>
      </c>
      <c r="B246" s="113" t="s">
        <v>50</v>
      </c>
      <c r="C246" s="113" t="s">
        <v>45</v>
      </c>
      <c r="D246" s="4">
        <v>6</v>
      </c>
      <c r="E246" s="4">
        <v>3</v>
      </c>
      <c r="F246" s="105" t="str">
        <f t="shared" si="30"/>
        <v>Média</v>
      </c>
      <c r="G246" s="4" t="str">
        <f t="shared" si="31"/>
        <v>CEA</v>
      </c>
      <c r="H246" s="4">
        <f t="shared" si="32"/>
        <v>4</v>
      </c>
      <c r="I246" s="105" t="str">
        <f t="shared" si="33"/>
        <v>A</v>
      </c>
      <c r="J246" s="4" t="str">
        <f t="shared" si="34"/>
        <v>CEI</v>
      </c>
      <c r="K246" s="106">
        <f t="shared" si="35"/>
        <v>4</v>
      </c>
      <c r="L246" s="106">
        <f>IF(NOT(ISERROR(VLOOKUP(B246,Deflatores!G$42:H$64,2,FALSE))),VLOOKUP(B246,Deflatores!G$42:H$64,2,FALSE),IF(OR(ISBLANK(C246),ISBLANK(B246)),"",VLOOKUP(C246,Deflatores!G$4:H$38,2,FALSE)*H246+VLOOKUP(C246,Deflatores!G$4:I$38,3,FALSE)))</f>
        <v>4</v>
      </c>
      <c r="M246" s="106"/>
      <c r="N246" s="106"/>
      <c r="O246" s="106"/>
    </row>
    <row r="247" spans="1:15" x14ac:dyDescent="0.25">
      <c r="A247" s="112" t="s">
        <v>247</v>
      </c>
      <c r="B247" s="113" t="s">
        <v>50</v>
      </c>
      <c r="C247" s="113" t="s">
        <v>45</v>
      </c>
      <c r="D247" s="4">
        <v>8</v>
      </c>
      <c r="E247" s="4">
        <v>3</v>
      </c>
      <c r="F247" s="105" t="str">
        <f t="shared" si="30"/>
        <v>Média</v>
      </c>
      <c r="G247" s="4" t="str">
        <f t="shared" si="31"/>
        <v>CEA</v>
      </c>
      <c r="H247" s="4">
        <f t="shared" si="32"/>
        <v>4</v>
      </c>
      <c r="I247" s="105" t="str">
        <f t="shared" si="33"/>
        <v>A</v>
      </c>
      <c r="J247" s="4" t="str">
        <f t="shared" si="34"/>
        <v>CEI</v>
      </c>
      <c r="K247" s="106">
        <f t="shared" si="35"/>
        <v>4</v>
      </c>
      <c r="L247" s="106">
        <f>IF(NOT(ISERROR(VLOOKUP(B247,Deflatores!G$42:H$64,2,FALSE))),VLOOKUP(B247,Deflatores!G$42:H$64,2,FALSE),IF(OR(ISBLANK(C247),ISBLANK(B247)),"",VLOOKUP(C247,Deflatores!G$4:H$38,2,FALSE)*H247+VLOOKUP(C247,Deflatores!G$4:I$38,3,FALSE)))</f>
        <v>4</v>
      </c>
      <c r="M247" s="106"/>
      <c r="N247" s="106"/>
      <c r="O247" s="106"/>
    </row>
    <row r="248" spans="1:15" x14ac:dyDescent="0.25">
      <c r="A248" s="112" t="s">
        <v>248</v>
      </c>
      <c r="B248" s="113" t="s">
        <v>48</v>
      </c>
      <c r="C248" s="113" t="s">
        <v>45</v>
      </c>
      <c r="D248" s="4">
        <v>3</v>
      </c>
      <c r="E248" s="4">
        <v>1</v>
      </c>
      <c r="F248" s="105" t="str">
        <f t="shared" si="30"/>
        <v>Baixa</v>
      </c>
      <c r="G248" s="4" t="str">
        <f t="shared" si="31"/>
        <v>EEL</v>
      </c>
      <c r="H248" s="4">
        <f t="shared" si="32"/>
        <v>3</v>
      </c>
      <c r="I248" s="105" t="str">
        <f t="shared" si="33"/>
        <v>L</v>
      </c>
      <c r="J248" s="4" t="str">
        <f t="shared" si="34"/>
        <v>EEI</v>
      </c>
      <c r="K248" s="106">
        <f t="shared" si="35"/>
        <v>3</v>
      </c>
      <c r="L248" s="106">
        <f>IF(NOT(ISERROR(VLOOKUP(B248,Deflatores!G$42:H$64,2,FALSE))),VLOOKUP(B248,Deflatores!G$42:H$64,2,FALSE),IF(OR(ISBLANK(C248),ISBLANK(B248)),"",VLOOKUP(C248,Deflatores!G$4:H$38,2,FALSE)*H248+VLOOKUP(C248,Deflatores!G$4:I$38,3,FALSE)))</f>
        <v>3</v>
      </c>
      <c r="M248" s="106"/>
      <c r="N248" s="106"/>
      <c r="O248" s="106"/>
    </row>
    <row r="249" spans="1:15" x14ac:dyDescent="0.25">
      <c r="A249" s="112" t="s">
        <v>249</v>
      </c>
      <c r="B249" s="113" t="s">
        <v>50</v>
      </c>
      <c r="C249" s="113" t="s">
        <v>45</v>
      </c>
      <c r="D249" s="4">
        <v>8</v>
      </c>
      <c r="E249" s="4">
        <v>3</v>
      </c>
      <c r="F249" s="105" t="str">
        <f t="shared" si="30"/>
        <v>Média</v>
      </c>
      <c r="G249" s="4" t="str">
        <f t="shared" si="31"/>
        <v>CEA</v>
      </c>
      <c r="H249" s="4">
        <f t="shared" si="32"/>
        <v>4</v>
      </c>
      <c r="I249" s="105" t="str">
        <f t="shared" si="33"/>
        <v>A</v>
      </c>
      <c r="J249" s="4" t="str">
        <f t="shared" si="34"/>
        <v>CEI</v>
      </c>
      <c r="K249" s="106">
        <f t="shared" si="35"/>
        <v>4</v>
      </c>
      <c r="L249" s="106">
        <f>IF(NOT(ISERROR(VLOOKUP(B249,Deflatores!G$42:H$64,2,FALSE))),VLOOKUP(B249,Deflatores!G$42:H$64,2,FALSE),IF(OR(ISBLANK(C249),ISBLANK(B249)),"",VLOOKUP(C249,Deflatores!G$4:H$38,2,FALSE)*H249+VLOOKUP(C249,Deflatores!G$4:I$38,3,FALSE)))</f>
        <v>4</v>
      </c>
      <c r="M249" s="106"/>
      <c r="N249" s="106"/>
      <c r="O249" s="106"/>
    </row>
    <row r="250" spans="1:15" x14ac:dyDescent="0.25">
      <c r="A250" s="112" t="s">
        <v>250</v>
      </c>
      <c r="B250" s="113" t="s">
        <v>50</v>
      </c>
      <c r="C250" s="113" t="s">
        <v>45</v>
      </c>
      <c r="D250" s="4">
        <v>8</v>
      </c>
      <c r="E250" s="4">
        <v>3</v>
      </c>
      <c r="F250" s="105" t="str">
        <f t="shared" si="30"/>
        <v>Média</v>
      </c>
      <c r="G250" s="4" t="str">
        <f t="shared" si="31"/>
        <v>CEA</v>
      </c>
      <c r="H250" s="4">
        <f t="shared" si="32"/>
        <v>4</v>
      </c>
      <c r="I250" s="105" t="str">
        <f t="shared" si="33"/>
        <v>A</v>
      </c>
      <c r="J250" s="4" t="str">
        <f t="shared" si="34"/>
        <v>CEI</v>
      </c>
      <c r="K250" s="106">
        <f t="shared" si="35"/>
        <v>4</v>
      </c>
      <c r="L250" s="106">
        <f>IF(NOT(ISERROR(VLOOKUP(B250,Deflatores!G$42:H$64,2,FALSE))),VLOOKUP(B250,Deflatores!G$42:H$64,2,FALSE),IF(OR(ISBLANK(C250),ISBLANK(B250)),"",VLOOKUP(C250,Deflatores!G$4:H$38,2,FALSE)*H250+VLOOKUP(C250,Deflatores!G$4:I$38,3,FALSE)))</f>
        <v>4</v>
      </c>
      <c r="M250" s="106"/>
      <c r="N250" s="106"/>
      <c r="O250" s="106"/>
    </row>
    <row r="251" spans="1:15" x14ac:dyDescent="0.25">
      <c r="A251" s="106"/>
      <c r="B251" s="106"/>
      <c r="C251" s="106"/>
      <c r="D251" s="106"/>
      <c r="E251" s="106"/>
      <c r="F251" s="105" t="str">
        <f t="shared" si="30"/>
        <v/>
      </c>
      <c r="G251" s="4" t="str">
        <f t="shared" si="31"/>
        <v/>
      </c>
      <c r="H251" s="4" t="str">
        <f t="shared" si="32"/>
        <v/>
      </c>
      <c r="I251" s="105" t="str">
        <f t="shared" si="33"/>
        <v/>
      </c>
      <c r="J251" s="4" t="str">
        <f t="shared" si="34"/>
        <v/>
      </c>
      <c r="K251" s="106" t="str">
        <f t="shared" si="35"/>
        <v/>
      </c>
      <c r="L251" s="106" t="str">
        <f>IF(NOT(ISERROR(VLOOKUP(B251,Deflatores!G$42:H$64,2,FALSE))),VLOOKUP(B251,Deflatores!G$42:H$64,2,FALSE),IF(OR(ISBLANK(C251),ISBLANK(B251)),"",VLOOKUP(C251,Deflatores!G$4:H$38,2,FALSE)*H251+VLOOKUP(C251,Deflatores!G$4:I$38,3,FALSE)))</f>
        <v/>
      </c>
      <c r="M251" s="106"/>
      <c r="N251" s="106"/>
      <c r="O251" s="106"/>
    </row>
    <row r="252" spans="1:15" x14ac:dyDescent="0.25">
      <c r="A252" s="115" t="s">
        <v>251</v>
      </c>
      <c r="B252" s="113"/>
      <c r="C252" s="113"/>
      <c r="D252" s="113"/>
      <c r="E252" s="113"/>
      <c r="F252" s="106" t="str">
        <f t="shared" si="30"/>
        <v/>
      </c>
      <c r="G252" s="106" t="str">
        <f t="shared" si="31"/>
        <v/>
      </c>
      <c r="H252" s="4" t="str">
        <f t="shared" si="32"/>
        <v/>
      </c>
      <c r="I252" s="105" t="str">
        <f t="shared" si="33"/>
        <v/>
      </c>
      <c r="J252" s="4" t="str">
        <f t="shared" si="34"/>
        <v/>
      </c>
      <c r="K252" s="106" t="str">
        <f t="shared" si="35"/>
        <v/>
      </c>
      <c r="L252" s="106" t="str">
        <f>IF(NOT(ISERROR(VLOOKUP(B252,Deflatores!G$42:H$64,2,FALSE))),VLOOKUP(B252,Deflatores!G$42:H$64,2,FALSE),IF(OR(ISBLANK(C252),ISBLANK(B252)),"",VLOOKUP(C252,Deflatores!G$4:H$38,2,FALSE)*H252+VLOOKUP(C252,Deflatores!G$4:I$38,3,FALSE)))</f>
        <v/>
      </c>
      <c r="M252" s="106"/>
      <c r="N252" s="106"/>
      <c r="O252" s="106"/>
    </row>
    <row r="253" spans="1:15" x14ac:dyDescent="0.25">
      <c r="A253" s="112" t="s">
        <v>252</v>
      </c>
      <c r="B253" s="113" t="s">
        <v>44</v>
      </c>
      <c r="C253" s="113" t="s">
        <v>45</v>
      </c>
      <c r="D253" s="4">
        <v>19</v>
      </c>
      <c r="E253" s="4">
        <v>2</v>
      </c>
      <c r="F253" s="106" t="str">
        <f t="shared" si="30"/>
        <v>Baixa</v>
      </c>
      <c r="G253" s="106" t="str">
        <f t="shared" si="31"/>
        <v>ALIL</v>
      </c>
      <c r="H253" s="4">
        <f t="shared" si="32"/>
        <v>7</v>
      </c>
      <c r="I253" s="105" t="str">
        <f t="shared" si="33"/>
        <v>L</v>
      </c>
      <c r="J253" s="4" t="str">
        <f t="shared" si="34"/>
        <v>ALII</v>
      </c>
      <c r="K253" s="106">
        <f t="shared" si="35"/>
        <v>7</v>
      </c>
      <c r="L253" s="106">
        <f>IF(NOT(ISERROR(VLOOKUP(B253,Deflatores!G$42:H$64,2,FALSE))),VLOOKUP(B253,Deflatores!G$42:H$64,2,FALSE),IF(OR(ISBLANK(C253),ISBLANK(B253)),"",VLOOKUP(C253,Deflatores!G$4:H$38,2,FALSE)*H253+VLOOKUP(C253,Deflatores!G$4:I$38,3,FALSE)))</f>
        <v>7</v>
      </c>
      <c r="M253" s="106"/>
      <c r="N253" s="106"/>
      <c r="O253" s="106"/>
    </row>
    <row r="254" spans="1:15" x14ac:dyDescent="0.25">
      <c r="A254" s="112" t="s">
        <v>253</v>
      </c>
      <c r="B254" s="113" t="s">
        <v>50</v>
      </c>
      <c r="C254" s="113" t="s">
        <v>45</v>
      </c>
      <c r="D254" s="4">
        <v>12</v>
      </c>
      <c r="E254" s="4">
        <v>2</v>
      </c>
      <c r="F254" s="106" t="str">
        <f t="shared" si="30"/>
        <v>Média</v>
      </c>
      <c r="G254" s="106" t="str">
        <f t="shared" si="31"/>
        <v>CEA</v>
      </c>
      <c r="H254" s="4">
        <f t="shared" si="32"/>
        <v>4</v>
      </c>
      <c r="I254" s="105" t="str">
        <f t="shared" si="33"/>
        <v>A</v>
      </c>
      <c r="J254" s="4" t="str">
        <f t="shared" si="34"/>
        <v>CEI</v>
      </c>
      <c r="K254" s="106">
        <f t="shared" si="35"/>
        <v>4</v>
      </c>
      <c r="L254" s="106">
        <f>IF(NOT(ISERROR(VLOOKUP(B254,Deflatores!G$42:H$64,2,FALSE))),VLOOKUP(B254,Deflatores!G$42:H$64,2,FALSE),IF(OR(ISBLANK(C254),ISBLANK(B254)),"",VLOOKUP(C254,Deflatores!G$4:H$38,2,FALSE)*H254+VLOOKUP(C254,Deflatores!G$4:I$38,3,FALSE)))</f>
        <v>4</v>
      </c>
      <c r="M254" s="106"/>
      <c r="N254" s="106"/>
      <c r="O254" s="106"/>
    </row>
    <row r="255" spans="1:15" x14ac:dyDescent="0.25">
      <c r="A255" s="112" t="s">
        <v>254</v>
      </c>
      <c r="B255" s="113" t="s">
        <v>50</v>
      </c>
      <c r="C255" s="113" t="s">
        <v>45</v>
      </c>
      <c r="D255" s="4">
        <v>7</v>
      </c>
      <c r="E255" s="4">
        <v>2</v>
      </c>
      <c r="F255" s="106" t="str">
        <f t="shared" si="30"/>
        <v>Média</v>
      </c>
      <c r="G255" s="106" t="str">
        <f t="shared" si="31"/>
        <v>CEA</v>
      </c>
      <c r="H255" s="4">
        <f t="shared" si="32"/>
        <v>4</v>
      </c>
      <c r="I255" s="105" t="str">
        <f t="shared" si="33"/>
        <v>A</v>
      </c>
      <c r="J255" s="4" t="str">
        <f t="shared" si="34"/>
        <v>CEI</v>
      </c>
      <c r="K255" s="106">
        <f t="shared" si="35"/>
        <v>4</v>
      </c>
      <c r="L255" s="106">
        <f>IF(NOT(ISERROR(VLOOKUP(B255,Deflatores!G$42:H$64,2,FALSE))),VLOOKUP(B255,Deflatores!G$42:H$64,2,FALSE),IF(OR(ISBLANK(C255),ISBLANK(B255)),"",VLOOKUP(C255,Deflatores!G$4:H$38,2,FALSE)*H255+VLOOKUP(C255,Deflatores!G$4:I$38,3,FALSE)))</f>
        <v>4</v>
      </c>
      <c r="M255" s="106"/>
      <c r="N255" s="106"/>
      <c r="O255" s="106"/>
    </row>
    <row r="256" spans="1:15" x14ac:dyDescent="0.25">
      <c r="A256" s="112" t="s">
        <v>255</v>
      </c>
      <c r="B256" s="113" t="s">
        <v>50</v>
      </c>
      <c r="C256" s="113" t="s">
        <v>45</v>
      </c>
      <c r="D256" s="4">
        <v>22</v>
      </c>
      <c r="E256" s="4">
        <v>2</v>
      </c>
      <c r="F256" s="106" t="str">
        <f t="shared" si="30"/>
        <v>Alta</v>
      </c>
      <c r="G256" s="106" t="str">
        <f t="shared" si="31"/>
        <v>CEH</v>
      </c>
      <c r="H256" s="4">
        <f t="shared" si="32"/>
        <v>6</v>
      </c>
      <c r="I256" s="105" t="str">
        <f t="shared" si="33"/>
        <v>H</v>
      </c>
      <c r="J256" s="4" t="str">
        <f t="shared" si="34"/>
        <v>CEI</v>
      </c>
      <c r="K256" s="106">
        <f t="shared" si="35"/>
        <v>6</v>
      </c>
      <c r="L256" s="106">
        <f>IF(NOT(ISERROR(VLOOKUP(B256,Deflatores!G$42:H$64,2,FALSE))),VLOOKUP(B256,Deflatores!G$42:H$64,2,FALSE),IF(OR(ISBLANK(C256),ISBLANK(B256)),"",VLOOKUP(C256,Deflatores!G$4:H$38,2,FALSE)*H256+VLOOKUP(C256,Deflatores!G$4:I$38,3,FALSE)))</f>
        <v>6</v>
      </c>
      <c r="M256" s="106"/>
      <c r="N256" s="106"/>
      <c r="O256" s="106"/>
    </row>
    <row r="257" spans="1:15" x14ac:dyDescent="0.25">
      <c r="H257" s="4" t="str">
        <f t="shared" si="32"/>
        <v/>
      </c>
      <c r="I257" s="105" t="str">
        <f t="shared" si="33"/>
        <v/>
      </c>
      <c r="J257" s="4" t="str">
        <f t="shared" si="34"/>
        <v/>
      </c>
      <c r="K257" s="106" t="str">
        <f t="shared" si="35"/>
        <v/>
      </c>
      <c r="L257" s="106" t="str">
        <f>IF(NOT(ISERROR(VLOOKUP(B257,Deflatores!G$42:H$64,2,FALSE))),VLOOKUP(B257,Deflatores!G$42:H$64,2,FALSE),IF(OR(ISBLANK(C257),ISBLANK(B257)),"",VLOOKUP(C257,Deflatores!G$4:H$38,2,FALSE)*H257+VLOOKUP(C257,Deflatores!G$4:I$38,3,FALSE)))</f>
        <v/>
      </c>
    </row>
    <row r="258" spans="1:15" x14ac:dyDescent="0.25">
      <c r="A258" s="115" t="s">
        <v>256</v>
      </c>
      <c r="B258" s="113"/>
      <c r="C258" s="113"/>
      <c r="D258" s="113"/>
      <c r="E258" s="113"/>
      <c r="F258" s="106" t="str">
        <f t="shared" ref="F258:F277" si="36">IF(ISBLANK(B258),"",IF(I258="L","Baixa",IF(I258="A","Média",IF(I258="","","Alta"))))</f>
        <v/>
      </c>
      <c r="G258" s="106" t="str">
        <f t="shared" ref="G258:G277" si="37">CONCATENATE(B258,I258)</f>
        <v/>
      </c>
      <c r="H258" s="4" t="str">
        <f t="shared" si="32"/>
        <v/>
      </c>
      <c r="I258" s="105" t="str">
        <f t="shared" si="33"/>
        <v/>
      </c>
      <c r="J258" s="4" t="str">
        <f t="shared" si="34"/>
        <v/>
      </c>
      <c r="K258" s="106" t="str">
        <f t="shared" si="35"/>
        <v/>
      </c>
      <c r="L258" s="106" t="str">
        <f>IF(NOT(ISERROR(VLOOKUP(B258,Deflatores!G$42:H$64,2,FALSE))),VLOOKUP(B258,Deflatores!G$42:H$64,2,FALSE),IF(OR(ISBLANK(C258),ISBLANK(B258)),"",VLOOKUP(C258,Deflatores!G$4:H$38,2,FALSE)*H258+VLOOKUP(C258,Deflatores!G$4:I$38,3,FALSE)))</f>
        <v/>
      </c>
      <c r="M258" s="106"/>
      <c r="N258" s="106"/>
      <c r="O258" s="106"/>
    </row>
    <row r="259" spans="1:15" x14ac:dyDescent="0.25">
      <c r="A259" s="112" t="s">
        <v>257</v>
      </c>
      <c r="B259" s="113" t="s">
        <v>44</v>
      </c>
      <c r="C259" s="113" t="s">
        <v>45</v>
      </c>
      <c r="D259" s="4">
        <v>24</v>
      </c>
      <c r="E259" s="4">
        <v>1</v>
      </c>
      <c r="F259" s="106" t="str">
        <f t="shared" si="36"/>
        <v>Baixa</v>
      </c>
      <c r="G259" s="106" t="str">
        <f t="shared" si="37"/>
        <v>ALIL</v>
      </c>
      <c r="H259" s="4">
        <f t="shared" si="32"/>
        <v>7</v>
      </c>
      <c r="I259" s="105" t="str">
        <f t="shared" si="33"/>
        <v>L</v>
      </c>
      <c r="J259" s="4" t="str">
        <f t="shared" si="34"/>
        <v>ALII</v>
      </c>
      <c r="K259" s="106">
        <f t="shared" si="35"/>
        <v>7</v>
      </c>
      <c r="L259" s="106">
        <f>IF(NOT(ISERROR(VLOOKUP(B259,Deflatores!G$42:H$64,2,FALSE))),VLOOKUP(B259,Deflatores!G$42:H$64,2,FALSE),IF(OR(ISBLANK(C259),ISBLANK(B259)),"",VLOOKUP(C259,Deflatores!G$4:H$38,2,FALSE)*H259+VLOOKUP(C259,Deflatores!G$4:I$38,3,FALSE)))</f>
        <v>7</v>
      </c>
      <c r="M259" s="106"/>
      <c r="N259" s="106"/>
      <c r="O259" s="106"/>
    </row>
    <row r="260" spans="1:15" x14ac:dyDescent="0.25">
      <c r="A260" s="112" t="s">
        <v>258</v>
      </c>
      <c r="B260" s="113" t="s">
        <v>48</v>
      </c>
      <c r="C260" s="113" t="s">
        <v>45</v>
      </c>
      <c r="D260" s="4">
        <v>13</v>
      </c>
      <c r="E260" s="4">
        <v>4</v>
      </c>
      <c r="F260" s="106" t="str">
        <f t="shared" si="36"/>
        <v>Alta</v>
      </c>
      <c r="G260" s="106" t="str">
        <f t="shared" si="37"/>
        <v>EEH</v>
      </c>
      <c r="H260" s="4">
        <f t="shared" si="32"/>
        <v>6</v>
      </c>
      <c r="I260" s="105" t="str">
        <f t="shared" si="33"/>
        <v>H</v>
      </c>
      <c r="J260" s="4" t="str">
        <f t="shared" si="34"/>
        <v>EEI</v>
      </c>
      <c r="K260" s="106">
        <f t="shared" si="35"/>
        <v>6</v>
      </c>
      <c r="L260" s="106">
        <f>IF(NOT(ISERROR(VLOOKUP(B260,Deflatores!G$42:H$64,2,FALSE))),VLOOKUP(B260,Deflatores!G$42:H$64,2,FALSE),IF(OR(ISBLANK(C260),ISBLANK(B260)),"",VLOOKUP(C260,Deflatores!G$4:H$38,2,FALSE)*H260+VLOOKUP(C260,Deflatores!G$4:I$38,3,FALSE)))</f>
        <v>6</v>
      </c>
      <c r="M260" s="106"/>
      <c r="N260" s="106"/>
      <c r="O260" s="106"/>
    </row>
    <row r="261" spans="1:15" x14ac:dyDescent="0.25">
      <c r="A261" s="114" t="s">
        <v>259</v>
      </c>
      <c r="B261" s="113" t="s">
        <v>50</v>
      </c>
      <c r="C261" s="113" t="s">
        <v>45</v>
      </c>
      <c r="D261" s="113">
        <v>4</v>
      </c>
      <c r="E261" s="118">
        <v>1</v>
      </c>
      <c r="F261" s="106" t="str">
        <f>IF(ISBLANK(B261),"",IF(I261="L","Baixa",IF(I261="A","Média",IF(I261="","","Alta"))))</f>
        <v>Baixa</v>
      </c>
      <c r="G261" s="106" t="str">
        <f>CONCATENATE(B261,I261)</f>
        <v>CEL</v>
      </c>
      <c r="H261" s="4">
        <f>IF(ISBLANK(B261),"",IF(B261="ALI",IF(I261="L",7,IF(I261="A",10,15)),IF(B261="AIE",IF(I261="L",5,IF(I261="A",7,10)),IF(B261="SE",IF(I261="L",4,IF(I261="A",5,7)),IF(OR(B261="EE",B261="CE"),IF(I261="L",3,IF(I261="A",4,6)),0)))))</f>
        <v>3</v>
      </c>
      <c r="I261" s="105" t="str">
        <f>IF(OR(ISBLANK(D261),ISBLANK(E261)),IF(OR(B261="ALI",B261="AIE"),"L",IF(OR(B261="EE",B261="SE",B261="CE"),"A","")),IF(B261="EE",IF(E261&gt;=3,IF(D261&gt;=5,"H","A"),IF(E261&gt;=2,IF(D261&gt;=16,"H",IF(D261&lt;=4,"L","A")),IF(D261&lt;=15,"L","A"))),IF(OR(B261="SE",B261="CE"),IF(E261&gt;=4,IF(D261&gt;=6,"H","A"),IF(E261&gt;=2,IF(D261&gt;=20,"H",IF(D261&lt;=5,"L","A")),IF(D261&lt;=19,"L","A"))),IF(OR(B261="ALI",B261="AIE"),IF(E261&gt;=6,IF(D261&gt;=20,"H","A"),IF(E261&gt;=2,IF(D261&gt;=51,"H",IF(D261&lt;=19,"L","A")),IF(D261&lt;=50,"L","A"))),""))))</f>
        <v>L</v>
      </c>
      <c r="J261" s="4" t="str">
        <f>CONCATENATE(B261,C261)</f>
        <v>CEI</v>
      </c>
      <c r="K261" s="106">
        <f>IF(OR(H261="",H261=0),L261,H261)</f>
        <v>3</v>
      </c>
      <c r="L261" s="106">
        <f>IF(NOT(ISERROR(VLOOKUP(B261,Deflatores!G$42:H$64,2,FALSE))),VLOOKUP(B261,Deflatores!G$42:H$64,2,FALSE),IF(OR(ISBLANK(C261),ISBLANK(B261)),"",VLOOKUP(C261,Deflatores!G$4:H$38,2,FALSE)*H261+VLOOKUP(C261,Deflatores!G$4:I$38,3,FALSE)))</f>
        <v>3</v>
      </c>
      <c r="M261" s="106"/>
      <c r="N261" s="106"/>
      <c r="O261" s="106"/>
    </row>
    <row r="262" spans="1:15" x14ac:dyDescent="0.25">
      <c r="A262" s="114" t="s">
        <v>260</v>
      </c>
      <c r="B262" s="113" t="s">
        <v>50</v>
      </c>
      <c r="C262" s="113" t="s">
        <v>45</v>
      </c>
      <c r="D262" s="113">
        <v>4</v>
      </c>
      <c r="E262" s="118">
        <v>1</v>
      </c>
      <c r="F262" s="106" t="str">
        <f t="shared" si="36"/>
        <v>Baixa</v>
      </c>
      <c r="G262" s="106" t="str">
        <f t="shared" si="37"/>
        <v>CEL</v>
      </c>
      <c r="H262" s="4">
        <f t="shared" si="32"/>
        <v>3</v>
      </c>
      <c r="I262" s="105" t="str">
        <f t="shared" si="33"/>
        <v>L</v>
      </c>
      <c r="J262" s="4" t="str">
        <f t="shared" si="34"/>
        <v>CEI</v>
      </c>
      <c r="K262" s="106">
        <f t="shared" si="35"/>
        <v>3</v>
      </c>
      <c r="L262" s="106">
        <f>IF(NOT(ISERROR(VLOOKUP(B262,Deflatores!G$42:H$64,2,FALSE))),VLOOKUP(B262,Deflatores!G$42:H$64,2,FALSE),IF(OR(ISBLANK(C262),ISBLANK(B262)),"",VLOOKUP(C262,Deflatores!G$4:H$38,2,FALSE)*H262+VLOOKUP(C262,Deflatores!G$4:I$38,3,FALSE)))</f>
        <v>3</v>
      </c>
      <c r="M262" s="106"/>
      <c r="N262" s="106"/>
      <c r="O262" s="106"/>
    </row>
    <row r="263" spans="1:15" x14ac:dyDescent="0.25">
      <c r="A263" s="112" t="s">
        <v>261</v>
      </c>
      <c r="B263" s="113" t="s">
        <v>48</v>
      </c>
      <c r="C263" s="113" t="s">
        <v>45</v>
      </c>
      <c r="D263" s="4">
        <v>13</v>
      </c>
      <c r="E263" s="4">
        <v>4</v>
      </c>
      <c r="F263" s="106" t="str">
        <f t="shared" si="36"/>
        <v>Alta</v>
      </c>
      <c r="G263" s="106" t="str">
        <f t="shared" si="37"/>
        <v>EEH</v>
      </c>
      <c r="H263" s="4">
        <f t="shared" si="32"/>
        <v>6</v>
      </c>
      <c r="I263" s="105" t="str">
        <f t="shared" si="33"/>
        <v>H</v>
      </c>
      <c r="J263" s="4" t="str">
        <f t="shared" si="34"/>
        <v>EEI</v>
      </c>
      <c r="K263" s="106">
        <f t="shared" si="35"/>
        <v>6</v>
      </c>
      <c r="L263" s="106">
        <f>IF(NOT(ISERROR(VLOOKUP(B263,Deflatores!G$42:H$64,2,FALSE))),VLOOKUP(B263,Deflatores!G$42:H$64,2,FALSE),IF(OR(ISBLANK(C263),ISBLANK(B263)),"",VLOOKUP(C263,Deflatores!G$4:H$38,2,FALSE)*H263+VLOOKUP(C263,Deflatores!G$4:I$38,3,FALSE)))</f>
        <v>6</v>
      </c>
      <c r="M263" s="106"/>
      <c r="N263" s="106"/>
      <c r="O263" s="106"/>
    </row>
    <row r="264" spans="1:15" x14ac:dyDescent="0.25">
      <c r="A264" s="114" t="s">
        <v>262</v>
      </c>
      <c r="B264" s="113" t="s">
        <v>50</v>
      </c>
      <c r="C264" s="113" t="s">
        <v>45</v>
      </c>
      <c r="D264" s="4">
        <v>11</v>
      </c>
      <c r="E264" s="4">
        <v>4</v>
      </c>
      <c r="F264" s="106" t="str">
        <f t="shared" si="36"/>
        <v>Alta</v>
      </c>
      <c r="G264" s="106" t="str">
        <f t="shared" si="37"/>
        <v>CEH</v>
      </c>
      <c r="H264" s="4">
        <f t="shared" si="32"/>
        <v>6</v>
      </c>
      <c r="I264" s="105" t="str">
        <f t="shared" si="33"/>
        <v>H</v>
      </c>
      <c r="J264" s="4" t="str">
        <f t="shared" si="34"/>
        <v>CEI</v>
      </c>
      <c r="K264" s="106">
        <f t="shared" si="35"/>
        <v>6</v>
      </c>
      <c r="L264" s="106">
        <f>IF(NOT(ISERROR(VLOOKUP(B264,Deflatores!G$42:H$64,2,FALSE))),VLOOKUP(B264,Deflatores!G$42:H$64,2,FALSE),IF(OR(ISBLANK(C264),ISBLANK(B264)),"",VLOOKUP(C264,Deflatores!G$4:H$38,2,FALSE)*H264+VLOOKUP(C264,Deflatores!G$4:I$38,3,FALSE)))</f>
        <v>6</v>
      </c>
      <c r="M264" s="106"/>
      <c r="N264" s="106"/>
      <c r="O264" s="106"/>
    </row>
    <row r="265" spans="1:15" x14ac:dyDescent="0.25">
      <c r="A265" s="112" t="s">
        <v>263</v>
      </c>
      <c r="B265" s="113" t="s">
        <v>48</v>
      </c>
      <c r="C265" s="113" t="s">
        <v>45</v>
      </c>
      <c r="D265" s="4">
        <v>4</v>
      </c>
      <c r="E265" s="4">
        <v>2</v>
      </c>
      <c r="F265" s="106" t="str">
        <f t="shared" si="36"/>
        <v>Baixa</v>
      </c>
      <c r="G265" s="106" t="str">
        <f t="shared" si="37"/>
        <v>EEL</v>
      </c>
      <c r="H265" s="4">
        <f t="shared" si="32"/>
        <v>3</v>
      </c>
      <c r="I265" s="105" t="str">
        <f t="shared" si="33"/>
        <v>L</v>
      </c>
      <c r="J265" s="4" t="str">
        <f t="shared" si="34"/>
        <v>EEI</v>
      </c>
      <c r="K265" s="106">
        <f t="shared" si="35"/>
        <v>3</v>
      </c>
      <c r="L265" s="106">
        <f>IF(NOT(ISERROR(VLOOKUP(B265,Deflatores!G$42:H$64,2,FALSE))),VLOOKUP(B265,Deflatores!G$42:H$64,2,FALSE),IF(OR(ISBLANK(C265),ISBLANK(B265)),"",VLOOKUP(C265,Deflatores!G$4:H$38,2,FALSE)*H265+VLOOKUP(C265,Deflatores!G$4:I$38,3,FALSE)))</f>
        <v>3</v>
      </c>
      <c r="M265" s="106"/>
      <c r="N265" s="106"/>
      <c r="O265" s="106"/>
    </row>
    <row r="266" spans="1:15" x14ac:dyDescent="0.25">
      <c r="A266" s="114" t="s">
        <v>264</v>
      </c>
      <c r="B266" s="113" t="s">
        <v>50</v>
      </c>
      <c r="C266" s="113" t="s">
        <v>45</v>
      </c>
      <c r="D266" s="4">
        <v>2</v>
      </c>
      <c r="E266" s="4">
        <v>2</v>
      </c>
      <c r="F266" s="106" t="str">
        <f t="shared" si="36"/>
        <v>Baixa</v>
      </c>
      <c r="G266" s="106" t="str">
        <f>CONCATENATE(B266,I266)</f>
        <v>CEL</v>
      </c>
      <c r="H266" s="4">
        <f t="shared" si="32"/>
        <v>3</v>
      </c>
      <c r="I266" s="105" t="str">
        <f t="shared" si="33"/>
        <v>L</v>
      </c>
      <c r="J266" s="4" t="str">
        <f t="shared" si="34"/>
        <v>CEI</v>
      </c>
      <c r="K266" s="106">
        <f t="shared" si="35"/>
        <v>3</v>
      </c>
      <c r="L266" s="106">
        <f>IF(NOT(ISERROR(VLOOKUP(B266,Deflatores!G$42:H$64,2,FALSE))),VLOOKUP(B266,Deflatores!G$42:H$64,2,FALSE),IF(OR(ISBLANK(C266),ISBLANK(B266)),"",VLOOKUP(C266,Deflatores!G$4:H$38,2,FALSE)*H266+VLOOKUP(C266,Deflatores!G$4:I$38,3,FALSE)))</f>
        <v>3</v>
      </c>
      <c r="M266" s="106"/>
      <c r="N266" s="106"/>
      <c r="O266" s="106"/>
    </row>
    <row r="267" spans="1:15" x14ac:dyDescent="0.25">
      <c r="A267" s="112" t="s">
        <v>265</v>
      </c>
      <c r="B267" s="113" t="s">
        <v>48</v>
      </c>
      <c r="C267" s="113" t="s">
        <v>45</v>
      </c>
      <c r="D267" s="4">
        <v>4</v>
      </c>
      <c r="E267" s="4">
        <v>2</v>
      </c>
      <c r="F267" s="106" t="str">
        <f t="shared" si="36"/>
        <v>Baixa</v>
      </c>
      <c r="G267" s="106" t="str">
        <f>CONCATENATE(B267,I267)</f>
        <v>EEL</v>
      </c>
      <c r="H267" s="4">
        <f t="shared" si="32"/>
        <v>3</v>
      </c>
      <c r="I267" s="105" t="str">
        <f t="shared" si="33"/>
        <v>L</v>
      </c>
      <c r="J267" s="4" t="str">
        <f t="shared" si="34"/>
        <v>EEI</v>
      </c>
      <c r="K267" s="106">
        <f t="shared" si="35"/>
        <v>3</v>
      </c>
      <c r="L267" s="106">
        <f>IF(NOT(ISERROR(VLOOKUP(B267,Deflatores!G$42:H$64,2,FALSE))),VLOOKUP(B267,Deflatores!G$42:H$64,2,FALSE),IF(OR(ISBLANK(C267),ISBLANK(B267)),"",VLOOKUP(C267,Deflatores!G$4:H$38,2,FALSE)*H267+VLOOKUP(C267,Deflatores!G$4:I$38,3,FALSE)))</f>
        <v>3</v>
      </c>
      <c r="M267" s="106"/>
      <c r="N267" s="106"/>
      <c r="O267" s="106"/>
    </row>
    <row r="268" spans="1:15" x14ac:dyDescent="0.25">
      <c r="A268" s="114" t="s">
        <v>266</v>
      </c>
      <c r="B268" s="113" t="s">
        <v>50</v>
      </c>
      <c r="C268" s="113" t="s">
        <v>45</v>
      </c>
      <c r="D268" s="4">
        <v>2</v>
      </c>
      <c r="E268" s="4">
        <v>2</v>
      </c>
      <c r="F268" s="106" t="str">
        <f t="shared" si="36"/>
        <v>Baixa</v>
      </c>
      <c r="G268" s="106" t="str">
        <f t="shared" si="37"/>
        <v>CEL</v>
      </c>
      <c r="H268" s="4">
        <f t="shared" si="32"/>
        <v>3</v>
      </c>
      <c r="I268" s="105" t="str">
        <f t="shared" si="33"/>
        <v>L</v>
      </c>
      <c r="J268" s="4" t="str">
        <f t="shared" si="34"/>
        <v>CEI</v>
      </c>
      <c r="K268" s="106">
        <f t="shared" si="35"/>
        <v>3</v>
      </c>
      <c r="L268" s="106">
        <f>IF(NOT(ISERROR(VLOOKUP(B268,Deflatores!G$42:H$64,2,FALSE))),VLOOKUP(B268,Deflatores!G$42:H$64,2,FALSE),IF(OR(ISBLANK(C268),ISBLANK(B268)),"",VLOOKUP(C268,Deflatores!G$4:H$38,2,FALSE)*H268+VLOOKUP(C268,Deflatores!G$4:I$38,3,FALSE)))</f>
        <v>3</v>
      </c>
      <c r="M268" s="106"/>
      <c r="N268" s="106"/>
      <c r="O268" s="106"/>
    </row>
    <row r="269" spans="1:15" x14ac:dyDescent="0.25">
      <c r="A269" s="112" t="s">
        <v>267</v>
      </c>
      <c r="B269" s="113" t="s">
        <v>50</v>
      </c>
      <c r="C269" s="113" t="s">
        <v>45</v>
      </c>
      <c r="D269" s="4">
        <v>13</v>
      </c>
      <c r="E269" s="4">
        <v>3</v>
      </c>
      <c r="F269" s="106" t="str">
        <f t="shared" si="36"/>
        <v>Média</v>
      </c>
      <c r="G269" s="106" t="str">
        <f t="shared" si="37"/>
        <v>CEA</v>
      </c>
      <c r="H269" s="4">
        <f t="shared" si="32"/>
        <v>4</v>
      </c>
      <c r="I269" s="105" t="str">
        <f t="shared" si="33"/>
        <v>A</v>
      </c>
      <c r="J269" s="4" t="str">
        <f t="shared" si="34"/>
        <v>CEI</v>
      </c>
      <c r="K269" s="106">
        <f t="shared" si="35"/>
        <v>4</v>
      </c>
      <c r="L269" s="106">
        <f>IF(NOT(ISERROR(VLOOKUP(B269,Deflatores!G$42:H$64,2,FALSE))),VLOOKUP(B269,Deflatores!G$42:H$64,2,FALSE),IF(OR(ISBLANK(C269),ISBLANK(B269)),"",VLOOKUP(C269,Deflatores!G$4:H$38,2,FALSE)*H269+VLOOKUP(C269,Deflatores!G$4:I$38,3,FALSE)))</f>
        <v>4</v>
      </c>
      <c r="M269" s="106"/>
      <c r="N269" s="106"/>
      <c r="O269" s="106"/>
    </row>
    <row r="270" spans="1:15" x14ac:dyDescent="0.25">
      <c r="A270" s="112" t="s">
        <v>268</v>
      </c>
      <c r="B270" s="113" t="s">
        <v>50</v>
      </c>
      <c r="C270" s="113" t="s">
        <v>45</v>
      </c>
      <c r="D270" s="4">
        <v>13</v>
      </c>
      <c r="E270" s="4">
        <v>3</v>
      </c>
      <c r="F270" s="106" t="str">
        <f t="shared" si="36"/>
        <v>Média</v>
      </c>
      <c r="G270" s="106" t="str">
        <f t="shared" si="37"/>
        <v>CEA</v>
      </c>
      <c r="H270" s="4">
        <f t="shared" si="32"/>
        <v>4</v>
      </c>
      <c r="I270" s="105" t="str">
        <f t="shared" si="33"/>
        <v>A</v>
      </c>
      <c r="J270" s="4" t="str">
        <f t="shared" si="34"/>
        <v>CEI</v>
      </c>
      <c r="K270" s="106">
        <f t="shared" si="35"/>
        <v>4</v>
      </c>
      <c r="L270" s="106">
        <f>IF(NOT(ISERROR(VLOOKUP(B270,Deflatores!G$42:H$64,2,FALSE))),VLOOKUP(B270,Deflatores!G$42:H$64,2,FALSE),IF(OR(ISBLANK(C270),ISBLANK(B270)),"",VLOOKUP(C270,Deflatores!G$4:H$38,2,FALSE)*H270+VLOOKUP(C270,Deflatores!G$4:I$38,3,FALSE)))</f>
        <v>4</v>
      </c>
      <c r="M270" s="106"/>
      <c r="N270" s="106"/>
      <c r="O270" s="106"/>
    </row>
    <row r="271" spans="1:15" x14ac:dyDescent="0.25">
      <c r="A271" s="112" t="s">
        <v>269</v>
      </c>
      <c r="B271" s="113" t="s">
        <v>50</v>
      </c>
      <c r="C271" s="113" t="s">
        <v>45</v>
      </c>
      <c r="D271" s="4">
        <v>13</v>
      </c>
      <c r="E271" s="4">
        <v>4</v>
      </c>
      <c r="F271" s="106" t="str">
        <f t="shared" si="36"/>
        <v>Alta</v>
      </c>
      <c r="G271" s="106" t="str">
        <f t="shared" si="37"/>
        <v>CEH</v>
      </c>
      <c r="H271" s="4">
        <f t="shared" si="32"/>
        <v>6</v>
      </c>
      <c r="I271" s="105" t="str">
        <f t="shared" si="33"/>
        <v>H</v>
      </c>
      <c r="J271" s="4" t="str">
        <f t="shared" si="34"/>
        <v>CEI</v>
      </c>
      <c r="K271" s="106">
        <f t="shared" si="35"/>
        <v>6</v>
      </c>
      <c r="L271" s="106">
        <f>IF(NOT(ISERROR(VLOOKUP(B271,Deflatores!G$42:H$64,2,FALSE))),VLOOKUP(B271,Deflatores!G$42:H$64,2,FALSE),IF(OR(ISBLANK(C271),ISBLANK(B271)),"",VLOOKUP(C271,Deflatores!G$4:H$38,2,FALSE)*H271+VLOOKUP(C271,Deflatores!G$4:I$38,3,FALSE)))</f>
        <v>6</v>
      </c>
      <c r="M271" s="106"/>
      <c r="N271" s="106"/>
      <c r="O271" s="106"/>
    </row>
    <row r="272" spans="1:15" x14ac:dyDescent="0.25">
      <c r="A272" s="112" t="s">
        <v>270</v>
      </c>
      <c r="B272" s="113" t="s">
        <v>50</v>
      </c>
      <c r="C272" s="113" t="s">
        <v>45</v>
      </c>
      <c r="D272" s="4">
        <v>4</v>
      </c>
      <c r="E272" s="4">
        <v>2</v>
      </c>
      <c r="F272" s="106" t="str">
        <f t="shared" si="36"/>
        <v>Baixa</v>
      </c>
      <c r="G272" s="106" t="str">
        <f>CONCATENATE(B272,I272)</f>
        <v>CEL</v>
      </c>
      <c r="H272" s="4">
        <f t="shared" si="32"/>
        <v>3</v>
      </c>
      <c r="I272" s="105" t="str">
        <f t="shared" si="33"/>
        <v>L</v>
      </c>
      <c r="J272" s="4" t="str">
        <f t="shared" si="34"/>
        <v>CEI</v>
      </c>
      <c r="K272" s="106">
        <f t="shared" si="35"/>
        <v>3</v>
      </c>
      <c r="L272" s="106">
        <f>IF(NOT(ISERROR(VLOOKUP(B272,Deflatores!G$42:H$64,2,FALSE))),VLOOKUP(B272,Deflatores!G$42:H$64,2,FALSE),IF(OR(ISBLANK(C272),ISBLANK(B272)),"",VLOOKUP(C272,Deflatores!G$4:H$38,2,FALSE)*H272+VLOOKUP(C272,Deflatores!G$4:I$38,3,FALSE)))</f>
        <v>3</v>
      </c>
      <c r="M272" s="106"/>
      <c r="N272" s="106"/>
      <c r="O272" s="106"/>
    </row>
    <row r="273" spans="1:15" x14ac:dyDescent="0.25">
      <c r="A273" s="112" t="s">
        <v>271</v>
      </c>
      <c r="B273" s="113" t="s">
        <v>48</v>
      </c>
      <c r="C273" s="113" t="s">
        <v>45</v>
      </c>
      <c r="D273" s="113">
        <v>3</v>
      </c>
      <c r="E273" s="4">
        <v>1</v>
      </c>
      <c r="F273" s="106" t="str">
        <f t="shared" si="36"/>
        <v>Baixa</v>
      </c>
      <c r="G273" s="106" t="str">
        <f>CONCATENATE(B273,I273)</f>
        <v>EEL</v>
      </c>
      <c r="H273" s="4">
        <f t="shared" si="32"/>
        <v>3</v>
      </c>
      <c r="I273" s="105" t="str">
        <f t="shared" si="33"/>
        <v>L</v>
      </c>
      <c r="J273" s="4" t="str">
        <f t="shared" si="34"/>
        <v>EEI</v>
      </c>
      <c r="K273" s="106">
        <f t="shared" si="35"/>
        <v>3</v>
      </c>
      <c r="L273" s="106">
        <f>IF(NOT(ISERROR(VLOOKUP(B273,Deflatores!G$42:H$64,2,FALSE))),VLOOKUP(B273,Deflatores!G$42:H$64,2,FALSE),IF(OR(ISBLANK(C273),ISBLANK(B273)),"",VLOOKUP(C273,Deflatores!G$4:H$38,2,FALSE)*H273+VLOOKUP(C273,Deflatores!G$4:I$38,3,FALSE)))</f>
        <v>3</v>
      </c>
      <c r="M273" s="106"/>
      <c r="N273" s="106"/>
      <c r="O273" s="106"/>
    </row>
    <row r="274" spans="1:15" x14ac:dyDescent="0.25">
      <c r="A274" s="112" t="s">
        <v>272</v>
      </c>
      <c r="B274" s="113" t="s">
        <v>48</v>
      </c>
      <c r="C274" s="113" t="s">
        <v>45</v>
      </c>
      <c r="D274" s="113">
        <v>6</v>
      </c>
      <c r="E274" s="4">
        <v>2</v>
      </c>
      <c r="F274" s="106" t="str">
        <f t="shared" si="36"/>
        <v>Média</v>
      </c>
      <c r="G274" s="106" t="str">
        <f t="shared" si="37"/>
        <v>EEA</v>
      </c>
      <c r="H274" s="4">
        <f t="shared" si="32"/>
        <v>4</v>
      </c>
      <c r="I274" s="105" t="str">
        <f t="shared" si="33"/>
        <v>A</v>
      </c>
      <c r="J274" s="4" t="str">
        <f t="shared" si="34"/>
        <v>EEI</v>
      </c>
      <c r="K274" s="106">
        <f t="shared" si="35"/>
        <v>4</v>
      </c>
      <c r="L274" s="106">
        <f>IF(NOT(ISERROR(VLOOKUP(B274,Deflatores!G$42:H$64,2,FALSE))),VLOOKUP(B274,Deflatores!G$42:H$64,2,FALSE),IF(OR(ISBLANK(C274),ISBLANK(B274)),"",VLOOKUP(C274,Deflatores!G$4:H$38,2,FALSE)*H274+VLOOKUP(C274,Deflatores!G$4:I$38,3,FALSE)))</f>
        <v>4</v>
      </c>
      <c r="M274" s="106"/>
      <c r="N274" s="106"/>
      <c r="O274" s="106"/>
    </row>
    <row r="275" spans="1:15" x14ac:dyDescent="0.25">
      <c r="A275" s="112"/>
      <c r="B275" s="113"/>
      <c r="C275" s="113"/>
      <c r="D275" s="113"/>
      <c r="E275" s="113"/>
      <c r="F275" s="106" t="str">
        <f t="shared" si="36"/>
        <v/>
      </c>
      <c r="G275" s="106" t="str">
        <f t="shared" si="37"/>
        <v/>
      </c>
      <c r="H275" s="4" t="str">
        <f t="shared" si="32"/>
        <v/>
      </c>
      <c r="I275" s="105" t="str">
        <f t="shared" si="33"/>
        <v/>
      </c>
      <c r="J275" s="4" t="str">
        <f t="shared" si="34"/>
        <v/>
      </c>
      <c r="K275" s="106" t="str">
        <f t="shared" si="35"/>
        <v/>
      </c>
      <c r="L275" s="106" t="str">
        <f>IF(NOT(ISERROR(VLOOKUP(B275,Deflatores!G$42:H$64,2,FALSE))),VLOOKUP(B275,Deflatores!G$42:H$64,2,FALSE),IF(OR(ISBLANK(C275),ISBLANK(B275)),"",VLOOKUP(C275,Deflatores!G$4:H$38,2,FALSE)*H275+VLOOKUP(C275,Deflatores!G$4:I$38,3,FALSE)))</f>
        <v/>
      </c>
      <c r="M275" s="106"/>
      <c r="N275" s="106"/>
      <c r="O275" s="106"/>
    </row>
    <row r="276" spans="1:15" x14ac:dyDescent="0.25">
      <c r="A276" s="115" t="s">
        <v>273</v>
      </c>
      <c r="B276" s="113"/>
      <c r="C276" s="113"/>
      <c r="D276" s="113"/>
      <c r="E276" s="113"/>
      <c r="F276" s="106" t="str">
        <f>IF(ISBLANK(B276),"",IF(I276="L","Baixa",IF(I276="A","Média",IF(I276="","","Alta"))))</f>
        <v/>
      </c>
      <c r="G276" s="106" t="str">
        <f>CONCATENATE(B276,I276)</f>
        <v/>
      </c>
      <c r="H276" s="4" t="str">
        <f t="shared" si="32"/>
        <v/>
      </c>
      <c r="I276" s="105" t="str">
        <f t="shared" si="33"/>
        <v/>
      </c>
      <c r="J276" s="4" t="str">
        <f t="shared" si="34"/>
        <v/>
      </c>
      <c r="K276" s="106" t="str">
        <f t="shared" si="35"/>
        <v/>
      </c>
      <c r="L276" s="106" t="str">
        <f>IF(NOT(ISERROR(VLOOKUP(B276,Deflatores!G$42:H$64,2,FALSE))),VLOOKUP(B276,Deflatores!G$42:H$64,2,FALSE),IF(OR(ISBLANK(C276),ISBLANK(B276)),"",VLOOKUP(C276,Deflatores!G$4:H$38,2,FALSE)*H276+VLOOKUP(C276,Deflatores!G$4:I$38,3,FALSE)))</f>
        <v/>
      </c>
      <c r="M276" s="106"/>
      <c r="N276" s="106"/>
      <c r="O276" s="106"/>
    </row>
    <row r="277" spans="1:15" x14ac:dyDescent="0.25">
      <c r="A277" s="112" t="s">
        <v>274</v>
      </c>
      <c r="B277" s="113" t="s">
        <v>44</v>
      </c>
      <c r="C277" s="113" t="s">
        <v>45</v>
      </c>
      <c r="D277" s="4">
        <v>10</v>
      </c>
      <c r="E277" s="4">
        <v>1</v>
      </c>
      <c r="F277" s="106" t="str">
        <f t="shared" si="36"/>
        <v>Baixa</v>
      </c>
      <c r="G277" s="106" t="str">
        <f t="shared" si="37"/>
        <v>ALIL</v>
      </c>
      <c r="H277" s="4">
        <f t="shared" si="32"/>
        <v>7</v>
      </c>
      <c r="I277" s="105" t="str">
        <f t="shared" si="33"/>
        <v>L</v>
      </c>
      <c r="J277" s="4" t="str">
        <f t="shared" si="34"/>
        <v>ALII</v>
      </c>
      <c r="K277" s="106">
        <f t="shared" si="35"/>
        <v>7</v>
      </c>
      <c r="L277" s="106">
        <f>IF(NOT(ISERROR(VLOOKUP(B277,Deflatores!G$42:H$64,2,FALSE))),VLOOKUP(B277,Deflatores!G$42:H$64,2,FALSE),IF(OR(ISBLANK(C277),ISBLANK(B277)),"",VLOOKUP(C277,Deflatores!G$4:H$38,2,FALSE)*H277+VLOOKUP(C277,Deflatores!G$4:I$38,3,FALSE)))</f>
        <v>7</v>
      </c>
      <c r="M277" s="106"/>
      <c r="N277" s="106"/>
      <c r="O277" s="106"/>
    </row>
    <row r="278" spans="1:15" x14ac:dyDescent="0.25">
      <c r="A278" s="112" t="s">
        <v>275</v>
      </c>
      <c r="B278" s="113" t="s">
        <v>48</v>
      </c>
      <c r="C278" s="113" t="s">
        <v>45</v>
      </c>
      <c r="D278" s="4">
        <v>8</v>
      </c>
      <c r="E278" s="4">
        <v>3</v>
      </c>
      <c r="F278" s="106" t="str">
        <f t="shared" ref="F278:F284" si="38">IF(ISBLANK(B278),"",IF(I278="L","Baixa",IF(I278="A","Média",IF(I278="","","Alta"))))</f>
        <v>Alta</v>
      </c>
      <c r="G278" s="106" t="str">
        <f t="shared" ref="G278:G284" si="39">CONCATENATE(B278,I278)</f>
        <v>EEH</v>
      </c>
      <c r="H278" s="4">
        <f t="shared" si="32"/>
        <v>6</v>
      </c>
      <c r="I278" s="105" t="str">
        <f t="shared" si="33"/>
        <v>H</v>
      </c>
      <c r="J278" s="4" t="str">
        <f t="shared" si="34"/>
        <v>EEI</v>
      </c>
      <c r="K278" s="106">
        <f t="shared" si="35"/>
        <v>6</v>
      </c>
      <c r="L278" s="106">
        <f>IF(NOT(ISERROR(VLOOKUP(B278,Deflatores!G$42:H$64,2,FALSE))),VLOOKUP(B278,Deflatores!G$42:H$64,2,FALSE),IF(OR(ISBLANK(C278),ISBLANK(B278)),"",VLOOKUP(C278,Deflatores!G$4:H$38,2,FALSE)*H278+VLOOKUP(C278,Deflatores!G$4:I$38,3,FALSE)))</f>
        <v>6</v>
      </c>
      <c r="M278" s="106"/>
      <c r="N278" s="106"/>
      <c r="O278" s="106"/>
    </row>
    <row r="279" spans="1:15" x14ac:dyDescent="0.25">
      <c r="A279" s="112" t="s">
        <v>276</v>
      </c>
      <c r="B279" s="113" t="s">
        <v>48</v>
      </c>
      <c r="C279" s="113" t="s">
        <v>45</v>
      </c>
      <c r="D279" s="4">
        <v>6</v>
      </c>
      <c r="E279" s="4">
        <v>3</v>
      </c>
      <c r="F279" s="106" t="str">
        <f t="shared" si="38"/>
        <v>Alta</v>
      </c>
      <c r="G279" s="106" t="str">
        <f t="shared" si="39"/>
        <v>EEH</v>
      </c>
      <c r="H279" s="4">
        <f t="shared" si="32"/>
        <v>6</v>
      </c>
      <c r="I279" s="105" t="str">
        <f t="shared" si="33"/>
        <v>H</v>
      </c>
      <c r="J279" s="4" t="str">
        <f t="shared" si="34"/>
        <v>EEI</v>
      </c>
      <c r="K279" s="106">
        <f t="shared" si="35"/>
        <v>6</v>
      </c>
      <c r="L279" s="106">
        <f>IF(NOT(ISERROR(VLOOKUP(B279,Deflatores!G$42:H$64,2,FALSE))),VLOOKUP(B279,Deflatores!G$42:H$64,2,FALSE),IF(OR(ISBLANK(C279),ISBLANK(B279)),"",VLOOKUP(C279,Deflatores!G$4:H$38,2,FALSE)*H279+VLOOKUP(C279,Deflatores!G$4:I$38,3,FALSE)))</f>
        <v>6</v>
      </c>
      <c r="M279" s="106"/>
      <c r="N279" s="106"/>
      <c r="O279" s="106"/>
    </row>
    <row r="280" spans="1:15" x14ac:dyDescent="0.25">
      <c r="A280" s="114" t="s">
        <v>136</v>
      </c>
      <c r="B280" s="113" t="s">
        <v>50</v>
      </c>
      <c r="C280" s="113" t="s">
        <v>45</v>
      </c>
      <c r="D280" s="4">
        <v>10</v>
      </c>
      <c r="E280" s="4">
        <v>3</v>
      </c>
      <c r="F280" s="106" t="str">
        <f t="shared" si="38"/>
        <v>Média</v>
      </c>
      <c r="G280" s="106" t="str">
        <f t="shared" si="39"/>
        <v>CEA</v>
      </c>
      <c r="H280" s="4">
        <f t="shared" si="32"/>
        <v>4</v>
      </c>
      <c r="I280" s="105" t="str">
        <f t="shared" si="33"/>
        <v>A</v>
      </c>
      <c r="J280" s="4" t="str">
        <f t="shared" si="34"/>
        <v>CEI</v>
      </c>
      <c r="K280" s="106">
        <f t="shared" si="35"/>
        <v>4</v>
      </c>
      <c r="L280" s="106">
        <f>IF(NOT(ISERROR(VLOOKUP(B280,Deflatores!G$42:H$64,2,FALSE))),VLOOKUP(B280,Deflatores!G$42:H$64,2,FALSE),IF(OR(ISBLANK(C280),ISBLANK(B280)),"",VLOOKUP(C280,Deflatores!G$4:H$38,2,FALSE)*H280+VLOOKUP(C280,Deflatores!G$4:I$38,3,FALSE)))</f>
        <v>4</v>
      </c>
      <c r="M280" s="106"/>
      <c r="N280" s="106"/>
      <c r="O280" s="106"/>
    </row>
    <row r="281" spans="1:15" x14ac:dyDescent="0.25">
      <c r="A281" s="112" t="s">
        <v>277</v>
      </c>
      <c r="B281" s="113" t="s">
        <v>50</v>
      </c>
      <c r="C281" s="113" t="s">
        <v>45</v>
      </c>
      <c r="D281" s="4">
        <v>12</v>
      </c>
      <c r="E281" s="4">
        <v>3</v>
      </c>
      <c r="F281" s="106" t="str">
        <f t="shared" si="38"/>
        <v>Média</v>
      </c>
      <c r="G281" s="106" t="str">
        <f t="shared" si="39"/>
        <v>CEA</v>
      </c>
      <c r="H281" s="4">
        <f t="shared" si="32"/>
        <v>4</v>
      </c>
      <c r="I281" s="105" t="str">
        <f t="shared" si="33"/>
        <v>A</v>
      </c>
      <c r="J281" s="4" t="str">
        <f t="shared" si="34"/>
        <v>CEI</v>
      </c>
      <c r="K281" s="106">
        <f t="shared" si="35"/>
        <v>4</v>
      </c>
      <c r="L281" s="106">
        <f>IF(NOT(ISERROR(VLOOKUP(B281,Deflatores!G$42:H$64,2,FALSE))),VLOOKUP(B281,Deflatores!G$42:H$64,2,FALSE),IF(OR(ISBLANK(C281),ISBLANK(B281)),"",VLOOKUP(C281,Deflatores!G$4:H$38,2,FALSE)*H281+VLOOKUP(C281,Deflatores!G$4:I$38,3,FALSE)))</f>
        <v>4</v>
      </c>
      <c r="M281" s="106"/>
      <c r="N281" s="106"/>
      <c r="O281" s="106"/>
    </row>
    <row r="282" spans="1:15" x14ac:dyDescent="0.25">
      <c r="A282" s="112" t="s">
        <v>267</v>
      </c>
      <c r="B282" s="113" t="s">
        <v>50</v>
      </c>
      <c r="C282" s="113" t="s">
        <v>45</v>
      </c>
      <c r="D282" s="4">
        <v>10</v>
      </c>
      <c r="E282" s="4">
        <v>2</v>
      </c>
      <c r="F282" s="106" t="str">
        <f t="shared" si="38"/>
        <v>Média</v>
      </c>
      <c r="G282" s="106" t="str">
        <f t="shared" si="39"/>
        <v>CEA</v>
      </c>
      <c r="H282" s="4">
        <f t="shared" si="32"/>
        <v>4</v>
      </c>
      <c r="I282" s="105" t="str">
        <f t="shared" si="33"/>
        <v>A</v>
      </c>
      <c r="J282" s="4" t="str">
        <f t="shared" si="34"/>
        <v>CEI</v>
      </c>
      <c r="K282" s="106">
        <f t="shared" si="35"/>
        <v>4</v>
      </c>
      <c r="L282" s="106">
        <f>IF(NOT(ISERROR(VLOOKUP(B282,Deflatores!G$42:H$64,2,FALSE))),VLOOKUP(B282,Deflatores!G$42:H$64,2,FALSE),IF(OR(ISBLANK(C282),ISBLANK(B282)),"",VLOOKUP(C282,Deflatores!G$4:H$38,2,FALSE)*H282+VLOOKUP(C282,Deflatores!G$4:I$38,3,FALSE)))</f>
        <v>4</v>
      </c>
      <c r="M282" s="106"/>
      <c r="N282" s="106"/>
      <c r="O282" s="106"/>
    </row>
    <row r="283" spans="1:15" x14ac:dyDescent="0.25">
      <c r="A283" s="112" t="s">
        <v>271</v>
      </c>
      <c r="B283" s="113" t="s">
        <v>48</v>
      </c>
      <c r="C283" s="113" t="s">
        <v>45</v>
      </c>
      <c r="D283" s="113">
        <v>3</v>
      </c>
      <c r="E283" s="4">
        <v>1</v>
      </c>
      <c r="F283" s="106" t="str">
        <f t="shared" si="38"/>
        <v>Baixa</v>
      </c>
      <c r="G283" s="106" t="str">
        <f t="shared" si="39"/>
        <v>EEL</v>
      </c>
      <c r="H283" s="4">
        <f t="shared" si="32"/>
        <v>3</v>
      </c>
      <c r="I283" s="105" t="str">
        <f t="shared" si="33"/>
        <v>L</v>
      </c>
      <c r="J283" s="4" t="str">
        <f t="shared" si="34"/>
        <v>EEI</v>
      </c>
      <c r="K283" s="106">
        <f t="shared" si="35"/>
        <v>3</v>
      </c>
      <c r="L283" s="106">
        <f>IF(NOT(ISERROR(VLOOKUP(B283,Deflatores!G$42:H$64,2,FALSE))),VLOOKUP(B283,Deflatores!G$42:H$64,2,FALSE),IF(OR(ISBLANK(C283),ISBLANK(B283)),"",VLOOKUP(C283,Deflatores!G$4:H$38,2,FALSE)*H283+VLOOKUP(C283,Deflatores!G$4:I$38,3,FALSE)))</f>
        <v>3</v>
      </c>
      <c r="M283" s="106"/>
      <c r="N283" s="106"/>
      <c r="O283" s="106"/>
    </row>
    <row r="284" spans="1:15" x14ac:dyDescent="0.25">
      <c r="A284" s="112" t="s">
        <v>278</v>
      </c>
      <c r="B284" s="113" t="s">
        <v>50</v>
      </c>
      <c r="C284" s="113" t="s">
        <v>45</v>
      </c>
      <c r="D284" s="113">
        <v>4</v>
      </c>
      <c r="E284" s="4">
        <v>1</v>
      </c>
      <c r="F284" s="106" t="str">
        <f t="shared" si="38"/>
        <v>Baixa</v>
      </c>
      <c r="G284" s="106" t="str">
        <f t="shared" si="39"/>
        <v>CEL</v>
      </c>
      <c r="H284" s="4">
        <f t="shared" si="32"/>
        <v>3</v>
      </c>
      <c r="I284" s="105" t="str">
        <f t="shared" si="33"/>
        <v>L</v>
      </c>
      <c r="J284" s="4" t="str">
        <f t="shared" si="34"/>
        <v>CEI</v>
      </c>
      <c r="K284" s="106">
        <f t="shared" si="35"/>
        <v>3</v>
      </c>
      <c r="L284" s="106">
        <f>IF(NOT(ISERROR(VLOOKUP(B284,Deflatores!G$42:H$64,2,FALSE))),VLOOKUP(B284,Deflatores!G$42:H$64,2,FALSE),IF(OR(ISBLANK(C284),ISBLANK(B284)),"",VLOOKUP(C284,Deflatores!G$4:H$38,2,FALSE)*H284+VLOOKUP(C284,Deflatores!G$4:I$38,3,FALSE)))</f>
        <v>3</v>
      </c>
      <c r="M284" s="106"/>
      <c r="N284" s="106"/>
      <c r="O284" s="106"/>
    </row>
    <row r="285" spans="1:15" x14ac:dyDescent="0.25">
      <c r="A285" s="112" t="s">
        <v>268</v>
      </c>
      <c r="B285" s="113" t="s">
        <v>50</v>
      </c>
      <c r="C285" s="113" t="s">
        <v>45</v>
      </c>
      <c r="D285" s="4">
        <v>13</v>
      </c>
      <c r="E285" s="4">
        <v>3</v>
      </c>
      <c r="F285" s="106" t="str">
        <f t="shared" ref="F285:F339" si="40">IF(ISBLANK(B285),"",IF(I285="L","Baixa",IF(I285="A","Média",IF(I285="","","Alta"))))</f>
        <v>Média</v>
      </c>
      <c r="G285" s="106" t="str">
        <f t="shared" ref="G285:G339" si="41">CONCATENATE(B285,I285)</f>
        <v>CEA</v>
      </c>
      <c r="H285" s="4">
        <f t="shared" si="32"/>
        <v>4</v>
      </c>
      <c r="I285" s="105" t="str">
        <f t="shared" si="33"/>
        <v>A</v>
      </c>
      <c r="J285" s="4" t="str">
        <f t="shared" si="34"/>
        <v>CEI</v>
      </c>
      <c r="K285" s="106">
        <f t="shared" si="35"/>
        <v>4</v>
      </c>
      <c r="L285" s="106">
        <f>IF(NOT(ISERROR(VLOOKUP(B285,Deflatores!G$42:H$64,2,FALSE))),VLOOKUP(B285,Deflatores!G$42:H$64,2,FALSE),IF(OR(ISBLANK(C285),ISBLANK(B285)),"",VLOOKUP(C285,Deflatores!G$4:H$38,2,FALSE)*H285+VLOOKUP(C285,Deflatores!G$4:I$38,3,FALSE)))</f>
        <v>4</v>
      </c>
      <c r="M285" s="106"/>
      <c r="N285" s="106"/>
      <c r="O285" s="106"/>
    </row>
    <row r="286" spans="1:15" x14ac:dyDescent="0.25">
      <c r="A286" s="112"/>
      <c r="B286" s="113"/>
      <c r="C286" s="113"/>
      <c r="D286" s="4"/>
      <c r="E286" s="4"/>
      <c r="F286" s="106" t="str">
        <f t="shared" si="40"/>
        <v/>
      </c>
      <c r="G286" s="106" t="str">
        <f t="shared" si="41"/>
        <v/>
      </c>
      <c r="H286" s="4" t="str">
        <f t="shared" si="32"/>
        <v/>
      </c>
      <c r="I286" s="105" t="str">
        <f t="shared" si="33"/>
        <v/>
      </c>
      <c r="J286" s="4" t="str">
        <f t="shared" si="34"/>
        <v/>
      </c>
      <c r="K286" s="106" t="str">
        <f t="shared" si="35"/>
        <v/>
      </c>
      <c r="L286" s="106" t="str">
        <f>IF(NOT(ISERROR(VLOOKUP(B286,Deflatores!G$42:H$64,2,FALSE))),VLOOKUP(B286,Deflatores!G$42:H$64,2,FALSE),IF(OR(ISBLANK(C286),ISBLANK(B286)),"",VLOOKUP(C286,Deflatores!G$4:H$38,2,FALSE)*H286+VLOOKUP(C286,Deflatores!G$4:I$38,3,FALSE)))</f>
        <v/>
      </c>
      <c r="M286" s="106"/>
      <c r="N286" s="106"/>
      <c r="O286" s="106"/>
    </row>
    <row r="287" spans="1:15" x14ac:dyDescent="0.25">
      <c r="A287" s="115" t="s">
        <v>279</v>
      </c>
      <c r="B287" s="113"/>
      <c r="C287" s="113"/>
      <c r="D287" s="4"/>
      <c r="E287" s="4"/>
      <c r="F287" s="106" t="str">
        <f t="shared" si="40"/>
        <v/>
      </c>
      <c r="G287" s="106" t="str">
        <f t="shared" si="41"/>
        <v/>
      </c>
      <c r="H287" s="4" t="str">
        <f t="shared" si="32"/>
        <v/>
      </c>
      <c r="I287" s="105" t="str">
        <f t="shared" si="33"/>
        <v/>
      </c>
      <c r="J287" s="4" t="str">
        <f t="shared" si="34"/>
        <v/>
      </c>
      <c r="K287" s="106" t="str">
        <f t="shared" si="35"/>
        <v/>
      </c>
      <c r="L287" s="106" t="str">
        <f>IF(NOT(ISERROR(VLOOKUP(B287,Deflatores!G$42:H$64,2,FALSE))),VLOOKUP(B287,Deflatores!G$42:H$64,2,FALSE),IF(OR(ISBLANK(C287),ISBLANK(B287)),"",VLOOKUP(C287,Deflatores!G$4:H$38,2,FALSE)*H287+VLOOKUP(C287,Deflatores!G$4:I$38,3,FALSE)))</f>
        <v/>
      </c>
      <c r="M287" s="106"/>
      <c r="N287" s="106"/>
      <c r="O287" s="106"/>
    </row>
    <row r="288" spans="1:15" x14ac:dyDescent="0.25">
      <c r="A288" s="112" t="s">
        <v>275</v>
      </c>
      <c r="B288" s="113" t="s">
        <v>48</v>
      </c>
      <c r="C288" s="113" t="s">
        <v>45</v>
      </c>
      <c r="D288" s="4">
        <v>5</v>
      </c>
      <c r="E288" s="4">
        <v>1</v>
      </c>
      <c r="F288" s="106" t="str">
        <f t="shared" si="40"/>
        <v>Baixa</v>
      </c>
      <c r="G288" s="106" t="str">
        <f t="shared" si="41"/>
        <v>EEL</v>
      </c>
      <c r="H288" s="4">
        <f t="shared" si="32"/>
        <v>3</v>
      </c>
      <c r="I288" s="105" t="str">
        <f t="shared" si="33"/>
        <v>L</v>
      </c>
      <c r="J288" s="4" t="str">
        <f t="shared" si="34"/>
        <v>EEI</v>
      </c>
      <c r="K288" s="106">
        <f t="shared" si="35"/>
        <v>3</v>
      </c>
      <c r="L288" s="106">
        <f>IF(NOT(ISERROR(VLOOKUP(B288,Deflatores!G$42:H$64,2,FALSE))),VLOOKUP(B288,Deflatores!G$42:H$64,2,FALSE),IF(OR(ISBLANK(C288),ISBLANK(B288)),"",VLOOKUP(C288,Deflatores!G$4:H$38,2,FALSE)*H288+VLOOKUP(C288,Deflatores!G$4:I$38,3,FALSE)))</f>
        <v>3</v>
      </c>
      <c r="M288" s="106"/>
      <c r="N288" s="106"/>
      <c r="O288" s="106"/>
    </row>
    <row r="289" spans="1:15" x14ac:dyDescent="0.25">
      <c r="A289" s="112" t="s">
        <v>276</v>
      </c>
      <c r="B289" s="113" t="s">
        <v>48</v>
      </c>
      <c r="C289" s="113" t="s">
        <v>45</v>
      </c>
      <c r="D289" s="4">
        <v>5</v>
      </c>
      <c r="E289" s="4">
        <v>1</v>
      </c>
      <c r="F289" s="106" t="str">
        <f t="shared" si="40"/>
        <v>Baixa</v>
      </c>
      <c r="G289" s="106" t="str">
        <f t="shared" si="41"/>
        <v>EEL</v>
      </c>
      <c r="H289" s="4">
        <f t="shared" si="32"/>
        <v>3</v>
      </c>
      <c r="I289" s="105" t="str">
        <f t="shared" si="33"/>
        <v>L</v>
      </c>
      <c r="J289" s="4" t="str">
        <f t="shared" si="34"/>
        <v>EEI</v>
      </c>
      <c r="K289" s="106">
        <f t="shared" si="35"/>
        <v>3</v>
      </c>
      <c r="L289" s="106">
        <f>IF(NOT(ISERROR(VLOOKUP(B289,Deflatores!G$42:H$64,2,FALSE))),VLOOKUP(B289,Deflatores!G$42:H$64,2,FALSE),IF(OR(ISBLANK(C289),ISBLANK(B289)),"",VLOOKUP(C289,Deflatores!G$4:H$38,2,FALSE)*H289+VLOOKUP(C289,Deflatores!G$4:I$38,3,FALSE)))</f>
        <v>3</v>
      </c>
      <c r="M289" s="106"/>
      <c r="N289" s="106"/>
      <c r="O289" s="106"/>
    </row>
    <row r="290" spans="1:15" x14ac:dyDescent="0.25">
      <c r="A290" s="114" t="s">
        <v>136</v>
      </c>
      <c r="B290" s="113" t="s">
        <v>50</v>
      </c>
      <c r="C290" s="113" t="s">
        <v>45</v>
      </c>
      <c r="D290" s="4">
        <v>3</v>
      </c>
      <c r="E290" s="4">
        <v>1</v>
      </c>
      <c r="F290" s="106" t="str">
        <f t="shared" si="40"/>
        <v>Baixa</v>
      </c>
      <c r="G290" s="106" t="str">
        <f t="shared" si="41"/>
        <v>CEL</v>
      </c>
      <c r="H290" s="4">
        <f t="shared" si="32"/>
        <v>3</v>
      </c>
      <c r="I290" s="105" t="str">
        <f t="shared" si="33"/>
        <v>L</v>
      </c>
      <c r="J290" s="4" t="str">
        <f t="shared" si="34"/>
        <v>CEI</v>
      </c>
      <c r="K290" s="106">
        <f t="shared" si="35"/>
        <v>3</v>
      </c>
      <c r="L290" s="106">
        <f>IF(NOT(ISERROR(VLOOKUP(B290,Deflatores!G$42:H$64,2,FALSE))),VLOOKUP(B290,Deflatores!G$42:H$64,2,FALSE),IF(OR(ISBLANK(C290),ISBLANK(B290)),"",VLOOKUP(C290,Deflatores!G$4:H$38,2,FALSE)*H290+VLOOKUP(C290,Deflatores!G$4:I$38,3,FALSE)))</f>
        <v>3</v>
      </c>
      <c r="M290" s="106"/>
      <c r="N290" s="106"/>
      <c r="O290" s="106"/>
    </row>
    <row r="291" spans="1:15" x14ac:dyDescent="0.25">
      <c r="A291" s="112" t="s">
        <v>267</v>
      </c>
      <c r="B291" s="113" t="s">
        <v>50</v>
      </c>
      <c r="C291" s="113" t="s">
        <v>45</v>
      </c>
      <c r="D291" s="4">
        <v>7</v>
      </c>
      <c r="E291" s="4">
        <v>2</v>
      </c>
      <c r="F291" s="106" t="str">
        <f t="shared" si="40"/>
        <v>Média</v>
      </c>
      <c r="G291" s="106" t="str">
        <f t="shared" si="41"/>
        <v>CEA</v>
      </c>
      <c r="H291" s="4">
        <f t="shared" si="32"/>
        <v>4</v>
      </c>
      <c r="I291" s="105" t="str">
        <f t="shared" si="33"/>
        <v>A</v>
      </c>
      <c r="J291" s="4" t="str">
        <f t="shared" si="34"/>
        <v>CEI</v>
      </c>
      <c r="K291" s="106">
        <f t="shared" si="35"/>
        <v>4</v>
      </c>
      <c r="L291" s="106">
        <f>IF(NOT(ISERROR(VLOOKUP(B291,Deflatores!G$42:H$64,2,FALSE))),VLOOKUP(B291,Deflatores!G$42:H$64,2,FALSE),IF(OR(ISBLANK(C291),ISBLANK(B291)),"",VLOOKUP(C291,Deflatores!G$4:H$38,2,FALSE)*H291+VLOOKUP(C291,Deflatores!G$4:I$38,3,FALSE)))</f>
        <v>4</v>
      </c>
      <c r="M291" s="106"/>
      <c r="N291" s="106"/>
      <c r="O291" s="106"/>
    </row>
    <row r="292" spans="1:15" x14ac:dyDescent="0.25">
      <c r="A292" s="112" t="s">
        <v>280</v>
      </c>
      <c r="B292" s="113" t="s">
        <v>50</v>
      </c>
      <c r="C292" s="113" t="s">
        <v>45</v>
      </c>
      <c r="D292" s="4">
        <v>5</v>
      </c>
      <c r="E292" s="4">
        <v>1</v>
      </c>
      <c r="F292" s="106" t="str">
        <f t="shared" si="40"/>
        <v>Baixa</v>
      </c>
      <c r="G292" s="106" t="str">
        <f t="shared" si="41"/>
        <v>CEL</v>
      </c>
      <c r="H292" s="4">
        <f t="shared" si="32"/>
        <v>3</v>
      </c>
      <c r="I292" s="105" t="str">
        <f t="shared" si="33"/>
        <v>L</v>
      </c>
      <c r="J292" s="4" t="str">
        <f t="shared" si="34"/>
        <v>CEI</v>
      </c>
      <c r="K292" s="106">
        <f t="shared" si="35"/>
        <v>3</v>
      </c>
      <c r="L292" s="106">
        <f>IF(NOT(ISERROR(VLOOKUP(B292,Deflatores!G$42:H$64,2,FALSE))),VLOOKUP(B292,Deflatores!G$42:H$64,2,FALSE),IF(OR(ISBLANK(C292),ISBLANK(B292)),"",VLOOKUP(C292,Deflatores!G$4:H$38,2,FALSE)*H292+VLOOKUP(C292,Deflatores!G$4:I$38,3,FALSE)))</f>
        <v>3</v>
      </c>
      <c r="M292" s="106"/>
      <c r="N292" s="106"/>
      <c r="O292" s="106"/>
    </row>
    <row r="293" spans="1:15" x14ac:dyDescent="0.25">
      <c r="A293" s="112" t="s">
        <v>271</v>
      </c>
      <c r="B293" s="113" t="s">
        <v>48</v>
      </c>
      <c r="C293" s="113" t="s">
        <v>45</v>
      </c>
      <c r="D293" s="113">
        <v>3</v>
      </c>
      <c r="E293" s="4">
        <v>1</v>
      </c>
      <c r="F293" s="106" t="str">
        <f t="shared" si="40"/>
        <v>Baixa</v>
      </c>
      <c r="G293" s="106" t="str">
        <f t="shared" si="41"/>
        <v>EEL</v>
      </c>
      <c r="H293" s="4">
        <f t="shared" si="32"/>
        <v>3</v>
      </c>
      <c r="I293" s="105" t="str">
        <f t="shared" si="33"/>
        <v>L</v>
      </c>
      <c r="J293" s="4" t="str">
        <f t="shared" si="34"/>
        <v>EEI</v>
      </c>
      <c r="K293" s="106">
        <f t="shared" si="35"/>
        <v>3</v>
      </c>
      <c r="L293" s="106">
        <f>IF(NOT(ISERROR(VLOOKUP(B293,Deflatores!G$42:H$64,2,FALSE))),VLOOKUP(B293,Deflatores!G$42:H$64,2,FALSE),IF(OR(ISBLANK(C293),ISBLANK(B293)),"",VLOOKUP(C293,Deflatores!G$4:H$38,2,FALSE)*H293+VLOOKUP(C293,Deflatores!G$4:I$38,3,FALSE)))</f>
        <v>3</v>
      </c>
      <c r="M293" s="106"/>
      <c r="N293" s="106"/>
      <c r="O293" s="106"/>
    </row>
    <row r="294" spans="1:15" x14ac:dyDescent="0.25">
      <c r="A294" s="112" t="s">
        <v>281</v>
      </c>
      <c r="B294" s="113" t="s">
        <v>50</v>
      </c>
      <c r="C294" s="113" t="s">
        <v>45</v>
      </c>
      <c r="D294" s="113">
        <v>4</v>
      </c>
      <c r="E294" s="4">
        <v>1</v>
      </c>
      <c r="F294" s="106" t="str">
        <f t="shared" si="40"/>
        <v>Baixa</v>
      </c>
      <c r="G294" s="106" t="str">
        <f t="shared" si="41"/>
        <v>CEL</v>
      </c>
      <c r="H294" s="4">
        <f t="shared" si="32"/>
        <v>3</v>
      </c>
      <c r="I294" s="105" t="str">
        <f t="shared" si="33"/>
        <v>L</v>
      </c>
      <c r="J294" s="4" t="str">
        <f t="shared" si="34"/>
        <v>CEI</v>
      </c>
      <c r="K294" s="106">
        <f t="shared" si="35"/>
        <v>3</v>
      </c>
      <c r="L294" s="106">
        <f>IF(NOT(ISERROR(VLOOKUP(B294,Deflatores!G$42:H$64,2,FALSE))),VLOOKUP(B294,Deflatores!G$42:H$64,2,FALSE),IF(OR(ISBLANK(C294),ISBLANK(B294)),"",VLOOKUP(C294,Deflatores!G$4:H$38,2,FALSE)*H294+VLOOKUP(C294,Deflatores!G$4:I$38,3,FALSE)))</f>
        <v>3</v>
      </c>
      <c r="M294" s="106"/>
      <c r="N294" s="106"/>
      <c r="O294" s="106"/>
    </row>
    <row r="295" spans="1:15" x14ac:dyDescent="0.25">
      <c r="A295" s="112" t="s">
        <v>282</v>
      </c>
      <c r="B295" s="113" t="s">
        <v>48</v>
      </c>
      <c r="C295" s="113" t="s">
        <v>45</v>
      </c>
      <c r="D295" s="113">
        <v>73</v>
      </c>
      <c r="E295" s="4">
        <v>2</v>
      </c>
      <c r="F295" s="106" t="str">
        <f t="shared" si="40"/>
        <v>Alta</v>
      </c>
      <c r="G295" s="106" t="str">
        <f t="shared" si="41"/>
        <v>EEH</v>
      </c>
      <c r="H295" s="4">
        <f t="shared" si="32"/>
        <v>6</v>
      </c>
      <c r="I295" s="105" t="str">
        <f t="shared" si="33"/>
        <v>H</v>
      </c>
      <c r="J295" s="4" t="str">
        <f t="shared" si="34"/>
        <v>EEI</v>
      </c>
      <c r="K295" s="106">
        <f t="shared" si="35"/>
        <v>6</v>
      </c>
      <c r="L295" s="106">
        <f>IF(NOT(ISERROR(VLOOKUP(B295,Deflatores!G$42:H$64,2,FALSE))),VLOOKUP(B295,Deflatores!G$42:H$64,2,FALSE),IF(OR(ISBLANK(C295),ISBLANK(B295)),"",VLOOKUP(C295,Deflatores!G$4:H$38,2,FALSE)*H295+VLOOKUP(C295,Deflatores!G$4:I$38,3,FALSE)))</f>
        <v>6</v>
      </c>
      <c r="M295" s="106"/>
      <c r="N295" s="106"/>
      <c r="O295" s="106"/>
    </row>
    <row r="296" spans="1:15" s="117" customFormat="1" x14ac:dyDescent="0.25">
      <c r="A296" s="112" t="s">
        <v>283</v>
      </c>
      <c r="B296" s="113" t="s">
        <v>48</v>
      </c>
      <c r="C296" s="113" t="s">
        <v>45</v>
      </c>
      <c r="D296" s="113">
        <v>75</v>
      </c>
      <c r="E296" s="4">
        <v>1</v>
      </c>
      <c r="F296" s="106" t="str">
        <f t="shared" si="40"/>
        <v>Média</v>
      </c>
      <c r="G296" s="106" t="str">
        <f t="shared" si="41"/>
        <v>EEA</v>
      </c>
      <c r="H296" s="4">
        <f t="shared" si="32"/>
        <v>4</v>
      </c>
      <c r="I296" s="105" t="str">
        <f t="shared" si="33"/>
        <v>A</v>
      </c>
      <c r="J296" s="4" t="str">
        <f t="shared" si="34"/>
        <v>EEI</v>
      </c>
      <c r="K296" s="106">
        <f t="shared" si="35"/>
        <v>4</v>
      </c>
      <c r="L296" s="106">
        <f>IF(NOT(ISERROR(VLOOKUP(B296,Deflatores!G$42:H$64,2,FALSE))),VLOOKUP(B296,Deflatores!G$42:H$64,2,FALSE),IF(OR(ISBLANK(C296),ISBLANK(B296)),"",VLOOKUP(C296,Deflatores!G$4:H$38,2,FALSE)*H296+VLOOKUP(C296,Deflatores!G$4:I$38,3,FALSE)))</f>
        <v>4</v>
      </c>
      <c r="M296" s="116"/>
      <c r="N296" s="116"/>
      <c r="O296" s="116"/>
    </row>
    <row r="297" spans="1:15" x14ac:dyDescent="0.25">
      <c r="A297" s="112" t="s">
        <v>268</v>
      </c>
      <c r="B297" s="113" t="s">
        <v>50</v>
      </c>
      <c r="C297" s="113" t="s">
        <v>45</v>
      </c>
      <c r="D297" s="4">
        <v>9</v>
      </c>
      <c r="E297" s="4">
        <v>2</v>
      </c>
      <c r="F297" s="106" t="str">
        <f t="shared" si="40"/>
        <v>Média</v>
      </c>
      <c r="G297" s="106" t="str">
        <f t="shared" si="41"/>
        <v>CEA</v>
      </c>
      <c r="H297" s="4">
        <f t="shared" si="32"/>
        <v>4</v>
      </c>
      <c r="I297" s="105" t="str">
        <f t="shared" si="33"/>
        <v>A</v>
      </c>
      <c r="J297" s="4" t="str">
        <f t="shared" si="34"/>
        <v>CEI</v>
      </c>
      <c r="K297" s="106">
        <f t="shared" si="35"/>
        <v>4</v>
      </c>
      <c r="L297" s="106">
        <f>IF(NOT(ISERROR(VLOOKUP(B297,Deflatores!G$42:H$64,2,FALSE))),VLOOKUP(B297,Deflatores!G$42:H$64,2,FALSE),IF(OR(ISBLANK(C297),ISBLANK(B297)),"",VLOOKUP(C297,Deflatores!G$4:H$38,2,FALSE)*H297+VLOOKUP(C297,Deflatores!G$4:I$38,3,FALSE)))</f>
        <v>4</v>
      </c>
      <c r="M297" s="106"/>
      <c r="N297" s="106"/>
      <c r="O297" s="106"/>
    </row>
    <row r="298" spans="1:15" x14ac:dyDescent="0.25">
      <c r="A298" s="112"/>
      <c r="B298" s="113"/>
      <c r="C298" s="113"/>
      <c r="D298" s="4"/>
      <c r="E298" s="4"/>
      <c r="F298" s="106" t="str">
        <f t="shared" si="40"/>
        <v/>
      </c>
      <c r="G298" s="106" t="str">
        <f t="shared" si="41"/>
        <v/>
      </c>
      <c r="H298" s="4" t="str">
        <f t="shared" ref="H298:H379" si="42">IF(ISBLANK(B298),"",IF(B298="ALI",IF(I298="L",7,IF(I298="A",10,15)),IF(B298="AIE",IF(I298="L",5,IF(I298="A",7,10)),IF(B298="SE",IF(I298="L",4,IF(I298="A",5,7)),IF(OR(B298="EE",B298="CE"),IF(I298="L",3,IF(I298="A",4,6)),0)))))</f>
        <v/>
      </c>
      <c r="I298" s="105" t="str">
        <f t="shared" ref="I298:I379" si="43">IF(OR(ISBLANK(D298),ISBLANK(E298)),IF(OR(B298="ALI",B298="AIE"),"L",IF(OR(B298="EE",B298="SE",B298="CE"),"A","")),IF(B298="EE",IF(E298&gt;=3,IF(D298&gt;=5,"H","A"),IF(E298&gt;=2,IF(D298&gt;=16,"H",IF(D298&lt;=4,"L","A")),IF(D298&lt;=15,"L","A"))),IF(OR(B298="SE",B298="CE"),IF(E298&gt;=4,IF(D298&gt;=6,"H","A"),IF(E298&gt;=2,IF(D298&gt;=20,"H",IF(D298&lt;=5,"L","A")),IF(D298&lt;=19,"L","A"))),IF(OR(B298="ALI",B298="AIE"),IF(E298&gt;=6,IF(D298&gt;=20,"H","A"),IF(E298&gt;=2,IF(D298&gt;=51,"H",IF(D298&lt;=19,"L","A")),IF(D298&lt;=50,"L","A"))),""))))</f>
        <v/>
      </c>
      <c r="J298" s="4" t="str">
        <f t="shared" ref="J298:J379" si="44">CONCATENATE(B298,C298)</f>
        <v/>
      </c>
      <c r="K298" s="106" t="str">
        <f t="shared" ref="K298:K379" si="45">IF(OR(H298="",H298=0),L298,H298)</f>
        <v/>
      </c>
      <c r="L298" s="106" t="str">
        <f>IF(NOT(ISERROR(VLOOKUP(B298,Deflatores!G$42:H$64,2,FALSE))),VLOOKUP(B298,Deflatores!G$42:H$64,2,FALSE),IF(OR(ISBLANK(C298),ISBLANK(B298)),"",VLOOKUP(C298,Deflatores!G$4:H$38,2,FALSE)*H298+VLOOKUP(C298,Deflatores!G$4:I$38,3,FALSE)))</f>
        <v/>
      </c>
      <c r="M298" s="106"/>
      <c r="N298" s="106"/>
      <c r="O298" s="106"/>
    </row>
    <row r="299" spans="1:15" x14ac:dyDescent="0.25">
      <c r="A299" s="115" t="s">
        <v>284</v>
      </c>
      <c r="B299" s="113"/>
      <c r="C299" s="113"/>
      <c r="D299" s="4"/>
      <c r="E299" s="4"/>
      <c r="F299" s="106" t="str">
        <f t="shared" si="40"/>
        <v/>
      </c>
      <c r="G299" s="106" t="str">
        <f t="shared" si="41"/>
        <v/>
      </c>
      <c r="H299" s="4" t="str">
        <f t="shared" si="42"/>
        <v/>
      </c>
      <c r="I299" s="105" t="str">
        <f t="shared" si="43"/>
        <v/>
      </c>
      <c r="J299" s="4" t="str">
        <f t="shared" si="44"/>
        <v/>
      </c>
      <c r="K299" s="106" t="str">
        <f t="shared" si="45"/>
        <v/>
      </c>
      <c r="L299" s="106" t="str">
        <f>IF(NOT(ISERROR(VLOOKUP(B299,Deflatores!G$42:H$64,2,FALSE))),VLOOKUP(B299,Deflatores!G$42:H$64,2,FALSE),IF(OR(ISBLANK(C299),ISBLANK(B299)),"",VLOOKUP(C299,Deflatores!G$4:H$38,2,FALSE)*H299+VLOOKUP(C299,Deflatores!G$4:I$38,3,FALSE)))</f>
        <v/>
      </c>
      <c r="M299" s="106"/>
      <c r="N299" s="106"/>
      <c r="O299" s="125"/>
    </row>
    <row r="300" spans="1:15" x14ac:dyDescent="0.25">
      <c r="A300" s="112" t="s">
        <v>285</v>
      </c>
      <c r="B300" s="113" t="s">
        <v>44</v>
      </c>
      <c r="C300" s="113" t="s">
        <v>45</v>
      </c>
      <c r="D300" s="4">
        <v>8</v>
      </c>
      <c r="E300" s="4">
        <v>1</v>
      </c>
      <c r="F300" s="106" t="str">
        <f t="shared" si="40"/>
        <v>Baixa</v>
      </c>
      <c r="G300" s="106" t="str">
        <f t="shared" si="41"/>
        <v>ALIL</v>
      </c>
      <c r="H300" s="4">
        <f t="shared" si="42"/>
        <v>7</v>
      </c>
      <c r="I300" s="105" t="str">
        <f t="shared" si="43"/>
        <v>L</v>
      </c>
      <c r="J300" s="4" t="str">
        <f t="shared" si="44"/>
        <v>ALII</v>
      </c>
      <c r="K300" s="106">
        <f t="shared" si="45"/>
        <v>7</v>
      </c>
      <c r="L300" s="106">
        <f>IF(NOT(ISERROR(VLOOKUP(B300,Deflatores!G$42:H$64,2,FALSE))),VLOOKUP(B300,Deflatores!G$42:H$64,2,FALSE),IF(OR(ISBLANK(C300),ISBLANK(B300)),"",VLOOKUP(C300,Deflatores!G$4:H$38,2,FALSE)*H300+VLOOKUP(C300,Deflatores!G$4:I$38,3,FALSE)))</f>
        <v>7</v>
      </c>
      <c r="M300" s="106"/>
      <c r="N300" s="106"/>
      <c r="O300" s="106"/>
    </row>
    <row r="301" spans="1:15" x14ac:dyDescent="0.25">
      <c r="A301" s="112" t="s">
        <v>286</v>
      </c>
      <c r="B301" s="113" t="s">
        <v>50</v>
      </c>
      <c r="C301" s="113" t="s">
        <v>45</v>
      </c>
      <c r="D301" s="4">
        <v>9</v>
      </c>
      <c r="E301" s="4">
        <v>1</v>
      </c>
      <c r="F301" s="106" t="str">
        <f t="shared" si="40"/>
        <v>Baixa</v>
      </c>
      <c r="G301" s="106" t="str">
        <f t="shared" si="41"/>
        <v>CEL</v>
      </c>
      <c r="H301" s="4">
        <f t="shared" si="42"/>
        <v>3</v>
      </c>
      <c r="I301" s="105" t="str">
        <f t="shared" si="43"/>
        <v>L</v>
      </c>
      <c r="J301" s="4" t="str">
        <f t="shared" si="44"/>
        <v>CEI</v>
      </c>
      <c r="K301" s="106">
        <f t="shared" si="45"/>
        <v>3</v>
      </c>
      <c r="L301" s="106">
        <f>IF(NOT(ISERROR(VLOOKUP(B301,Deflatores!G$42:H$64,2,FALSE))),VLOOKUP(B301,Deflatores!G$42:H$64,2,FALSE),IF(OR(ISBLANK(C301),ISBLANK(B301)),"",VLOOKUP(C301,Deflatores!G$4:H$38,2,FALSE)*H301+VLOOKUP(C301,Deflatores!G$4:I$38,3,FALSE)))</f>
        <v>3</v>
      </c>
      <c r="M301" s="106"/>
      <c r="N301" s="106"/>
      <c r="O301" s="106"/>
    </row>
    <row r="302" spans="1:15" x14ac:dyDescent="0.25">
      <c r="A302" s="112" t="s">
        <v>275</v>
      </c>
      <c r="B302" s="113" t="s">
        <v>48</v>
      </c>
      <c r="C302" s="113" t="s">
        <v>45</v>
      </c>
      <c r="D302" s="4">
        <v>9</v>
      </c>
      <c r="E302" s="4">
        <v>1</v>
      </c>
      <c r="F302" s="106" t="str">
        <f t="shared" si="40"/>
        <v>Baixa</v>
      </c>
      <c r="G302" s="106" t="str">
        <f t="shared" si="41"/>
        <v>EEL</v>
      </c>
      <c r="H302" s="4">
        <f t="shared" si="42"/>
        <v>3</v>
      </c>
      <c r="I302" s="105" t="str">
        <f t="shared" si="43"/>
        <v>L</v>
      </c>
      <c r="J302" s="4" t="str">
        <f t="shared" si="44"/>
        <v>EEI</v>
      </c>
      <c r="K302" s="106">
        <f t="shared" si="45"/>
        <v>3</v>
      </c>
      <c r="L302" s="106">
        <f>IF(NOT(ISERROR(VLOOKUP(B302,Deflatores!G$42:H$64,2,FALSE))),VLOOKUP(B302,Deflatores!G$42:H$64,2,FALSE),IF(OR(ISBLANK(C302),ISBLANK(B302)),"",VLOOKUP(C302,Deflatores!G$4:H$38,2,FALSE)*H302+VLOOKUP(C302,Deflatores!G$4:I$38,3,FALSE)))</f>
        <v>3</v>
      </c>
      <c r="M302" s="106"/>
      <c r="N302" s="106"/>
      <c r="O302" s="106"/>
    </row>
    <row r="303" spans="1:15" x14ac:dyDescent="0.25">
      <c r="A303" s="114" t="s">
        <v>287</v>
      </c>
      <c r="B303" s="113" t="s">
        <v>50</v>
      </c>
      <c r="C303" s="113" t="s">
        <v>45</v>
      </c>
      <c r="D303" s="113">
        <v>3</v>
      </c>
      <c r="E303" s="118">
        <v>1</v>
      </c>
      <c r="F303" s="106" t="str">
        <f t="shared" si="40"/>
        <v>Baixa</v>
      </c>
      <c r="G303" s="106" t="str">
        <f t="shared" si="41"/>
        <v>CEL</v>
      </c>
      <c r="H303" s="4">
        <f t="shared" si="42"/>
        <v>3</v>
      </c>
      <c r="I303" s="105" t="str">
        <f t="shared" si="43"/>
        <v>L</v>
      </c>
      <c r="J303" s="4" t="str">
        <f t="shared" si="44"/>
        <v>CEI</v>
      </c>
      <c r="K303" s="106">
        <f t="shared" si="45"/>
        <v>3</v>
      </c>
      <c r="L303" s="106">
        <f>IF(NOT(ISERROR(VLOOKUP(B303,Deflatores!G$42:H$64,2,FALSE))),VLOOKUP(B303,Deflatores!G$42:H$64,2,FALSE),IF(OR(ISBLANK(C303),ISBLANK(B303)),"",VLOOKUP(C303,Deflatores!G$4:H$38,2,FALSE)*H303+VLOOKUP(C303,Deflatores!G$4:I$38,3,FALSE)))</f>
        <v>3</v>
      </c>
      <c r="M303" s="106"/>
      <c r="N303" s="106"/>
      <c r="O303" s="106"/>
    </row>
    <row r="304" spans="1:15" x14ac:dyDescent="0.25">
      <c r="A304" s="112" t="s">
        <v>276</v>
      </c>
      <c r="B304" s="113" t="s">
        <v>48</v>
      </c>
      <c r="C304" s="113" t="s">
        <v>45</v>
      </c>
      <c r="D304" s="4">
        <v>6</v>
      </c>
      <c r="E304" s="4">
        <v>1</v>
      </c>
      <c r="F304" s="106" t="str">
        <f t="shared" si="40"/>
        <v>Baixa</v>
      </c>
      <c r="G304" s="106" t="str">
        <f t="shared" si="41"/>
        <v>EEL</v>
      </c>
      <c r="H304" s="4">
        <f t="shared" si="42"/>
        <v>3</v>
      </c>
      <c r="I304" s="105" t="str">
        <f t="shared" si="43"/>
        <v>L</v>
      </c>
      <c r="J304" s="4" t="str">
        <f t="shared" si="44"/>
        <v>EEI</v>
      </c>
      <c r="K304" s="106">
        <f t="shared" si="45"/>
        <v>3</v>
      </c>
      <c r="L304" s="106">
        <f>IF(NOT(ISERROR(VLOOKUP(B304,Deflatores!G$42:H$64,2,FALSE))),VLOOKUP(B304,Deflatores!G$42:H$64,2,FALSE),IF(OR(ISBLANK(C304),ISBLANK(B304)),"",VLOOKUP(C304,Deflatores!G$4:H$38,2,FALSE)*H304+VLOOKUP(C304,Deflatores!G$4:I$38,3,FALSE)))</f>
        <v>3</v>
      </c>
      <c r="M304" s="106"/>
      <c r="N304" s="106"/>
      <c r="O304" s="106"/>
    </row>
    <row r="305" spans="1:15" x14ac:dyDescent="0.25">
      <c r="A305" s="114" t="s">
        <v>136</v>
      </c>
      <c r="B305" s="113" t="s">
        <v>50</v>
      </c>
      <c r="C305" s="113" t="s">
        <v>45</v>
      </c>
      <c r="D305" s="4">
        <v>7</v>
      </c>
      <c r="E305" s="4">
        <v>1</v>
      </c>
      <c r="F305" s="106" t="str">
        <f t="shared" si="40"/>
        <v>Baixa</v>
      </c>
      <c r="G305" s="106" t="str">
        <f t="shared" si="41"/>
        <v>CEL</v>
      </c>
      <c r="H305" s="4">
        <f t="shared" si="42"/>
        <v>3</v>
      </c>
      <c r="I305" s="105" t="str">
        <f t="shared" si="43"/>
        <v>L</v>
      </c>
      <c r="J305" s="4" t="str">
        <f t="shared" si="44"/>
        <v>CEI</v>
      </c>
      <c r="K305" s="106">
        <f t="shared" si="45"/>
        <v>3</v>
      </c>
      <c r="L305" s="106">
        <f>IF(NOT(ISERROR(VLOOKUP(B305,Deflatores!G$42:H$64,2,FALSE))),VLOOKUP(B305,Deflatores!G$42:H$64,2,FALSE),IF(OR(ISBLANK(C305),ISBLANK(B305)),"",VLOOKUP(C305,Deflatores!G$4:H$38,2,FALSE)*H305+VLOOKUP(C305,Deflatores!G$4:I$38,3,FALSE)))</f>
        <v>3</v>
      </c>
      <c r="M305" s="106"/>
      <c r="N305" s="106"/>
      <c r="O305" s="106"/>
    </row>
    <row r="306" spans="1:15" x14ac:dyDescent="0.25">
      <c r="A306" s="112" t="s">
        <v>267</v>
      </c>
      <c r="B306" s="113" t="s">
        <v>50</v>
      </c>
      <c r="C306" s="113" t="s">
        <v>45</v>
      </c>
      <c r="D306" s="4">
        <v>9</v>
      </c>
      <c r="E306" s="4">
        <v>1</v>
      </c>
      <c r="F306" s="106" t="str">
        <f t="shared" si="40"/>
        <v>Baixa</v>
      </c>
      <c r="G306" s="106" t="str">
        <f t="shared" si="41"/>
        <v>CEL</v>
      </c>
      <c r="H306" s="4">
        <f t="shared" si="42"/>
        <v>3</v>
      </c>
      <c r="I306" s="105" t="str">
        <f t="shared" si="43"/>
        <v>L</v>
      </c>
      <c r="J306" s="4" t="str">
        <f t="shared" si="44"/>
        <v>CEI</v>
      </c>
      <c r="K306" s="106">
        <f t="shared" si="45"/>
        <v>3</v>
      </c>
      <c r="L306" s="106">
        <f>IF(NOT(ISERROR(VLOOKUP(B306,Deflatores!G$42:H$64,2,FALSE))),VLOOKUP(B306,Deflatores!G$42:H$64,2,FALSE),IF(OR(ISBLANK(C306),ISBLANK(B306)),"",VLOOKUP(C306,Deflatores!G$4:H$38,2,FALSE)*H306+VLOOKUP(C306,Deflatores!G$4:I$38,3,FALSE)))</f>
        <v>3</v>
      </c>
      <c r="M306" s="106"/>
      <c r="N306" s="106"/>
      <c r="O306" s="106"/>
    </row>
    <row r="307" spans="1:15" x14ac:dyDescent="0.25">
      <c r="A307" s="112" t="s">
        <v>277</v>
      </c>
      <c r="B307" s="113" t="s">
        <v>50</v>
      </c>
      <c r="C307" s="113" t="s">
        <v>45</v>
      </c>
      <c r="D307" s="4">
        <v>9</v>
      </c>
      <c r="E307" s="4">
        <v>1</v>
      </c>
      <c r="F307" s="106" t="str">
        <f t="shared" si="40"/>
        <v>Baixa</v>
      </c>
      <c r="G307" s="106" t="str">
        <f t="shared" si="41"/>
        <v>CEL</v>
      </c>
      <c r="H307" s="4">
        <f t="shared" si="42"/>
        <v>3</v>
      </c>
      <c r="I307" s="105" t="str">
        <f t="shared" si="43"/>
        <v>L</v>
      </c>
      <c r="J307" s="4" t="str">
        <f t="shared" si="44"/>
        <v>CEI</v>
      </c>
      <c r="K307" s="106">
        <f t="shared" si="45"/>
        <v>3</v>
      </c>
      <c r="L307" s="106">
        <f>IF(NOT(ISERROR(VLOOKUP(B307,Deflatores!G$42:H$64,2,FALSE))),VLOOKUP(B307,Deflatores!G$42:H$64,2,FALSE),IF(OR(ISBLANK(C307),ISBLANK(B307)),"",VLOOKUP(C307,Deflatores!G$4:H$38,2,FALSE)*H307+VLOOKUP(C307,Deflatores!G$4:I$38,3,FALSE)))</f>
        <v>3</v>
      </c>
      <c r="M307" s="106"/>
      <c r="N307" s="106"/>
      <c r="O307" s="106"/>
    </row>
    <row r="308" spans="1:15" x14ac:dyDescent="0.25">
      <c r="A308" s="112" t="s">
        <v>271</v>
      </c>
      <c r="B308" s="113" t="s">
        <v>48</v>
      </c>
      <c r="C308" s="113" t="s">
        <v>45</v>
      </c>
      <c r="D308" s="113">
        <v>3</v>
      </c>
      <c r="E308" s="4">
        <v>1</v>
      </c>
      <c r="F308" s="106" t="str">
        <f t="shared" si="40"/>
        <v>Baixa</v>
      </c>
      <c r="G308" s="106" t="str">
        <f t="shared" si="41"/>
        <v>EEL</v>
      </c>
      <c r="H308" s="4">
        <f t="shared" si="42"/>
        <v>3</v>
      </c>
      <c r="I308" s="105" t="str">
        <f t="shared" si="43"/>
        <v>L</v>
      </c>
      <c r="J308" s="4" t="str">
        <f t="shared" si="44"/>
        <v>EEI</v>
      </c>
      <c r="K308" s="106">
        <f t="shared" si="45"/>
        <v>3</v>
      </c>
      <c r="L308" s="106">
        <f>IF(NOT(ISERROR(VLOOKUP(B308,Deflatores!G$42:H$64,2,FALSE))),VLOOKUP(B308,Deflatores!G$42:H$64,2,FALSE),IF(OR(ISBLANK(C308),ISBLANK(B308)),"",VLOOKUP(C308,Deflatores!G$4:H$38,2,FALSE)*H308+VLOOKUP(C308,Deflatores!G$4:I$38,3,FALSE)))</f>
        <v>3</v>
      </c>
      <c r="M308" s="106"/>
      <c r="N308" s="106"/>
      <c r="O308" s="106"/>
    </row>
    <row r="309" spans="1:15" x14ac:dyDescent="0.25">
      <c r="A309" s="112" t="s">
        <v>268</v>
      </c>
      <c r="B309" s="113" t="s">
        <v>50</v>
      </c>
      <c r="C309" s="113" t="s">
        <v>45</v>
      </c>
      <c r="D309" s="4">
        <v>9</v>
      </c>
      <c r="E309" s="4">
        <v>1</v>
      </c>
      <c r="F309" s="106" t="str">
        <f t="shared" si="40"/>
        <v>Baixa</v>
      </c>
      <c r="G309" s="106" t="str">
        <f t="shared" si="41"/>
        <v>CEL</v>
      </c>
      <c r="H309" s="4">
        <f t="shared" si="42"/>
        <v>3</v>
      </c>
      <c r="I309" s="105" t="str">
        <f t="shared" si="43"/>
        <v>L</v>
      </c>
      <c r="J309" s="4" t="str">
        <f t="shared" si="44"/>
        <v>CEI</v>
      </c>
      <c r="K309" s="106">
        <f t="shared" si="45"/>
        <v>3</v>
      </c>
      <c r="L309" s="106">
        <f>IF(NOT(ISERROR(VLOOKUP(B309,Deflatores!G$42:H$64,2,FALSE))),VLOOKUP(B309,Deflatores!G$42:H$64,2,FALSE),IF(OR(ISBLANK(C309),ISBLANK(B309)),"",VLOOKUP(C309,Deflatores!G$4:H$38,2,FALSE)*H309+VLOOKUP(C309,Deflatores!G$4:I$38,3,FALSE)))</f>
        <v>3</v>
      </c>
      <c r="M309" s="106"/>
      <c r="N309" s="106"/>
      <c r="O309" s="106"/>
    </row>
    <row r="310" spans="1:15" x14ac:dyDescent="0.25">
      <c r="A310" s="112"/>
      <c r="B310" s="113"/>
      <c r="C310" s="113"/>
      <c r="D310" s="4"/>
      <c r="E310" s="4"/>
      <c r="F310" s="106" t="str">
        <f t="shared" si="40"/>
        <v/>
      </c>
      <c r="G310" s="106" t="str">
        <f t="shared" si="41"/>
        <v/>
      </c>
      <c r="H310" s="4" t="str">
        <f t="shared" si="42"/>
        <v/>
      </c>
      <c r="I310" s="105" t="str">
        <f t="shared" si="43"/>
        <v/>
      </c>
      <c r="J310" s="4" t="str">
        <f t="shared" si="44"/>
        <v/>
      </c>
      <c r="K310" s="106" t="str">
        <f t="shared" si="45"/>
        <v/>
      </c>
      <c r="L310" s="106" t="str">
        <f>IF(NOT(ISERROR(VLOOKUP(B310,Deflatores!G$42:H$64,2,FALSE))),VLOOKUP(B310,Deflatores!G$42:H$64,2,FALSE),IF(OR(ISBLANK(C310),ISBLANK(B310)),"",VLOOKUP(C310,Deflatores!G$4:H$38,2,FALSE)*H310+VLOOKUP(C310,Deflatores!G$4:I$38,3,FALSE)))</f>
        <v/>
      </c>
      <c r="M310" s="106"/>
      <c r="N310" s="106"/>
      <c r="O310" s="106"/>
    </row>
    <row r="311" spans="1:15" x14ac:dyDescent="0.25">
      <c r="A311" s="115" t="s">
        <v>288</v>
      </c>
      <c r="B311" s="113"/>
      <c r="C311" s="113"/>
      <c r="D311" s="4"/>
      <c r="E311" s="4"/>
      <c r="F311" s="106" t="str">
        <f t="shared" si="40"/>
        <v/>
      </c>
      <c r="G311" s="106" t="str">
        <f t="shared" si="41"/>
        <v/>
      </c>
      <c r="H311" s="4" t="str">
        <f t="shared" si="42"/>
        <v/>
      </c>
      <c r="I311" s="105" t="str">
        <f t="shared" si="43"/>
        <v/>
      </c>
      <c r="J311" s="4" t="str">
        <f t="shared" si="44"/>
        <v/>
      </c>
      <c r="K311" s="106" t="str">
        <f t="shared" si="45"/>
        <v/>
      </c>
      <c r="L311" s="106" t="str">
        <f>IF(NOT(ISERROR(VLOOKUP(B311,Deflatores!G$42:H$64,2,FALSE))),VLOOKUP(B311,Deflatores!G$42:H$64,2,FALSE),IF(OR(ISBLANK(C311),ISBLANK(B311)),"",VLOOKUP(C311,Deflatores!G$4:H$38,2,FALSE)*H311+VLOOKUP(C311,Deflatores!G$4:I$38,3,FALSE)))</f>
        <v/>
      </c>
      <c r="M311" s="106"/>
      <c r="N311" s="106"/>
      <c r="O311" s="106"/>
    </row>
    <row r="312" spans="1:15" x14ac:dyDescent="0.25">
      <c r="A312" s="112" t="s">
        <v>289</v>
      </c>
      <c r="B312" s="113" t="s">
        <v>48</v>
      </c>
      <c r="C312" s="113" t="s">
        <v>45</v>
      </c>
      <c r="D312" s="4">
        <v>19</v>
      </c>
      <c r="E312" s="4">
        <v>3</v>
      </c>
      <c r="F312" s="106" t="str">
        <f t="shared" si="40"/>
        <v>Alta</v>
      </c>
      <c r="G312" s="106" t="str">
        <f t="shared" si="41"/>
        <v>EEH</v>
      </c>
      <c r="H312" s="4">
        <f t="shared" si="42"/>
        <v>6</v>
      </c>
      <c r="I312" s="105" t="str">
        <f t="shared" si="43"/>
        <v>H</v>
      </c>
      <c r="J312" s="4" t="str">
        <f t="shared" si="44"/>
        <v>EEI</v>
      </c>
      <c r="K312" s="106">
        <f t="shared" si="45"/>
        <v>6</v>
      </c>
      <c r="L312" s="106">
        <f>IF(NOT(ISERROR(VLOOKUP(B312,Deflatores!G$42:H$64,2,FALSE))),VLOOKUP(B312,Deflatores!G$42:H$64,2,FALSE),IF(OR(ISBLANK(C312),ISBLANK(B312)),"",VLOOKUP(C312,Deflatores!G$4:H$38,2,FALSE)*H312+VLOOKUP(C312,Deflatores!G$4:I$38,3,FALSE)))</f>
        <v>6</v>
      </c>
      <c r="M312" s="106"/>
      <c r="N312" s="106"/>
      <c r="O312" s="106"/>
    </row>
    <row r="313" spans="1:15" x14ac:dyDescent="0.25">
      <c r="A313" s="112"/>
      <c r="B313" s="113"/>
      <c r="C313" s="113"/>
      <c r="D313" s="4"/>
      <c r="E313" s="4"/>
      <c r="F313" s="106" t="str">
        <f t="shared" si="40"/>
        <v/>
      </c>
      <c r="G313" s="106" t="str">
        <f t="shared" si="41"/>
        <v/>
      </c>
      <c r="H313" s="4" t="str">
        <f t="shared" si="42"/>
        <v/>
      </c>
      <c r="I313" s="105" t="str">
        <f t="shared" si="43"/>
        <v/>
      </c>
      <c r="J313" s="4" t="str">
        <f t="shared" si="44"/>
        <v/>
      </c>
      <c r="K313" s="106" t="str">
        <f t="shared" si="45"/>
        <v/>
      </c>
      <c r="L313" s="106" t="str">
        <f>IF(NOT(ISERROR(VLOOKUP(B313,Deflatores!G$42:H$64,2,FALSE))),VLOOKUP(B313,Deflatores!G$42:H$64,2,FALSE),IF(OR(ISBLANK(C313),ISBLANK(B313)),"",VLOOKUP(C313,Deflatores!G$4:H$38,2,FALSE)*H313+VLOOKUP(C313,Deflatores!G$4:I$38,3,FALSE)))</f>
        <v/>
      </c>
      <c r="M313" s="106"/>
      <c r="N313" s="106"/>
      <c r="O313" s="106"/>
    </row>
    <row r="314" spans="1:15" x14ac:dyDescent="0.25">
      <c r="A314" s="115" t="s">
        <v>290</v>
      </c>
      <c r="B314" s="113"/>
      <c r="C314" s="113"/>
      <c r="D314" s="113"/>
      <c r="E314" s="113"/>
      <c r="F314" s="106" t="str">
        <f t="shared" si="40"/>
        <v/>
      </c>
      <c r="G314" s="106" t="str">
        <f t="shared" si="41"/>
        <v/>
      </c>
      <c r="H314" s="4" t="str">
        <f t="shared" si="42"/>
        <v/>
      </c>
      <c r="I314" s="105" t="str">
        <f t="shared" si="43"/>
        <v/>
      </c>
      <c r="J314" s="4" t="str">
        <f t="shared" si="44"/>
        <v/>
      </c>
      <c r="K314" s="106" t="str">
        <f t="shared" si="45"/>
        <v/>
      </c>
      <c r="L314" s="106" t="str">
        <f>IF(NOT(ISERROR(VLOOKUP(B314,Deflatores!G$42:H$64,2,FALSE))),VLOOKUP(B314,Deflatores!G$42:H$64,2,FALSE),IF(OR(ISBLANK(C314),ISBLANK(B314)),"",VLOOKUP(C314,Deflatores!G$4:H$38,2,FALSE)*H314+VLOOKUP(C314,Deflatores!G$4:I$38,3,FALSE)))</f>
        <v/>
      </c>
      <c r="M314" s="106"/>
      <c r="N314" s="106"/>
      <c r="O314" s="106"/>
    </row>
    <row r="315" spans="1:15" x14ac:dyDescent="0.25">
      <c r="A315" s="112" t="s">
        <v>291</v>
      </c>
      <c r="B315" s="113" t="s">
        <v>113</v>
      </c>
      <c r="C315" s="113" t="s">
        <v>45</v>
      </c>
      <c r="D315" s="4">
        <v>17</v>
      </c>
      <c r="E315" s="4">
        <v>2</v>
      </c>
      <c r="F315" s="106" t="str">
        <f t="shared" si="40"/>
        <v>Média</v>
      </c>
      <c r="G315" s="106" t="str">
        <f t="shared" si="41"/>
        <v>SEA</v>
      </c>
      <c r="H315" s="4">
        <f t="shared" si="42"/>
        <v>5</v>
      </c>
      <c r="I315" s="105" t="str">
        <f t="shared" si="43"/>
        <v>A</v>
      </c>
      <c r="J315" s="4" t="str">
        <f t="shared" si="44"/>
        <v>SEI</v>
      </c>
      <c r="K315" s="106">
        <f t="shared" si="45"/>
        <v>5</v>
      </c>
      <c r="L315" s="106">
        <f>IF(NOT(ISERROR(VLOOKUP(B315,Deflatores!G$42:H$64,2,FALSE))),VLOOKUP(B315,Deflatores!G$42:H$64,2,FALSE),IF(OR(ISBLANK(C315),ISBLANK(B315)),"",VLOOKUP(C315,Deflatores!G$4:H$38,2,FALSE)*H315+VLOOKUP(C315,Deflatores!G$4:I$38,3,FALSE)))</f>
        <v>5</v>
      </c>
      <c r="M315" s="106"/>
      <c r="N315" s="106"/>
      <c r="O315" s="106"/>
    </row>
    <row r="316" spans="1:15" x14ac:dyDescent="0.25">
      <c r="A316" s="112"/>
      <c r="B316" s="113"/>
      <c r="C316" s="113"/>
      <c r="D316" s="4"/>
      <c r="E316" s="4"/>
      <c r="F316" s="106" t="str">
        <f t="shared" si="40"/>
        <v/>
      </c>
      <c r="G316" s="106" t="str">
        <f t="shared" si="41"/>
        <v/>
      </c>
      <c r="H316" s="4" t="str">
        <f t="shared" si="42"/>
        <v/>
      </c>
      <c r="I316" s="105" t="str">
        <f t="shared" si="43"/>
        <v/>
      </c>
      <c r="J316" s="4" t="str">
        <f t="shared" si="44"/>
        <v/>
      </c>
      <c r="K316" s="106" t="str">
        <f t="shared" si="45"/>
        <v/>
      </c>
      <c r="L316" s="106" t="str">
        <f>IF(NOT(ISERROR(VLOOKUP(B316,Deflatores!G$42:H$64,2,FALSE))),VLOOKUP(B316,Deflatores!G$42:H$64,2,FALSE),IF(OR(ISBLANK(C316),ISBLANK(B316)),"",VLOOKUP(C316,Deflatores!G$4:H$38,2,FALSE)*H316+VLOOKUP(C316,Deflatores!G$4:I$38,3,FALSE)))</f>
        <v/>
      </c>
      <c r="M316" s="106"/>
      <c r="N316" s="106"/>
      <c r="O316" s="106"/>
    </row>
    <row r="317" spans="1:15" x14ac:dyDescent="0.25">
      <c r="A317" s="115" t="s">
        <v>292</v>
      </c>
      <c r="B317" s="113"/>
      <c r="C317" s="113"/>
      <c r="D317" s="4"/>
      <c r="E317" s="4"/>
      <c r="F317" s="106" t="str">
        <f t="shared" si="40"/>
        <v/>
      </c>
      <c r="G317" s="106" t="str">
        <f t="shared" si="41"/>
        <v/>
      </c>
      <c r="H317" s="4" t="str">
        <f t="shared" si="42"/>
        <v/>
      </c>
      <c r="I317" s="105" t="str">
        <f t="shared" si="43"/>
        <v/>
      </c>
      <c r="J317" s="4" t="str">
        <f t="shared" si="44"/>
        <v/>
      </c>
      <c r="K317" s="106" t="str">
        <f t="shared" si="45"/>
        <v/>
      </c>
      <c r="L317" s="106" t="str">
        <f>IF(NOT(ISERROR(VLOOKUP(B317,Deflatores!G$42:H$64,2,FALSE))),VLOOKUP(B317,Deflatores!G$42:H$64,2,FALSE),IF(OR(ISBLANK(C317),ISBLANK(B317)),"",VLOOKUP(C317,Deflatores!G$4:H$38,2,FALSE)*H317+VLOOKUP(C317,Deflatores!G$4:I$38,3,FALSE)))</f>
        <v/>
      </c>
      <c r="M317" s="106"/>
      <c r="N317" s="106"/>
      <c r="O317" s="106"/>
    </row>
    <row r="318" spans="1:15" x14ac:dyDescent="0.25">
      <c r="A318" s="112" t="s">
        <v>293</v>
      </c>
      <c r="B318" s="113" t="s">
        <v>48</v>
      </c>
      <c r="C318" s="113" t="s">
        <v>45</v>
      </c>
      <c r="D318" s="4">
        <v>14</v>
      </c>
      <c r="E318" s="4">
        <v>2</v>
      </c>
      <c r="F318" s="106" t="str">
        <f t="shared" si="40"/>
        <v>Média</v>
      </c>
      <c r="G318" s="106" t="str">
        <f t="shared" si="41"/>
        <v>EEA</v>
      </c>
      <c r="H318" s="4">
        <f t="shared" si="42"/>
        <v>4</v>
      </c>
      <c r="I318" s="105" t="str">
        <f t="shared" si="43"/>
        <v>A</v>
      </c>
      <c r="J318" s="4" t="str">
        <f t="shared" si="44"/>
        <v>EEI</v>
      </c>
      <c r="K318" s="106">
        <f t="shared" si="45"/>
        <v>4</v>
      </c>
      <c r="L318" s="106">
        <f>IF(NOT(ISERROR(VLOOKUP(B318,Deflatores!G$42:H$64,2,FALSE))),VLOOKUP(B318,Deflatores!G$42:H$64,2,FALSE),IF(OR(ISBLANK(C318),ISBLANK(B318)),"",VLOOKUP(C318,Deflatores!G$4:H$38,2,FALSE)*H318+VLOOKUP(C318,Deflatores!G$4:I$38,3,FALSE)))</f>
        <v>4</v>
      </c>
      <c r="M318" s="106"/>
      <c r="N318" s="106"/>
      <c r="O318" s="106"/>
    </row>
    <row r="319" spans="1:15" x14ac:dyDescent="0.25">
      <c r="A319" s="114" t="s">
        <v>294</v>
      </c>
      <c r="B319" s="113" t="s">
        <v>50</v>
      </c>
      <c r="C319" s="113" t="s">
        <v>45</v>
      </c>
      <c r="D319" s="4">
        <v>4</v>
      </c>
      <c r="E319" s="4">
        <v>1</v>
      </c>
      <c r="F319" s="106" t="str">
        <f t="shared" si="40"/>
        <v>Baixa</v>
      </c>
      <c r="G319" s="106" t="str">
        <f t="shared" si="41"/>
        <v>CEL</v>
      </c>
      <c r="H319" s="4">
        <f t="shared" si="42"/>
        <v>3</v>
      </c>
      <c r="I319" s="105" t="str">
        <f t="shared" si="43"/>
        <v>L</v>
      </c>
      <c r="J319" s="4" t="str">
        <f t="shared" si="44"/>
        <v>CEI</v>
      </c>
      <c r="K319" s="106">
        <f t="shared" si="45"/>
        <v>3</v>
      </c>
      <c r="L319" s="106">
        <f>IF(NOT(ISERROR(VLOOKUP(B319,Deflatores!G$42:H$64,2,FALSE))),VLOOKUP(B319,Deflatores!G$42:H$64,2,FALSE),IF(OR(ISBLANK(C319),ISBLANK(B319)),"",VLOOKUP(C319,Deflatores!G$4:H$38,2,FALSE)*H319+VLOOKUP(C319,Deflatores!G$4:I$38,3,FALSE)))</f>
        <v>3</v>
      </c>
      <c r="M319" s="106"/>
      <c r="N319" s="106"/>
      <c r="O319" s="106"/>
    </row>
    <row r="320" spans="1:15" x14ac:dyDescent="0.25">
      <c r="A320" s="115"/>
      <c r="B320" s="113"/>
      <c r="C320" s="113"/>
      <c r="D320" s="113"/>
      <c r="E320" s="113"/>
      <c r="F320" s="106" t="str">
        <f t="shared" si="40"/>
        <v/>
      </c>
      <c r="G320" s="106" t="str">
        <f t="shared" si="41"/>
        <v/>
      </c>
      <c r="H320" s="4" t="str">
        <f t="shared" si="42"/>
        <v/>
      </c>
      <c r="I320" s="105" t="str">
        <f t="shared" si="43"/>
        <v/>
      </c>
      <c r="J320" s="4" t="str">
        <f t="shared" si="44"/>
        <v/>
      </c>
      <c r="K320" s="106" t="str">
        <f t="shared" si="45"/>
        <v/>
      </c>
      <c r="L320" s="106" t="str">
        <f>IF(NOT(ISERROR(VLOOKUP(B320,Deflatores!G$42:H$64,2,FALSE))),VLOOKUP(B320,Deflatores!G$42:H$64,2,FALSE),IF(OR(ISBLANK(C320),ISBLANK(B320)),"",VLOOKUP(C320,Deflatores!G$4:H$38,2,FALSE)*H320+VLOOKUP(C320,Deflatores!G$4:I$38,3,FALSE)))</f>
        <v/>
      </c>
      <c r="M320" s="106"/>
      <c r="N320" s="106"/>
      <c r="O320" s="106"/>
    </row>
    <row r="321" spans="1:15" x14ac:dyDescent="0.25">
      <c r="A321" s="115" t="s">
        <v>295</v>
      </c>
      <c r="B321" s="113"/>
      <c r="C321" s="113"/>
      <c r="D321" s="4"/>
      <c r="E321" s="4"/>
      <c r="F321" s="106" t="str">
        <f t="shared" si="40"/>
        <v/>
      </c>
      <c r="G321" s="106" t="str">
        <f t="shared" si="41"/>
        <v/>
      </c>
      <c r="H321" s="4" t="str">
        <f t="shared" si="42"/>
        <v/>
      </c>
      <c r="I321" s="105" t="str">
        <f t="shared" si="43"/>
        <v/>
      </c>
      <c r="J321" s="4" t="str">
        <f t="shared" si="44"/>
        <v/>
      </c>
      <c r="K321" s="106" t="str">
        <f t="shared" si="45"/>
        <v/>
      </c>
      <c r="L321" s="106" t="str">
        <f>IF(NOT(ISERROR(VLOOKUP(B321,Deflatores!G$42:H$64,2,FALSE))),VLOOKUP(B321,Deflatores!G$42:H$64,2,FALSE),IF(OR(ISBLANK(C321),ISBLANK(B321)),"",VLOOKUP(C321,Deflatores!G$4:H$38,2,FALSE)*H321+VLOOKUP(C321,Deflatores!G$4:I$38,3,FALSE)))</f>
        <v/>
      </c>
      <c r="M321" s="106"/>
      <c r="N321" s="106"/>
      <c r="O321" s="106"/>
    </row>
    <row r="322" spans="1:15" x14ac:dyDescent="0.25">
      <c r="A322" s="112" t="s">
        <v>296</v>
      </c>
      <c r="B322" s="113" t="s">
        <v>44</v>
      </c>
      <c r="C322" s="113" t="s">
        <v>45</v>
      </c>
      <c r="D322" s="4">
        <v>9</v>
      </c>
      <c r="E322" s="4">
        <v>1</v>
      </c>
      <c r="F322" s="106" t="str">
        <f t="shared" si="40"/>
        <v>Baixa</v>
      </c>
      <c r="G322" s="106" t="str">
        <f t="shared" si="41"/>
        <v>ALIL</v>
      </c>
      <c r="H322" s="4">
        <f t="shared" si="42"/>
        <v>7</v>
      </c>
      <c r="I322" s="105" t="str">
        <f t="shared" si="43"/>
        <v>L</v>
      </c>
      <c r="J322" s="4" t="str">
        <f t="shared" si="44"/>
        <v>ALII</v>
      </c>
      <c r="K322" s="106">
        <f t="shared" si="45"/>
        <v>7</v>
      </c>
      <c r="L322" s="106">
        <f>IF(NOT(ISERROR(VLOOKUP(B322,Deflatores!G$42:H$64,2,FALSE))),VLOOKUP(B322,Deflatores!G$42:H$64,2,FALSE),IF(OR(ISBLANK(C322),ISBLANK(B322)),"",VLOOKUP(C322,Deflatores!G$4:H$38,2,FALSE)*H322+VLOOKUP(C322,Deflatores!G$4:I$38,3,FALSE)))</f>
        <v>7</v>
      </c>
      <c r="M322" s="106"/>
      <c r="N322" s="106"/>
      <c r="O322" s="106"/>
    </row>
    <row r="323" spans="1:15" x14ac:dyDescent="0.25">
      <c r="A323" s="112" t="s">
        <v>275</v>
      </c>
      <c r="B323" s="113" t="s">
        <v>48</v>
      </c>
      <c r="C323" s="113" t="s">
        <v>45</v>
      </c>
      <c r="D323" s="4">
        <v>12</v>
      </c>
      <c r="E323" s="4">
        <v>3</v>
      </c>
      <c r="F323" s="106" t="str">
        <f t="shared" si="40"/>
        <v>Alta</v>
      </c>
      <c r="G323" s="106" t="str">
        <f t="shared" si="41"/>
        <v>EEH</v>
      </c>
      <c r="H323" s="4">
        <f t="shared" si="42"/>
        <v>6</v>
      </c>
      <c r="I323" s="105" t="str">
        <f t="shared" si="43"/>
        <v>H</v>
      </c>
      <c r="J323" s="4" t="str">
        <f t="shared" si="44"/>
        <v>EEI</v>
      </c>
      <c r="K323" s="106">
        <f t="shared" si="45"/>
        <v>6</v>
      </c>
      <c r="L323" s="106">
        <f>IF(NOT(ISERROR(VLOOKUP(B323,Deflatores!G$42:H$64,2,FALSE))),VLOOKUP(B323,Deflatores!G$42:H$64,2,FALSE),IF(OR(ISBLANK(C323),ISBLANK(B323)),"",VLOOKUP(C323,Deflatores!G$4:H$38,2,FALSE)*H323+VLOOKUP(C323,Deflatores!G$4:I$38,3,FALSE)))</f>
        <v>6</v>
      </c>
      <c r="M323" s="106"/>
      <c r="N323" s="106"/>
      <c r="O323" s="106"/>
    </row>
    <row r="324" spans="1:15" x14ac:dyDescent="0.25">
      <c r="A324" s="114" t="s">
        <v>297</v>
      </c>
      <c r="B324" s="113" t="s">
        <v>50</v>
      </c>
      <c r="C324" s="113" t="s">
        <v>45</v>
      </c>
      <c r="D324" s="4">
        <v>3</v>
      </c>
      <c r="E324" s="4">
        <v>1</v>
      </c>
      <c r="F324" s="106" t="str">
        <f t="shared" si="40"/>
        <v>Baixa</v>
      </c>
      <c r="G324" s="106" t="str">
        <f t="shared" si="41"/>
        <v>CEL</v>
      </c>
      <c r="H324" s="4">
        <f t="shared" si="42"/>
        <v>3</v>
      </c>
      <c r="I324" s="105" t="str">
        <f t="shared" si="43"/>
        <v>L</v>
      </c>
      <c r="J324" s="4" t="str">
        <f t="shared" si="44"/>
        <v>CEI</v>
      </c>
      <c r="K324" s="106">
        <f t="shared" si="45"/>
        <v>3</v>
      </c>
      <c r="L324" s="106">
        <f>IF(NOT(ISERROR(VLOOKUP(B324,Deflatores!G$42:H$64,2,FALSE))),VLOOKUP(B324,Deflatores!G$42:H$64,2,FALSE),IF(OR(ISBLANK(C324),ISBLANK(B324)),"",VLOOKUP(C324,Deflatores!G$4:H$38,2,FALSE)*H324+VLOOKUP(C324,Deflatores!G$4:I$38,3,FALSE)))</f>
        <v>3</v>
      </c>
      <c r="M324" s="106"/>
      <c r="N324" s="106"/>
      <c r="O324" s="106"/>
    </row>
    <row r="325" spans="1:15" x14ac:dyDescent="0.25">
      <c r="A325" s="112" t="s">
        <v>276</v>
      </c>
      <c r="B325" s="113" t="s">
        <v>48</v>
      </c>
      <c r="C325" s="113" t="s">
        <v>45</v>
      </c>
      <c r="D325" s="4">
        <v>7</v>
      </c>
      <c r="E325" s="4">
        <v>3</v>
      </c>
      <c r="F325" s="106" t="str">
        <f t="shared" si="40"/>
        <v>Alta</v>
      </c>
      <c r="G325" s="106" t="str">
        <f t="shared" si="41"/>
        <v>EEH</v>
      </c>
      <c r="H325" s="4">
        <f t="shared" si="42"/>
        <v>6</v>
      </c>
      <c r="I325" s="105" t="str">
        <f t="shared" si="43"/>
        <v>H</v>
      </c>
      <c r="J325" s="4" t="str">
        <f t="shared" si="44"/>
        <v>EEI</v>
      </c>
      <c r="K325" s="106">
        <f t="shared" si="45"/>
        <v>6</v>
      </c>
      <c r="L325" s="106">
        <f>IF(NOT(ISERROR(VLOOKUP(B325,Deflatores!G$42:H$64,2,FALSE))),VLOOKUP(B325,Deflatores!G$42:H$64,2,FALSE),IF(OR(ISBLANK(C325),ISBLANK(B325)),"",VLOOKUP(C325,Deflatores!G$4:H$38,2,FALSE)*H325+VLOOKUP(C325,Deflatores!G$4:I$38,3,FALSE)))</f>
        <v>6</v>
      </c>
      <c r="M325" s="106"/>
      <c r="N325" s="106"/>
      <c r="O325" s="106"/>
    </row>
    <row r="326" spans="1:15" x14ac:dyDescent="0.25">
      <c r="A326" s="114" t="s">
        <v>136</v>
      </c>
      <c r="B326" s="113" t="s">
        <v>50</v>
      </c>
      <c r="C326" s="113" t="s">
        <v>45</v>
      </c>
      <c r="D326" s="4">
        <v>10</v>
      </c>
      <c r="E326" s="4">
        <v>3</v>
      </c>
      <c r="F326" s="106" t="str">
        <f t="shared" si="40"/>
        <v>Média</v>
      </c>
      <c r="G326" s="106" t="str">
        <f t="shared" si="41"/>
        <v>CEA</v>
      </c>
      <c r="H326" s="4">
        <f t="shared" si="42"/>
        <v>4</v>
      </c>
      <c r="I326" s="105" t="str">
        <f t="shared" si="43"/>
        <v>A</v>
      </c>
      <c r="J326" s="4" t="str">
        <f t="shared" si="44"/>
        <v>CEI</v>
      </c>
      <c r="K326" s="106">
        <f t="shared" si="45"/>
        <v>4</v>
      </c>
      <c r="L326" s="106">
        <f>IF(NOT(ISERROR(VLOOKUP(B326,Deflatores!G$42:H$64,2,FALSE))),VLOOKUP(B326,Deflatores!G$42:H$64,2,FALSE),IF(OR(ISBLANK(C326),ISBLANK(B326)),"",VLOOKUP(C326,Deflatores!G$4:H$38,2,FALSE)*H326+VLOOKUP(C326,Deflatores!G$4:I$38,3,FALSE)))</f>
        <v>4</v>
      </c>
      <c r="M326" s="106"/>
      <c r="N326" s="106"/>
      <c r="O326" s="106"/>
    </row>
    <row r="327" spans="1:15" x14ac:dyDescent="0.25">
      <c r="A327" s="112" t="s">
        <v>267</v>
      </c>
      <c r="B327" s="113" t="s">
        <v>50</v>
      </c>
      <c r="C327" s="113" t="s">
        <v>45</v>
      </c>
      <c r="D327" s="4">
        <v>10</v>
      </c>
      <c r="E327" s="4">
        <v>3</v>
      </c>
      <c r="F327" s="106" t="str">
        <f t="shared" si="40"/>
        <v>Média</v>
      </c>
      <c r="G327" s="106" t="str">
        <f t="shared" si="41"/>
        <v>CEA</v>
      </c>
      <c r="H327" s="4">
        <f t="shared" si="42"/>
        <v>4</v>
      </c>
      <c r="I327" s="105" t="str">
        <f t="shared" si="43"/>
        <v>A</v>
      </c>
      <c r="J327" s="4" t="str">
        <f t="shared" si="44"/>
        <v>CEI</v>
      </c>
      <c r="K327" s="106">
        <f t="shared" si="45"/>
        <v>4</v>
      </c>
      <c r="L327" s="106">
        <f>IF(NOT(ISERROR(VLOOKUP(B327,Deflatores!G$42:H$64,2,FALSE))),VLOOKUP(B327,Deflatores!G$42:H$64,2,FALSE),IF(OR(ISBLANK(C327),ISBLANK(B327)),"",VLOOKUP(C327,Deflatores!G$4:H$38,2,FALSE)*H327+VLOOKUP(C327,Deflatores!G$4:I$38,3,FALSE)))</f>
        <v>4</v>
      </c>
      <c r="M327" s="106"/>
      <c r="N327" s="106"/>
      <c r="O327" s="106"/>
    </row>
    <row r="328" spans="1:15" x14ac:dyDescent="0.25">
      <c r="A328" s="112" t="s">
        <v>277</v>
      </c>
      <c r="B328" s="113" t="s">
        <v>50</v>
      </c>
      <c r="C328" s="113" t="s">
        <v>45</v>
      </c>
      <c r="D328" s="4">
        <v>11</v>
      </c>
      <c r="E328" s="4">
        <v>3</v>
      </c>
      <c r="F328" s="106" t="str">
        <f t="shared" si="40"/>
        <v>Média</v>
      </c>
      <c r="G328" s="106" t="str">
        <f t="shared" si="41"/>
        <v>CEA</v>
      </c>
      <c r="H328" s="4">
        <f t="shared" si="42"/>
        <v>4</v>
      </c>
      <c r="I328" s="105" t="str">
        <f t="shared" si="43"/>
        <v>A</v>
      </c>
      <c r="J328" s="4" t="str">
        <f t="shared" si="44"/>
        <v>CEI</v>
      </c>
      <c r="K328" s="106">
        <f t="shared" si="45"/>
        <v>4</v>
      </c>
      <c r="L328" s="106">
        <f>IF(NOT(ISERROR(VLOOKUP(B328,Deflatores!G$42:H$64,2,FALSE))),VLOOKUP(B328,Deflatores!G$42:H$64,2,FALSE),IF(OR(ISBLANK(C328),ISBLANK(B328)),"",VLOOKUP(C328,Deflatores!G$4:H$38,2,FALSE)*H328+VLOOKUP(C328,Deflatores!G$4:I$38,3,FALSE)))</f>
        <v>4</v>
      </c>
      <c r="M328" s="106"/>
      <c r="N328" s="106"/>
      <c r="O328" s="106"/>
    </row>
    <row r="329" spans="1:15" x14ac:dyDescent="0.25">
      <c r="A329" s="112" t="s">
        <v>271</v>
      </c>
      <c r="B329" s="113" t="s">
        <v>48</v>
      </c>
      <c r="C329" s="113" t="s">
        <v>45</v>
      </c>
      <c r="D329" s="113">
        <v>3</v>
      </c>
      <c r="E329" s="4">
        <v>1</v>
      </c>
      <c r="F329" s="106" t="str">
        <f t="shared" si="40"/>
        <v>Baixa</v>
      </c>
      <c r="G329" s="106" t="str">
        <f t="shared" si="41"/>
        <v>EEL</v>
      </c>
      <c r="H329" s="4">
        <f t="shared" si="42"/>
        <v>3</v>
      </c>
      <c r="I329" s="105" t="str">
        <f t="shared" si="43"/>
        <v>L</v>
      </c>
      <c r="J329" s="4" t="str">
        <f t="shared" si="44"/>
        <v>EEI</v>
      </c>
      <c r="K329" s="106">
        <f t="shared" si="45"/>
        <v>3</v>
      </c>
      <c r="L329" s="106">
        <f>IF(NOT(ISERROR(VLOOKUP(B329,Deflatores!G$42:H$64,2,FALSE))),VLOOKUP(B329,Deflatores!G$42:H$64,2,FALSE),IF(OR(ISBLANK(C329),ISBLANK(B329)),"",VLOOKUP(C329,Deflatores!G$4:H$38,2,FALSE)*H329+VLOOKUP(C329,Deflatores!G$4:I$38,3,FALSE)))</f>
        <v>3</v>
      </c>
      <c r="M329" s="106"/>
      <c r="N329" s="106"/>
      <c r="O329" s="106"/>
    </row>
    <row r="330" spans="1:15" x14ac:dyDescent="0.25">
      <c r="A330" s="112" t="s">
        <v>268</v>
      </c>
      <c r="B330" s="113" t="s">
        <v>50</v>
      </c>
      <c r="C330" s="113" t="s">
        <v>45</v>
      </c>
      <c r="D330" s="4">
        <v>10</v>
      </c>
      <c r="E330" s="4">
        <v>3</v>
      </c>
      <c r="F330" s="106" t="str">
        <f t="shared" si="40"/>
        <v>Média</v>
      </c>
      <c r="G330" s="106" t="str">
        <f t="shared" si="41"/>
        <v>CEA</v>
      </c>
      <c r="H330" s="4">
        <f t="shared" si="42"/>
        <v>4</v>
      </c>
      <c r="I330" s="105" t="str">
        <f t="shared" si="43"/>
        <v>A</v>
      </c>
      <c r="J330" s="4" t="str">
        <f t="shared" si="44"/>
        <v>CEI</v>
      </c>
      <c r="K330" s="106">
        <f t="shared" si="45"/>
        <v>4</v>
      </c>
      <c r="L330" s="106">
        <f>IF(NOT(ISERROR(VLOOKUP(B330,Deflatores!G$42:H$64,2,FALSE))),VLOOKUP(B330,Deflatores!G$42:H$64,2,FALSE),IF(OR(ISBLANK(C330),ISBLANK(B330)),"",VLOOKUP(C330,Deflatores!G$4:H$38,2,FALSE)*H330+VLOOKUP(C330,Deflatores!G$4:I$38,3,FALSE)))</f>
        <v>4</v>
      </c>
      <c r="M330" s="106"/>
      <c r="N330" s="106"/>
      <c r="O330" s="106"/>
    </row>
    <row r="331" spans="1:15" x14ac:dyDescent="0.25">
      <c r="A331" s="112"/>
      <c r="B331" s="113"/>
      <c r="C331" s="113"/>
      <c r="D331" s="4"/>
      <c r="E331" s="4"/>
      <c r="F331" s="106" t="str">
        <f t="shared" si="40"/>
        <v/>
      </c>
      <c r="G331" s="106" t="str">
        <f t="shared" si="41"/>
        <v/>
      </c>
      <c r="H331" s="4" t="str">
        <f t="shared" si="42"/>
        <v/>
      </c>
      <c r="I331" s="105" t="str">
        <f t="shared" si="43"/>
        <v/>
      </c>
      <c r="J331" s="4" t="str">
        <f t="shared" si="44"/>
        <v/>
      </c>
      <c r="K331" s="106" t="str">
        <f t="shared" si="45"/>
        <v/>
      </c>
      <c r="L331" s="106" t="str">
        <f>IF(NOT(ISERROR(VLOOKUP(B331,Deflatores!G$42:H$64,2,FALSE))),VLOOKUP(B331,Deflatores!G$42:H$64,2,FALSE),IF(OR(ISBLANK(C331),ISBLANK(B331)),"",VLOOKUP(C331,Deflatores!G$4:H$38,2,FALSE)*H331+VLOOKUP(C331,Deflatores!G$4:I$38,3,FALSE)))</f>
        <v/>
      </c>
      <c r="M331" s="106"/>
      <c r="N331" s="106"/>
      <c r="O331" s="106"/>
    </row>
    <row r="332" spans="1:15" x14ac:dyDescent="0.25">
      <c r="A332" s="115" t="s">
        <v>298</v>
      </c>
      <c r="B332" s="113"/>
      <c r="C332" s="113"/>
      <c r="D332" s="4"/>
      <c r="E332" s="4"/>
      <c r="F332" s="106" t="str">
        <f t="shared" si="40"/>
        <v/>
      </c>
      <c r="G332" s="106" t="str">
        <f t="shared" si="41"/>
        <v/>
      </c>
      <c r="H332" s="4" t="str">
        <f t="shared" si="42"/>
        <v/>
      </c>
      <c r="I332" s="105" t="str">
        <f t="shared" si="43"/>
        <v/>
      </c>
      <c r="J332" s="4" t="str">
        <f t="shared" si="44"/>
        <v/>
      </c>
      <c r="K332" s="106" t="str">
        <f t="shared" si="45"/>
        <v/>
      </c>
      <c r="L332" s="106" t="str">
        <f>IF(NOT(ISERROR(VLOOKUP(B332,Deflatores!G$42:H$64,2,FALSE))),VLOOKUP(B332,Deflatores!G$42:H$64,2,FALSE),IF(OR(ISBLANK(C332),ISBLANK(B332)),"",VLOOKUP(C332,Deflatores!G$4:H$38,2,FALSE)*H332+VLOOKUP(C332,Deflatores!G$4:I$38,3,FALSE)))</f>
        <v/>
      </c>
      <c r="M332" s="106"/>
      <c r="N332" s="106"/>
      <c r="O332" s="106"/>
    </row>
    <row r="333" spans="1:15" x14ac:dyDescent="0.25">
      <c r="A333" s="112" t="s">
        <v>299</v>
      </c>
      <c r="B333" s="113" t="s">
        <v>44</v>
      </c>
      <c r="C333" s="113" t="s">
        <v>45</v>
      </c>
      <c r="D333" s="4">
        <v>6</v>
      </c>
      <c r="E333" s="4">
        <v>1</v>
      </c>
      <c r="F333" s="106" t="str">
        <f t="shared" si="40"/>
        <v>Baixa</v>
      </c>
      <c r="G333" s="106" t="str">
        <f t="shared" si="41"/>
        <v>ALIL</v>
      </c>
      <c r="H333" s="4">
        <f t="shared" si="42"/>
        <v>7</v>
      </c>
      <c r="I333" s="105" t="str">
        <f t="shared" si="43"/>
        <v>L</v>
      </c>
      <c r="J333" s="4" t="str">
        <f t="shared" si="44"/>
        <v>ALII</v>
      </c>
      <c r="K333" s="106">
        <f t="shared" si="45"/>
        <v>7</v>
      </c>
      <c r="L333" s="106">
        <f>IF(NOT(ISERROR(VLOOKUP(B333,Deflatores!G$42:H$64,2,FALSE))),VLOOKUP(B333,Deflatores!G$42:H$64,2,FALSE),IF(OR(ISBLANK(C333),ISBLANK(B333)),"",VLOOKUP(C333,Deflatores!G$4:H$38,2,FALSE)*H333+VLOOKUP(C333,Deflatores!G$4:I$38,3,FALSE)))</f>
        <v>7</v>
      </c>
      <c r="M333" s="106"/>
      <c r="N333" s="106"/>
      <c r="O333" s="106"/>
    </row>
    <row r="334" spans="1:15" x14ac:dyDescent="0.25">
      <c r="A334" s="112" t="s">
        <v>275</v>
      </c>
      <c r="B334" s="113" t="s">
        <v>48</v>
      </c>
      <c r="C334" s="113" t="s">
        <v>45</v>
      </c>
      <c r="D334" s="4">
        <v>8</v>
      </c>
      <c r="E334" s="4">
        <v>1</v>
      </c>
      <c r="F334" s="106" t="str">
        <f t="shared" si="40"/>
        <v>Baixa</v>
      </c>
      <c r="G334" s="106" t="str">
        <f t="shared" si="41"/>
        <v>EEL</v>
      </c>
      <c r="H334" s="4">
        <f t="shared" si="42"/>
        <v>3</v>
      </c>
      <c r="I334" s="105" t="str">
        <f t="shared" si="43"/>
        <v>L</v>
      </c>
      <c r="J334" s="4" t="str">
        <f t="shared" si="44"/>
        <v>EEI</v>
      </c>
      <c r="K334" s="106">
        <f t="shared" si="45"/>
        <v>3</v>
      </c>
      <c r="L334" s="106">
        <f>IF(NOT(ISERROR(VLOOKUP(B334,Deflatores!G$42:H$64,2,FALSE))),VLOOKUP(B334,Deflatores!G$42:H$64,2,FALSE),IF(OR(ISBLANK(C334),ISBLANK(B334)),"",VLOOKUP(C334,Deflatores!G$4:H$38,2,FALSE)*H334+VLOOKUP(C334,Deflatores!G$4:I$38,3,FALSE)))</f>
        <v>3</v>
      </c>
      <c r="M334" s="106"/>
      <c r="N334" s="106"/>
      <c r="O334" s="106"/>
    </row>
    <row r="335" spans="1:15" x14ac:dyDescent="0.25">
      <c r="A335" s="112" t="s">
        <v>276</v>
      </c>
      <c r="B335" s="113" t="s">
        <v>48</v>
      </c>
      <c r="C335" s="113" t="s">
        <v>45</v>
      </c>
      <c r="D335" s="4">
        <v>8</v>
      </c>
      <c r="E335" s="4">
        <v>1</v>
      </c>
      <c r="F335" s="106" t="str">
        <f t="shared" si="40"/>
        <v>Baixa</v>
      </c>
      <c r="G335" s="106" t="str">
        <f t="shared" si="41"/>
        <v>EEL</v>
      </c>
      <c r="H335" s="4">
        <f t="shared" si="42"/>
        <v>3</v>
      </c>
      <c r="I335" s="105" t="str">
        <f t="shared" si="43"/>
        <v>L</v>
      </c>
      <c r="J335" s="4" t="str">
        <f t="shared" si="44"/>
        <v>EEI</v>
      </c>
      <c r="K335" s="106">
        <f t="shared" si="45"/>
        <v>3</v>
      </c>
      <c r="L335" s="106">
        <f>IF(NOT(ISERROR(VLOOKUP(B335,Deflatores!G$42:H$64,2,FALSE))),VLOOKUP(B335,Deflatores!G$42:H$64,2,FALSE),IF(OR(ISBLANK(C335),ISBLANK(B335)),"",VLOOKUP(C335,Deflatores!G$4:H$38,2,FALSE)*H335+VLOOKUP(C335,Deflatores!G$4:I$38,3,FALSE)))</f>
        <v>3</v>
      </c>
      <c r="M335" s="106"/>
      <c r="N335" s="106"/>
      <c r="O335" s="106"/>
    </row>
    <row r="336" spans="1:15" x14ac:dyDescent="0.25">
      <c r="A336" s="114" t="s">
        <v>82</v>
      </c>
      <c r="B336" s="113" t="s">
        <v>50</v>
      </c>
      <c r="C336" s="113" t="s">
        <v>45</v>
      </c>
      <c r="D336" s="4">
        <v>8</v>
      </c>
      <c r="E336" s="4">
        <v>1</v>
      </c>
      <c r="F336" s="106" t="str">
        <f t="shared" si="40"/>
        <v>Baixa</v>
      </c>
      <c r="G336" s="106" t="str">
        <f t="shared" si="41"/>
        <v>CEL</v>
      </c>
      <c r="H336" s="4">
        <f t="shared" si="42"/>
        <v>3</v>
      </c>
      <c r="I336" s="105" t="str">
        <f t="shared" si="43"/>
        <v>L</v>
      </c>
      <c r="J336" s="4" t="str">
        <f t="shared" si="44"/>
        <v>CEI</v>
      </c>
      <c r="K336" s="106">
        <f t="shared" si="45"/>
        <v>3</v>
      </c>
      <c r="L336" s="106">
        <f>IF(NOT(ISERROR(VLOOKUP(B336,Deflatores!G$42:H$64,2,FALSE))),VLOOKUP(B336,Deflatores!G$42:H$64,2,FALSE),IF(OR(ISBLANK(C336),ISBLANK(B336)),"",VLOOKUP(C336,Deflatores!G$4:H$38,2,FALSE)*H336+VLOOKUP(C336,Deflatores!G$4:I$38,3,FALSE)))</f>
        <v>3</v>
      </c>
      <c r="M336" s="106"/>
      <c r="N336" s="106"/>
      <c r="O336" s="106"/>
    </row>
    <row r="337" spans="1:15" x14ac:dyDescent="0.25">
      <c r="A337" s="112"/>
      <c r="B337" s="113"/>
      <c r="C337" s="113"/>
      <c r="D337" s="4"/>
      <c r="E337" s="4"/>
      <c r="F337" s="106" t="str">
        <f t="shared" si="40"/>
        <v/>
      </c>
      <c r="G337" s="106" t="str">
        <f t="shared" si="41"/>
        <v/>
      </c>
      <c r="H337" s="4" t="str">
        <f t="shared" si="42"/>
        <v/>
      </c>
      <c r="I337" s="105" t="str">
        <f t="shared" si="43"/>
        <v/>
      </c>
      <c r="J337" s="4" t="str">
        <f t="shared" si="44"/>
        <v/>
      </c>
      <c r="K337" s="106" t="str">
        <f t="shared" si="45"/>
        <v/>
      </c>
      <c r="L337" s="106" t="str">
        <f>IF(NOT(ISERROR(VLOOKUP(B337,Deflatores!G$42:H$64,2,FALSE))),VLOOKUP(B337,Deflatores!G$42:H$64,2,FALSE),IF(OR(ISBLANK(C337),ISBLANK(B337)),"",VLOOKUP(C337,Deflatores!G$4:H$38,2,FALSE)*H337+VLOOKUP(C337,Deflatores!G$4:I$38,3,FALSE)))</f>
        <v/>
      </c>
      <c r="M337" s="106"/>
      <c r="N337" s="106"/>
      <c r="O337" s="106"/>
    </row>
    <row r="338" spans="1:15" x14ac:dyDescent="0.25">
      <c r="A338" s="115" t="s">
        <v>300</v>
      </c>
      <c r="B338" s="113"/>
      <c r="C338" s="113"/>
      <c r="D338" s="4"/>
      <c r="E338" s="4"/>
      <c r="F338" s="106" t="str">
        <f t="shared" si="40"/>
        <v/>
      </c>
      <c r="G338" s="106" t="str">
        <f t="shared" si="41"/>
        <v/>
      </c>
      <c r="H338" s="4" t="str">
        <f t="shared" si="42"/>
        <v/>
      </c>
      <c r="I338" s="105" t="str">
        <f t="shared" si="43"/>
        <v/>
      </c>
      <c r="J338" s="4" t="str">
        <f t="shared" si="44"/>
        <v/>
      </c>
      <c r="K338" s="106" t="str">
        <f t="shared" si="45"/>
        <v/>
      </c>
      <c r="L338" s="106" t="str">
        <f>IF(NOT(ISERROR(VLOOKUP(B338,Deflatores!G$42:H$64,2,FALSE))),VLOOKUP(B338,Deflatores!G$42:H$64,2,FALSE),IF(OR(ISBLANK(C338),ISBLANK(B338)),"",VLOOKUP(C338,Deflatores!G$4:H$38,2,FALSE)*H338+VLOOKUP(C338,Deflatores!G$4:I$38,3,FALSE)))</f>
        <v/>
      </c>
      <c r="M338" s="106"/>
      <c r="N338" s="106"/>
      <c r="O338" s="106"/>
    </row>
    <row r="339" spans="1:15" x14ac:dyDescent="0.25">
      <c r="A339" s="112" t="s">
        <v>301</v>
      </c>
      <c r="B339" s="113" t="s">
        <v>50</v>
      </c>
      <c r="C339" s="113" t="s">
        <v>45</v>
      </c>
      <c r="D339" s="4">
        <v>8</v>
      </c>
      <c r="E339" s="4">
        <v>2</v>
      </c>
      <c r="F339" s="106" t="str">
        <f t="shared" si="40"/>
        <v>Média</v>
      </c>
      <c r="G339" s="106" t="str">
        <f t="shared" si="41"/>
        <v>CEA</v>
      </c>
      <c r="H339" s="4">
        <f t="shared" si="42"/>
        <v>4</v>
      </c>
      <c r="I339" s="105" t="str">
        <f t="shared" si="43"/>
        <v>A</v>
      </c>
      <c r="J339" s="4" t="str">
        <f t="shared" si="44"/>
        <v>CEI</v>
      </c>
      <c r="K339" s="106">
        <f t="shared" si="45"/>
        <v>4</v>
      </c>
      <c r="L339" s="106">
        <f>IF(NOT(ISERROR(VLOOKUP(B339,Deflatores!G$42:H$64,2,FALSE))),VLOOKUP(B339,Deflatores!G$42:H$64,2,FALSE),IF(OR(ISBLANK(C339),ISBLANK(B339)),"",VLOOKUP(C339,Deflatores!G$4:H$38,2,FALSE)*H339+VLOOKUP(C339,Deflatores!G$4:I$38,3,FALSE)))</f>
        <v>4</v>
      </c>
      <c r="M339" s="106"/>
      <c r="N339" s="106"/>
      <c r="O339" s="106"/>
    </row>
    <row r="340" spans="1:15" x14ac:dyDescent="0.25">
      <c r="A340" s="112"/>
      <c r="B340" s="113"/>
      <c r="C340" s="113"/>
      <c r="D340" s="4"/>
      <c r="E340" s="4"/>
      <c r="F340" s="106"/>
      <c r="G340" s="106"/>
      <c r="H340" s="4" t="str">
        <f t="shared" si="42"/>
        <v/>
      </c>
      <c r="I340" s="105" t="str">
        <f t="shared" si="43"/>
        <v/>
      </c>
      <c r="J340" s="4" t="str">
        <f t="shared" si="44"/>
        <v/>
      </c>
      <c r="K340" s="106" t="str">
        <f t="shared" si="45"/>
        <v/>
      </c>
      <c r="L340" s="106" t="str">
        <f>IF(NOT(ISERROR(VLOOKUP(B340,Deflatores!G$42:H$64,2,FALSE))),VLOOKUP(B340,Deflatores!G$42:H$64,2,FALSE),IF(OR(ISBLANK(C340),ISBLANK(B340)),"",VLOOKUP(C340,Deflatores!G$4:H$38,2,FALSE)*H340+VLOOKUP(C340,Deflatores!G$4:I$38,3,FALSE)))</f>
        <v/>
      </c>
      <c r="M340" s="106"/>
      <c r="N340" s="106"/>
      <c r="O340" s="106"/>
    </row>
    <row r="341" spans="1:15" x14ac:dyDescent="0.25">
      <c r="A341" s="115" t="s">
        <v>302</v>
      </c>
      <c r="B341" s="113"/>
      <c r="C341" s="113"/>
      <c r="D341" s="4"/>
      <c r="E341" s="4"/>
      <c r="F341" s="106"/>
      <c r="G341" s="106"/>
      <c r="H341" s="4" t="str">
        <f t="shared" si="42"/>
        <v/>
      </c>
      <c r="I341" s="105" t="str">
        <f t="shared" si="43"/>
        <v/>
      </c>
      <c r="J341" s="4" t="str">
        <f t="shared" si="44"/>
        <v/>
      </c>
      <c r="K341" s="106" t="str">
        <f t="shared" si="45"/>
        <v/>
      </c>
      <c r="L341" s="106" t="str">
        <f>IF(NOT(ISERROR(VLOOKUP(B341,Deflatores!G$42:H$64,2,FALSE))),VLOOKUP(B341,Deflatores!G$42:H$64,2,FALSE),IF(OR(ISBLANK(C341),ISBLANK(B341)),"",VLOOKUP(C341,Deflatores!G$4:H$38,2,FALSE)*H341+VLOOKUP(C341,Deflatores!G$4:I$38,3,FALSE)))</f>
        <v/>
      </c>
      <c r="M341" s="106"/>
      <c r="N341" s="106"/>
      <c r="O341" s="106"/>
    </row>
    <row r="342" spans="1:15" x14ac:dyDescent="0.25">
      <c r="A342" s="112" t="s">
        <v>303</v>
      </c>
      <c r="B342" s="113" t="s">
        <v>44</v>
      </c>
      <c r="C342" s="113" t="s">
        <v>45</v>
      </c>
      <c r="D342" s="4">
        <v>93</v>
      </c>
      <c r="E342" s="4">
        <v>2</v>
      </c>
      <c r="F342" s="106" t="str">
        <f t="shared" ref="F342:F393" si="46">IF(ISBLANK(B342),"",IF(I342="L","Baixa",IF(I342="A","Média",IF(I342="","","Alta"))))</f>
        <v>Alta</v>
      </c>
      <c r="G342" s="106" t="str">
        <f t="shared" ref="G342:G393" si="47">CONCATENATE(B342,I342)</f>
        <v>ALIH</v>
      </c>
      <c r="H342" s="4">
        <f t="shared" si="42"/>
        <v>15</v>
      </c>
      <c r="I342" s="105" t="str">
        <f t="shared" si="43"/>
        <v>H</v>
      </c>
      <c r="J342" s="4" t="str">
        <f t="shared" si="44"/>
        <v>ALII</v>
      </c>
      <c r="K342" s="106">
        <f t="shared" si="45"/>
        <v>15</v>
      </c>
      <c r="L342" s="106">
        <f>IF(NOT(ISERROR(VLOOKUP(B342,Deflatores!G$42:H$64,2,FALSE))),VLOOKUP(B342,Deflatores!G$42:H$64,2,FALSE),IF(OR(ISBLANK(C342),ISBLANK(B342)),"",VLOOKUP(C342,Deflatores!G$4:H$38,2,FALSE)*H342+VLOOKUP(C342,Deflatores!G$4:I$38,3,FALSE)))</f>
        <v>15</v>
      </c>
      <c r="M342" s="106"/>
      <c r="N342" s="106"/>
      <c r="O342" s="106"/>
    </row>
    <row r="343" spans="1:15" x14ac:dyDescent="0.25">
      <c r="A343" s="112" t="s">
        <v>304</v>
      </c>
      <c r="B343" s="113" t="s">
        <v>48</v>
      </c>
      <c r="C343" s="113" t="s">
        <v>45</v>
      </c>
      <c r="D343" s="4">
        <v>27</v>
      </c>
      <c r="E343" s="4">
        <v>2</v>
      </c>
      <c r="F343" s="106" t="str">
        <f t="shared" si="46"/>
        <v>Alta</v>
      </c>
      <c r="G343" s="106" t="str">
        <f t="shared" si="47"/>
        <v>EEH</v>
      </c>
      <c r="H343" s="4">
        <f t="shared" si="42"/>
        <v>6</v>
      </c>
      <c r="I343" s="105" t="str">
        <f t="shared" si="43"/>
        <v>H</v>
      </c>
      <c r="J343" s="4" t="str">
        <f t="shared" si="44"/>
        <v>EEI</v>
      </c>
      <c r="K343" s="106">
        <f t="shared" si="45"/>
        <v>6</v>
      </c>
      <c r="L343" s="106">
        <f>IF(NOT(ISERROR(VLOOKUP(B343,Deflatores!G$42:H$64,2,FALSE))),VLOOKUP(B343,Deflatores!G$42:H$64,2,FALSE),IF(OR(ISBLANK(C343),ISBLANK(B343)),"",VLOOKUP(C343,Deflatores!G$4:H$38,2,FALSE)*H343+VLOOKUP(C343,Deflatores!G$4:I$38,3,FALSE)))</f>
        <v>6</v>
      </c>
      <c r="M343" s="106"/>
      <c r="N343" s="106"/>
      <c r="O343" s="106"/>
    </row>
    <row r="344" spans="1:15" x14ac:dyDescent="0.25">
      <c r="A344" s="114" t="s">
        <v>305</v>
      </c>
      <c r="B344" s="113" t="s">
        <v>50</v>
      </c>
      <c r="C344" s="113" t="s">
        <v>45</v>
      </c>
      <c r="D344" s="4">
        <v>25</v>
      </c>
      <c r="E344" s="4">
        <v>1</v>
      </c>
      <c r="F344" s="106" t="str">
        <f t="shared" si="46"/>
        <v>Média</v>
      </c>
      <c r="G344" s="106" t="str">
        <f t="shared" si="47"/>
        <v>CEA</v>
      </c>
      <c r="H344" s="4">
        <f t="shared" si="42"/>
        <v>4</v>
      </c>
      <c r="I344" s="105" t="str">
        <f t="shared" si="43"/>
        <v>A</v>
      </c>
      <c r="J344" s="4" t="str">
        <f t="shared" si="44"/>
        <v>CEI</v>
      </c>
      <c r="K344" s="106">
        <f t="shared" si="45"/>
        <v>4</v>
      </c>
      <c r="L344" s="106">
        <f>IF(NOT(ISERROR(VLOOKUP(B344,Deflatores!G$42:H$64,2,FALSE))),VLOOKUP(B344,Deflatores!G$42:H$64,2,FALSE),IF(OR(ISBLANK(C344),ISBLANK(B344)),"",VLOOKUP(C344,Deflatores!G$4:H$38,2,FALSE)*H344+VLOOKUP(C344,Deflatores!G$4:I$38,3,FALSE)))</f>
        <v>4</v>
      </c>
      <c r="M344" s="106"/>
      <c r="N344" s="106"/>
      <c r="O344" s="106"/>
    </row>
    <row r="345" spans="1:15" x14ac:dyDescent="0.25">
      <c r="A345" s="112" t="s">
        <v>306</v>
      </c>
      <c r="B345" s="113" t="s">
        <v>48</v>
      </c>
      <c r="C345" s="113" t="s">
        <v>72</v>
      </c>
      <c r="D345" s="4">
        <v>10</v>
      </c>
      <c r="E345" s="4">
        <v>4</v>
      </c>
      <c r="F345" s="106" t="str">
        <f t="shared" si="46"/>
        <v>Alta</v>
      </c>
      <c r="G345" s="106" t="str">
        <f t="shared" si="47"/>
        <v>EEH</v>
      </c>
      <c r="H345" s="4">
        <f t="shared" si="42"/>
        <v>6</v>
      </c>
      <c r="I345" s="105" t="str">
        <f t="shared" si="43"/>
        <v>H</v>
      </c>
      <c r="J345" s="4" t="str">
        <f t="shared" si="44"/>
        <v>EEE</v>
      </c>
      <c r="K345" s="106">
        <f t="shared" si="45"/>
        <v>6</v>
      </c>
      <c r="L345" s="106">
        <f>IF(NOT(ISERROR(VLOOKUP(B345,Deflatores!G$42:H$64,2,FALSE))),VLOOKUP(B345,Deflatores!G$42:H$64,2,FALSE),IF(OR(ISBLANK(C345),ISBLANK(B345)),"",VLOOKUP(C345,Deflatores!G$4:H$38,2,FALSE)*H345+VLOOKUP(C345,Deflatores!G$4:I$38,3,FALSE)))</f>
        <v>2.4000000000000004</v>
      </c>
      <c r="M345" s="106"/>
      <c r="N345" s="106"/>
      <c r="O345" s="106"/>
    </row>
    <row r="346" spans="1:15" x14ac:dyDescent="0.25">
      <c r="A346" s="114" t="s">
        <v>307</v>
      </c>
      <c r="B346" s="113" t="s">
        <v>50</v>
      </c>
      <c r="C346" s="113" t="s">
        <v>72</v>
      </c>
      <c r="D346" s="4">
        <v>9</v>
      </c>
      <c r="E346" s="4">
        <v>2</v>
      </c>
      <c r="F346" s="106" t="str">
        <f t="shared" si="46"/>
        <v>Média</v>
      </c>
      <c r="G346" s="106" t="str">
        <f t="shared" si="47"/>
        <v>CEA</v>
      </c>
      <c r="H346" s="4">
        <f t="shared" si="42"/>
        <v>4</v>
      </c>
      <c r="I346" s="105" t="str">
        <f t="shared" si="43"/>
        <v>A</v>
      </c>
      <c r="J346" s="4" t="str">
        <f t="shared" si="44"/>
        <v>CEE</v>
      </c>
      <c r="K346" s="106">
        <f t="shared" si="45"/>
        <v>4</v>
      </c>
      <c r="L346" s="106">
        <f>IF(NOT(ISERROR(VLOOKUP(B346,Deflatores!G$42:H$64,2,FALSE))),VLOOKUP(B346,Deflatores!G$42:H$64,2,FALSE),IF(OR(ISBLANK(C346),ISBLANK(B346)),"",VLOOKUP(C346,Deflatores!G$4:H$38,2,FALSE)*H346+VLOOKUP(C346,Deflatores!G$4:I$38,3,FALSE)))</f>
        <v>1.6</v>
      </c>
      <c r="M346" s="106"/>
      <c r="N346" s="106"/>
      <c r="O346" s="106"/>
    </row>
    <row r="347" spans="1:15" s="117" customFormat="1" x14ac:dyDescent="0.25">
      <c r="A347" s="112" t="s">
        <v>308</v>
      </c>
      <c r="B347" s="113" t="s">
        <v>48</v>
      </c>
      <c r="C347" s="113" t="s">
        <v>45</v>
      </c>
      <c r="D347" s="4">
        <v>12</v>
      </c>
      <c r="E347" s="4">
        <v>3</v>
      </c>
      <c r="F347" s="106" t="str">
        <f t="shared" si="46"/>
        <v>Alta</v>
      </c>
      <c r="G347" s="106" t="str">
        <f t="shared" si="47"/>
        <v>EEH</v>
      </c>
      <c r="H347" s="4">
        <f t="shared" si="42"/>
        <v>6</v>
      </c>
      <c r="I347" s="105" t="str">
        <f t="shared" si="43"/>
        <v>H</v>
      </c>
      <c r="J347" s="4" t="str">
        <f t="shared" si="44"/>
        <v>EEI</v>
      </c>
      <c r="K347" s="106">
        <f t="shared" si="45"/>
        <v>6</v>
      </c>
      <c r="L347" s="106">
        <f>IF(NOT(ISERROR(VLOOKUP(B347,Deflatores!G$42:H$64,2,FALSE))),VLOOKUP(B347,Deflatores!G$42:H$64,2,FALSE),IF(OR(ISBLANK(C347),ISBLANK(B347)),"",VLOOKUP(C347,Deflatores!G$4:H$38,2,FALSE)*H347+VLOOKUP(C347,Deflatores!G$4:I$38,3,FALSE)))</f>
        <v>6</v>
      </c>
      <c r="M347" s="116"/>
      <c r="N347" s="116"/>
      <c r="O347" s="116"/>
    </row>
    <row r="348" spans="1:15" s="136" customFormat="1" x14ac:dyDescent="0.25">
      <c r="A348" s="156" t="s">
        <v>309</v>
      </c>
      <c r="B348" s="131" t="s">
        <v>50</v>
      </c>
      <c r="C348" s="131" t="s">
        <v>45</v>
      </c>
      <c r="D348" s="132">
        <v>11</v>
      </c>
      <c r="E348" s="132">
        <v>1</v>
      </c>
      <c r="F348" s="133" t="str">
        <f t="shared" si="46"/>
        <v>Baixa</v>
      </c>
      <c r="G348" s="133" t="str">
        <f t="shared" si="47"/>
        <v>CEL</v>
      </c>
      <c r="H348" s="132">
        <f t="shared" si="42"/>
        <v>3</v>
      </c>
      <c r="I348" s="134" t="str">
        <f t="shared" si="43"/>
        <v>L</v>
      </c>
      <c r="J348" s="132" t="str">
        <f t="shared" si="44"/>
        <v>CEI</v>
      </c>
      <c r="K348" s="133">
        <f t="shared" si="45"/>
        <v>3</v>
      </c>
      <c r="L348" s="106">
        <f>IF(NOT(ISERROR(VLOOKUP(B348,Deflatores!G$42:H$64,2,FALSE))),VLOOKUP(B348,Deflatores!G$42:H$64,2,FALSE),IF(OR(ISBLANK(C348),ISBLANK(B348)),"",VLOOKUP(C348,Deflatores!G$4:H$38,2,FALSE)*H348+VLOOKUP(C348,Deflatores!G$4:I$38,3,FALSE)))</f>
        <v>3</v>
      </c>
      <c r="M348" s="135"/>
      <c r="N348" s="135"/>
      <c r="O348" s="135"/>
    </row>
    <row r="349" spans="1:15" s="137" customFormat="1" x14ac:dyDescent="0.25">
      <c r="A349" s="157" t="s">
        <v>310</v>
      </c>
      <c r="B349" s="131" t="s">
        <v>48</v>
      </c>
      <c r="C349" s="113" t="s">
        <v>45</v>
      </c>
      <c r="D349" s="132">
        <v>27</v>
      </c>
      <c r="E349" s="132">
        <v>3</v>
      </c>
      <c r="F349" s="133" t="str">
        <f t="shared" si="46"/>
        <v>Alta</v>
      </c>
      <c r="G349" s="133" t="str">
        <f t="shared" si="47"/>
        <v>EEH</v>
      </c>
      <c r="H349" s="132">
        <f t="shared" si="42"/>
        <v>6</v>
      </c>
      <c r="I349" s="134" t="str">
        <f t="shared" si="43"/>
        <v>H</v>
      </c>
      <c r="J349" s="132" t="str">
        <f t="shared" si="44"/>
        <v>EEI</v>
      </c>
      <c r="K349" s="133">
        <f t="shared" si="45"/>
        <v>6</v>
      </c>
      <c r="L349" s="106">
        <f>IF(NOT(ISERROR(VLOOKUP(B349,Deflatores!G$42:H$64,2,FALSE))),VLOOKUP(B349,Deflatores!G$42:H$64,2,FALSE),IF(OR(ISBLANK(C349),ISBLANK(B349)),"",VLOOKUP(C349,Deflatores!G$4:H$38,2,FALSE)*H349+VLOOKUP(C349,Deflatores!G$4:I$38,3,FALSE)))</f>
        <v>6</v>
      </c>
      <c r="M349" s="133"/>
      <c r="N349" s="133"/>
      <c r="O349" s="133"/>
    </row>
    <row r="350" spans="1:15" s="136" customFormat="1" x14ac:dyDescent="0.25">
      <c r="A350" s="156" t="s">
        <v>311</v>
      </c>
      <c r="B350" s="131" t="s">
        <v>50</v>
      </c>
      <c r="C350" s="131" t="s">
        <v>45</v>
      </c>
      <c r="D350" s="132">
        <v>50</v>
      </c>
      <c r="E350" s="132">
        <v>2</v>
      </c>
      <c r="F350" s="133" t="str">
        <f t="shared" si="46"/>
        <v>Alta</v>
      </c>
      <c r="G350" s="133" t="str">
        <f t="shared" si="47"/>
        <v>CEH</v>
      </c>
      <c r="H350" s="132">
        <f t="shared" si="42"/>
        <v>6</v>
      </c>
      <c r="I350" s="134" t="str">
        <f t="shared" si="43"/>
        <v>H</v>
      </c>
      <c r="J350" s="132" t="str">
        <f t="shared" si="44"/>
        <v>CEI</v>
      </c>
      <c r="K350" s="133">
        <f t="shared" si="45"/>
        <v>6</v>
      </c>
      <c r="L350" s="106">
        <f>IF(NOT(ISERROR(VLOOKUP(B350,Deflatores!G$42:H$64,2,FALSE))),VLOOKUP(B350,Deflatores!G$42:H$64,2,FALSE),IF(OR(ISBLANK(C350),ISBLANK(B350)),"",VLOOKUP(C350,Deflatores!G$4:H$38,2,FALSE)*H350+VLOOKUP(C350,Deflatores!G$4:I$38,3,FALSE)))</f>
        <v>6</v>
      </c>
      <c r="M350" s="135"/>
      <c r="N350" s="135"/>
      <c r="O350" s="135"/>
    </row>
    <row r="351" spans="1:15" s="136" customFormat="1" x14ac:dyDescent="0.25">
      <c r="A351" s="157" t="s">
        <v>312</v>
      </c>
      <c r="B351" s="131" t="s">
        <v>48</v>
      </c>
      <c r="C351" s="131" t="s">
        <v>72</v>
      </c>
      <c r="D351" s="132">
        <v>11</v>
      </c>
      <c r="E351" s="132">
        <v>4</v>
      </c>
      <c r="F351" s="133" t="str">
        <f t="shared" si="46"/>
        <v>Alta</v>
      </c>
      <c r="G351" s="133" t="str">
        <f t="shared" si="47"/>
        <v>EEH</v>
      </c>
      <c r="H351" s="132">
        <f t="shared" si="42"/>
        <v>6</v>
      </c>
      <c r="I351" s="134" t="str">
        <f t="shared" si="43"/>
        <v>H</v>
      </c>
      <c r="J351" s="132" t="str">
        <f t="shared" si="44"/>
        <v>EEE</v>
      </c>
      <c r="K351" s="133">
        <f t="shared" si="45"/>
        <v>6</v>
      </c>
      <c r="L351" s="106">
        <f>IF(NOT(ISERROR(VLOOKUP(B351,Deflatores!G$42:H$64,2,FALSE))),VLOOKUP(B351,Deflatores!G$42:H$64,2,FALSE),IF(OR(ISBLANK(C351),ISBLANK(B351)),"",VLOOKUP(C351,Deflatores!G$4:H$38,2,FALSE)*H351+VLOOKUP(C351,Deflatores!G$4:I$38,3,FALSE)))</f>
        <v>2.4000000000000004</v>
      </c>
      <c r="M351" s="135"/>
      <c r="N351" s="135"/>
      <c r="O351" s="135"/>
    </row>
    <row r="352" spans="1:15" s="136" customFormat="1" x14ac:dyDescent="0.25">
      <c r="A352" s="156" t="s">
        <v>313</v>
      </c>
      <c r="B352" s="131" t="s">
        <v>50</v>
      </c>
      <c r="C352" s="131" t="s">
        <v>72</v>
      </c>
      <c r="D352" s="132">
        <v>18</v>
      </c>
      <c r="E352" s="132">
        <v>3</v>
      </c>
      <c r="F352" s="133" t="str">
        <f t="shared" si="46"/>
        <v>Média</v>
      </c>
      <c r="G352" s="133" t="str">
        <f t="shared" si="47"/>
        <v>CEA</v>
      </c>
      <c r="H352" s="132">
        <f t="shared" si="42"/>
        <v>4</v>
      </c>
      <c r="I352" s="134" t="str">
        <f t="shared" si="43"/>
        <v>A</v>
      </c>
      <c r="J352" s="132" t="str">
        <f t="shared" si="44"/>
        <v>CEE</v>
      </c>
      <c r="K352" s="133">
        <f t="shared" si="45"/>
        <v>4</v>
      </c>
      <c r="L352" s="106">
        <f>IF(NOT(ISERROR(VLOOKUP(B352,Deflatores!G$42:H$64,2,FALSE))),VLOOKUP(B352,Deflatores!G$42:H$64,2,FALSE),IF(OR(ISBLANK(C352),ISBLANK(B352)),"",VLOOKUP(C352,Deflatores!G$4:H$38,2,FALSE)*H352+VLOOKUP(C352,Deflatores!G$4:I$38,3,FALSE)))</f>
        <v>1.6</v>
      </c>
      <c r="M352" s="135"/>
      <c r="N352" s="135"/>
      <c r="O352" s="135"/>
    </row>
    <row r="353" spans="1:15" s="136" customFormat="1" x14ac:dyDescent="0.25">
      <c r="A353" s="157" t="s">
        <v>314</v>
      </c>
      <c r="B353" s="131" t="s">
        <v>48</v>
      </c>
      <c r="C353" s="131" t="s">
        <v>45</v>
      </c>
      <c r="D353" s="132">
        <v>13</v>
      </c>
      <c r="E353" s="132">
        <v>3</v>
      </c>
      <c r="F353" s="133" t="str">
        <f t="shared" si="46"/>
        <v>Alta</v>
      </c>
      <c r="G353" s="133" t="str">
        <f t="shared" si="47"/>
        <v>EEH</v>
      </c>
      <c r="H353" s="132">
        <f t="shared" si="42"/>
        <v>6</v>
      </c>
      <c r="I353" s="134" t="str">
        <f t="shared" si="43"/>
        <v>H</v>
      </c>
      <c r="J353" s="132" t="str">
        <f t="shared" si="44"/>
        <v>EEI</v>
      </c>
      <c r="K353" s="133">
        <f t="shared" si="45"/>
        <v>6</v>
      </c>
      <c r="L353" s="106">
        <f>IF(NOT(ISERROR(VLOOKUP(B353,Deflatores!G$42:H$64,2,FALSE))),VLOOKUP(B353,Deflatores!G$42:H$64,2,FALSE),IF(OR(ISBLANK(C353),ISBLANK(B353)),"",VLOOKUP(C353,Deflatores!G$4:H$38,2,FALSE)*H353+VLOOKUP(C353,Deflatores!G$4:I$38,3,FALSE)))</f>
        <v>6</v>
      </c>
      <c r="M353" s="135"/>
      <c r="N353" s="135"/>
      <c r="O353" s="135"/>
    </row>
    <row r="354" spans="1:15" s="136" customFormat="1" x14ac:dyDescent="0.25">
      <c r="A354" s="156" t="s">
        <v>315</v>
      </c>
      <c r="B354" s="131" t="s">
        <v>50</v>
      </c>
      <c r="C354" s="131" t="s">
        <v>45</v>
      </c>
      <c r="D354" s="132">
        <v>22</v>
      </c>
      <c r="E354" s="132">
        <v>2</v>
      </c>
      <c r="F354" s="133" t="str">
        <f t="shared" si="46"/>
        <v>Alta</v>
      </c>
      <c r="G354" s="133" t="str">
        <f t="shared" si="47"/>
        <v>CEH</v>
      </c>
      <c r="H354" s="132">
        <f t="shared" si="42"/>
        <v>6</v>
      </c>
      <c r="I354" s="134" t="str">
        <f t="shared" si="43"/>
        <v>H</v>
      </c>
      <c r="J354" s="132" t="str">
        <f t="shared" si="44"/>
        <v>CEI</v>
      </c>
      <c r="K354" s="133">
        <f t="shared" si="45"/>
        <v>6</v>
      </c>
      <c r="L354" s="106">
        <f>IF(NOT(ISERROR(VLOOKUP(B354,Deflatores!G$42:H$64,2,FALSE))),VLOOKUP(B354,Deflatores!G$42:H$64,2,FALSE),IF(OR(ISBLANK(C354),ISBLANK(B354)),"",VLOOKUP(C354,Deflatores!G$4:H$38,2,FALSE)*H354+VLOOKUP(C354,Deflatores!G$4:I$38,3,FALSE)))</f>
        <v>6</v>
      </c>
      <c r="M354" s="135"/>
      <c r="N354" s="135"/>
      <c r="O354" s="135"/>
    </row>
    <row r="355" spans="1:15" s="117" customFormat="1" x14ac:dyDescent="0.25">
      <c r="A355" s="112" t="s">
        <v>316</v>
      </c>
      <c r="B355" s="113" t="s">
        <v>50</v>
      </c>
      <c r="C355" s="113" t="s">
        <v>45</v>
      </c>
      <c r="D355" s="4">
        <v>52</v>
      </c>
      <c r="E355" s="4">
        <v>2</v>
      </c>
      <c r="F355" s="106" t="str">
        <f t="shared" si="46"/>
        <v>Alta</v>
      </c>
      <c r="G355" s="106" t="str">
        <f t="shared" si="47"/>
        <v>CEH</v>
      </c>
      <c r="H355" s="4">
        <f t="shared" si="42"/>
        <v>6</v>
      </c>
      <c r="I355" s="105" t="str">
        <f t="shared" si="43"/>
        <v>H</v>
      </c>
      <c r="J355" s="4" t="str">
        <f t="shared" si="44"/>
        <v>CEI</v>
      </c>
      <c r="K355" s="106">
        <f t="shared" si="45"/>
        <v>6</v>
      </c>
      <c r="L355" s="106">
        <f>IF(NOT(ISERROR(VLOOKUP(B355,Deflatores!G$42:H$64,2,FALSE))),VLOOKUP(B355,Deflatores!G$42:H$64,2,FALSE),IF(OR(ISBLANK(C355),ISBLANK(B355)),"",VLOOKUP(C355,Deflatores!G$4:H$38,2,FALSE)*H355+VLOOKUP(C355,Deflatores!G$4:I$38,3,FALSE)))</f>
        <v>6</v>
      </c>
      <c r="M355" s="116"/>
      <c r="N355" s="116"/>
      <c r="O355" s="116"/>
    </row>
    <row r="356" spans="1:15" s="117" customFormat="1" x14ac:dyDescent="0.25">
      <c r="A356" s="112" t="s">
        <v>317</v>
      </c>
      <c r="B356" s="113" t="s">
        <v>50</v>
      </c>
      <c r="C356" s="113" t="s">
        <v>72</v>
      </c>
      <c r="D356" s="4">
        <v>20</v>
      </c>
      <c r="E356" s="4">
        <v>4</v>
      </c>
      <c r="F356" s="106" t="str">
        <f t="shared" si="46"/>
        <v>Alta</v>
      </c>
      <c r="G356" s="106" t="str">
        <f t="shared" si="47"/>
        <v>CEH</v>
      </c>
      <c r="H356" s="4">
        <f t="shared" si="42"/>
        <v>6</v>
      </c>
      <c r="I356" s="105" t="str">
        <f t="shared" si="43"/>
        <v>H</v>
      </c>
      <c r="J356" s="4" t="str">
        <f t="shared" si="44"/>
        <v>CEE</v>
      </c>
      <c r="K356" s="106">
        <f t="shared" si="45"/>
        <v>6</v>
      </c>
      <c r="L356" s="106">
        <f>IF(NOT(ISERROR(VLOOKUP(B356,Deflatores!G$42:H$64,2,FALSE))),VLOOKUP(B356,Deflatores!G$42:H$64,2,FALSE),IF(OR(ISBLANK(C356),ISBLANK(B356)),"",VLOOKUP(C356,Deflatores!G$4:H$38,2,FALSE)*H356+VLOOKUP(C356,Deflatores!G$4:I$38,3,FALSE)))</f>
        <v>2.4000000000000004</v>
      </c>
      <c r="M356" s="116"/>
      <c r="N356" s="116"/>
      <c r="O356" s="116"/>
    </row>
    <row r="357" spans="1:15" s="117" customFormat="1" x14ac:dyDescent="0.25">
      <c r="A357" s="112" t="s">
        <v>318</v>
      </c>
      <c r="B357" s="113" t="s">
        <v>50</v>
      </c>
      <c r="C357" s="113" t="s">
        <v>45</v>
      </c>
      <c r="D357" s="4">
        <v>24</v>
      </c>
      <c r="E357" s="4">
        <v>2</v>
      </c>
      <c r="F357" s="106" t="str">
        <f t="shared" si="46"/>
        <v>Alta</v>
      </c>
      <c r="G357" s="106" t="str">
        <f t="shared" si="47"/>
        <v>CEH</v>
      </c>
      <c r="H357" s="4">
        <f t="shared" si="42"/>
        <v>6</v>
      </c>
      <c r="I357" s="105" t="str">
        <f t="shared" si="43"/>
        <v>H</v>
      </c>
      <c r="J357" s="4" t="str">
        <f t="shared" si="44"/>
        <v>CEI</v>
      </c>
      <c r="K357" s="106">
        <f t="shared" si="45"/>
        <v>6</v>
      </c>
      <c r="L357" s="106">
        <f>IF(NOT(ISERROR(VLOOKUP(B357,Deflatores!G$42:H$64,2,FALSE))),VLOOKUP(B357,Deflatores!G$42:H$64,2,FALSE),IF(OR(ISBLANK(C357),ISBLANK(B357)),"",VLOOKUP(C357,Deflatores!G$4:H$38,2,FALSE)*H357+VLOOKUP(C357,Deflatores!G$4:I$38,3,FALSE)))</f>
        <v>6</v>
      </c>
      <c r="M357" s="116"/>
      <c r="N357" s="116"/>
      <c r="O357" s="116"/>
    </row>
    <row r="358" spans="1:15" ht="13.5" x14ac:dyDescent="0.25">
      <c r="A358" s="155" t="s">
        <v>319</v>
      </c>
      <c r="B358" s="126" t="s">
        <v>50</v>
      </c>
      <c r="C358" s="127" t="s">
        <v>45</v>
      </c>
      <c r="D358" s="4">
        <v>16</v>
      </c>
      <c r="E358" s="4">
        <v>3</v>
      </c>
      <c r="F358" s="128" t="s">
        <v>91</v>
      </c>
      <c r="G358" s="129">
        <v>3</v>
      </c>
      <c r="H358" s="129">
        <v>3</v>
      </c>
      <c r="I358" s="129">
        <v>3</v>
      </c>
      <c r="J358" s="129"/>
      <c r="K358" s="106">
        <f>IF(OR(H358="",H358=0),L358,H358)</f>
        <v>3</v>
      </c>
      <c r="L358" s="106">
        <f>IF(NOT(ISERROR(VLOOKUP(B358,Deflatores!G$42:H$64,2,FALSE))),VLOOKUP(B358,Deflatores!G$42:H$64,2,FALSE),IF(OR(ISBLANK(C358),ISBLANK(B358)),"",VLOOKUP(C358,Deflatores!G$4:H$38,2,FALSE)*H358+VLOOKUP(C358,Deflatores!G$4:I$38,3,FALSE)))</f>
        <v>3</v>
      </c>
      <c r="N358" s="6"/>
      <c r="O358" s="111"/>
    </row>
    <row r="359" spans="1:15" ht="13.4" customHeight="1" x14ac:dyDescent="0.25">
      <c r="A359" s="112" t="s">
        <v>320</v>
      </c>
      <c r="B359" s="113" t="s">
        <v>50</v>
      </c>
      <c r="C359" s="113" t="s">
        <v>45</v>
      </c>
      <c r="D359" s="4">
        <v>12</v>
      </c>
      <c r="E359" s="4">
        <v>4</v>
      </c>
      <c r="F359" s="105" t="str">
        <f>IF(ISBLANK(B359),"",IF(I359="L","Baixa",IF(I359="A","Média",IF(I359="","","Alta"))))</f>
        <v>Alta</v>
      </c>
      <c r="G359" s="4" t="str">
        <f>CONCATENATE(B359,I359)</f>
        <v>CEH</v>
      </c>
      <c r="H359" s="4">
        <f>IF(ISBLANK(B359),"",IF(B359="ALI",IF(I359="L",7,IF(I359="A",10,15)),IF(B359="AIE",IF(I359="L",5,IF(I359="A",7,10)),IF(B359="SE",IF(I359="L",4,IF(I359="A",5,7)),IF(OR(B359="EE",B359="CE"),IF(I359="L",3,IF(I359="A",4,6)),0)))))</f>
        <v>6</v>
      </c>
      <c r="I359" s="105" t="str">
        <f>IF(OR(ISBLANK(D359),ISBLANK(E359)),IF(OR(B359="ALI",B359="AIE"),"L",IF(OR(B359="EE",B359="SE",B359="CE"),"A","")),IF(B359="EE",IF(E359&gt;=3,IF(D359&gt;=5,"H","A"),IF(E359&gt;=2,IF(D359&gt;=16,"H",IF(D359&lt;=4,"L","A")),IF(D359&lt;=15,"L","A"))),IF(OR(B359="SE",B359="CE"),IF(E359&gt;=4,IF(D359&gt;=6,"H","A"),IF(E359&gt;=2,IF(D359&gt;=20,"H",IF(D359&lt;=5,"L","A")),IF(D359&lt;=19,"L","A"))),IF(OR(B359="ALI",B359="AIE"),IF(E359&gt;=6,IF(D359&gt;=20,"H","A"),IF(E359&gt;=2,IF(D359&gt;=51,"H",IF(D359&lt;=19,"L","A")),IF(D359&lt;=50,"L","A"))),""))))</f>
        <v>H</v>
      </c>
      <c r="J359" s="4" t="str">
        <f>CONCATENATE(B359,C359)</f>
        <v>CEI</v>
      </c>
      <c r="K359" s="106">
        <f>IF(OR(H359="",H359=0),L359,H359)</f>
        <v>6</v>
      </c>
      <c r="L359" s="106">
        <f>IF(NOT(ISERROR(VLOOKUP(B359,Deflatores!G$42:H$64,2,FALSE))),VLOOKUP(B359,Deflatores!G$42:H$64,2,FALSE),IF(OR(ISBLANK(C359),ISBLANK(B359)),"",VLOOKUP(C359,Deflatores!G$4:H$38,2,FALSE)*H359+VLOOKUP(C359,Deflatores!G$4:I$38,3,FALSE)))</f>
        <v>6</v>
      </c>
      <c r="M359" s="6"/>
      <c r="N359" s="6"/>
      <c r="O359" s="111"/>
    </row>
    <row r="360" spans="1:15" ht="13.5" x14ac:dyDescent="0.25">
      <c r="A360" s="155" t="s">
        <v>321</v>
      </c>
      <c r="B360" s="126" t="s">
        <v>48</v>
      </c>
      <c r="C360" s="127" t="s">
        <v>45</v>
      </c>
      <c r="D360" s="4">
        <v>19</v>
      </c>
      <c r="E360" s="4">
        <v>3</v>
      </c>
      <c r="F360" s="128" t="s">
        <v>91</v>
      </c>
      <c r="G360" s="129">
        <v>3</v>
      </c>
      <c r="H360" s="129">
        <v>3</v>
      </c>
      <c r="I360" s="129">
        <v>3</v>
      </c>
      <c r="J360" s="129"/>
      <c r="K360" s="106">
        <f t="shared" ref="K360:K374" si="48">IF(OR(H360="",H360=0),L360,H360)</f>
        <v>3</v>
      </c>
      <c r="L360" s="106">
        <f>IF(NOT(ISERROR(VLOOKUP(B360,Deflatores!G$42:H$64,2,FALSE))),VLOOKUP(B360,Deflatores!G$42:H$64,2,FALSE),IF(OR(ISBLANK(C360),ISBLANK(B360)),"",VLOOKUP(C360,Deflatores!G$4:H$38,2,FALSE)*H360+VLOOKUP(C360,Deflatores!G$4:I$38,3,FALSE)))</f>
        <v>3</v>
      </c>
      <c r="N360" s="6"/>
      <c r="O360" s="111"/>
    </row>
    <row r="361" spans="1:15" ht="13.5" x14ac:dyDescent="0.25">
      <c r="A361" s="155" t="s">
        <v>322</v>
      </c>
      <c r="B361" s="126" t="s">
        <v>48</v>
      </c>
      <c r="C361" s="127" t="s">
        <v>45</v>
      </c>
      <c r="D361" s="4">
        <v>5</v>
      </c>
      <c r="E361" s="4">
        <v>1</v>
      </c>
      <c r="F361" s="128" t="s">
        <v>91</v>
      </c>
      <c r="G361" s="129">
        <v>3</v>
      </c>
      <c r="H361" s="129">
        <v>3</v>
      </c>
      <c r="I361" s="129">
        <v>3</v>
      </c>
      <c r="J361" s="129"/>
      <c r="K361" s="106">
        <f t="shared" si="48"/>
        <v>3</v>
      </c>
      <c r="L361" s="106">
        <f>IF(NOT(ISERROR(VLOOKUP(B361,Deflatores!G$42:H$64,2,FALSE))),VLOOKUP(B361,Deflatores!G$42:H$64,2,FALSE),IF(OR(ISBLANK(C361),ISBLANK(B361)),"",VLOOKUP(C361,Deflatores!G$4:H$38,2,FALSE)*H361+VLOOKUP(C361,Deflatores!G$4:I$38,3,FALSE)))</f>
        <v>3</v>
      </c>
      <c r="N361" s="6"/>
      <c r="O361" s="111"/>
    </row>
    <row r="362" spans="1:15" x14ac:dyDescent="0.25">
      <c r="A362" s="112" t="s">
        <v>323</v>
      </c>
      <c r="B362" s="113" t="s">
        <v>50</v>
      </c>
      <c r="C362" s="113" t="s">
        <v>45</v>
      </c>
      <c r="D362" s="4">
        <v>19</v>
      </c>
      <c r="E362" s="4">
        <v>3</v>
      </c>
      <c r="F362" s="105" t="str">
        <f t="shared" ref="F362:F374" si="49">IF(ISBLANK(B362),"",IF(I362="L","Baixa",IF(I362="A","Média",IF(I362="","","Alta"))))</f>
        <v>Média</v>
      </c>
      <c r="G362" s="4" t="str">
        <f t="shared" ref="G362:G374" si="50">CONCATENATE(B362,I362)</f>
        <v>CEA</v>
      </c>
      <c r="H362" s="4">
        <f t="shared" ref="H362:H374" si="51">IF(ISBLANK(B362),"",IF(B362="ALI",IF(I362="L",7,IF(I362="A",10,15)),IF(B362="AIE",IF(I362="L",5,IF(I362="A",7,10)),IF(B362="SE",IF(I362="L",4,IF(I362="A",5,7)),IF(OR(B362="EE",B362="CE"),IF(I362="L",3,IF(I362="A",4,6)),0)))))</f>
        <v>4</v>
      </c>
      <c r="I362" s="105" t="str">
        <f t="shared" ref="I362:I374" si="52">IF(OR(ISBLANK(D362),ISBLANK(E362)),IF(OR(B362="ALI",B362="AIE"),"L",IF(OR(B362="EE",B362="SE",B362="CE"),"A","")),IF(B362="EE",IF(E362&gt;=3,IF(D362&gt;=5,"H","A"),IF(E362&gt;=2,IF(D362&gt;=16,"H",IF(D362&lt;=4,"L","A")),IF(D362&lt;=15,"L","A"))),IF(OR(B362="SE",B362="CE"),IF(E362&gt;=4,IF(D362&gt;=6,"H","A"),IF(E362&gt;=2,IF(D362&gt;=20,"H",IF(D362&lt;=5,"L","A")),IF(D362&lt;=19,"L","A"))),IF(OR(B362="ALI",B362="AIE"),IF(E362&gt;=6,IF(D362&gt;=20,"H","A"),IF(E362&gt;=2,IF(D362&gt;=51,"H",IF(D362&lt;=19,"L","A")),IF(D362&lt;=50,"L","A"))),""))))</f>
        <v>A</v>
      </c>
      <c r="J362" s="4" t="str">
        <f t="shared" ref="J362:J374" si="53">CONCATENATE(B362,C362)</f>
        <v>CEI</v>
      </c>
      <c r="K362" s="106">
        <f t="shared" si="48"/>
        <v>4</v>
      </c>
      <c r="L362" s="106">
        <f>IF(NOT(ISERROR(VLOOKUP(B362,Deflatores!G$42:H$64,2,FALSE))),VLOOKUP(B362,Deflatores!G$42:H$64,2,FALSE),IF(OR(ISBLANK(C362),ISBLANK(B362)),"",VLOOKUP(C362,Deflatores!G$4:H$38,2,FALSE)*H362+VLOOKUP(C362,Deflatores!G$4:I$38,3,FALSE)))</f>
        <v>4</v>
      </c>
      <c r="M362" s="6"/>
      <c r="N362" s="6"/>
      <c r="O362" s="111"/>
    </row>
    <row r="363" spans="1:15" x14ac:dyDescent="0.25">
      <c r="A363" s="112" t="s">
        <v>324</v>
      </c>
      <c r="B363" s="113" t="s">
        <v>48</v>
      </c>
      <c r="C363" s="113" t="s">
        <v>45</v>
      </c>
      <c r="D363" s="4">
        <v>19</v>
      </c>
      <c r="E363" s="4">
        <v>3</v>
      </c>
      <c r="F363" s="105" t="str">
        <f t="shared" si="49"/>
        <v>Alta</v>
      </c>
      <c r="G363" s="4" t="str">
        <f t="shared" si="50"/>
        <v>EEH</v>
      </c>
      <c r="H363" s="4">
        <f t="shared" si="51"/>
        <v>6</v>
      </c>
      <c r="I363" s="105" t="str">
        <f t="shared" si="52"/>
        <v>H</v>
      </c>
      <c r="J363" s="4" t="str">
        <f t="shared" si="53"/>
        <v>EEI</v>
      </c>
      <c r="K363" s="106">
        <f t="shared" si="48"/>
        <v>6</v>
      </c>
      <c r="L363" s="106">
        <f>IF(NOT(ISERROR(VLOOKUP(B363,Deflatores!G$42:H$64,2,FALSE))),VLOOKUP(B363,Deflatores!G$42:H$64,2,FALSE),IF(OR(ISBLANK(C363),ISBLANK(B363)),"",VLOOKUP(C363,Deflatores!G$4:H$38,2,FALSE)*H363+VLOOKUP(C363,Deflatores!G$4:I$38,3,FALSE)))</f>
        <v>6</v>
      </c>
      <c r="M363" s="6"/>
      <c r="N363" s="6"/>
      <c r="O363" s="111"/>
    </row>
    <row r="364" spans="1:15" ht="13.5" customHeight="1" x14ac:dyDescent="0.25">
      <c r="A364" s="112" t="s">
        <v>325</v>
      </c>
      <c r="B364" s="113" t="s">
        <v>48</v>
      </c>
      <c r="C364" s="113" t="s">
        <v>45</v>
      </c>
      <c r="D364" s="4">
        <v>28</v>
      </c>
      <c r="E364" s="4">
        <v>3</v>
      </c>
      <c r="F364" s="105" t="str">
        <f t="shared" si="49"/>
        <v>Alta</v>
      </c>
      <c r="G364" s="4" t="str">
        <f t="shared" si="50"/>
        <v>EEH</v>
      </c>
      <c r="H364" s="4">
        <f t="shared" si="51"/>
        <v>6</v>
      </c>
      <c r="I364" s="105" t="str">
        <f t="shared" si="52"/>
        <v>H</v>
      </c>
      <c r="J364" s="4" t="str">
        <f t="shared" si="53"/>
        <v>EEI</v>
      </c>
      <c r="K364" s="106">
        <f t="shared" si="48"/>
        <v>6</v>
      </c>
      <c r="L364" s="106">
        <f>IF(NOT(ISERROR(VLOOKUP(B364,Deflatores!G$42:H$64,2,FALSE))),VLOOKUP(B364,Deflatores!G$42:H$64,2,FALSE),IF(OR(ISBLANK(C364),ISBLANK(B364)),"",VLOOKUP(C364,Deflatores!G$4:H$38,2,FALSE)*H364+VLOOKUP(C364,Deflatores!G$4:I$38,3,FALSE)))</f>
        <v>6</v>
      </c>
      <c r="M364" s="6"/>
      <c r="N364" s="6"/>
      <c r="O364" s="111"/>
    </row>
    <row r="365" spans="1:15" ht="13.5" customHeight="1" x14ac:dyDescent="0.25">
      <c r="A365" s="112" t="s">
        <v>326</v>
      </c>
      <c r="B365" s="113" t="s">
        <v>48</v>
      </c>
      <c r="C365" s="113" t="s">
        <v>45</v>
      </c>
      <c r="D365" s="4">
        <v>11</v>
      </c>
      <c r="E365" s="4">
        <v>3</v>
      </c>
      <c r="F365" s="105" t="str">
        <f t="shared" si="49"/>
        <v>Alta</v>
      </c>
      <c r="G365" s="4" t="str">
        <f t="shared" si="50"/>
        <v>EEH</v>
      </c>
      <c r="H365" s="4">
        <f t="shared" si="51"/>
        <v>6</v>
      </c>
      <c r="I365" s="105" t="str">
        <f t="shared" si="52"/>
        <v>H</v>
      </c>
      <c r="J365" s="4" t="str">
        <f t="shared" si="53"/>
        <v>EEI</v>
      </c>
      <c r="K365" s="106">
        <f t="shared" si="48"/>
        <v>6</v>
      </c>
      <c r="L365" s="106">
        <f>IF(NOT(ISERROR(VLOOKUP(B365,Deflatores!G$42:H$64,2,FALSE))),VLOOKUP(B365,Deflatores!G$42:H$64,2,FALSE),IF(OR(ISBLANK(C365),ISBLANK(B365)),"",VLOOKUP(C365,Deflatores!G$4:H$38,2,FALSE)*H365+VLOOKUP(C365,Deflatores!G$4:I$38,3,FALSE)))</f>
        <v>6</v>
      </c>
      <c r="M365" s="6"/>
      <c r="N365" s="6"/>
      <c r="O365" s="111"/>
    </row>
    <row r="366" spans="1:15" x14ac:dyDescent="0.25">
      <c r="A366" s="112" t="s">
        <v>327</v>
      </c>
      <c r="B366" s="113" t="s">
        <v>48</v>
      </c>
      <c r="C366" s="113" t="s">
        <v>45</v>
      </c>
      <c r="D366" s="4">
        <v>15</v>
      </c>
      <c r="E366" s="4">
        <v>5</v>
      </c>
      <c r="F366" s="106" t="str">
        <f t="shared" si="49"/>
        <v>Alta</v>
      </c>
      <c r="G366" s="106" t="str">
        <f t="shared" si="50"/>
        <v>EEH</v>
      </c>
      <c r="H366" s="4">
        <f t="shared" si="51"/>
        <v>6</v>
      </c>
      <c r="I366" s="105" t="str">
        <f t="shared" si="52"/>
        <v>H</v>
      </c>
      <c r="J366" s="4" t="str">
        <f t="shared" si="53"/>
        <v>EEI</v>
      </c>
      <c r="K366" s="106">
        <f t="shared" si="48"/>
        <v>6</v>
      </c>
      <c r="L366" s="106">
        <f>IF(NOT(ISERROR(VLOOKUP(B366,Deflatores!G$42:H$64,2,FALSE))),VLOOKUP(B366,Deflatores!G$42:H$64,2,FALSE),IF(OR(ISBLANK(C366),ISBLANK(B366)),"",VLOOKUP(C366,Deflatores!G$4:H$38,2,FALSE)*H366+VLOOKUP(C366,Deflatores!G$4:I$38,3,FALSE)))</f>
        <v>6</v>
      </c>
      <c r="M366" s="106"/>
      <c r="N366" s="106"/>
      <c r="O366" s="148"/>
    </row>
    <row r="367" spans="1:15" s="136" customFormat="1" x14ac:dyDescent="0.25">
      <c r="A367" s="157" t="s">
        <v>328</v>
      </c>
      <c r="B367" s="131" t="s">
        <v>48</v>
      </c>
      <c r="C367" s="113" t="s">
        <v>45</v>
      </c>
      <c r="D367" s="4">
        <v>15</v>
      </c>
      <c r="E367" s="4">
        <v>5</v>
      </c>
      <c r="F367" s="133" t="str">
        <f t="shared" si="49"/>
        <v>Alta</v>
      </c>
      <c r="G367" s="133" t="str">
        <f t="shared" si="50"/>
        <v>EEH</v>
      </c>
      <c r="H367" s="132">
        <f t="shared" si="51"/>
        <v>6</v>
      </c>
      <c r="I367" s="134" t="str">
        <f t="shared" si="52"/>
        <v>H</v>
      </c>
      <c r="J367" s="132" t="str">
        <f t="shared" si="53"/>
        <v>EEI</v>
      </c>
      <c r="K367" s="133">
        <f t="shared" si="48"/>
        <v>6</v>
      </c>
      <c r="L367" s="106">
        <f>IF(NOT(ISERROR(VLOOKUP(B367,Deflatores!G$42:H$64,2,FALSE))),VLOOKUP(B367,Deflatores!G$42:H$64,2,FALSE),IF(OR(ISBLANK(C367),ISBLANK(B367)),"",VLOOKUP(C367,Deflatores!G$4:H$38,2,FALSE)*H367+VLOOKUP(C367,Deflatores!G$4:I$38,3,FALSE)))</f>
        <v>6</v>
      </c>
      <c r="M367" s="135"/>
      <c r="N367" s="135"/>
      <c r="O367" s="148"/>
    </row>
    <row r="368" spans="1:15" s="136" customFormat="1" x14ac:dyDescent="0.25">
      <c r="A368" s="156" t="s">
        <v>329</v>
      </c>
      <c r="B368" s="131" t="s">
        <v>50</v>
      </c>
      <c r="C368" s="113" t="s">
        <v>45</v>
      </c>
      <c r="D368" s="4">
        <v>13</v>
      </c>
      <c r="E368" s="4">
        <v>5</v>
      </c>
      <c r="F368" s="133" t="str">
        <f t="shared" si="49"/>
        <v>Alta</v>
      </c>
      <c r="G368" s="133" t="str">
        <f t="shared" si="50"/>
        <v>CEH</v>
      </c>
      <c r="H368" s="132">
        <f t="shared" si="51"/>
        <v>6</v>
      </c>
      <c r="I368" s="134" t="str">
        <f t="shared" si="52"/>
        <v>H</v>
      </c>
      <c r="J368" s="132" t="str">
        <f t="shared" si="53"/>
        <v>CEI</v>
      </c>
      <c r="K368" s="133">
        <f t="shared" si="48"/>
        <v>6</v>
      </c>
      <c r="L368" s="106">
        <f>IF(NOT(ISERROR(VLOOKUP(B368,Deflatores!G$42:H$64,2,FALSE))),VLOOKUP(B368,Deflatores!G$42:H$64,2,FALSE),IF(OR(ISBLANK(C368),ISBLANK(B368)),"",VLOOKUP(C368,Deflatores!G$4:H$38,2,FALSE)*H368+VLOOKUP(C368,Deflatores!G$4:I$38,3,FALSE)))</f>
        <v>6</v>
      </c>
      <c r="M368" s="135"/>
      <c r="N368" s="135"/>
      <c r="O368" s="148"/>
    </row>
    <row r="369" spans="1:15" ht="13.5" customHeight="1" x14ac:dyDescent="0.25">
      <c r="A369" s="112" t="s">
        <v>83</v>
      </c>
      <c r="B369" s="113" t="s">
        <v>48</v>
      </c>
      <c r="C369" s="113" t="s">
        <v>45</v>
      </c>
      <c r="D369" s="4">
        <v>12</v>
      </c>
      <c r="E369" s="4">
        <v>6</v>
      </c>
      <c r="F369" s="105" t="str">
        <f t="shared" si="49"/>
        <v>Alta</v>
      </c>
      <c r="G369" s="4" t="str">
        <f t="shared" si="50"/>
        <v>EEH</v>
      </c>
      <c r="H369" s="4">
        <f t="shared" si="51"/>
        <v>6</v>
      </c>
      <c r="I369" s="105" t="str">
        <f t="shared" si="52"/>
        <v>H</v>
      </c>
      <c r="J369" s="4" t="str">
        <f t="shared" si="53"/>
        <v>EEI</v>
      </c>
      <c r="K369" s="106">
        <f t="shared" si="48"/>
        <v>6</v>
      </c>
      <c r="L369" s="106">
        <f>IF(NOT(ISERROR(VLOOKUP(B369,Deflatores!G$42:H$64,2,FALSE))),VLOOKUP(B369,Deflatores!G$42:H$64,2,FALSE),IF(OR(ISBLANK(C369),ISBLANK(B369)),"",VLOOKUP(C369,Deflatores!G$4:H$38,2,FALSE)*H369+VLOOKUP(C369,Deflatores!G$4:I$38,3,FALSE)))</f>
        <v>6</v>
      </c>
      <c r="M369" s="6"/>
      <c r="N369" s="6"/>
      <c r="O369" s="111"/>
    </row>
    <row r="370" spans="1:15" ht="13.5" customHeight="1" x14ac:dyDescent="0.25">
      <c r="A370" s="112" t="s">
        <v>86</v>
      </c>
      <c r="B370" s="113" t="s">
        <v>48</v>
      </c>
      <c r="C370" s="113" t="s">
        <v>45</v>
      </c>
      <c r="D370" s="4">
        <v>18</v>
      </c>
      <c r="E370" s="4">
        <v>6</v>
      </c>
      <c r="F370" s="105" t="str">
        <f t="shared" si="49"/>
        <v>Alta</v>
      </c>
      <c r="G370" s="4" t="str">
        <f t="shared" si="50"/>
        <v>EEH</v>
      </c>
      <c r="H370" s="4">
        <f t="shared" si="51"/>
        <v>6</v>
      </c>
      <c r="I370" s="105" t="str">
        <f t="shared" si="52"/>
        <v>H</v>
      </c>
      <c r="J370" s="4" t="str">
        <f t="shared" si="53"/>
        <v>EEI</v>
      </c>
      <c r="K370" s="106">
        <f t="shared" si="48"/>
        <v>6</v>
      </c>
      <c r="L370" s="106">
        <f>IF(NOT(ISERROR(VLOOKUP(B370,Deflatores!G$42:H$64,2,FALSE))),VLOOKUP(B370,Deflatores!G$42:H$64,2,FALSE),IF(OR(ISBLANK(C370),ISBLANK(B370)),"",VLOOKUP(C370,Deflatores!G$4:H$38,2,FALSE)*H370+VLOOKUP(C370,Deflatores!G$4:I$38,3,FALSE)))</f>
        <v>6</v>
      </c>
      <c r="M370" s="6"/>
      <c r="N370" s="6"/>
      <c r="O370" s="111"/>
    </row>
    <row r="371" spans="1:15" ht="13.5" customHeight="1" x14ac:dyDescent="0.25">
      <c r="A371" s="114" t="s">
        <v>58</v>
      </c>
      <c r="B371" s="113" t="s">
        <v>50</v>
      </c>
      <c r="C371" s="113" t="s">
        <v>45</v>
      </c>
      <c r="D371" s="4">
        <v>14</v>
      </c>
      <c r="E371" s="4">
        <v>5</v>
      </c>
      <c r="F371" s="105" t="str">
        <f t="shared" si="49"/>
        <v>Alta</v>
      </c>
      <c r="G371" s="4" t="str">
        <f t="shared" si="50"/>
        <v>CEH</v>
      </c>
      <c r="H371" s="4">
        <f t="shared" si="51"/>
        <v>6</v>
      </c>
      <c r="I371" s="105" t="str">
        <f t="shared" si="52"/>
        <v>H</v>
      </c>
      <c r="J371" s="4" t="str">
        <f t="shared" si="53"/>
        <v>CEI</v>
      </c>
      <c r="K371" s="106">
        <f t="shared" si="48"/>
        <v>6</v>
      </c>
      <c r="L371" s="106">
        <f>IF(NOT(ISERROR(VLOOKUP(B371,Deflatores!G$42:H$64,2,FALSE))),VLOOKUP(B371,Deflatores!G$42:H$64,2,FALSE),IF(OR(ISBLANK(C371),ISBLANK(B371)),"",VLOOKUP(C371,Deflatores!G$4:H$38,2,FALSE)*H371+VLOOKUP(C371,Deflatores!G$4:I$38,3,FALSE)))</f>
        <v>6</v>
      </c>
      <c r="M371" s="6"/>
      <c r="N371" s="6"/>
      <c r="O371" s="111"/>
    </row>
    <row r="372" spans="1:15" ht="13.5" customHeight="1" x14ac:dyDescent="0.25">
      <c r="A372" s="112" t="s">
        <v>87</v>
      </c>
      <c r="B372" s="113" t="s">
        <v>50</v>
      </c>
      <c r="C372" s="113" t="s">
        <v>45</v>
      </c>
      <c r="D372" s="4">
        <v>13</v>
      </c>
      <c r="E372" s="4">
        <v>3</v>
      </c>
      <c r="F372" s="105" t="str">
        <f t="shared" si="49"/>
        <v>Média</v>
      </c>
      <c r="G372" s="4" t="str">
        <f t="shared" si="50"/>
        <v>CEA</v>
      </c>
      <c r="H372" s="4">
        <f t="shared" si="51"/>
        <v>4</v>
      </c>
      <c r="I372" s="105" t="str">
        <f t="shared" si="52"/>
        <v>A</v>
      </c>
      <c r="J372" s="4" t="str">
        <f t="shared" si="53"/>
        <v>CEI</v>
      </c>
      <c r="K372" s="106">
        <f t="shared" si="48"/>
        <v>4</v>
      </c>
      <c r="L372" s="106">
        <f>IF(NOT(ISERROR(VLOOKUP(B372,Deflatores!G$42:H$64,2,FALSE))),VLOOKUP(B372,Deflatores!G$42:H$64,2,FALSE),IF(OR(ISBLANK(C372),ISBLANK(B372)),"",VLOOKUP(C372,Deflatores!G$4:H$38,2,FALSE)*H372+VLOOKUP(C372,Deflatores!G$4:I$38,3,FALSE)))</f>
        <v>4</v>
      </c>
      <c r="M372" s="6"/>
      <c r="N372" s="6"/>
      <c r="O372" s="111"/>
    </row>
    <row r="373" spans="1:15" ht="13.5" customHeight="1" x14ac:dyDescent="0.25">
      <c r="A373" s="112" t="s">
        <v>88</v>
      </c>
      <c r="B373" s="113" t="s">
        <v>48</v>
      </c>
      <c r="C373" s="113" t="s">
        <v>45</v>
      </c>
      <c r="D373" s="4">
        <v>3</v>
      </c>
      <c r="E373" s="4">
        <v>1</v>
      </c>
      <c r="F373" s="105" t="str">
        <f t="shared" si="49"/>
        <v>Baixa</v>
      </c>
      <c r="G373" s="4" t="str">
        <f t="shared" si="50"/>
        <v>EEL</v>
      </c>
      <c r="H373" s="4">
        <f t="shared" si="51"/>
        <v>3</v>
      </c>
      <c r="I373" s="105" t="str">
        <f t="shared" si="52"/>
        <v>L</v>
      </c>
      <c r="J373" s="4" t="str">
        <f t="shared" si="53"/>
        <v>EEI</v>
      </c>
      <c r="K373" s="106">
        <f t="shared" si="48"/>
        <v>3</v>
      </c>
      <c r="L373" s="106">
        <f>IF(NOT(ISERROR(VLOOKUP(B373,Deflatores!G$42:H$64,2,FALSE))),VLOOKUP(B373,Deflatores!G$42:H$64,2,FALSE),IF(OR(ISBLANK(C373),ISBLANK(B373)),"",VLOOKUP(C373,Deflatores!G$4:H$38,2,FALSE)*H373+VLOOKUP(C373,Deflatores!G$4:I$38,3,FALSE)))</f>
        <v>3</v>
      </c>
      <c r="M373" s="6"/>
      <c r="N373" s="6"/>
      <c r="O373" s="111"/>
    </row>
    <row r="374" spans="1:15" ht="13.5" customHeight="1" x14ac:dyDescent="0.25">
      <c r="A374" s="112" t="s">
        <v>330</v>
      </c>
      <c r="B374" s="113" t="s">
        <v>50</v>
      </c>
      <c r="C374" s="113" t="s">
        <v>45</v>
      </c>
      <c r="D374" s="4">
        <v>18</v>
      </c>
      <c r="E374" s="4">
        <v>5</v>
      </c>
      <c r="F374" s="105" t="str">
        <f t="shared" si="49"/>
        <v>Alta</v>
      </c>
      <c r="G374" s="4" t="str">
        <f t="shared" si="50"/>
        <v>CEH</v>
      </c>
      <c r="H374" s="4">
        <f t="shared" si="51"/>
        <v>6</v>
      </c>
      <c r="I374" s="105" t="str">
        <f t="shared" si="52"/>
        <v>H</v>
      </c>
      <c r="J374" s="4" t="str">
        <f t="shared" si="53"/>
        <v>CEI</v>
      </c>
      <c r="K374" s="106">
        <f t="shared" si="48"/>
        <v>6</v>
      </c>
      <c r="L374" s="106">
        <f>IF(NOT(ISERROR(VLOOKUP(B374,Deflatores!G$42:H$64,2,FALSE))),VLOOKUP(B374,Deflatores!G$42:H$64,2,FALSE),IF(OR(ISBLANK(C374),ISBLANK(B374)),"",VLOOKUP(C374,Deflatores!G$4:H$38,2,FALSE)*H374+VLOOKUP(C374,Deflatores!G$4:I$38,3,FALSE)))</f>
        <v>6</v>
      </c>
      <c r="M374" s="6"/>
      <c r="N374" s="6"/>
      <c r="O374" s="111"/>
    </row>
    <row r="375" spans="1:15" x14ac:dyDescent="0.25">
      <c r="A375" s="112"/>
      <c r="B375" s="113"/>
      <c r="C375" s="113"/>
      <c r="D375" s="4"/>
      <c r="E375" s="4"/>
      <c r="F375" s="106" t="str">
        <f t="shared" si="46"/>
        <v/>
      </c>
      <c r="G375" s="106" t="str">
        <f t="shared" si="47"/>
        <v/>
      </c>
      <c r="H375" s="4" t="str">
        <f t="shared" si="42"/>
        <v/>
      </c>
      <c r="I375" s="105" t="str">
        <f t="shared" si="43"/>
        <v/>
      </c>
      <c r="J375" s="4" t="str">
        <f t="shared" si="44"/>
        <v/>
      </c>
      <c r="K375" s="106" t="str">
        <f t="shared" si="45"/>
        <v/>
      </c>
      <c r="L375" s="106" t="str">
        <f>IF(NOT(ISERROR(VLOOKUP(B375,Deflatores!G$42:H$64,2,FALSE))),VLOOKUP(B375,Deflatores!G$42:H$64,2,FALSE),IF(OR(ISBLANK(C375),ISBLANK(B375)),"",VLOOKUP(C375,Deflatores!G$4:H$38,2,FALSE)*H375+VLOOKUP(C375,Deflatores!G$4:I$38,3,FALSE)))</f>
        <v/>
      </c>
      <c r="M375" s="106"/>
      <c r="N375" s="106"/>
      <c r="O375" s="106"/>
    </row>
    <row r="376" spans="1:15" x14ac:dyDescent="0.25">
      <c r="A376" s="115" t="s">
        <v>331</v>
      </c>
      <c r="B376" s="113"/>
      <c r="C376" s="113"/>
      <c r="D376" s="4"/>
      <c r="E376" s="4"/>
      <c r="F376" s="106" t="str">
        <f t="shared" si="46"/>
        <v/>
      </c>
      <c r="G376" s="106" t="str">
        <f t="shared" si="47"/>
        <v/>
      </c>
      <c r="H376" s="4" t="str">
        <f t="shared" si="42"/>
        <v/>
      </c>
      <c r="I376" s="105" t="str">
        <f t="shared" si="43"/>
        <v/>
      </c>
      <c r="J376" s="4" t="str">
        <f t="shared" si="44"/>
        <v/>
      </c>
      <c r="K376" s="106" t="str">
        <f t="shared" si="45"/>
        <v/>
      </c>
      <c r="L376" s="106" t="str">
        <f>IF(NOT(ISERROR(VLOOKUP(B376,Deflatores!G$42:H$64,2,FALSE))),VLOOKUP(B376,Deflatores!G$42:H$64,2,FALSE),IF(OR(ISBLANK(C376),ISBLANK(B376)),"",VLOOKUP(C376,Deflatores!G$4:H$38,2,FALSE)*H376+VLOOKUP(C376,Deflatores!G$4:I$38,3,FALSE)))</f>
        <v/>
      </c>
      <c r="M376" s="106"/>
      <c r="N376" s="106"/>
      <c r="O376" s="106"/>
    </row>
    <row r="377" spans="1:15" x14ac:dyDescent="0.25">
      <c r="A377" s="112" t="s">
        <v>332</v>
      </c>
      <c r="B377" s="113" t="s">
        <v>50</v>
      </c>
      <c r="C377" s="113" t="s">
        <v>45</v>
      </c>
      <c r="D377" s="4">
        <v>7</v>
      </c>
      <c r="E377" s="4">
        <v>2</v>
      </c>
      <c r="F377" s="106" t="str">
        <f t="shared" si="46"/>
        <v>Média</v>
      </c>
      <c r="G377" s="106" t="str">
        <f t="shared" si="47"/>
        <v>CEA</v>
      </c>
      <c r="H377" s="4">
        <f t="shared" si="42"/>
        <v>4</v>
      </c>
      <c r="I377" s="105" t="str">
        <f t="shared" si="43"/>
        <v>A</v>
      </c>
      <c r="J377" s="4" t="str">
        <f t="shared" si="44"/>
        <v>CEI</v>
      </c>
      <c r="K377" s="106">
        <f t="shared" si="45"/>
        <v>4</v>
      </c>
      <c r="L377" s="106">
        <f>IF(NOT(ISERROR(VLOOKUP(B377,Deflatores!G$42:H$64,2,FALSE))),VLOOKUP(B377,Deflatores!G$42:H$64,2,FALSE),IF(OR(ISBLANK(C377),ISBLANK(B377)),"",VLOOKUP(C377,Deflatores!G$4:H$38,2,FALSE)*H377+VLOOKUP(C377,Deflatores!G$4:I$38,3,FALSE)))</f>
        <v>4</v>
      </c>
      <c r="M377" s="106"/>
      <c r="N377" s="106"/>
      <c r="O377" s="106"/>
    </row>
    <row r="378" spans="1:15" s="117" customFormat="1" x14ac:dyDescent="0.25">
      <c r="A378" s="114" t="s">
        <v>333</v>
      </c>
      <c r="B378" s="113" t="s">
        <v>50</v>
      </c>
      <c r="C378" s="113" t="s">
        <v>45</v>
      </c>
      <c r="D378" s="4">
        <v>2</v>
      </c>
      <c r="E378" s="4">
        <v>1</v>
      </c>
      <c r="F378" s="106" t="str">
        <f t="shared" si="46"/>
        <v>Baixa</v>
      </c>
      <c r="G378" s="106" t="str">
        <f t="shared" si="47"/>
        <v>CEL</v>
      </c>
      <c r="H378" s="4">
        <f t="shared" si="42"/>
        <v>3</v>
      </c>
      <c r="I378" s="105" t="str">
        <f t="shared" si="43"/>
        <v>L</v>
      </c>
      <c r="J378" s="4" t="str">
        <f t="shared" si="44"/>
        <v>CEI</v>
      </c>
      <c r="K378" s="106">
        <f t="shared" si="45"/>
        <v>3</v>
      </c>
      <c r="L378" s="106">
        <f>IF(NOT(ISERROR(VLOOKUP(B378,Deflatores!G$42:H$64,2,FALSE))),VLOOKUP(B378,Deflatores!G$42:H$64,2,FALSE),IF(OR(ISBLANK(C378),ISBLANK(B378)),"",VLOOKUP(C378,Deflatores!G$4:H$38,2,FALSE)*H378+VLOOKUP(C378,Deflatores!G$4:I$38,3,FALSE)))</f>
        <v>3</v>
      </c>
      <c r="M378" s="116"/>
      <c r="N378" s="116"/>
      <c r="O378" s="116"/>
    </row>
    <row r="379" spans="1:15" s="117" customFormat="1" x14ac:dyDescent="0.25">
      <c r="A379" s="114" t="s">
        <v>334</v>
      </c>
      <c r="B379" s="113" t="s">
        <v>50</v>
      </c>
      <c r="C379" s="113" t="s">
        <v>45</v>
      </c>
      <c r="D379" s="4">
        <v>2</v>
      </c>
      <c r="E379" s="4">
        <v>1</v>
      </c>
      <c r="F379" s="106" t="str">
        <f t="shared" si="46"/>
        <v>Baixa</v>
      </c>
      <c r="G379" s="106" t="str">
        <f t="shared" si="47"/>
        <v>CEL</v>
      </c>
      <c r="H379" s="4">
        <f t="shared" si="42"/>
        <v>3</v>
      </c>
      <c r="I379" s="105" t="str">
        <f t="shared" si="43"/>
        <v>L</v>
      </c>
      <c r="J379" s="4" t="str">
        <f t="shared" si="44"/>
        <v>CEI</v>
      </c>
      <c r="K379" s="106">
        <f t="shared" si="45"/>
        <v>3</v>
      </c>
      <c r="L379" s="106">
        <f>IF(NOT(ISERROR(VLOOKUP(B379,Deflatores!G$42:H$64,2,FALSE))),VLOOKUP(B379,Deflatores!G$42:H$64,2,FALSE),IF(OR(ISBLANK(C379),ISBLANK(B379)),"",VLOOKUP(C379,Deflatores!G$4:H$38,2,FALSE)*H379+VLOOKUP(C379,Deflatores!G$4:I$38,3,FALSE)))</f>
        <v>3</v>
      </c>
      <c r="M379" s="116"/>
      <c r="N379" s="116"/>
      <c r="O379" s="116"/>
    </row>
    <row r="380" spans="1:15" s="117" customFormat="1" x14ac:dyDescent="0.25">
      <c r="A380" s="114" t="s">
        <v>335</v>
      </c>
      <c r="B380" s="113" t="s">
        <v>50</v>
      </c>
      <c r="C380" s="113" t="s">
        <v>45</v>
      </c>
      <c r="D380" s="4">
        <v>2</v>
      </c>
      <c r="E380" s="4">
        <v>1</v>
      </c>
      <c r="F380" s="106" t="str">
        <f t="shared" si="46"/>
        <v>Baixa</v>
      </c>
      <c r="G380" s="106" t="str">
        <f t="shared" si="47"/>
        <v>CEL</v>
      </c>
      <c r="H380" s="4">
        <f t="shared" ref="H380:H393" si="54">IF(ISBLANK(B380),"",IF(B380="ALI",IF(I380="L",7,IF(I380="A",10,15)),IF(B380="AIE",IF(I380="L",5,IF(I380="A",7,10)),IF(B380="SE",IF(I380="L",4,IF(I380="A",5,7)),IF(OR(B380="EE",B380="CE"),IF(I380="L",3,IF(I380="A",4,6)),0)))))</f>
        <v>3</v>
      </c>
      <c r="I380" s="105" t="str">
        <f t="shared" ref="I380:I393" si="55">IF(OR(ISBLANK(D380),ISBLANK(E380)),IF(OR(B380="ALI",B380="AIE"),"L",IF(OR(B380="EE",B380="SE",B380="CE"),"A","")),IF(B380="EE",IF(E380&gt;=3,IF(D380&gt;=5,"H","A"),IF(E380&gt;=2,IF(D380&gt;=16,"H",IF(D380&lt;=4,"L","A")),IF(D380&lt;=15,"L","A"))),IF(OR(B380="SE",B380="CE"),IF(E380&gt;=4,IF(D380&gt;=6,"H","A"),IF(E380&gt;=2,IF(D380&gt;=20,"H",IF(D380&lt;=5,"L","A")),IF(D380&lt;=19,"L","A"))),IF(OR(B380="ALI",B380="AIE"),IF(E380&gt;=6,IF(D380&gt;=20,"H","A"),IF(E380&gt;=2,IF(D380&gt;=51,"H",IF(D380&lt;=19,"L","A")),IF(D380&lt;=50,"L","A"))),""))))</f>
        <v>L</v>
      </c>
      <c r="J380" s="4" t="str">
        <f t="shared" ref="J380:J393" si="56">CONCATENATE(B380,C380)</f>
        <v>CEI</v>
      </c>
      <c r="K380" s="106">
        <f t="shared" ref="K380:K393" si="57">IF(OR(H380="",H380=0),L380,H380)</f>
        <v>3</v>
      </c>
      <c r="L380" s="106">
        <f>IF(NOT(ISERROR(VLOOKUP(B380,Deflatores!G$42:H$64,2,FALSE))),VLOOKUP(B380,Deflatores!G$42:H$64,2,FALSE),IF(OR(ISBLANK(C380),ISBLANK(B380)),"",VLOOKUP(C380,Deflatores!G$4:H$38,2,FALSE)*H380+VLOOKUP(C380,Deflatores!G$4:I$38,3,FALSE)))</f>
        <v>3</v>
      </c>
      <c r="M380" s="116"/>
      <c r="N380" s="116"/>
      <c r="O380" s="116"/>
    </row>
    <row r="381" spans="1:15" x14ac:dyDescent="0.25">
      <c r="A381" s="112" t="s">
        <v>336</v>
      </c>
      <c r="B381" s="113" t="s">
        <v>50</v>
      </c>
      <c r="C381" s="113" t="s">
        <v>45</v>
      </c>
      <c r="D381" s="4">
        <v>12</v>
      </c>
      <c r="E381" s="4">
        <v>2</v>
      </c>
      <c r="F381" s="106" t="str">
        <f t="shared" si="46"/>
        <v>Média</v>
      </c>
      <c r="G381" s="106" t="str">
        <f t="shared" si="47"/>
        <v>CEA</v>
      </c>
      <c r="H381" s="4">
        <f t="shared" si="54"/>
        <v>4</v>
      </c>
      <c r="I381" s="105" t="str">
        <f t="shared" si="55"/>
        <v>A</v>
      </c>
      <c r="J381" s="4" t="str">
        <f t="shared" si="56"/>
        <v>CEI</v>
      </c>
      <c r="K381" s="106">
        <f t="shared" si="57"/>
        <v>4</v>
      </c>
      <c r="L381" s="106">
        <f>IF(NOT(ISERROR(VLOOKUP(B381,Deflatores!G$42:H$64,2,FALSE))),VLOOKUP(B381,Deflatores!G$42:H$64,2,FALSE),IF(OR(ISBLANK(C381),ISBLANK(B381)),"",VLOOKUP(C381,Deflatores!G$4:H$38,2,FALSE)*H381+VLOOKUP(C381,Deflatores!G$4:I$38,3,FALSE)))</f>
        <v>4</v>
      </c>
      <c r="M381" s="106"/>
      <c r="N381" s="106"/>
      <c r="O381" s="106"/>
    </row>
    <row r="382" spans="1:15" x14ac:dyDescent="0.25">
      <c r="A382" s="112" t="s">
        <v>271</v>
      </c>
      <c r="B382" s="113" t="s">
        <v>48</v>
      </c>
      <c r="C382" s="113" t="s">
        <v>45</v>
      </c>
      <c r="D382" s="113">
        <v>7</v>
      </c>
      <c r="E382" s="4">
        <v>3</v>
      </c>
      <c r="F382" s="106" t="str">
        <f t="shared" si="46"/>
        <v>Alta</v>
      </c>
      <c r="G382" s="106" t="str">
        <f t="shared" si="47"/>
        <v>EEH</v>
      </c>
      <c r="H382" s="4">
        <f t="shared" si="54"/>
        <v>6</v>
      </c>
      <c r="I382" s="105" t="str">
        <f t="shared" si="55"/>
        <v>H</v>
      </c>
      <c r="J382" s="4" t="str">
        <f t="shared" si="56"/>
        <v>EEI</v>
      </c>
      <c r="K382" s="106">
        <f t="shared" si="57"/>
        <v>6</v>
      </c>
      <c r="L382" s="106">
        <f>IF(NOT(ISERROR(VLOOKUP(B382,Deflatores!G$42:H$64,2,FALSE))),VLOOKUP(B382,Deflatores!G$42:H$64,2,FALSE),IF(OR(ISBLANK(C382),ISBLANK(B382)),"",VLOOKUP(C382,Deflatores!G$4:H$38,2,FALSE)*H382+VLOOKUP(C382,Deflatores!G$4:I$38,3,FALSE)))</f>
        <v>6</v>
      </c>
      <c r="M382" s="106"/>
      <c r="N382" s="106"/>
      <c r="O382" s="106"/>
    </row>
    <row r="383" spans="1:15" x14ac:dyDescent="0.25">
      <c r="A383" s="112" t="s">
        <v>268</v>
      </c>
      <c r="B383" s="113" t="s">
        <v>50</v>
      </c>
      <c r="C383" s="113" t="s">
        <v>45</v>
      </c>
      <c r="D383" s="4">
        <v>15</v>
      </c>
      <c r="E383" s="4">
        <v>2</v>
      </c>
      <c r="F383" s="106" t="str">
        <f t="shared" si="46"/>
        <v>Média</v>
      </c>
      <c r="G383" s="106" t="str">
        <f t="shared" si="47"/>
        <v>CEA</v>
      </c>
      <c r="H383" s="4">
        <f t="shared" si="54"/>
        <v>4</v>
      </c>
      <c r="I383" s="105" t="str">
        <f t="shared" si="55"/>
        <v>A</v>
      </c>
      <c r="J383" s="4" t="str">
        <f t="shared" si="56"/>
        <v>CEI</v>
      </c>
      <c r="K383" s="106">
        <f t="shared" si="57"/>
        <v>4</v>
      </c>
      <c r="L383" s="106">
        <f>IF(NOT(ISERROR(VLOOKUP(B383,Deflatores!G$42:H$64,2,FALSE))),VLOOKUP(B383,Deflatores!G$42:H$64,2,FALSE),IF(OR(ISBLANK(C383),ISBLANK(B383)),"",VLOOKUP(C383,Deflatores!G$4:H$38,2,FALSE)*H383+VLOOKUP(C383,Deflatores!G$4:I$38,3,FALSE)))</f>
        <v>4</v>
      </c>
      <c r="M383" s="106"/>
      <c r="N383" s="106"/>
      <c r="O383" s="106"/>
    </row>
    <row r="384" spans="1:15" x14ac:dyDescent="0.25">
      <c r="A384" s="112"/>
      <c r="B384" s="113"/>
      <c r="C384" s="113"/>
      <c r="D384" s="4"/>
      <c r="E384" s="4"/>
      <c r="F384" s="106" t="str">
        <f t="shared" si="46"/>
        <v/>
      </c>
      <c r="G384" s="106" t="str">
        <f t="shared" si="47"/>
        <v/>
      </c>
      <c r="H384" s="4" t="str">
        <f t="shared" si="54"/>
        <v/>
      </c>
      <c r="I384" s="105" t="str">
        <f t="shared" si="55"/>
        <v/>
      </c>
      <c r="J384" s="4" t="str">
        <f t="shared" si="56"/>
        <v/>
      </c>
      <c r="K384" s="106" t="str">
        <f t="shared" si="57"/>
        <v/>
      </c>
      <c r="L384" s="106" t="str">
        <f>IF(NOT(ISERROR(VLOOKUP(B384,Deflatores!G$42:H$64,2,FALSE))),VLOOKUP(B384,Deflatores!G$42:H$64,2,FALSE),IF(OR(ISBLANK(C384),ISBLANK(B384)),"",VLOOKUP(C384,Deflatores!G$4:H$38,2,FALSE)*H384+VLOOKUP(C384,Deflatores!G$4:I$38,3,FALSE)))</f>
        <v/>
      </c>
      <c r="M384" s="106"/>
      <c r="N384" s="106"/>
      <c r="O384" s="106"/>
    </row>
    <row r="385" spans="1:15" x14ac:dyDescent="0.25">
      <c r="A385" s="115" t="s">
        <v>337</v>
      </c>
      <c r="B385" s="113"/>
      <c r="C385" s="113"/>
      <c r="D385" s="4"/>
      <c r="E385" s="4"/>
      <c r="F385" s="106" t="str">
        <f t="shared" si="46"/>
        <v/>
      </c>
      <c r="G385" s="106" t="str">
        <f t="shared" si="47"/>
        <v/>
      </c>
      <c r="H385" s="4" t="str">
        <f t="shared" si="54"/>
        <v/>
      </c>
      <c r="I385" s="105" t="str">
        <f t="shared" si="55"/>
        <v/>
      </c>
      <c r="J385" s="4" t="str">
        <f t="shared" si="56"/>
        <v/>
      </c>
      <c r="K385" s="106" t="str">
        <f t="shared" si="57"/>
        <v/>
      </c>
      <c r="L385" s="106" t="str">
        <f>IF(NOT(ISERROR(VLOOKUP(B385,Deflatores!G$42:H$64,2,FALSE))),VLOOKUP(B385,Deflatores!G$42:H$64,2,FALSE),IF(OR(ISBLANK(C385),ISBLANK(B385)),"",VLOOKUP(C385,Deflatores!G$4:H$38,2,FALSE)*H385+VLOOKUP(C385,Deflatores!G$4:I$38,3,FALSE)))</f>
        <v/>
      </c>
      <c r="M385" s="106"/>
      <c r="N385" s="106"/>
      <c r="O385" s="106"/>
    </row>
    <row r="386" spans="1:15" x14ac:dyDescent="0.25">
      <c r="A386" s="112" t="s">
        <v>338</v>
      </c>
      <c r="B386" s="113" t="s">
        <v>50</v>
      </c>
      <c r="C386" s="113" t="s">
        <v>45</v>
      </c>
      <c r="D386" s="4">
        <v>32</v>
      </c>
      <c r="E386" s="4">
        <v>3</v>
      </c>
      <c r="F386" s="106" t="str">
        <f t="shared" si="46"/>
        <v>Alta</v>
      </c>
      <c r="G386" s="106" t="str">
        <f t="shared" si="47"/>
        <v>CEH</v>
      </c>
      <c r="H386" s="4">
        <f t="shared" si="54"/>
        <v>6</v>
      </c>
      <c r="I386" s="105" t="str">
        <f t="shared" si="55"/>
        <v>H</v>
      </c>
      <c r="J386" s="4" t="str">
        <f t="shared" si="56"/>
        <v>CEI</v>
      </c>
      <c r="K386" s="106">
        <f t="shared" si="57"/>
        <v>6</v>
      </c>
      <c r="L386" s="106">
        <f>IF(NOT(ISERROR(VLOOKUP(B386,Deflatores!G$42:H$64,2,FALSE))),VLOOKUP(B386,Deflatores!G$42:H$64,2,FALSE),IF(OR(ISBLANK(C386),ISBLANK(B386)),"",VLOOKUP(C386,Deflatores!G$4:H$38,2,FALSE)*H386+VLOOKUP(C386,Deflatores!G$4:I$38,3,FALSE)))</f>
        <v>6</v>
      </c>
      <c r="M386" s="106"/>
      <c r="N386" s="106"/>
      <c r="O386" s="106"/>
    </row>
    <row r="387" spans="1:15" x14ac:dyDescent="0.25">
      <c r="A387" s="112" t="s">
        <v>271</v>
      </c>
      <c r="B387" s="113" t="s">
        <v>48</v>
      </c>
      <c r="C387" s="113" t="s">
        <v>45</v>
      </c>
      <c r="D387" s="113">
        <v>7</v>
      </c>
      <c r="E387" s="4">
        <v>3</v>
      </c>
      <c r="F387" s="106" t="str">
        <f t="shared" si="46"/>
        <v>Alta</v>
      </c>
      <c r="G387" s="106" t="str">
        <f t="shared" si="47"/>
        <v>EEH</v>
      </c>
      <c r="H387" s="4">
        <f t="shared" si="54"/>
        <v>6</v>
      </c>
      <c r="I387" s="105" t="str">
        <f t="shared" si="55"/>
        <v>H</v>
      </c>
      <c r="J387" s="4" t="str">
        <f t="shared" si="56"/>
        <v>EEI</v>
      </c>
      <c r="K387" s="106">
        <f t="shared" si="57"/>
        <v>6</v>
      </c>
      <c r="L387" s="106">
        <f>IF(NOT(ISERROR(VLOOKUP(B387,Deflatores!G$42:H$64,2,FALSE))),VLOOKUP(B387,Deflatores!G$42:H$64,2,FALSE),IF(OR(ISBLANK(C387),ISBLANK(B387)),"",VLOOKUP(C387,Deflatores!G$4:H$38,2,FALSE)*H387+VLOOKUP(C387,Deflatores!G$4:I$38,3,FALSE)))</f>
        <v>6</v>
      </c>
      <c r="M387" s="106"/>
      <c r="N387" s="106"/>
      <c r="O387" s="106"/>
    </row>
    <row r="388" spans="1:15" x14ac:dyDescent="0.25">
      <c r="A388" s="112" t="s">
        <v>339</v>
      </c>
      <c r="B388" s="113" t="s">
        <v>48</v>
      </c>
      <c r="C388" s="113" t="s">
        <v>45</v>
      </c>
      <c r="D388" s="113">
        <v>3</v>
      </c>
      <c r="E388" s="4">
        <v>1</v>
      </c>
      <c r="F388" s="106" t="str">
        <f t="shared" si="46"/>
        <v>Baixa</v>
      </c>
      <c r="G388" s="106" t="str">
        <f t="shared" si="47"/>
        <v>EEL</v>
      </c>
      <c r="H388" s="4">
        <f t="shared" si="54"/>
        <v>3</v>
      </c>
      <c r="I388" s="105" t="str">
        <f t="shared" si="55"/>
        <v>L</v>
      </c>
      <c r="J388" s="4" t="str">
        <f t="shared" si="56"/>
        <v>EEI</v>
      </c>
      <c r="K388" s="106">
        <f t="shared" si="57"/>
        <v>3</v>
      </c>
      <c r="L388" s="106">
        <f>IF(NOT(ISERROR(VLOOKUP(B388,Deflatores!G$42:H$64,2,FALSE))),VLOOKUP(B388,Deflatores!G$42:H$64,2,FALSE),IF(OR(ISBLANK(C388),ISBLANK(B388)),"",VLOOKUP(C388,Deflatores!G$4:H$38,2,FALSE)*H388+VLOOKUP(C388,Deflatores!G$4:I$38,3,FALSE)))</f>
        <v>3</v>
      </c>
      <c r="M388" s="106"/>
      <c r="N388" s="106"/>
      <c r="O388" s="106"/>
    </row>
    <row r="389" spans="1:15" x14ac:dyDescent="0.25">
      <c r="A389" s="112" t="s">
        <v>268</v>
      </c>
      <c r="B389" s="113" t="s">
        <v>50</v>
      </c>
      <c r="C389" s="113" t="s">
        <v>45</v>
      </c>
      <c r="D389" s="4">
        <v>34</v>
      </c>
      <c r="E389" s="4">
        <v>3</v>
      </c>
      <c r="F389" s="106" t="str">
        <f t="shared" si="46"/>
        <v>Alta</v>
      </c>
      <c r="G389" s="106" t="str">
        <f t="shared" si="47"/>
        <v>CEH</v>
      </c>
      <c r="H389" s="4">
        <f t="shared" si="54"/>
        <v>6</v>
      </c>
      <c r="I389" s="105" t="str">
        <f t="shared" si="55"/>
        <v>H</v>
      </c>
      <c r="J389" s="4" t="str">
        <f t="shared" si="56"/>
        <v>CEI</v>
      </c>
      <c r="K389" s="106">
        <f t="shared" si="57"/>
        <v>6</v>
      </c>
      <c r="L389" s="106">
        <f>IF(NOT(ISERROR(VLOOKUP(B389,Deflatores!G$42:H$64,2,FALSE))),VLOOKUP(B389,Deflatores!G$42:H$64,2,FALSE),IF(OR(ISBLANK(C389),ISBLANK(B389)),"",VLOOKUP(C389,Deflatores!G$4:H$38,2,FALSE)*H389+VLOOKUP(C389,Deflatores!G$4:I$38,3,FALSE)))</f>
        <v>6</v>
      </c>
      <c r="M389" s="106"/>
      <c r="N389" s="106"/>
      <c r="O389" s="106"/>
    </row>
    <row r="390" spans="1:15" x14ac:dyDescent="0.25">
      <c r="A390" s="112"/>
      <c r="B390" s="113"/>
      <c r="C390" s="113"/>
      <c r="D390" s="4"/>
      <c r="E390" s="4"/>
      <c r="F390" s="106" t="str">
        <f t="shared" si="46"/>
        <v/>
      </c>
      <c r="G390" s="106" t="str">
        <f t="shared" si="47"/>
        <v/>
      </c>
      <c r="H390" s="4" t="str">
        <f t="shared" si="54"/>
        <v/>
      </c>
      <c r="I390" s="105" t="str">
        <f t="shared" si="55"/>
        <v/>
      </c>
      <c r="J390" s="4" t="str">
        <f t="shared" si="56"/>
        <v/>
      </c>
      <c r="K390" s="106" t="str">
        <f t="shared" si="57"/>
        <v/>
      </c>
      <c r="L390" s="106" t="str">
        <f>IF(NOT(ISERROR(VLOOKUP(B390,Deflatores!G$42:H$64,2,FALSE))),VLOOKUP(B390,Deflatores!G$42:H$64,2,FALSE),IF(OR(ISBLANK(C390),ISBLANK(B390)),"",VLOOKUP(C390,Deflatores!G$4:H$38,2,FALSE)*H390+VLOOKUP(C390,Deflatores!G$4:I$38,3,FALSE)))</f>
        <v/>
      </c>
      <c r="M390" s="106"/>
      <c r="N390" s="106"/>
      <c r="O390" s="106"/>
    </row>
    <row r="391" spans="1:15" x14ac:dyDescent="0.25">
      <c r="A391" s="115" t="s">
        <v>340</v>
      </c>
      <c r="B391" s="113"/>
      <c r="C391" s="113"/>
      <c r="D391" s="4"/>
      <c r="E391" s="4"/>
      <c r="F391" s="106" t="str">
        <f t="shared" si="46"/>
        <v/>
      </c>
      <c r="G391" s="106" t="str">
        <f t="shared" si="47"/>
        <v/>
      </c>
      <c r="H391" s="4" t="str">
        <f t="shared" si="54"/>
        <v/>
      </c>
      <c r="I391" s="105" t="str">
        <f t="shared" si="55"/>
        <v/>
      </c>
      <c r="J391" s="4" t="str">
        <f t="shared" si="56"/>
        <v/>
      </c>
      <c r="K391" s="106" t="str">
        <f t="shared" si="57"/>
        <v/>
      </c>
      <c r="L391" s="106" t="str">
        <f>IF(NOT(ISERROR(VLOOKUP(B391,Deflatores!G$42:H$64,2,FALSE))),VLOOKUP(B391,Deflatores!G$42:H$64,2,FALSE),IF(OR(ISBLANK(C391),ISBLANK(B391)),"",VLOOKUP(C391,Deflatores!G$4:H$38,2,FALSE)*H391+VLOOKUP(C391,Deflatores!G$4:I$38,3,FALSE)))</f>
        <v/>
      </c>
      <c r="M391" s="106"/>
      <c r="N391" s="106"/>
      <c r="O391" s="106"/>
    </row>
    <row r="392" spans="1:15" x14ac:dyDescent="0.25">
      <c r="A392" s="112" t="s">
        <v>293</v>
      </c>
      <c r="B392" s="113" t="s">
        <v>48</v>
      </c>
      <c r="C392" s="113" t="s">
        <v>45</v>
      </c>
      <c r="D392" s="4">
        <v>20</v>
      </c>
      <c r="E392" s="4">
        <v>3</v>
      </c>
      <c r="F392" s="106" t="str">
        <f t="shared" si="46"/>
        <v>Alta</v>
      </c>
      <c r="G392" s="106" t="str">
        <f t="shared" si="47"/>
        <v>EEH</v>
      </c>
      <c r="H392" s="4">
        <f t="shared" si="54"/>
        <v>6</v>
      </c>
      <c r="I392" s="105" t="str">
        <f t="shared" si="55"/>
        <v>H</v>
      </c>
      <c r="J392" s="4" t="str">
        <f t="shared" si="56"/>
        <v>EEI</v>
      </c>
      <c r="K392" s="106">
        <f t="shared" si="57"/>
        <v>6</v>
      </c>
      <c r="L392" s="106">
        <f>IF(NOT(ISERROR(VLOOKUP(B392,Deflatores!G$42:H$64,2,FALSE))),VLOOKUP(B392,Deflatores!G$42:H$64,2,FALSE),IF(OR(ISBLANK(C392),ISBLANK(B392)),"",VLOOKUP(C392,Deflatores!G$4:H$38,2,FALSE)*H392+VLOOKUP(C392,Deflatores!G$4:I$38,3,FALSE)))</f>
        <v>6</v>
      </c>
      <c r="M392" s="106"/>
      <c r="N392" s="106"/>
      <c r="O392" s="106"/>
    </row>
    <row r="393" spans="1:15" x14ac:dyDescent="0.25">
      <c r="A393" s="112" t="s">
        <v>341</v>
      </c>
      <c r="B393" s="113" t="s">
        <v>50</v>
      </c>
      <c r="C393" s="113" t="s">
        <v>45</v>
      </c>
      <c r="D393" s="4">
        <v>15</v>
      </c>
      <c r="E393" s="4">
        <v>2</v>
      </c>
      <c r="F393" s="106" t="str">
        <f t="shared" si="46"/>
        <v>Média</v>
      </c>
      <c r="G393" s="106" t="str">
        <f t="shared" si="47"/>
        <v>CEA</v>
      </c>
      <c r="H393" s="4">
        <f t="shared" si="54"/>
        <v>4</v>
      </c>
      <c r="I393" s="105" t="str">
        <f t="shared" si="55"/>
        <v>A</v>
      </c>
      <c r="J393" s="4" t="str">
        <f t="shared" si="56"/>
        <v>CEI</v>
      </c>
      <c r="K393" s="106">
        <f t="shared" si="57"/>
        <v>4</v>
      </c>
      <c r="L393" s="106">
        <f>IF(NOT(ISERROR(VLOOKUP(B393,Deflatores!G$42:H$64,2,FALSE))),VLOOKUP(B393,Deflatores!G$42:H$64,2,FALSE),IF(OR(ISBLANK(C393),ISBLANK(B393)),"",VLOOKUP(C393,Deflatores!G$4:H$38,2,FALSE)*H393+VLOOKUP(C393,Deflatores!G$4:I$38,3,FALSE)))</f>
        <v>4</v>
      </c>
      <c r="M393" s="106"/>
      <c r="N393" s="106"/>
      <c r="O393" s="106"/>
    </row>
    <row r="394" spans="1:15" x14ac:dyDescent="0.25">
      <c r="A394" s="112"/>
      <c r="B394" s="113"/>
      <c r="C394" s="113"/>
      <c r="D394" s="4"/>
      <c r="E394" s="4"/>
      <c r="F394" s="106" t="str">
        <f t="shared" ref="F394:F400" si="58">IF(ISBLANK(B394),"",IF(I394="L","Baixa",IF(I394="A","Média",IF(I394="","","Alta"))))</f>
        <v/>
      </c>
      <c r="G394" s="106" t="str">
        <f t="shared" ref="G394:G400" si="59">CONCATENATE(B394,I394)</f>
        <v/>
      </c>
      <c r="H394" s="4" t="str">
        <f t="shared" ref="H394:H400" si="60">IF(ISBLANK(B394),"",IF(B394="ALI",IF(I394="L",7,IF(I394="A",10,15)),IF(B394="AIE",IF(I394="L",5,IF(I394="A",7,10)),IF(B394="SE",IF(I394="L",4,IF(I394="A",5,7)),IF(OR(B394="EE",B394="CE"),IF(I394="L",3,IF(I394="A",4,6)),0)))))</f>
        <v/>
      </c>
      <c r="I394" s="105" t="str">
        <f t="shared" ref="I394:I400" si="61">IF(OR(ISBLANK(D394),ISBLANK(E394)),IF(OR(B394="ALI",B394="AIE"),"L",IF(OR(B394="EE",B394="SE",B394="CE"),"A","")),IF(B394="EE",IF(E394&gt;=3,IF(D394&gt;=5,"H","A"),IF(E394&gt;=2,IF(D394&gt;=16,"H",IF(D394&lt;=4,"L","A")),IF(D394&lt;=15,"L","A"))),IF(OR(B394="SE",B394="CE"),IF(E394&gt;=4,IF(D394&gt;=6,"H","A"),IF(E394&gt;=2,IF(D394&gt;=20,"H",IF(D394&lt;=5,"L","A")),IF(D394&lt;=19,"L","A"))),IF(OR(B394="ALI",B394="AIE"),IF(E394&gt;=6,IF(D394&gt;=20,"H","A"),IF(E394&gt;=2,IF(D394&gt;=51,"H",IF(D394&lt;=19,"L","A")),IF(D394&lt;=50,"L","A"))),""))))</f>
        <v/>
      </c>
      <c r="J394" s="4" t="str">
        <f t="shared" ref="J394:J400" si="62">CONCATENATE(B394,C394)</f>
        <v/>
      </c>
      <c r="K394" s="106" t="str">
        <f t="shared" ref="K394:K400" si="63">IF(OR(H394="",H394=0),L394,H394)</f>
        <v/>
      </c>
      <c r="L394" s="106" t="str">
        <f>IF(NOT(ISERROR(VLOOKUP(B394,Deflatores!G$42:H$64,2,FALSE))),VLOOKUP(B394,Deflatores!G$42:H$64,2,FALSE),IF(OR(ISBLANK(C394),ISBLANK(B394)),"",VLOOKUP(C394,Deflatores!G$4:H$38,2,FALSE)*H394+VLOOKUP(C394,Deflatores!G$4:I$38,3,FALSE)))</f>
        <v/>
      </c>
      <c r="M394" s="106"/>
      <c r="N394" s="106"/>
      <c r="O394" s="106"/>
    </row>
    <row r="395" spans="1:15" x14ac:dyDescent="0.25">
      <c r="A395" s="115" t="s">
        <v>342</v>
      </c>
      <c r="B395" s="113"/>
      <c r="C395" s="113"/>
      <c r="D395" s="4"/>
      <c r="E395" s="4"/>
      <c r="F395" s="106" t="str">
        <f t="shared" si="58"/>
        <v/>
      </c>
      <c r="G395" s="106" t="str">
        <f t="shared" si="59"/>
        <v/>
      </c>
      <c r="H395" s="4" t="str">
        <f t="shared" si="60"/>
        <v/>
      </c>
      <c r="I395" s="105" t="str">
        <f t="shared" si="61"/>
        <v/>
      </c>
      <c r="J395" s="4" t="str">
        <f t="shared" si="62"/>
        <v/>
      </c>
      <c r="K395" s="106" t="str">
        <f t="shared" si="63"/>
        <v/>
      </c>
      <c r="L395" s="106" t="str">
        <f>IF(NOT(ISERROR(VLOOKUP(B395,Deflatores!G$42:H$64,2,FALSE))),VLOOKUP(B395,Deflatores!G$42:H$64,2,FALSE),IF(OR(ISBLANK(C395),ISBLANK(B395)),"",VLOOKUP(C395,Deflatores!G$4:H$38,2,FALSE)*H395+VLOOKUP(C395,Deflatores!G$4:I$38,3,FALSE)))</f>
        <v/>
      </c>
      <c r="M395" s="106"/>
      <c r="N395" s="106"/>
      <c r="O395" s="106"/>
    </row>
    <row r="396" spans="1:15" x14ac:dyDescent="0.25">
      <c r="A396" s="112" t="s">
        <v>343</v>
      </c>
      <c r="B396" s="113" t="s">
        <v>113</v>
      </c>
      <c r="C396" s="113" t="s">
        <v>45</v>
      </c>
      <c r="D396" s="4">
        <v>101</v>
      </c>
      <c r="E396" s="4">
        <v>3</v>
      </c>
      <c r="F396" s="106" t="str">
        <f t="shared" si="58"/>
        <v>Alta</v>
      </c>
      <c r="G396" s="106" t="str">
        <f t="shared" si="59"/>
        <v>SEH</v>
      </c>
      <c r="H396" s="4">
        <f t="shared" si="60"/>
        <v>7</v>
      </c>
      <c r="I396" s="105" t="str">
        <f t="shared" si="61"/>
        <v>H</v>
      </c>
      <c r="J396" s="4" t="str">
        <f t="shared" si="62"/>
        <v>SEI</v>
      </c>
      <c r="K396" s="106">
        <f t="shared" si="63"/>
        <v>7</v>
      </c>
      <c r="L396" s="106">
        <f>IF(NOT(ISERROR(VLOOKUP(B396,Deflatores!G$42:H$64,2,FALSE))),VLOOKUP(B396,Deflatores!G$42:H$64,2,FALSE),IF(OR(ISBLANK(C396),ISBLANK(B396)),"",VLOOKUP(C396,Deflatores!G$4:H$38,2,FALSE)*H396+VLOOKUP(C396,Deflatores!G$4:I$38,3,FALSE)))</f>
        <v>7</v>
      </c>
      <c r="M396" s="106"/>
      <c r="N396" s="106"/>
      <c r="O396" s="106"/>
    </row>
    <row r="397" spans="1:15" x14ac:dyDescent="0.25">
      <c r="A397" s="112" t="s">
        <v>344</v>
      </c>
      <c r="B397" s="113" t="s">
        <v>48</v>
      </c>
      <c r="C397" s="113" t="s">
        <v>45</v>
      </c>
      <c r="D397" s="4">
        <v>96</v>
      </c>
      <c r="E397" s="4">
        <v>3</v>
      </c>
      <c r="F397" s="106" t="str">
        <f t="shared" si="58"/>
        <v>Alta</v>
      </c>
      <c r="G397" s="106" t="str">
        <f t="shared" si="59"/>
        <v>EEH</v>
      </c>
      <c r="H397" s="4">
        <f t="shared" si="60"/>
        <v>6</v>
      </c>
      <c r="I397" s="105" t="str">
        <f t="shared" si="61"/>
        <v>H</v>
      </c>
      <c r="J397" s="4" t="str">
        <f t="shared" si="62"/>
        <v>EEI</v>
      </c>
      <c r="K397" s="106">
        <f t="shared" si="63"/>
        <v>6</v>
      </c>
      <c r="L397" s="106">
        <f>IF(NOT(ISERROR(VLOOKUP(B397,Deflatores!G$42:H$64,2,FALSE))),VLOOKUP(B397,Deflatores!G$42:H$64,2,FALSE),IF(OR(ISBLANK(C397),ISBLANK(B397)),"",VLOOKUP(C397,Deflatores!G$4:H$38,2,FALSE)*H397+VLOOKUP(C397,Deflatores!G$4:I$38,3,FALSE)))</f>
        <v>6</v>
      </c>
      <c r="M397" s="106"/>
      <c r="N397" s="106"/>
      <c r="O397" s="106"/>
    </row>
    <row r="398" spans="1:15" x14ac:dyDescent="0.25">
      <c r="A398" s="112" t="s">
        <v>345</v>
      </c>
      <c r="B398" s="113" t="s">
        <v>48</v>
      </c>
      <c r="C398" s="113" t="s">
        <v>45</v>
      </c>
      <c r="D398" s="113">
        <v>7</v>
      </c>
      <c r="E398" s="4">
        <v>2</v>
      </c>
      <c r="F398" s="106" t="str">
        <f t="shared" si="58"/>
        <v>Média</v>
      </c>
      <c r="G398" s="106" t="str">
        <f t="shared" si="59"/>
        <v>EEA</v>
      </c>
      <c r="H398" s="4">
        <f t="shared" si="60"/>
        <v>4</v>
      </c>
      <c r="I398" s="105" t="str">
        <f t="shared" si="61"/>
        <v>A</v>
      </c>
      <c r="J398" s="4" t="str">
        <f t="shared" si="62"/>
        <v>EEI</v>
      </c>
      <c r="K398" s="106">
        <f t="shared" si="63"/>
        <v>4</v>
      </c>
      <c r="L398" s="106">
        <f>IF(NOT(ISERROR(VLOOKUP(B398,Deflatores!G$42:H$64,2,FALSE))),VLOOKUP(B398,Deflatores!G$42:H$64,2,FALSE),IF(OR(ISBLANK(C398),ISBLANK(B398)),"",VLOOKUP(C398,Deflatores!G$4:H$38,2,FALSE)*H398+VLOOKUP(C398,Deflatores!G$4:I$38,3,FALSE)))</f>
        <v>4</v>
      </c>
      <c r="M398" s="106"/>
      <c r="N398" s="106"/>
      <c r="O398" s="106"/>
    </row>
    <row r="399" spans="1:15" x14ac:dyDescent="0.25">
      <c r="A399" s="112" t="s">
        <v>346</v>
      </c>
      <c r="B399" s="113" t="s">
        <v>48</v>
      </c>
      <c r="C399" s="113" t="s">
        <v>45</v>
      </c>
      <c r="D399" s="4">
        <v>96</v>
      </c>
      <c r="E399" s="4">
        <v>3</v>
      </c>
      <c r="F399" s="106" t="str">
        <f t="shared" si="58"/>
        <v>Alta</v>
      </c>
      <c r="G399" s="106" t="str">
        <f t="shared" si="59"/>
        <v>EEH</v>
      </c>
      <c r="H399" s="4">
        <f t="shared" si="60"/>
        <v>6</v>
      </c>
      <c r="I399" s="105" t="str">
        <f t="shared" si="61"/>
        <v>H</v>
      </c>
      <c r="J399" s="4" t="str">
        <f t="shared" si="62"/>
        <v>EEI</v>
      </c>
      <c r="K399" s="106">
        <f t="shared" si="63"/>
        <v>6</v>
      </c>
      <c r="L399" s="106">
        <f>IF(NOT(ISERROR(VLOOKUP(B399,Deflatores!G$42:H$64,2,FALSE))),VLOOKUP(B399,Deflatores!G$42:H$64,2,FALSE),IF(OR(ISBLANK(C399),ISBLANK(B399)),"",VLOOKUP(C399,Deflatores!G$4:H$38,2,FALSE)*H399+VLOOKUP(C399,Deflatores!G$4:I$38,3,FALSE)))</f>
        <v>6</v>
      </c>
      <c r="M399" s="106"/>
      <c r="N399" s="106"/>
      <c r="O399" s="106"/>
    </row>
    <row r="400" spans="1:15" x14ac:dyDescent="0.25">
      <c r="A400" s="114" t="s">
        <v>347</v>
      </c>
      <c r="B400" s="113" t="s">
        <v>48</v>
      </c>
      <c r="C400" s="113" t="s">
        <v>45</v>
      </c>
      <c r="D400" s="4">
        <v>99</v>
      </c>
      <c r="E400" s="4">
        <v>3</v>
      </c>
      <c r="F400" s="106" t="str">
        <f t="shared" si="58"/>
        <v>Alta</v>
      </c>
      <c r="G400" s="106" t="str">
        <f t="shared" si="59"/>
        <v>EEH</v>
      </c>
      <c r="H400" s="4">
        <f t="shared" si="60"/>
        <v>6</v>
      </c>
      <c r="I400" s="105" t="str">
        <f t="shared" si="61"/>
        <v>H</v>
      </c>
      <c r="J400" s="4" t="str">
        <f t="shared" si="62"/>
        <v>EEI</v>
      </c>
      <c r="K400" s="106">
        <f t="shared" si="63"/>
        <v>6</v>
      </c>
      <c r="L400" s="106">
        <f>IF(NOT(ISERROR(VLOOKUP(B400,Deflatores!G$42:H$64,2,FALSE))),VLOOKUP(B400,Deflatores!G$42:H$64,2,FALSE),IF(OR(ISBLANK(C400),ISBLANK(B400)),"",VLOOKUP(C400,Deflatores!G$4:H$38,2,FALSE)*H400+VLOOKUP(C400,Deflatores!G$4:I$38,3,FALSE)))</f>
        <v>6</v>
      </c>
      <c r="M400" s="106"/>
      <c r="N400" s="106"/>
      <c r="O400" s="106"/>
    </row>
    <row r="401" spans="1:15" x14ac:dyDescent="0.25">
      <c r="A401" s="112" t="s">
        <v>348</v>
      </c>
      <c r="B401" s="113" t="s">
        <v>48</v>
      </c>
      <c r="C401" s="113" t="s">
        <v>45</v>
      </c>
      <c r="D401" s="113">
        <v>5</v>
      </c>
      <c r="E401" s="4">
        <v>2</v>
      </c>
      <c r="F401" s="106" t="str">
        <f>IF(ISBLANK(B401),"",IF(I401="L","Baixa",IF(I401="A","Média",IF(I401="","","Alta"))))</f>
        <v>Média</v>
      </c>
      <c r="G401" s="106" t="str">
        <f>CONCATENATE(B401,I401)</f>
        <v>EEA</v>
      </c>
      <c r="H401" s="4">
        <f>IF(ISBLANK(B401),"",IF(B401="ALI",IF(I401="L",7,IF(I401="A",10,15)),IF(B401="AIE",IF(I401="L",5,IF(I401="A",7,10)),IF(B401="SE",IF(I401="L",4,IF(I401="A",5,7)),IF(OR(B401="EE",B401="CE"),IF(I401="L",3,IF(I401="A",4,6)),0)))))</f>
        <v>4</v>
      </c>
      <c r="I401" s="105" t="str">
        <f>IF(OR(ISBLANK(D401),ISBLANK(E401)),IF(OR(B401="ALI",B401="AIE"),"L",IF(OR(B401="EE",B401="SE",B401="CE"),"A","")),IF(B401="EE",IF(E401&gt;=3,IF(D401&gt;=5,"H","A"),IF(E401&gt;=2,IF(D401&gt;=16,"H",IF(D401&lt;=4,"L","A")),IF(D401&lt;=15,"L","A"))),IF(OR(B401="SE",B401="CE"),IF(E401&gt;=4,IF(D401&gt;=6,"H","A"),IF(E401&gt;=2,IF(D401&gt;=20,"H",IF(D401&lt;=5,"L","A")),IF(D401&lt;=19,"L","A"))),IF(OR(B401="ALI",B401="AIE"),IF(E401&gt;=6,IF(D401&gt;=20,"H","A"),IF(E401&gt;=2,IF(D401&gt;=51,"H",IF(D401&lt;=19,"L","A")),IF(D401&lt;=50,"L","A"))),""))))</f>
        <v>A</v>
      </c>
      <c r="J401" s="4" t="str">
        <f>CONCATENATE(B401,C401)</f>
        <v>EEI</v>
      </c>
      <c r="K401" s="106">
        <f>IF(OR(H401="",H401=0),L401,H401)</f>
        <v>4</v>
      </c>
      <c r="L401" s="106">
        <f>IF(NOT(ISERROR(VLOOKUP(B401,Deflatores!G$42:H$64,2,FALSE))),VLOOKUP(B401,Deflatores!G$42:H$64,2,FALSE),IF(OR(ISBLANK(C401),ISBLANK(B401)),"",VLOOKUP(C401,Deflatores!G$4:H$38,2,FALSE)*H401+VLOOKUP(C401,Deflatores!G$4:I$38,3,FALSE)))</f>
        <v>4</v>
      </c>
      <c r="M401" s="106"/>
      <c r="N401" s="106"/>
      <c r="O401" s="106"/>
    </row>
    <row r="402" spans="1:15" x14ac:dyDescent="0.25">
      <c r="A402" s="112" t="s">
        <v>349</v>
      </c>
      <c r="B402" s="113" t="s">
        <v>50</v>
      </c>
      <c r="C402" s="113" t="s">
        <v>45</v>
      </c>
      <c r="D402" s="4">
        <v>101</v>
      </c>
      <c r="E402" s="4">
        <v>3</v>
      </c>
      <c r="F402" s="106" t="str">
        <f>IF(ISBLANK(B402),"",IF(I402="L","Baixa",IF(I402="A","Média",IF(I402="","","Alta"))))</f>
        <v>Alta</v>
      </c>
      <c r="G402" s="106" t="str">
        <f>CONCATENATE(B402,I402)</f>
        <v>CEH</v>
      </c>
      <c r="H402" s="4">
        <f>IF(ISBLANK(B402),"",IF(B402="ALI",IF(I402="L",7,IF(I402="A",10,15)),IF(B402="AIE",IF(I402="L",5,IF(I402="A",7,10)),IF(B402="SE",IF(I402="L",4,IF(I402="A",5,7)),IF(OR(B402="EE",B402="CE"),IF(I402="L",3,IF(I402="A",4,6)),0)))))</f>
        <v>6</v>
      </c>
      <c r="I402" s="105" t="str">
        <f>IF(OR(ISBLANK(D402),ISBLANK(E402)),IF(OR(B402="ALI",B402="AIE"),"L",IF(OR(B402="EE",B402="SE",B402="CE"),"A","")),IF(B402="EE",IF(E402&gt;=3,IF(D402&gt;=5,"H","A"),IF(E402&gt;=2,IF(D402&gt;=16,"H",IF(D402&lt;=4,"L","A")),IF(D402&lt;=15,"L","A"))),IF(OR(B402="SE",B402="CE"),IF(E402&gt;=4,IF(D402&gt;=6,"H","A"),IF(E402&gt;=2,IF(D402&gt;=20,"H",IF(D402&lt;=5,"L","A")),IF(D402&lt;=19,"L","A"))),IF(OR(B402="ALI",B402="AIE"),IF(E402&gt;=6,IF(D402&gt;=20,"H","A"),IF(E402&gt;=2,IF(D402&gt;=51,"H",IF(D402&lt;=19,"L","A")),IF(D402&lt;=50,"L","A"))),""))))</f>
        <v>H</v>
      </c>
      <c r="J402" s="4" t="str">
        <f>CONCATENATE(B402,C402)</f>
        <v>CEI</v>
      </c>
      <c r="K402" s="106">
        <f>IF(OR(H402="",H402=0),L402,H402)</f>
        <v>6</v>
      </c>
      <c r="L402" s="106">
        <f>IF(NOT(ISERROR(VLOOKUP(B402,Deflatores!G$42:H$64,2,FALSE))),VLOOKUP(B402,Deflatores!G$42:H$64,2,FALSE),IF(OR(ISBLANK(C402),ISBLANK(B402)),"",VLOOKUP(C402,Deflatores!G$4:H$38,2,FALSE)*H402+VLOOKUP(C402,Deflatores!G$4:I$38,3,FALSE)))</f>
        <v>6</v>
      </c>
      <c r="M402" s="106"/>
      <c r="N402" s="106"/>
      <c r="O402" s="106"/>
    </row>
    <row r="403" spans="1:15" x14ac:dyDescent="0.25">
      <c r="A403" s="112"/>
      <c r="B403" s="113"/>
      <c r="C403" s="113"/>
      <c r="D403" s="4"/>
      <c r="E403" s="4"/>
      <c r="F403" s="106"/>
      <c r="G403" s="106"/>
      <c r="H403" s="4"/>
      <c r="I403" s="105"/>
      <c r="J403" s="4"/>
      <c r="K403" s="106"/>
      <c r="L403" s="106" t="str">
        <f>IF(NOT(ISERROR(VLOOKUP(B403,Deflatores!G$42:H$64,2,FALSE))),VLOOKUP(B403,Deflatores!G$42:H$64,2,FALSE),IF(OR(ISBLANK(C403),ISBLANK(B403)),"",VLOOKUP(C403,Deflatores!G$4:H$38,2,FALSE)*H403+VLOOKUP(C403,Deflatores!G$4:I$38,3,FALSE)))</f>
        <v/>
      </c>
      <c r="M403" s="106"/>
      <c r="N403" s="106"/>
      <c r="O403" s="106"/>
    </row>
    <row r="404" spans="1:15" x14ac:dyDescent="0.25">
      <c r="A404" s="115" t="s">
        <v>350</v>
      </c>
      <c r="B404" s="113"/>
      <c r="C404" s="113"/>
      <c r="D404" s="4"/>
      <c r="E404" s="4"/>
      <c r="F404" s="106" t="str">
        <f t="shared" ref="F404:F412" si="64">IF(ISBLANK(B404),"",IF(I404="L","Baixa",IF(I404="A","Média",IF(I404="","","Alta"))))</f>
        <v/>
      </c>
      <c r="G404" s="106" t="str">
        <f t="shared" ref="G404:G412" si="65">CONCATENATE(B404,I404)</f>
        <v/>
      </c>
      <c r="H404" s="4" t="str">
        <f t="shared" ref="H404:H412" si="66">IF(ISBLANK(B404),"",IF(B404="ALI",IF(I404="L",7,IF(I404="A",10,15)),IF(B404="AIE",IF(I404="L",5,IF(I404="A",7,10)),IF(B404="SE",IF(I404="L",4,IF(I404="A",5,7)),IF(OR(B404="EE",B404="CE"),IF(I404="L",3,IF(I404="A",4,6)),0)))))</f>
        <v/>
      </c>
      <c r="I404" s="105" t="str">
        <f t="shared" ref="I404:I412" si="67">IF(OR(ISBLANK(D404),ISBLANK(E404)),IF(OR(B404="ALI",B404="AIE"),"L",IF(OR(B404="EE",B404="SE",B404="CE"),"A","")),IF(B404="EE",IF(E404&gt;=3,IF(D404&gt;=5,"H","A"),IF(E404&gt;=2,IF(D404&gt;=16,"H",IF(D404&lt;=4,"L","A")),IF(D404&lt;=15,"L","A"))),IF(OR(B404="SE",B404="CE"),IF(E404&gt;=4,IF(D404&gt;=6,"H","A"),IF(E404&gt;=2,IF(D404&gt;=20,"H",IF(D404&lt;=5,"L","A")),IF(D404&lt;=19,"L","A"))),IF(OR(B404="ALI",B404="AIE"),IF(E404&gt;=6,IF(D404&gt;=20,"H","A"),IF(E404&gt;=2,IF(D404&gt;=51,"H",IF(D404&lt;=19,"L","A")),IF(D404&lt;=50,"L","A"))),""))))</f>
        <v/>
      </c>
      <c r="J404" s="4" t="str">
        <f t="shared" ref="J404:J412" si="68">CONCATENATE(B404,C404)</f>
        <v/>
      </c>
      <c r="K404" s="106" t="str">
        <f t="shared" ref="K404:K412" si="69">IF(OR(H404="",H404=0),L404,H404)</f>
        <v/>
      </c>
      <c r="L404" s="106" t="str">
        <f>IF(NOT(ISERROR(VLOOKUP(B404,Deflatores!G$42:H$64,2,FALSE))),VLOOKUP(B404,Deflatores!G$42:H$64,2,FALSE),IF(OR(ISBLANK(C404),ISBLANK(B404)),"",VLOOKUP(C404,Deflatores!G$4:H$38,2,FALSE)*H404+VLOOKUP(C404,Deflatores!G$4:I$38,3,FALSE)))</f>
        <v/>
      </c>
      <c r="M404" s="106"/>
      <c r="N404" s="106"/>
      <c r="O404" s="106"/>
    </row>
    <row r="405" spans="1:15" x14ac:dyDescent="0.25">
      <c r="A405" s="112" t="s">
        <v>351</v>
      </c>
      <c r="B405" s="113" t="s">
        <v>50</v>
      </c>
      <c r="C405" s="113" t="s">
        <v>45</v>
      </c>
      <c r="D405" s="4">
        <v>15</v>
      </c>
      <c r="E405" s="4">
        <v>3</v>
      </c>
      <c r="F405" s="106" t="str">
        <f t="shared" si="64"/>
        <v>Média</v>
      </c>
      <c r="G405" s="106" t="str">
        <f t="shared" si="65"/>
        <v>CEA</v>
      </c>
      <c r="H405" s="4">
        <f t="shared" si="66"/>
        <v>4</v>
      </c>
      <c r="I405" s="105" t="str">
        <f t="shared" si="67"/>
        <v>A</v>
      </c>
      <c r="J405" s="4" t="str">
        <f t="shared" si="68"/>
        <v>CEI</v>
      </c>
      <c r="K405" s="106">
        <f t="shared" si="69"/>
        <v>4</v>
      </c>
      <c r="L405" s="106">
        <f>IF(NOT(ISERROR(VLOOKUP(B405,Deflatores!G$42:H$64,2,FALSE))),VLOOKUP(B405,Deflatores!G$42:H$64,2,FALSE),IF(OR(ISBLANK(C405),ISBLANK(B405)),"",VLOOKUP(C405,Deflatores!G$4:H$38,2,FALSE)*H405+VLOOKUP(C405,Deflatores!G$4:I$38,3,FALSE)))</f>
        <v>4</v>
      </c>
      <c r="M405" s="106"/>
      <c r="N405" s="106"/>
      <c r="O405" s="106"/>
    </row>
    <row r="406" spans="1:15" x14ac:dyDescent="0.25">
      <c r="A406" s="112" t="s">
        <v>352</v>
      </c>
      <c r="B406" s="113" t="s">
        <v>48</v>
      </c>
      <c r="C406" s="113" t="s">
        <v>45</v>
      </c>
      <c r="D406" s="4">
        <v>18</v>
      </c>
      <c r="E406" s="4">
        <v>3</v>
      </c>
      <c r="F406" s="106" t="str">
        <f t="shared" si="64"/>
        <v>Alta</v>
      </c>
      <c r="G406" s="106" t="str">
        <f t="shared" si="65"/>
        <v>EEH</v>
      </c>
      <c r="H406" s="4">
        <f t="shared" si="66"/>
        <v>6</v>
      </c>
      <c r="I406" s="105" t="str">
        <f t="shared" si="67"/>
        <v>H</v>
      </c>
      <c r="J406" s="4" t="str">
        <f t="shared" si="68"/>
        <v>EEI</v>
      </c>
      <c r="K406" s="106">
        <f t="shared" si="69"/>
        <v>6</v>
      </c>
      <c r="L406" s="106">
        <f>IF(NOT(ISERROR(VLOOKUP(B406,Deflatores!G$42:H$64,2,FALSE))),VLOOKUP(B406,Deflatores!G$42:H$64,2,FALSE),IF(OR(ISBLANK(C406),ISBLANK(B406)),"",VLOOKUP(C406,Deflatores!G$4:H$38,2,FALSE)*H406+VLOOKUP(C406,Deflatores!G$4:I$38,3,FALSE)))</f>
        <v>6</v>
      </c>
      <c r="M406" s="106"/>
      <c r="N406" s="106"/>
      <c r="O406" s="106"/>
    </row>
    <row r="407" spans="1:15" x14ac:dyDescent="0.25">
      <c r="A407" s="112" t="s">
        <v>353</v>
      </c>
      <c r="B407" s="113" t="s">
        <v>50</v>
      </c>
      <c r="C407" s="113" t="s">
        <v>45</v>
      </c>
      <c r="D407" s="4">
        <v>18</v>
      </c>
      <c r="E407" s="4">
        <v>3</v>
      </c>
      <c r="F407" s="106" t="str">
        <f t="shared" si="64"/>
        <v>Média</v>
      </c>
      <c r="G407" s="106" t="str">
        <f t="shared" si="65"/>
        <v>CEA</v>
      </c>
      <c r="H407" s="4">
        <f t="shared" si="66"/>
        <v>4</v>
      </c>
      <c r="I407" s="105" t="str">
        <f t="shared" si="67"/>
        <v>A</v>
      </c>
      <c r="J407" s="4" t="str">
        <f t="shared" si="68"/>
        <v>CEI</v>
      </c>
      <c r="K407" s="106">
        <f t="shared" si="69"/>
        <v>4</v>
      </c>
      <c r="L407" s="106">
        <f>IF(NOT(ISERROR(VLOOKUP(B407,Deflatores!G$42:H$64,2,FALSE))),VLOOKUP(B407,Deflatores!G$42:H$64,2,FALSE),IF(OR(ISBLANK(C407),ISBLANK(B407)),"",VLOOKUP(C407,Deflatores!G$4:H$38,2,FALSE)*H407+VLOOKUP(C407,Deflatores!G$4:I$38,3,FALSE)))</f>
        <v>4</v>
      </c>
      <c r="M407" s="106"/>
      <c r="N407" s="106"/>
      <c r="O407" s="106"/>
    </row>
    <row r="408" spans="1:15" x14ac:dyDescent="0.25">
      <c r="A408" s="112" t="s">
        <v>354</v>
      </c>
      <c r="B408" s="113" t="s">
        <v>50</v>
      </c>
      <c r="C408" s="113" t="s">
        <v>45</v>
      </c>
      <c r="D408" s="4">
        <v>2</v>
      </c>
      <c r="E408" s="4">
        <v>1</v>
      </c>
      <c r="F408" s="106" t="str">
        <f t="shared" si="64"/>
        <v>Baixa</v>
      </c>
      <c r="G408" s="106" t="str">
        <f t="shared" si="65"/>
        <v>CEL</v>
      </c>
      <c r="H408" s="4">
        <f t="shared" si="66"/>
        <v>3</v>
      </c>
      <c r="I408" s="105" t="str">
        <f t="shared" si="67"/>
        <v>L</v>
      </c>
      <c r="J408" s="4" t="str">
        <f t="shared" si="68"/>
        <v>CEI</v>
      </c>
      <c r="K408" s="106">
        <f t="shared" si="69"/>
        <v>3</v>
      </c>
      <c r="L408" s="106">
        <f>IF(NOT(ISERROR(VLOOKUP(B408,Deflatores!G$42:H$64,2,FALSE))),VLOOKUP(B408,Deflatores!G$42:H$64,2,FALSE),IF(OR(ISBLANK(C408),ISBLANK(B408)),"",VLOOKUP(C408,Deflatores!G$4:H$38,2,FALSE)*H408+VLOOKUP(C408,Deflatores!G$4:I$38,3,FALSE)))</f>
        <v>3</v>
      </c>
      <c r="M408" s="106"/>
      <c r="N408" s="106"/>
      <c r="O408" s="106"/>
    </row>
    <row r="409" spans="1:15" x14ac:dyDescent="0.25">
      <c r="A409" s="112"/>
      <c r="B409" s="113"/>
      <c r="C409" s="113"/>
      <c r="D409" s="4"/>
      <c r="E409" s="4"/>
      <c r="F409" s="106" t="str">
        <f t="shared" si="64"/>
        <v/>
      </c>
      <c r="G409" s="106" t="str">
        <f t="shared" si="65"/>
        <v/>
      </c>
      <c r="H409" s="4" t="str">
        <f t="shared" si="66"/>
        <v/>
      </c>
      <c r="I409" s="105" t="str">
        <f t="shared" si="67"/>
        <v/>
      </c>
      <c r="J409" s="4" t="str">
        <f t="shared" si="68"/>
        <v/>
      </c>
      <c r="K409" s="106" t="str">
        <f t="shared" si="69"/>
        <v/>
      </c>
      <c r="L409" s="106" t="str">
        <f>IF(NOT(ISERROR(VLOOKUP(B409,Deflatores!G$42:H$64,2,FALSE))),VLOOKUP(B409,Deflatores!G$42:H$64,2,FALSE),IF(OR(ISBLANK(C409),ISBLANK(B409)),"",VLOOKUP(C409,Deflatores!G$4:H$38,2,FALSE)*H409+VLOOKUP(C409,Deflatores!G$4:I$38,3,FALSE)))</f>
        <v/>
      </c>
      <c r="M409" s="106"/>
      <c r="N409" s="106"/>
      <c r="O409" s="106"/>
    </row>
    <row r="410" spans="1:15" x14ac:dyDescent="0.25">
      <c r="A410" s="115" t="s">
        <v>355</v>
      </c>
      <c r="B410" s="113"/>
      <c r="C410" s="113"/>
      <c r="D410" s="4"/>
      <c r="E410" s="4"/>
      <c r="F410" s="106" t="str">
        <f t="shared" si="64"/>
        <v/>
      </c>
      <c r="G410" s="106" t="str">
        <f t="shared" si="65"/>
        <v/>
      </c>
      <c r="H410" s="4" t="str">
        <f t="shared" si="66"/>
        <v/>
      </c>
      <c r="I410" s="105" t="str">
        <f t="shared" si="67"/>
        <v/>
      </c>
      <c r="J410" s="4" t="str">
        <f t="shared" si="68"/>
        <v/>
      </c>
      <c r="K410" s="106" t="str">
        <f t="shared" si="69"/>
        <v/>
      </c>
      <c r="L410" s="106" t="str">
        <f>IF(NOT(ISERROR(VLOOKUP(B410,Deflatores!G$42:H$64,2,FALSE))),VLOOKUP(B410,Deflatores!G$42:H$64,2,FALSE),IF(OR(ISBLANK(C410),ISBLANK(B410)),"",VLOOKUP(C410,Deflatores!G$4:H$38,2,FALSE)*H410+VLOOKUP(C410,Deflatores!G$4:I$38,3,FALSE)))</f>
        <v/>
      </c>
      <c r="M410" s="106"/>
      <c r="N410" s="106"/>
      <c r="O410" s="106"/>
    </row>
    <row r="411" spans="1:15" x14ac:dyDescent="0.25">
      <c r="A411" s="112" t="s">
        <v>356</v>
      </c>
      <c r="B411" s="113" t="s">
        <v>113</v>
      </c>
      <c r="C411" s="113" t="s">
        <v>45</v>
      </c>
      <c r="D411" s="4">
        <v>134</v>
      </c>
      <c r="E411" s="4">
        <v>7</v>
      </c>
      <c r="F411" s="106" t="str">
        <f t="shared" si="64"/>
        <v>Alta</v>
      </c>
      <c r="G411" s="106" t="str">
        <f t="shared" si="65"/>
        <v>SEH</v>
      </c>
      <c r="H411" s="4">
        <f t="shared" si="66"/>
        <v>7</v>
      </c>
      <c r="I411" s="105" t="str">
        <f t="shared" si="67"/>
        <v>H</v>
      </c>
      <c r="J411" s="4" t="str">
        <f t="shared" si="68"/>
        <v>SEI</v>
      </c>
      <c r="K411" s="106">
        <f t="shared" si="69"/>
        <v>7</v>
      </c>
      <c r="L411" s="106">
        <f>IF(NOT(ISERROR(VLOOKUP(B411,Deflatores!G$42:H$64,2,FALSE))),VLOOKUP(B411,Deflatores!G$42:H$64,2,FALSE),IF(OR(ISBLANK(C411),ISBLANK(B411)),"",VLOOKUP(C411,Deflatores!G$4:H$38,2,FALSE)*H411+VLOOKUP(C411,Deflatores!G$4:I$38,3,FALSE)))</f>
        <v>7</v>
      </c>
      <c r="M411" s="106"/>
      <c r="N411" s="106"/>
      <c r="O411" s="106"/>
    </row>
    <row r="412" spans="1:15" x14ac:dyDescent="0.25">
      <c r="A412" s="112"/>
      <c r="B412" s="113"/>
      <c r="C412" s="113"/>
      <c r="D412" s="113"/>
      <c r="E412" s="4"/>
      <c r="F412" s="106" t="str">
        <f t="shared" si="64"/>
        <v/>
      </c>
      <c r="G412" s="106" t="str">
        <f t="shared" si="65"/>
        <v/>
      </c>
      <c r="H412" s="4" t="str">
        <f t="shared" si="66"/>
        <v/>
      </c>
      <c r="I412" s="105" t="str">
        <f t="shared" si="67"/>
        <v/>
      </c>
      <c r="J412" s="4" t="str">
        <f t="shared" si="68"/>
        <v/>
      </c>
      <c r="K412" s="106" t="str">
        <f t="shared" si="69"/>
        <v/>
      </c>
      <c r="L412" s="106" t="str">
        <f>IF(NOT(ISERROR(VLOOKUP(B412,Deflatores!G$42:H$64,2,FALSE))),VLOOKUP(B412,Deflatores!G$42:H$64,2,FALSE),IF(OR(ISBLANK(C412),ISBLANK(B412)),"",VLOOKUP(C412,Deflatores!G$4:H$38,2,FALSE)*H412+VLOOKUP(C412,Deflatores!G$4:I$38,3,FALSE)))</f>
        <v/>
      </c>
      <c r="M412" s="106"/>
      <c r="N412" s="106"/>
      <c r="O412" s="106"/>
    </row>
    <row r="413" spans="1:15" x14ac:dyDescent="0.25">
      <c r="A413" s="115" t="s">
        <v>357</v>
      </c>
      <c r="B413" s="113"/>
      <c r="C413" s="113"/>
      <c r="D413" s="4"/>
      <c r="E413" s="4"/>
      <c r="F413" s="106" t="str">
        <f t="shared" ref="F413:F418" si="70">IF(ISBLANK(B413),"",IF(I413="L","Baixa",IF(I413="A","Média",IF(I413="","","Alta"))))</f>
        <v/>
      </c>
      <c r="G413" s="106" t="str">
        <f t="shared" ref="G413:G418" si="71">CONCATENATE(B413,I413)</f>
        <v/>
      </c>
      <c r="H413" s="4" t="str">
        <f t="shared" ref="H413:H418" si="72">IF(ISBLANK(B413),"",IF(B413="ALI",IF(I413="L",7,IF(I413="A",10,15)),IF(B413="AIE",IF(I413="L",5,IF(I413="A",7,10)),IF(B413="SE",IF(I413="L",4,IF(I413="A",5,7)),IF(OR(B413="EE",B413="CE"),IF(I413="L",3,IF(I413="A",4,6)),0)))))</f>
        <v/>
      </c>
      <c r="I413" s="105" t="str">
        <f t="shared" ref="I413:I418" si="73">IF(OR(ISBLANK(D413),ISBLANK(E413)),IF(OR(B413="ALI",B413="AIE"),"L",IF(OR(B413="EE",B413="SE",B413="CE"),"A","")),IF(B413="EE",IF(E413&gt;=3,IF(D413&gt;=5,"H","A"),IF(E413&gt;=2,IF(D413&gt;=16,"H",IF(D413&lt;=4,"L","A")),IF(D413&lt;=15,"L","A"))),IF(OR(B413="SE",B413="CE"),IF(E413&gt;=4,IF(D413&gt;=6,"H","A"),IF(E413&gt;=2,IF(D413&gt;=20,"H",IF(D413&lt;=5,"L","A")),IF(D413&lt;=19,"L","A"))),IF(OR(B413="ALI",B413="AIE"),IF(E413&gt;=6,IF(D413&gt;=20,"H","A"),IF(E413&gt;=2,IF(D413&gt;=51,"H",IF(D413&lt;=19,"L","A")),IF(D413&lt;=50,"L","A"))),""))))</f>
        <v/>
      </c>
      <c r="J413" s="4" t="str">
        <f t="shared" ref="J413:J418" si="74">CONCATENATE(B413,C413)</f>
        <v/>
      </c>
      <c r="K413" s="106" t="str">
        <f t="shared" ref="K413:K418" si="75">IF(OR(H413="",H413=0),L413,H413)</f>
        <v/>
      </c>
      <c r="L413" s="106" t="str">
        <f>IF(NOT(ISERROR(VLOOKUP(B413,Deflatores!G$42:H$64,2,FALSE))),VLOOKUP(B413,Deflatores!G$42:H$64,2,FALSE),IF(OR(ISBLANK(C413),ISBLANK(B413)),"",VLOOKUP(C413,Deflatores!G$4:H$38,2,FALSE)*H413+VLOOKUP(C413,Deflatores!G$4:I$38,3,FALSE)))</f>
        <v/>
      </c>
      <c r="M413" s="106"/>
      <c r="N413" s="106"/>
      <c r="O413" s="106"/>
    </row>
    <row r="414" spans="1:15" x14ac:dyDescent="0.25">
      <c r="A414" s="112" t="s">
        <v>358</v>
      </c>
      <c r="B414" s="113" t="s">
        <v>44</v>
      </c>
      <c r="C414" s="113" t="s">
        <v>45</v>
      </c>
      <c r="D414" s="113">
        <v>11</v>
      </c>
      <c r="E414" s="4">
        <v>1</v>
      </c>
      <c r="F414" s="106" t="str">
        <f t="shared" si="70"/>
        <v>Baixa</v>
      </c>
      <c r="G414" s="106" t="str">
        <f t="shared" si="71"/>
        <v>ALIL</v>
      </c>
      <c r="H414" s="4">
        <f t="shared" si="72"/>
        <v>7</v>
      </c>
      <c r="I414" s="105" t="str">
        <f t="shared" si="73"/>
        <v>L</v>
      </c>
      <c r="J414" s="4" t="str">
        <f t="shared" si="74"/>
        <v>ALII</v>
      </c>
      <c r="K414" s="106">
        <f t="shared" si="75"/>
        <v>7</v>
      </c>
      <c r="L414" s="106">
        <f>IF(NOT(ISERROR(VLOOKUP(B414,Deflatores!G$42:H$64,2,FALSE))),VLOOKUP(B414,Deflatores!G$42:H$64,2,FALSE),IF(OR(ISBLANK(C414),ISBLANK(B414)),"",VLOOKUP(C414,Deflatores!G$4:H$38,2,FALSE)*H414+VLOOKUP(C414,Deflatores!G$4:I$38,3,FALSE)))</f>
        <v>7</v>
      </c>
      <c r="M414" s="106"/>
      <c r="N414" s="106"/>
      <c r="O414" s="106"/>
    </row>
    <row r="415" spans="1:15" x14ac:dyDescent="0.25">
      <c r="A415" s="112" t="s">
        <v>359</v>
      </c>
      <c r="B415" s="113" t="s">
        <v>48</v>
      </c>
      <c r="C415" s="113" t="s">
        <v>45</v>
      </c>
      <c r="D415" s="113">
        <v>13</v>
      </c>
      <c r="E415" s="4">
        <v>2</v>
      </c>
      <c r="F415" s="106" t="str">
        <f t="shared" si="70"/>
        <v>Média</v>
      </c>
      <c r="G415" s="106" t="str">
        <f t="shared" si="71"/>
        <v>EEA</v>
      </c>
      <c r="H415" s="4">
        <f t="shared" si="72"/>
        <v>4</v>
      </c>
      <c r="I415" s="105" t="str">
        <f t="shared" si="73"/>
        <v>A</v>
      </c>
      <c r="J415" s="4" t="str">
        <f t="shared" si="74"/>
        <v>EEI</v>
      </c>
      <c r="K415" s="106">
        <f t="shared" si="75"/>
        <v>4</v>
      </c>
      <c r="L415" s="106">
        <f>IF(NOT(ISERROR(VLOOKUP(B415,Deflatores!G$42:H$64,2,FALSE))),VLOOKUP(B415,Deflatores!G$42:H$64,2,FALSE),IF(OR(ISBLANK(C415),ISBLANK(B415)),"",VLOOKUP(C415,Deflatores!G$4:H$38,2,FALSE)*H415+VLOOKUP(C415,Deflatores!G$4:I$38,3,FALSE)))</f>
        <v>4</v>
      </c>
      <c r="M415" s="106"/>
      <c r="N415" s="106"/>
      <c r="O415" s="106"/>
    </row>
    <row r="416" spans="1:15" x14ac:dyDescent="0.25">
      <c r="A416" s="112" t="s">
        <v>360</v>
      </c>
      <c r="B416" s="113" t="s">
        <v>48</v>
      </c>
      <c r="C416" s="113" t="s">
        <v>45</v>
      </c>
      <c r="D416" s="113">
        <v>13</v>
      </c>
      <c r="E416" s="4">
        <v>2</v>
      </c>
      <c r="F416" s="106" t="str">
        <f t="shared" si="70"/>
        <v>Média</v>
      </c>
      <c r="G416" s="106" t="str">
        <f t="shared" si="71"/>
        <v>EEA</v>
      </c>
      <c r="H416" s="4">
        <f t="shared" si="72"/>
        <v>4</v>
      </c>
      <c r="I416" s="105" t="str">
        <f t="shared" si="73"/>
        <v>A</v>
      </c>
      <c r="J416" s="4" t="str">
        <f t="shared" si="74"/>
        <v>EEI</v>
      </c>
      <c r="K416" s="106">
        <f t="shared" si="75"/>
        <v>4</v>
      </c>
      <c r="L416" s="106">
        <f>IF(NOT(ISERROR(VLOOKUP(B416,Deflatores!G$42:H$64,2,FALSE))),VLOOKUP(B416,Deflatores!G$42:H$64,2,FALSE),IF(OR(ISBLANK(C416),ISBLANK(B416)),"",VLOOKUP(C416,Deflatores!G$4:H$38,2,FALSE)*H416+VLOOKUP(C416,Deflatores!G$4:I$38,3,FALSE)))</f>
        <v>4</v>
      </c>
      <c r="M416" s="106"/>
      <c r="N416" s="106"/>
      <c r="O416" s="106"/>
    </row>
    <row r="417" spans="1:15" x14ac:dyDescent="0.25">
      <c r="A417" s="114" t="s">
        <v>361</v>
      </c>
      <c r="B417" s="113" t="s">
        <v>50</v>
      </c>
      <c r="C417" s="113" t="s">
        <v>45</v>
      </c>
      <c r="D417" s="113">
        <v>11</v>
      </c>
      <c r="E417" s="4">
        <v>2</v>
      </c>
      <c r="F417" s="106" t="str">
        <f t="shared" si="70"/>
        <v>Média</v>
      </c>
      <c r="G417" s="106" t="str">
        <f t="shared" si="71"/>
        <v>CEA</v>
      </c>
      <c r="H417" s="4">
        <f t="shared" si="72"/>
        <v>4</v>
      </c>
      <c r="I417" s="105" t="str">
        <f t="shared" si="73"/>
        <v>A</v>
      </c>
      <c r="J417" s="4" t="str">
        <f t="shared" si="74"/>
        <v>CEI</v>
      </c>
      <c r="K417" s="106">
        <f t="shared" si="75"/>
        <v>4</v>
      </c>
      <c r="L417" s="106">
        <f>IF(NOT(ISERROR(VLOOKUP(B417,Deflatores!G$42:H$64,2,FALSE))),VLOOKUP(B417,Deflatores!G$42:H$64,2,FALSE),IF(OR(ISBLANK(C417),ISBLANK(B417)),"",VLOOKUP(C417,Deflatores!G$4:H$38,2,FALSE)*H417+VLOOKUP(C417,Deflatores!G$4:I$38,3,FALSE)))</f>
        <v>4</v>
      </c>
      <c r="M417" s="106"/>
      <c r="N417" s="106"/>
      <c r="O417" s="106"/>
    </row>
    <row r="418" spans="1:15" x14ac:dyDescent="0.25">
      <c r="A418" s="145" t="s">
        <v>362</v>
      </c>
      <c r="B418" s="113" t="s">
        <v>50</v>
      </c>
      <c r="C418" s="113" t="s">
        <v>45</v>
      </c>
      <c r="D418" s="4">
        <v>6</v>
      </c>
      <c r="E418" s="4">
        <v>1</v>
      </c>
      <c r="F418" s="106" t="str">
        <f t="shared" si="70"/>
        <v>Baixa</v>
      </c>
      <c r="G418" s="106" t="str">
        <f t="shared" si="71"/>
        <v>CEL</v>
      </c>
      <c r="H418" s="4">
        <f t="shared" si="72"/>
        <v>3</v>
      </c>
      <c r="I418" s="105" t="str">
        <f t="shared" si="73"/>
        <v>L</v>
      </c>
      <c r="J418" s="4" t="str">
        <f t="shared" si="74"/>
        <v>CEI</v>
      </c>
      <c r="K418" s="106">
        <f t="shared" si="75"/>
        <v>3</v>
      </c>
      <c r="L418" s="106">
        <f>IF(NOT(ISERROR(VLOOKUP(B418,Deflatores!G$42:H$64,2,FALSE))),VLOOKUP(B418,Deflatores!G$42:H$64,2,FALSE),IF(OR(ISBLANK(C418),ISBLANK(B418)),"",VLOOKUP(C418,Deflatores!G$4:H$38,2,FALSE)*H418+VLOOKUP(C418,Deflatores!G$4:I$38,3,FALSE)))</f>
        <v>3</v>
      </c>
      <c r="M418" s="106"/>
      <c r="N418" s="106"/>
      <c r="O418" s="106"/>
    </row>
    <row r="419" spans="1:15" x14ac:dyDescent="0.25">
      <c r="A419" s="112"/>
      <c r="B419" s="113"/>
      <c r="C419" s="113"/>
      <c r="D419" s="4"/>
      <c r="E419" s="4"/>
      <c r="F419" s="106" t="str">
        <f t="shared" ref="F419:F491" si="76">IF(ISBLANK(B419),"",IF(I419="L","Baixa",IF(I419="A","Média",IF(I419="","","Alta"))))</f>
        <v/>
      </c>
      <c r="G419" s="106" t="str">
        <f t="shared" ref="G419:G491" si="77">CONCATENATE(B419,I419)</f>
        <v/>
      </c>
      <c r="H419" s="4" t="str">
        <f t="shared" ref="H419:H491" si="78">IF(ISBLANK(B419),"",IF(B419="ALI",IF(I419="L",7,IF(I419="A",10,15)),IF(B419="AIE",IF(I419="L",5,IF(I419="A",7,10)),IF(B419="SE",IF(I419="L",4,IF(I419="A",5,7)),IF(OR(B419="EE",B419="CE"),IF(I419="L",3,IF(I419="A",4,6)),0)))))</f>
        <v/>
      </c>
      <c r="I419" s="105" t="str">
        <f t="shared" ref="I419:I491" si="79">IF(OR(ISBLANK(D419),ISBLANK(E419)),IF(OR(B419="ALI",B419="AIE"),"L",IF(OR(B419="EE",B419="SE",B419="CE"),"A","")),IF(B419="EE",IF(E419&gt;=3,IF(D419&gt;=5,"H","A"),IF(E419&gt;=2,IF(D419&gt;=16,"H",IF(D419&lt;=4,"L","A")),IF(D419&lt;=15,"L","A"))),IF(OR(B419="SE",B419="CE"),IF(E419&gt;=4,IF(D419&gt;=6,"H","A"),IF(E419&gt;=2,IF(D419&gt;=20,"H",IF(D419&lt;=5,"L","A")),IF(D419&lt;=19,"L","A"))),IF(OR(B419="ALI",B419="AIE"),IF(E419&gt;=6,IF(D419&gt;=20,"H","A"),IF(E419&gt;=2,IF(D419&gt;=51,"H",IF(D419&lt;=19,"L","A")),IF(D419&lt;=50,"L","A"))),""))))</f>
        <v/>
      </c>
      <c r="J419" s="4" t="str">
        <f t="shared" ref="J419:J491" si="80">CONCATENATE(B419,C419)</f>
        <v/>
      </c>
      <c r="K419" s="106" t="str">
        <f t="shared" ref="K419:K491" si="81">IF(OR(H419="",H419=0),L419,H419)</f>
        <v/>
      </c>
      <c r="L419" s="106" t="str">
        <f>IF(NOT(ISERROR(VLOOKUP(B419,Deflatores!G$42:H$64,2,FALSE))),VLOOKUP(B419,Deflatores!G$42:H$64,2,FALSE),IF(OR(ISBLANK(C419),ISBLANK(B419)),"",VLOOKUP(C419,Deflatores!G$4:H$38,2,FALSE)*H419+VLOOKUP(C419,Deflatores!G$4:I$38,3,FALSE)))</f>
        <v/>
      </c>
      <c r="M419" s="106"/>
      <c r="N419" s="106"/>
      <c r="O419" s="106"/>
    </row>
    <row r="420" spans="1:15" x14ac:dyDescent="0.25">
      <c r="A420" s="115" t="s">
        <v>363</v>
      </c>
      <c r="B420" s="113"/>
      <c r="C420" s="113"/>
      <c r="D420" s="4"/>
      <c r="E420" s="4"/>
      <c r="F420" s="106" t="str">
        <f t="shared" si="76"/>
        <v/>
      </c>
      <c r="G420" s="106" t="str">
        <f t="shared" si="77"/>
        <v/>
      </c>
      <c r="H420" s="4" t="str">
        <f t="shared" si="78"/>
        <v/>
      </c>
      <c r="I420" s="105" t="str">
        <f t="shared" si="79"/>
        <v/>
      </c>
      <c r="J420" s="4" t="str">
        <f t="shared" si="80"/>
        <v/>
      </c>
      <c r="K420" s="106" t="str">
        <f t="shared" si="81"/>
        <v/>
      </c>
      <c r="L420" s="106" t="str">
        <f>IF(NOT(ISERROR(VLOOKUP(B420,Deflatores!G$42:H$64,2,FALSE))),VLOOKUP(B420,Deflatores!G$42:H$64,2,FALSE),IF(OR(ISBLANK(C420),ISBLANK(B420)),"",VLOOKUP(C420,Deflatores!G$4:H$38,2,FALSE)*H420+VLOOKUP(C420,Deflatores!G$4:I$38,3,FALSE)))</f>
        <v/>
      </c>
      <c r="M420" s="106"/>
      <c r="N420" s="106"/>
      <c r="O420" s="123"/>
    </row>
    <row r="421" spans="1:15" x14ac:dyDescent="0.25">
      <c r="A421" s="112" t="s">
        <v>364</v>
      </c>
      <c r="B421" s="113" t="s">
        <v>44</v>
      </c>
      <c r="C421" s="113" t="s">
        <v>45</v>
      </c>
      <c r="D421" s="113">
        <v>16</v>
      </c>
      <c r="E421" s="4">
        <v>4</v>
      </c>
      <c r="F421" s="106" t="str">
        <f>IF(ISBLANK(B421),"",IF(I421="L","Baixa",IF(I421="A","Média",IF(I421="","","Alta"))))</f>
        <v>Baixa</v>
      </c>
      <c r="G421" s="106" t="str">
        <f>CONCATENATE(B421,I421)</f>
        <v>ALIL</v>
      </c>
      <c r="H421" s="4">
        <f>IF(ISBLANK(B421),"",IF(B421="ALI",IF(I421="L",7,IF(I421="A",10,15)),IF(B421="AIE",IF(I421="L",5,IF(I421="A",7,10)),IF(B421="SE",IF(I421="L",4,IF(I421="A",5,7)),IF(OR(B421="EE",B421="CE"),IF(I421="L",3,IF(I421="A",4,6)),0)))))</f>
        <v>7</v>
      </c>
      <c r="I421" s="105" t="str">
        <f>IF(OR(ISBLANK(D421),ISBLANK(E421)),IF(OR(B421="ALI",B421="AIE"),"L",IF(OR(B421="EE",B421="SE",B421="CE"),"A","")),IF(B421="EE",IF(E421&gt;=3,IF(D421&gt;=5,"H","A"),IF(E421&gt;=2,IF(D421&gt;=16,"H",IF(D421&lt;=4,"L","A")),IF(D421&lt;=15,"L","A"))),IF(OR(B421="SE",B421="CE"),IF(E421&gt;=4,IF(D421&gt;=6,"H","A"),IF(E421&gt;=2,IF(D421&gt;=20,"H",IF(D421&lt;=5,"L","A")),IF(D421&lt;=19,"L","A"))),IF(OR(B421="ALI",B421="AIE"),IF(E421&gt;=6,IF(D421&gt;=20,"H","A"),IF(E421&gt;=2,IF(D421&gt;=51,"H",IF(D421&lt;=19,"L","A")),IF(D421&lt;=50,"L","A"))),""))))</f>
        <v>L</v>
      </c>
      <c r="J421" s="4" t="str">
        <f>CONCATENATE(B421,C421)</f>
        <v>ALII</v>
      </c>
      <c r="K421" s="106">
        <f>IF(OR(H421="",H421=0),L421,H421)</f>
        <v>7</v>
      </c>
      <c r="L421" s="106">
        <f>IF(NOT(ISERROR(VLOOKUP(B421,Deflatores!G$42:H$64,2,FALSE))),VLOOKUP(B421,Deflatores!G$42:H$64,2,FALSE),IF(OR(ISBLANK(C421),ISBLANK(B421)),"",VLOOKUP(C421,Deflatores!G$4:H$38,2,FALSE)*H421+VLOOKUP(C421,Deflatores!G$4:I$38,3,FALSE)))</f>
        <v>7</v>
      </c>
      <c r="M421" s="106"/>
      <c r="N421" s="106"/>
      <c r="O421" s="124"/>
    </row>
    <row r="422" spans="1:15" x14ac:dyDescent="0.25">
      <c r="A422" s="112" t="s">
        <v>365</v>
      </c>
      <c r="B422" s="113" t="s">
        <v>50</v>
      </c>
      <c r="C422" s="113" t="s">
        <v>45</v>
      </c>
      <c r="D422" s="4">
        <v>10</v>
      </c>
      <c r="E422" s="4">
        <v>4</v>
      </c>
      <c r="F422" s="106" t="str">
        <f t="shared" si="76"/>
        <v>Alta</v>
      </c>
      <c r="G422" s="106" t="str">
        <f t="shared" si="77"/>
        <v>CEH</v>
      </c>
      <c r="H422" s="4">
        <f t="shared" si="78"/>
        <v>6</v>
      </c>
      <c r="I422" s="105" t="str">
        <f t="shared" si="79"/>
        <v>H</v>
      </c>
      <c r="J422" s="4" t="str">
        <f t="shared" si="80"/>
        <v>CEI</v>
      </c>
      <c r="K422" s="106">
        <f t="shared" si="81"/>
        <v>6</v>
      </c>
      <c r="L422" s="106">
        <f>IF(NOT(ISERROR(VLOOKUP(B422,Deflatores!G$42:H$64,2,FALSE))),VLOOKUP(B422,Deflatores!G$42:H$64,2,FALSE),IF(OR(ISBLANK(C422),ISBLANK(B422)),"",VLOOKUP(C422,Deflatores!G$4:H$38,2,FALSE)*H422+VLOOKUP(C422,Deflatores!G$4:I$38,3,FALSE)))</f>
        <v>6</v>
      </c>
      <c r="M422" s="106"/>
      <c r="N422" s="106"/>
      <c r="O422" s="125"/>
    </row>
    <row r="423" spans="1:15" x14ac:dyDescent="0.25">
      <c r="A423" s="112" t="s">
        <v>366</v>
      </c>
      <c r="B423" s="113" t="s">
        <v>48</v>
      </c>
      <c r="C423" s="113" t="s">
        <v>45</v>
      </c>
      <c r="D423" s="113">
        <v>19</v>
      </c>
      <c r="E423" s="4">
        <v>4</v>
      </c>
      <c r="F423" s="106" t="str">
        <f t="shared" si="76"/>
        <v>Alta</v>
      </c>
      <c r="G423" s="106" t="str">
        <f t="shared" si="77"/>
        <v>EEH</v>
      </c>
      <c r="H423" s="4">
        <f t="shared" si="78"/>
        <v>6</v>
      </c>
      <c r="I423" s="105" t="str">
        <f t="shared" si="79"/>
        <v>H</v>
      </c>
      <c r="J423" s="4" t="str">
        <f t="shared" si="80"/>
        <v>EEI</v>
      </c>
      <c r="K423" s="106">
        <f t="shared" si="81"/>
        <v>6</v>
      </c>
      <c r="L423" s="106">
        <f>IF(NOT(ISERROR(VLOOKUP(B423,Deflatores!G$42:H$64,2,FALSE))),VLOOKUP(B423,Deflatores!G$42:H$64,2,FALSE),IF(OR(ISBLANK(C423),ISBLANK(B423)),"",VLOOKUP(C423,Deflatores!G$4:H$38,2,FALSE)*H423+VLOOKUP(C423,Deflatores!G$4:I$38,3,FALSE)))</f>
        <v>6</v>
      </c>
      <c r="M423" s="106"/>
      <c r="N423" s="106"/>
      <c r="O423" s="124"/>
    </row>
    <row r="424" spans="1:15" x14ac:dyDescent="0.25">
      <c r="A424" s="114" t="s">
        <v>367</v>
      </c>
      <c r="B424" s="113" t="s">
        <v>50</v>
      </c>
      <c r="C424" s="113" t="s">
        <v>45</v>
      </c>
      <c r="D424" s="4">
        <v>3</v>
      </c>
      <c r="E424" s="4">
        <v>1</v>
      </c>
      <c r="F424" s="106" t="str">
        <f t="shared" si="76"/>
        <v>Baixa</v>
      </c>
      <c r="G424" s="106" t="str">
        <f t="shared" si="77"/>
        <v>CEL</v>
      </c>
      <c r="H424" s="4">
        <f t="shared" si="78"/>
        <v>3</v>
      </c>
      <c r="I424" s="105" t="str">
        <f t="shared" si="79"/>
        <v>L</v>
      </c>
      <c r="J424" s="4" t="str">
        <f t="shared" si="80"/>
        <v>CEI</v>
      </c>
      <c r="K424" s="106">
        <f t="shared" si="81"/>
        <v>3</v>
      </c>
      <c r="L424" s="106">
        <f>IF(NOT(ISERROR(VLOOKUP(B424,Deflatores!G$42:H$64,2,FALSE))),VLOOKUP(B424,Deflatores!G$42:H$64,2,FALSE),IF(OR(ISBLANK(C424),ISBLANK(B424)),"",VLOOKUP(C424,Deflatores!G$4:H$38,2,FALSE)*H424+VLOOKUP(C424,Deflatores!G$4:I$38,3,FALSE)))</f>
        <v>3</v>
      </c>
      <c r="M424" s="106"/>
      <c r="N424" s="106"/>
      <c r="O424" s="124"/>
    </row>
    <row r="425" spans="1:15" x14ac:dyDescent="0.25">
      <c r="A425" s="114" t="s">
        <v>368</v>
      </c>
      <c r="B425" s="113" t="s">
        <v>50</v>
      </c>
      <c r="C425" s="113" t="s">
        <v>45</v>
      </c>
      <c r="D425" s="4">
        <v>3</v>
      </c>
      <c r="E425" s="4">
        <v>1</v>
      </c>
      <c r="F425" s="106" t="str">
        <f t="shared" si="76"/>
        <v>Baixa</v>
      </c>
      <c r="G425" s="106" t="str">
        <f t="shared" si="77"/>
        <v>CEL</v>
      </c>
      <c r="H425" s="4">
        <f t="shared" si="78"/>
        <v>3</v>
      </c>
      <c r="I425" s="105" t="str">
        <f t="shared" si="79"/>
        <v>L</v>
      </c>
      <c r="J425" s="4" t="str">
        <f t="shared" si="80"/>
        <v>CEI</v>
      </c>
      <c r="K425" s="106">
        <f t="shared" si="81"/>
        <v>3</v>
      </c>
      <c r="L425" s="106">
        <f>IF(NOT(ISERROR(VLOOKUP(B425,Deflatores!G$42:H$64,2,FALSE))),VLOOKUP(B425,Deflatores!G$42:H$64,2,FALSE),IF(OR(ISBLANK(C425),ISBLANK(B425)),"",VLOOKUP(C425,Deflatores!G$4:H$38,2,FALSE)*H425+VLOOKUP(C425,Deflatores!G$4:I$38,3,FALSE)))</f>
        <v>3</v>
      </c>
      <c r="M425" s="106"/>
      <c r="N425" s="106"/>
      <c r="O425" s="124"/>
    </row>
    <row r="426" spans="1:15" x14ac:dyDescent="0.25">
      <c r="A426" s="112" t="s">
        <v>369</v>
      </c>
      <c r="B426" s="113" t="s">
        <v>48</v>
      </c>
      <c r="C426" s="113" t="s">
        <v>45</v>
      </c>
      <c r="D426" s="4">
        <v>15</v>
      </c>
      <c r="E426" s="4">
        <v>3</v>
      </c>
      <c r="F426" s="106" t="str">
        <f t="shared" si="76"/>
        <v>Alta</v>
      </c>
      <c r="G426" s="106" t="str">
        <f t="shared" si="77"/>
        <v>EEH</v>
      </c>
      <c r="H426" s="4">
        <f t="shared" si="78"/>
        <v>6</v>
      </c>
      <c r="I426" s="105" t="str">
        <f t="shared" si="79"/>
        <v>H</v>
      </c>
      <c r="J426" s="4" t="str">
        <f t="shared" si="80"/>
        <v>EEI</v>
      </c>
      <c r="K426" s="106">
        <f t="shared" si="81"/>
        <v>6</v>
      </c>
      <c r="L426" s="106">
        <f>IF(NOT(ISERROR(VLOOKUP(B426,Deflatores!G$42:H$64,2,FALSE))),VLOOKUP(B426,Deflatores!G$42:H$64,2,FALSE),IF(OR(ISBLANK(C426),ISBLANK(B426)),"",VLOOKUP(C426,Deflatores!G$4:H$38,2,FALSE)*H426+VLOOKUP(C426,Deflatores!G$4:I$38,3,FALSE)))</f>
        <v>6</v>
      </c>
      <c r="M426" s="106"/>
      <c r="N426" s="106"/>
      <c r="O426" s="124"/>
    </row>
    <row r="427" spans="1:15" x14ac:dyDescent="0.25">
      <c r="A427" s="114" t="s">
        <v>370</v>
      </c>
      <c r="B427" s="113" t="s">
        <v>50</v>
      </c>
      <c r="C427" s="113" t="s">
        <v>45</v>
      </c>
      <c r="D427" s="113">
        <v>16</v>
      </c>
      <c r="E427" s="4">
        <v>3</v>
      </c>
      <c r="F427" s="106" t="str">
        <f t="shared" si="76"/>
        <v>Média</v>
      </c>
      <c r="G427" s="106" t="str">
        <f t="shared" si="77"/>
        <v>CEA</v>
      </c>
      <c r="H427" s="4">
        <f t="shared" si="78"/>
        <v>4</v>
      </c>
      <c r="I427" s="105" t="str">
        <f t="shared" si="79"/>
        <v>A</v>
      </c>
      <c r="J427" s="4" t="str">
        <f t="shared" si="80"/>
        <v>CEI</v>
      </c>
      <c r="K427" s="106">
        <f t="shared" si="81"/>
        <v>4</v>
      </c>
      <c r="L427" s="106">
        <f>IF(NOT(ISERROR(VLOOKUP(B427,Deflatores!G$42:H$64,2,FALSE))),VLOOKUP(B427,Deflatores!G$42:H$64,2,FALSE),IF(OR(ISBLANK(C427),ISBLANK(B427)),"",VLOOKUP(C427,Deflatores!G$4:H$38,2,FALSE)*H427+VLOOKUP(C427,Deflatores!G$4:I$38,3,FALSE)))</f>
        <v>4</v>
      </c>
      <c r="M427" s="106"/>
      <c r="N427" s="106"/>
      <c r="O427" s="124"/>
    </row>
    <row r="428" spans="1:15" x14ac:dyDescent="0.25">
      <c r="A428" s="112" t="s">
        <v>371</v>
      </c>
      <c r="B428" s="113" t="s">
        <v>50</v>
      </c>
      <c r="C428" s="113" t="s">
        <v>45</v>
      </c>
      <c r="D428" s="113">
        <v>18</v>
      </c>
      <c r="E428" s="4">
        <v>3</v>
      </c>
      <c r="F428" s="106" t="str">
        <f t="shared" si="76"/>
        <v>Média</v>
      </c>
      <c r="G428" s="106" t="str">
        <f t="shared" si="77"/>
        <v>CEA</v>
      </c>
      <c r="H428" s="4">
        <f t="shared" si="78"/>
        <v>4</v>
      </c>
      <c r="I428" s="105" t="str">
        <f t="shared" si="79"/>
        <v>A</v>
      </c>
      <c r="J428" s="4" t="str">
        <f t="shared" si="80"/>
        <v>CEI</v>
      </c>
      <c r="K428" s="106">
        <f t="shared" si="81"/>
        <v>4</v>
      </c>
      <c r="L428" s="106">
        <f>IF(NOT(ISERROR(VLOOKUP(B428,Deflatores!G$42:H$64,2,FALSE))),VLOOKUP(B428,Deflatores!G$42:H$64,2,FALSE),IF(OR(ISBLANK(C428),ISBLANK(B428)),"",VLOOKUP(C428,Deflatores!G$4:H$38,2,FALSE)*H428+VLOOKUP(C428,Deflatores!G$4:I$38,3,FALSE)))</f>
        <v>4</v>
      </c>
      <c r="M428" s="106"/>
      <c r="N428" s="106"/>
      <c r="O428" s="125"/>
    </row>
    <row r="429" spans="1:15" x14ac:dyDescent="0.25">
      <c r="A429" s="112" t="s">
        <v>372</v>
      </c>
      <c r="B429" s="113" t="s">
        <v>50</v>
      </c>
      <c r="C429" s="113" t="s">
        <v>45</v>
      </c>
      <c r="D429" s="4">
        <v>10</v>
      </c>
      <c r="E429" s="4">
        <v>4</v>
      </c>
      <c r="F429" s="106" t="str">
        <f t="shared" si="76"/>
        <v>Alta</v>
      </c>
      <c r="G429" s="106" t="str">
        <f t="shared" si="77"/>
        <v>CEH</v>
      </c>
      <c r="H429" s="4">
        <f t="shared" si="78"/>
        <v>6</v>
      </c>
      <c r="I429" s="105" t="str">
        <f t="shared" si="79"/>
        <v>H</v>
      </c>
      <c r="J429" s="4" t="str">
        <f t="shared" si="80"/>
        <v>CEI</v>
      </c>
      <c r="K429" s="106">
        <f t="shared" si="81"/>
        <v>6</v>
      </c>
      <c r="L429" s="106">
        <f>IF(NOT(ISERROR(VLOOKUP(B429,Deflatores!G$42:H$64,2,FALSE))),VLOOKUP(B429,Deflatores!G$42:H$64,2,FALSE),IF(OR(ISBLANK(C429),ISBLANK(B429)),"",VLOOKUP(C429,Deflatores!G$4:H$38,2,FALSE)*H429+VLOOKUP(C429,Deflatores!G$4:I$38,3,FALSE)))</f>
        <v>6</v>
      </c>
      <c r="M429" s="106"/>
      <c r="N429" s="106"/>
      <c r="O429" s="124"/>
    </row>
    <row r="430" spans="1:15" x14ac:dyDescent="0.25">
      <c r="A430" s="112" t="s">
        <v>373</v>
      </c>
      <c r="B430" s="113" t="s">
        <v>48</v>
      </c>
      <c r="C430" s="113" t="s">
        <v>45</v>
      </c>
      <c r="D430" s="4">
        <v>4</v>
      </c>
      <c r="E430" s="4">
        <v>1</v>
      </c>
      <c r="F430" s="106" t="str">
        <f t="shared" si="76"/>
        <v>Baixa</v>
      </c>
      <c r="G430" s="106" t="str">
        <f t="shared" si="77"/>
        <v>EEL</v>
      </c>
      <c r="H430" s="4">
        <f t="shared" si="78"/>
        <v>3</v>
      </c>
      <c r="I430" s="105" t="str">
        <f t="shared" si="79"/>
        <v>L</v>
      </c>
      <c r="J430" s="4" t="str">
        <f t="shared" si="80"/>
        <v>EEI</v>
      </c>
      <c r="K430" s="106">
        <f t="shared" si="81"/>
        <v>3</v>
      </c>
      <c r="L430" s="106">
        <f>IF(NOT(ISERROR(VLOOKUP(B430,Deflatores!G$42:H$64,2,FALSE))),VLOOKUP(B430,Deflatores!G$42:H$64,2,FALSE),IF(OR(ISBLANK(C430),ISBLANK(B430)),"",VLOOKUP(C430,Deflatores!G$4:H$38,2,FALSE)*H430+VLOOKUP(C430,Deflatores!G$4:I$38,3,FALSE)))</f>
        <v>3</v>
      </c>
      <c r="M430" s="106"/>
      <c r="N430" s="106"/>
      <c r="O430" s="124"/>
    </row>
    <row r="431" spans="1:15" x14ac:dyDescent="0.25">
      <c r="A431" s="112" t="s">
        <v>374</v>
      </c>
      <c r="B431" s="113" t="s">
        <v>50</v>
      </c>
      <c r="C431" s="113" t="s">
        <v>45</v>
      </c>
      <c r="D431" s="4">
        <v>34</v>
      </c>
      <c r="E431" s="4">
        <v>5</v>
      </c>
      <c r="F431" s="106" t="str">
        <f t="shared" si="76"/>
        <v>Alta</v>
      </c>
      <c r="G431" s="106" t="str">
        <f t="shared" si="77"/>
        <v>CEH</v>
      </c>
      <c r="H431" s="4">
        <f t="shared" si="78"/>
        <v>6</v>
      </c>
      <c r="I431" s="105" t="str">
        <f t="shared" si="79"/>
        <v>H</v>
      </c>
      <c r="J431" s="4" t="str">
        <f t="shared" si="80"/>
        <v>CEI</v>
      </c>
      <c r="K431" s="106">
        <f t="shared" si="81"/>
        <v>6</v>
      </c>
      <c r="L431" s="106">
        <f>IF(NOT(ISERROR(VLOOKUP(B431,Deflatores!G$42:H$64,2,FALSE))),VLOOKUP(B431,Deflatores!G$42:H$64,2,FALSE),IF(OR(ISBLANK(C431),ISBLANK(B431)),"",VLOOKUP(C431,Deflatores!G$4:H$38,2,FALSE)*H431+VLOOKUP(C431,Deflatores!G$4:I$38,3,FALSE)))</f>
        <v>6</v>
      </c>
      <c r="M431" s="106"/>
      <c r="N431" s="106"/>
      <c r="O431" s="124"/>
    </row>
    <row r="432" spans="1:15" x14ac:dyDescent="0.25">
      <c r="A432" s="112"/>
      <c r="B432" s="113"/>
      <c r="C432" s="113"/>
      <c r="D432" s="4"/>
      <c r="E432" s="4"/>
      <c r="F432" s="106" t="str">
        <f t="shared" si="76"/>
        <v/>
      </c>
      <c r="G432" s="106" t="str">
        <f t="shared" si="77"/>
        <v/>
      </c>
      <c r="H432" s="4" t="str">
        <f t="shared" si="78"/>
        <v/>
      </c>
      <c r="I432" s="105" t="str">
        <f t="shared" si="79"/>
        <v/>
      </c>
      <c r="J432" s="4" t="str">
        <f t="shared" si="80"/>
        <v/>
      </c>
      <c r="K432" s="106" t="str">
        <f t="shared" si="81"/>
        <v/>
      </c>
      <c r="L432" s="106" t="str">
        <f>IF(NOT(ISERROR(VLOOKUP(B432,Deflatores!G$42:H$64,2,FALSE))),VLOOKUP(B432,Deflatores!G$42:H$64,2,FALSE),IF(OR(ISBLANK(C432),ISBLANK(B432)),"",VLOOKUP(C432,Deflatores!G$4:H$38,2,FALSE)*H432+VLOOKUP(C432,Deflatores!G$4:I$38,3,FALSE)))</f>
        <v/>
      </c>
      <c r="M432" s="106"/>
      <c r="N432" s="106"/>
      <c r="O432" s="124"/>
    </row>
    <row r="433" spans="1:15" x14ac:dyDescent="0.25">
      <c r="A433" s="115" t="s">
        <v>375</v>
      </c>
      <c r="B433" s="113"/>
      <c r="C433" s="113"/>
      <c r="D433" s="4"/>
      <c r="E433" s="4"/>
      <c r="F433" s="106" t="str">
        <f t="shared" si="76"/>
        <v/>
      </c>
      <c r="G433" s="106" t="str">
        <f t="shared" si="77"/>
        <v/>
      </c>
      <c r="H433" s="4" t="str">
        <f t="shared" si="78"/>
        <v/>
      </c>
      <c r="I433" s="105" t="str">
        <f t="shared" si="79"/>
        <v/>
      </c>
      <c r="J433" s="4" t="str">
        <f t="shared" si="80"/>
        <v/>
      </c>
      <c r="K433" s="106" t="str">
        <f t="shared" si="81"/>
        <v/>
      </c>
      <c r="L433" s="106" t="str">
        <f>IF(NOT(ISERROR(VLOOKUP(B433,Deflatores!G$42:H$64,2,FALSE))),VLOOKUP(B433,Deflatores!G$42:H$64,2,FALSE),IF(OR(ISBLANK(C433),ISBLANK(B433)),"",VLOOKUP(C433,Deflatores!G$4:H$38,2,FALSE)*H433+VLOOKUP(C433,Deflatores!G$4:I$38,3,FALSE)))</f>
        <v/>
      </c>
      <c r="M433" s="106"/>
      <c r="N433" s="106"/>
      <c r="O433" s="124"/>
    </row>
    <row r="434" spans="1:15" x14ac:dyDescent="0.25">
      <c r="A434" s="112" t="s">
        <v>376</v>
      </c>
      <c r="B434" s="113" t="s">
        <v>50</v>
      </c>
      <c r="C434" s="113" t="s">
        <v>45</v>
      </c>
      <c r="D434" s="4">
        <v>6</v>
      </c>
      <c r="E434" s="4">
        <v>2</v>
      </c>
      <c r="F434" s="106" t="str">
        <f t="shared" si="76"/>
        <v>Média</v>
      </c>
      <c r="G434" s="106" t="str">
        <f t="shared" si="77"/>
        <v>CEA</v>
      </c>
      <c r="H434" s="4">
        <f t="shared" si="78"/>
        <v>4</v>
      </c>
      <c r="I434" s="105" t="str">
        <f t="shared" si="79"/>
        <v>A</v>
      </c>
      <c r="J434" s="4" t="str">
        <f t="shared" si="80"/>
        <v>CEI</v>
      </c>
      <c r="K434" s="106">
        <f t="shared" si="81"/>
        <v>4</v>
      </c>
      <c r="L434" s="106">
        <f>IF(NOT(ISERROR(VLOOKUP(B434,Deflatores!G$42:H$64,2,FALSE))),VLOOKUP(B434,Deflatores!G$42:H$64,2,FALSE),IF(OR(ISBLANK(C434),ISBLANK(B434)),"",VLOOKUP(C434,Deflatores!G$4:H$38,2,FALSE)*H434+VLOOKUP(C434,Deflatores!G$4:I$38,3,FALSE)))</f>
        <v>4</v>
      </c>
      <c r="M434" s="106"/>
      <c r="N434" s="106"/>
      <c r="O434" s="124"/>
    </row>
    <row r="435" spans="1:15" x14ac:dyDescent="0.25">
      <c r="A435" s="112" t="s">
        <v>377</v>
      </c>
      <c r="B435" s="113" t="s">
        <v>50</v>
      </c>
      <c r="C435" s="113" t="s">
        <v>45</v>
      </c>
      <c r="D435" s="4">
        <v>6</v>
      </c>
      <c r="E435" s="4">
        <v>2</v>
      </c>
      <c r="F435" s="106" t="str">
        <f t="shared" si="76"/>
        <v>Média</v>
      </c>
      <c r="G435" s="106" t="str">
        <f t="shared" si="77"/>
        <v>CEA</v>
      </c>
      <c r="H435" s="4">
        <f t="shared" si="78"/>
        <v>4</v>
      </c>
      <c r="I435" s="105" t="str">
        <f t="shared" si="79"/>
        <v>A</v>
      </c>
      <c r="J435" s="4" t="str">
        <f t="shared" si="80"/>
        <v>CEI</v>
      </c>
      <c r="K435" s="106">
        <f t="shared" si="81"/>
        <v>4</v>
      </c>
      <c r="L435" s="106">
        <f>IF(NOT(ISERROR(VLOOKUP(B435,Deflatores!G$42:H$64,2,FALSE))),VLOOKUP(B435,Deflatores!G$42:H$64,2,FALSE),IF(OR(ISBLANK(C435),ISBLANK(B435)),"",VLOOKUP(C435,Deflatores!G$4:H$38,2,FALSE)*H435+VLOOKUP(C435,Deflatores!G$4:I$38,3,FALSE)))</f>
        <v>4</v>
      </c>
      <c r="M435" s="106"/>
      <c r="N435" s="106"/>
      <c r="O435" s="124"/>
    </row>
    <row r="436" spans="1:15" x14ac:dyDescent="0.25">
      <c r="A436" s="112" t="s">
        <v>378</v>
      </c>
      <c r="B436" s="113" t="s">
        <v>50</v>
      </c>
      <c r="C436" s="113" t="s">
        <v>45</v>
      </c>
      <c r="D436" s="4">
        <v>11</v>
      </c>
      <c r="E436" s="4">
        <v>2</v>
      </c>
      <c r="F436" s="106" t="str">
        <f t="shared" si="76"/>
        <v>Média</v>
      </c>
      <c r="G436" s="106" t="str">
        <f t="shared" si="77"/>
        <v>CEA</v>
      </c>
      <c r="H436" s="4">
        <f t="shared" si="78"/>
        <v>4</v>
      </c>
      <c r="I436" s="105" t="str">
        <f t="shared" si="79"/>
        <v>A</v>
      </c>
      <c r="J436" s="4" t="str">
        <f t="shared" si="80"/>
        <v>CEI</v>
      </c>
      <c r="K436" s="106">
        <f t="shared" si="81"/>
        <v>4</v>
      </c>
      <c r="L436" s="106">
        <f>IF(NOT(ISERROR(VLOOKUP(B436,Deflatores!G$42:H$64,2,FALSE))),VLOOKUP(B436,Deflatores!G$42:H$64,2,FALSE),IF(OR(ISBLANK(C436),ISBLANK(B436)),"",VLOOKUP(C436,Deflatores!G$4:H$38,2,FALSE)*H436+VLOOKUP(C436,Deflatores!G$4:I$38,3,FALSE)))</f>
        <v>4</v>
      </c>
      <c r="M436" s="106"/>
      <c r="N436" s="106"/>
      <c r="O436" s="124"/>
    </row>
    <row r="437" spans="1:15" x14ac:dyDescent="0.25">
      <c r="A437" s="112" t="s">
        <v>379</v>
      </c>
      <c r="B437" s="113" t="s">
        <v>50</v>
      </c>
      <c r="C437" s="113" t="s">
        <v>45</v>
      </c>
      <c r="D437" s="4">
        <v>11</v>
      </c>
      <c r="E437" s="4">
        <v>2</v>
      </c>
      <c r="F437" s="106" t="str">
        <f t="shared" si="76"/>
        <v>Média</v>
      </c>
      <c r="G437" s="106" t="str">
        <f t="shared" si="77"/>
        <v>CEA</v>
      </c>
      <c r="H437" s="4">
        <f t="shared" si="78"/>
        <v>4</v>
      </c>
      <c r="I437" s="105" t="str">
        <f t="shared" si="79"/>
        <v>A</v>
      </c>
      <c r="J437" s="4" t="str">
        <f t="shared" si="80"/>
        <v>CEI</v>
      </c>
      <c r="K437" s="106">
        <f t="shared" si="81"/>
        <v>4</v>
      </c>
      <c r="L437" s="106">
        <f>IF(NOT(ISERROR(VLOOKUP(B437,Deflatores!G$42:H$64,2,FALSE))),VLOOKUP(B437,Deflatores!G$42:H$64,2,FALSE),IF(OR(ISBLANK(C437),ISBLANK(B437)),"",VLOOKUP(C437,Deflatores!G$4:H$38,2,FALSE)*H437+VLOOKUP(C437,Deflatores!G$4:I$38,3,FALSE)))</f>
        <v>4</v>
      </c>
      <c r="M437" s="106"/>
      <c r="N437" s="106"/>
      <c r="O437" s="124"/>
    </row>
    <row r="438" spans="1:15" x14ac:dyDescent="0.25">
      <c r="A438" s="112"/>
      <c r="B438" s="113"/>
      <c r="C438" s="113"/>
      <c r="D438" s="4"/>
      <c r="E438" s="4"/>
      <c r="F438" s="106" t="str">
        <f t="shared" si="76"/>
        <v/>
      </c>
      <c r="G438" s="106" t="str">
        <f t="shared" si="77"/>
        <v/>
      </c>
      <c r="H438" s="4" t="str">
        <f t="shared" si="78"/>
        <v/>
      </c>
      <c r="I438" s="105" t="str">
        <f t="shared" si="79"/>
        <v/>
      </c>
      <c r="J438" s="4" t="str">
        <f t="shared" si="80"/>
        <v/>
      </c>
      <c r="K438" s="106" t="str">
        <f t="shared" si="81"/>
        <v/>
      </c>
      <c r="L438" s="106" t="str">
        <f>IF(NOT(ISERROR(VLOOKUP(B438,Deflatores!G$42:H$64,2,FALSE))),VLOOKUP(B438,Deflatores!G$42:H$64,2,FALSE),IF(OR(ISBLANK(C438),ISBLANK(B438)),"",VLOOKUP(C438,Deflatores!G$4:H$38,2,FALSE)*H438+VLOOKUP(C438,Deflatores!G$4:I$38,3,FALSE)))</f>
        <v/>
      </c>
      <c r="M438" s="106"/>
      <c r="N438" s="106"/>
      <c r="O438" s="124"/>
    </row>
    <row r="439" spans="1:15" x14ac:dyDescent="0.25">
      <c r="A439" s="115" t="s">
        <v>380</v>
      </c>
      <c r="B439" s="113"/>
      <c r="C439" s="113"/>
      <c r="D439" s="4"/>
      <c r="E439" s="4"/>
      <c r="F439" s="106" t="str">
        <f t="shared" si="76"/>
        <v/>
      </c>
      <c r="G439" s="106" t="str">
        <f t="shared" si="77"/>
        <v/>
      </c>
      <c r="H439" s="4" t="str">
        <f t="shared" si="78"/>
        <v/>
      </c>
      <c r="I439" s="105" t="str">
        <f t="shared" si="79"/>
        <v/>
      </c>
      <c r="J439" s="4" t="str">
        <f t="shared" si="80"/>
        <v/>
      </c>
      <c r="K439" s="106" t="str">
        <f t="shared" si="81"/>
        <v/>
      </c>
      <c r="L439" s="106" t="str">
        <f>IF(NOT(ISERROR(VLOOKUP(B439,Deflatores!G$42:H$64,2,FALSE))),VLOOKUP(B439,Deflatores!G$42:H$64,2,FALSE),IF(OR(ISBLANK(C439),ISBLANK(B439)),"",VLOOKUP(C439,Deflatores!G$4:H$38,2,FALSE)*H439+VLOOKUP(C439,Deflatores!G$4:I$38,3,FALSE)))</f>
        <v/>
      </c>
      <c r="M439" s="106"/>
      <c r="N439" s="106"/>
      <c r="O439" s="123"/>
    </row>
    <row r="440" spans="1:15" x14ac:dyDescent="0.25">
      <c r="A440" s="112" t="s">
        <v>381</v>
      </c>
      <c r="B440" s="113" t="s">
        <v>50</v>
      </c>
      <c r="C440" s="113" t="s">
        <v>45</v>
      </c>
      <c r="D440" s="4">
        <v>41</v>
      </c>
      <c r="E440" s="4">
        <v>3</v>
      </c>
      <c r="F440" s="106" t="str">
        <f>IF(ISBLANK(B440),"",IF(I440="L","Baixa",IF(I440="A","Média",IF(I440="","","Alta"))))</f>
        <v>Alta</v>
      </c>
      <c r="G440" s="106" t="str">
        <f>CONCATENATE(B440,I440)</f>
        <v>CEH</v>
      </c>
      <c r="H440" s="4">
        <f>IF(ISBLANK(B440),"",IF(B440="ALI",IF(I440="L",7,IF(I440="A",10,15)),IF(B440="AIE",IF(I440="L",5,IF(I440="A",7,10)),IF(B440="SE",IF(I440="L",4,IF(I440="A",5,7)),IF(OR(B440="EE",B440="CE"),IF(I440="L",3,IF(I440="A",4,6)),0)))))</f>
        <v>6</v>
      </c>
      <c r="I440" s="105" t="str">
        <f>IF(OR(ISBLANK(D440),ISBLANK(E440)),IF(OR(B440="ALI",B440="AIE"),"L",IF(OR(B440="EE",B440="SE",B440="CE"),"A","")),IF(B440="EE",IF(E440&gt;=3,IF(D440&gt;=5,"H","A"),IF(E440&gt;=2,IF(D440&gt;=16,"H",IF(D440&lt;=4,"L","A")),IF(D440&lt;=15,"L","A"))),IF(OR(B440="SE",B440="CE"),IF(E440&gt;=4,IF(D440&gt;=6,"H","A"),IF(E440&gt;=2,IF(D440&gt;=20,"H",IF(D440&lt;=5,"L","A")),IF(D440&lt;=19,"L","A"))),IF(OR(B440="ALI",B440="AIE"),IF(E440&gt;=6,IF(D440&gt;=20,"H","A"),IF(E440&gt;=2,IF(D440&gt;=51,"H",IF(D440&lt;=19,"L","A")),IF(D440&lt;=50,"L","A"))),""))))</f>
        <v>H</v>
      </c>
      <c r="J440" s="4" t="str">
        <f>CONCATENATE(B440,C440)</f>
        <v>CEI</v>
      </c>
      <c r="K440" s="106">
        <f>IF(OR(H440="",H440=0),L440,H440)</f>
        <v>6</v>
      </c>
      <c r="L440" s="106">
        <f>IF(NOT(ISERROR(VLOOKUP(B440,Deflatores!G$42:H$64,2,FALSE))),VLOOKUP(B440,Deflatores!G$42:H$64,2,FALSE),IF(OR(ISBLANK(C440),ISBLANK(B440)),"",VLOOKUP(C440,Deflatores!G$4:H$38,2,FALSE)*H440+VLOOKUP(C440,Deflatores!G$4:I$38,3,FALSE)))</f>
        <v>6</v>
      </c>
      <c r="M440" s="106"/>
      <c r="N440" s="106"/>
      <c r="O440" s="124"/>
    </row>
    <row r="441" spans="1:15" x14ac:dyDescent="0.25">
      <c r="A441" s="112"/>
      <c r="B441" s="113"/>
      <c r="C441" s="113"/>
      <c r="D441" s="4"/>
      <c r="E441" s="4"/>
      <c r="F441" s="106" t="str">
        <f>IF(ISBLANK(B441),"",IF(I441="L","Baixa",IF(I441="A","Média",IF(I441="","","Alta"))))</f>
        <v/>
      </c>
      <c r="G441" s="106" t="str">
        <f>CONCATENATE(B441,I441)</f>
        <v/>
      </c>
      <c r="H441" s="4" t="str">
        <f>IF(ISBLANK(B441),"",IF(B441="ALI",IF(I441="L",7,IF(I441="A",10,15)),IF(B441="AIE",IF(I441="L",5,IF(I441="A",7,10)),IF(B441="SE",IF(I441="L",4,IF(I441="A",5,7)),IF(OR(B441="EE",B441="CE"),IF(I441="L",3,IF(I441="A",4,6)),0)))))</f>
        <v/>
      </c>
      <c r="I441" s="105" t="str">
        <f>IF(OR(ISBLANK(D441),ISBLANK(E441)),IF(OR(B441="ALI",B441="AIE"),"L",IF(OR(B441="EE",B441="SE",B441="CE"),"A","")),IF(B441="EE",IF(E441&gt;=3,IF(D441&gt;=5,"H","A"),IF(E441&gt;=2,IF(D441&gt;=16,"H",IF(D441&lt;=4,"L","A")),IF(D441&lt;=15,"L","A"))),IF(OR(B441="SE",B441="CE"),IF(E441&gt;=4,IF(D441&gt;=6,"H","A"),IF(E441&gt;=2,IF(D441&gt;=20,"H",IF(D441&lt;=5,"L","A")),IF(D441&lt;=19,"L","A"))),IF(OR(B441="ALI",B441="AIE"),IF(E441&gt;=6,IF(D441&gt;=20,"H","A"),IF(E441&gt;=2,IF(D441&gt;=51,"H",IF(D441&lt;=19,"L","A")),IF(D441&lt;=50,"L","A"))),""))))</f>
        <v/>
      </c>
      <c r="J441" s="4" t="str">
        <f>CONCATENATE(B441,C441)</f>
        <v/>
      </c>
      <c r="K441" s="106" t="str">
        <f>IF(OR(H441="",H441=0),L441,H441)</f>
        <v/>
      </c>
      <c r="L441" s="106" t="str">
        <f>IF(NOT(ISERROR(VLOOKUP(B441,Deflatores!G$42:H$64,2,FALSE))),VLOOKUP(B441,Deflatores!G$42:H$64,2,FALSE),IF(OR(ISBLANK(C441),ISBLANK(B441)),"",VLOOKUP(C441,Deflatores!G$4:H$38,2,FALSE)*H441+VLOOKUP(C441,Deflatores!G$4:I$38,3,FALSE)))</f>
        <v/>
      </c>
      <c r="M441" s="106"/>
      <c r="N441" s="106"/>
      <c r="O441" s="124"/>
    </row>
    <row r="442" spans="1:15" ht="13.5" customHeight="1" x14ac:dyDescent="0.25">
      <c r="A442" s="119" t="s">
        <v>382</v>
      </c>
      <c r="B442" s="120"/>
      <c r="C442" s="120"/>
      <c r="D442" s="120"/>
      <c r="E442" s="120"/>
      <c r="F442" s="121" t="str">
        <f t="shared" si="76"/>
        <v/>
      </c>
      <c r="G442" s="121" t="str">
        <f t="shared" si="77"/>
        <v/>
      </c>
      <c r="H442" s="121" t="str">
        <f t="shared" si="78"/>
        <v/>
      </c>
      <c r="I442" s="121" t="str">
        <f t="shared" si="79"/>
        <v/>
      </c>
      <c r="J442" s="121" t="str">
        <f t="shared" si="80"/>
        <v/>
      </c>
      <c r="K442" s="121" t="str">
        <f t="shared" si="81"/>
        <v/>
      </c>
      <c r="L442" s="121" t="str">
        <f>IF(NOT(ISERROR(VLOOKUP(B442,Deflatores!G$42:H$64,2,FALSE))),VLOOKUP(B442,Deflatores!G$42:H$64,2,FALSE),IF(OR(ISBLANK(C442),ISBLANK(B442)),"",VLOOKUP(C442,Deflatores!G$4:H$38,2,FALSE)*H442+VLOOKUP(C442,Deflatores!G$4:I$38,3,FALSE)))</f>
        <v/>
      </c>
      <c r="M442" s="121"/>
      <c r="N442" s="121"/>
      <c r="O442" s="122"/>
    </row>
    <row r="443" spans="1:15" x14ac:dyDescent="0.25">
      <c r="A443" s="115" t="s">
        <v>383</v>
      </c>
      <c r="B443" s="113"/>
      <c r="C443" s="113"/>
      <c r="D443" s="113"/>
      <c r="E443" s="113"/>
      <c r="F443" s="106" t="str">
        <f t="shared" si="76"/>
        <v/>
      </c>
      <c r="G443" s="106" t="str">
        <f t="shared" si="77"/>
        <v/>
      </c>
      <c r="H443" s="4" t="str">
        <f t="shared" si="78"/>
        <v/>
      </c>
      <c r="I443" s="105" t="str">
        <f t="shared" si="79"/>
        <v/>
      </c>
      <c r="J443" s="4" t="str">
        <f t="shared" si="80"/>
        <v/>
      </c>
      <c r="K443" s="106" t="str">
        <f t="shared" si="81"/>
        <v/>
      </c>
      <c r="L443" s="106" t="str">
        <f>IF(NOT(ISERROR(VLOOKUP(B443,Deflatores!G$42:H$64,2,FALSE))),VLOOKUP(B443,Deflatores!G$42:H$64,2,FALSE),IF(OR(ISBLANK(C443),ISBLANK(B443)),"",VLOOKUP(C443,Deflatores!G$4:H$38,2,FALSE)*H443+VLOOKUP(C443,Deflatores!G$4:I$38,3,FALSE)))</f>
        <v/>
      </c>
      <c r="M443" s="106"/>
      <c r="N443" s="106"/>
      <c r="O443" s="106"/>
    </row>
    <row r="444" spans="1:15" x14ac:dyDescent="0.25">
      <c r="A444" s="112" t="s">
        <v>384</v>
      </c>
      <c r="B444" s="113" t="s">
        <v>67</v>
      </c>
      <c r="C444" s="113" t="s">
        <v>45</v>
      </c>
      <c r="D444" s="4">
        <v>28</v>
      </c>
      <c r="E444" s="4">
        <v>3</v>
      </c>
      <c r="F444" s="106" t="str">
        <f t="shared" si="76"/>
        <v>Média</v>
      </c>
      <c r="G444" s="106" t="str">
        <f t="shared" si="77"/>
        <v>AIEA</v>
      </c>
      <c r="H444" s="4">
        <f t="shared" si="78"/>
        <v>7</v>
      </c>
      <c r="I444" s="105" t="str">
        <f t="shared" si="79"/>
        <v>A</v>
      </c>
      <c r="J444" s="4" t="str">
        <f t="shared" si="80"/>
        <v>AIEI</v>
      </c>
      <c r="K444" s="106">
        <f t="shared" si="81"/>
        <v>7</v>
      </c>
      <c r="L444" s="106">
        <f>IF(NOT(ISERROR(VLOOKUP(B444,Deflatores!G$42:H$64,2,FALSE))),VLOOKUP(B444,Deflatores!G$42:H$64,2,FALSE),IF(OR(ISBLANK(C444),ISBLANK(B444)),"",VLOOKUP(C444,Deflatores!G$4:H$38,2,FALSE)*H444+VLOOKUP(C444,Deflatores!G$4:I$38,3,FALSE)))</f>
        <v>7</v>
      </c>
      <c r="M444" s="106"/>
      <c r="N444" s="106"/>
      <c r="O444" s="106"/>
    </row>
    <row r="445" spans="1:15" x14ac:dyDescent="0.25">
      <c r="A445" s="112" t="s">
        <v>385</v>
      </c>
      <c r="B445" s="113" t="s">
        <v>67</v>
      </c>
      <c r="C445" s="113" t="s">
        <v>45</v>
      </c>
      <c r="D445" s="4">
        <v>7</v>
      </c>
      <c r="E445" s="4">
        <v>1</v>
      </c>
      <c r="F445" s="106" t="str">
        <f t="shared" si="76"/>
        <v>Baixa</v>
      </c>
      <c r="G445" s="106" t="str">
        <f t="shared" si="77"/>
        <v>AIEL</v>
      </c>
      <c r="H445" s="4">
        <f t="shared" si="78"/>
        <v>5</v>
      </c>
      <c r="I445" s="105" t="str">
        <f t="shared" si="79"/>
        <v>L</v>
      </c>
      <c r="J445" s="4" t="str">
        <f t="shared" si="80"/>
        <v>AIEI</v>
      </c>
      <c r="K445" s="106">
        <f t="shared" si="81"/>
        <v>5</v>
      </c>
      <c r="L445" s="106">
        <f>IF(NOT(ISERROR(VLOOKUP(B445,Deflatores!G$42:H$64,2,FALSE))),VLOOKUP(B445,Deflatores!G$42:H$64,2,FALSE),IF(OR(ISBLANK(C445),ISBLANK(B445)),"",VLOOKUP(C445,Deflatores!G$4:H$38,2,FALSE)*H445+VLOOKUP(C445,Deflatores!G$4:I$38,3,FALSE)))</f>
        <v>5</v>
      </c>
      <c r="M445" s="106"/>
      <c r="N445" s="106"/>
      <c r="O445" s="106"/>
    </row>
    <row r="446" spans="1:15" x14ac:dyDescent="0.25">
      <c r="A446" s="112" t="s">
        <v>386</v>
      </c>
      <c r="B446" s="113" t="s">
        <v>67</v>
      </c>
      <c r="C446" s="113" t="s">
        <v>45</v>
      </c>
      <c r="D446" s="4">
        <v>3</v>
      </c>
      <c r="E446" s="4">
        <v>1</v>
      </c>
      <c r="F446" s="106" t="str">
        <f t="shared" si="76"/>
        <v>Baixa</v>
      </c>
      <c r="G446" s="106" t="str">
        <f t="shared" si="77"/>
        <v>AIEL</v>
      </c>
      <c r="H446" s="4">
        <f t="shared" si="78"/>
        <v>5</v>
      </c>
      <c r="I446" s="105" t="str">
        <f t="shared" si="79"/>
        <v>L</v>
      </c>
      <c r="J446" s="4" t="str">
        <f t="shared" si="80"/>
        <v>AIEI</v>
      </c>
      <c r="K446" s="106">
        <f t="shared" si="81"/>
        <v>5</v>
      </c>
      <c r="L446" s="106">
        <f>IF(NOT(ISERROR(VLOOKUP(B446,Deflatores!G$42:H$64,2,FALSE))),VLOOKUP(B446,Deflatores!G$42:H$64,2,FALSE),IF(OR(ISBLANK(C446),ISBLANK(B446)),"",VLOOKUP(C446,Deflatores!G$4:H$38,2,FALSE)*H446+VLOOKUP(C446,Deflatores!G$4:I$38,3,FALSE)))</f>
        <v>5</v>
      </c>
      <c r="M446" s="106"/>
      <c r="N446" s="106"/>
      <c r="O446" s="106"/>
    </row>
    <row r="447" spans="1:15" x14ac:dyDescent="0.25">
      <c r="A447" s="114" t="s">
        <v>387</v>
      </c>
      <c r="B447" s="113" t="s">
        <v>50</v>
      </c>
      <c r="C447" s="113" t="s">
        <v>45</v>
      </c>
      <c r="D447" s="4">
        <v>3</v>
      </c>
      <c r="E447" s="4">
        <v>1</v>
      </c>
      <c r="F447" s="106" t="str">
        <f t="shared" si="76"/>
        <v>Baixa</v>
      </c>
      <c r="G447" s="106" t="str">
        <f t="shared" si="77"/>
        <v>CEL</v>
      </c>
      <c r="H447" s="4">
        <f t="shared" si="78"/>
        <v>3</v>
      </c>
      <c r="I447" s="105" t="str">
        <f t="shared" si="79"/>
        <v>L</v>
      </c>
      <c r="J447" s="4" t="str">
        <f t="shared" si="80"/>
        <v>CEI</v>
      </c>
      <c r="K447" s="106">
        <f t="shared" si="81"/>
        <v>3</v>
      </c>
      <c r="L447" s="106">
        <f>IF(NOT(ISERROR(VLOOKUP(B447,Deflatores!G$42:H$64,2,FALSE))),VLOOKUP(B447,Deflatores!G$42:H$64,2,FALSE),IF(OR(ISBLANK(C447),ISBLANK(B447)),"",VLOOKUP(C447,Deflatores!G$4:H$38,2,FALSE)*H447+VLOOKUP(C447,Deflatores!G$4:I$38,3,FALSE)))</f>
        <v>3</v>
      </c>
      <c r="M447" s="106"/>
      <c r="N447" s="106"/>
      <c r="O447" s="106"/>
    </row>
    <row r="448" spans="1:15" x14ac:dyDescent="0.25">
      <c r="A448" s="114" t="s">
        <v>388</v>
      </c>
      <c r="B448" s="113" t="s">
        <v>50</v>
      </c>
      <c r="C448" s="113" t="s">
        <v>45</v>
      </c>
      <c r="D448" s="4">
        <v>3</v>
      </c>
      <c r="E448" s="4">
        <v>1</v>
      </c>
      <c r="F448" s="106" t="str">
        <f t="shared" si="76"/>
        <v>Baixa</v>
      </c>
      <c r="G448" s="106" t="str">
        <f t="shared" si="77"/>
        <v>CEL</v>
      </c>
      <c r="H448" s="4">
        <f t="shared" si="78"/>
        <v>3</v>
      </c>
      <c r="I448" s="105" t="str">
        <f t="shared" si="79"/>
        <v>L</v>
      </c>
      <c r="J448" s="4" t="str">
        <f t="shared" si="80"/>
        <v>CEI</v>
      </c>
      <c r="K448" s="106">
        <f t="shared" si="81"/>
        <v>3</v>
      </c>
      <c r="L448" s="106">
        <f>IF(NOT(ISERROR(VLOOKUP(B448,Deflatores!G$42:H$64,2,FALSE))),VLOOKUP(B448,Deflatores!G$42:H$64,2,FALSE),IF(OR(ISBLANK(C448),ISBLANK(B448)),"",VLOOKUP(C448,Deflatores!G$4:H$38,2,FALSE)*H448+VLOOKUP(C448,Deflatores!G$4:I$38,3,FALSE)))</f>
        <v>3</v>
      </c>
      <c r="M448" s="106"/>
      <c r="N448" s="106"/>
      <c r="O448" s="106"/>
    </row>
    <row r="449" spans="1:15" x14ac:dyDescent="0.25">
      <c r="A449" s="112" t="s">
        <v>389</v>
      </c>
      <c r="B449" s="113" t="s">
        <v>50</v>
      </c>
      <c r="C449" s="113" t="s">
        <v>45</v>
      </c>
      <c r="D449" s="4">
        <v>3</v>
      </c>
      <c r="E449" s="4">
        <v>1</v>
      </c>
      <c r="F449" s="106" t="str">
        <f t="shared" si="76"/>
        <v>Baixa</v>
      </c>
      <c r="G449" s="106" t="str">
        <f t="shared" si="77"/>
        <v>CEL</v>
      </c>
      <c r="H449" s="4">
        <f t="shared" si="78"/>
        <v>3</v>
      </c>
      <c r="I449" s="105" t="str">
        <f t="shared" si="79"/>
        <v>L</v>
      </c>
      <c r="J449" s="4" t="str">
        <f t="shared" si="80"/>
        <v>CEI</v>
      </c>
      <c r="K449" s="106">
        <f t="shared" si="81"/>
        <v>3</v>
      </c>
      <c r="L449" s="106">
        <f>IF(NOT(ISERROR(VLOOKUP(B449,Deflatores!G$42:H$64,2,FALSE))),VLOOKUP(B449,Deflatores!G$42:H$64,2,FALSE),IF(OR(ISBLANK(C449),ISBLANK(B449)),"",VLOOKUP(C449,Deflatores!G$4:H$38,2,FALSE)*H449+VLOOKUP(C449,Deflatores!G$4:I$38,3,FALSE)))</f>
        <v>3</v>
      </c>
      <c r="M449" s="106"/>
      <c r="N449" s="106"/>
      <c r="O449" s="123"/>
    </row>
    <row r="450" spans="1:15" x14ac:dyDescent="0.25">
      <c r="A450" s="112" t="s">
        <v>390</v>
      </c>
      <c r="B450" s="113" t="s">
        <v>50</v>
      </c>
      <c r="C450" s="113" t="s">
        <v>45</v>
      </c>
      <c r="D450" s="4">
        <v>13</v>
      </c>
      <c r="E450" s="4">
        <v>6</v>
      </c>
      <c r="F450" s="106" t="str">
        <f t="shared" si="76"/>
        <v>Alta</v>
      </c>
      <c r="G450" s="106" t="str">
        <f t="shared" si="77"/>
        <v>CEH</v>
      </c>
      <c r="H450" s="4">
        <f t="shared" si="78"/>
        <v>6</v>
      </c>
      <c r="I450" s="105" t="str">
        <f t="shared" si="79"/>
        <v>H</v>
      </c>
      <c r="J450" s="4" t="str">
        <f t="shared" si="80"/>
        <v>CEI</v>
      </c>
      <c r="K450" s="106">
        <f t="shared" si="81"/>
        <v>6</v>
      </c>
      <c r="L450" s="106">
        <f>IF(NOT(ISERROR(VLOOKUP(B450,Deflatores!G$42:H$64,2,FALSE))),VLOOKUP(B450,Deflatores!G$42:H$64,2,FALSE),IF(OR(ISBLANK(C450),ISBLANK(B450)),"",VLOOKUP(C450,Deflatores!G$4:H$38,2,FALSE)*H450+VLOOKUP(C450,Deflatores!G$4:I$38,3,FALSE)))</f>
        <v>6</v>
      </c>
      <c r="M450" s="106"/>
      <c r="N450" s="106"/>
      <c r="O450" s="106"/>
    </row>
    <row r="451" spans="1:15" x14ac:dyDescent="0.25">
      <c r="A451" s="112" t="s">
        <v>391</v>
      </c>
      <c r="B451" s="113" t="s">
        <v>113</v>
      </c>
      <c r="C451" s="113" t="s">
        <v>45</v>
      </c>
      <c r="D451" s="4">
        <v>12</v>
      </c>
      <c r="E451" s="4">
        <v>2</v>
      </c>
      <c r="F451" s="106" t="str">
        <f t="shared" si="76"/>
        <v>Média</v>
      </c>
      <c r="G451" s="106" t="str">
        <f t="shared" si="77"/>
        <v>SEA</v>
      </c>
      <c r="H451" s="4">
        <f t="shared" si="78"/>
        <v>5</v>
      </c>
      <c r="I451" s="105" t="str">
        <f t="shared" si="79"/>
        <v>A</v>
      </c>
      <c r="J451" s="4" t="str">
        <f t="shared" si="80"/>
        <v>SEI</v>
      </c>
      <c r="K451" s="106">
        <f t="shared" si="81"/>
        <v>5</v>
      </c>
      <c r="L451" s="106">
        <f>IF(NOT(ISERROR(VLOOKUP(B451,Deflatores!G$42:H$64,2,FALSE))),VLOOKUP(B451,Deflatores!G$42:H$64,2,FALSE),IF(OR(ISBLANK(C451),ISBLANK(B451)),"",VLOOKUP(C451,Deflatores!G$4:H$38,2,FALSE)*H451+VLOOKUP(C451,Deflatores!G$4:I$38,3,FALSE)))</f>
        <v>5</v>
      </c>
      <c r="M451" s="106"/>
      <c r="N451" s="106"/>
      <c r="O451" s="106"/>
    </row>
    <row r="452" spans="1:15" x14ac:dyDescent="0.25">
      <c r="A452" s="112"/>
      <c r="B452" s="113"/>
      <c r="C452" s="113"/>
      <c r="D452" s="4"/>
      <c r="E452" s="4"/>
      <c r="F452" s="106" t="str">
        <f t="shared" si="76"/>
        <v/>
      </c>
      <c r="G452" s="106" t="str">
        <f t="shared" si="77"/>
        <v/>
      </c>
      <c r="H452" s="4" t="str">
        <f t="shared" si="78"/>
        <v/>
      </c>
      <c r="I452" s="105" t="str">
        <f t="shared" si="79"/>
        <v/>
      </c>
      <c r="J452" s="4" t="str">
        <f t="shared" si="80"/>
        <v/>
      </c>
      <c r="K452" s="106" t="str">
        <f t="shared" si="81"/>
        <v/>
      </c>
      <c r="L452" s="106" t="str">
        <f>IF(NOT(ISERROR(VLOOKUP(B452,Deflatores!G$42:H$64,2,FALSE))),VLOOKUP(B452,Deflatores!G$42:H$64,2,FALSE),IF(OR(ISBLANK(C452),ISBLANK(B452)),"",VLOOKUP(C452,Deflatores!G$4:H$38,2,FALSE)*H452+VLOOKUP(C452,Deflatores!G$4:I$38,3,FALSE)))</f>
        <v/>
      </c>
      <c r="M452" s="106"/>
      <c r="N452" s="106"/>
      <c r="O452" s="106"/>
    </row>
    <row r="453" spans="1:15" x14ac:dyDescent="0.25">
      <c r="A453" s="115" t="s">
        <v>392</v>
      </c>
      <c r="B453" s="113"/>
      <c r="C453" s="113"/>
      <c r="D453" s="4"/>
      <c r="E453" s="4"/>
      <c r="F453" s="106" t="str">
        <f t="shared" si="76"/>
        <v/>
      </c>
      <c r="G453" s="106" t="str">
        <f t="shared" si="77"/>
        <v/>
      </c>
      <c r="H453" s="4" t="str">
        <f t="shared" si="78"/>
        <v/>
      </c>
      <c r="I453" s="105" t="str">
        <f t="shared" si="79"/>
        <v/>
      </c>
      <c r="J453" s="4" t="str">
        <f t="shared" si="80"/>
        <v/>
      </c>
      <c r="K453" s="106" t="str">
        <f t="shared" si="81"/>
        <v/>
      </c>
      <c r="L453" s="106" t="str">
        <f>IF(NOT(ISERROR(VLOOKUP(B453,Deflatores!G$42:H$64,2,FALSE))),VLOOKUP(B453,Deflatores!G$42:H$64,2,FALSE),IF(OR(ISBLANK(C453),ISBLANK(B453)),"",VLOOKUP(C453,Deflatores!G$4:H$38,2,FALSE)*H453+VLOOKUP(C453,Deflatores!G$4:I$38,3,FALSE)))</f>
        <v/>
      </c>
      <c r="M453" s="106"/>
      <c r="N453" s="106"/>
      <c r="O453" s="148"/>
    </row>
    <row r="454" spans="1:15" x14ac:dyDescent="0.25">
      <c r="A454" s="112" t="s">
        <v>393</v>
      </c>
      <c r="B454" s="113" t="s">
        <v>44</v>
      </c>
      <c r="C454" s="113" t="s">
        <v>45</v>
      </c>
      <c r="D454" s="4">
        <v>34</v>
      </c>
      <c r="E454" s="4">
        <v>3</v>
      </c>
      <c r="F454" s="106" t="str">
        <f t="shared" si="76"/>
        <v>Média</v>
      </c>
      <c r="G454" s="106" t="str">
        <f t="shared" si="77"/>
        <v>ALIA</v>
      </c>
      <c r="H454" s="4">
        <f t="shared" si="78"/>
        <v>10</v>
      </c>
      <c r="I454" s="105" t="str">
        <f t="shared" si="79"/>
        <v>A</v>
      </c>
      <c r="J454" s="4" t="str">
        <f t="shared" si="80"/>
        <v>ALII</v>
      </c>
      <c r="K454" s="106">
        <f t="shared" si="81"/>
        <v>10</v>
      </c>
      <c r="L454" s="106">
        <f>IF(NOT(ISERROR(VLOOKUP(B454,Deflatores!G$42:H$64,2,FALSE))),VLOOKUP(B454,Deflatores!G$42:H$64,2,FALSE),IF(OR(ISBLANK(C454),ISBLANK(B454)),"",VLOOKUP(C454,Deflatores!G$4:H$38,2,FALSE)*H454+VLOOKUP(C454,Deflatores!G$4:I$38,3,FALSE)))</f>
        <v>10</v>
      </c>
      <c r="M454" s="106"/>
      <c r="N454" s="106"/>
      <c r="O454" s="106"/>
    </row>
    <row r="455" spans="1:15" x14ac:dyDescent="0.25">
      <c r="A455" s="112" t="s">
        <v>394</v>
      </c>
      <c r="B455" s="113" t="s">
        <v>48</v>
      </c>
      <c r="C455" s="113" t="s">
        <v>45</v>
      </c>
      <c r="D455" s="4">
        <v>21</v>
      </c>
      <c r="E455" s="4">
        <v>6</v>
      </c>
      <c r="F455" s="106" t="str">
        <f t="shared" si="76"/>
        <v>Alta</v>
      </c>
      <c r="G455" s="106" t="str">
        <f t="shared" si="77"/>
        <v>EEH</v>
      </c>
      <c r="H455" s="4">
        <f t="shared" si="78"/>
        <v>6</v>
      </c>
      <c r="I455" s="105" t="str">
        <f t="shared" si="79"/>
        <v>H</v>
      </c>
      <c r="J455" s="4" t="str">
        <f t="shared" si="80"/>
        <v>EEI</v>
      </c>
      <c r="K455" s="106">
        <f t="shared" si="81"/>
        <v>6</v>
      </c>
      <c r="L455" s="106">
        <f>IF(NOT(ISERROR(VLOOKUP(B455,Deflatores!G$42:H$64,2,FALSE))),VLOOKUP(B455,Deflatores!G$42:H$64,2,FALSE),IF(OR(ISBLANK(C455),ISBLANK(B455)),"",VLOOKUP(C455,Deflatores!G$4:H$38,2,FALSE)*H455+VLOOKUP(C455,Deflatores!G$4:I$38,3,FALSE)))</f>
        <v>6</v>
      </c>
      <c r="M455" s="106"/>
      <c r="N455" s="106"/>
      <c r="O455" s="106"/>
    </row>
    <row r="456" spans="1:15" x14ac:dyDescent="0.25">
      <c r="A456" s="114" t="s">
        <v>395</v>
      </c>
      <c r="B456" s="113" t="s">
        <v>50</v>
      </c>
      <c r="C456" s="113" t="s">
        <v>45</v>
      </c>
      <c r="D456" s="4">
        <v>3</v>
      </c>
      <c r="E456" s="4">
        <v>1</v>
      </c>
      <c r="F456" s="106" t="str">
        <f t="shared" si="76"/>
        <v>Baixa</v>
      </c>
      <c r="G456" s="106" t="str">
        <f t="shared" si="77"/>
        <v>CEL</v>
      </c>
      <c r="H456" s="4">
        <f t="shared" si="78"/>
        <v>3</v>
      </c>
      <c r="I456" s="105" t="str">
        <f t="shared" si="79"/>
        <v>L</v>
      </c>
      <c r="J456" s="4" t="str">
        <f t="shared" si="80"/>
        <v>CEI</v>
      </c>
      <c r="K456" s="106">
        <f t="shared" si="81"/>
        <v>3</v>
      </c>
      <c r="L456" s="106">
        <f>IF(NOT(ISERROR(VLOOKUP(B456,Deflatores!G$42:H$64,2,FALSE))),VLOOKUP(B456,Deflatores!G$42:H$64,2,FALSE),IF(OR(ISBLANK(C456),ISBLANK(B456)),"",VLOOKUP(C456,Deflatores!G$4:H$38,2,FALSE)*H456+VLOOKUP(C456,Deflatores!G$4:I$38,3,FALSE)))</f>
        <v>3</v>
      </c>
      <c r="M456" s="106"/>
      <c r="N456" s="106"/>
      <c r="O456" s="106"/>
    </row>
    <row r="457" spans="1:15" x14ac:dyDescent="0.25">
      <c r="A457" s="114" t="s">
        <v>396</v>
      </c>
      <c r="B457" s="113" t="s">
        <v>50</v>
      </c>
      <c r="C457" s="113" t="s">
        <v>45</v>
      </c>
      <c r="D457" s="4">
        <v>3</v>
      </c>
      <c r="E457" s="4">
        <v>1</v>
      </c>
      <c r="F457" s="106" t="str">
        <f t="shared" si="76"/>
        <v>Baixa</v>
      </c>
      <c r="G457" s="106" t="str">
        <f t="shared" si="77"/>
        <v>CEL</v>
      </c>
      <c r="H457" s="4">
        <f t="shared" si="78"/>
        <v>3</v>
      </c>
      <c r="I457" s="105" t="str">
        <f t="shared" si="79"/>
        <v>L</v>
      </c>
      <c r="J457" s="4" t="str">
        <f t="shared" si="80"/>
        <v>CEI</v>
      </c>
      <c r="K457" s="106">
        <f t="shared" si="81"/>
        <v>3</v>
      </c>
      <c r="L457" s="106">
        <f>IF(NOT(ISERROR(VLOOKUP(B457,Deflatores!G$42:H$64,2,FALSE))),VLOOKUP(B457,Deflatores!G$42:H$64,2,FALSE),IF(OR(ISBLANK(C457),ISBLANK(B457)),"",VLOOKUP(C457,Deflatores!G$4:H$38,2,FALSE)*H457+VLOOKUP(C457,Deflatores!G$4:I$38,3,FALSE)))</f>
        <v>3</v>
      </c>
      <c r="M457" s="106"/>
      <c r="N457" s="106"/>
      <c r="O457" s="106"/>
    </row>
    <row r="458" spans="1:15" x14ac:dyDescent="0.25">
      <c r="A458" s="114" t="s">
        <v>397</v>
      </c>
      <c r="B458" s="113" t="s">
        <v>50</v>
      </c>
      <c r="C458" s="113" t="s">
        <v>45</v>
      </c>
      <c r="D458" s="4">
        <v>3</v>
      </c>
      <c r="E458" s="4">
        <v>1</v>
      </c>
      <c r="F458" s="106" t="str">
        <f t="shared" si="76"/>
        <v>Baixa</v>
      </c>
      <c r="G458" s="106" t="str">
        <f t="shared" si="77"/>
        <v>CEL</v>
      </c>
      <c r="H458" s="4">
        <f t="shared" si="78"/>
        <v>3</v>
      </c>
      <c r="I458" s="105" t="str">
        <f t="shared" si="79"/>
        <v>L</v>
      </c>
      <c r="J458" s="4" t="str">
        <f t="shared" si="80"/>
        <v>CEI</v>
      </c>
      <c r="K458" s="106">
        <f t="shared" si="81"/>
        <v>3</v>
      </c>
      <c r="L458" s="106">
        <f>IF(NOT(ISERROR(VLOOKUP(B458,Deflatores!G$42:H$64,2,FALSE))),VLOOKUP(B458,Deflatores!G$42:H$64,2,FALSE),IF(OR(ISBLANK(C458),ISBLANK(B458)),"",VLOOKUP(C458,Deflatores!G$4:H$38,2,FALSE)*H458+VLOOKUP(C458,Deflatores!G$4:I$38,3,FALSE)))</f>
        <v>3</v>
      </c>
      <c r="M458" s="106"/>
      <c r="N458" s="106"/>
      <c r="O458" s="123"/>
    </row>
    <row r="459" spans="1:15" x14ac:dyDescent="0.25">
      <c r="A459" s="114" t="s">
        <v>398</v>
      </c>
      <c r="B459" s="113" t="s">
        <v>113</v>
      </c>
      <c r="C459" s="113" t="s">
        <v>45</v>
      </c>
      <c r="D459" s="4">
        <v>49</v>
      </c>
      <c r="E459" s="4">
        <v>4</v>
      </c>
      <c r="F459" s="106" t="str">
        <f t="shared" si="76"/>
        <v>Alta</v>
      </c>
      <c r="G459" s="106" t="str">
        <f t="shared" si="77"/>
        <v>SEH</v>
      </c>
      <c r="H459" s="4">
        <f t="shared" si="78"/>
        <v>7</v>
      </c>
      <c r="I459" s="105" t="str">
        <f t="shared" si="79"/>
        <v>H</v>
      </c>
      <c r="J459" s="4" t="str">
        <f t="shared" si="80"/>
        <v>SEI</v>
      </c>
      <c r="K459" s="106">
        <f t="shared" si="81"/>
        <v>7</v>
      </c>
      <c r="L459" s="106">
        <f>IF(NOT(ISERROR(VLOOKUP(B459,Deflatores!G$42:H$64,2,FALSE))),VLOOKUP(B459,Deflatores!G$42:H$64,2,FALSE),IF(OR(ISBLANK(C459),ISBLANK(B459)),"",VLOOKUP(C459,Deflatores!G$4:H$38,2,FALSE)*H459+VLOOKUP(C459,Deflatores!G$4:I$38,3,FALSE)))</f>
        <v>7</v>
      </c>
      <c r="M459" s="106"/>
      <c r="N459" s="106"/>
      <c r="O459" s="106"/>
    </row>
    <row r="460" spans="1:15" x14ac:dyDescent="0.25">
      <c r="A460" s="112"/>
      <c r="B460" s="113"/>
      <c r="C460" s="113"/>
      <c r="D460" s="4"/>
      <c r="E460" s="4"/>
      <c r="F460" s="106" t="str">
        <f t="shared" si="76"/>
        <v/>
      </c>
      <c r="G460" s="106" t="str">
        <f t="shared" si="77"/>
        <v/>
      </c>
      <c r="H460" s="4" t="str">
        <f t="shared" si="78"/>
        <v/>
      </c>
      <c r="I460" s="105" t="str">
        <f t="shared" si="79"/>
        <v/>
      </c>
      <c r="J460" s="4" t="str">
        <f t="shared" si="80"/>
        <v/>
      </c>
      <c r="K460" s="106" t="str">
        <f t="shared" si="81"/>
        <v/>
      </c>
      <c r="L460" s="106" t="str">
        <f>IF(NOT(ISERROR(VLOOKUP(B460,Deflatores!G$42:H$64,2,FALSE))),VLOOKUP(B460,Deflatores!G$42:H$64,2,FALSE),IF(OR(ISBLANK(C460),ISBLANK(B460)),"",VLOOKUP(C460,Deflatores!G$4:H$38,2,FALSE)*H460+VLOOKUP(C460,Deflatores!G$4:I$38,3,FALSE)))</f>
        <v/>
      </c>
      <c r="M460" s="106"/>
      <c r="N460" s="106"/>
      <c r="O460" s="106"/>
    </row>
    <row r="461" spans="1:15" x14ac:dyDescent="0.25">
      <c r="A461" s="115" t="s">
        <v>399</v>
      </c>
      <c r="B461" s="113"/>
      <c r="C461" s="113"/>
      <c r="D461" s="4"/>
      <c r="E461" s="4"/>
      <c r="F461" s="106" t="str">
        <f t="shared" si="76"/>
        <v/>
      </c>
      <c r="G461" s="106" t="str">
        <f t="shared" si="77"/>
        <v/>
      </c>
      <c r="H461" s="4" t="str">
        <f t="shared" si="78"/>
        <v/>
      </c>
      <c r="I461" s="105" t="str">
        <f t="shared" si="79"/>
        <v/>
      </c>
      <c r="J461" s="4" t="str">
        <f t="shared" si="80"/>
        <v/>
      </c>
      <c r="K461" s="106" t="str">
        <f t="shared" si="81"/>
        <v/>
      </c>
      <c r="L461" s="106" t="str">
        <f>IF(NOT(ISERROR(VLOOKUP(B461,Deflatores!G$42:H$64,2,FALSE))),VLOOKUP(B461,Deflatores!G$42:H$64,2,FALSE),IF(OR(ISBLANK(C461),ISBLANK(B461)),"",VLOOKUP(C461,Deflatores!G$4:H$38,2,FALSE)*H461+VLOOKUP(C461,Deflatores!G$4:I$38,3,FALSE)))</f>
        <v/>
      </c>
      <c r="M461" s="106"/>
      <c r="N461" s="106"/>
      <c r="O461" s="148"/>
    </row>
    <row r="462" spans="1:15" x14ac:dyDescent="0.25">
      <c r="A462" s="112" t="s">
        <v>400</v>
      </c>
      <c r="B462" s="113" t="s">
        <v>50</v>
      </c>
      <c r="C462" s="113" t="s">
        <v>45</v>
      </c>
      <c r="D462" s="113">
        <v>12</v>
      </c>
      <c r="E462" s="4">
        <v>5</v>
      </c>
      <c r="F462" s="106" t="str">
        <f t="shared" si="76"/>
        <v>Alta</v>
      </c>
      <c r="G462" s="106" t="str">
        <f t="shared" si="77"/>
        <v>CEH</v>
      </c>
      <c r="H462" s="4">
        <f t="shared" si="78"/>
        <v>6</v>
      </c>
      <c r="I462" s="105" t="str">
        <f t="shared" si="79"/>
        <v>H</v>
      </c>
      <c r="J462" s="4" t="str">
        <f t="shared" si="80"/>
        <v>CEI</v>
      </c>
      <c r="K462" s="106">
        <f t="shared" si="81"/>
        <v>6</v>
      </c>
      <c r="L462" s="106">
        <f>IF(NOT(ISERROR(VLOOKUP(B462,Deflatores!G$42:H$64,2,FALSE))),VLOOKUP(B462,Deflatores!G$42:H$64,2,FALSE),IF(OR(ISBLANK(C462),ISBLANK(B462)),"",VLOOKUP(C462,Deflatores!G$4:H$38,2,FALSE)*H462+VLOOKUP(C462,Deflatores!G$4:I$38,3,FALSE)))</f>
        <v>6</v>
      </c>
      <c r="M462" s="106"/>
      <c r="N462" s="106"/>
      <c r="O462" s="106"/>
    </row>
    <row r="463" spans="1:15" x14ac:dyDescent="0.25">
      <c r="A463" s="112"/>
      <c r="B463" s="113"/>
      <c r="C463" s="113"/>
      <c r="D463" s="4"/>
      <c r="E463" s="4"/>
      <c r="F463" s="106" t="str">
        <f t="shared" si="76"/>
        <v/>
      </c>
      <c r="G463" s="106" t="str">
        <f t="shared" si="77"/>
        <v/>
      </c>
      <c r="H463" s="4" t="str">
        <f t="shared" si="78"/>
        <v/>
      </c>
      <c r="I463" s="105" t="str">
        <f t="shared" si="79"/>
        <v/>
      </c>
      <c r="J463" s="4" t="str">
        <f t="shared" si="80"/>
        <v/>
      </c>
      <c r="K463" s="106" t="str">
        <f t="shared" si="81"/>
        <v/>
      </c>
      <c r="L463" s="106" t="str">
        <f>IF(NOT(ISERROR(VLOOKUP(B463,Deflatores!G$42:H$64,2,FALSE))),VLOOKUP(B463,Deflatores!G$42:H$64,2,FALSE),IF(OR(ISBLANK(C463),ISBLANK(B463)),"",VLOOKUP(C463,Deflatores!G$4:H$38,2,FALSE)*H463+VLOOKUP(C463,Deflatores!G$4:I$38,3,FALSE)))</f>
        <v/>
      </c>
      <c r="M463" s="106"/>
      <c r="N463" s="106"/>
      <c r="O463" s="106"/>
    </row>
    <row r="464" spans="1:15" x14ac:dyDescent="0.25">
      <c r="A464" s="115" t="s">
        <v>401</v>
      </c>
      <c r="B464" s="113"/>
      <c r="C464" s="113"/>
      <c r="D464" s="113"/>
      <c r="E464" s="4"/>
      <c r="F464" s="106" t="str">
        <f t="shared" si="76"/>
        <v/>
      </c>
      <c r="G464" s="106" t="str">
        <f t="shared" si="77"/>
        <v/>
      </c>
      <c r="H464" s="4" t="str">
        <f t="shared" si="78"/>
        <v/>
      </c>
      <c r="I464" s="105" t="str">
        <f t="shared" si="79"/>
        <v/>
      </c>
      <c r="J464" s="4" t="str">
        <f t="shared" si="80"/>
        <v/>
      </c>
      <c r="K464" s="106" t="str">
        <f t="shared" si="81"/>
        <v/>
      </c>
      <c r="L464" s="106" t="str">
        <f>IF(NOT(ISERROR(VLOOKUP(B464,Deflatores!G$42:H$64,2,FALSE))),VLOOKUP(B464,Deflatores!G$42:H$64,2,FALSE),IF(OR(ISBLANK(C464),ISBLANK(B464)),"",VLOOKUP(C464,Deflatores!G$4:H$38,2,FALSE)*H464+VLOOKUP(C464,Deflatores!G$4:I$38,3,FALSE)))</f>
        <v/>
      </c>
      <c r="M464" s="106"/>
      <c r="N464" s="106"/>
      <c r="O464" s="148"/>
    </row>
    <row r="465" spans="1:15" x14ac:dyDescent="0.25">
      <c r="A465" s="112" t="s">
        <v>402</v>
      </c>
      <c r="B465" s="113" t="s">
        <v>48</v>
      </c>
      <c r="C465" s="113" t="s">
        <v>45</v>
      </c>
      <c r="D465" s="113">
        <v>19</v>
      </c>
      <c r="E465" s="4">
        <v>5</v>
      </c>
      <c r="F465" s="106" t="str">
        <f t="shared" si="76"/>
        <v>Alta</v>
      </c>
      <c r="G465" s="106" t="str">
        <f t="shared" si="77"/>
        <v>EEH</v>
      </c>
      <c r="H465" s="4">
        <f t="shared" si="78"/>
        <v>6</v>
      </c>
      <c r="I465" s="105" t="str">
        <f t="shared" si="79"/>
        <v>H</v>
      </c>
      <c r="J465" s="4" t="str">
        <f t="shared" si="80"/>
        <v>EEI</v>
      </c>
      <c r="K465" s="106">
        <f t="shared" si="81"/>
        <v>6</v>
      </c>
      <c r="L465" s="106">
        <f>IF(NOT(ISERROR(VLOOKUP(B465,Deflatores!G$42:H$64,2,FALSE))),VLOOKUP(B465,Deflatores!G$42:H$64,2,FALSE),IF(OR(ISBLANK(C465),ISBLANK(B465)),"",VLOOKUP(C465,Deflatores!G$4:H$38,2,FALSE)*H465+VLOOKUP(C465,Deflatores!G$4:I$38,3,FALSE)))</f>
        <v>6</v>
      </c>
      <c r="M465" s="106"/>
      <c r="N465" s="106"/>
      <c r="O465" s="106"/>
    </row>
    <row r="466" spans="1:15" x14ac:dyDescent="0.25">
      <c r="A466" s="112"/>
      <c r="B466" s="113"/>
      <c r="C466" s="113"/>
      <c r="D466" s="113"/>
      <c r="E466" s="113"/>
      <c r="F466" s="106" t="str">
        <f t="shared" si="76"/>
        <v/>
      </c>
      <c r="G466" s="106" t="str">
        <f t="shared" si="77"/>
        <v/>
      </c>
      <c r="H466" s="4" t="str">
        <f t="shared" si="78"/>
        <v/>
      </c>
      <c r="I466" s="105" t="str">
        <f t="shared" si="79"/>
        <v/>
      </c>
      <c r="J466" s="4" t="str">
        <f t="shared" si="80"/>
        <v/>
      </c>
      <c r="K466" s="106" t="str">
        <f t="shared" si="81"/>
        <v/>
      </c>
      <c r="L466" s="106" t="str">
        <f>IF(NOT(ISERROR(VLOOKUP(B466,Deflatores!G$42:H$64,2,FALSE))),VLOOKUP(B466,Deflatores!G$42:H$64,2,FALSE),IF(OR(ISBLANK(C466),ISBLANK(B466)),"",VLOOKUP(C466,Deflatores!G$4:H$38,2,FALSE)*H466+VLOOKUP(C466,Deflatores!G$4:I$38,3,FALSE)))</f>
        <v/>
      </c>
      <c r="M466" s="106"/>
      <c r="N466" s="106"/>
      <c r="O466" s="106"/>
    </row>
    <row r="467" spans="1:15" x14ac:dyDescent="0.25">
      <c r="A467" s="115" t="s">
        <v>403</v>
      </c>
      <c r="B467" s="113"/>
      <c r="C467" s="113"/>
      <c r="D467" s="113"/>
      <c r="E467" s="113"/>
      <c r="F467" s="106" t="str">
        <f t="shared" si="76"/>
        <v/>
      </c>
      <c r="G467" s="106" t="str">
        <f t="shared" si="77"/>
        <v/>
      </c>
      <c r="H467" s="4" t="str">
        <f t="shared" si="78"/>
        <v/>
      </c>
      <c r="I467" s="105" t="str">
        <f t="shared" si="79"/>
        <v/>
      </c>
      <c r="J467" s="4" t="str">
        <f t="shared" si="80"/>
        <v/>
      </c>
      <c r="K467" s="106" t="str">
        <f t="shared" si="81"/>
        <v/>
      </c>
      <c r="L467" s="106" t="str">
        <f>IF(NOT(ISERROR(VLOOKUP(B467,Deflatores!G$42:H$64,2,FALSE))),VLOOKUP(B467,Deflatores!G$42:H$64,2,FALSE),IF(OR(ISBLANK(C467),ISBLANK(B467)),"",VLOOKUP(C467,Deflatores!G$4:H$38,2,FALSE)*H467+VLOOKUP(C467,Deflatores!G$4:I$38,3,FALSE)))</f>
        <v/>
      </c>
      <c r="M467" s="106"/>
      <c r="N467" s="106"/>
      <c r="O467" s="148"/>
    </row>
    <row r="468" spans="1:15" x14ac:dyDescent="0.25">
      <c r="A468" s="112" t="s">
        <v>404</v>
      </c>
      <c r="B468" s="113" t="s">
        <v>113</v>
      </c>
      <c r="C468" s="113" t="s">
        <v>45</v>
      </c>
      <c r="D468" s="113">
        <v>51</v>
      </c>
      <c r="E468" s="4">
        <v>5</v>
      </c>
      <c r="F468" s="106" t="str">
        <f t="shared" si="76"/>
        <v>Alta</v>
      </c>
      <c r="G468" s="106" t="str">
        <f t="shared" si="77"/>
        <v>SEH</v>
      </c>
      <c r="H468" s="4">
        <f t="shared" si="78"/>
        <v>7</v>
      </c>
      <c r="I468" s="105" t="str">
        <f t="shared" si="79"/>
        <v>H</v>
      </c>
      <c r="J468" s="4" t="str">
        <f t="shared" si="80"/>
        <v>SEI</v>
      </c>
      <c r="K468" s="106">
        <f t="shared" si="81"/>
        <v>7</v>
      </c>
      <c r="L468" s="106">
        <f>IF(NOT(ISERROR(VLOOKUP(B468,Deflatores!G$42:H$64,2,FALSE))),VLOOKUP(B468,Deflatores!G$42:H$64,2,FALSE),IF(OR(ISBLANK(C468),ISBLANK(B468)),"",VLOOKUP(C468,Deflatores!G$4:H$38,2,FALSE)*H468+VLOOKUP(C468,Deflatores!G$4:I$38,3,FALSE)))</f>
        <v>7</v>
      </c>
      <c r="M468" s="106"/>
      <c r="N468" s="106"/>
      <c r="O468" s="106"/>
    </row>
    <row r="469" spans="1:15" x14ac:dyDescent="0.25">
      <c r="A469" s="112"/>
      <c r="B469" s="113"/>
      <c r="C469" s="113"/>
      <c r="D469" s="4"/>
      <c r="E469" s="4"/>
      <c r="F469" s="106" t="str">
        <f t="shared" si="76"/>
        <v/>
      </c>
      <c r="G469" s="106" t="str">
        <f t="shared" si="77"/>
        <v/>
      </c>
      <c r="H469" s="4" t="str">
        <f t="shared" si="78"/>
        <v/>
      </c>
      <c r="I469" s="105" t="str">
        <f t="shared" si="79"/>
        <v/>
      </c>
      <c r="J469" s="4" t="str">
        <f t="shared" si="80"/>
        <v/>
      </c>
      <c r="K469" s="106" t="str">
        <f t="shared" si="81"/>
        <v/>
      </c>
      <c r="L469" s="106" t="str">
        <f>IF(NOT(ISERROR(VLOOKUP(B469,Deflatores!G$42:H$64,2,FALSE))),VLOOKUP(B469,Deflatores!G$42:H$64,2,FALSE),IF(OR(ISBLANK(C469),ISBLANK(B469)),"",VLOOKUP(C469,Deflatores!G$4:H$38,2,FALSE)*H469+VLOOKUP(C469,Deflatores!G$4:I$38,3,FALSE)))</f>
        <v/>
      </c>
      <c r="M469" s="106"/>
      <c r="N469" s="106"/>
      <c r="O469" s="106"/>
    </row>
    <row r="470" spans="1:15" x14ac:dyDescent="0.25">
      <c r="A470" s="115" t="s">
        <v>405</v>
      </c>
      <c r="B470" s="113"/>
      <c r="C470" s="113"/>
      <c r="D470" s="113"/>
      <c r="E470" s="4"/>
      <c r="F470" s="106" t="str">
        <f t="shared" si="76"/>
        <v/>
      </c>
      <c r="G470" s="106" t="str">
        <f t="shared" si="77"/>
        <v/>
      </c>
      <c r="H470" s="4" t="str">
        <f t="shared" si="78"/>
        <v/>
      </c>
      <c r="I470" s="105" t="str">
        <f t="shared" si="79"/>
        <v/>
      </c>
      <c r="J470" s="4" t="str">
        <f t="shared" si="80"/>
        <v/>
      </c>
      <c r="K470" s="106" t="str">
        <f t="shared" si="81"/>
        <v/>
      </c>
      <c r="L470" s="106" t="str">
        <f>IF(NOT(ISERROR(VLOOKUP(B470,Deflatores!G$42:H$64,2,FALSE))),VLOOKUP(B470,Deflatores!G$42:H$64,2,FALSE),IF(OR(ISBLANK(C470),ISBLANK(B470)),"",VLOOKUP(C470,Deflatores!G$4:H$38,2,FALSE)*H470+VLOOKUP(C470,Deflatores!G$4:I$38,3,FALSE)))</f>
        <v/>
      </c>
      <c r="M470" s="106"/>
      <c r="N470" s="106"/>
      <c r="O470" s="106"/>
    </row>
    <row r="471" spans="1:15" x14ac:dyDescent="0.25">
      <c r="A471" s="112" t="s">
        <v>406</v>
      </c>
      <c r="B471" s="113" t="s">
        <v>48</v>
      </c>
      <c r="C471" s="113" t="s">
        <v>45</v>
      </c>
      <c r="D471" s="113">
        <v>11</v>
      </c>
      <c r="E471" s="4">
        <v>2</v>
      </c>
      <c r="F471" s="106" t="str">
        <f t="shared" si="76"/>
        <v>Média</v>
      </c>
      <c r="G471" s="106" t="str">
        <f t="shared" si="77"/>
        <v>EEA</v>
      </c>
      <c r="H471" s="4">
        <f t="shared" si="78"/>
        <v>4</v>
      </c>
      <c r="I471" s="105" t="str">
        <f t="shared" si="79"/>
        <v>A</v>
      </c>
      <c r="J471" s="4" t="str">
        <f t="shared" si="80"/>
        <v>EEI</v>
      </c>
      <c r="K471" s="106">
        <f t="shared" si="81"/>
        <v>4</v>
      </c>
      <c r="L471" s="106">
        <f>IF(NOT(ISERROR(VLOOKUP(B471,Deflatores!G$42:H$64,2,FALSE))),VLOOKUP(B471,Deflatores!G$42:H$64,2,FALSE),IF(OR(ISBLANK(C471),ISBLANK(B471)),"",VLOOKUP(C471,Deflatores!G$4:H$38,2,FALSE)*H471+VLOOKUP(C471,Deflatores!G$4:I$38,3,FALSE)))</f>
        <v>4</v>
      </c>
      <c r="M471" s="106"/>
      <c r="N471" s="106"/>
      <c r="O471" s="106"/>
    </row>
    <row r="472" spans="1:15" x14ac:dyDescent="0.25">
      <c r="A472" s="112"/>
      <c r="B472" s="113"/>
      <c r="C472" s="113"/>
      <c r="D472" s="4"/>
      <c r="E472" s="4"/>
      <c r="F472" s="106" t="str">
        <f t="shared" si="76"/>
        <v/>
      </c>
      <c r="G472" s="106" t="str">
        <f t="shared" si="77"/>
        <v/>
      </c>
      <c r="H472" s="4" t="str">
        <f t="shared" si="78"/>
        <v/>
      </c>
      <c r="I472" s="105" t="str">
        <f t="shared" si="79"/>
        <v/>
      </c>
      <c r="J472" s="4" t="str">
        <f t="shared" si="80"/>
        <v/>
      </c>
      <c r="K472" s="106" t="str">
        <f t="shared" si="81"/>
        <v/>
      </c>
      <c r="L472" s="106" t="str">
        <f>IF(NOT(ISERROR(VLOOKUP(B472,Deflatores!G$42:H$64,2,FALSE))),VLOOKUP(B472,Deflatores!G$42:H$64,2,FALSE),IF(OR(ISBLANK(C472),ISBLANK(B472)),"",VLOOKUP(C472,Deflatores!G$4:H$38,2,FALSE)*H472+VLOOKUP(C472,Deflatores!G$4:I$38,3,FALSE)))</f>
        <v/>
      </c>
      <c r="M472" s="106"/>
      <c r="N472" s="106"/>
      <c r="O472" s="106"/>
    </row>
    <row r="473" spans="1:15" x14ac:dyDescent="0.25">
      <c r="A473" s="115" t="s">
        <v>407</v>
      </c>
      <c r="B473" s="113"/>
      <c r="C473" s="113"/>
      <c r="D473" s="4"/>
      <c r="E473" s="4"/>
      <c r="F473" s="106" t="str">
        <f t="shared" si="76"/>
        <v/>
      </c>
      <c r="G473" s="106" t="str">
        <f t="shared" si="77"/>
        <v/>
      </c>
      <c r="H473" s="4" t="str">
        <f t="shared" si="78"/>
        <v/>
      </c>
      <c r="I473" s="105" t="str">
        <f t="shared" si="79"/>
        <v/>
      </c>
      <c r="J473" s="4" t="str">
        <f t="shared" si="80"/>
        <v/>
      </c>
      <c r="K473" s="106" t="str">
        <f t="shared" si="81"/>
        <v/>
      </c>
      <c r="L473" s="106" t="str">
        <f>IF(NOT(ISERROR(VLOOKUP(B473,Deflatores!G$42:H$64,2,FALSE))),VLOOKUP(B473,Deflatores!G$42:H$64,2,FALSE),IF(OR(ISBLANK(C473),ISBLANK(B473)),"",VLOOKUP(C473,Deflatores!G$4:H$38,2,FALSE)*H473+VLOOKUP(C473,Deflatores!G$4:I$38,3,FALSE)))</f>
        <v/>
      </c>
      <c r="M473" s="106"/>
      <c r="N473" s="106"/>
      <c r="O473" s="106"/>
    </row>
    <row r="474" spans="1:15" x14ac:dyDescent="0.25">
      <c r="A474" s="112" t="s">
        <v>408</v>
      </c>
      <c r="B474" s="113" t="s">
        <v>48</v>
      </c>
      <c r="C474" s="113" t="s">
        <v>45</v>
      </c>
      <c r="D474" s="113">
        <v>7</v>
      </c>
      <c r="E474" s="4">
        <v>1</v>
      </c>
      <c r="F474" s="106" t="str">
        <f t="shared" si="76"/>
        <v>Baixa</v>
      </c>
      <c r="G474" s="106" t="str">
        <f t="shared" si="77"/>
        <v>EEL</v>
      </c>
      <c r="H474" s="4">
        <f t="shared" si="78"/>
        <v>3</v>
      </c>
      <c r="I474" s="105" t="str">
        <f t="shared" si="79"/>
        <v>L</v>
      </c>
      <c r="J474" s="4" t="str">
        <f t="shared" si="80"/>
        <v>EEI</v>
      </c>
      <c r="K474" s="106">
        <f t="shared" si="81"/>
        <v>3</v>
      </c>
      <c r="L474" s="106">
        <f>IF(NOT(ISERROR(VLOOKUP(B474,Deflatores!G$42:H$64,2,FALSE))),VLOOKUP(B474,Deflatores!G$42:H$64,2,FALSE),IF(OR(ISBLANK(C474),ISBLANK(B474)),"",VLOOKUP(C474,Deflatores!G$4:H$38,2,FALSE)*H474+VLOOKUP(C474,Deflatores!G$4:I$38,3,FALSE)))</f>
        <v>3</v>
      </c>
      <c r="M474" s="106"/>
      <c r="N474" s="106"/>
      <c r="O474" s="106"/>
    </row>
    <row r="475" spans="1:15" x14ac:dyDescent="0.25">
      <c r="A475" s="112"/>
      <c r="B475" s="113"/>
      <c r="C475" s="113"/>
      <c r="D475" s="4"/>
      <c r="E475" s="4"/>
      <c r="F475" s="106" t="str">
        <f t="shared" si="76"/>
        <v/>
      </c>
      <c r="G475" s="106" t="str">
        <f t="shared" si="77"/>
        <v/>
      </c>
      <c r="H475" s="4" t="str">
        <f t="shared" si="78"/>
        <v/>
      </c>
      <c r="I475" s="105" t="str">
        <f t="shared" si="79"/>
        <v/>
      </c>
      <c r="J475" s="4" t="str">
        <f t="shared" si="80"/>
        <v/>
      </c>
      <c r="K475" s="106" t="str">
        <f t="shared" si="81"/>
        <v/>
      </c>
      <c r="L475" s="106" t="str">
        <f>IF(NOT(ISERROR(VLOOKUP(B475,Deflatores!G$42:H$64,2,FALSE))),VLOOKUP(B475,Deflatores!G$42:H$64,2,FALSE),IF(OR(ISBLANK(C475),ISBLANK(B475)),"",VLOOKUP(C475,Deflatores!G$4:H$38,2,FALSE)*H475+VLOOKUP(C475,Deflatores!G$4:I$38,3,FALSE)))</f>
        <v/>
      </c>
      <c r="M475" s="106"/>
      <c r="N475" s="106"/>
      <c r="O475" s="106"/>
    </row>
    <row r="476" spans="1:15" x14ac:dyDescent="0.25">
      <c r="A476" s="115" t="s">
        <v>409</v>
      </c>
      <c r="B476" s="113"/>
      <c r="C476" s="113"/>
      <c r="D476" s="4"/>
      <c r="E476" s="4"/>
      <c r="F476" s="106" t="str">
        <f t="shared" si="76"/>
        <v/>
      </c>
      <c r="G476" s="106" t="str">
        <f t="shared" si="77"/>
        <v/>
      </c>
      <c r="H476" s="4" t="str">
        <f t="shared" si="78"/>
        <v/>
      </c>
      <c r="I476" s="105" t="str">
        <f t="shared" si="79"/>
        <v/>
      </c>
      <c r="J476" s="4" t="str">
        <f t="shared" si="80"/>
        <v/>
      </c>
      <c r="K476" s="106" t="str">
        <f t="shared" si="81"/>
        <v/>
      </c>
      <c r="L476" s="106" t="str">
        <f>IF(NOT(ISERROR(VLOOKUP(B476,Deflatores!G$42:H$64,2,FALSE))),VLOOKUP(B476,Deflatores!G$42:H$64,2,FALSE),IF(OR(ISBLANK(C476),ISBLANK(B476)),"",VLOOKUP(C476,Deflatores!G$4:H$38,2,FALSE)*H476+VLOOKUP(C476,Deflatores!G$4:I$38,3,FALSE)))</f>
        <v/>
      </c>
      <c r="M476" s="106"/>
      <c r="N476" s="106"/>
      <c r="O476" s="106"/>
    </row>
    <row r="477" spans="1:15" x14ac:dyDescent="0.25">
      <c r="A477" s="112" t="s">
        <v>410</v>
      </c>
      <c r="B477" s="113" t="s">
        <v>44</v>
      </c>
      <c r="C477" s="113" t="s">
        <v>45</v>
      </c>
      <c r="D477" s="4">
        <v>13</v>
      </c>
      <c r="E477" s="4">
        <v>1</v>
      </c>
      <c r="F477" s="106" t="str">
        <f t="shared" si="76"/>
        <v>Baixa</v>
      </c>
      <c r="G477" s="106" t="str">
        <f t="shared" si="77"/>
        <v>ALIL</v>
      </c>
      <c r="H477" s="4">
        <f t="shared" si="78"/>
        <v>7</v>
      </c>
      <c r="I477" s="105" t="str">
        <f t="shared" si="79"/>
        <v>L</v>
      </c>
      <c r="J477" s="4" t="str">
        <f t="shared" si="80"/>
        <v>ALII</v>
      </c>
      <c r="K477" s="106">
        <f t="shared" si="81"/>
        <v>7</v>
      </c>
      <c r="L477" s="106">
        <f>IF(NOT(ISERROR(VLOOKUP(B477,Deflatores!G$42:H$64,2,FALSE))),VLOOKUP(B477,Deflatores!G$42:H$64,2,FALSE),IF(OR(ISBLANK(C477),ISBLANK(B477)),"",VLOOKUP(C477,Deflatores!G$4:H$38,2,FALSE)*H477+VLOOKUP(C477,Deflatores!G$4:I$38,3,FALSE)))</f>
        <v>7</v>
      </c>
      <c r="M477" s="106"/>
      <c r="N477" s="106"/>
      <c r="O477" s="106"/>
    </row>
    <row r="478" spans="1:15" x14ac:dyDescent="0.25">
      <c r="A478" s="112" t="s">
        <v>411</v>
      </c>
      <c r="B478" s="113" t="s">
        <v>67</v>
      </c>
      <c r="C478" s="113" t="s">
        <v>45</v>
      </c>
      <c r="D478" s="4">
        <v>4</v>
      </c>
      <c r="E478" s="4">
        <v>1</v>
      </c>
      <c r="F478" s="106" t="str">
        <f t="shared" si="76"/>
        <v>Baixa</v>
      </c>
      <c r="G478" s="106" t="str">
        <f t="shared" si="77"/>
        <v>AIEL</v>
      </c>
      <c r="H478" s="4">
        <f t="shared" si="78"/>
        <v>5</v>
      </c>
      <c r="I478" s="105" t="str">
        <f t="shared" si="79"/>
        <v>L</v>
      </c>
      <c r="J478" s="4" t="str">
        <f t="shared" si="80"/>
        <v>AIEI</v>
      </c>
      <c r="K478" s="106">
        <f t="shared" si="81"/>
        <v>5</v>
      </c>
      <c r="L478" s="106">
        <f>IF(NOT(ISERROR(VLOOKUP(B478,Deflatores!G$42:H$64,2,FALSE))),VLOOKUP(B478,Deflatores!G$42:H$64,2,FALSE),IF(OR(ISBLANK(C478),ISBLANK(B478)),"",VLOOKUP(C478,Deflatores!G$4:H$38,2,FALSE)*H478+VLOOKUP(C478,Deflatores!G$4:I$38,3,FALSE)))</f>
        <v>5</v>
      </c>
      <c r="M478" s="106"/>
      <c r="N478" s="106"/>
      <c r="O478" s="106"/>
    </row>
    <row r="479" spans="1:15" x14ac:dyDescent="0.25">
      <c r="A479" s="112" t="s">
        <v>412</v>
      </c>
      <c r="B479" s="113" t="s">
        <v>48</v>
      </c>
      <c r="C479" s="113" t="s">
        <v>45</v>
      </c>
      <c r="D479" s="4">
        <v>16</v>
      </c>
      <c r="E479" s="4">
        <v>4</v>
      </c>
      <c r="F479" s="106" t="str">
        <f t="shared" si="76"/>
        <v>Alta</v>
      </c>
      <c r="G479" s="106" t="str">
        <f t="shared" si="77"/>
        <v>EEH</v>
      </c>
      <c r="H479" s="4">
        <f t="shared" si="78"/>
        <v>6</v>
      </c>
      <c r="I479" s="105" t="str">
        <f t="shared" si="79"/>
        <v>H</v>
      </c>
      <c r="J479" s="4" t="str">
        <f t="shared" si="80"/>
        <v>EEI</v>
      </c>
      <c r="K479" s="106">
        <f t="shared" si="81"/>
        <v>6</v>
      </c>
      <c r="L479" s="106">
        <f>IF(NOT(ISERROR(VLOOKUP(B479,Deflatores!G$42:H$64,2,FALSE))),VLOOKUP(B479,Deflatores!G$42:H$64,2,FALSE),IF(OR(ISBLANK(C479),ISBLANK(B479)),"",VLOOKUP(C479,Deflatores!G$4:H$38,2,FALSE)*H479+VLOOKUP(C479,Deflatores!G$4:I$38,3,FALSE)))</f>
        <v>6</v>
      </c>
      <c r="M479" s="106"/>
      <c r="N479" s="106"/>
      <c r="O479" s="106"/>
    </row>
    <row r="480" spans="1:15" x14ac:dyDescent="0.25">
      <c r="A480" s="114" t="s">
        <v>413</v>
      </c>
      <c r="B480" s="113" t="s">
        <v>50</v>
      </c>
      <c r="C480" s="113" t="s">
        <v>45</v>
      </c>
      <c r="D480" s="4">
        <v>6</v>
      </c>
      <c r="E480" s="4">
        <v>1</v>
      </c>
      <c r="F480" s="106" t="str">
        <f t="shared" si="76"/>
        <v>Baixa</v>
      </c>
      <c r="G480" s="106" t="str">
        <f t="shared" si="77"/>
        <v>CEL</v>
      </c>
      <c r="H480" s="4">
        <f t="shared" si="78"/>
        <v>3</v>
      </c>
      <c r="I480" s="105" t="str">
        <f t="shared" si="79"/>
        <v>L</v>
      </c>
      <c r="J480" s="4" t="str">
        <f t="shared" si="80"/>
        <v>CEI</v>
      </c>
      <c r="K480" s="106">
        <f t="shared" si="81"/>
        <v>3</v>
      </c>
      <c r="L480" s="106">
        <f>IF(NOT(ISERROR(VLOOKUP(B480,Deflatores!G$42:H$64,2,FALSE))),VLOOKUP(B480,Deflatores!G$42:H$64,2,FALSE),IF(OR(ISBLANK(C480),ISBLANK(B480)),"",VLOOKUP(C480,Deflatores!G$4:H$38,2,FALSE)*H480+VLOOKUP(C480,Deflatores!G$4:I$38,3,FALSE)))</f>
        <v>3</v>
      </c>
      <c r="M480" s="106"/>
      <c r="N480" s="106"/>
      <c r="O480" s="106"/>
    </row>
    <row r="481" spans="1:15" x14ac:dyDescent="0.25">
      <c r="A481" s="112"/>
      <c r="B481" s="113"/>
      <c r="C481" s="113"/>
      <c r="D481" s="4"/>
      <c r="E481" s="4"/>
      <c r="F481" s="106" t="str">
        <f t="shared" si="76"/>
        <v/>
      </c>
      <c r="G481" s="106" t="str">
        <f t="shared" si="77"/>
        <v/>
      </c>
      <c r="H481" s="4" t="str">
        <f t="shared" si="78"/>
        <v/>
      </c>
      <c r="I481" s="105" t="str">
        <f t="shared" si="79"/>
        <v/>
      </c>
      <c r="J481" s="4" t="str">
        <f t="shared" si="80"/>
        <v/>
      </c>
      <c r="K481" s="106" t="str">
        <f t="shared" si="81"/>
        <v/>
      </c>
      <c r="L481" s="106" t="str">
        <f>IF(NOT(ISERROR(VLOOKUP(B481,Deflatores!G$42:H$64,2,FALSE))),VLOOKUP(B481,Deflatores!G$42:H$64,2,FALSE),IF(OR(ISBLANK(C481),ISBLANK(B481)),"",VLOOKUP(C481,Deflatores!G$4:H$38,2,FALSE)*H481+VLOOKUP(C481,Deflatores!G$4:I$38,3,FALSE)))</f>
        <v/>
      </c>
      <c r="M481" s="106"/>
      <c r="N481" s="106"/>
      <c r="O481" s="106"/>
    </row>
    <row r="482" spans="1:15" x14ac:dyDescent="0.25">
      <c r="A482" s="115" t="s">
        <v>414</v>
      </c>
      <c r="B482" s="113"/>
      <c r="C482" s="113"/>
      <c r="D482" s="4"/>
      <c r="E482" s="4"/>
      <c r="F482" s="106" t="str">
        <f t="shared" si="76"/>
        <v/>
      </c>
      <c r="G482" s="106" t="str">
        <f t="shared" si="77"/>
        <v/>
      </c>
      <c r="H482" s="4" t="str">
        <f t="shared" si="78"/>
        <v/>
      </c>
      <c r="I482" s="105" t="str">
        <f t="shared" si="79"/>
        <v/>
      </c>
      <c r="J482" s="4" t="str">
        <f t="shared" si="80"/>
        <v/>
      </c>
      <c r="K482" s="106" t="str">
        <f t="shared" si="81"/>
        <v/>
      </c>
      <c r="L482" s="106" t="str">
        <f>IF(NOT(ISERROR(VLOOKUP(B482,Deflatores!G$42:H$64,2,FALSE))),VLOOKUP(B482,Deflatores!G$42:H$64,2,FALSE),IF(OR(ISBLANK(C482),ISBLANK(B482)),"",VLOOKUP(C482,Deflatores!G$4:H$38,2,FALSE)*H482+VLOOKUP(C482,Deflatores!G$4:I$38,3,FALSE)))</f>
        <v/>
      </c>
      <c r="M482" s="106"/>
      <c r="N482" s="106"/>
      <c r="O482" s="106"/>
    </row>
    <row r="483" spans="1:15" x14ac:dyDescent="0.25">
      <c r="A483" s="112" t="s">
        <v>415</v>
      </c>
      <c r="B483" s="113" t="s">
        <v>50</v>
      </c>
      <c r="C483" s="113" t="s">
        <v>45</v>
      </c>
      <c r="D483" s="4">
        <v>11</v>
      </c>
      <c r="E483" s="4">
        <v>3</v>
      </c>
      <c r="F483" s="106" t="str">
        <f t="shared" si="76"/>
        <v>Média</v>
      </c>
      <c r="G483" s="106" t="str">
        <f t="shared" si="77"/>
        <v>CEA</v>
      </c>
      <c r="H483" s="4">
        <f t="shared" si="78"/>
        <v>4</v>
      </c>
      <c r="I483" s="105" t="str">
        <f t="shared" si="79"/>
        <v>A</v>
      </c>
      <c r="J483" s="4" t="str">
        <f t="shared" si="80"/>
        <v>CEI</v>
      </c>
      <c r="K483" s="106">
        <f t="shared" si="81"/>
        <v>4</v>
      </c>
      <c r="L483" s="106">
        <f>IF(NOT(ISERROR(VLOOKUP(B483,Deflatores!G$42:H$64,2,FALSE))),VLOOKUP(B483,Deflatores!G$42:H$64,2,FALSE),IF(OR(ISBLANK(C483),ISBLANK(B483)),"",VLOOKUP(C483,Deflatores!G$4:H$38,2,FALSE)*H483+VLOOKUP(C483,Deflatores!G$4:I$38,3,FALSE)))</f>
        <v>4</v>
      </c>
      <c r="M483" s="106"/>
      <c r="N483" s="106"/>
      <c r="O483" s="106"/>
    </row>
    <row r="484" spans="1:15" x14ac:dyDescent="0.25">
      <c r="A484" s="112"/>
      <c r="B484" s="113"/>
      <c r="C484" s="113"/>
      <c r="D484" s="4"/>
      <c r="E484" s="4"/>
      <c r="F484" s="106" t="str">
        <f t="shared" si="76"/>
        <v/>
      </c>
      <c r="G484" s="106" t="str">
        <f t="shared" si="77"/>
        <v/>
      </c>
      <c r="H484" s="4" t="str">
        <f t="shared" si="78"/>
        <v/>
      </c>
      <c r="I484" s="105" t="str">
        <f t="shared" si="79"/>
        <v/>
      </c>
      <c r="J484" s="4" t="str">
        <f t="shared" si="80"/>
        <v/>
      </c>
      <c r="K484" s="106" t="str">
        <f t="shared" si="81"/>
        <v/>
      </c>
      <c r="L484" s="106" t="str">
        <f>IF(NOT(ISERROR(VLOOKUP(B484,Deflatores!G$42:H$64,2,FALSE))),VLOOKUP(B484,Deflatores!G$42:H$64,2,FALSE),IF(OR(ISBLANK(C484),ISBLANK(B484)),"",VLOOKUP(C484,Deflatores!G$4:H$38,2,FALSE)*H484+VLOOKUP(C484,Deflatores!G$4:I$38,3,FALSE)))</f>
        <v/>
      </c>
      <c r="M484" s="106"/>
      <c r="N484" s="106"/>
      <c r="O484" s="106"/>
    </row>
    <row r="485" spans="1:15" x14ac:dyDescent="0.25">
      <c r="A485" s="115" t="s">
        <v>416</v>
      </c>
      <c r="B485" s="113"/>
      <c r="C485" s="113"/>
      <c r="D485" s="4"/>
      <c r="E485" s="4"/>
      <c r="F485" s="106" t="str">
        <f t="shared" si="76"/>
        <v/>
      </c>
      <c r="G485" s="106" t="str">
        <f t="shared" si="77"/>
        <v/>
      </c>
      <c r="H485" s="4" t="str">
        <f t="shared" si="78"/>
        <v/>
      </c>
      <c r="I485" s="105" t="str">
        <f t="shared" si="79"/>
        <v/>
      </c>
      <c r="J485" s="4" t="str">
        <f t="shared" si="80"/>
        <v/>
      </c>
      <c r="K485" s="106" t="str">
        <f t="shared" si="81"/>
        <v/>
      </c>
      <c r="L485" s="106" t="str">
        <f>IF(NOT(ISERROR(VLOOKUP(B485,Deflatores!G$42:H$64,2,FALSE))),VLOOKUP(B485,Deflatores!G$42:H$64,2,FALSE),IF(OR(ISBLANK(C485),ISBLANK(B485)),"",VLOOKUP(C485,Deflatores!G$4:H$38,2,FALSE)*H485+VLOOKUP(C485,Deflatores!G$4:I$38,3,FALSE)))</f>
        <v/>
      </c>
      <c r="M485" s="106"/>
      <c r="N485" s="106"/>
      <c r="O485" s="106"/>
    </row>
    <row r="486" spans="1:15" x14ac:dyDescent="0.25">
      <c r="A486" s="112" t="s">
        <v>417</v>
      </c>
      <c r="B486" s="113" t="s">
        <v>48</v>
      </c>
      <c r="C486" s="113" t="s">
        <v>45</v>
      </c>
      <c r="D486" s="4">
        <v>4</v>
      </c>
      <c r="E486" s="4">
        <v>1</v>
      </c>
      <c r="F486" s="106" t="str">
        <f t="shared" si="76"/>
        <v>Baixa</v>
      </c>
      <c r="G486" s="106" t="str">
        <f t="shared" si="77"/>
        <v>EEL</v>
      </c>
      <c r="H486" s="4">
        <f t="shared" si="78"/>
        <v>3</v>
      </c>
      <c r="I486" s="105" t="str">
        <f t="shared" si="79"/>
        <v>L</v>
      </c>
      <c r="J486" s="4" t="str">
        <f t="shared" si="80"/>
        <v>EEI</v>
      </c>
      <c r="K486" s="106">
        <f t="shared" si="81"/>
        <v>3</v>
      </c>
      <c r="L486" s="106">
        <f>IF(NOT(ISERROR(VLOOKUP(B486,Deflatores!G$42:H$64,2,FALSE))),VLOOKUP(B486,Deflatores!G$42:H$64,2,FALSE),IF(OR(ISBLANK(C486),ISBLANK(B486)),"",VLOOKUP(C486,Deflatores!G$4:H$38,2,FALSE)*H486+VLOOKUP(C486,Deflatores!G$4:I$38,3,FALSE)))</f>
        <v>3</v>
      </c>
      <c r="M486" s="106"/>
      <c r="N486" s="106"/>
      <c r="O486" s="106"/>
    </row>
    <row r="487" spans="1:15" x14ac:dyDescent="0.25">
      <c r="A487" s="112"/>
      <c r="B487" s="113"/>
      <c r="C487" s="113"/>
      <c r="D487" s="4"/>
      <c r="E487" s="4"/>
      <c r="F487" s="106" t="str">
        <f t="shared" si="76"/>
        <v/>
      </c>
      <c r="G487" s="106" t="str">
        <f t="shared" si="77"/>
        <v/>
      </c>
      <c r="H487" s="4" t="str">
        <f t="shared" si="78"/>
        <v/>
      </c>
      <c r="I487" s="105" t="str">
        <f t="shared" si="79"/>
        <v/>
      </c>
      <c r="J487" s="4" t="str">
        <f t="shared" si="80"/>
        <v/>
      </c>
      <c r="K487" s="106" t="str">
        <f t="shared" si="81"/>
        <v/>
      </c>
      <c r="L487" s="106" t="str">
        <f>IF(NOT(ISERROR(VLOOKUP(B487,Deflatores!G$42:H$64,2,FALSE))),VLOOKUP(B487,Deflatores!G$42:H$64,2,FALSE),IF(OR(ISBLANK(C487),ISBLANK(B487)),"",VLOOKUP(C487,Deflatores!G$4:H$38,2,FALSE)*H487+VLOOKUP(C487,Deflatores!G$4:I$38,3,FALSE)))</f>
        <v/>
      </c>
      <c r="M487" s="106"/>
      <c r="N487" s="106"/>
      <c r="O487" s="106"/>
    </row>
    <row r="488" spans="1:15" x14ac:dyDescent="0.25">
      <c r="A488" s="115" t="s">
        <v>418</v>
      </c>
      <c r="B488" s="113"/>
      <c r="C488" s="113"/>
      <c r="D488" s="4"/>
      <c r="E488" s="4"/>
      <c r="F488" s="106" t="str">
        <f t="shared" si="76"/>
        <v/>
      </c>
      <c r="G488" s="106" t="str">
        <f t="shared" si="77"/>
        <v/>
      </c>
      <c r="H488" s="4" t="str">
        <f t="shared" si="78"/>
        <v/>
      </c>
      <c r="I488" s="105" t="str">
        <f t="shared" si="79"/>
        <v/>
      </c>
      <c r="J488" s="4" t="str">
        <f t="shared" si="80"/>
        <v/>
      </c>
      <c r="K488" s="106" t="str">
        <f t="shared" si="81"/>
        <v/>
      </c>
      <c r="L488" s="106" t="str">
        <f>IF(NOT(ISERROR(VLOOKUP(B488,Deflatores!G$42:H$64,2,FALSE))),VLOOKUP(B488,Deflatores!G$42:H$64,2,FALSE),IF(OR(ISBLANK(C488),ISBLANK(B488)),"",VLOOKUP(C488,Deflatores!G$4:H$38,2,FALSE)*H488+VLOOKUP(C488,Deflatores!G$4:I$38,3,FALSE)))</f>
        <v/>
      </c>
      <c r="M488" s="106"/>
      <c r="N488" s="106"/>
      <c r="O488" s="106"/>
    </row>
    <row r="489" spans="1:15" x14ac:dyDescent="0.25">
      <c r="A489" s="112" t="s">
        <v>419</v>
      </c>
      <c r="B489" s="113" t="s">
        <v>48</v>
      </c>
      <c r="C489" s="113" t="s">
        <v>45</v>
      </c>
      <c r="D489" s="4">
        <v>16</v>
      </c>
      <c r="E489" s="4">
        <v>4</v>
      </c>
      <c r="F489" s="106" t="str">
        <f t="shared" si="76"/>
        <v>Alta</v>
      </c>
      <c r="G489" s="106" t="str">
        <f t="shared" si="77"/>
        <v>EEH</v>
      </c>
      <c r="H489" s="4">
        <f t="shared" si="78"/>
        <v>6</v>
      </c>
      <c r="I489" s="105" t="str">
        <f t="shared" si="79"/>
        <v>H</v>
      </c>
      <c r="J489" s="4" t="str">
        <f t="shared" si="80"/>
        <v>EEI</v>
      </c>
      <c r="K489" s="106">
        <f t="shared" si="81"/>
        <v>6</v>
      </c>
      <c r="L489" s="106">
        <f>IF(NOT(ISERROR(VLOOKUP(B489,Deflatores!G$42:H$64,2,FALSE))),VLOOKUP(B489,Deflatores!G$42:H$64,2,FALSE),IF(OR(ISBLANK(C489),ISBLANK(B489)),"",VLOOKUP(C489,Deflatores!G$4:H$38,2,FALSE)*H489+VLOOKUP(C489,Deflatores!G$4:I$38,3,FALSE)))</f>
        <v>6</v>
      </c>
      <c r="M489" s="106"/>
      <c r="N489" s="106"/>
      <c r="O489" s="106"/>
    </row>
    <row r="490" spans="1:15" x14ac:dyDescent="0.25">
      <c r="A490" s="114" t="s">
        <v>420</v>
      </c>
      <c r="B490" s="113" t="s">
        <v>50</v>
      </c>
      <c r="C490" s="113" t="s">
        <v>45</v>
      </c>
      <c r="D490" s="4">
        <v>14</v>
      </c>
      <c r="E490" s="4">
        <v>4</v>
      </c>
      <c r="F490" s="106" t="str">
        <f t="shared" si="76"/>
        <v>Alta</v>
      </c>
      <c r="G490" s="106" t="str">
        <f t="shared" si="77"/>
        <v>CEH</v>
      </c>
      <c r="H490" s="4">
        <f t="shared" si="78"/>
        <v>6</v>
      </c>
      <c r="I490" s="105" t="str">
        <f t="shared" si="79"/>
        <v>H</v>
      </c>
      <c r="J490" s="4" t="str">
        <f t="shared" si="80"/>
        <v>CEI</v>
      </c>
      <c r="K490" s="106">
        <f t="shared" si="81"/>
        <v>6</v>
      </c>
      <c r="L490" s="106">
        <f>IF(NOT(ISERROR(VLOOKUP(B490,Deflatores!G$42:H$64,2,FALSE))),VLOOKUP(B490,Deflatores!G$42:H$64,2,FALSE),IF(OR(ISBLANK(C490),ISBLANK(B490)),"",VLOOKUP(C490,Deflatores!G$4:H$38,2,FALSE)*H490+VLOOKUP(C490,Deflatores!G$4:I$38,3,FALSE)))</f>
        <v>6</v>
      </c>
      <c r="M490" s="106"/>
      <c r="N490" s="106"/>
      <c r="O490" s="106"/>
    </row>
    <row r="491" spans="1:15" x14ac:dyDescent="0.25">
      <c r="A491" s="112" t="s">
        <v>421</v>
      </c>
      <c r="B491" s="113" t="s">
        <v>48</v>
      </c>
      <c r="C491" s="113" t="s">
        <v>45</v>
      </c>
      <c r="D491" s="4">
        <v>3</v>
      </c>
      <c r="E491" s="4">
        <v>1</v>
      </c>
      <c r="F491" s="106" t="str">
        <f t="shared" si="76"/>
        <v>Baixa</v>
      </c>
      <c r="G491" s="106" t="str">
        <f t="shared" si="77"/>
        <v>EEL</v>
      </c>
      <c r="H491" s="4">
        <f t="shared" si="78"/>
        <v>3</v>
      </c>
      <c r="I491" s="105" t="str">
        <f t="shared" si="79"/>
        <v>L</v>
      </c>
      <c r="J491" s="4" t="str">
        <f t="shared" si="80"/>
        <v>EEI</v>
      </c>
      <c r="K491" s="106">
        <f t="shared" si="81"/>
        <v>3</v>
      </c>
      <c r="L491" s="106">
        <f>IF(NOT(ISERROR(VLOOKUP(B491,Deflatores!G$42:H$64,2,FALSE))),VLOOKUP(B491,Deflatores!G$42:H$64,2,FALSE),IF(OR(ISBLANK(C491),ISBLANK(B491)),"",VLOOKUP(C491,Deflatores!G$4:H$38,2,FALSE)*H491+VLOOKUP(C491,Deflatores!G$4:I$38,3,FALSE)))</f>
        <v>3</v>
      </c>
      <c r="M491" s="106"/>
      <c r="N491" s="106"/>
      <c r="O491" s="106"/>
    </row>
    <row r="492" spans="1:15" x14ac:dyDescent="0.25">
      <c r="A492" s="112"/>
      <c r="B492" s="113"/>
      <c r="C492" s="113"/>
      <c r="D492" s="4"/>
      <c r="E492" s="4"/>
      <c r="F492" s="106" t="str">
        <f>IF(ISBLANK(B492),"",IF(I492="L","Baixa",IF(I492="A","Média",IF(I492="","","Alta"))))</f>
        <v/>
      </c>
      <c r="G492" s="106" t="str">
        <f>CONCATENATE(B492,I492)</f>
        <v/>
      </c>
      <c r="H492" s="4" t="str">
        <f>IF(ISBLANK(B492),"",IF(B492="ALI",IF(I492="L",7,IF(I492="A",10,15)),IF(B492="AIE",IF(I492="L",5,IF(I492="A",7,10)),IF(B492="SE",IF(I492="L",4,IF(I492="A",5,7)),IF(OR(B492="EE",B492="CE"),IF(I492="L",3,IF(I492="A",4,6)),0)))))</f>
        <v/>
      </c>
      <c r="I492" s="105" t="str">
        <f>IF(OR(ISBLANK(D492),ISBLANK(E492)),IF(OR(B492="ALI",B492="AIE"),"L",IF(OR(B492="EE",B492="SE",B492="CE"),"A","")),IF(B492="EE",IF(E492&gt;=3,IF(D492&gt;=5,"H","A"),IF(E492&gt;=2,IF(D492&gt;=16,"H",IF(D492&lt;=4,"L","A")),IF(D492&lt;=15,"L","A"))),IF(OR(B492="SE",B492="CE"),IF(E492&gt;=4,IF(D492&gt;=6,"H","A"),IF(E492&gt;=2,IF(D492&gt;=20,"H",IF(D492&lt;=5,"L","A")),IF(D492&lt;=19,"L","A"))),IF(OR(B492="ALI",B492="AIE"),IF(E492&gt;=6,IF(D492&gt;=20,"H","A"),IF(E492&gt;=2,IF(D492&gt;=51,"H",IF(D492&lt;=19,"L","A")),IF(D492&lt;=50,"L","A"))),""))))</f>
        <v/>
      </c>
      <c r="J492" s="4" t="str">
        <f>CONCATENATE(B492,C492)</f>
        <v/>
      </c>
      <c r="K492" s="106" t="str">
        <f>IF(OR(H492="",H492=0),L492,H492)</f>
        <v/>
      </c>
      <c r="L492" s="106" t="str">
        <f>IF(NOT(ISERROR(VLOOKUP(B492,Deflatores!G$42:H$64,2,FALSE))),VLOOKUP(B492,Deflatores!G$42:H$64,2,FALSE),IF(OR(ISBLANK(C492),ISBLANK(B492)),"",VLOOKUP(C492,Deflatores!G$4:H$38,2,FALSE)*H492+VLOOKUP(C492,Deflatores!G$4:I$38,3,FALSE)))</f>
        <v/>
      </c>
      <c r="M492" s="106"/>
      <c r="N492" s="106"/>
      <c r="O492" s="106"/>
    </row>
    <row r="493" spans="1:15" x14ac:dyDescent="0.25">
      <c r="A493" s="115" t="s">
        <v>422</v>
      </c>
      <c r="B493" s="113"/>
      <c r="C493" s="113"/>
      <c r="D493" s="4"/>
      <c r="E493" s="4"/>
      <c r="F493" s="106" t="str">
        <f>IF(ISBLANK(B493),"",IF(I493="L","Baixa",IF(I493="A","Média",IF(I493="","","Alta"))))</f>
        <v/>
      </c>
      <c r="G493" s="106" t="str">
        <f>CONCATENATE(B493,I493)</f>
        <v/>
      </c>
      <c r="H493" s="4" t="str">
        <f>IF(ISBLANK(B493),"",IF(B493="ALI",IF(I493="L",7,IF(I493="A",10,15)),IF(B493="AIE",IF(I493="L",5,IF(I493="A",7,10)),IF(B493="SE",IF(I493="L",4,IF(I493="A",5,7)),IF(OR(B493="EE",B493="CE"),IF(I493="L",3,IF(I493="A",4,6)),0)))))</f>
        <v/>
      </c>
      <c r="I493" s="105" t="str">
        <f>IF(OR(ISBLANK(D493),ISBLANK(E493)),IF(OR(B493="ALI",B493="AIE"),"L",IF(OR(B493="EE",B493="SE",B493="CE"),"A","")),IF(B493="EE",IF(E493&gt;=3,IF(D493&gt;=5,"H","A"),IF(E493&gt;=2,IF(D493&gt;=16,"H",IF(D493&lt;=4,"L","A")),IF(D493&lt;=15,"L","A"))),IF(OR(B493="SE",B493="CE"),IF(E493&gt;=4,IF(D493&gt;=6,"H","A"),IF(E493&gt;=2,IF(D493&gt;=20,"H",IF(D493&lt;=5,"L","A")),IF(D493&lt;=19,"L","A"))),IF(OR(B493="ALI",B493="AIE"),IF(E493&gt;=6,IF(D493&gt;=20,"H","A"),IF(E493&gt;=2,IF(D493&gt;=51,"H",IF(D493&lt;=19,"L","A")),IF(D493&lt;=50,"L","A"))),""))))</f>
        <v/>
      </c>
      <c r="J493" s="4" t="str">
        <f>CONCATENATE(B493,C493)</f>
        <v/>
      </c>
      <c r="K493" s="106" t="str">
        <f>IF(OR(H493="",H493=0),L493,H493)</f>
        <v/>
      </c>
      <c r="L493" s="106" t="s">
        <v>423</v>
      </c>
      <c r="M493" s="106"/>
      <c r="N493" s="106"/>
      <c r="O493" s="148"/>
    </row>
    <row r="494" spans="1:15" x14ac:dyDescent="0.25">
      <c r="A494" s="112" t="s">
        <v>424</v>
      </c>
      <c r="B494" s="113" t="s">
        <v>113</v>
      </c>
      <c r="C494" s="113" t="s">
        <v>45</v>
      </c>
      <c r="D494" s="113">
        <v>53</v>
      </c>
      <c r="E494" s="4">
        <v>5</v>
      </c>
      <c r="F494" s="106" t="s">
        <v>425</v>
      </c>
      <c r="G494" s="106" t="s">
        <v>426</v>
      </c>
      <c r="H494" s="106">
        <v>7</v>
      </c>
      <c r="I494" s="106" t="s">
        <v>427</v>
      </c>
      <c r="J494" s="106" t="s">
        <v>428</v>
      </c>
      <c r="K494" s="106">
        <v>7</v>
      </c>
      <c r="L494" s="106">
        <f>IF(NOT(ISERROR(VLOOKUP(B494,Deflatores!G$42:H$64,2,FALSE))),VLOOKUP(B494,Deflatores!G$42:H$64,2,FALSE),IF(OR(ISBLANK(C494),ISBLANK(B494)),"",VLOOKUP(C494,Deflatores!G$4:H$38,2,FALSE)*H494+VLOOKUP(C494,Deflatores!G$4:I$38,3,FALSE)))</f>
        <v>7</v>
      </c>
      <c r="M494" s="106"/>
      <c r="N494" s="106"/>
      <c r="O494" s="106"/>
    </row>
    <row r="495" spans="1:15" x14ac:dyDescent="0.25">
      <c r="A495" s="112"/>
      <c r="B495" s="113"/>
      <c r="C495" s="113"/>
      <c r="D495" s="4"/>
      <c r="E495" s="4"/>
      <c r="F495" s="106" t="str">
        <f>IF(ISBLANK(B495),"",IF(I495="L","Baixa",IF(I495="A","Média",IF(I495="","","Alta"))))</f>
        <v/>
      </c>
      <c r="G495" s="106" t="str">
        <f>CONCATENATE(B495,I495)</f>
        <v/>
      </c>
      <c r="H495" s="4" t="str">
        <f>IF(ISBLANK(B495),"",IF(B495="ALI",IF(I495="L",7,IF(I495="A",10,15)),IF(B495="AIE",IF(I495="L",5,IF(I495="A",7,10)),IF(B495="SE",IF(I495="L",4,IF(I495="A",5,7)),IF(OR(B495="EE",B495="CE"),IF(I495="L",3,IF(I495="A",4,6)),0)))))</f>
        <v/>
      </c>
      <c r="I495" s="105" t="str">
        <f>IF(OR(ISBLANK(D495),ISBLANK(E495)),IF(OR(B495="ALI",B495="AIE"),"L",IF(OR(B495="EE",B495="SE",B495="CE"),"A","")),IF(B495="EE",IF(E495&gt;=3,IF(D495&gt;=5,"H","A"),IF(E495&gt;=2,IF(D495&gt;=16,"H",IF(D495&lt;=4,"L","A")),IF(D495&lt;=15,"L","A"))),IF(OR(B495="SE",B495="CE"),IF(E495&gt;=4,IF(D495&gt;=6,"H","A"),IF(E495&gt;=2,IF(D495&gt;=20,"H",IF(D495&lt;=5,"L","A")),IF(D495&lt;=19,"L","A"))),IF(OR(B495="ALI",B495="AIE"),IF(E495&gt;=6,IF(D495&gt;=20,"H","A"),IF(E495&gt;=2,IF(D495&gt;=51,"H",IF(D495&lt;=19,"L","A")),IF(D495&lt;=50,"L","A"))),""))))</f>
        <v/>
      </c>
      <c r="J495" s="4" t="str">
        <f>CONCATENATE(B495,C495)</f>
        <v/>
      </c>
      <c r="K495" s="106"/>
      <c r="L495" s="106"/>
      <c r="M495" s="106"/>
      <c r="N495" s="106"/>
      <c r="O495" s="124"/>
    </row>
    <row r="496" spans="1:15" x14ac:dyDescent="0.25">
      <c r="A496" s="115" t="s">
        <v>429</v>
      </c>
      <c r="B496" s="113"/>
      <c r="C496" s="113"/>
      <c r="D496" s="4"/>
      <c r="E496" s="4"/>
      <c r="F496" s="106" t="str">
        <f>IF(ISBLANK(B496),"",IF(I496="L","Baixa",IF(I496="A","Média",IF(I496="","","Alta"))))</f>
        <v/>
      </c>
      <c r="G496" s="106" t="str">
        <f>CONCATENATE(B496,I496)</f>
        <v/>
      </c>
      <c r="H496" s="4" t="str">
        <f>IF(ISBLANK(B496),"",IF(B496="ALI",IF(I496="L",7,IF(I496="A",10,15)),IF(B496="AIE",IF(I496="L",5,IF(I496="A",7,10)),IF(B496="SE",IF(I496="L",4,IF(I496="A",5,7)),IF(OR(B496="EE",B496="CE"),IF(I496="L",3,IF(I496="A",4,6)),0)))))</f>
        <v/>
      </c>
      <c r="I496" s="105" t="str">
        <f>IF(OR(ISBLANK(D496),ISBLANK(E496)),IF(OR(B496="ALI",B496="AIE"),"L",IF(OR(B496="EE",B496="SE",B496="CE"),"A","")),IF(B496="EE",IF(E496&gt;=3,IF(D496&gt;=5,"H","A"),IF(E496&gt;=2,IF(D496&gt;=16,"H",IF(D496&lt;=4,"L","A")),IF(D496&lt;=15,"L","A"))),IF(OR(B496="SE",B496="CE"),IF(E496&gt;=4,IF(D496&gt;=6,"H","A"),IF(E496&gt;=2,IF(D496&gt;=20,"H",IF(D496&lt;=5,"L","A")),IF(D496&lt;=19,"L","A"))),IF(OR(B496="ALI",B496="AIE"),IF(E496&gt;=6,IF(D496&gt;=20,"H","A"),IF(E496&gt;=2,IF(D496&gt;=51,"H",IF(D496&lt;=19,"L","A")),IF(D496&lt;=50,"L","A"))),""))))</f>
        <v/>
      </c>
      <c r="J496" s="4" t="str">
        <f>CONCATENATE(B496,C496)</f>
        <v/>
      </c>
      <c r="K496" s="106" t="str">
        <f>IF(OR(H496="",H496=0),L496,H496)</f>
        <v/>
      </c>
      <c r="L496" s="106" t="s">
        <v>423</v>
      </c>
      <c r="M496" s="106"/>
      <c r="N496" s="106"/>
      <c r="O496" s="106"/>
    </row>
    <row r="497" spans="1:15" x14ac:dyDescent="0.25">
      <c r="A497" s="112" t="s">
        <v>430</v>
      </c>
      <c r="B497" s="113" t="s">
        <v>113</v>
      </c>
      <c r="C497" s="113" t="s">
        <v>45</v>
      </c>
      <c r="D497" s="4">
        <v>15</v>
      </c>
      <c r="E497" s="4">
        <v>3</v>
      </c>
      <c r="F497" s="106" t="s">
        <v>431</v>
      </c>
      <c r="G497" s="106" t="s">
        <v>432</v>
      </c>
      <c r="H497" s="106">
        <v>5</v>
      </c>
      <c r="I497" s="106" t="s">
        <v>433</v>
      </c>
      <c r="J497" s="106" t="s">
        <v>428</v>
      </c>
      <c r="K497" s="106">
        <v>5</v>
      </c>
      <c r="L497" s="106">
        <f>IF(NOT(ISERROR(VLOOKUP(B497,Deflatores!G$42:H$64,2,FALSE))),VLOOKUP(B497,Deflatores!G$42:H$64,2,FALSE),IF(OR(ISBLANK(C497),ISBLANK(B497)),"",VLOOKUP(C497,Deflatores!G$4:H$38,2,FALSE)*H497+VLOOKUP(C497,Deflatores!G$4:I$38,3,FALSE)))</f>
        <v>5</v>
      </c>
      <c r="M497" s="106"/>
      <c r="N497" s="106"/>
      <c r="O497" s="106"/>
    </row>
    <row r="498" spans="1:15" x14ac:dyDescent="0.25">
      <c r="A498" s="114" t="s">
        <v>434</v>
      </c>
      <c r="B498" s="113" t="s">
        <v>50</v>
      </c>
      <c r="C498" s="113" t="s">
        <v>45</v>
      </c>
      <c r="D498" s="113">
        <v>5</v>
      </c>
      <c r="E498" s="4">
        <v>2</v>
      </c>
      <c r="F498" s="106" t="s">
        <v>91</v>
      </c>
      <c r="G498" s="106" t="s">
        <v>435</v>
      </c>
      <c r="H498" s="106">
        <v>3</v>
      </c>
      <c r="I498" s="106" t="s">
        <v>436</v>
      </c>
      <c r="J498" s="106" t="s">
        <v>437</v>
      </c>
      <c r="K498" s="106">
        <v>3</v>
      </c>
      <c r="L498" s="106">
        <f>IF(NOT(ISERROR(VLOOKUP(B498,Deflatores!G$42:H$64,2,FALSE))),VLOOKUP(B498,Deflatores!G$42:H$64,2,FALSE),IF(OR(ISBLANK(C498),ISBLANK(B498)),"",VLOOKUP(C498,Deflatores!G$4:H$38,2,FALSE)*H498+VLOOKUP(C498,Deflatores!G$4:I$38,3,FALSE)))</f>
        <v>3</v>
      </c>
      <c r="M498" s="106"/>
      <c r="N498" s="106"/>
      <c r="O498" s="106"/>
    </row>
    <row r="499" spans="1:15" x14ac:dyDescent="0.25">
      <c r="A499" s="112"/>
      <c r="B499" s="113"/>
      <c r="C499" s="113"/>
      <c r="D499" s="4"/>
      <c r="E499" s="4"/>
      <c r="F499" s="106" t="str">
        <f>IF(ISBLANK(B499),"",IF(I499="L","Baixa",IF(I499="A","Média",IF(I499="","","Alta"))))</f>
        <v/>
      </c>
      <c r="G499" s="106" t="str">
        <f>CONCATENATE(B499,I499)</f>
        <v/>
      </c>
      <c r="H499" s="4" t="str">
        <f>IF(ISBLANK(B499),"",IF(B499="ALI",IF(I499="L",7,IF(I499="A",10,15)),IF(B499="AIE",IF(I499="L",5,IF(I499="A",7,10)),IF(B499="SE",IF(I499="L",4,IF(I499="A",5,7)),IF(OR(B499="EE",B499="CE"),IF(I499="L",3,IF(I499="A",4,6)),0)))))</f>
        <v/>
      </c>
      <c r="I499" s="105" t="str">
        <f>IF(OR(ISBLANK(D499),ISBLANK(E499)),IF(OR(B499="ALI",B499="AIE"),"L",IF(OR(B499="EE",B499="SE",B499="CE"),"A","")),IF(B499="EE",IF(E499&gt;=3,IF(D499&gt;=5,"H","A"),IF(E499&gt;=2,IF(D499&gt;=16,"H",IF(D499&lt;=4,"L","A")),IF(D499&lt;=15,"L","A"))),IF(OR(B499="SE",B499="CE"),IF(E499&gt;=4,IF(D499&gt;=6,"H","A"),IF(E499&gt;=2,IF(D499&gt;=20,"H",IF(D499&lt;=5,"L","A")),IF(D499&lt;=19,"L","A"))),IF(OR(B499="ALI",B499="AIE"),IF(E499&gt;=6,IF(D499&gt;=20,"H","A"),IF(E499&gt;=2,IF(D499&gt;=51,"H",IF(D499&lt;=19,"L","A")),IF(D499&lt;=50,"L","A"))),""))))</f>
        <v/>
      </c>
      <c r="J499" s="4" t="str">
        <f>CONCATENATE(B499,C499)</f>
        <v/>
      </c>
      <c r="K499" s="106"/>
      <c r="L499" s="106"/>
      <c r="M499" s="106"/>
      <c r="N499" s="106"/>
      <c r="O499" s="124"/>
    </row>
    <row r="500" spans="1:15" x14ac:dyDescent="0.25">
      <c r="A500" s="115" t="s">
        <v>438</v>
      </c>
      <c r="B500" s="113"/>
      <c r="C500" s="113"/>
      <c r="D500" s="4"/>
      <c r="E500" s="4"/>
      <c r="F500" s="106" t="str">
        <f>IF(ISBLANK(B500),"",IF(I500="L","Baixa",IF(I500="A","Média",IF(I500="","","Alta"))))</f>
        <v/>
      </c>
      <c r="G500" s="106" t="str">
        <f>CONCATENATE(B500,I500)</f>
        <v/>
      </c>
      <c r="H500" s="4" t="str">
        <f>IF(ISBLANK(B500),"",IF(B500="ALI",IF(I500="L",7,IF(I500="A",10,15)),IF(B500="AIE",IF(I500="L",5,IF(I500="A",7,10)),IF(B500="SE",IF(I500="L",4,IF(I500="A",5,7)),IF(OR(B500="EE",B500="CE"),IF(I500="L",3,IF(I500="A",4,6)),0)))))</f>
        <v/>
      </c>
      <c r="I500" s="105" t="str">
        <f>IF(OR(ISBLANK(D500),ISBLANK(E500)),IF(OR(B500="ALI",B500="AIE"),"L",IF(OR(B500="EE",B500="SE",B500="CE"),"A","")),IF(B500="EE",IF(E500&gt;=3,IF(D500&gt;=5,"H","A"),IF(E500&gt;=2,IF(D500&gt;=16,"H",IF(D500&lt;=4,"L","A")),IF(D500&lt;=15,"L","A"))),IF(OR(B500="SE",B500="CE"),IF(E500&gt;=4,IF(D500&gt;=6,"H","A"),IF(E500&gt;=2,IF(D500&gt;=20,"H",IF(D500&lt;=5,"L","A")),IF(D500&lt;=19,"L","A"))),IF(OR(B500="ALI",B500="AIE"),IF(E500&gt;=6,IF(D500&gt;=20,"H","A"),IF(E500&gt;=2,IF(D500&gt;=51,"H",IF(D500&lt;=19,"L","A")),IF(D500&lt;=50,"L","A"))),""))))</f>
        <v/>
      </c>
      <c r="J500" s="4" t="str">
        <f>CONCATENATE(B500,C500)</f>
        <v/>
      </c>
      <c r="K500" s="106" t="str">
        <f>IF(OR(H500="",H500=0),L500,H500)</f>
        <v/>
      </c>
      <c r="L500" s="106" t="s">
        <v>423</v>
      </c>
      <c r="M500" s="106"/>
      <c r="N500" s="106"/>
      <c r="O500" s="106"/>
    </row>
    <row r="501" spans="1:15" x14ac:dyDescent="0.25">
      <c r="A501" s="112" t="s">
        <v>439</v>
      </c>
      <c r="B501" s="113" t="s">
        <v>48</v>
      </c>
      <c r="C501" s="113" t="s">
        <v>45</v>
      </c>
      <c r="D501" s="113">
        <v>5</v>
      </c>
      <c r="E501" s="4">
        <v>1</v>
      </c>
      <c r="F501" s="106" t="s">
        <v>91</v>
      </c>
      <c r="G501" s="106" t="s">
        <v>440</v>
      </c>
      <c r="H501" s="106">
        <v>3</v>
      </c>
      <c r="I501" s="106" t="s">
        <v>436</v>
      </c>
      <c r="J501" s="106" t="s">
        <v>441</v>
      </c>
      <c r="K501" s="106">
        <v>3</v>
      </c>
      <c r="L501" s="106">
        <f>IF(NOT(ISERROR(VLOOKUP(B501,Deflatores!G$42:H$64,2,FALSE))),VLOOKUP(B501,Deflatores!G$42:H$64,2,FALSE),IF(OR(ISBLANK(C501),ISBLANK(B501)),"",VLOOKUP(C501,Deflatores!G$4:H$38,2,FALSE)*H501+VLOOKUP(C501,Deflatores!G$4:I$38,3,FALSE)))</f>
        <v>3</v>
      </c>
      <c r="M501" s="106"/>
      <c r="N501" s="106"/>
      <c r="O501" s="106"/>
    </row>
    <row r="502" spans="1:15" x14ac:dyDescent="0.25">
      <c r="A502" s="112"/>
      <c r="B502" s="113"/>
      <c r="C502" s="113"/>
      <c r="D502" s="4"/>
      <c r="E502" s="4"/>
      <c r="F502" s="106" t="str">
        <f>IF(ISBLANK(B502),"",IF(I502="L","Baixa",IF(I502="A","Média",IF(I502="","","Alta"))))</f>
        <v/>
      </c>
      <c r="G502" s="106" t="str">
        <f>CONCATENATE(B502,I502)</f>
        <v/>
      </c>
      <c r="H502" s="4" t="str">
        <f>IF(ISBLANK(B502),"",IF(B502="ALI",IF(I502="L",7,IF(I502="A",10,15)),IF(B502="AIE",IF(I502="L",5,IF(I502="A",7,10)),IF(B502="SE",IF(I502="L",4,IF(I502="A",5,7)),IF(OR(B502="EE",B502="CE"),IF(I502="L",3,IF(I502="A",4,6)),0)))))</f>
        <v/>
      </c>
      <c r="I502" s="105" t="str">
        <f>IF(OR(ISBLANK(D502),ISBLANK(E502)),IF(OR(B502="ALI",B502="AIE"),"L",IF(OR(B502="EE",B502="SE",B502="CE"),"A","")),IF(B502="EE",IF(E502&gt;=3,IF(D502&gt;=5,"H","A"),IF(E502&gt;=2,IF(D502&gt;=16,"H",IF(D502&lt;=4,"L","A")),IF(D502&lt;=15,"L","A"))),IF(OR(B502="SE",B502="CE"),IF(E502&gt;=4,IF(D502&gt;=6,"H","A"),IF(E502&gt;=2,IF(D502&gt;=20,"H",IF(D502&lt;=5,"L","A")),IF(D502&lt;=19,"L","A"))),IF(OR(B502="ALI",B502="AIE"),IF(E502&gt;=6,IF(D502&gt;=20,"H","A"),IF(E502&gt;=2,IF(D502&gt;=51,"H",IF(D502&lt;=19,"L","A")),IF(D502&lt;=50,"L","A"))),""))))</f>
        <v/>
      </c>
      <c r="J502" s="4" t="str">
        <f>CONCATENATE(B502,C502)</f>
        <v/>
      </c>
      <c r="K502" s="106"/>
      <c r="L502" s="106"/>
      <c r="M502" s="106"/>
      <c r="N502" s="106"/>
      <c r="O502" s="124"/>
    </row>
    <row r="503" spans="1:15" x14ac:dyDescent="0.25">
      <c r="A503" s="115" t="s">
        <v>442</v>
      </c>
      <c r="B503" s="113"/>
      <c r="C503" s="113"/>
      <c r="D503" s="4"/>
      <c r="E503" s="4"/>
      <c r="F503" s="106" t="str">
        <f>IF(ISBLANK(B503),"",IF(I503="L","Baixa",IF(I503="A","Média",IF(I503="","","Alta"))))</f>
        <v/>
      </c>
      <c r="G503" s="106" t="str">
        <f>CONCATENATE(B503,I503)</f>
        <v/>
      </c>
      <c r="H503" s="4" t="str">
        <f>IF(ISBLANK(B503),"",IF(B503="ALI",IF(I503="L",7,IF(I503="A",10,15)),IF(B503="AIE",IF(I503="L",5,IF(I503="A",7,10)),IF(B503="SE",IF(I503="L",4,IF(I503="A",5,7)),IF(OR(B503="EE",B503="CE"),IF(I503="L",3,IF(I503="A",4,6)),0)))))</f>
        <v/>
      </c>
      <c r="I503" s="105" t="str">
        <f>IF(OR(ISBLANK(D503),ISBLANK(E503)),IF(OR(B503="ALI",B503="AIE"),"L",IF(OR(B503="EE",B503="SE",B503="CE"),"A","")),IF(B503="EE",IF(E503&gt;=3,IF(D503&gt;=5,"H","A"),IF(E503&gt;=2,IF(D503&gt;=16,"H",IF(D503&lt;=4,"L","A")),IF(D503&lt;=15,"L","A"))),IF(OR(B503="SE",B503="CE"),IF(E503&gt;=4,IF(D503&gt;=6,"H","A"),IF(E503&gt;=2,IF(D503&gt;=20,"H",IF(D503&lt;=5,"L","A")),IF(D503&lt;=19,"L","A"))),IF(OR(B503="ALI",B503="AIE"),IF(E503&gt;=6,IF(D503&gt;=20,"H","A"),IF(E503&gt;=2,IF(D503&gt;=51,"H",IF(D503&lt;=19,"L","A")),IF(D503&lt;=50,"L","A"))),""))))</f>
        <v/>
      </c>
      <c r="J503" s="4" t="str">
        <f>CONCATENATE(B503,C503)</f>
        <v/>
      </c>
      <c r="K503" s="106" t="str">
        <f>IF(OR(H503="",H503=0),L503,H503)</f>
        <v/>
      </c>
      <c r="L503" s="106" t="s">
        <v>423</v>
      </c>
      <c r="M503" s="106"/>
      <c r="N503" s="106"/>
      <c r="O503" s="106"/>
    </row>
    <row r="504" spans="1:15" x14ac:dyDescent="0.25">
      <c r="A504" s="112" t="s">
        <v>443</v>
      </c>
      <c r="B504" s="113" t="s">
        <v>48</v>
      </c>
      <c r="C504" s="113" t="s">
        <v>45</v>
      </c>
      <c r="D504" s="4">
        <v>9</v>
      </c>
      <c r="E504" s="4">
        <v>2</v>
      </c>
      <c r="F504" s="106" t="s">
        <v>91</v>
      </c>
      <c r="G504" s="106" t="s">
        <v>440</v>
      </c>
      <c r="H504" s="106">
        <v>3</v>
      </c>
      <c r="I504" s="106" t="s">
        <v>436</v>
      </c>
      <c r="J504" s="106" t="s">
        <v>441</v>
      </c>
      <c r="K504" s="106">
        <v>3</v>
      </c>
      <c r="L504" s="106">
        <f>IF(NOT(ISERROR(VLOOKUP(B504,Deflatores!G$42:H$64,2,FALSE))),VLOOKUP(B504,Deflatores!G$42:H$64,2,FALSE),IF(OR(ISBLANK(C504),ISBLANK(B504)),"",VLOOKUP(C504,Deflatores!G$4:H$38,2,FALSE)*H504+VLOOKUP(C504,Deflatores!G$4:I$38,3,FALSE)))</f>
        <v>3</v>
      </c>
      <c r="M504" s="106"/>
      <c r="N504" s="106"/>
      <c r="O504" s="106"/>
    </row>
    <row r="505" spans="1:15" x14ac:dyDescent="0.25">
      <c r="A505" s="114" t="s">
        <v>444</v>
      </c>
      <c r="B505" s="113" t="s">
        <v>50</v>
      </c>
      <c r="C505" s="113" t="s">
        <v>45</v>
      </c>
      <c r="D505" s="4">
        <v>6</v>
      </c>
      <c r="E505" s="4">
        <v>2</v>
      </c>
      <c r="F505" s="106" t="s">
        <v>431</v>
      </c>
      <c r="G505" s="106" t="s">
        <v>445</v>
      </c>
      <c r="H505" s="106">
        <v>4</v>
      </c>
      <c r="I505" s="106" t="s">
        <v>433</v>
      </c>
      <c r="J505" s="106" t="s">
        <v>437</v>
      </c>
      <c r="K505" s="106">
        <v>4</v>
      </c>
      <c r="L505" s="106">
        <f>IF(NOT(ISERROR(VLOOKUP(B505,Deflatores!G$42:H$64,2,FALSE))),VLOOKUP(B505,Deflatores!G$42:H$64,2,FALSE),IF(OR(ISBLANK(C505),ISBLANK(B505)),"",VLOOKUP(C505,Deflatores!G$4:H$38,2,FALSE)*H505+VLOOKUP(C505,Deflatores!G$4:I$38,3,FALSE)))</f>
        <v>4</v>
      </c>
      <c r="M505" s="106"/>
      <c r="N505" s="106"/>
      <c r="O505" s="106"/>
    </row>
    <row r="506" spans="1:15" x14ac:dyDescent="0.25">
      <c r="A506" s="112"/>
      <c r="B506" s="113"/>
      <c r="C506" s="113"/>
      <c r="D506" s="4"/>
      <c r="E506" s="4"/>
      <c r="F506" s="106" t="str">
        <f t="shared" ref="F506:F511" si="82">IF(ISBLANK(B506),"",IF(I506="L","Baixa",IF(I506="A","Média",IF(I506="","","Alta"))))</f>
        <v/>
      </c>
      <c r="G506" s="106" t="str">
        <f t="shared" ref="G506:G511" si="83">CONCATENATE(B506,I506)</f>
        <v/>
      </c>
      <c r="H506" s="4" t="str">
        <f t="shared" ref="H506:H511" si="84">IF(ISBLANK(B506),"",IF(B506="ALI",IF(I506="L",7,IF(I506="A",10,15)),IF(B506="AIE",IF(I506="L",5,IF(I506="A",7,10)),IF(B506="SE",IF(I506="L",4,IF(I506="A",5,7)),IF(OR(B506="EE",B506="CE"),IF(I506="L",3,IF(I506="A",4,6)),0)))))</f>
        <v/>
      </c>
      <c r="I506" s="105" t="str">
        <f t="shared" ref="I506:I511" si="85">IF(OR(ISBLANK(D506),ISBLANK(E506)),IF(OR(B506="ALI",B506="AIE"),"L",IF(OR(B506="EE",B506="SE",B506="CE"),"A","")),IF(B506="EE",IF(E506&gt;=3,IF(D506&gt;=5,"H","A"),IF(E506&gt;=2,IF(D506&gt;=16,"H",IF(D506&lt;=4,"L","A")),IF(D506&lt;=15,"L","A"))),IF(OR(B506="SE",B506="CE"),IF(E506&gt;=4,IF(D506&gt;=6,"H","A"),IF(E506&gt;=2,IF(D506&gt;=20,"H",IF(D506&lt;=5,"L","A")),IF(D506&lt;=19,"L","A"))),IF(OR(B506="ALI",B506="AIE"),IF(E506&gt;=6,IF(D506&gt;=20,"H","A"),IF(E506&gt;=2,IF(D506&gt;=51,"H",IF(D506&lt;=19,"L","A")),IF(D506&lt;=50,"L","A"))),""))))</f>
        <v/>
      </c>
      <c r="J506" s="4" t="str">
        <f t="shared" ref="J506:J511" si="86">CONCATENATE(B506,C506)</f>
        <v/>
      </c>
      <c r="K506" s="106" t="str">
        <f t="shared" ref="K506:K511" si="87">IF(OR(H506="",H506=0),L506,H506)</f>
        <v/>
      </c>
      <c r="L506" s="106" t="s">
        <v>423</v>
      </c>
      <c r="M506" s="106"/>
      <c r="N506" s="106"/>
      <c r="O506" s="124"/>
    </row>
    <row r="507" spans="1:15" x14ac:dyDescent="0.25">
      <c r="A507" s="115" t="s">
        <v>446</v>
      </c>
      <c r="B507" s="113"/>
      <c r="C507" s="113"/>
      <c r="D507" s="4"/>
      <c r="E507" s="4"/>
      <c r="F507" s="106" t="str">
        <f t="shared" si="82"/>
        <v/>
      </c>
      <c r="G507" s="106" t="str">
        <f t="shared" si="83"/>
        <v/>
      </c>
      <c r="H507" s="4" t="str">
        <f t="shared" si="84"/>
        <v/>
      </c>
      <c r="I507" s="105" t="str">
        <f t="shared" si="85"/>
        <v/>
      </c>
      <c r="J507" s="4" t="str">
        <f t="shared" si="86"/>
        <v/>
      </c>
      <c r="K507" s="106" t="str">
        <f t="shared" si="87"/>
        <v/>
      </c>
      <c r="L507" s="106" t="s">
        <v>423</v>
      </c>
      <c r="M507" s="106"/>
      <c r="N507" s="106"/>
      <c r="O507" s="124"/>
    </row>
    <row r="508" spans="1:15" x14ac:dyDescent="0.25">
      <c r="A508" s="112" t="s">
        <v>447</v>
      </c>
      <c r="B508" s="113" t="s">
        <v>48</v>
      </c>
      <c r="C508" s="113" t="s">
        <v>45</v>
      </c>
      <c r="D508" s="4">
        <v>10</v>
      </c>
      <c r="E508" s="4">
        <v>1</v>
      </c>
      <c r="F508" s="106" t="str">
        <f t="shared" si="82"/>
        <v>Baixa</v>
      </c>
      <c r="G508" s="106" t="str">
        <f t="shared" si="83"/>
        <v>EEL</v>
      </c>
      <c r="H508" s="4">
        <f t="shared" si="84"/>
        <v>3</v>
      </c>
      <c r="I508" s="105" t="str">
        <f t="shared" si="85"/>
        <v>L</v>
      </c>
      <c r="J508" s="4" t="str">
        <f t="shared" si="86"/>
        <v>EEI</v>
      </c>
      <c r="K508" s="106">
        <f t="shared" si="87"/>
        <v>3</v>
      </c>
      <c r="L508" s="106">
        <f>IF(NOT(ISERROR(VLOOKUP(B508,Deflatores!G$42:H$64,2,FALSE))),VLOOKUP(B508,Deflatores!G$42:H$64,2,FALSE),IF(OR(ISBLANK(C508),ISBLANK(B508)),"",VLOOKUP(C508,Deflatores!G$4:H$38,2,FALSE)*H508+VLOOKUP(C508,Deflatores!G$4:I$38,3,FALSE)))</f>
        <v>3</v>
      </c>
      <c r="M508" s="106"/>
      <c r="N508" s="106"/>
      <c r="O508" s="124"/>
    </row>
    <row r="509" spans="1:15" ht="12" customHeight="1" x14ac:dyDescent="0.25">
      <c r="A509" s="112" t="s">
        <v>448</v>
      </c>
      <c r="B509" s="113" t="s">
        <v>50</v>
      </c>
      <c r="C509" s="113" t="s">
        <v>45</v>
      </c>
      <c r="D509" s="4">
        <v>8</v>
      </c>
      <c r="E509" s="4">
        <v>2</v>
      </c>
      <c r="F509" s="106" t="str">
        <f t="shared" si="82"/>
        <v>Média</v>
      </c>
      <c r="G509" s="106" t="str">
        <f t="shared" si="83"/>
        <v>CEA</v>
      </c>
      <c r="H509" s="4">
        <f t="shared" si="84"/>
        <v>4</v>
      </c>
      <c r="I509" s="105" t="str">
        <f t="shared" si="85"/>
        <v>A</v>
      </c>
      <c r="J509" s="4" t="str">
        <f t="shared" si="86"/>
        <v>CEI</v>
      </c>
      <c r="K509" s="106">
        <f t="shared" si="87"/>
        <v>4</v>
      </c>
      <c r="L509" s="106">
        <f>IF(NOT(ISERROR(VLOOKUP(B509,Deflatores!G$42:H$64,2,FALSE))),VLOOKUP(B509,Deflatores!G$42:H$64,2,FALSE),IF(OR(ISBLANK(C509),ISBLANK(B509)),"",VLOOKUP(C509,Deflatores!G$4:H$38,2,FALSE)*H509+VLOOKUP(C509,Deflatores!G$4:I$38,3,FALSE)))</f>
        <v>4</v>
      </c>
      <c r="M509" s="106"/>
      <c r="N509" s="106"/>
      <c r="O509" s="124"/>
    </row>
    <row r="510" spans="1:15" x14ac:dyDescent="0.25">
      <c r="A510" s="115"/>
      <c r="B510" s="113"/>
      <c r="C510" s="113"/>
      <c r="D510" s="4"/>
      <c r="E510" s="4"/>
      <c r="F510" s="106" t="str">
        <f t="shared" si="82"/>
        <v/>
      </c>
      <c r="G510" s="106" t="str">
        <f t="shared" si="83"/>
        <v/>
      </c>
      <c r="H510" s="4" t="str">
        <f t="shared" si="84"/>
        <v/>
      </c>
      <c r="I510" s="105" t="str">
        <f t="shared" si="85"/>
        <v/>
      </c>
      <c r="J510" s="4" t="str">
        <f t="shared" si="86"/>
        <v/>
      </c>
      <c r="K510" s="106" t="str">
        <f t="shared" si="87"/>
        <v/>
      </c>
      <c r="L510" s="106" t="s">
        <v>423</v>
      </c>
      <c r="M510" s="106"/>
      <c r="N510" s="106"/>
      <c r="O510" s="124"/>
    </row>
    <row r="511" spans="1:15" ht="33" x14ac:dyDescent="0.25">
      <c r="A511" s="115" t="s">
        <v>449</v>
      </c>
      <c r="B511" s="113"/>
      <c r="C511" s="113"/>
      <c r="D511" s="113"/>
      <c r="E511" s="4"/>
      <c r="F511" s="106" t="str">
        <f t="shared" si="82"/>
        <v/>
      </c>
      <c r="G511" s="106" t="str">
        <f t="shared" si="83"/>
        <v/>
      </c>
      <c r="H511" s="4" t="str">
        <f t="shared" si="84"/>
        <v/>
      </c>
      <c r="I511" s="105" t="str">
        <f t="shared" si="85"/>
        <v/>
      </c>
      <c r="J511" s="4" t="str">
        <f t="shared" si="86"/>
        <v/>
      </c>
      <c r="K511" s="106" t="str">
        <f t="shared" si="87"/>
        <v/>
      </c>
      <c r="L511" s="106" t="s">
        <v>423</v>
      </c>
      <c r="M511" s="106"/>
      <c r="N511" s="106"/>
      <c r="O511" s="130" t="s">
        <v>450</v>
      </c>
    </row>
    <row r="512" spans="1:15" x14ac:dyDescent="0.25">
      <c r="A512" s="112"/>
      <c r="B512" s="113"/>
      <c r="C512" s="113"/>
      <c r="D512" s="113"/>
      <c r="E512" s="4"/>
      <c r="F512" s="106"/>
      <c r="G512" s="106"/>
      <c r="H512" s="4"/>
      <c r="I512" s="105"/>
      <c r="J512" s="4"/>
      <c r="K512" s="106"/>
      <c r="L512" s="106"/>
      <c r="M512" s="106"/>
      <c r="N512" s="106"/>
      <c r="O512" s="130"/>
    </row>
    <row r="513" spans="1:15" x14ac:dyDescent="0.25">
      <c r="A513" s="115" t="s">
        <v>451</v>
      </c>
      <c r="B513" s="113"/>
      <c r="C513" s="113"/>
      <c r="D513" s="4"/>
      <c r="E513" s="4"/>
      <c r="F513" s="106" t="str">
        <f t="shared" ref="F513:F554" si="88">IF(ISBLANK(B513),"",IF(I513="L","Baixa",IF(I513="A","Média",IF(I513="","","Alta"))))</f>
        <v/>
      </c>
      <c r="G513" s="106" t="str">
        <f t="shared" ref="G513:G554" si="89">CONCATENATE(B513,I513)</f>
        <v/>
      </c>
      <c r="H513" s="4" t="str">
        <f t="shared" ref="H513:H554" si="90">IF(ISBLANK(B513),"",IF(B513="ALI",IF(I513="L",7,IF(I513="A",10,15)),IF(B513="AIE",IF(I513="L",5,IF(I513="A",7,10)),IF(B513="SE",IF(I513="L",4,IF(I513="A",5,7)),IF(OR(B513="EE",B513="CE"),IF(I513="L",3,IF(I513="A",4,6)),0)))))</f>
        <v/>
      </c>
      <c r="I513" s="105" t="str">
        <f t="shared" ref="I513:I554" si="91">IF(OR(ISBLANK(D513),ISBLANK(E513)),IF(OR(B513="ALI",B513="AIE"),"L",IF(OR(B513="EE",B513="SE",B513="CE"),"A","")),IF(B513="EE",IF(E513&gt;=3,IF(D513&gt;=5,"H","A"),IF(E513&gt;=2,IF(D513&gt;=16,"H",IF(D513&lt;=4,"L","A")),IF(D513&lt;=15,"L","A"))),IF(OR(B513="SE",B513="CE"),IF(E513&gt;=4,IF(D513&gt;=6,"H","A"),IF(E513&gt;=2,IF(D513&gt;=20,"H",IF(D513&lt;=5,"L","A")),IF(D513&lt;=19,"L","A"))),IF(OR(B513="ALI",B513="AIE"),IF(E513&gt;=6,IF(D513&gt;=20,"H","A"),IF(E513&gt;=2,IF(D513&gt;=51,"H",IF(D513&lt;=19,"L","A")),IF(D513&lt;=50,"L","A"))),""))))</f>
        <v/>
      </c>
      <c r="J513" s="4" t="str">
        <f t="shared" ref="J513:J554" si="92">CONCATENATE(B513,C513)</f>
        <v/>
      </c>
      <c r="K513" s="106" t="str">
        <f t="shared" ref="K513:K554" si="93">IF(OR(H513="",H513=0),L513,H513)</f>
        <v/>
      </c>
      <c r="L513" s="106" t="s">
        <v>423</v>
      </c>
      <c r="M513" s="106"/>
      <c r="N513" s="106"/>
      <c r="O513" s="130"/>
    </row>
    <row r="514" spans="1:15" x14ac:dyDescent="0.25">
      <c r="A514" s="112" t="s">
        <v>452</v>
      </c>
      <c r="B514" s="113" t="s">
        <v>44</v>
      </c>
      <c r="C514" s="113" t="s">
        <v>45</v>
      </c>
      <c r="D514" s="4">
        <v>14</v>
      </c>
      <c r="E514" s="4">
        <v>2</v>
      </c>
      <c r="F514" s="106" t="str">
        <f t="shared" si="88"/>
        <v>Baixa</v>
      </c>
      <c r="G514" s="106" t="str">
        <f t="shared" si="89"/>
        <v>ALIL</v>
      </c>
      <c r="H514" s="4">
        <f t="shared" si="90"/>
        <v>7</v>
      </c>
      <c r="I514" s="105" t="str">
        <f t="shared" si="91"/>
        <v>L</v>
      </c>
      <c r="J514" s="4" t="str">
        <f t="shared" si="92"/>
        <v>ALII</v>
      </c>
      <c r="K514" s="106">
        <f t="shared" si="93"/>
        <v>7</v>
      </c>
      <c r="L514" s="106">
        <f>IF(NOT(ISERROR(VLOOKUP(B514,Deflatores!G$42:H$64,2,FALSE))),VLOOKUP(B514,Deflatores!G$42:H$64,2,FALSE),IF(OR(ISBLANK(C514),ISBLANK(B514)),"",VLOOKUP(C514,Deflatores!G$4:H$38,2,FALSE)*H514+VLOOKUP(C514,Deflatores!G$4:I$38,3,FALSE)))</f>
        <v>7</v>
      </c>
      <c r="M514" s="106"/>
      <c r="N514" s="106"/>
      <c r="O514" s="130"/>
    </row>
    <row r="515" spans="1:15" x14ac:dyDescent="0.25">
      <c r="A515" s="112" t="s">
        <v>453</v>
      </c>
      <c r="B515" s="113" t="s">
        <v>48</v>
      </c>
      <c r="C515" s="113" t="s">
        <v>45</v>
      </c>
      <c r="D515" s="4">
        <v>15</v>
      </c>
      <c r="E515" s="4">
        <v>3</v>
      </c>
      <c r="F515" s="106" t="str">
        <f t="shared" si="88"/>
        <v>Alta</v>
      </c>
      <c r="G515" s="106" t="str">
        <f t="shared" si="89"/>
        <v>EEH</v>
      </c>
      <c r="H515" s="4">
        <f t="shared" si="90"/>
        <v>6</v>
      </c>
      <c r="I515" s="105" t="str">
        <f t="shared" si="91"/>
        <v>H</v>
      </c>
      <c r="J515" s="4" t="str">
        <f t="shared" si="92"/>
        <v>EEI</v>
      </c>
      <c r="K515" s="106">
        <f t="shared" si="93"/>
        <v>6</v>
      </c>
      <c r="L515" s="106">
        <f>IF(NOT(ISERROR(VLOOKUP(B515,Deflatores!G$42:H$64,2,FALSE))),VLOOKUP(B515,Deflatores!G$42:H$64,2,FALSE),IF(OR(ISBLANK(C515),ISBLANK(B515)),"",VLOOKUP(C515,Deflatores!G$4:H$38,2,FALSE)*H515+VLOOKUP(C515,Deflatores!G$4:I$38,3,FALSE)))</f>
        <v>6</v>
      </c>
      <c r="M515" s="106"/>
      <c r="N515" s="106"/>
      <c r="O515" s="130"/>
    </row>
    <row r="516" spans="1:15" x14ac:dyDescent="0.25">
      <c r="A516" s="114" t="s">
        <v>454</v>
      </c>
      <c r="B516" s="113" t="s">
        <v>50</v>
      </c>
      <c r="C516" s="113" t="s">
        <v>45</v>
      </c>
      <c r="D516" s="4">
        <v>2</v>
      </c>
      <c r="E516" s="4">
        <v>1</v>
      </c>
      <c r="F516" s="106" t="str">
        <f t="shared" si="88"/>
        <v>Baixa</v>
      </c>
      <c r="G516" s="106" t="str">
        <f t="shared" si="89"/>
        <v>CEL</v>
      </c>
      <c r="H516" s="4">
        <f t="shared" si="90"/>
        <v>3</v>
      </c>
      <c r="I516" s="105" t="str">
        <f t="shared" si="91"/>
        <v>L</v>
      </c>
      <c r="J516" s="4" t="str">
        <f t="shared" si="92"/>
        <v>CEI</v>
      </c>
      <c r="K516" s="106">
        <f t="shared" si="93"/>
        <v>3</v>
      </c>
      <c r="L516" s="106">
        <f>IF(NOT(ISERROR(VLOOKUP(B516,Deflatores!G$42:H$64,2,FALSE))),VLOOKUP(B516,Deflatores!G$42:H$64,2,FALSE),IF(OR(ISBLANK(C516),ISBLANK(B516)),"",VLOOKUP(C516,Deflatores!G$4:H$38,2,FALSE)*H516+VLOOKUP(C516,Deflatores!G$4:I$38,3,FALSE)))</f>
        <v>3</v>
      </c>
      <c r="M516" s="106"/>
      <c r="N516" s="106"/>
      <c r="O516" s="130"/>
    </row>
    <row r="517" spans="1:15" x14ac:dyDescent="0.25">
      <c r="A517" s="112"/>
      <c r="B517" s="113"/>
      <c r="C517" s="113"/>
      <c r="D517" s="4"/>
      <c r="E517" s="4"/>
      <c r="F517" s="106" t="str">
        <f t="shared" si="88"/>
        <v/>
      </c>
      <c r="G517" s="106" t="str">
        <f t="shared" si="89"/>
        <v/>
      </c>
      <c r="H517" s="4" t="str">
        <f t="shared" si="90"/>
        <v/>
      </c>
      <c r="I517" s="105" t="str">
        <f t="shared" si="91"/>
        <v/>
      </c>
      <c r="J517" s="4" t="str">
        <f t="shared" si="92"/>
        <v/>
      </c>
      <c r="K517" s="106" t="str">
        <f t="shared" si="93"/>
        <v/>
      </c>
      <c r="L517" s="106" t="s">
        <v>423</v>
      </c>
      <c r="M517" s="106"/>
      <c r="N517" s="106"/>
      <c r="O517" s="130"/>
    </row>
    <row r="518" spans="1:15" x14ac:dyDescent="0.25">
      <c r="A518" s="115" t="s">
        <v>455</v>
      </c>
      <c r="B518" s="113"/>
      <c r="C518" s="113"/>
      <c r="D518" s="4"/>
      <c r="E518" s="4"/>
      <c r="F518" s="106" t="str">
        <f t="shared" si="88"/>
        <v/>
      </c>
      <c r="G518" s="106" t="str">
        <f t="shared" si="89"/>
        <v/>
      </c>
      <c r="H518" s="4" t="str">
        <f t="shared" si="90"/>
        <v/>
      </c>
      <c r="I518" s="105" t="str">
        <f t="shared" si="91"/>
        <v/>
      </c>
      <c r="J518" s="4" t="str">
        <f t="shared" si="92"/>
        <v/>
      </c>
      <c r="K518" s="106" t="str">
        <f t="shared" si="93"/>
        <v/>
      </c>
      <c r="L518" s="106" t="s">
        <v>423</v>
      </c>
      <c r="M518" s="106"/>
      <c r="N518" s="106"/>
      <c r="O518" s="124"/>
    </row>
    <row r="519" spans="1:15" x14ac:dyDescent="0.25">
      <c r="A519" s="112" t="s">
        <v>456</v>
      </c>
      <c r="B519" s="113" t="s">
        <v>48</v>
      </c>
      <c r="C519" s="113" t="s">
        <v>45</v>
      </c>
      <c r="D519" s="4">
        <v>17</v>
      </c>
      <c r="E519" s="4">
        <v>4</v>
      </c>
      <c r="F519" s="106" t="str">
        <f t="shared" si="88"/>
        <v>Alta</v>
      </c>
      <c r="G519" s="106" t="str">
        <f t="shared" si="89"/>
        <v>EEH</v>
      </c>
      <c r="H519" s="4">
        <f t="shared" si="90"/>
        <v>6</v>
      </c>
      <c r="I519" s="105" t="str">
        <f t="shared" si="91"/>
        <v>H</v>
      </c>
      <c r="J519" s="4" t="str">
        <f t="shared" si="92"/>
        <v>EEI</v>
      </c>
      <c r="K519" s="106">
        <f t="shared" si="93"/>
        <v>6</v>
      </c>
      <c r="L519" s="106">
        <f>IF(NOT(ISERROR(VLOOKUP(B519,Deflatores!G$42:H$64,2,FALSE))),VLOOKUP(B519,Deflatores!G$42:H$64,2,FALSE),IF(OR(ISBLANK(C519),ISBLANK(B519)),"",VLOOKUP(C519,Deflatores!G$4:H$38,2,FALSE)*H519+VLOOKUP(C519,Deflatores!G$4:I$38,3,FALSE)))</f>
        <v>6</v>
      </c>
      <c r="M519" s="106"/>
      <c r="N519" s="106"/>
      <c r="O519" s="124"/>
    </row>
    <row r="520" spans="1:15" x14ac:dyDescent="0.25">
      <c r="A520" s="114" t="s">
        <v>457</v>
      </c>
      <c r="B520" s="113" t="s">
        <v>50</v>
      </c>
      <c r="C520" s="113" t="s">
        <v>45</v>
      </c>
      <c r="D520" s="4">
        <v>14</v>
      </c>
      <c r="E520" s="4">
        <v>3</v>
      </c>
      <c r="F520" s="106" t="str">
        <f t="shared" si="88"/>
        <v>Média</v>
      </c>
      <c r="G520" s="106" t="str">
        <f t="shared" si="89"/>
        <v>CEA</v>
      </c>
      <c r="H520" s="4">
        <f t="shared" si="90"/>
        <v>4</v>
      </c>
      <c r="I520" s="105" t="str">
        <f t="shared" si="91"/>
        <v>A</v>
      </c>
      <c r="J520" s="4" t="str">
        <f t="shared" si="92"/>
        <v>CEI</v>
      </c>
      <c r="K520" s="106">
        <f t="shared" si="93"/>
        <v>4</v>
      </c>
      <c r="L520" s="106">
        <f>IF(NOT(ISERROR(VLOOKUP(B520,Deflatores!G$42:H$64,2,FALSE))),VLOOKUP(B520,Deflatores!G$42:H$64,2,FALSE),IF(OR(ISBLANK(C520),ISBLANK(B520)),"",VLOOKUP(C520,Deflatores!G$4:H$38,2,FALSE)*H520+VLOOKUP(C520,Deflatores!G$4:I$38,3,FALSE)))</f>
        <v>4</v>
      </c>
      <c r="M520" s="106"/>
      <c r="N520" s="106"/>
      <c r="O520" s="124"/>
    </row>
    <row r="521" spans="1:15" x14ac:dyDescent="0.25">
      <c r="A521" s="112"/>
      <c r="B521" s="113"/>
      <c r="C521" s="113"/>
      <c r="D521" s="4"/>
      <c r="E521" s="4"/>
      <c r="F521" s="106" t="str">
        <f t="shared" si="88"/>
        <v/>
      </c>
      <c r="G521" s="106" t="str">
        <f t="shared" si="89"/>
        <v/>
      </c>
      <c r="H521" s="4" t="str">
        <f t="shared" si="90"/>
        <v/>
      </c>
      <c r="I521" s="105" t="str">
        <f t="shared" si="91"/>
        <v/>
      </c>
      <c r="J521" s="4" t="str">
        <f t="shared" si="92"/>
        <v/>
      </c>
      <c r="K521" s="106" t="str">
        <f t="shared" si="93"/>
        <v/>
      </c>
      <c r="L521" s="106" t="s">
        <v>423</v>
      </c>
      <c r="M521" s="106"/>
      <c r="N521" s="106"/>
      <c r="O521" s="124"/>
    </row>
    <row r="522" spans="1:15" x14ac:dyDescent="0.25">
      <c r="A522" s="115" t="s">
        <v>458</v>
      </c>
      <c r="B522" s="113"/>
      <c r="C522" s="113"/>
      <c r="D522" s="4"/>
      <c r="E522" s="4"/>
      <c r="F522" s="106" t="str">
        <f t="shared" si="88"/>
        <v/>
      </c>
      <c r="G522" s="106" t="str">
        <f t="shared" si="89"/>
        <v/>
      </c>
      <c r="H522" s="4" t="str">
        <f t="shared" si="90"/>
        <v/>
      </c>
      <c r="I522" s="105" t="str">
        <f t="shared" si="91"/>
        <v/>
      </c>
      <c r="J522" s="4" t="str">
        <f t="shared" si="92"/>
        <v/>
      </c>
      <c r="K522" s="106" t="str">
        <f t="shared" si="93"/>
        <v/>
      </c>
      <c r="L522" s="106" t="s">
        <v>423</v>
      </c>
      <c r="M522" s="106"/>
      <c r="N522" s="106"/>
      <c r="O522" s="124"/>
    </row>
    <row r="523" spans="1:15" x14ac:dyDescent="0.25">
      <c r="A523" s="112" t="s">
        <v>459</v>
      </c>
      <c r="B523" s="113" t="s">
        <v>50</v>
      </c>
      <c r="C523" s="113" t="s">
        <v>45</v>
      </c>
      <c r="D523" s="4">
        <v>15</v>
      </c>
      <c r="E523" s="4">
        <v>3</v>
      </c>
      <c r="F523" s="106" t="str">
        <f t="shared" si="88"/>
        <v>Média</v>
      </c>
      <c r="G523" s="106" t="str">
        <f t="shared" si="89"/>
        <v>CEA</v>
      </c>
      <c r="H523" s="4">
        <f t="shared" si="90"/>
        <v>4</v>
      </c>
      <c r="I523" s="105" t="str">
        <f t="shared" si="91"/>
        <v>A</v>
      </c>
      <c r="J523" s="4" t="str">
        <f t="shared" si="92"/>
        <v>CEI</v>
      </c>
      <c r="K523" s="106">
        <f t="shared" si="93"/>
        <v>4</v>
      </c>
      <c r="L523" s="106">
        <f>IF(NOT(ISERROR(VLOOKUP(B523,Deflatores!G$42:H$64,2,FALSE))),VLOOKUP(B523,Deflatores!G$42:H$64,2,FALSE),IF(OR(ISBLANK(C523),ISBLANK(B523)),"",VLOOKUP(C523,Deflatores!G$4:H$38,2,FALSE)*H523+VLOOKUP(C523,Deflatores!G$4:I$38,3,FALSE)))</f>
        <v>4</v>
      </c>
      <c r="M523" s="106"/>
      <c r="N523" s="106"/>
      <c r="O523" s="124"/>
    </row>
    <row r="524" spans="1:15" x14ac:dyDescent="0.25">
      <c r="A524" s="112"/>
      <c r="B524" s="113"/>
      <c r="C524" s="113"/>
      <c r="D524" s="4"/>
      <c r="E524" s="4"/>
      <c r="F524" s="106" t="str">
        <f t="shared" si="88"/>
        <v/>
      </c>
      <c r="G524" s="106" t="str">
        <f t="shared" si="89"/>
        <v/>
      </c>
      <c r="H524" s="4" t="str">
        <f t="shared" si="90"/>
        <v/>
      </c>
      <c r="I524" s="105" t="str">
        <f t="shared" si="91"/>
        <v/>
      </c>
      <c r="J524" s="4" t="str">
        <f t="shared" si="92"/>
        <v/>
      </c>
      <c r="K524" s="106" t="str">
        <f t="shared" si="93"/>
        <v/>
      </c>
      <c r="L524" s="106" t="s">
        <v>423</v>
      </c>
      <c r="M524" s="106"/>
      <c r="N524" s="106"/>
      <c r="O524" s="124"/>
    </row>
    <row r="525" spans="1:15" x14ac:dyDescent="0.25">
      <c r="A525" s="115" t="s">
        <v>460</v>
      </c>
      <c r="B525" s="113"/>
      <c r="C525" s="113"/>
      <c r="D525" s="4"/>
      <c r="E525" s="4"/>
      <c r="F525" s="106" t="str">
        <f t="shared" si="88"/>
        <v/>
      </c>
      <c r="G525" s="106" t="str">
        <f t="shared" si="89"/>
        <v/>
      </c>
      <c r="H525" s="4" t="str">
        <f t="shared" si="90"/>
        <v/>
      </c>
      <c r="I525" s="105" t="str">
        <f t="shared" si="91"/>
        <v/>
      </c>
      <c r="J525" s="4" t="str">
        <f t="shared" si="92"/>
        <v/>
      </c>
      <c r="K525" s="106" t="str">
        <f t="shared" si="93"/>
        <v/>
      </c>
      <c r="L525" s="106" t="s">
        <v>423</v>
      </c>
      <c r="M525" s="106"/>
      <c r="N525" s="106"/>
      <c r="O525" s="124"/>
    </row>
    <row r="526" spans="1:15" x14ac:dyDescent="0.25">
      <c r="A526" s="112" t="s">
        <v>461</v>
      </c>
      <c r="B526" s="113" t="s">
        <v>48</v>
      </c>
      <c r="C526" s="113" t="s">
        <v>45</v>
      </c>
      <c r="D526" s="4">
        <v>4</v>
      </c>
      <c r="E526" s="4">
        <v>2</v>
      </c>
      <c r="F526" s="106" t="str">
        <f t="shared" si="88"/>
        <v>Baixa</v>
      </c>
      <c r="G526" s="106" t="str">
        <f t="shared" si="89"/>
        <v>EEL</v>
      </c>
      <c r="H526" s="4">
        <f t="shared" si="90"/>
        <v>3</v>
      </c>
      <c r="I526" s="105" t="str">
        <f t="shared" si="91"/>
        <v>L</v>
      </c>
      <c r="J526" s="4" t="str">
        <f t="shared" si="92"/>
        <v>EEI</v>
      </c>
      <c r="K526" s="106">
        <f t="shared" si="93"/>
        <v>3</v>
      </c>
      <c r="L526" s="106">
        <f>IF(NOT(ISERROR(VLOOKUP(B526,Deflatores!G$42:H$64,2,FALSE))),VLOOKUP(B526,Deflatores!G$42:H$64,2,FALSE),IF(OR(ISBLANK(C526),ISBLANK(B526)),"",VLOOKUP(C526,Deflatores!G$4:H$38,2,FALSE)*H526+VLOOKUP(C526,Deflatores!G$4:I$38,3,FALSE)))</f>
        <v>3</v>
      </c>
      <c r="M526" s="106"/>
      <c r="N526" s="106"/>
      <c r="O526" s="124"/>
    </row>
    <row r="527" spans="1:15" x14ac:dyDescent="0.25">
      <c r="A527" s="112"/>
      <c r="B527" s="113"/>
      <c r="C527" s="113"/>
      <c r="D527" s="4"/>
      <c r="E527" s="4"/>
      <c r="F527" s="106" t="str">
        <f t="shared" si="88"/>
        <v/>
      </c>
      <c r="G527" s="106" t="str">
        <f t="shared" si="89"/>
        <v/>
      </c>
      <c r="H527" s="4" t="str">
        <f t="shared" si="90"/>
        <v/>
      </c>
      <c r="I527" s="105" t="str">
        <f t="shared" si="91"/>
        <v/>
      </c>
      <c r="J527" s="4" t="str">
        <f t="shared" si="92"/>
        <v/>
      </c>
      <c r="K527" s="106" t="str">
        <f t="shared" si="93"/>
        <v/>
      </c>
      <c r="L527" s="106" t="str">
        <f>IF(NOT(ISERROR(VLOOKUP(B527,Deflatores!G$42:H$64,2,FALSE))),VLOOKUP(B527,Deflatores!G$42:H$64,2,FALSE),IF(OR(ISBLANK(C527),ISBLANK(B527)),"",VLOOKUP(C527,Deflatores!G$4:H$38,2,FALSE)*H527+VLOOKUP(C527,Deflatores!G$4:I$38,3,FALSE)))</f>
        <v/>
      </c>
      <c r="M527" s="106"/>
      <c r="N527" s="106"/>
      <c r="O527" s="124"/>
    </row>
    <row r="528" spans="1:15" x14ac:dyDescent="0.25">
      <c r="A528" s="115" t="s">
        <v>462</v>
      </c>
      <c r="B528" s="113"/>
      <c r="C528" s="113"/>
      <c r="D528" s="4"/>
      <c r="E528" s="4"/>
      <c r="F528" s="106" t="str">
        <f t="shared" si="88"/>
        <v/>
      </c>
      <c r="G528" s="106" t="str">
        <f t="shared" si="89"/>
        <v/>
      </c>
      <c r="H528" s="4" t="str">
        <f t="shared" si="90"/>
        <v/>
      </c>
      <c r="I528" s="105" t="str">
        <f t="shared" si="91"/>
        <v/>
      </c>
      <c r="J528" s="4" t="str">
        <f t="shared" si="92"/>
        <v/>
      </c>
      <c r="K528" s="106" t="str">
        <f t="shared" si="93"/>
        <v/>
      </c>
      <c r="L528" s="106" t="str">
        <f>IF(NOT(ISERROR(VLOOKUP(B528,Deflatores!G$42:H$64,2,FALSE))),VLOOKUP(B528,Deflatores!G$42:H$64,2,FALSE),IF(OR(ISBLANK(C528),ISBLANK(B528)),"",VLOOKUP(C528,Deflatores!G$4:H$38,2,FALSE)*H528+VLOOKUP(C528,Deflatores!G$4:I$38,3,FALSE)))</f>
        <v/>
      </c>
      <c r="M528" s="106"/>
      <c r="N528" s="106"/>
      <c r="O528" s="124" t="s">
        <v>463</v>
      </c>
    </row>
    <row r="529" spans="1:15" ht="33" x14ac:dyDescent="0.25">
      <c r="A529" s="112" t="s">
        <v>464</v>
      </c>
      <c r="B529" s="113" t="s">
        <v>67</v>
      </c>
      <c r="C529" s="113" t="s">
        <v>45</v>
      </c>
      <c r="D529" s="4">
        <v>4</v>
      </c>
      <c r="E529" s="4">
        <v>1</v>
      </c>
      <c r="F529" s="106" t="str">
        <f t="shared" si="88"/>
        <v>Baixa</v>
      </c>
      <c r="G529" s="106" t="str">
        <f t="shared" si="89"/>
        <v>AIEL</v>
      </c>
      <c r="H529" s="4">
        <f t="shared" si="90"/>
        <v>5</v>
      </c>
      <c r="I529" s="105" t="str">
        <f t="shared" si="91"/>
        <v>L</v>
      </c>
      <c r="J529" s="4" t="str">
        <f t="shared" si="92"/>
        <v>AIEI</v>
      </c>
      <c r="K529" s="106">
        <f t="shared" si="93"/>
        <v>5</v>
      </c>
      <c r="L529" s="106">
        <f>IF(NOT(ISERROR(VLOOKUP(B529,Deflatores!G$42:H$64,2,FALSE))),VLOOKUP(B529,Deflatores!G$42:H$64,2,FALSE),IF(OR(ISBLANK(C529),ISBLANK(B529)),"",VLOOKUP(C529,Deflatores!G$4:H$38,2,FALSE)*H529+VLOOKUP(C529,Deflatores!G$4:I$38,3,FALSE)))</f>
        <v>5</v>
      </c>
      <c r="M529" s="106"/>
      <c r="N529" s="106"/>
      <c r="O529" s="130" t="s">
        <v>465</v>
      </c>
    </row>
    <row r="530" spans="1:15" x14ac:dyDescent="0.25">
      <c r="A530" s="112" t="s">
        <v>466</v>
      </c>
      <c r="B530" s="113" t="s">
        <v>44</v>
      </c>
      <c r="C530" s="113" t="s">
        <v>45</v>
      </c>
      <c r="D530" s="4">
        <v>9</v>
      </c>
      <c r="E530" s="4">
        <v>1</v>
      </c>
      <c r="F530" s="106" t="str">
        <f t="shared" si="88"/>
        <v>Baixa</v>
      </c>
      <c r="G530" s="106" t="str">
        <f t="shared" si="89"/>
        <v>ALIL</v>
      </c>
      <c r="H530" s="4">
        <f t="shared" si="90"/>
        <v>7</v>
      </c>
      <c r="I530" s="105" t="str">
        <f t="shared" si="91"/>
        <v>L</v>
      </c>
      <c r="J530" s="4" t="str">
        <f t="shared" si="92"/>
        <v>ALII</v>
      </c>
      <c r="K530" s="106">
        <f t="shared" si="93"/>
        <v>7</v>
      </c>
      <c r="L530" s="106">
        <f>IF(NOT(ISERROR(VLOOKUP(B530,Deflatores!G$42:H$64,2,FALSE))),VLOOKUP(B530,Deflatores!G$42:H$64,2,FALSE),IF(OR(ISBLANK(C530),ISBLANK(B530)),"",VLOOKUP(C530,Deflatores!G$4:H$38,2,FALSE)*H530+VLOOKUP(C530,Deflatores!G$4:I$38,3,FALSE)))</f>
        <v>7</v>
      </c>
      <c r="M530" s="106"/>
      <c r="N530" s="106"/>
      <c r="O530" s="124"/>
    </row>
    <row r="531" spans="1:15" x14ac:dyDescent="0.25">
      <c r="A531" s="112" t="s">
        <v>467</v>
      </c>
      <c r="B531" s="113" t="s">
        <v>48</v>
      </c>
      <c r="C531" s="113" t="s">
        <v>45</v>
      </c>
      <c r="D531" s="4">
        <v>13</v>
      </c>
      <c r="E531" s="4">
        <v>6</v>
      </c>
      <c r="F531" s="106" t="str">
        <f t="shared" si="88"/>
        <v>Alta</v>
      </c>
      <c r="G531" s="106" t="str">
        <f t="shared" si="89"/>
        <v>EEH</v>
      </c>
      <c r="H531" s="4">
        <f t="shared" si="90"/>
        <v>6</v>
      </c>
      <c r="I531" s="105" t="str">
        <f t="shared" si="91"/>
        <v>H</v>
      </c>
      <c r="J531" s="4" t="str">
        <f t="shared" si="92"/>
        <v>EEI</v>
      </c>
      <c r="K531" s="106">
        <f t="shared" si="93"/>
        <v>6</v>
      </c>
      <c r="L531" s="106">
        <f>IF(NOT(ISERROR(VLOOKUP(B531,Deflatores!G$42:H$64,2,FALSE))),VLOOKUP(B531,Deflatores!G$42:H$64,2,FALSE),IF(OR(ISBLANK(C531),ISBLANK(B531)),"",VLOOKUP(C531,Deflatores!G$4:H$38,2,FALSE)*H531+VLOOKUP(C531,Deflatores!G$4:I$38,3,FALSE)))</f>
        <v>6</v>
      </c>
      <c r="M531" s="106"/>
      <c r="N531" s="106"/>
      <c r="O531" s="124"/>
    </row>
    <row r="532" spans="1:15" x14ac:dyDescent="0.25">
      <c r="A532" s="112"/>
      <c r="B532" s="113"/>
      <c r="C532" s="113"/>
      <c r="D532" s="4"/>
      <c r="E532" s="4"/>
      <c r="F532" s="106" t="str">
        <f t="shared" si="88"/>
        <v/>
      </c>
      <c r="G532" s="106" t="str">
        <f t="shared" si="89"/>
        <v/>
      </c>
      <c r="H532" s="4" t="str">
        <f t="shared" si="90"/>
        <v/>
      </c>
      <c r="I532" s="105" t="str">
        <f t="shared" si="91"/>
        <v/>
      </c>
      <c r="J532" s="4" t="str">
        <f t="shared" si="92"/>
        <v/>
      </c>
      <c r="K532" s="106" t="str">
        <f t="shared" si="93"/>
        <v/>
      </c>
      <c r="L532" s="106" t="s">
        <v>423</v>
      </c>
      <c r="M532" s="106"/>
      <c r="N532" s="106"/>
      <c r="O532" s="124"/>
    </row>
    <row r="533" spans="1:15" x14ac:dyDescent="0.25">
      <c r="A533" s="115" t="s">
        <v>468</v>
      </c>
      <c r="B533" s="113"/>
      <c r="C533" s="113"/>
      <c r="D533" s="4"/>
      <c r="E533" s="4"/>
      <c r="F533" s="106" t="str">
        <f t="shared" si="88"/>
        <v/>
      </c>
      <c r="G533" s="106" t="str">
        <f t="shared" si="89"/>
        <v/>
      </c>
      <c r="H533" s="4" t="str">
        <f t="shared" si="90"/>
        <v/>
      </c>
      <c r="I533" s="105" t="str">
        <f t="shared" si="91"/>
        <v/>
      </c>
      <c r="J533" s="4" t="str">
        <f t="shared" si="92"/>
        <v/>
      </c>
      <c r="K533" s="106" t="str">
        <f t="shared" si="93"/>
        <v/>
      </c>
      <c r="L533" s="106" t="s">
        <v>423</v>
      </c>
      <c r="M533" s="106"/>
      <c r="N533" s="106"/>
      <c r="O533" s="124"/>
    </row>
    <row r="534" spans="1:15" x14ac:dyDescent="0.25">
      <c r="A534" s="112" t="s">
        <v>469</v>
      </c>
      <c r="B534" s="113" t="s">
        <v>50</v>
      </c>
      <c r="C534" s="113" t="s">
        <v>45</v>
      </c>
      <c r="D534" s="4">
        <v>11</v>
      </c>
      <c r="E534" s="4">
        <v>5</v>
      </c>
      <c r="F534" s="106" t="str">
        <f t="shared" si="88"/>
        <v>Alta</v>
      </c>
      <c r="G534" s="106" t="str">
        <f t="shared" si="89"/>
        <v>CEH</v>
      </c>
      <c r="H534" s="4">
        <f t="shared" si="90"/>
        <v>6</v>
      </c>
      <c r="I534" s="105" t="str">
        <f t="shared" si="91"/>
        <v>H</v>
      </c>
      <c r="J534" s="4" t="str">
        <f t="shared" si="92"/>
        <v>CEI</v>
      </c>
      <c r="K534" s="106">
        <f t="shared" si="93"/>
        <v>6</v>
      </c>
      <c r="L534" s="106">
        <f>IF(NOT(ISERROR(VLOOKUP(B534,Deflatores!G$42:H$64,2,FALSE))),VLOOKUP(B534,Deflatores!G$42:H$64,2,FALSE),IF(OR(ISBLANK(C534),ISBLANK(B534)),"",VLOOKUP(C534,Deflatores!G$4:H$38,2,FALSE)*H534+VLOOKUP(C534,Deflatores!G$4:I$38,3,FALSE)))</f>
        <v>6</v>
      </c>
      <c r="M534" s="106"/>
      <c r="N534" s="106"/>
      <c r="O534" s="124"/>
    </row>
    <row r="535" spans="1:15" x14ac:dyDescent="0.25">
      <c r="A535" s="114" t="s">
        <v>470</v>
      </c>
      <c r="B535" s="113" t="s">
        <v>50</v>
      </c>
      <c r="C535" s="113" t="s">
        <v>45</v>
      </c>
      <c r="D535" s="4">
        <v>3</v>
      </c>
      <c r="E535" s="4">
        <v>1</v>
      </c>
      <c r="F535" s="106" t="str">
        <f t="shared" si="88"/>
        <v>Baixa</v>
      </c>
      <c r="G535" s="106" t="str">
        <f t="shared" si="89"/>
        <v>CEL</v>
      </c>
      <c r="H535" s="4">
        <f t="shared" si="90"/>
        <v>3</v>
      </c>
      <c r="I535" s="105" t="str">
        <f t="shared" si="91"/>
        <v>L</v>
      </c>
      <c r="J535" s="4" t="str">
        <f t="shared" si="92"/>
        <v>CEI</v>
      </c>
      <c r="K535" s="106">
        <f t="shared" si="93"/>
        <v>3</v>
      </c>
      <c r="L535" s="106">
        <f>IF(NOT(ISERROR(VLOOKUP(B535,Deflatores!G$42:H$64,2,FALSE))),VLOOKUP(B535,Deflatores!G$42:H$64,2,FALSE),IF(OR(ISBLANK(C535),ISBLANK(B535)),"",VLOOKUP(C535,Deflatores!G$4:H$38,2,FALSE)*H535+VLOOKUP(C535,Deflatores!G$4:I$38,3,FALSE)))</f>
        <v>3</v>
      </c>
      <c r="M535" s="106"/>
      <c r="N535" s="106"/>
      <c r="O535" s="124"/>
    </row>
    <row r="536" spans="1:15" x14ac:dyDescent="0.25">
      <c r="A536" s="114" t="s">
        <v>471</v>
      </c>
      <c r="B536" s="113" t="s">
        <v>50</v>
      </c>
      <c r="C536" s="113" t="s">
        <v>45</v>
      </c>
      <c r="D536" s="4">
        <v>3</v>
      </c>
      <c r="E536" s="4">
        <v>1</v>
      </c>
      <c r="F536" s="106" t="str">
        <f t="shared" si="88"/>
        <v>Baixa</v>
      </c>
      <c r="G536" s="106" t="str">
        <f t="shared" si="89"/>
        <v>CEL</v>
      </c>
      <c r="H536" s="4">
        <f t="shared" si="90"/>
        <v>3</v>
      </c>
      <c r="I536" s="105" t="str">
        <f t="shared" si="91"/>
        <v>L</v>
      </c>
      <c r="J536" s="4" t="str">
        <f t="shared" si="92"/>
        <v>CEI</v>
      </c>
      <c r="K536" s="106">
        <f t="shared" si="93"/>
        <v>3</v>
      </c>
      <c r="L536" s="106">
        <f>IF(NOT(ISERROR(VLOOKUP(B536,Deflatores!G$42:H$64,2,FALSE))),VLOOKUP(B536,Deflatores!G$42:H$64,2,FALSE),IF(OR(ISBLANK(C536),ISBLANK(B536)),"",VLOOKUP(C536,Deflatores!G$4:H$38,2,FALSE)*H536+VLOOKUP(C536,Deflatores!G$4:I$38,3,FALSE)))</f>
        <v>3</v>
      </c>
      <c r="M536" s="106"/>
      <c r="N536" s="106"/>
      <c r="O536" s="124"/>
    </row>
    <row r="537" spans="1:15" x14ac:dyDescent="0.25">
      <c r="A537" s="114" t="s">
        <v>472</v>
      </c>
      <c r="B537" s="113" t="s">
        <v>50</v>
      </c>
      <c r="C537" s="113" t="s">
        <v>45</v>
      </c>
      <c r="D537" s="4">
        <v>3</v>
      </c>
      <c r="E537" s="4">
        <v>1</v>
      </c>
      <c r="F537" s="106" t="str">
        <f t="shared" si="88"/>
        <v>Baixa</v>
      </c>
      <c r="G537" s="106" t="str">
        <f t="shared" si="89"/>
        <v>CEL</v>
      </c>
      <c r="H537" s="4">
        <f t="shared" si="90"/>
        <v>3</v>
      </c>
      <c r="I537" s="105" t="str">
        <f t="shared" si="91"/>
        <v>L</v>
      </c>
      <c r="J537" s="4" t="str">
        <f t="shared" si="92"/>
        <v>CEI</v>
      </c>
      <c r="K537" s="106">
        <f t="shared" si="93"/>
        <v>3</v>
      </c>
      <c r="L537" s="106">
        <f>IF(NOT(ISERROR(VLOOKUP(B537,Deflatores!G$42:H$64,2,FALSE))),VLOOKUP(B537,Deflatores!G$42:H$64,2,FALSE),IF(OR(ISBLANK(C537),ISBLANK(B537)),"",VLOOKUP(C537,Deflatores!G$4:H$38,2,FALSE)*H537+VLOOKUP(C537,Deflatores!G$4:I$38,3,FALSE)))</f>
        <v>3</v>
      </c>
      <c r="M537" s="106"/>
      <c r="N537" s="106"/>
      <c r="O537" s="124"/>
    </row>
    <row r="538" spans="1:15" x14ac:dyDescent="0.25">
      <c r="A538" s="112"/>
      <c r="B538" s="113"/>
      <c r="C538" s="113"/>
      <c r="D538" s="4"/>
      <c r="E538" s="4"/>
      <c r="F538" s="106" t="str">
        <f t="shared" si="88"/>
        <v/>
      </c>
      <c r="G538" s="106" t="str">
        <f t="shared" si="89"/>
        <v/>
      </c>
      <c r="H538" s="4" t="str">
        <f t="shared" si="90"/>
        <v/>
      </c>
      <c r="I538" s="105" t="str">
        <f t="shared" si="91"/>
        <v/>
      </c>
      <c r="J538" s="4" t="str">
        <f t="shared" si="92"/>
        <v/>
      </c>
      <c r="K538" s="106" t="str">
        <f t="shared" si="93"/>
        <v/>
      </c>
      <c r="L538" s="106" t="str">
        <f>IF(NOT(ISERROR(VLOOKUP(B538,Deflatores!G$42:H$64,2,FALSE))),VLOOKUP(B538,Deflatores!G$42:H$64,2,FALSE),IF(OR(ISBLANK(C538),ISBLANK(B538)),"",VLOOKUP(C538,Deflatores!G$4:H$38,2,FALSE)*H538+VLOOKUP(C538,Deflatores!G$4:I$38,3,FALSE)))</f>
        <v/>
      </c>
      <c r="M538" s="106"/>
      <c r="N538" s="106"/>
      <c r="O538" s="124"/>
    </row>
    <row r="539" spans="1:15" x14ac:dyDescent="0.25">
      <c r="A539" s="115" t="s">
        <v>473</v>
      </c>
      <c r="B539" s="113"/>
      <c r="C539" s="113"/>
      <c r="D539" s="4"/>
      <c r="E539" s="4"/>
      <c r="F539" s="106" t="str">
        <f t="shared" si="88"/>
        <v/>
      </c>
      <c r="G539" s="106" t="str">
        <f t="shared" si="89"/>
        <v/>
      </c>
      <c r="H539" s="4" t="str">
        <f t="shared" si="90"/>
        <v/>
      </c>
      <c r="I539" s="105" t="str">
        <f t="shared" si="91"/>
        <v/>
      </c>
      <c r="J539" s="4" t="str">
        <f t="shared" si="92"/>
        <v/>
      </c>
      <c r="K539" s="106" t="str">
        <f t="shared" si="93"/>
        <v/>
      </c>
      <c r="L539" s="106" t="str">
        <f>IF(NOT(ISERROR(VLOOKUP(B539,Deflatores!G$42:H$64,2,FALSE))),VLOOKUP(B539,Deflatores!G$42:H$64,2,FALSE),IF(OR(ISBLANK(C539),ISBLANK(B539)),"",VLOOKUP(C539,Deflatores!G$4:H$38,2,FALSE)*H539+VLOOKUP(C539,Deflatores!G$4:I$38,3,FALSE)))</f>
        <v/>
      </c>
      <c r="M539" s="106"/>
      <c r="N539" s="106"/>
      <c r="O539" s="124"/>
    </row>
    <row r="540" spans="1:15" x14ac:dyDescent="0.25">
      <c r="A540" s="112" t="s">
        <v>474</v>
      </c>
      <c r="B540" s="113" t="s">
        <v>48</v>
      </c>
      <c r="C540" s="113" t="s">
        <v>45</v>
      </c>
      <c r="D540" s="4">
        <v>13</v>
      </c>
      <c r="E540" s="4">
        <v>6</v>
      </c>
      <c r="F540" s="106" t="str">
        <f t="shared" si="88"/>
        <v>Alta</v>
      </c>
      <c r="G540" s="106" t="str">
        <f t="shared" si="89"/>
        <v>EEH</v>
      </c>
      <c r="H540" s="4">
        <f t="shared" si="90"/>
        <v>6</v>
      </c>
      <c r="I540" s="105" t="str">
        <f t="shared" si="91"/>
        <v>H</v>
      </c>
      <c r="J540" s="4" t="str">
        <f t="shared" si="92"/>
        <v>EEI</v>
      </c>
      <c r="K540" s="106">
        <f t="shared" si="93"/>
        <v>6</v>
      </c>
      <c r="L540" s="106">
        <f>IF(NOT(ISERROR(VLOOKUP(B540,Deflatores!G$42:H$64,2,FALSE))),VLOOKUP(B540,Deflatores!G$42:H$64,2,FALSE),IF(OR(ISBLANK(C540),ISBLANK(B540)),"",VLOOKUP(C540,Deflatores!G$4:H$38,2,FALSE)*H540+VLOOKUP(C540,Deflatores!G$4:I$38,3,FALSE)))</f>
        <v>6</v>
      </c>
      <c r="M540" s="106"/>
      <c r="N540" s="106"/>
      <c r="O540" s="124"/>
    </row>
    <row r="541" spans="1:15" x14ac:dyDescent="0.25">
      <c r="A541" s="114" t="s">
        <v>475</v>
      </c>
      <c r="B541" s="113" t="s">
        <v>48</v>
      </c>
      <c r="C541" s="113" t="s">
        <v>45</v>
      </c>
      <c r="D541" s="4">
        <v>12</v>
      </c>
      <c r="E541" s="4">
        <v>5</v>
      </c>
      <c r="F541" s="106" t="str">
        <f t="shared" si="88"/>
        <v>Alta</v>
      </c>
      <c r="G541" s="106" t="str">
        <f t="shared" si="89"/>
        <v>EEH</v>
      </c>
      <c r="H541" s="4">
        <f t="shared" si="90"/>
        <v>6</v>
      </c>
      <c r="I541" s="105" t="str">
        <f t="shared" si="91"/>
        <v>H</v>
      </c>
      <c r="J541" s="4" t="str">
        <f t="shared" si="92"/>
        <v>EEI</v>
      </c>
      <c r="K541" s="106">
        <f t="shared" si="93"/>
        <v>6</v>
      </c>
      <c r="L541" s="106">
        <f>IF(NOT(ISERROR(VLOOKUP(B541,Deflatores!G$42:H$64,2,FALSE))),VLOOKUP(B541,Deflatores!G$42:H$64,2,FALSE),IF(OR(ISBLANK(C541),ISBLANK(B541)),"",VLOOKUP(C541,Deflatores!G$4:H$38,2,FALSE)*H541+VLOOKUP(C541,Deflatores!G$4:I$38,3,FALSE)))</f>
        <v>6</v>
      </c>
      <c r="M541" s="106"/>
      <c r="N541" s="106"/>
      <c r="O541" s="124"/>
    </row>
    <row r="542" spans="1:15" x14ac:dyDescent="0.25">
      <c r="A542" s="112"/>
      <c r="B542" s="113"/>
      <c r="C542" s="113"/>
      <c r="D542" s="4"/>
      <c r="E542" s="4"/>
      <c r="F542" s="106" t="str">
        <f t="shared" si="88"/>
        <v/>
      </c>
      <c r="G542" s="106" t="str">
        <f t="shared" si="89"/>
        <v/>
      </c>
      <c r="H542" s="4" t="str">
        <f t="shared" si="90"/>
        <v/>
      </c>
      <c r="I542" s="105" t="str">
        <f t="shared" si="91"/>
        <v/>
      </c>
      <c r="J542" s="4" t="str">
        <f t="shared" si="92"/>
        <v/>
      </c>
      <c r="K542" s="106" t="str">
        <f t="shared" si="93"/>
        <v/>
      </c>
      <c r="L542" s="106" t="str">
        <f>IF(NOT(ISERROR(VLOOKUP(B542,Deflatores!G$42:H$64,2,FALSE))),VLOOKUP(B542,Deflatores!G$42:H$64,2,FALSE),IF(OR(ISBLANK(C542),ISBLANK(B542)),"",VLOOKUP(C542,Deflatores!G$4:H$38,2,FALSE)*H542+VLOOKUP(C542,Deflatores!G$4:I$38,3,FALSE)))</f>
        <v/>
      </c>
      <c r="M542" s="106"/>
      <c r="N542" s="106"/>
      <c r="O542" s="124"/>
    </row>
    <row r="543" spans="1:15" x14ac:dyDescent="0.25">
      <c r="A543" s="115" t="s">
        <v>476</v>
      </c>
      <c r="B543" s="113"/>
      <c r="C543" s="113"/>
      <c r="D543" s="4"/>
      <c r="E543" s="4"/>
      <c r="F543" s="106" t="str">
        <f t="shared" si="88"/>
        <v/>
      </c>
      <c r="G543" s="106" t="str">
        <f t="shared" si="89"/>
        <v/>
      </c>
      <c r="H543" s="4" t="str">
        <f t="shared" si="90"/>
        <v/>
      </c>
      <c r="I543" s="105" t="str">
        <f t="shared" si="91"/>
        <v/>
      </c>
      <c r="J543" s="4" t="str">
        <f t="shared" si="92"/>
        <v/>
      </c>
      <c r="K543" s="106" t="str">
        <f t="shared" si="93"/>
        <v/>
      </c>
      <c r="L543" s="106" t="str">
        <f>IF(NOT(ISERROR(VLOOKUP(B543,Deflatores!G$42:H$64,2,FALSE))),VLOOKUP(B543,Deflatores!G$42:H$64,2,FALSE),IF(OR(ISBLANK(C543),ISBLANK(B543)),"",VLOOKUP(C543,Deflatores!G$4:H$38,2,FALSE)*H543+VLOOKUP(C543,Deflatores!G$4:I$38,3,FALSE)))</f>
        <v/>
      </c>
      <c r="M543" s="106"/>
      <c r="N543" s="106"/>
      <c r="O543" s="124"/>
    </row>
    <row r="544" spans="1:15" x14ac:dyDescent="0.25">
      <c r="A544" s="112" t="s">
        <v>477</v>
      </c>
      <c r="B544" s="113" t="s">
        <v>48</v>
      </c>
      <c r="C544" s="113" t="s">
        <v>45</v>
      </c>
      <c r="D544" s="4">
        <v>4</v>
      </c>
      <c r="E544" s="4">
        <v>1</v>
      </c>
      <c r="F544" s="106" t="str">
        <f t="shared" si="88"/>
        <v>Baixa</v>
      </c>
      <c r="G544" s="106" t="str">
        <f t="shared" si="89"/>
        <v>EEL</v>
      </c>
      <c r="H544" s="4">
        <f t="shared" si="90"/>
        <v>3</v>
      </c>
      <c r="I544" s="105" t="str">
        <f t="shared" si="91"/>
        <v>L</v>
      </c>
      <c r="J544" s="4" t="str">
        <f t="shared" si="92"/>
        <v>EEI</v>
      </c>
      <c r="K544" s="106">
        <f t="shared" si="93"/>
        <v>3</v>
      </c>
      <c r="L544" s="106">
        <f>IF(NOT(ISERROR(VLOOKUP(B544,Deflatores!G$42:H$64,2,FALSE))),VLOOKUP(B544,Deflatores!G$42:H$64,2,FALSE),IF(OR(ISBLANK(C544),ISBLANK(B544)),"",VLOOKUP(C544,Deflatores!G$4:H$38,2,FALSE)*H544+VLOOKUP(C544,Deflatores!G$4:I$38,3,FALSE)))</f>
        <v>3</v>
      </c>
      <c r="M544" s="106"/>
      <c r="N544" s="106"/>
      <c r="O544" s="124"/>
    </row>
    <row r="545" spans="1:15" x14ac:dyDescent="0.25">
      <c r="A545" s="112"/>
      <c r="B545" s="113"/>
      <c r="C545" s="113"/>
      <c r="D545" s="4"/>
      <c r="E545" s="4"/>
      <c r="F545" s="106" t="str">
        <f t="shared" si="88"/>
        <v/>
      </c>
      <c r="G545" s="106" t="str">
        <f t="shared" si="89"/>
        <v/>
      </c>
      <c r="H545" s="4" t="str">
        <f t="shared" si="90"/>
        <v/>
      </c>
      <c r="I545" s="105" t="str">
        <f t="shared" si="91"/>
        <v/>
      </c>
      <c r="J545" s="4" t="str">
        <f t="shared" si="92"/>
        <v/>
      </c>
      <c r="K545" s="106" t="str">
        <f t="shared" si="93"/>
        <v/>
      </c>
      <c r="L545" s="106" t="str">
        <f>IF(NOT(ISERROR(VLOOKUP(B545,Deflatores!G$42:H$64,2,FALSE))),VLOOKUP(B545,Deflatores!G$42:H$64,2,FALSE),IF(OR(ISBLANK(C545),ISBLANK(B545)),"",VLOOKUP(C545,Deflatores!G$4:H$38,2,FALSE)*H545+VLOOKUP(C545,Deflatores!G$4:I$38,3,FALSE)))</f>
        <v/>
      </c>
      <c r="M545" s="106"/>
      <c r="N545" s="106"/>
      <c r="O545" s="124"/>
    </row>
    <row r="546" spans="1:15" ht="22.5" customHeight="1" x14ac:dyDescent="0.25">
      <c r="A546" s="115" t="s">
        <v>478</v>
      </c>
      <c r="B546" s="113"/>
      <c r="C546" s="113"/>
      <c r="D546" s="4"/>
      <c r="E546" s="4"/>
      <c r="F546" s="106" t="str">
        <f t="shared" si="88"/>
        <v/>
      </c>
      <c r="G546" s="106" t="str">
        <f t="shared" si="89"/>
        <v/>
      </c>
      <c r="H546" s="4" t="str">
        <f t="shared" si="90"/>
        <v/>
      </c>
      <c r="I546" s="105" t="str">
        <f t="shared" si="91"/>
        <v/>
      </c>
      <c r="J546" s="4" t="str">
        <f t="shared" si="92"/>
        <v/>
      </c>
      <c r="K546" s="106" t="str">
        <f t="shared" si="93"/>
        <v/>
      </c>
      <c r="L546" s="106" t="str">
        <f>IF(NOT(ISERROR(VLOOKUP(B546,Deflatores!G$42:H$64,2,FALSE))),VLOOKUP(B546,Deflatores!G$42:H$64,2,FALSE),IF(OR(ISBLANK(C546),ISBLANK(B546)),"",VLOOKUP(C546,Deflatores!G$4:H$38,2,FALSE)*H546+VLOOKUP(C546,Deflatores!G$4:I$38,3,FALSE)))</f>
        <v/>
      </c>
      <c r="M546" s="106"/>
      <c r="N546" s="106"/>
      <c r="O546" s="124"/>
    </row>
    <row r="547" spans="1:15" x14ac:dyDescent="0.25">
      <c r="A547" s="112" t="s">
        <v>479</v>
      </c>
      <c r="B547" s="113" t="s">
        <v>50</v>
      </c>
      <c r="C547" s="113" t="s">
        <v>45</v>
      </c>
      <c r="D547" s="4">
        <v>10</v>
      </c>
      <c r="E547" s="4">
        <v>2</v>
      </c>
      <c r="F547" s="106" t="str">
        <f t="shared" si="88"/>
        <v>Média</v>
      </c>
      <c r="G547" s="106" t="str">
        <f t="shared" si="89"/>
        <v>CEA</v>
      </c>
      <c r="H547" s="4">
        <f t="shared" si="90"/>
        <v>4</v>
      </c>
      <c r="I547" s="105" t="str">
        <f t="shared" si="91"/>
        <v>A</v>
      </c>
      <c r="J547" s="4" t="str">
        <f t="shared" si="92"/>
        <v>CEI</v>
      </c>
      <c r="K547" s="106">
        <f t="shared" si="93"/>
        <v>4</v>
      </c>
      <c r="L547" s="106">
        <f>IF(NOT(ISERROR(VLOOKUP(B547,Deflatores!G$42:H$64,2,FALSE))),VLOOKUP(B547,Deflatores!G$42:H$64,2,FALSE),IF(OR(ISBLANK(C547),ISBLANK(B547)),"",VLOOKUP(C547,Deflatores!G$4:H$38,2,FALSE)*H547+VLOOKUP(C547,Deflatores!G$4:I$38,3,FALSE)))</f>
        <v>4</v>
      </c>
      <c r="M547" s="106"/>
      <c r="N547" s="106"/>
      <c r="O547" s="124"/>
    </row>
    <row r="548" spans="1:15" x14ac:dyDescent="0.25">
      <c r="A548" s="112"/>
      <c r="B548" s="113"/>
      <c r="C548" s="113"/>
      <c r="D548" s="4"/>
      <c r="E548" s="4"/>
      <c r="F548" s="106" t="str">
        <f t="shared" si="88"/>
        <v/>
      </c>
      <c r="G548" s="106" t="str">
        <f t="shared" si="89"/>
        <v/>
      </c>
      <c r="H548" s="4" t="str">
        <f t="shared" si="90"/>
        <v/>
      </c>
      <c r="I548" s="105" t="str">
        <f t="shared" si="91"/>
        <v/>
      </c>
      <c r="J548" s="4" t="str">
        <f t="shared" si="92"/>
        <v/>
      </c>
      <c r="K548" s="106" t="str">
        <f t="shared" si="93"/>
        <v/>
      </c>
      <c r="L548" s="106" t="str">
        <f>IF(NOT(ISERROR(VLOOKUP(B548,Deflatores!G$42:H$64,2,FALSE))),VLOOKUP(B548,Deflatores!G$42:H$64,2,FALSE),IF(OR(ISBLANK(C548),ISBLANK(B548)),"",VLOOKUP(C548,Deflatores!G$4:H$38,2,FALSE)*H548+VLOOKUP(C548,Deflatores!G$4:I$38,3,FALSE)))</f>
        <v/>
      </c>
      <c r="M548" s="106"/>
      <c r="N548" s="106"/>
      <c r="O548" s="124"/>
    </row>
    <row r="549" spans="1:15" ht="22" x14ac:dyDescent="0.25">
      <c r="A549" s="115" t="s">
        <v>480</v>
      </c>
      <c r="B549" s="113"/>
      <c r="C549" s="113"/>
      <c r="D549" s="4"/>
      <c r="E549" s="4"/>
      <c r="F549" s="106" t="str">
        <f t="shared" si="88"/>
        <v/>
      </c>
      <c r="G549" s="106" t="str">
        <f t="shared" si="89"/>
        <v/>
      </c>
      <c r="H549" s="4" t="str">
        <f t="shared" si="90"/>
        <v/>
      </c>
      <c r="I549" s="105" t="str">
        <f t="shared" si="91"/>
        <v/>
      </c>
      <c r="J549" s="4" t="str">
        <f t="shared" si="92"/>
        <v/>
      </c>
      <c r="K549" s="106" t="str">
        <f t="shared" si="93"/>
        <v/>
      </c>
      <c r="L549" s="106" t="str">
        <f>IF(NOT(ISERROR(VLOOKUP(B549,Deflatores!G$42:H$64,2,FALSE))),VLOOKUP(B549,Deflatores!G$42:H$64,2,FALSE),IF(OR(ISBLANK(C549),ISBLANK(B549)),"",VLOOKUP(C549,Deflatores!G$4:H$38,2,FALSE)*H549+VLOOKUP(C549,Deflatores!G$4:I$38,3,FALSE)))</f>
        <v/>
      </c>
      <c r="M549" s="106"/>
      <c r="N549" s="106"/>
      <c r="O549" s="124"/>
    </row>
    <row r="550" spans="1:15" x14ac:dyDescent="0.25">
      <c r="A550" s="112" t="s">
        <v>481</v>
      </c>
      <c r="B550" s="113" t="s">
        <v>50</v>
      </c>
      <c r="C550" s="113" t="s">
        <v>45</v>
      </c>
      <c r="D550" s="4">
        <v>4</v>
      </c>
      <c r="E550" s="4">
        <v>1</v>
      </c>
      <c r="F550" s="106" t="str">
        <f t="shared" si="88"/>
        <v>Baixa</v>
      </c>
      <c r="G550" s="106" t="str">
        <f t="shared" si="89"/>
        <v>CEL</v>
      </c>
      <c r="H550" s="4">
        <f t="shared" si="90"/>
        <v>3</v>
      </c>
      <c r="I550" s="105" t="str">
        <f t="shared" si="91"/>
        <v>L</v>
      </c>
      <c r="J550" s="4" t="str">
        <f t="shared" si="92"/>
        <v>CEI</v>
      </c>
      <c r="K550" s="106">
        <f t="shared" si="93"/>
        <v>3</v>
      </c>
      <c r="L550" s="106">
        <f>IF(NOT(ISERROR(VLOOKUP(B550,Deflatores!G$42:H$64,2,FALSE))),VLOOKUP(B550,Deflatores!G$42:H$64,2,FALSE),IF(OR(ISBLANK(C550),ISBLANK(B550)),"",VLOOKUP(C550,Deflatores!G$4:H$38,2,FALSE)*H550+VLOOKUP(C550,Deflatores!G$4:I$38,3,FALSE)))</f>
        <v>3</v>
      </c>
      <c r="M550" s="106"/>
      <c r="N550" s="106"/>
      <c r="O550" s="124"/>
    </row>
    <row r="551" spans="1:15" x14ac:dyDescent="0.25">
      <c r="A551" s="112"/>
      <c r="B551" s="113"/>
      <c r="C551" s="113"/>
      <c r="D551" s="4"/>
      <c r="E551" s="4"/>
      <c r="F551" s="106" t="str">
        <f t="shared" si="88"/>
        <v/>
      </c>
      <c r="G551" s="106" t="str">
        <f t="shared" si="89"/>
        <v/>
      </c>
      <c r="H551" s="4" t="str">
        <f t="shared" si="90"/>
        <v/>
      </c>
      <c r="I551" s="105" t="str">
        <f t="shared" si="91"/>
        <v/>
      </c>
      <c r="J551" s="4" t="str">
        <f t="shared" si="92"/>
        <v/>
      </c>
      <c r="K551" s="106" t="str">
        <f t="shared" si="93"/>
        <v/>
      </c>
      <c r="L551" s="106" t="str">
        <f>IF(NOT(ISERROR(VLOOKUP(B551,Deflatores!G$42:H$64,2,FALSE))),VLOOKUP(B551,Deflatores!G$42:H$64,2,FALSE),IF(OR(ISBLANK(C551),ISBLANK(B551)),"",VLOOKUP(C551,Deflatores!G$4:H$38,2,FALSE)*H551+VLOOKUP(C551,Deflatores!G$4:I$38,3,FALSE)))</f>
        <v/>
      </c>
      <c r="M551" s="106"/>
      <c r="N551" s="106"/>
      <c r="O551" s="124"/>
    </row>
    <row r="552" spans="1:15" ht="22" x14ac:dyDescent="0.25">
      <c r="A552" s="115" t="s">
        <v>482</v>
      </c>
      <c r="B552" s="113"/>
      <c r="C552" s="113"/>
      <c r="D552" s="4"/>
      <c r="E552" s="4"/>
      <c r="F552" s="106" t="str">
        <f t="shared" si="88"/>
        <v/>
      </c>
      <c r="G552" s="106" t="str">
        <f t="shared" si="89"/>
        <v/>
      </c>
      <c r="H552" s="4" t="str">
        <f t="shared" si="90"/>
        <v/>
      </c>
      <c r="I552" s="105" t="str">
        <f t="shared" si="91"/>
        <v/>
      </c>
      <c r="J552" s="4" t="str">
        <f t="shared" si="92"/>
        <v/>
      </c>
      <c r="K552" s="106" t="str">
        <f t="shared" si="93"/>
        <v/>
      </c>
      <c r="L552" s="106" t="str">
        <f>IF(NOT(ISERROR(VLOOKUP(B552,Deflatores!G$42:H$64,2,FALSE))),VLOOKUP(B552,Deflatores!G$42:H$64,2,FALSE),IF(OR(ISBLANK(C552),ISBLANK(B552)),"",VLOOKUP(C552,Deflatores!G$4:H$38,2,FALSE)*H552+VLOOKUP(C552,Deflatores!G$4:I$38,3,FALSE)))</f>
        <v/>
      </c>
      <c r="M552" s="106"/>
      <c r="N552" s="106"/>
      <c r="O552" s="124"/>
    </row>
    <row r="553" spans="1:15" x14ac:dyDescent="0.25">
      <c r="A553" s="112" t="s">
        <v>483</v>
      </c>
      <c r="B553" s="113" t="s">
        <v>50</v>
      </c>
      <c r="C553" s="113" t="s">
        <v>45</v>
      </c>
      <c r="D553" s="4">
        <v>4</v>
      </c>
      <c r="E553" s="4">
        <v>1</v>
      </c>
      <c r="F553" s="106" t="str">
        <f t="shared" si="88"/>
        <v>Baixa</v>
      </c>
      <c r="G553" s="106" t="str">
        <f t="shared" si="89"/>
        <v>CEL</v>
      </c>
      <c r="H553" s="4">
        <f t="shared" si="90"/>
        <v>3</v>
      </c>
      <c r="I553" s="105" t="str">
        <f t="shared" si="91"/>
        <v>L</v>
      </c>
      <c r="J553" s="4" t="str">
        <f t="shared" si="92"/>
        <v>CEI</v>
      </c>
      <c r="K553" s="106">
        <f t="shared" si="93"/>
        <v>3</v>
      </c>
      <c r="L553" s="106">
        <f>IF(NOT(ISERROR(VLOOKUP(B553,Deflatores!G$42:H$64,2,FALSE))),VLOOKUP(B553,Deflatores!G$42:H$64,2,FALSE),IF(OR(ISBLANK(C553),ISBLANK(B553)),"",VLOOKUP(C553,Deflatores!G$4:H$38,2,FALSE)*H553+VLOOKUP(C553,Deflatores!G$4:I$38,3,FALSE)))</f>
        <v>3</v>
      </c>
      <c r="M553" s="106"/>
      <c r="N553" s="106"/>
      <c r="O553" s="124"/>
    </row>
    <row r="554" spans="1:15" x14ac:dyDescent="0.25">
      <c r="A554" s="112"/>
      <c r="B554" s="113"/>
      <c r="C554" s="113"/>
      <c r="D554" s="4"/>
      <c r="E554" s="4"/>
      <c r="F554" s="106" t="str">
        <f t="shared" si="88"/>
        <v/>
      </c>
      <c r="G554" s="106" t="str">
        <f t="shared" si="89"/>
        <v/>
      </c>
      <c r="H554" s="4" t="str">
        <f t="shared" si="90"/>
        <v/>
      </c>
      <c r="I554" s="105" t="str">
        <f t="shared" si="91"/>
        <v/>
      </c>
      <c r="J554" s="4" t="str">
        <f t="shared" si="92"/>
        <v/>
      </c>
      <c r="K554" s="106" t="str">
        <f t="shared" si="93"/>
        <v/>
      </c>
      <c r="L554" s="106" t="str">
        <f>IF(NOT(ISERROR(VLOOKUP(B554,Deflatores!G$42:H$64,2,FALSE))),VLOOKUP(B554,Deflatores!G$42:H$64,2,FALSE),IF(OR(ISBLANK(C554),ISBLANK(B554)),"",VLOOKUP(C554,Deflatores!G$4:H$38,2,FALSE)*H554+VLOOKUP(C554,Deflatores!G$4:I$38,3,FALSE)))</f>
        <v/>
      </c>
      <c r="M554" s="106"/>
      <c r="N554" s="106"/>
      <c r="O554" s="124"/>
    </row>
    <row r="555" spans="1:15" x14ac:dyDescent="0.25">
      <c r="A555" s="115" t="s">
        <v>484</v>
      </c>
      <c r="B555" s="113"/>
      <c r="C555" s="113"/>
      <c r="D555" s="4"/>
      <c r="E555" s="4"/>
      <c r="F555" s="106" t="s">
        <v>423</v>
      </c>
      <c r="G555" s="106" t="s">
        <v>423</v>
      </c>
      <c r="H555" s="4" t="s">
        <v>423</v>
      </c>
      <c r="I555" s="105" t="s">
        <v>423</v>
      </c>
      <c r="J555" s="4" t="s">
        <v>423</v>
      </c>
      <c r="K555" s="106" t="s">
        <v>423</v>
      </c>
      <c r="L555" s="106" t="str">
        <f>IF(NOT(ISERROR(VLOOKUP(B555,Deflatores!G$42:H$64,2,FALSE))),VLOOKUP(B555,Deflatores!G$42:H$64,2,FALSE),IF(OR(ISBLANK(C555),ISBLANK(B555)),"",VLOOKUP(C555,Deflatores!G$4:H$38,2,FALSE)*H555+VLOOKUP(C555,Deflatores!G$4:I$38,3,FALSE)))</f>
        <v/>
      </c>
      <c r="M555" s="106"/>
      <c r="N555" s="106"/>
      <c r="O555" s="124"/>
    </row>
    <row r="556" spans="1:15" ht="13" x14ac:dyDescent="0.3">
      <c r="A556" s="112" t="s">
        <v>485</v>
      </c>
      <c r="B556" s="113" t="s">
        <v>44</v>
      </c>
      <c r="C556" s="113" t="s">
        <v>45</v>
      </c>
      <c r="D556" s="4">
        <v>24</v>
      </c>
      <c r="E556" s="4">
        <v>3</v>
      </c>
      <c r="F556" s="106" t="str">
        <f t="shared" ref="F556:F601" si="94">IF(ISBLANK(B556),"",IF(I556="L","Baixa",IF(I556="A","Média",IF(I556="","","Alta"))))</f>
        <v>Média</v>
      </c>
      <c r="G556" s="102"/>
      <c r="H556" s="4">
        <f t="shared" ref="H556:H601" si="95">IF(ISBLANK(B556),"",IF(B556="ALI",IF(I556="L",7,IF(I556="A",10,15)),IF(B556="AIE",IF(I556="L",5,IF(I556="A",7,10)),IF(B556="SE",IF(I556="L",4,IF(I556="A",5,7)),IF(OR(B556="EE",B556="CE"),IF(I556="L",3,IF(I556="A",4,6)),0)))))</f>
        <v>10</v>
      </c>
      <c r="I556" s="105" t="str">
        <f t="shared" ref="I556:I601" si="96">IF(OR(ISBLANK(D556),ISBLANK(E556)),IF(OR(B556="ALI",B556="AIE"),"L",IF(OR(B556="EE",B556="SE",B556="CE"),"A","")),IF(B556="EE",IF(E556&gt;=3,IF(D556&gt;=5,"H","A"),IF(E556&gt;=2,IF(D556&gt;=16,"H",IF(D556&lt;=4,"L","A")),IF(D556&lt;=15,"L","A"))),IF(OR(B556="SE",B556="CE"),IF(E556&gt;=4,IF(D556&gt;=6,"H","A"),IF(E556&gt;=2,IF(D556&gt;=20,"H",IF(D556&lt;=5,"L","A")),IF(D556&lt;=19,"L","A"))),IF(OR(B556="ALI",B556="AIE"),IF(E556&gt;=6,IF(D556&gt;=20,"H","A"),IF(E556&gt;=2,IF(D556&gt;=51,"H",IF(D556&lt;=19,"L","A")),IF(D556&lt;=50,"L","A"))),""))))</f>
        <v>A</v>
      </c>
      <c r="J556" s="4" t="str">
        <f t="shared" ref="J556:J601" si="97">CONCATENATE(B556,C556)</f>
        <v>ALII</v>
      </c>
      <c r="K556" s="106">
        <f t="shared" ref="K556:K601" si="98">IF(OR(H556="",H556=0),L556,H556)</f>
        <v>10</v>
      </c>
      <c r="L556" s="106">
        <f>IF(NOT(ISERROR(VLOOKUP(B556,Deflatores!G$42:H$64,2,FALSE))),VLOOKUP(B556,Deflatores!G$42:H$64,2,FALSE),IF(OR(ISBLANK(C556),ISBLANK(B556)),"",VLOOKUP(C556,Deflatores!G$4:H$38,2,FALSE)*H556+VLOOKUP(C556,Deflatores!G$4:I$38,3,FALSE)))</f>
        <v>10</v>
      </c>
      <c r="M556" s="106"/>
      <c r="N556" s="106"/>
      <c r="O556" s="124"/>
    </row>
    <row r="557" spans="1:15" ht="13" x14ac:dyDescent="0.3">
      <c r="A557" s="112" t="s">
        <v>486</v>
      </c>
      <c r="B557" s="113" t="s">
        <v>50</v>
      </c>
      <c r="C557" s="113" t="s">
        <v>45</v>
      </c>
      <c r="D557" s="4">
        <v>9</v>
      </c>
      <c r="E557" s="4">
        <v>3</v>
      </c>
      <c r="F557" s="106" t="str">
        <f t="shared" si="94"/>
        <v>Média</v>
      </c>
      <c r="G557" s="102"/>
      <c r="H557" s="4">
        <f t="shared" si="95"/>
        <v>4</v>
      </c>
      <c r="I557" s="105" t="str">
        <f t="shared" si="96"/>
        <v>A</v>
      </c>
      <c r="J557" s="4" t="str">
        <f t="shared" si="97"/>
        <v>CEI</v>
      </c>
      <c r="K557" s="106">
        <f t="shared" si="98"/>
        <v>4</v>
      </c>
      <c r="L557" s="106">
        <f>IF(NOT(ISERROR(VLOOKUP(B557,Deflatores!G$42:H$64,2,FALSE))),VLOOKUP(B557,Deflatores!G$42:H$64,2,FALSE),IF(OR(ISBLANK(C557),ISBLANK(B557)),"",VLOOKUP(C557,Deflatores!G$4:H$38,2,FALSE)*H557+VLOOKUP(C557,Deflatores!G$4:I$38,3,FALSE)))</f>
        <v>4</v>
      </c>
      <c r="M557" s="106"/>
      <c r="N557" s="106"/>
      <c r="O557" s="124"/>
    </row>
    <row r="558" spans="1:15" ht="13" x14ac:dyDescent="0.3">
      <c r="A558" s="112" t="s">
        <v>487</v>
      </c>
      <c r="B558" s="113" t="s">
        <v>48</v>
      </c>
      <c r="C558" s="113" t="s">
        <v>45</v>
      </c>
      <c r="D558" s="4">
        <v>9</v>
      </c>
      <c r="E558" s="4">
        <v>3</v>
      </c>
      <c r="F558" s="106" t="str">
        <f t="shared" si="94"/>
        <v>Alta</v>
      </c>
      <c r="G558" s="102"/>
      <c r="H558" s="4">
        <f t="shared" si="95"/>
        <v>6</v>
      </c>
      <c r="I558" s="105" t="str">
        <f t="shared" si="96"/>
        <v>H</v>
      </c>
      <c r="J558" s="4" t="str">
        <f t="shared" si="97"/>
        <v>EEI</v>
      </c>
      <c r="K558" s="106">
        <f t="shared" si="98"/>
        <v>6</v>
      </c>
      <c r="L558" s="106">
        <f>IF(NOT(ISERROR(VLOOKUP(B558,Deflatores!G$42:H$64,2,FALSE))),VLOOKUP(B558,Deflatores!G$42:H$64,2,FALSE),IF(OR(ISBLANK(C558),ISBLANK(B558)),"",VLOOKUP(C558,Deflatores!G$4:H$38,2,FALSE)*H558+VLOOKUP(C558,Deflatores!G$4:I$38,3,FALSE)))</f>
        <v>6</v>
      </c>
      <c r="M558" s="106"/>
      <c r="N558" s="106"/>
      <c r="O558" s="124"/>
    </row>
    <row r="559" spans="1:15" ht="13" x14ac:dyDescent="0.3">
      <c r="A559" s="112" t="s">
        <v>488</v>
      </c>
      <c r="B559" s="113" t="s">
        <v>48</v>
      </c>
      <c r="C559" s="113" t="s">
        <v>45</v>
      </c>
      <c r="D559" s="4">
        <v>9</v>
      </c>
      <c r="E559" s="4">
        <v>3</v>
      </c>
      <c r="F559" s="106" t="str">
        <f t="shared" si="94"/>
        <v>Alta</v>
      </c>
      <c r="G559" s="102"/>
      <c r="H559" s="4">
        <f t="shared" si="95"/>
        <v>6</v>
      </c>
      <c r="I559" s="105" t="str">
        <f t="shared" si="96"/>
        <v>H</v>
      </c>
      <c r="J559" s="4" t="str">
        <f t="shared" si="97"/>
        <v>EEI</v>
      </c>
      <c r="K559" s="106">
        <f t="shared" si="98"/>
        <v>6</v>
      </c>
      <c r="L559" s="106">
        <f>IF(NOT(ISERROR(VLOOKUP(B559,Deflatores!G$42:H$64,2,FALSE))),VLOOKUP(B559,Deflatores!G$42:H$64,2,FALSE),IF(OR(ISBLANK(C559),ISBLANK(B559)),"",VLOOKUP(C559,Deflatores!G$4:H$38,2,FALSE)*H559+VLOOKUP(C559,Deflatores!G$4:I$38,3,FALSE)))</f>
        <v>6</v>
      </c>
      <c r="M559" s="106"/>
      <c r="N559" s="106"/>
      <c r="O559" s="124"/>
    </row>
    <row r="560" spans="1:15" ht="13" x14ac:dyDescent="0.3">
      <c r="A560" s="114" t="s">
        <v>489</v>
      </c>
      <c r="B560" s="113" t="s">
        <v>50</v>
      </c>
      <c r="C560" s="113" t="s">
        <v>45</v>
      </c>
      <c r="D560" s="4">
        <v>16</v>
      </c>
      <c r="E560" s="4">
        <v>3</v>
      </c>
      <c r="F560" s="106" t="str">
        <f t="shared" si="94"/>
        <v>Média</v>
      </c>
      <c r="G560" s="102"/>
      <c r="H560" s="4">
        <f t="shared" si="95"/>
        <v>4</v>
      </c>
      <c r="I560" s="105" t="str">
        <f t="shared" si="96"/>
        <v>A</v>
      </c>
      <c r="J560" s="4" t="str">
        <f t="shared" si="97"/>
        <v>CEI</v>
      </c>
      <c r="K560" s="106">
        <f t="shared" si="98"/>
        <v>4</v>
      </c>
      <c r="L560" s="106">
        <f>IF(NOT(ISERROR(VLOOKUP(B560,Deflatores!G$42:H$64,2,FALSE))),VLOOKUP(B560,Deflatores!G$42:H$64,2,FALSE),IF(OR(ISBLANK(C560),ISBLANK(B560)),"",VLOOKUP(C560,Deflatores!G$4:H$38,2,FALSE)*H560+VLOOKUP(C560,Deflatores!G$4:I$38,3,FALSE)))</f>
        <v>4</v>
      </c>
      <c r="M560" s="106"/>
      <c r="N560" s="106"/>
      <c r="O560" s="124"/>
    </row>
    <row r="561" spans="1:15" ht="13" x14ac:dyDescent="0.3">
      <c r="A561" s="112" t="s">
        <v>490</v>
      </c>
      <c r="B561" s="113" t="s">
        <v>48</v>
      </c>
      <c r="C561" s="113" t="s">
        <v>45</v>
      </c>
      <c r="D561" s="4">
        <v>3</v>
      </c>
      <c r="E561" s="4">
        <v>2</v>
      </c>
      <c r="F561" s="106" t="str">
        <f t="shared" si="94"/>
        <v>Baixa</v>
      </c>
      <c r="G561" s="102"/>
      <c r="H561" s="4">
        <f t="shared" si="95"/>
        <v>3</v>
      </c>
      <c r="I561" s="105" t="str">
        <f t="shared" si="96"/>
        <v>L</v>
      </c>
      <c r="J561" s="4" t="str">
        <f t="shared" si="97"/>
        <v>EEI</v>
      </c>
      <c r="K561" s="106">
        <f t="shared" si="98"/>
        <v>3</v>
      </c>
      <c r="L561" s="106">
        <f>IF(NOT(ISERROR(VLOOKUP(B561,Deflatores!G$42:H$64,2,FALSE))),VLOOKUP(B561,Deflatores!G$42:H$64,2,FALSE),IF(OR(ISBLANK(C561),ISBLANK(B561)),"",VLOOKUP(C561,Deflatores!G$4:H$38,2,FALSE)*H561+VLOOKUP(C561,Deflatores!G$4:I$38,3,FALSE)))</f>
        <v>3</v>
      </c>
      <c r="M561" s="106"/>
      <c r="N561" s="106"/>
      <c r="O561" s="124"/>
    </row>
    <row r="562" spans="1:15" ht="13" x14ac:dyDescent="0.3">
      <c r="A562" s="112" t="s">
        <v>491</v>
      </c>
      <c r="B562" s="113" t="s">
        <v>50</v>
      </c>
      <c r="C562" s="113" t="s">
        <v>45</v>
      </c>
      <c r="D562" s="4">
        <v>18</v>
      </c>
      <c r="E562" s="4">
        <v>3</v>
      </c>
      <c r="F562" s="106" t="str">
        <f t="shared" si="94"/>
        <v>Média</v>
      </c>
      <c r="G562" s="102"/>
      <c r="H562" s="4">
        <f t="shared" si="95"/>
        <v>4</v>
      </c>
      <c r="I562" s="105" t="str">
        <f t="shared" si="96"/>
        <v>A</v>
      </c>
      <c r="J562" s="4" t="str">
        <f t="shared" si="97"/>
        <v>CEI</v>
      </c>
      <c r="K562" s="106">
        <f t="shared" si="98"/>
        <v>4</v>
      </c>
      <c r="L562" s="106">
        <f>IF(NOT(ISERROR(VLOOKUP(B562,Deflatores!G$42:H$64,2,FALSE))),VLOOKUP(B562,Deflatores!G$42:H$64,2,FALSE),IF(OR(ISBLANK(C562),ISBLANK(B562)),"",VLOOKUP(C562,Deflatores!G$4:H$38,2,FALSE)*H562+VLOOKUP(C562,Deflatores!G$4:I$38,3,FALSE)))</f>
        <v>4</v>
      </c>
      <c r="M562" s="106"/>
      <c r="N562" s="106"/>
      <c r="O562" s="124"/>
    </row>
    <row r="563" spans="1:15" ht="13" x14ac:dyDescent="0.3">
      <c r="A563" s="112" t="s">
        <v>492</v>
      </c>
      <c r="B563" s="113" t="s">
        <v>48</v>
      </c>
      <c r="C563" s="113" t="s">
        <v>45</v>
      </c>
      <c r="D563" s="4">
        <v>9</v>
      </c>
      <c r="E563" s="4">
        <v>1</v>
      </c>
      <c r="F563" s="106" t="str">
        <f t="shared" si="94"/>
        <v>Baixa</v>
      </c>
      <c r="G563" s="102"/>
      <c r="H563" s="4">
        <f t="shared" si="95"/>
        <v>3</v>
      </c>
      <c r="I563" s="105" t="str">
        <f t="shared" si="96"/>
        <v>L</v>
      </c>
      <c r="J563" s="4" t="str">
        <f t="shared" si="97"/>
        <v>EEI</v>
      </c>
      <c r="K563" s="106">
        <f t="shared" si="98"/>
        <v>3</v>
      </c>
      <c r="L563" s="106">
        <f>IF(NOT(ISERROR(VLOOKUP(B563,Deflatores!G$42:H$64,2,FALSE))),VLOOKUP(B563,Deflatores!G$42:H$64,2,FALSE),IF(OR(ISBLANK(C563),ISBLANK(B563)),"",VLOOKUP(C563,Deflatores!G$4:H$38,2,FALSE)*H563+VLOOKUP(C563,Deflatores!G$4:I$38,3,FALSE)))</f>
        <v>3</v>
      </c>
      <c r="M563" s="106"/>
      <c r="N563" s="106"/>
      <c r="O563" s="124"/>
    </row>
    <row r="564" spans="1:15" ht="13" x14ac:dyDescent="0.3">
      <c r="A564" s="114" t="s">
        <v>493</v>
      </c>
      <c r="B564" s="113" t="s">
        <v>50</v>
      </c>
      <c r="C564" s="113" t="s">
        <v>45</v>
      </c>
      <c r="D564" s="4">
        <v>3</v>
      </c>
      <c r="E564" s="4">
        <v>1</v>
      </c>
      <c r="F564" s="106" t="str">
        <f t="shared" si="94"/>
        <v>Baixa</v>
      </c>
      <c r="G564" s="102"/>
      <c r="H564" s="4">
        <f t="shared" si="95"/>
        <v>3</v>
      </c>
      <c r="I564" s="105" t="str">
        <f t="shared" si="96"/>
        <v>L</v>
      </c>
      <c r="J564" s="4" t="str">
        <f t="shared" si="97"/>
        <v>CEI</v>
      </c>
      <c r="K564" s="106">
        <f t="shared" si="98"/>
        <v>3</v>
      </c>
      <c r="L564" s="106">
        <f>IF(NOT(ISERROR(VLOOKUP(B564,Deflatores!G$42:H$64,2,FALSE))),VLOOKUP(B564,Deflatores!G$42:H$64,2,FALSE),IF(OR(ISBLANK(C564),ISBLANK(B564)),"",VLOOKUP(C564,Deflatores!G$4:H$38,2,FALSE)*H564+VLOOKUP(C564,Deflatores!G$4:I$38,3,FALSE)))</f>
        <v>3</v>
      </c>
      <c r="M564" s="106"/>
      <c r="N564" s="106"/>
      <c r="O564" s="124"/>
    </row>
    <row r="565" spans="1:15" ht="13" x14ac:dyDescent="0.3">
      <c r="A565" s="112" t="s">
        <v>494</v>
      </c>
      <c r="B565" s="113" t="s">
        <v>48</v>
      </c>
      <c r="C565" s="113" t="s">
        <v>45</v>
      </c>
      <c r="D565" s="4">
        <v>9</v>
      </c>
      <c r="E565" s="4">
        <v>1</v>
      </c>
      <c r="F565" s="106" t="str">
        <f t="shared" si="94"/>
        <v>Baixa</v>
      </c>
      <c r="G565" s="102"/>
      <c r="H565" s="4">
        <f t="shared" si="95"/>
        <v>3</v>
      </c>
      <c r="I565" s="105" t="str">
        <f t="shared" si="96"/>
        <v>L</v>
      </c>
      <c r="J565" s="4" t="str">
        <f t="shared" si="97"/>
        <v>EEI</v>
      </c>
      <c r="K565" s="106">
        <f t="shared" si="98"/>
        <v>3</v>
      </c>
      <c r="L565" s="106">
        <f>IF(NOT(ISERROR(VLOOKUP(B565,Deflatores!G$42:H$64,2,FALSE))),VLOOKUP(B565,Deflatores!G$42:H$64,2,FALSE),IF(OR(ISBLANK(C565),ISBLANK(B565)),"",VLOOKUP(C565,Deflatores!G$4:H$38,2,FALSE)*H565+VLOOKUP(C565,Deflatores!G$4:I$38,3,FALSE)))</f>
        <v>3</v>
      </c>
      <c r="M565" s="106"/>
      <c r="N565" s="106"/>
      <c r="O565" s="124"/>
    </row>
    <row r="566" spans="1:15" ht="13" x14ac:dyDescent="0.3">
      <c r="A566" s="114" t="s">
        <v>495</v>
      </c>
      <c r="B566" s="113" t="s">
        <v>50</v>
      </c>
      <c r="C566" s="113" t="s">
        <v>45</v>
      </c>
      <c r="D566" s="4">
        <v>6</v>
      </c>
      <c r="E566" s="4">
        <v>1</v>
      </c>
      <c r="F566" s="106" t="str">
        <f t="shared" si="94"/>
        <v>Baixa</v>
      </c>
      <c r="G566" s="102"/>
      <c r="H566" s="4">
        <f t="shared" si="95"/>
        <v>3</v>
      </c>
      <c r="I566" s="105" t="str">
        <f t="shared" si="96"/>
        <v>L</v>
      </c>
      <c r="J566" s="4" t="str">
        <f t="shared" si="97"/>
        <v>CEI</v>
      </c>
      <c r="K566" s="106">
        <f t="shared" si="98"/>
        <v>3</v>
      </c>
      <c r="L566" s="106">
        <f>IF(NOT(ISERROR(VLOOKUP(B566,Deflatores!G$42:H$64,2,FALSE))),VLOOKUP(B566,Deflatores!G$42:H$64,2,FALSE),IF(OR(ISBLANK(C566),ISBLANK(B566)),"",VLOOKUP(C566,Deflatores!G$4:H$38,2,FALSE)*H566+VLOOKUP(C566,Deflatores!G$4:I$38,3,FALSE)))</f>
        <v>3</v>
      </c>
      <c r="M566" s="106"/>
      <c r="N566" s="106"/>
      <c r="O566" s="124"/>
    </row>
    <row r="567" spans="1:15" ht="13" x14ac:dyDescent="0.3">
      <c r="A567" s="112" t="s">
        <v>496</v>
      </c>
      <c r="B567" s="113" t="s">
        <v>50</v>
      </c>
      <c r="C567" s="113" t="s">
        <v>45</v>
      </c>
      <c r="D567" s="4">
        <v>9</v>
      </c>
      <c r="E567" s="4">
        <v>1</v>
      </c>
      <c r="F567" s="106" t="str">
        <f t="shared" si="94"/>
        <v>Baixa</v>
      </c>
      <c r="G567" s="102"/>
      <c r="H567" s="4">
        <f t="shared" si="95"/>
        <v>3</v>
      </c>
      <c r="I567" s="105" t="str">
        <f t="shared" si="96"/>
        <v>L</v>
      </c>
      <c r="J567" s="4" t="str">
        <f t="shared" si="97"/>
        <v>CEI</v>
      </c>
      <c r="K567" s="106">
        <f t="shared" si="98"/>
        <v>3</v>
      </c>
      <c r="L567" s="106">
        <f>IF(NOT(ISERROR(VLOOKUP(B567,Deflatores!G$42:H$64,2,FALSE))),VLOOKUP(B567,Deflatores!G$42:H$64,2,FALSE),IF(OR(ISBLANK(C567),ISBLANK(B567)),"",VLOOKUP(C567,Deflatores!G$4:H$38,2,FALSE)*H567+VLOOKUP(C567,Deflatores!G$4:I$38,3,FALSE)))</f>
        <v>3</v>
      </c>
      <c r="M567" s="106"/>
      <c r="N567" s="106"/>
      <c r="O567" s="124"/>
    </row>
    <row r="568" spans="1:15" ht="13" x14ac:dyDescent="0.3">
      <c r="A568" s="112" t="s">
        <v>497</v>
      </c>
      <c r="B568" s="113" t="s">
        <v>48</v>
      </c>
      <c r="C568" s="113" t="s">
        <v>45</v>
      </c>
      <c r="D568" s="4">
        <v>3</v>
      </c>
      <c r="E568" s="4">
        <v>1</v>
      </c>
      <c r="F568" s="106" t="str">
        <f t="shared" si="94"/>
        <v>Baixa</v>
      </c>
      <c r="G568" s="102"/>
      <c r="H568" s="4">
        <f t="shared" si="95"/>
        <v>3</v>
      </c>
      <c r="I568" s="105" t="str">
        <f t="shared" si="96"/>
        <v>L</v>
      </c>
      <c r="J568" s="4" t="str">
        <f t="shared" si="97"/>
        <v>EEI</v>
      </c>
      <c r="K568" s="106">
        <f t="shared" si="98"/>
        <v>3</v>
      </c>
      <c r="L568" s="106">
        <f>IF(NOT(ISERROR(VLOOKUP(B568,Deflatores!G$42:H$64,2,FALSE))),VLOOKUP(B568,Deflatores!G$42:H$64,2,FALSE),IF(OR(ISBLANK(C568),ISBLANK(B568)),"",VLOOKUP(C568,Deflatores!G$4:H$38,2,FALSE)*H568+VLOOKUP(C568,Deflatores!G$4:I$38,3,FALSE)))</f>
        <v>3</v>
      </c>
      <c r="M568" s="106"/>
      <c r="N568" s="106"/>
      <c r="O568" s="124"/>
    </row>
    <row r="569" spans="1:15" ht="13" x14ac:dyDescent="0.3">
      <c r="A569" s="112" t="s">
        <v>498</v>
      </c>
      <c r="B569" s="113" t="s">
        <v>48</v>
      </c>
      <c r="C569" s="113" t="s">
        <v>45</v>
      </c>
      <c r="D569" s="4">
        <v>4</v>
      </c>
      <c r="E569" s="4">
        <v>1</v>
      </c>
      <c r="F569" s="106" t="str">
        <f t="shared" si="94"/>
        <v>Baixa</v>
      </c>
      <c r="G569" s="102"/>
      <c r="H569" s="4">
        <f t="shared" si="95"/>
        <v>3</v>
      </c>
      <c r="I569" s="105" t="str">
        <f t="shared" si="96"/>
        <v>L</v>
      </c>
      <c r="J569" s="4" t="str">
        <f t="shared" si="97"/>
        <v>EEI</v>
      </c>
      <c r="K569" s="106">
        <f t="shared" si="98"/>
        <v>3</v>
      </c>
      <c r="L569" s="106">
        <f>IF(NOT(ISERROR(VLOOKUP(B569,Deflatores!G$42:H$64,2,FALSE))),VLOOKUP(B569,Deflatores!G$42:H$64,2,FALSE),IF(OR(ISBLANK(C569),ISBLANK(B569)),"",VLOOKUP(C569,Deflatores!G$4:H$38,2,FALSE)*H569+VLOOKUP(C569,Deflatores!G$4:I$38,3,FALSE)))</f>
        <v>3</v>
      </c>
      <c r="M569" s="106"/>
      <c r="N569" s="106"/>
      <c r="O569" s="124"/>
    </row>
    <row r="570" spans="1:15" ht="13" x14ac:dyDescent="0.3">
      <c r="A570" s="112"/>
      <c r="B570" s="113"/>
      <c r="C570" s="113"/>
      <c r="D570" s="4"/>
      <c r="E570" s="4"/>
      <c r="F570" s="106" t="str">
        <f t="shared" si="94"/>
        <v/>
      </c>
      <c r="G570" s="102"/>
      <c r="H570" s="4" t="str">
        <f t="shared" si="95"/>
        <v/>
      </c>
      <c r="I570" s="105" t="str">
        <f t="shared" si="96"/>
        <v/>
      </c>
      <c r="J570" s="4" t="str">
        <f t="shared" si="97"/>
        <v/>
      </c>
      <c r="K570" s="106" t="str">
        <f t="shared" si="98"/>
        <v/>
      </c>
      <c r="L570" s="106" t="str">
        <f>IF(NOT(ISERROR(VLOOKUP(B570,Deflatores!G$42:H$64,2,FALSE))),VLOOKUP(B570,Deflatores!G$42:H$64,2,FALSE),IF(OR(ISBLANK(C570),ISBLANK(B570)),"",VLOOKUP(C570,Deflatores!G$4:H$38,2,FALSE)*H570+VLOOKUP(C570,Deflatores!G$4:I$38,3,FALSE)))</f>
        <v/>
      </c>
      <c r="M570" s="106"/>
      <c r="N570" s="106"/>
      <c r="O570" s="124"/>
    </row>
    <row r="571" spans="1:15" ht="13" x14ac:dyDescent="0.3">
      <c r="A571" s="115" t="s">
        <v>499</v>
      </c>
      <c r="B571" s="113"/>
      <c r="C571" s="113"/>
      <c r="D571" s="4"/>
      <c r="E571" s="4"/>
      <c r="F571" s="106" t="str">
        <f t="shared" si="94"/>
        <v/>
      </c>
      <c r="G571" s="102"/>
      <c r="H571" s="4" t="str">
        <f t="shared" si="95"/>
        <v/>
      </c>
      <c r="I571" s="105" t="str">
        <f t="shared" si="96"/>
        <v/>
      </c>
      <c r="J571" s="4" t="str">
        <f t="shared" si="97"/>
        <v/>
      </c>
      <c r="K571" s="106" t="str">
        <f t="shared" si="98"/>
        <v/>
      </c>
      <c r="L571" s="106" t="str">
        <f>IF(NOT(ISERROR(VLOOKUP(B571,Deflatores!G$42:H$64,2,FALSE))),VLOOKUP(B571,Deflatores!G$42:H$64,2,FALSE),IF(OR(ISBLANK(C571),ISBLANK(B571)),"",VLOOKUP(C571,Deflatores!G$4:H$38,2,FALSE)*H571+VLOOKUP(C571,Deflatores!G$4:I$38,3,FALSE)))</f>
        <v/>
      </c>
      <c r="M571" s="106"/>
      <c r="N571" s="106"/>
      <c r="O571" s="124"/>
    </row>
    <row r="572" spans="1:15" ht="13" x14ac:dyDescent="0.3">
      <c r="A572" s="112" t="s">
        <v>500</v>
      </c>
      <c r="B572" s="113" t="s">
        <v>44</v>
      </c>
      <c r="C572" s="113" t="s">
        <v>45</v>
      </c>
      <c r="D572" s="4">
        <v>13</v>
      </c>
      <c r="E572" s="4">
        <v>2</v>
      </c>
      <c r="F572" s="106" t="str">
        <f t="shared" si="94"/>
        <v>Baixa</v>
      </c>
      <c r="G572" s="102"/>
      <c r="H572" s="4">
        <f t="shared" si="95"/>
        <v>7</v>
      </c>
      <c r="I572" s="105" t="str">
        <f t="shared" si="96"/>
        <v>L</v>
      </c>
      <c r="J572" s="4" t="str">
        <f t="shared" si="97"/>
        <v>ALII</v>
      </c>
      <c r="K572" s="106">
        <f t="shared" si="98"/>
        <v>7</v>
      </c>
      <c r="L572" s="106">
        <f>IF(NOT(ISERROR(VLOOKUP(B572,Deflatores!G$42:H$64,2,FALSE))),VLOOKUP(B572,Deflatores!G$42:H$64,2,FALSE),IF(OR(ISBLANK(C572),ISBLANK(B572)),"",VLOOKUP(C572,Deflatores!G$4:H$38,2,FALSE)*H572+VLOOKUP(C572,Deflatores!G$4:I$38,3,FALSE)))</f>
        <v>7</v>
      </c>
      <c r="M572" s="106"/>
      <c r="N572" s="106"/>
      <c r="O572" s="124"/>
    </row>
    <row r="573" spans="1:15" ht="13" x14ac:dyDescent="0.3">
      <c r="A573" s="112" t="s">
        <v>501</v>
      </c>
      <c r="B573" s="113" t="s">
        <v>50</v>
      </c>
      <c r="C573" s="113" t="s">
        <v>45</v>
      </c>
      <c r="D573" s="4">
        <v>16</v>
      </c>
      <c r="E573" s="4">
        <v>4</v>
      </c>
      <c r="F573" s="106" t="str">
        <f t="shared" si="94"/>
        <v>Alta</v>
      </c>
      <c r="G573" s="102"/>
      <c r="H573" s="4">
        <f t="shared" si="95"/>
        <v>6</v>
      </c>
      <c r="I573" s="105" t="str">
        <f t="shared" si="96"/>
        <v>H</v>
      </c>
      <c r="J573" s="4" t="str">
        <f t="shared" si="97"/>
        <v>CEI</v>
      </c>
      <c r="K573" s="106">
        <f t="shared" si="98"/>
        <v>6</v>
      </c>
      <c r="L573" s="106">
        <f>IF(NOT(ISERROR(VLOOKUP(B573,Deflatores!G$42:H$64,2,FALSE))),VLOOKUP(B573,Deflatores!G$42:H$64,2,FALSE),IF(OR(ISBLANK(C573),ISBLANK(B573)),"",VLOOKUP(C573,Deflatores!G$4:H$38,2,FALSE)*H573+VLOOKUP(C573,Deflatores!G$4:I$38,3,FALSE)))</f>
        <v>6</v>
      </c>
      <c r="M573" s="106"/>
      <c r="N573" s="106"/>
      <c r="O573" s="124"/>
    </row>
    <row r="574" spans="1:15" x14ac:dyDescent="0.25">
      <c r="A574" s="112" t="s">
        <v>502</v>
      </c>
      <c r="B574" s="113" t="s">
        <v>50</v>
      </c>
      <c r="C574" s="113" t="s">
        <v>72</v>
      </c>
      <c r="D574" s="4">
        <v>7</v>
      </c>
      <c r="E574" s="4">
        <v>2</v>
      </c>
      <c r="F574" s="5" t="str">
        <f t="shared" si="94"/>
        <v>Média</v>
      </c>
      <c r="G574" s="4" t="str">
        <f>CONCATENATE(B574,I574)</f>
        <v>CEA</v>
      </c>
      <c r="H574" s="151">
        <f t="shared" si="95"/>
        <v>4</v>
      </c>
      <c r="I574" s="105" t="str">
        <f t="shared" si="96"/>
        <v>A</v>
      </c>
      <c r="J574" s="4" t="str">
        <f t="shared" si="97"/>
        <v>CEE</v>
      </c>
      <c r="K574" s="152">
        <f t="shared" si="98"/>
        <v>4</v>
      </c>
      <c r="L574" s="106">
        <v>1.6</v>
      </c>
      <c r="M574" s="6"/>
      <c r="N574" s="6"/>
      <c r="O574" s="144"/>
    </row>
    <row r="575" spans="1:15" ht="13" x14ac:dyDescent="0.3">
      <c r="A575" s="112" t="s">
        <v>503</v>
      </c>
      <c r="B575" s="113" t="s">
        <v>48</v>
      </c>
      <c r="C575" s="113" t="s">
        <v>45</v>
      </c>
      <c r="D575" s="4">
        <v>11</v>
      </c>
      <c r="E575" s="4">
        <v>3</v>
      </c>
      <c r="F575" s="106" t="str">
        <f t="shared" si="94"/>
        <v>Alta</v>
      </c>
      <c r="G575" s="102"/>
      <c r="H575" s="4">
        <f t="shared" si="95"/>
        <v>6</v>
      </c>
      <c r="I575" s="105" t="str">
        <f t="shared" si="96"/>
        <v>H</v>
      </c>
      <c r="J575" s="4" t="str">
        <f t="shared" si="97"/>
        <v>EEI</v>
      </c>
      <c r="K575" s="106">
        <f t="shared" si="98"/>
        <v>6</v>
      </c>
      <c r="L575" s="106">
        <f>IF(NOT(ISERROR(VLOOKUP(B575,Deflatores!G$42:H$64,2,FALSE))),VLOOKUP(B575,Deflatores!G$42:H$64,2,FALSE),IF(OR(ISBLANK(C575),ISBLANK(B575)),"",VLOOKUP(C575,Deflatores!G$4:H$38,2,FALSE)*H575+VLOOKUP(C575,Deflatores!G$4:I$38,3,FALSE)))</f>
        <v>6</v>
      </c>
      <c r="M575" s="106"/>
      <c r="N575" s="106"/>
      <c r="O575" s="124"/>
    </row>
    <row r="576" spans="1:15" ht="13" x14ac:dyDescent="0.3">
      <c r="A576" s="114" t="s">
        <v>504</v>
      </c>
      <c r="B576" s="113" t="s">
        <v>50</v>
      </c>
      <c r="C576" s="113" t="s">
        <v>45</v>
      </c>
      <c r="D576" s="4">
        <v>3</v>
      </c>
      <c r="E576" s="4">
        <v>1</v>
      </c>
      <c r="F576" s="106" t="str">
        <f t="shared" si="94"/>
        <v>Baixa</v>
      </c>
      <c r="G576" s="102"/>
      <c r="H576" s="4">
        <f t="shared" si="95"/>
        <v>3</v>
      </c>
      <c r="I576" s="105" t="str">
        <f t="shared" si="96"/>
        <v>L</v>
      </c>
      <c r="J576" s="4" t="str">
        <f t="shared" si="97"/>
        <v>CEI</v>
      </c>
      <c r="K576" s="106">
        <f t="shared" si="98"/>
        <v>3</v>
      </c>
      <c r="L576" s="106">
        <f>IF(NOT(ISERROR(VLOOKUP(B576,Deflatores!G$42:H$64,2,FALSE))),VLOOKUP(B576,Deflatores!G$42:H$64,2,FALSE),IF(OR(ISBLANK(C576),ISBLANK(B576)),"",VLOOKUP(C576,Deflatores!G$4:H$38,2,FALSE)*H576+VLOOKUP(C576,Deflatores!G$4:I$38,3,FALSE)))</f>
        <v>3</v>
      </c>
      <c r="M576" s="116"/>
      <c r="N576" s="116"/>
      <c r="O576" s="116"/>
    </row>
    <row r="577" spans="1:15" ht="13" x14ac:dyDescent="0.3">
      <c r="A577" s="112" t="s">
        <v>505</v>
      </c>
      <c r="B577" s="113" t="s">
        <v>48</v>
      </c>
      <c r="C577" s="113" t="s">
        <v>45</v>
      </c>
      <c r="D577" s="4">
        <v>11</v>
      </c>
      <c r="E577" s="4">
        <v>3</v>
      </c>
      <c r="F577" s="106" t="str">
        <f t="shared" si="94"/>
        <v>Alta</v>
      </c>
      <c r="G577" s="102"/>
      <c r="H577" s="4">
        <f t="shared" si="95"/>
        <v>6</v>
      </c>
      <c r="I577" s="105" t="str">
        <f t="shared" si="96"/>
        <v>H</v>
      </c>
      <c r="J577" s="4" t="str">
        <f t="shared" si="97"/>
        <v>EEI</v>
      </c>
      <c r="K577" s="106">
        <f t="shared" si="98"/>
        <v>6</v>
      </c>
      <c r="L577" s="106">
        <f>IF(NOT(ISERROR(VLOOKUP(B577,Deflatores!G$42:H$64,2,FALSE))),VLOOKUP(B577,Deflatores!G$42:H$64,2,FALSE),IF(OR(ISBLANK(C577),ISBLANK(B577)),"",VLOOKUP(C577,Deflatores!G$4:H$38,2,FALSE)*H577+VLOOKUP(C577,Deflatores!G$4:I$38,3,FALSE)))</f>
        <v>6</v>
      </c>
      <c r="M577" s="106"/>
      <c r="N577" s="106"/>
      <c r="O577" s="124"/>
    </row>
    <row r="578" spans="1:15" ht="13" x14ac:dyDescent="0.3">
      <c r="A578" s="114" t="s">
        <v>506</v>
      </c>
      <c r="B578" s="113" t="s">
        <v>50</v>
      </c>
      <c r="C578" s="113" t="s">
        <v>45</v>
      </c>
      <c r="D578" s="4">
        <v>9</v>
      </c>
      <c r="E578" s="4">
        <v>3</v>
      </c>
      <c r="F578" s="106" t="str">
        <f t="shared" si="94"/>
        <v>Média</v>
      </c>
      <c r="G578" s="102"/>
      <c r="H578" s="4">
        <f t="shared" si="95"/>
        <v>4</v>
      </c>
      <c r="I578" s="105" t="str">
        <f t="shared" si="96"/>
        <v>A</v>
      </c>
      <c r="J578" s="4" t="str">
        <f t="shared" si="97"/>
        <v>CEI</v>
      </c>
      <c r="K578" s="106">
        <f t="shared" si="98"/>
        <v>4</v>
      </c>
      <c r="L578" s="106">
        <f>IF(NOT(ISERROR(VLOOKUP(B578,Deflatores!G$42:H$64,2,FALSE))),VLOOKUP(B578,Deflatores!G$42:H$64,2,FALSE),IF(OR(ISBLANK(C578),ISBLANK(B578)),"",VLOOKUP(C578,Deflatores!G$4:H$38,2,FALSE)*H578+VLOOKUP(C578,Deflatores!G$4:I$38,3,FALSE)))</f>
        <v>4</v>
      </c>
      <c r="M578" s="106"/>
      <c r="N578" s="106"/>
      <c r="O578" s="124"/>
    </row>
    <row r="579" spans="1:15" ht="13" x14ac:dyDescent="0.3">
      <c r="A579" s="112" t="s">
        <v>507</v>
      </c>
      <c r="B579" s="113" t="s">
        <v>50</v>
      </c>
      <c r="C579" s="113" t="s">
        <v>45</v>
      </c>
      <c r="D579" s="4">
        <v>11</v>
      </c>
      <c r="E579" s="4">
        <v>3</v>
      </c>
      <c r="F579" s="106" t="str">
        <f t="shared" si="94"/>
        <v>Média</v>
      </c>
      <c r="G579" s="102"/>
      <c r="H579" s="4">
        <f t="shared" si="95"/>
        <v>4</v>
      </c>
      <c r="I579" s="105" t="str">
        <f t="shared" si="96"/>
        <v>A</v>
      </c>
      <c r="J579" s="4" t="str">
        <f t="shared" si="97"/>
        <v>CEI</v>
      </c>
      <c r="K579" s="106">
        <f t="shared" si="98"/>
        <v>4</v>
      </c>
      <c r="L579" s="106">
        <f>IF(NOT(ISERROR(VLOOKUP(B579,Deflatores!G$42:H$64,2,FALSE))),VLOOKUP(B579,Deflatores!G$42:H$64,2,FALSE),IF(OR(ISBLANK(C579),ISBLANK(B579)),"",VLOOKUP(C579,Deflatores!G$4:H$38,2,FALSE)*H579+VLOOKUP(C579,Deflatores!G$4:I$38,3,FALSE)))</f>
        <v>4</v>
      </c>
      <c r="M579" s="106"/>
      <c r="N579" s="106"/>
      <c r="O579" s="124"/>
    </row>
    <row r="580" spans="1:15" ht="13" x14ac:dyDescent="0.3">
      <c r="A580" s="112" t="s">
        <v>508</v>
      </c>
      <c r="B580" s="113" t="s">
        <v>48</v>
      </c>
      <c r="C580" s="113" t="s">
        <v>45</v>
      </c>
      <c r="D580" s="4">
        <v>3</v>
      </c>
      <c r="E580" s="4">
        <v>1</v>
      </c>
      <c r="F580" s="106" t="str">
        <f t="shared" si="94"/>
        <v>Baixa</v>
      </c>
      <c r="G580" s="102"/>
      <c r="H580" s="4">
        <f t="shared" si="95"/>
        <v>3</v>
      </c>
      <c r="I580" s="105" t="str">
        <f t="shared" si="96"/>
        <v>L</v>
      </c>
      <c r="J580" s="4" t="str">
        <f t="shared" si="97"/>
        <v>EEI</v>
      </c>
      <c r="K580" s="106">
        <f t="shared" si="98"/>
        <v>3</v>
      </c>
      <c r="L580" s="106">
        <f>IF(NOT(ISERROR(VLOOKUP(B580,Deflatores!G$42:H$64,2,FALSE))),VLOOKUP(B580,Deflatores!G$42:H$64,2,FALSE),IF(OR(ISBLANK(C580),ISBLANK(B580)),"",VLOOKUP(C580,Deflatores!G$4:H$38,2,FALSE)*H580+VLOOKUP(C580,Deflatores!G$4:I$38,3,FALSE)))</f>
        <v>3</v>
      </c>
      <c r="M580" s="106"/>
      <c r="N580" s="106"/>
      <c r="O580" s="124"/>
    </row>
    <row r="581" spans="1:15" ht="13" x14ac:dyDescent="0.3">
      <c r="A581" s="112"/>
      <c r="B581" s="113"/>
      <c r="C581" s="113"/>
      <c r="D581" s="4"/>
      <c r="E581" s="4"/>
      <c r="F581" s="106" t="str">
        <f t="shared" si="94"/>
        <v/>
      </c>
      <c r="G581" s="102"/>
      <c r="H581" s="4" t="str">
        <f t="shared" si="95"/>
        <v/>
      </c>
      <c r="I581" s="105" t="str">
        <f t="shared" si="96"/>
        <v/>
      </c>
      <c r="J581" s="4" t="str">
        <f t="shared" si="97"/>
        <v/>
      </c>
      <c r="K581" s="106" t="str">
        <f t="shared" si="98"/>
        <v/>
      </c>
      <c r="L581" s="106" t="str">
        <f>IF(NOT(ISERROR(VLOOKUP(B581,Deflatores!G$42:H$64,2,FALSE))),VLOOKUP(B581,Deflatores!G$42:H$64,2,FALSE),IF(OR(ISBLANK(C581),ISBLANK(B581)),"",VLOOKUP(C581,Deflatores!G$4:H$38,2,FALSE)*H581+VLOOKUP(C581,Deflatores!G$4:I$38,3,FALSE)))</f>
        <v/>
      </c>
      <c r="M581" s="106"/>
      <c r="N581" s="106"/>
      <c r="O581" s="124"/>
    </row>
    <row r="582" spans="1:15" ht="13" x14ac:dyDescent="0.3">
      <c r="A582" s="115" t="s">
        <v>509</v>
      </c>
      <c r="B582" s="113"/>
      <c r="C582" s="113"/>
      <c r="D582" s="4"/>
      <c r="E582" s="4"/>
      <c r="F582" s="106" t="str">
        <f t="shared" si="94"/>
        <v/>
      </c>
      <c r="G582" s="102"/>
      <c r="H582" s="4" t="str">
        <f t="shared" si="95"/>
        <v/>
      </c>
      <c r="I582" s="105" t="str">
        <f t="shared" si="96"/>
        <v/>
      </c>
      <c r="J582" s="4" t="str">
        <f t="shared" si="97"/>
        <v/>
      </c>
      <c r="K582" s="106" t="str">
        <f t="shared" si="98"/>
        <v/>
      </c>
      <c r="L582" s="106" t="str">
        <f>IF(NOT(ISERROR(VLOOKUP(B582,Deflatores!G$42:H$64,2,FALSE))),VLOOKUP(B582,Deflatores!G$42:H$64,2,FALSE),IF(OR(ISBLANK(C582),ISBLANK(B582)),"",VLOOKUP(C582,Deflatores!G$4:H$38,2,FALSE)*H582+VLOOKUP(C582,Deflatores!G$4:I$38,3,FALSE)))</f>
        <v/>
      </c>
      <c r="M582" s="106"/>
      <c r="N582" s="106"/>
      <c r="O582" s="124"/>
    </row>
    <row r="583" spans="1:15" ht="13" x14ac:dyDescent="0.3">
      <c r="A583" s="112" t="s">
        <v>510</v>
      </c>
      <c r="B583" s="113" t="s">
        <v>44</v>
      </c>
      <c r="C583" s="113" t="s">
        <v>45</v>
      </c>
      <c r="D583" s="4">
        <v>18</v>
      </c>
      <c r="E583" s="4">
        <v>2</v>
      </c>
      <c r="F583" s="106" t="str">
        <f t="shared" si="94"/>
        <v>Baixa</v>
      </c>
      <c r="G583" s="102"/>
      <c r="H583" s="4">
        <f t="shared" si="95"/>
        <v>7</v>
      </c>
      <c r="I583" s="105" t="str">
        <f t="shared" si="96"/>
        <v>L</v>
      </c>
      <c r="J583" s="4" t="str">
        <f t="shared" si="97"/>
        <v>ALII</v>
      </c>
      <c r="K583" s="106">
        <f t="shared" si="98"/>
        <v>7</v>
      </c>
      <c r="L583" s="106">
        <f>IF(NOT(ISERROR(VLOOKUP(B583,Deflatores!G$42:H$64,2,FALSE))),VLOOKUP(B583,Deflatores!G$42:H$64,2,FALSE),IF(OR(ISBLANK(C583),ISBLANK(B583)),"",VLOOKUP(C583,Deflatores!G$4:H$38,2,FALSE)*H583+VLOOKUP(C583,Deflatores!G$4:I$38,3,FALSE)))</f>
        <v>7</v>
      </c>
      <c r="M583" s="106"/>
      <c r="N583" s="106"/>
      <c r="O583" s="124"/>
    </row>
    <row r="584" spans="1:15" ht="13" x14ac:dyDescent="0.3">
      <c r="A584" s="112" t="s">
        <v>511</v>
      </c>
      <c r="B584" s="113" t="s">
        <v>50</v>
      </c>
      <c r="C584" s="113" t="s">
        <v>45</v>
      </c>
      <c r="D584" s="4">
        <v>5</v>
      </c>
      <c r="E584" s="4">
        <v>2</v>
      </c>
      <c r="F584" s="106" t="str">
        <f t="shared" si="94"/>
        <v>Baixa</v>
      </c>
      <c r="G584" s="102"/>
      <c r="H584" s="4">
        <f t="shared" si="95"/>
        <v>3</v>
      </c>
      <c r="I584" s="105" t="str">
        <f t="shared" si="96"/>
        <v>L</v>
      </c>
      <c r="J584" s="4" t="str">
        <f t="shared" si="97"/>
        <v>CEI</v>
      </c>
      <c r="K584" s="106">
        <f t="shared" si="98"/>
        <v>3</v>
      </c>
      <c r="L584" s="106">
        <f>IF(NOT(ISERROR(VLOOKUP(B584,Deflatores!G$42:H$64,2,FALSE))),VLOOKUP(B584,Deflatores!G$42:H$64,2,FALSE),IF(OR(ISBLANK(C584),ISBLANK(B584)),"",VLOOKUP(C584,Deflatores!G$4:H$38,2,FALSE)*H584+VLOOKUP(C584,Deflatores!G$4:I$38,3,FALSE)))</f>
        <v>3</v>
      </c>
      <c r="M584" s="106"/>
      <c r="N584" s="106"/>
      <c r="O584" s="124"/>
    </row>
    <row r="585" spans="1:15" ht="13" x14ac:dyDescent="0.3">
      <c r="A585" s="112" t="s">
        <v>512</v>
      </c>
      <c r="B585" s="113" t="s">
        <v>48</v>
      </c>
      <c r="C585" s="113" t="s">
        <v>45</v>
      </c>
      <c r="D585" s="4">
        <v>13</v>
      </c>
      <c r="E585" s="4">
        <v>3</v>
      </c>
      <c r="F585" s="106" t="str">
        <f t="shared" si="94"/>
        <v>Alta</v>
      </c>
      <c r="G585" s="102"/>
      <c r="H585" s="4">
        <f t="shared" si="95"/>
        <v>6</v>
      </c>
      <c r="I585" s="105" t="str">
        <f t="shared" si="96"/>
        <v>H</v>
      </c>
      <c r="J585" s="4" t="str">
        <f t="shared" si="97"/>
        <v>EEI</v>
      </c>
      <c r="K585" s="106">
        <f t="shared" si="98"/>
        <v>6</v>
      </c>
      <c r="L585" s="106">
        <f>IF(NOT(ISERROR(VLOOKUP(B585,Deflatores!G$42:H$64,2,FALSE))),VLOOKUP(B585,Deflatores!G$42:H$64,2,FALSE),IF(OR(ISBLANK(C585),ISBLANK(B585)),"",VLOOKUP(C585,Deflatores!G$4:H$38,2,FALSE)*H585+VLOOKUP(C585,Deflatores!G$4:I$38,3,FALSE)))</f>
        <v>6</v>
      </c>
      <c r="M585" s="106"/>
      <c r="N585" s="106"/>
      <c r="O585" s="124"/>
    </row>
    <row r="586" spans="1:15" ht="13" x14ac:dyDescent="0.3">
      <c r="A586" s="112" t="s">
        <v>513</v>
      </c>
      <c r="B586" s="113" t="s">
        <v>48</v>
      </c>
      <c r="C586" s="113" t="s">
        <v>45</v>
      </c>
      <c r="D586" s="4">
        <v>13</v>
      </c>
      <c r="E586" s="4">
        <v>3</v>
      </c>
      <c r="F586" s="106" t="str">
        <f t="shared" si="94"/>
        <v>Alta</v>
      </c>
      <c r="G586" s="102"/>
      <c r="H586" s="4">
        <f t="shared" si="95"/>
        <v>6</v>
      </c>
      <c r="I586" s="105" t="str">
        <f t="shared" si="96"/>
        <v>H</v>
      </c>
      <c r="J586" s="4" t="str">
        <f t="shared" si="97"/>
        <v>EEI</v>
      </c>
      <c r="K586" s="106">
        <f t="shared" si="98"/>
        <v>6</v>
      </c>
      <c r="L586" s="106">
        <f>IF(NOT(ISERROR(VLOOKUP(B586,Deflatores!G$42:H$64,2,FALSE))),VLOOKUP(B586,Deflatores!G$42:H$64,2,FALSE),IF(OR(ISBLANK(C586),ISBLANK(B586)),"",VLOOKUP(C586,Deflatores!G$4:H$38,2,FALSE)*H586+VLOOKUP(C586,Deflatores!G$4:I$38,3,FALSE)))</f>
        <v>6</v>
      </c>
      <c r="M586" s="106"/>
      <c r="N586" s="106"/>
      <c r="O586" s="124"/>
    </row>
    <row r="587" spans="1:15" ht="13" x14ac:dyDescent="0.3">
      <c r="A587" s="114" t="s">
        <v>514</v>
      </c>
      <c r="B587" s="113" t="s">
        <v>50</v>
      </c>
      <c r="C587" s="113" t="s">
        <v>45</v>
      </c>
      <c r="D587" s="4">
        <v>13</v>
      </c>
      <c r="E587" s="4">
        <v>3</v>
      </c>
      <c r="F587" s="106" t="str">
        <f t="shared" si="94"/>
        <v>Média</v>
      </c>
      <c r="G587" s="102"/>
      <c r="H587" s="4">
        <f t="shared" si="95"/>
        <v>4</v>
      </c>
      <c r="I587" s="105" t="str">
        <f t="shared" si="96"/>
        <v>A</v>
      </c>
      <c r="J587" s="4" t="str">
        <f t="shared" si="97"/>
        <v>CEI</v>
      </c>
      <c r="K587" s="106">
        <f t="shared" si="98"/>
        <v>4</v>
      </c>
      <c r="L587" s="106">
        <f>IF(NOT(ISERROR(VLOOKUP(B587,Deflatores!G$42:H$64,2,FALSE))),VLOOKUP(B587,Deflatores!G$42:H$64,2,FALSE),IF(OR(ISBLANK(C587),ISBLANK(B587)),"",VLOOKUP(C587,Deflatores!G$4:H$38,2,FALSE)*H587+VLOOKUP(C587,Deflatores!G$4:I$38,3,FALSE)))</f>
        <v>4</v>
      </c>
      <c r="M587" s="106"/>
      <c r="N587" s="106"/>
      <c r="O587" s="124"/>
    </row>
    <row r="588" spans="1:15" ht="13" x14ac:dyDescent="0.3">
      <c r="A588" s="112" t="s">
        <v>515</v>
      </c>
      <c r="B588" s="113" t="s">
        <v>50</v>
      </c>
      <c r="C588" s="113" t="s">
        <v>45</v>
      </c>
      <c r="D588" s="4">
        <v>18</v>
      </c>
      <c r="E588" s="4">
        <v>3</v>
      </c>
      <c r="F588" s="106" t="str">
        <f t="shared" si="94"/>
        <v>Média</v>
      </c>
      <c r="G588" s="102"/>
      <c r="H588" s="4">
        <f t="shared" si="95"/>
        <v>4</v>
      </c>
      <c r="I588" s="105" t="str">
        <f t="shared" si="96"/>
        <v>A</v>
      </c>
      <c r="J588" s="4" t="str">
        <f t="shared" si="97"/>
        <v>CEI</v>
      </c>
      <c r="K588" s="106">
        <f t="shared" si="98"/>
        <v>4</v>
      </c>
      <c r="L588" s="106">
        <f>IF(NOT(ISERROR(VLOOKUP(B588,Deflatores!G$42:H$64,2,FALSE))),VLOOKUP(B588,Deflatores!G$42:H$64,2,FALSE),IF(OR(ISBLANK(C588),ISBLANK(B588)),"",VLOOKUP(C588,Deflatores!G$4:H$38,2,FALSE)*H588+VLOOKUP(C588,Deflatores!G$4:I$38,3,FALSE)))</f>
        <v>4</v>
      </c>
      <c r="M588" s="106"/>
      <c r="N588" s="106"/>
      <c r="O588" s="124"/>
    </row>
    <row r="589" spans="1:15" ht="13" x14ac:dyDescent="0.3">
      <c r="A589" s="112" t="s">
        <v>516</v>
      </c>
      <c r="B589" s="113" t="s">
        <v>48</v>
      </c>
      <c r="C589" s="113" t="s">
        <v>45</v>
      </c>
      <c r="D589" s="4">
        <v>9</v>
      </c>
      <c r="E589" s="4">
        <v>3</v>
      </c>
      <c r="F589" s="106" t="str">
        <f t="shared" si="94"/>
        <v>Alta</v>
      </c>
      <c r="G589" s="102"/>
      <c r="H589" s="4">
        <f t="shared" si="95"/>
        <v>6</v>
      </c>
      <c r="I589" s="105" t="str">
        <f t="shared" si="96"/>
        <v>H</v>
      </c>
      <c r="J589" s="4" t="str">
        <f t="shared" si="97"/>
        <v>EEI</v>
      </c>
      <c r="K589" s="106">
        <f t="shared" si="98"/>
        <v>6</v>
      </c>
      <c r="L589" s="106">
        <f>IF(NOT(ISERROR(VLOOKUP(B589,Deflatores!G$42:H$64,2,FALSE))),VLOOKUP(B589,Deflatores!G$42:H$64,2,FALSE),IF(OR(ISBLANK(C589),ISBLANK(B589)),"",VLOOKUP(C589,Deflatores!G$4:H$38,2,FALSE)*H589+VLOOKUP(C589,Deflatores!G$4:I$38,3,FALSE)))</f>
        <v>6</v>
      </c>
      <c r="M589" s="106"/>
      <c r="N589" s="106"/>
      <c r="O589" s="124"/>
    </row>
    <row r="590" spans="1:15" ht="13" x14ac:dyDescent="0.3">
      <c r="A590" s="112" t="s">
        <v>517</v>
      </c>
      <c r="B590" s="113" t="s">
        <v>48</v>
      </c>
      <c r="C590" s="113" t="s">
        <v>45</v>
      </c>
      <c r="D590" s="4">
        <v>9</v>
      </c>
      <c r="E590" s="4">
        <v>3</v>
      </c>
      <c r="F590" s="106" t="str">
        <f t="shared" si="94"/>
        <v>Alta</v>
      </c>
      <c r="G590" s="102"/>
      <c r="H590" s="4">
        <f t="shared" si="95"/>
        <v>6</v>
      </c>
      <c r="I590" s="105" t="str">
        <f t="shared" si="96"/>
        <v>H</v>
      </c>
      <c r="J590" s="4" t="str">
        <f t="shared" si="97"/>
        <v>EEI</v>
      </c>
      <c r="K590" s="106">
        <f t="shared" si="98"/>
        <v>6</v>
      </c>
      <c r="L590" s="106">
        <f>IF(NOT(ISERROR(VLOOKUP(B590,Deflatores!G$42:H$64,2,FALSE))),VLOOKUP(B590,Deflatores!G$42:H$64,2,FALSE),IF(OR(ISBLANK(C590),ISBLANK(B590)),"",VLOOKUP(C590,Deflatores!G$4:H$38,2,FALSE)*H590+VLOOKUP(C590,Deflatores!G$4:I$38,3,FALSE)))</f>
        <v>6</v>
      </c>
      <c r="M590" s="106"/>
      <c r="N590" s="106"/>
      <c r="O590" s="124"/>
    </row>
    <row r="591" spans="1:15" ht="13" x14ac:dyDescent="0.3">
      <c r="A591" s="114" t="s">
        <v>518</v>
      </c>
      <c r="B591" s="113" t="s">
        <v>50</v>
      </c>
      <c r="C591" s="113" t="s">
        <v>45</v>
      </c>
      <c r="D591" s="4">
        <v>6</v>
      </c>
      <c r="E591" s="4">
        <v>3</v>
      </c>
      <c r="F591" s="106" t="str">
        <f t="shared" si="94"/>
        <v>Média</v>
      </c>
      <c r="G591" s="102"/>
      <c r="H591" s="4">
        <f t="shared" si="95"/>
        <v>4</v>
      </c>
      <c r="I591" s="105" t="str">
        <f t="shared" si="96"/>
        <v>A</v>
      </c>
      <c r="J591" s="4" t="str">
        <f t="shared" si="97"/>
        <v>CEI</v>
      </c>
      <c r="K591" s="106">
        <f t="shared" si="98"/>
        <v>4</v>
      </c>
      <c r="L591" s="106">
        <f>IF(NOT(ISERROR(VLOOKUP(B591,Deflatores!G$42:H$64,2,FALSE))),VLOOKUP(B591,Deflatores!G$42:H$64,2,FALSE),IF(OR(ISBLANK(C591),ISBLANK(B591)),"",VLOOKUP(C591,Deflatores!G$4:H$38,2,FALSE)*H591+VLOOKUP(C591,Deflatores!G$4:I$38,3,FALSE)))</f>
        <v>4</v>
      </c>
      <c r="M591" s="106"/>
      <c r="N591" s="106"/>
      <c r="O591" s="124"/>
    </row>
    <row r="592" spans="1:15" ht="13" x14ac:dyDescent="0.3">
      <c r="A592" s="112" t="s">
        <v>519</v>
      </c>
      <c r="B592" s="113" t="s">
        <v>50</v>
      </c>
      <c r="C592" s="113" t="s">
        <v>45</v>
      </c>
      <c r="D592" s="4">
        <v>9</v>
      </c>
      <c r="E592" s="4">
        <v>3</v>
      </c>
      <c r="F592" s="106" t="str">
        <f t="shared" si="94"/>
        <v>Média</v>
      </c>
      <c r="G592" s="102"/>
      <c r="H592" s="4">
        <f t="shared" si="95"/>
        <v>4</v>
      </c>
      <c r="I592" s="105" t="str">
        <f t="shared" si="96"/>
        <v>A</v>
      </c>
      <c r="J592" s="4" t="str">
        <f t="shared" si="97"/>
        <v>CEI</v>
      </c>
      <c r="K592" s="106">
        <f t="shared" si="98"/>
        <v>4</v>
      </c>
      <c r="L592" s="106">
        <f>IF(NOT(ISERROR(VLOOKUP(B592,Deflatores!G$42:H$64,2,FALSE))),VLOOKUP(B592,Deflatores!G$42:H$64,2,FALSE),IF(OR(ISBLANK(C592),ISBLANK(B592)),"",VLOOKUP(C592,Deflatores!G$4:H$38,2,FALSE)*H592+VLOOKUP(C592,Deflatores!G$4:I$38,3,FALSE)))</f>
        <v>4</v>
      </c>
      <c r="M592" s="106"/>
      <c r="N592" s="106"/>
      <c r="O592" s="124"/>
    </row>
    <row r="593" spans="1:15" ht="13" x14ac:dyDescent="0.3">
      <c r="A593" s="112" t="s">
        <v>520</v>
      </c>
      <c r="B593" s="113" t="s">
        <v>48</v>
      </c>
      <c r="C593" s="113" t="s">
        <v>45</v>
      </c>
      <c r="D593" s="4">
        <v>3</v>
      </c>
      <c r="E593" s="4">
        <v>1</v>
      </c>
      <c r="F593" s="106" t="str">
        <f t="shared" si="94"/>
        <v>Baixa</v>
      </c>
      <c r="G593" s="102"/>
      <c r="H593" s="4">
        <f t="shared" si="95"/>
        <v>3</v>
      </c>
      <c r="I593" s="105" t="str">
        <f t="shared" si="96"/>
        <v>L</v>
      </c>
      <c r="J593" s="4" t="str">
        <f t="shared" si="97"/>
        <v>EEI</v>
      </c>
      <c r="K593" s="106">
        <f t="shared" si="98"/>
        <v>3</v>
      </c>
      <c r="L593" s="106">
        <f>IF(NOT(ISERROR(VLOOKUP(B593,Deflatores!G$42:H$64,2,FALSE))),VLOOKUP(B593,Deflatores!G$42:H$64,2,FALSE),IF(OR(ISBLANK(C593),ISBLANK(B593)),"",VLOOKUP(C593,Deflatores!G$4:H$38,2,FALSE)*H593+VLOOKUP(C593,Deflatores!G$4:I$38,3,FALSE)))</f>
        <v>3</v>
      </c>
      <c r="M593" s="106"/>
      <c r="N593" s="106"/>
      <c r="O593" s="124"/>
    </row>
    <row r="594" spans="1:15" x14ac:dyDescent="0.25">
      <c r="A594" s="112" t="s">
        <v>521</v>
      </c>
      <c r="B594" s="113" t="s">
        <v>50</v>
      </c>
      <c r="C594" s="113" t="s">
        <v>45</v>
      </c>
      <c r="D594" s="4">
        <v>7</v>
      </c>
      <c r="E594" s="4">
        <v>2</v>
      </c>
      <c r="F594" s="106" t="str">
        <f t="shared" si="94"/>
        <v>Média</v>
      </c>
      <c r="G594" s="106" t="str">
        <f t="shared" ref="G594:G601" si="99">CONCATENATE(B594,I594)</f>
        <v>CEA</v>
      </c>
      <c r="H594" s="4">
        <f t="shared" si="95"/>
        <v>4</v>
      </c>
      <c r="I594" s="105" t="str">
        <f t="shared" si="96"/>
        <v>A</v>
      </c>
      <c r="J594" s="4" t="str">
        <f t="shared" si="97"/>
        <v>CEI</v>
      </c>
      <c r="K594" s="106">
        <f t="shared" si="98"/>
        <v>4</v>
      </c>
      <c r="L594" s="106">
        <f>IF(NOT(ISERROR(VLOOKUP(B594,Deflatores!G$42:H$64,2,FALSE))),VLOOKUP(B594,Deflatores!G$42:H$64,2,FALSE),IF(OR(ISBLANK(C594),ISBLANK(B594)),"",VLOOKUP(C594,Deflatores!G$4:H$38,2,FALSE)*H594+VLOOKUP(C594,Deflatores!G$4:I$38,3,FALSE)))</f>
        <v>4</v>
      </c>
      <c r="M594" s="106"/>
      <c r="N594" s="106"/>
      <c r="O594" s="124"/>
    </row>
    <row r="595" spans="1:15" x14ac:dyDescent="0.25">
      <c r="A595" s="112" t="s">
        <v>522</v>
      </c>
      <c r="B595" s="113" t="s">
        <v>50</v>
      </c>
      <c r="C595" s="113" t="s">
        <v>45</v>
      </c>
      <c r="D595" s="4">
        <v>5</v>
      </c>
      <c r="E595" s="4">
        <v>3</v>
      </c>
      <c r="F595" s="106" t="str">
        <f t="shared" si="94"/>
        <v>Baixa</v>
      </c>
      <c r="G595" s="106" t="str">
        <f t="shared" si="99"/>
        <v>CEL</v>
      </c>
      <c r="H595" s="4">
        <f t="shared" si="95"/>
        <v>3</v>
      </c>
      <c r="I595" s="105" t="str">
        <f t="shared" si="96"/>
        <v>L</v>
      </c>
      <c r="J595" s="4" t="str">
        <f t="shared" si="97"/>
        <v>CEI</v>
      </c>
      <c r="K595" s="106">
        <f t="shared" si="98"/>
        <v>3</v>
      </c>
      <c r="L595" s="106">
        <f>IF(NOT(ISERROR(VLOOKUP(B595,Deflatores!G$42:H$64,2,FALSE))),VLOOKUP(B595,Deflatores!G$42:H$64,2,FALSE),IF(OR(ISBLANK(C595),ISBLANK(B595)),"",VLOOKUP(C595,Deflatores!G$4:H$38,2,FALSE)*H595+VLOOKUP(C595,Deflatores!G$4:I$38,3,FALSE)))</f>
        <v>3</v>
      </c>
      <c r="M595" s="106"/>
      <c r="N595" s="106"/>
      <c r="O595" s="124"/>
    </row>
    <row r="596" spans="1:15" x14ac:dyDescent="0.25">
      <c r="A596" s="112" t="s">
        <v>523</v>
      </c>
      <c r="B596" s="113" t="s">
        <v>50</v>
      </c>
      <c r="C596" s="113" t="s">
        <v>45</v>
      </c>
      <c r="D596" s="4">
        <v>4</v>
      </c>
      <c r="E596" s="4">
        <v>2</v>
      </c>
      <c r="F596" s="106" t="str">
        <f t="shared" si="94"/>
        <v>Baixa</v>
      </c>
      <c r="G596" s="106" t="str">
        <f t="shared" si="99"/>
        <v>CEL</v>
      </c>
      <c r="H596" s="4">
        <f t="shared" si="95"/>
        <v>3</v>
      </c>
      <c r="I596" s="105" t="str">
        <f t="shared" si="96"/>
        <v>L</v>
      </c>
      <c r="J596" s="4" t="str">
        <f t="shared" si="97"/>
        <v>CEI</v>
      </c>
      <c r="K596" s="106">
        <f t="shared" si="98"/>
        <v>3</v>
      </c>
      <c r="L596" s="106">
        <f>IF(NOT(ISERROR(VLOOKUP(B596,Deflatores!G$42:H$64,2,FALSE))),VLOOKUP(B596,Deflatores!G$42:H$64,2,FALSE),IF(OR(ISBLANK(C596),ISBLANK(B596)),"",VLOOKUP(C596,Deflatores!G$4:H$38,2,FALSE)*H596+VLOOKUP(C596,Deflatores!G$4:I$38,3,FALSE)))</f>
        <v>3</v>
      </c>
      <c r="M596" s="106"/>
      <c r="N596" s="106"/>
      <c r="O596" s="124"/>
    </row>
    <row r="597" spans="1:15" x14ac:dyDescent="0.25">
      <c r="A597" s="112" t="s">
        <v>524</v>
      </c>
      <c r="B597" s="113" t="s">
        <v>50</v>
      </c>
      <c r="C597" s="113" t="s">
        <v>45</v>
      </c>
      <c r="D597" s="4">
        <v>6</v>
      </c>
      <c r="E597" s="4">
        <v>2</v>
      </c>
      <c r="F597" s="106" t="str">
        <f t="shared" si="94"/>
        <v>Média</v>
      </c>
      <c r="G597" s="106" t="str">
        <f t="shared" si="99"/>
        <v>CEA</v>
      </c>
      <c r="H597" s="4">
        <f t="shared" si="95"/>
        <v>4</v>
      </c>
      <c r="I597" s="105" t="str">
        <f t="shared" si="96"/>
        <v>A</v>
      </c>
      <c r="J597" s="4" t="str">
        <f t="shared" si="97"/>
        <v>CEI</v>
      </c>
      <c r="K597" s="106">
        <f t="shared" si="98"/>
        <v>4</v>
      </c>
      <c r="L597" s="106">
        <f>IF(NOT(ISERROR(VLOOKUP(B597,Deflatores!G$42:H$64,2,FALSE))),VLOOKUP(B597,Deflatores!G$42:H$64,2,FALSE),IF(OR(ISBLANK(C597),ISBLANK(B597)),"",VLOOKUP(C597,Deflatores!G$4:H$38,2,FALSE)*H597+VLOOKUP(C597,Deflatores!G$4:I$38,3,FALSE)))</f>
        <v>4</v>
      </c>
      <c r="M597" s="106"/>
      <c r="N597" s="106"/>
      <c r="O597" s="124"/>
    </row>
    <row r="598" spans="1:15" x14ac:dyDescent="0.25">
      <c r="A598" s="112" t="s">
        <v>525</v>
      </c>
      <c r="B598" s="113" t="s">
        <v>48</v>
      </c>
      <c r="C598" s="113" t="s">
        <v>45</v>
      </c>
      <c r="D598" s="4">
        <v>6</v>
      </c>
      <c r="E598" s="4">
        <v>2</v>
      </c>
      <c r="F598" s="106" t="str">
        <f t="shared" si="94"/>
        <v>Média</v>
      </c>
      <c r="G598" s="106" t="str">
        <f t="shared" si="99"/>
        <v>EEA</v>
      </c>
      <c r="H598" s="4">
        <f t="shared" si="95"/>
        <v>4</v>
      </c>
      <c r="I598" s="105" t="str">
        <f t="shared" si="96"/>
        <v>A</v>
      </c>
      <c r="J598" s="4" t="str">
        <f t="shared" si="97"/>
        <v>EEI</v>
      </c>
      <c r="K598" s="106">
        <f t="shared" si="98"/>
        <v>4</v>
      </c>
      <c r="L598" s="106">
        <f>IF(NOT(ISERROR(VLOOKUP(B598,Deflatores!G$42:H$64,2,FALSE))),VLOOKUP(B598,Deflatores!G$42:H$64,2,FALSE),IF(OR(ISBLANK(C598),ISBLANK(B598)),"",VLOOKUP(C598,Deflatores!G$4:H$38,2,FALSE)*H598+VLOOKUP(C598,Deflatores!G$4:I$38,3,FALSE)))</f>
        <v>4</v>
      </c>
      <c r="M598" s="106"/>
      <c r="N598" s="106"/>
      <c r="O598" s="124"/>
    </row>
    <row r="599" spans="1:15" x14ac:dyDescent="0.25">
      <c r="A599" s="112" t="s">
        <v>526</v>
      </c>
      <c r="B599" s="113" t="s">
        <v>48</v>
      </c>
      <c r="C599" s="113" t="s">
        <v>45</v>
      </c>
      <c r="D599" s="4">
        <v>5</v>
      </c>
      <c r="E599" s="4">
        <v>1</v>
      </c>
      <c r="F599" s="106" t="str">
        <f t="shared" si="94"/>
        <v>Baixa</v>
      </c>
      <c r="G599" s="106" t="str">
        <f t="shared" si="99"/>
        <v>EEL</v>
      </c>
      <c r="H599" s="4">
        <f t="shared" si="95"/>
        <v>3</v>
      </c>
      <c r="I599" s="105" t="str">
        <f t="shared" si="96"/>
        <v>L</v>
      </c>
      <c r="J599" s="4" t="str">
        <f t="shared" si="97"/>
        <v>EEI</v>
      </c>
      <c r="K599" s="106">
        <f t="shared" si="98"/>
        <v>3</v>
      </c>
      <c r="L599" s="106">
        <f>IF(NOT(ISERROR(VLOOKUP(B599,Deflatores!G$42:H$64,2,FALSE))),VLOOKUP(B599,Deflatores!G$42:H$64,2,FALSE),IF(OR(ISBLANK(C599),ISBLANK(B599)),"",VLOOKUP(C599,Deflatores!G$4:H$38,2,FALSE)*H599+VLOOKUP(C599,Deflatores!G$4:I$38,3,FALSE)))</f>
        <v>3</v>
      </c>
      <c r="M599" s="106"/>
      <c r="N599" s="106"/>
      <c r="O599" s="124"/>
    </row>
    <row r="600" spans="1:15" x14ac:dyDescent="0.25">
      <c r="A600" s="114" t="s">
        <v>82</v>
      </c>
      <c r="B600" s="113" t="s">
        <v>50</v>
      </c>
      <c r="C600" s="113" t="s">
        <v>45</v>
      </c>
      <c r="D600" s="4">
        <v>4</v>
      </c>
      <c r="E600" s="4">
        <v>2</v>
      </c>
      <c r="F600" s="106" t="str">
        <f t="shared" si="94"/>
        <v>Baixa</v>
      </c>
      <c r="G600" s="106" t="str">
        <f t="shared" si="99"/>
        <v>CEL</v>
      </c>
      <c r="H600" s="4">
        <f t="shared" si="95"/>
        <v>3</v>
      </c>
      <c r="I600" s="105" t="str">
        <f t="shared" si="96"/>
        <v>L</v>
      </c>
      <c r="J600" s="4" t="str">
        <f t="shared" si="97"/>
        <v>CEI</v>
      </c>
      <c r="K600" s="106">
        <f t="shared" si="98"/>
        <v>3</v>
      </c>
      <c r="L600" s="106">
        <f>IF(NOT(ISERROR(VLOOKUP(B600,Deflatores!G$42:H$64,2,FALSE))),VLOOKUP(B600,Deflatores!G$42:H$64,2,FALSE),IF(OR(ISBLANK(C600),ISBLANK(B600)),"",VLOOKUP(C600,Deflatores!G$4:H$38,2,FALSE)*H600+VLOOKUP(C600,Deflatores!G$4:I$38,3,FALSE)))</f>
        <v>3</v>
      </c>
      <c r="M600" s="106"/>
      <c r="N600" s="106"/>
      <c r="O600" s="124"/>
    </row>
    <row r="601" spans="1:15" x14ac:dyDescent="0.25">
      <c r="A601" s="112" t="s">
        <v>527</v>
      </c>
      <c r="B601" s="113" t="s">
        <v>48</v>
      </c>
      <c r="C601" s="113" t="s">
        <v>45</v>
      </c>
      <c r="D601" s="4">
        <v>3</v>
      </c>
      <c r="E601" s="4">
        <v>1</v>
      </c>
      <c r="F601" s="106" t="str">
        <f t="shared" si="94"/>
        <v>Baixa</v>
      </c>
      <c r="G601" s="106" t="str">
        <f t="shared" si="99"/>
        <v>EEL</v>
      </c>
      <c r="H601" s="4">
        <f t="shared" si="95"/>
        <v>3</v>
      </c>
      <c r="I601" s="105" t="str">
        <f t="shared" si="96"/>
        <v>L</v>
      </c>
      <c r="J601" s="4" t="str">
        <f t="shared" si="97"/>
        <v>EEI</v>
      </c>
      <c r="K601" s="106">
        <f t="shared" si="98"/>
        <v>3</v>
      </c>
      <c r="L601" s="106">
        <f>IF(NOT(ISERROR(VLOOKUP(B601,Deflatores!G$42:H$64,2,FALSE))),VLOOKUP(B601,Deflatores!G$42:H$64,2,FALSE),IF(OR(ISBLANK(C601),ISBLANK(B601)),"",VLOOKUP(C601,Deflatores!G$4:H$38,2,FALSE)*H601+VLOOKUP(C601,Deflatores!G$4:I$38,3,FALSE)))</f>
        <v>3</v>
      </c>
      <c r="M601" s="106"/>
      <c r="N601" s="106"/>
      <c r="O601" s="124"/>
    </row>
    <row r="602" spans="1:15" x14ac:dyDescent="0.25">
      <c r="A602" s="112"/>
      <c r="B602" s="113"/>
      <c r="C602" s="113"/>
      <c r="D602" s="4"/>
      <c r="E602" s="4"/>
      <c r="F602" s="106" t="s">
        <v>423</v>
      </c>
      <c r="G602" s="106" t="s">
        <v>423</v>
      </c>
      <c r="H602" s="4" t="s">
        <v>423</v>
      </c>
      <c r="I602" s="105" t="s">
        <v>423</v>
      </c>
      <c r="J602" s="4" t="s">
        <v>423</v>
      </c>
      <c r="K602" s="106" t="s">
        <v>423</v>
      </c>
      <c r="L602" s="106" t="str">
        <f>IF(NOT(ISERROR(VLOOKUP(B602,Deflatores!G$42:H$64,2,FALSE))),VLOOKUP(B602,Deflatores!G$42:H$64,2,FALSE),IF(OR(ISBLANK(C602),ISBLANK(B602)),"",VLOOKUP(C602,Deflatores!G$4:H$38,2,FALSE)*H602+VLOOKUP(C602,Deflatores!G$4:I$38,3,FALSE)))</f>
        <v/>
      </c>
      <c r="M602" s="106"/>
      <c r="N602" s="106"/>
      <c r="O602" s="124"/>
    </row>
    <row r="603" spans="1:15" x14ac:dyDescent="0.25">
      <c r="A603" s="115" t="s">
        <v>528</v>
      </c>
      <c r="B603" s="113"/>
      <c r="C603" s="113"/>
      <c r="D603" s="4"/>
      <c r="E603" s="4"/>
      <c r="F603" s="106" t="str">
        <f>IF(ISBLANK(B603),"",IF(I603="L","Baixa",IF(I603="A","Média",IF(I603="","","Alta"))))</f>
        <v/>
      </c>
      <c r="G603" s="106" t="str">
        <f>CONCATENATE(B603,I603)</f>
        <v/>
      </c>
      <c r="H603" s="4" t="str">
        <f>IF(ISBLANK(B603),"",IF(B603="ALI",IF(I603="L",7,IF(I603="A",10,15)),IF(B603="AIE",IF(I603="L",5,IF(I603="A",7,10)),IF(B603="SE",IF(I603="L",4,IF(I603="A",5,7)),IF(OR(B603="EE",B603="CE"),IF(I603="L",3,IF(I603="A",4,6)),0)))))</f>
        <v/>
      </c>
      <c r="I603" s="105" t="str">
        <f>IF(OR(ISBLANK(D603),ISBLANK(E603)),IF(OR(B603="ALI",B603="AIE"),"L",IF(OR(B603="EE",B603="SE",B603="CE"),"A","")),IF(B603="EE",IF(E603&gt;=3,IF(D603&gt;=5,"H","A"),IF(E603&gt;=2,IF(D603&gt;=16,"H",IF(D603&lt;=4,"L","A")),IF(D603&lt;=15,"L","A"))),IF(OR(B603="SE",B603="CE"),IF(E603&gt;=4,IF(D603&gt;=6,"H","A"),IF(E603&gt;=2,IF(D603&gt;=20,"H",IF(D603&lt;=5,"L","A")),IF(D603&lt;=19,"L","A"))),IF(OR(B603="ALI",B603="AIE"),IF(E603&gt;=6,IF(D603&gt;=20,"H","A"),IF(E603&gt;=2,IF(D603&gt;=51,"H",IF(D603&lt;=19,"L","A")),IF(D603&lt;=50,"L","A"))),""))))</f>
        <v/>
      </c>
      <c r="J603" s="4" t="str">
        <f>CONCATENATE(B603,C603)</f>
        <v/>
      </c>
      <c r="K603" s="106" t="str">
        <f>IF(OR(H603="",H603=0),L603,H603)</f>
        <v/>
      </c>
      <c r="L603" s="106" t="str">
        <f>IF(NOT(ISERROR(VLOOKUP(B603,Deflatores!G$42:H$64,2,FALSE))),VLOOKUP(B603,Deflatores!G$42:H$64,2,FALSE),IF(OR(ISBLANK(C603),ISBLANK(B603)),"",VLOOKUP(C603,Deflatores!G$4:H$38,2,FALSE)*H603+VLOOKUP(C603,Deflatores!G$4:I$38,3,FALSE)))</f>
        <v/>
      </c>
      <c r="M603" s="106"/>
      <c r="N603" s="106"/>
      <c r="O603" s="124"/>
    </row>
    <row r="604" spans="1:15" ht="22" x14ac:dyDescent="0.25">
      <c r="A604" s="112" t="s">
        <v>529</v>
      </c>
      <c r="B604" s="113" t="s">
        <v>67</v>
      </c>
      <c r="C604" s="113"/>
      <c r="D604" s="4"/>
      <c r="E604" s="4"/>
      <c r="F604" s="106"/>
      <c r="G604" s="106"/>
      <c r="H604" s="4"/>
      <c r="I604" s="105"/>
      <c r="J604" s="4"/>
      <c r="K604" s="106"/>
      <c r="L604" s="106" t="str">
        <f>IF(NOT(ISERROR(VLOOKUP(B604,Deflatores!G$42:H$64,2,FALSE))),VLOOKUP(B604,Deflatores!G$42:H$64,2,FALSE),IF(OR(ISBLANK(C604),ISBLANK(B604)),"",VLOOKUP(C604,Deflatores!G$4:H$38,2,FALSE)*H604+VLOOKUP(C604,Deflatores!G$4:I$38,3,FALSE)))</f>
        <v/>
      </c>
      <c r="M604" s="106"/>
      <c r="N604" s="106"/>
      <c r="O604" s="130" t="s">
        <v>530</v>
      </c>
    </row>
    <row r="605" spans="1:15" x14ac:dyDescent="0.25">
      <c r="A605" s="112" t="s">
        <v>531</v>
      </c>
      <c r="B605" s="113" t="s">
        <v>44</v>
      </c>
      <c r="C605" s="113" t="s">
        <v>45</v>
      </c>
      <c r="D605" s="4">
        <v>14</v>
      </c>
      <c r="E605" s="4">
        <v>2</v>
      </c>
      <c r="F605" s="106" t="str">
        <f t="shared" ref="F605:F690" si="100">IF(ISBLANK(B605),"",IF(I605="L","Baixa",IF(I605="A","Média",IF(I605="","","Alta"))))</f>
        <v>Baixa</v>
      </c>
      <c r="G605" s="106" t="str">
        <f t="shared" ref="G605:G690" si="101">CONCATENATE(B605,I605)</f>
        <v>ALIL</v>
      </c>
      <c r="H605" s="4">
        <f t="shared" ref="H605:H690" si="102">IF(ISBLANK(B605),"",IF(B605="ALI",IF(I605="L",7,IF(I605="A",10,15)),IF(B605="AIE",IF(I605="L",5,IF(I605="A",7,10)),IF(B605="SE",IF(I605="L",4,IF(I605="A",5,7)),IF(OR(B605="EE",B605="CE"),IF(I605="L",3,IF(I605="A",4,6)),0)))))</f>
        <v>7</v>
      </c>
      <c r="I605" s="105" t="str">
        <f t="shared" ref="I605:I690" si="103">IF(OR(ISBLANK(D605),ISBLANK(E605)),IF(OR(B605="ALI",B605="AIE"),"L",IF(OR(B605="EE",B605="SE",B605="CE"),"A","")),IF(B605="EE",IF(E605&gt;=3,IF(D605&gt;=5,"H","A"),IF(E605&gt;=2,IF(D605&gt;=16,"H",IF(D605&lt;=4,"L","A")),IF(D605&lt;=15,"L","A"))),IF(OR(B605="SE",B605="CE"),IF(E605&gt;=4,IF(D605&gt;=6,"H","A"),IF(E605&gt;=2,IF(D605&gt;=20,"H",IF(D605&lt;=5,"L","A")),IF(D605&lt;=19,"L","A"))),IF(OR(B605="ALI",B605="AIE"),IF(E605&gt;=6,IF(D605&gt;=20,"H","A"),IF(E605&gt;=2,IF(D605&gt;=51,"H",IF(D605&lt;=19,"L","A")),IF(D605&lt;=50,"L","A"))),""))))</f>
        <v>L</v>
      </c>
      <c r="J605" s="4" t="str">
        <f t="shared" ref="J605:J690" si="104">CONCATENATE(B605,C605)</f>
        <v>ALII</v>
      </c>
      <c r="K605" s="106">
        <f t="shared" ref="K605:K690" si="105">IF(OR(H605="",H605=0),L605,H605)</f>
        <v>7</v>
      </c>
      <c r="L605" s="106">
        <f>IF(NOT(ISERROR(VLOOKUP(B605,Deflatores!G$42:H$64,2,FALSE))),VLOOKUP(B605,Deflatores!G$42:H$64,2,FALSE),IF(OR(ISBLANK(C605),ISBLANK(B605)),"",VLOOKUP(C605,Deflatores!G$4:H$38,2,FALSE)*H605+VLOOKUP(C605,Deflatores!G$4:I$38,3,FALSE)))</f>
        <v>7</v>
      </c>
      <c r="M605" s="106"/>
      <c r="N605" s="106"/>
      <c r="O605" s="124"/>
    </row>
    <row r="606" spans="1:15" x14ac:dyDescent="0.25">
      <c r="A606" s="112" t="s">
        <v>501</v>
      </c>
      <c r="B606" s="113" t="s">
        <v>50</v>
      </c>
      <c r="C606" s="113" t="s">
        <v>45</v>
      </c>
      <c r="D606" s="4">
        <v>9</v>
      </c>
      <c r="E606" s="4">
        <v>4</v>
      </c>
      <c r="F606" s="106" t="str">
        <f t="shared" si="100"/>
        <v>Alta</v>
      </c>
      <c r="G606" s="106" t="str">
        <f t="shared" si="101"/>
        <v>CEH</v>
      </c>
      <c r="H606" s="4">
        <f t="shared" si="102"/>
        <v>6</v>
      </c>
      <c r="I606" s="105" t="str">
        <f t="shared" si="103"/>
        <v>H</v>
      </c>
      <c r="J606" s="4" t="str">
        <f t="shared" si="104"/>
        <v>CEI</v>
      </c>
      <c r="K606" s="106">
        <f t="shared" si="105"/>
        <v>6</v>
      </c>
      <c r="L606" s="106">
        <f>IF(NOT(ISERROR(VLOOKUP(B606,Deflatores!G$42:H$64,2,FALSE))),VLOOKUP(B606,Deflatores!G$42:H$64,2,FALSE),IF(OR(ISBLANK(C606),ISBLANK(B606)),"",VLOOKUP(C606,Deflatores!G$4:H$38,2,FALSE)*H606+VLOOKUP(C606,Deflatores!G$4:I$38,3,FALSE)))</f>
        <v>6</v>
      </c>
      <c r="M606" s="106"/>
      <c r="N606" s="106"/>
      <c r="O606" s="124"/>
    </row>
    <row r="607" spans="1:15" x14ac:dyDescent="0.25">
      <c r="A607" s="112"/>
      <c r="B607" s="113"/>
      <c r="C607" s="113"/>
      <c r="D607" s="4"/>
      <c r="E607" s="4"/>
      <c r="F607" s="106" t="str">
        <f t="shared" si="100"/>
        <v/>
      </c>
      <c r="G607" s="106" t="str">
        <f t="shared" si="101"/>
        <v/>
      </c>
      <c r="H607" s="4" t="str">
        <f t="shared" si="102"/>
        <v/>
      </c>
      <c r="I607" s="105" t="str">
        <f t="shared" si="103"/>
        <v/>
      </c>
      <c r="J607" s="4" t="str">
        <f t="shared" si="104"/>
        <v/>
      </c>
      <c r="K607" s="106" t="str">
        <f t="shared" si="105"/>
        <v/>
      </c>
      <c r="L607" s="106" t="str">
        <f>IF(NOT(ISERROR(VLOOKUP(B607,Deflatores!G$42:H$64,2,FALSE))),VLOOKUP(B607,Deflatores!G$42:H$64,2,FALSE),IF(OR(ISBLANK(C607),ISBLANK(B607)),"",VLOOKUP(C607,Deflatores!G$4:H$38,2,FALSE)*H607+VLOOKUP(C607,Deflatores!G$4:I$38,3,FALSE)))</f>
        <v/>
      </c>
      <c r="M607" s="106"/>
      <c r="N607" s="106"/>
      <c r="O607" s="124"/>
    </row>
    <row r="608" spans="1:15" x14ac:dyDescent="0.25">
      <c r="A608" s="115" t="s">
        <v>532</v>
      </c>
      <c r="B608" s="113"/>
      <c r="C608" s="113"/>
      <c r="D608" s="4"/>
      <c r="E608" s="4"/>
      <c r="F608" s="106" t="str">
        <f t="shared" si="100"/>
        <v/>
      </c>
      <c r="G608" s="106" t="str">
        <f t="shared" si="101"/>
        <v/>
      </c>
      <c r="H608" s="4" t="str">
        <f t="shared" si="102"/>
        <v/>
      </c>
      <c r="I608" s="105" t="str">
        <f t="shared" si="103"/>
        <v/>
      </c>
      <c r="J608" s="4" t="str">
        <f t="shared" si="104"/>
        <v/>
      </c>
      <c r="K608" s="106" t="str">
        <f t="shared" si="105"/>
        <v/>
      </c>
      <c r="L608" s="106" t="str">
        <f>IF(NOT(ISERROR(VLOOKUP(B608,Deflatores!G$42:H$64,2,FALSE))),VLOOKUP(B608,Deflatores!G$42:H$64,2,FALSE),IF(OR(ISBLANK(C608),ISBLANK(B608)),"",VLOOKUP(C608,Deflatores!G$4:H$38,2,FALSE)*H608+VLOOKUP(C608,Deflatores!G$4:I$38,3,FALSE)))</f>
        <v/>
      </c>
      <c r="M608" s="106"/>
      <c r="N608" s="106"/>
      <c r="O608" s="124"/>
    </row>
    <row r="609" spans="1:15" x14ac:dyDescent="0.25">
      <c r="A609" s="112" t="s">
        <v>533</v>
      </c>
      <c r="B609" s="113" t="s">
        <v>50</v>
      </c>
      <c r="C609" s="113" t="s">
        <v>45</v>
      </c>
      <c r="D609" s="4">
        <v>14</v>
      </c>
      <c r="E609" s="4">
        <v>2</v>
      </c>
      <c r="F609" s="106" t="str">
        <f t="shared" si="100"/>
        <v>Média</v>
      </c>
      <c r="G609" s="106" t="str">
        <f t="shared" si="101"/>
        <v>CEA</v>
      </c>
      <c r="H609" s="4">
        <f t="shared" si="102"/>
        <v>4</v>
      </c>
      <c r="I609" s="105" t="str">
        <f t="shared" si="103"/>
        <v>A</v>
      </c>
      <c r="J609" s="4" t="str">
        <f t="shared" si="104"/>
        <v>CEI</v>
      </c>
      <c r="K609" s="106">
        <f t="shared" si="105"/>
        <v>4</v>
      </c>
      <c r="L609" s="106">
        <f>IF(NOT(ISERROR(VLOOKUP(B609,Deflatores!G$42:H$64,2,FALSE))),VLOOKUP(B609,Deflatores!G$42:H$64,2,FALSE),IF(OR(ISBLANK(C609),ISBLANK(B609)),"",VLOOKUP(C609,Deflatores!G$4:H$38,2,FALSE)*H609+VLOOKUP(C609,Deflatores!G$4:I$38,3,FALSE)))</f>
        <v>4</v>
      </c>
      <c r="M609" s="106"/>
      <c r="N609" s="106"/>
      <c r="O609" s="124"/>
    </row>
    <row r="610" spans="1:15" x14ac:dyDescent="0.25">
      <c r="A610" s="112" t="s">
        <v>534</v>
      </c>
      <c r="B610" s="113" t="s">
        <v>48</v>
      </c>
      <c r="C610" s="113" t="s">
        <v>45</v>
      </c>
      <c r="D610" s="4">
        <v>10</v>
      </c>
      <c r="E610" s="4">
        <v>2</v>
      </c>
      <c r="F610" s="106" t="str">
        <f t="shared" si="100"/>
        <v>Média</v>
      </c>
      <c r="G610" s="106" t="str">
        <f t="shared" si="101"/>
        <v>EEA</v>
      </c>
      <c r="H610" s="4">
        <f t="shared" si="102"/>
        <v>4</v>
      </c>
      <c r="I610" s="105" t="str">
        <f t="shared" si="103"/>
        <v>A</v>
      </c>
      <c r="J610" s="4" t="str">
        <f t="shared" si="104"/>
        <v>EEI</v>
      </c>
      <c r="K610" s="106">
        <f t="shared" si="105"/>
        <v>4</v>
      </c>
      <c r="L610" s="106">
        <f>IF(NOT(ISERROR(VLOOKUP(B610,Deflatores!G$42:H$64,2,FALSE))),VLOOKUP(B610,Deflatores!G$42:H$64,2,FALSE),IF(OR(ISBLANK(C610),ISBLANK(B610)),"",VLOOKUP(C610,Deflatores!G$4:H$38,2,FALSE)*H610+VLOOKUP(C610,Deflatores!G$4:I$38,3,FALSE)))</f>
        <v>4</v>
      </c>
      <c r="M610" s="106"/>
      <c r="N610" s="106"/>
      <c r="O610" s="124"/>
    </row>
    <row r="611" spans="1:15" x14ac:dyDescent="0.25">
      <c r="A611" s="112"/>
      <c r="B611" s="113"/>
      <c r="C611" s="113"/>
      <c r="D611" s="4"/>
      <c r="E611" s="4"/>
      <c r="F611" s="106" t="str">
        <f t="shared" si="100"/>
        <v/>
      </c>
      <c r="G611" s="106" t="str">
        <f t="shared" si="101"/>
        <v/>
      </c>
      <c r="H611" s="4" t="str">
        <f t="shared" si="102"/>
        <v/>
      </c>
      <c r="I611" s="105" t="str">
        <f t="shared" si="103"/>
        <v/>
      </c>
      <c r="J611" s="4" t="str">
        <f t="shared" si="104"/>
        <v/>
      </c>
      <c r="K611" s="106" t="str">
        <f t="shared" si="105"/>
        <v/>
      </c>
      <c r="L611" s="106" t="str">
        <f>IF(NOT(ISERROR(VLOOKUP(B611,Deflatores!G$42:H$64,2,FALSE))),VLOOKUP(B611,Deflatores!G$42:H$64,2,FALSE),IF(OR(ISBLANK(C611),ISBLANK(B611)),"",VLOOKUP(C611,Deflatores!G$4:H$38,2,FALSE)*H611+VLOOKUP(C611,Deflatores!G$4:I$38,3,FALSE)))</f>
        <v/>
      </c>
      <c r="M611" s="106"/>
      <c r="N611" s="106"/>
      <c r="O611" s="124"/>
    </row>
    <row r="612" spans="1:15" x14ac:dyDescent="0.25">
      <c r="A612" s="115" t="s">
        <v>535</v>
      </c>
      <c r="B612" s="113"/>
      <c r="C612" s="113"/>
      <c r="D612" s="4"/>
      <c r="E612" s="4"/>
      <c r="F612" s="106" t="str">
        <f t="shared" si="100"/>
        <v/>
      </c>
      <c r="G612" s="106" t="str">
        <f t="shared" si="101"/>
        <v/>
      </c>
      <c r="H612" s="4" t="str">
        <f t="shared" si="102"/>
        <v/>
      </c>
      <c r="I612" s="105" t="str">
        <f t="shared" si="103"/>
        <v/>
      </c>
      <c r="J612" s="4" t="str">
        <f t="shared" si="104"/>
        <v/>
      </c>
      <c r="K612" s="106" t="str">
        <f t="shared" si="105"/>
        <v/>
      </c>
      <c r="L612" s="106" t="str">
        <f>IF(NOT(ISERROR(VLOOKUP(B612,Deflatores!G$42:H$64,2,FALSE))),VLOOKUP(B612,Deflatores!G$42:H$64,2,FALSE),IF(OR(ISBLANK(C612),ISBLANK(B612)),"",VLOOKUP(C612,Deflatores!G$4:H$38,2,FALSE)*H612+VLOOKUP(C612,Deflatores!G$4:I$38,3,FALSE)))</f>
        <v/>
      </c>
      <c r="M612" s="106"/>
      <c r="N612" s="106"/>
      <c r="O612" s="124"/>
    </row>
    <row r="613" spans="1:15" x14ac:dyDescent="0.25">
      <c r="A613" s="112" t="s">
        <v>521</v>
      </c>
      <c r="B613" s="113" t="s">
        <v>50</v>
      </c>
      <c r="C613" s="113" t="s">
        <v>45</v>
      </c>
      <c r="D613" s="4">
        <v>7</v>
      </c>
      <c r="E613" s="4">
        <v>2</v>
      </c>
      <c r="F613" s="106" t="str">
        <f t="shared" si="100"/>
        <v>Média</v>
      </c>
      <c r="G613" s="106" t="str">
        <f t="shared" si="101"/>
        <v>CEA</v>
      </c>
      <c r="H613" s="4">
        <f t="shared" si="102"/>
        <v>4</v>
      </c>
      <c r="I613" s="105" t="str">
        <f t="shared" si="103"/>
        <v>A</v>
      </c>
      <c r="J613" s="4" t="str">
        <f t="shared" si="104"/>
        <v>CEI</v>
      </c>
      <c r="K613" s="106">
        <f t="shared" si="105"/>
        <v>4</v>
      </c>
      <c r="L613" s="106">
        <f>IF(NOT(ISERROR(VLOOKUP(B613,Deflatores!G$42:H$64,2,FALSE))),VLOOKUP(B613,Deflatores!G$42:H$64,2,FALSE),IF(OR(ISBLANK(C613),ISBLANK(B613)),"",VLOOKUP(C613,Deflatores!G$4:H$38,2,FALSE)*H613+VLOOKUP(C613,Deflatores!G$4:I$38,3,FALSE)))</f>
        <v>4</v>
      </c>
      <c r="M613" s="106"/>
      <c r="N613" s="106"/>
      <c r="O613" s="124"/>
    </row>
    <row r="614" spans="1:15" x14ac:dyDescent="0.25">
      <c r="A614" s="112"/>
      <c r="B614" s="113"/>
      <c r="C614" s="113"/>
      <c r="D614" s="4"/>
      <c r="E614" s="4"/>
      <c r="F614" s="106" t="str">
        <f t="shared" si="100"/>
        <v/>
      </c>
      <c r="G614" s="106" t="str">
        <f t="shared" si="101"/>
        <v/>
      </c>
      <c r="H614" s="4" t="str">
        <f t="shared" si="102"/>
        <v/>
      </c>
      <c r="I614" s="105" t="str">
        <f t="shared" si="103"/>
        <v/>
      </c>
      <c r="J614" s="4" t="str">
        <f t="shared" si="104"/>
        <v/>
      </c>
      <c r="K614" s="106" t="str">
        <f t="shared" si="105"/>
        <v/>
      </c>
      <c r="L614" s="106" t="str">
        <f>IF(NOT(ISERROR(VLOOKUP(B614,Deflatores!G$42:H$64,2,FALSE))),VLOOKUP(B614,Deflatores!G$42:H$64,2,FALSE),IF(OR(ISBLANK(C614),ISBLANK(B614)),"",VLOOKUP(C614,Deflatores!G$4:H$38,2,FALSE)*H614+VLOOKUP(C614,Deflatores!G$4:I$38,3,FALSE)))</f>
        <v/>
      </c>
      <c r="M614" s="106"/>
      <c r="N614" s="106"/>
      <c r="O614" s="124"/>
    </row>
    <row r="615" spans="1:15" x14ac:dyDescent="0.25">
      <c r="A615" s="115" t="s">
        <v>536</v>
      </c>
      <c r="B615" s="113"/>
      <c r="C615" s="113"/>
      <c r="D615" s="4"/>
      <c r="E615" s="4"/>
      <c r="F615" s="106" t="str">
        <f t="shared" si="100"/>
        <v/>
      </c>
      <c r="G615" s="106" t="str">
        <f t="shared" si="101"/>
        <v/>
      </c>
      <c r="H615" s="4" t="str">
        <f t="shared" si="102"/>
        <v/>
      </c>
      <c r="I615" s="105" t="str">
        <f t="shared" si="103"/>
        <v/>
      </c>
      <c r="J615" s="4" t="str">
        <f t="shared" si="104"/>
        <v/>
      </c>
      <c r="K615" s="106" t="str">
        <f t="shared" si="105"/>
        <v/>
      </c>
      <c r="L615" s="106" t="str">
        <f>IF(NOT(ISERROR(VLOOKUP(B615,Deflatores!G$42:H$64,2,FALSE))),VLOOKUP(B615,Deflatores!G$42:H$64,2,FALSE),IF(OR(ISBLANK(C615),ISBLANK(B615)),"",VLOOKUP(C615,Deflatores!G$4:H$38,2,FALSE)*H615+VLOOKUP(C615,Deflatores!G$4:I$38,3,FALSE)))</f>
        <v/>
      </c>
      <c r="M615" s="106"/>
      <c r="N615" s="106"/>
      <c r="O615" s="124"/>
    </row>
    <row r="616" spans="1:15" x14ac:dyDescent="0.25">
      <c r="A616" s="112" t="s">
        <v>537</v>
      </c>
      <c r="B616" s="113" t="s">
        <v>50</v>
      </c>
      <c r="C616" s="113" t="s">
        <v>45</v>
      </c>
      <c r="D616" s="4">
        <v>5</v>
      </c>
      <c r="E616" s="4">
        <v>3</v>
      </c>
      <c r="F616" s="106" t="str">
        <f t="shared" si="100"/>
        <v>Baixa</v>
      </c>
      <c r="G616" s="106" t="str">
        <f t="shared" si="101"/>
        <v>CEL</v>
      </c>
      <c r="H616" s="4">
        <f t="shared" si="102"/>
        <v>3</v>
      </c>
      <c r="I616" s="105" t="str">
        <f t="shared" si="103"/>
        <v>L</v>
      </c>
      <c r="J616" s="4" t="str">
        <f t="shared" si="104"/>
        <v>CEI</v>
      </c>
      <c r="K616" s="106">
        <f t="shared" si="105"/>
        <v>3</v>
      </c>
      <c r="L616" s="106">
        <f>IF(NOT(ISERROR(VLOOKUP(B616,Deflatores!G$42:H$64,2,FALSE))),VLOOKUP(B616,Deflatores!G$42:H$64,2,FALSE),IF(OR(ISBLANK(C616),ISBLANK(B616)),"",VLOOKUP(C616,Deflatores!G$4:H$38,2,FALSE)*H616+VLOOKUP(C616,Deflatores!G$4:I$38,3,FALSE)))</f>
        <v>3</v>
      </c>
      <c r="M616" s="106"/>
      <c r="N616" s="106"/>
      <c r="O616" s="124"/>
    </row>
    <row r="617" spans="1:15" x14ac:dyDescent="0.25">
      <c r="A617" s="112"/>
      <c r="B617" s="113"/>
      <c r="C617" s="113"/>
      <c r="D617" s="4"/>
      <c r="E617" s="4"/>
      <c r="F617" s="106" t="str">
        <f t="shared" si="100"/>
        <v/>
      </c>
      <c r="G617" s="106" t="str">
        <f t="shared" si="101"/>
        <v/>
      </c>
      <c r="H617" s="4" t="str">
        <f t="shared" si="102"/>
        <v/>
      </c>
      <c r="I617" s="105" t="str">
        <f t="shared" si="103"/>
        <v/>
      </c>
      <c r="J617" s="4" t="str">
        <f t="shared" si="104"/>
        <v/>
      </c>
      <c r="K617" s="106" t="str">
        <f t="shared" si="105"/>
        <v/>
      </c>
      <c r="L617" s="106" t="str">
        <f>IF(NOT(ISERROR(VLOOKUP(B617,Deflatores!G$42:H$64,2,FALSE))),VLOOKUP(B617,Deflatores!G$42:H$64,2,FALSE),IF(OR(ISBLANK(C617),ISBLANK(B617)),"",VLOOKUP(C617,Deflatores!G$4:H$38,2,FALSE)*H617+VLOOKUP(C617,Deflatores!G$4:I$38,3,FALSE)))</f>
        <v/>
      </c>
      <c r="M617" s="106"/>
      <c r="N617" s="106"/>
      <c r="O617" s="124"/>
    </row>
    <row r="618" spans="1:15" x14ac:dyDescent="0.25">
      <c r="A618" s="115" t="s">
        <v>538</v>
      </c>
      <c r="B618" s="113"/>
      <c r="C618" s="113"/>
      <c r="D618" s="4"/>
      <c r="E618" s="4"/>
      <c r="F618" s="106" t="str">
        <f t="shared" si="100"/>
        <v/>
      </c>
      <c r="G618" s="106" t="str">
        <f t="shared" si="101"/>
        <v/>
      </c>
      <c r="H618" s="4" t="str">
        <f t="shared" si="102"/>
        <v/>
      </c>
      <c r="I618" s="105" t="str">
        <f t="shared" si="103"/>
        <v/>
      </c>
      <c r="J618" s="4" t="str">
        <f t="shared" si="104"/>
        <v/>
      </c>
      <c r="K618" s="106" t="str">
        <f t="shared" si="105"/>
        <v/>
      </c>
      <c r="L618" s="106" t="str">
        <f>IF(NOT(ISERROR(VLOOKUP(B618,Deflatores!G$42:H$64,2,FALSE))),VLOOKUP(B618,Deflatores!G$42:H$64,2,FALSE),IF(OR(ISBLANK(C618),ISBLANK(B618)),"",VLOOKUP(C618,Deflatores!G$4:H$38,2,FALSE)*H618+VLOOKUP(C618,Deflatores!G$4:I$38,3,FALSE)))</f>
        <v/>
      </c>
      <c r="M618" s="106"/>
      <c r="N618" s="106"/>
      <c r="O618" s="124"/>
    </row>
    <row r="619" spans="1:15" x14ac:dyDescent="0.25">
      <c r="A619" s="112" t="s">
        <v>523</v>
      </c>
      <c r="B619" s="113" t="s">
        <v>50</v>
      </c>
      <c r="C619" s="113" t="s">
        <v>45</v>
      </c>
      <c r="D619" s="4">
        <v>4</v>
      </c>
      <c r="E619" s="4">
        <v>2</v>
      </c>
      <c r="F619" s="106" t="str">
        <f t="shared" si="100"/>
        <v>Baixa</v>
      </c>
      <c r="G619" s="106" t="str">
        <f t="shared" si="101"/>
        <v>CEL</v>
      </c>
      <c r="H619" s="4">
        <f t="shared" si="102"/>
        <v>3</v>
      </c>
      <c r="I619" s="105" t="str">
        <f t="shared" si="103"/>
        <v>L</v>
      </c>
      <c r="J619" s="4" t="str">
        <f t="shared" si="104"/>
        <v>CEI</v>
      </c>
      <c r="K619" s="106">
        <f t="shared" si="105"/>
        <v>3</v>
      </c>
      <c r="L619" s="106">
        <f>IF(NOT(ISERROR(VLOOKUP(B619,Deflatores!G$42:H$64,2,FALSE))),VLOOKUP(B619,Deflatores!G$42:H$64,2,FALSE),IF(OR(ISBLANK(C619),ISBLANK(B619)),"",VLOOKUP(C619,Deflatores!G$4:H$38,2,FALSE)*H619+VLOOKUP(C619,Deflatores!G$4:I$38,3,FALSE)))</f>
        <v>3</v>
      </c>
      <c r="M619" s="106"/>
      <c r="N619" s="106"/>
      <c r="O619" s="124"/>
    </row>
    <row r="620" spans="1:15" x14ac:dyDescent="0.25">
      <c r="A620" s="112" t="s">
        <v>524</v>
      </c>
      <c r="B620" s="113" t="s">
        <v>50</v>
      </c>
      <c r="C620" s="113" t="s">
        <v>45</v>
      </c>
      <c r="D620" s="4">
        <v>6</v>
      </c>
      <c r="E620" s="4">
        <v>2</v>
      </c>
      <c r="F620" s="106" t="str">
        <f t="shared" si="100"/>
        <v>Média</v>
      </c>
      <c r="G620" s="106" t="str">
        <f t="shared" si="101"/>
        <v>CEA</v>
      </c>
      <c r="H620" s="4">
        <f t="shared" si="102"/>
        <v>4</v>
      </c>
      <c r="I620" s="105" t="str">
        <f t="shared" si="103"/>
        <v>A</v>
      </c>
      <c r="J620" s="4" t="str">
        <f t="shared" si="104"/>
        <v>CEI</v>
      </c>
      <c r="K620" s="106">
        <f t="shared" si="105"/>
        <v>4</v>
      </c>
      <c r="L620" s="106">
        <f>IF(NOT(ISERROR(VLOOKUP(B620,Deflatores!G$42:H$64,2,FALSE))),VLOOKUP(B620,Deflatores!G$42:H$64,2,FALSE),IF(OR(ISBLANK(C620),ISBLANK(B620)),"",VLOOKUP(C620,Deflatores!G$4:H$38,2,FALSE)*H620+VLOOKUP(C620,Deflatores!G$4:I$38,3,FALSE)))</f>
        <v>4</v>
      </c>
      <c r="M620" s="106"/>
      <c r="N620" s="106"/>
      <c r="O620" s="124"/>
    </row>
    <row r="621" spans="1:15" x14ac:dyDescent="0.25">
      <c r="A621" s="112"/>
      <c r="B621" s="113"/>
      <c r="C621" s="113"/>
      <c r="D621" s="4"/>
      <c r="E621" s="4"/>
      <c r="F621" s="106" t="str">
        <f t="shared" si="100"/>
        <v/>
      </c>
      <c r="G621" s="106" t="str">
        <f t="shared" si="101"/>
        <v/>
      </c>
      <c r="H621" s="4" t="str">
        <f t="shared" si="102"/>
        <v/>
      </c>
      <c r="I621" s="105" t="str">
        <f t="shared" si="103"/>
        <v/>
      </c>
      <c r="J621" s="4" t="str">
        <f t="shared" si="104"/>
        <v/>
      </c>
      <c r="K621" s="106" t="str">
        <f t="shared" si="105"/>
        <v/>
      </c>
      <c r="L621" s="106" t="str">
        <f>IF(NOT(ISERROR(VLOOKUP(B621,Deflatores!G$42:H$64,2,FALSE))),VLOOKUP(B621,Deflatores!G$42:H$64,2,FALSE),IF(OR(ISBLANK(C621),ISBLANK(B621)),"",VLOOKUP(C621,Deflatores!G$4:H$38,2,FALSE)*H621+VLOOKUP(C621,Deflatores!G$4:I$38,3,FALSE)))</f>
        <v/>
      </c>
      <c r="M621" s="106"/>
      <c r="N621" s="106"/>
      <c r="O621" s="124"/>
    </row>
    <row r="622" spans="1:15" x14ac:dyDescent="0.25">
      <c r="A622" s="115" t="s">
        <v>539</v>
      </c>
      <c r="B622" s="113"/>
      <c r="C622" s="113"/>
      <c r="D622" s="4"/>
      <c r="E622" s="4"/>
      <c r="F622" s="106" t="str">
        <f t="shared" si="100"/>
        <v/>
      </c>
      <c r="G622" s="106" t="str">
        <f t="shared" si="101"/>
        <v/>
      </c>
      <c r="H622" s="4" t="str">
        <f t="shared" si="102"/>
        <v/>
      </c>
      <c r="I622" s="105" t="str">
        <f t="shared" si="103"/>
        <v/>
      </c>
      <c r="J622" s="4" t="str">
        <f t="shared" si="104"/>
        <v/>
      </c>
      <c r="K622" s="106" t="str">
        <f t="shared" si="105"/>
        <v/>
      </c>
      <c r="L622" s="106" t="str">
        <f>IF(NOT(ISERROR(VLOOKUP(B622,Deflatores!G$42:H$64,2,FALSE))),VLOOKUP(B622,Deflatores!G$42:H$64,2,FALSE),IF(OR(ISBLANK(C622),ISBLANK(B622)),"",VLOOKUP(C622,Deflatores!G$4:H$38,2,FALSE)*H622+VLOOKUP(C622,Deflatores!G$4:I$38,3,FALSE)))</f>
        <v/>
      </c>
      <c r="M622" s="106"/>
      <c r="N622" s="106"/>
      <c r="O622" s="124"/>
    </row>
    <row r="623" spans="1:15" x14ac:dyDescent="0.25">
      <c r="A623" s="112" t="s">
        <v>525</v>
      </c>
      <c r="B623" s="113" t="s">
        <v>48</v>
      </c>
      <c r="C623" s="113" t="s">
        <v>45</v>
      </c>
      <c r="D623" s="4">
        <v>6</v>
      </c>
      <c r="E623" s="4">
        <v>2</v>
      </c>
      <c r="F623" s="106" t="str">
        <f t="shared" si="100"/>
        <v>Média</v>
      </c>
      <c r="G623" s="106" t="str">
        <f t="shared" si="101"/>
        <v>EEA</v>
      </c>
      <c r="H623" s="4">
        <f t="shared" si="102"/>
        <v>4</v>
      </c>
      <c r="I623" s="105" t="str">
        <f t="shared" si="103"/>
        <v>A</v>
      </c>
      <c r="J623" s="4" t="str">
        <f t="shared" si="104"/>
        <v>EEI</v>
      </c>
      <c r="K623" s="106">
        <f t="shared" si="105"/>
        <v>4</v>
      </c>
      <c r="L623" s="106">
        <f>IF(NOT(ISERROR(VLOOKUP(B623,Deflatores!G$42:H$64,2,FALSE))),VLOOKUP(B623,Deflatores!G$42:H$64,2,FALSE),IF(OR(ISBLANK(C623),ISBLANK(B623)),"",VLOOKUP(C623,Deflatores!G$4:H$38,2,FALSE)*H623+VLOOKUP(C623,Deflatores!G$4:I$38,3,FALSE)))</f>
        <v>4</v>
      </c>
      <c r="M623" s="106"/>
      <c r="N623" s="106"/>
      <c r="O623" s="124"/>
    </row>
    <row r="624" spans="1:15" x14ac:dyDescent="0.25">
      <c r="A624" s="112"/>
      <c r="B624" s="113"/>
      <c r="C624" s="113"/>
      <c r="D624" s="4"/>
      <c r="E624" s="4"/>
      <c r="F624" s="106" t="str">
        <f t="shared" si="100"/>
        <v/>
      </c>
      <c r="G624" s="106" t="str">
        <f t="shared" si="101"/>
        <v/>
      </c>
      <c r="H624" s="4" t="str">
        <f t="shared" si="102"/>
        <v/>
      </c>
      <c r="I624" s="105" t="str">
        <f t="shared" si="103"/>
        <v/>
      </c>
      <c r="J624" s="4" t="str">
        <f t="shared" si="104"/>
        <v/>
      </c>
      <c r="K624" s="106" t="str">
        <f t="shared" si="105"/>
        <v/>
      </c>
      <c r="L624" s="106" t="str">
        <f>IF(NOT(ISERROR(VLOOKUP(B624,Deflatores!G$42:H$64,2,FALSE))),VLOOKUP(B624,Deflatores!G$42:H$64,2,FALSE),IF(OR(ISBLANK(C624),ISBLANK(B624)),"",VLOOKUP(C624,Deflatores!G$4:H$38,2,FALSE)*H624+VLOOKUP(C624,Deflatores!G$4:I$38,3,FALSE)))</f>
        <v/>
      </c>
      <c r="M624" s="106"/>
      <c r="N624" s="106"/>
      <c r="O624" s="124"/>
    </row>
    <row r="625" spans="1:15" x14ac:dyDescent="0.25">
      <c r="A625" s="115" t="s">
        <v>540</v>
      </c>
      <c r="B625" s="113"/>
      <c r="C625" s="113"/>
      <c r="D625" s="4"/>
      <c r="E625" s="4"/>
      <c r="F625" s="106" t="str">
        <f t="shared" si="100"/>
        <v/>
      </c>
      <c r="G625" s="106" t="str">
        <f t="shared" si="101"/>
        <v/>
      </c>
      <c r="H625" s="4" t="str">
        <f t="shared" si="102"/>
        <v/>
      </c>
      <c r="I625" s="105" t="str">
        <f t="shared" si="103"/>
        <v/>
      </c>
      <c r="J625" s="4" t="str">
        <f t="shared" si="104"/>
        <v/>
      </c>
      <c r="K625" s="106" t="str">
        <f t="shared" si="105"/>
        <v/>
      </c>
      <c r="L625" s="106" t="str">
        <f>IF(NOT(ISERROR(VLOOKUP(B625,Deflatores!G$42:H$64,2,FALSE))),VLOOKUP(B625,Deflatores!G$42:H$64,2,FALSE),IF(OR(ISBLANK(C625),ISBLANK(B625)),"",VLOOKUP(C625,Deflatores!G$4:H$38,2,FALSE)*H625+VLOOKUP(C625,Deflatores!G$4:I$38,3,FALSE)))</f>
        <v/>
      </c>
      <c r="M625" s="106"/>
      <c r="N625" s="106"/>
      <c r="O625" s="124"/>
    </row>
    <row r="626" spans="1:15" x14ac:dyDescent="0.25">
      <c r="A626" s="112" t="s">
        <v>526</v>
      </c>
      <c r="B626" s="113" t="s">
        <v>48</v>
      </c>
      <c r="C626" s="113" t="s">
        <v>45</v>
      </c>
      <c r="D626" s="4">
        <v>5</v>
      </c>
      <c r="E626" s="4">
        <v>1</v>
      </c>
      <c r="F626" s="106" t="str">
        <f t="shared" si="100"/>
        <v>Baixa</v>
      </c>
      <c r="G626" s="106" t="str">
        <f t="shared" si="101"/>
        <v>EEL</v>
      </c>
      <c r="H626" s="4">
        <f t="shared" si="102"/>
        <v>3</v>
      </c>
      <c r="I626" s="105" t="str">
        <f t="shared" si="103"/>
        <v>L</v>
      </c>
      <c r="J626" s="4" t="str">
        <f t="shared" si="104"/>
        <v>EEI</v>
      </c>
      <c r="K626" s="106">
        <f t="shared" si="105"/>
        <v>3</v>
      </c>
      <c r="L626" s="106">
        <f>IF(NOT(ISERROR(VLOOKUP(B626,Deflatores!G$42:H$64,2,FALSE))),VLOOKUP(B626,Deflatores!G$42:H$64,2,FALSE),IF(OR(ISBLANK(C626),ISBLANK(B626)),"",VLOOKUP(C626,Deflatores!G$4:H$38,2,FALSE)*H626+VLOOKUP(C626,Deflatores!G$4:I$38,3,FALSE)))</f>
        <v>3</v>
      </c>
      <c r="M626" s="106"/>
      <c r="N626" s="106"/>
      <c r="O626" s="124"/>
    </row>
    <row r="627" spans="1:15" x14ac:dyDescent="0.25">
      <c r="A627" s="114" t="s">
        <v>82</v>
      </c>
      <c r="B627" s="113" t="s">
        <v>50</v>
      </c>
      <c r="C627" s="113" t="s">
        <v>45</v>
      </c>
      <c r="D627" s="4">
        <v>4</v>
      </c>
      <c r="E627" s="4">
        <v>2</v>
      </c>
      <c r="F627" s="106" t="str">
        <f t="shared" si="100"/>
        <v>Baixa</v>
      </c>
      <c r="G627" s="106" t="str">
        <f t="shared" si="101"/>
        <v>CEL</v>
      </c>
      <c r="H627" s="4">
        <f t="shared" si="102"/>
        <v>3</v>
      </c>
      <c r="I627" s="105" t="str">
        <f t="shared" si="103"/>
        <v>L</v>
      </c>
      <c r="J627" s="4" t="str">
        <f t="shared" si="104"/>
        <v>CEI</v>
      </c>
      <c r="K627" s="106">
        <f t="shared" si="105"/>
        <v>3</v>
      </c>
      <c r="L627" s="106">
        <f>IF(NOT(ISERROR(VLOOKUP(B627,Deflatores!G$42:H$64,2,FALSE))),VLOOKUP(B627,Deflatores!G$42:H$64,2,FALSE),IF(OR(ISBLANK(C627),ISBLANK(B627)),"",VLOOKUP(C627,Deflatores!G$4:H$38,2,FALSE)*H627+VLOOKUP(C627,Deflatores!G$4:I$38,3,FALSE)))</f>
        <v>3</v>
      </c>
      <c r="M627" s="106"/>
      <c r="N627" s="106"/>
      <c r="O627" s="124"/>
    </row>
    <row r="628" spans="1:15" x14ac:dyDescent="0.25">
      <c r="A628" s="112"/>
      <c r="B628" s="113"/>
      <c r="C628" s="113"/>
      <c r="D628" s="4"/>
      <c r="E628" s="4"/>
      <c r="F628" s="106" t="str">
        <f t="shared" si="100"/>
        <v/>
      </c>
      <c r="G628" s="106" t="str">
        <f t="shared" si="101"/>
        <v/>
      </c>
      <c r="H628" s="4" t="str">
        <f t="shared" si="102"/>
        <v/>
      </c>
      <c r="I628" s="105" t="str">
        <f t="shared" si="103"/>
        <v/>
      </c>
      <c r="J628" s="4" t="str">
        <f t="shared" si="104"/>
        <v/>
      </c>
      <c r="K628" s="106" t="str">
        <f t="shared" si="105"/>
        <v/>
      </c>
      <c r="L628" s="106" t="str">
        <f>IF(NOT(ISERROR(VLOOKUP(B628,Deflatores!G$42:H$64,2,FALSE))),VLOOKUP(B628,Deflatores!G$42:H$64,2,FALSE),IF(OR(ISBLANK(C628),ISBLANK(B628)),"",VLOOKUP(C628,Deflatores!G$4:H$38,2,FALSE)*H628+VLOOKUP(C628,Deflatores!G$4:I$38,3,FALSE)))</f>
        <v/>
      </c>
      <c r="M628" s="106"/>
      <c r="N628" s="106"/>
      <c r="O628" s="124"/>
    </row>
    <row r="629" spans="1:15" x14ac:dyDescent="0.25">
      <c r="A629" s="115" t="s">
        <v>541</v>
      </c>
      <c r="B629" s="113"/>
      <c r="C629" s="113"/>
      <c r="D629" s="4"/>
      <c r="E629" s="4"/>
      <c r="F629" s="106" t="str">
        <f t="shared" si="100"/>
        <v/>
      </c>
      <c r="G629" s="106" t="str">
        <f t="shared" si="101"/>
        <v/>
      </c>
      <c r="H629" s="4" t="str">
        <f t="shared" si="102"/>
        <v/>
      </c>
      <c r="I629" s="105" t="str">
        <f t="shared" si="103"/>
        <v/>
      </c>
      <c r="J629" s="4" t="str">
        <f t="shared" si="104"/>
        <v/>
      </c>
      <c r="K629" s="106" t="str">
        <f t="shared" si="105"/>
        <v/>
      </c>
      <c r="L629" s="106" t="str">
        <f>IF(NOT(ISERROR(VLOOKUP(B629,Deflatores!G$42:H$64,2,FALSE))),VLOOKUP(B629,Deflatores!G$42:H$64,2,FALSE),IF(OR(ISBLANK(C629),ISBLANK(B629)),"",VLOOKUP(C629,Deflatores!G$4:H$38,2,FALSE)*H629+VLOOKUP(C629,Deflatores!G$4:I$38,3,FALSE)))</f>
        <v/>
      </c>
      <c r="M629" s="106"/>
      <c r="N629" s="106"/>
      <c r="O629" s="124"/>
    </row>
    <row r="630" spans="1:15" x14ac:dyDescent="0.25">
      <c r="A630" s="112" t="s">
        <v>527</v>
      </c>
      <c r="B630" s="113" t="s">
        <v>48</v>
      </c>
      <c r="C630" s="113" t="s">
        <v>45</v>
      </c>
      <c r="D630" s="4">
        <v>3</v>
      </c>
      <c r="E630" s="4">
        <v>1</v>
      </c>
      <c r="F630" s="106" t="str">
        <f t="shared" si="100"/>
        <v>Baixa</v>
      </c>
      <c r="G630" s="106" t="str">
        <f t="shared" si="101"/>
        <v>EEL</v>
      </c>
      <c r="H630" s="4">
        <f t="shared" si="102"/>
        <v>3</v>
      </c>
      <c r="I630" s="105" t="str">
        <f t="shared" si="103"/>
        <v>L</v>
      </c>
      <c r="J630" s="4" t="str">
        <f t="shared" si="104"/>
        <v>EEI</v>
      </c>
      <c r="K630" s="106">
        <f t="shared" si="105"/>
        <v>3</v>
      </c>
      <c r="L630" s="106">
        <f>IF(NOT(ISERROR(VLOOKUP(B630,Deflatores!G$42:H$64,2,FALSE))),VLOOKUP(B630,Deflatores!G$42:H$64,2,FALSE),IF(OR(ISBLANK(C630),ISBLANK(B630)),"",VLOOKUP(C630,Deflatores!G$4:H$38,2,FALSE)*H630+VLOOKUP(C630,Deflatores!G$4:I$38,3,FALSE)))</f>
        <v>3</v>
      </c>
      <c r="M630" s="106"/>
      <c r="N630" s="106"/>
      <c r="O630" s="124"/>
    </row>
    <row r="631" spans="1:15" x14ac:dyDescent="0.25">
      <c r="A631" s="112"/>
      <c r="B631" s="113"/>
      <c r="C631" s="113"/>
      <c r="D631" s="4"/>
      <c r="E631" s="4"/>
      <c r="F631" s="106" t="str">
        <f t="shared" si="100"/>
        <v/>
      </c>
      <c r="G631" s="106" t="str">
        <f t="shared" si="101"/>
        <v/>
      </c>
      <c r="H631" s="4" t="str">
        <f t="shared" si="102"/>
        <v/>
      </c>
      <c r="I631" s="105" t="str">
        <f t="shared" si="103"/>
        <v/>
      </c>
      <c r="J631" s="4" t="str">
        <f t="shared" si="104"/>
        <v/>
      </c>
      <c r="K631" s="106" t="str">
        <f t="shared" si="105"/>
        <v/>
      </c>
      <c r="L631" s="106" t="str">
        <f>IF(NOT(ISERROR(VLOOKUP(B631,Deflatores!G$42:H$64,2,FALSE))),VLOOKUP(B631,Deflatores!G$42:H$64,2,FALSE),IF(OR(ISBLANK(C631),ISBLANK(B631)),"",VLOOKUP(C631,Deflatores!G$4:H$38,2,FALSE)*H631+VLOOKUP(C631,Deflatores!G$4:I$38,3,FALSE)))</f>
        <v/>
      </c>
      <c r="M631" s="106"/>
      <c r="N631" s="106"/>
      <c r="O631" s="124"/>
    </row>
    <row r="632" spans="1:15" x14ac:dyDescent="0.25">
      <c r="A632" s="115" t="s">
        <v>542</v>
      </c>
      <c r="B632" s="113"/>
      <c r="C632" s="113"/>
      <c r="D632" s="4"/>
      <c r="E632" s="4"/>
      <c r="F632" s="106" t="str">
        <f t="shared" si="100"/>
        <v/>
      </c>
      <c r="G632" s="106" t="str">
        <f t="shared" si="101"/>
        <v/>
      </c>
      <c r="H632" s="4" t="str">
        <f t="shared" si="102"/>
        <v/>
      </c>
      <c r="I632" s="105" t="str">
        <f t="shared" si="103"/>
        <v/>
      </c>
      <c r="J632" s="4" t="str">
        <f t="shared" si="104"/>
        <v/>
      </c>
      <c r="K632" s="106" t="str">
        <f t="shared" si="105"/>
        <v/>
      </c>
      <c r="L632" s="106" t="str">
        <f>IF(NOT(ISERROR(VLOOKUP(B632,Deflatores!G$42:H$64,2,FALSE))),VLOOKUP(B632,Deflatores!G$42:H$64,2,FALSE),IF(OR(ISBLANK(C632),ISBLANK(B632)),"",VLOOKUP(C632,Deflatores!G$4:H$38,2,FALSE)*H632+VLOOKUP(C632,Deflatores!G$4:I$38,3,FALSE)))</f>
        <v/>
      </c>
      <c r="M632" s="106"/>
      <c r="N632" s="106"/>
      <c r="O632" s="124"/>
    </row>
    <row r="633" spans="1:15" x14ac:dyDescent="0.25">
      <c r="A633" s="112" t="s">
        <v>543</v>
      </c>
      <c r="B633" s="113" t="s">
        <v>44</v>
      </c>
      <c r="C633" s="113" t="s">
        <v>45</v>
      </c>
      <c r="D633" s="4">
        <v>13</v>
      </c>
      <c r="E633" s="4">
        <v>1</v>
      </c>
      <c r="F633" s="106" t="str">
        <f>IF(ISBLANK(B633),"",IF(I633="L","Baixa",IF(I633="A","Média",IF(I633="","","Alta"))))</f>
        <v>Baixa</v>
      </c>
      <c r="G633" s="106" t="str">
        <f>CONCATENATE(B633,I633)</f>
        <v>ALIL</v>
      </c>
      <c r="H633" s="4">
        <f>IF(ISBLANK(B633),"",IF(B633="ALI",IF(I633="L",7,IF(I633="A",10,15)),IF(B633="AIE",IF(I633="L",5,IF(I633="A",7,10)),IF(B633="SE",IF(I633="L",4,IF(I633="A",5,7)),IF(OR(B633="EE",B633="CE"),IF(I633="L",3,IF(I633="A",4,6)),0)))))</f>
        <v>7</v>
      </c>
      <c r="I633" s="105" t="str">
        <f>IF(OR(ISBLANK(D633),ISBLANK(E633)),IF(OR(B633="ALI",B633="AIE"),"L",IF(OR(B633="EE",B633="SE",B633="CE"),"A","")),IF(B633="EE",IF(E633&gt;=3,IF(D633&gt;=5,"H","A"),IF(E633&gt;=2,IF(D633&gt;=16,"H",IF(D633&lt;=4,"L","A")),IF(D633&lt;=15,"L","A"))),IF(OR(B633="SE",B633="CE"),IF(E633&gt;=4,IF(D633&gt;=6,"H","A"),IF(E633&gt;=2,IF(D633&gt;=20,"H",IF(D633&lt;=5,"L","A")),IF(D633&lt;=19,"L","A"))),IF(OR(B633="ALI",B633="AIE"),IF(E633&gt;=6,IF(D633&gt;=20,"H","A"),IF(E633&gt;=2,IF(D633&gt;=51,"H",IF(D633&lt;=19,"L","A")),IF(D633&lt;=50,"L","A"))),""))))</f>
        <v>L</v>
      </c>
      <c r="J633" s="4" t="str">
        <f>CONCATENATE(B633,C633)</f>
        <v>ALII</v>
      </c>
      <c r="K633" s="106">
        <f>IF(OR(H633="",H633=0),L633,H633)</f>
        <v>7</v>
      </c>
      <c r="L633" s="106">
        <f>IF(NOT(ISERROR(VLOOKUP(B633,Deflatores!G$42:H$64,2,FALSE))),VLOOKUP(B633,Deflatores!G$42:H$64,2,FALSE),IF(OR(ISBLANK(C633),ISBLANK(B633)),"",VLOOKUP(C633,Deflatores!G$4:H$38,2,FALSE)*H633+VLOOKUP(C633,Deflatores!G$4:I$38,3,FALSE)))</f>
        <v>7</v>
      </c>
      <c r="M633" s="106"/>
      <c r="N633" s="106"/>
      <c r="O633" s="124"/>
    </row>
    <row r="634" spans="1:15" x14ac:dyDescent="0.25">
      <c r="A634" s="112" t="s">
        <v>544</v>
      </c>
      <c r="B634" s="113" t="s">
        <v>44</v>
      </c>
      <c r="C634" s="113" t="s">
        <v>45</v>
      </c>
      <c r="D634" s="4">
        <v>16</v>
      </c>
      <c r="E634" s="4">
        <v>1</v>
      </c>
      <c r="F634" s="106" t="str">
        <f t="shared" si="100"/>
        <v>Baixa</v>
      </c>
      <c r="G634" s="106" t="str">
        <f t="shared" si="101"/>
        <v>ALIL</v>
      </c>
      <c r="H634" s="4">
        <f t="shared" si="102"/>
        <v>7</v>
      </c>
      <c r="I634" s="105" t="str">
        <f t="shared" si="103"/>
        <v>L</v>
      </c>
      <c r="J634" s="4" t="str">
        <f t="shared" si="104"/>
        <v>ALII</v>
      </c>
      <c r="K634" s="106">
        <f t="shared" si="105"/>
        <v>7</v>
      </c>
      <c r="L634" s="106">
        <f>IF(NOT(ISERROR(VLOOKUP(B634,Deflatores!G$42:H$64,2,FALSE))),VLOOKUP(B634,Deflatores!G$42:H$64,2,FALSE),IF(OR(ISBLANK(C634),ISBLANK(B634)),"",VLOOKUP(C634,Deflatores!G$4:H$38,2,FALSE)*H634+VLOOKUP(C634,Deflatores!G$4:I$38,3,FALSE)))</f>
        <v>7</v>
      </c>
      <c r="M634" s="106"/>
      <c r="N634" s="106"/>
      <c r="O634" s="124"/>
    </row>
    <row r="635" spans="1:15" x14ac:dyDescent="0.25">
      <c r="A635" s="112" t="s">
        <v>545</v>
      </c>
      <c r="B635" s="113" t="s">
        <v>50</v>
      </c>
      <c r="C635" s="113" t="s">
        <v>45</v>
      </c>
      <c r="D635" s="4">
        <v>8</v>
      </c>
      <c r="E635" s="4">
        <v>2</v>
      </c>
      <c r="F635" s="106" t="str">
        <f t="shared" si="100"/>
        <v>Média</v>
      </c>
      <c r="G635" s="106" t="str">
        <f t="shared" si="101"/>
        <v>CEA</v>
      </c>
      <c r="H635" s="4">
        <f t="shared" si="102"/>
        <v>4</v>
      </c>
      <c r="I635" s="105" t="str">
        <f t="shared" si="103"/>
        <v>A</v>
      </c>
      <c r="J635" s="4" t="str">
        <f t="shared" si="104"/>
        <v>CEI</v>
      </c>
      <c r="K635" s="106">
        <f t="shared" si="105"/>
        <v>4</v>
      </c>
      <c r="L635" s="106">
        <f>IF(NOT(ISERROR(VLOOKUP(B635,Deflatores!G$42:H$64,2,FALSE))),VLOOKUP(B635,Deflatores!G$42:H$64,2,FALSE),IF(OR(ISBLANK(C635),ISBLANK(B635)),"",VLOOKUP(C635,Deflatores!G$4:H$38,2,FALSE)*H635+VLOOKUP(C635,Deflatores!G$4:I$38,3,FALSE)))</f>
        <v>4</v>
      </c>
      <c r="M635" s="106"/>
      <c r="N635" s="106"/>
      <c r="O635" s="124"/>
    </row>
    <row r="636" spans="1:15" x14ac:dyDescent="0.25">
      <c r="A636" s="112" t="s">
        <v>546</v>
      </c>
      <c r="B636" s="113" t="s">
        <v>48</v>
      </c>
      <c r="C636" s="113" t="s">
        <v>45</v>
      </c>
      <c r="D636" s="4">
        <v>12</v>
      </c>
      <c r="E636" s="4">
        <v>5</v>
      </c>
      <c r="F636" s="106" t="str">
        <f t="shared" si="100"/>
        <v>Alta</v>
      </c>
      <c r="G636" s="106" t="str">
        <f t="shared" si="101"/>
        <v>EEH</v>
      </c>
      <c r="H636" s="4">
        <f t="shared" si="102"/>
        <v>6</v>
      </c>
      <c r="I636" s="105" t="str">
        <f t="shared" si="103"/>
        <v>H</v>
      </c>
      <c r="J636" s="4" t="str">
        <f t="shared" si="104"/>
        <v>EEI</v>
      </c>
      <c r="K636" s="106">
        <f t="shared" si="105"/>
        <v>6</v>
      </c>
      <c r="L636" s="106">
        <f>IF(NOT(ISERROR(VLOOKUP(B636,Deflatores!G$42:H$64,2,FALSE))),VLOOKUP(B636,Deflatores!G$42:H$64,2,FALSE),IF(OR(ISBLANK(C636),ISBLANK(B636)),"",VLOOKUP(C636,Deflatores!G$4:H$38,2,FALSE)*H636+VLOOKUP(C636,Deflatores!G$4:I$38,3,FALSE)))</f>
        <v>6</v>
      </c>
      <c r="M636" s="106"/>
      <c r="N636" s="106"/>
      <c r="O636" s="124"/>
    </row>
    <row r="637" spans="1:15" x14ac:dyDescent="0.25">
      <c r="A637" s="112" t="s">
        <v>547</v>
      </c>
      <c r="B637" s="113" t="s">
        <v>48</v>
      </c>
      <c r="C637" s="113" t="s">
        <v>45</v>
      </c>
      <c r="D637" s="4">
        <v>18</v>
      </c>
      <c r="E637" s="4">
        <v>1</v>
      </c>
      <c r="F637" s="106" t="str">
        <f>IF(ISBLANK(B637),"",IF(I637="L","Baixa",IF(I637="A","Média",IF(I637="","","Alta"))))</f>
        <v>Média</v>
      </c>
      <c r="G637" s="106" t="str">
        <f>CONCATENATE(B637,I637)</f>
        <v>EEA</v>
      </c>
      <c r="H637" s="4">
        <f>IF(ISBLANK(B637),"",IF(B637="ALI",IF(I637="L",7,IF(I637="A",10,15)),IF(B637="AIE",IF(I637="L",5,IF(I637="A",7,10)),IF(B637="SE",IF(I637="L",4,IF(I637="A",5,7)),IF(OR(B637="EE",B637="CE"),IF(I637="L",3,IF(I637="A",4,6)),0)))))</f>
        <v>4</v>
      </c>
      <c r="I637" s="105" t="str">
        <f>IF(OR(ISBLANK(D637),ISBLANK(E637)),IF(OR(B637="ALI",B637="AIE"),"L",IF(OR(B637="EE",B637="SE",B637="CE"),"A","")),IF(B637="EE",IF(E637&gt;=3,IF(D637&gt;=5,"H","A"),IF(E637&gt;=2,IF(D637&gt;=16,"H",IF(D637&lt;=4,"L","A")),IF(D637&lt;=15,"L","A"))),IF(OR(B637="SE",B637="CE"),IF(E637&gt;=4,IF(D637&gt;=6,"H","A"),IF(E637&gt;=2,IF(D637&gt;=20,"H",IF(D637&lt;=5,"L","A")),IF(D637&lt;=19,"L","A"))),IF(OR(B637="ALI",B637="AIE"),IF(E637&gt;=6,IF(D637&gt;=20,"H","A"),IF(E637&gt;=2,IF(D637&gt;=51,"H",IF(D637&lt;=19,"L","A")),IF(D637&lt;=50,"L","A"))),""))))</f>
        <v>A</v>
      </c>
      <c r="J637" s="4" t="str">
        <f>CONCATENATE(B637,C637)</f>
        <v>EEI</v>
      </c>
      <c r="K637" s="106">
        <f>IF(OR(H637="",H637=0),L637,H637)</f>
        <v>4</v>
      </c>
      <c r="L637" s="106">
        <f>IF(NOT(ISERROR(VLOOKUP(B637,Deflatores!G$42:H$64,2,FALSE))),VLOOKUP(B637,Deflatores!G$42:H$64,2,FALSE),IF(OR(ISBLANK(C637),ISBLANK(B637)),"",VLOOKUP(C637,Deflatores!G$4:H$38,2,FALSE)*H637+VLOOKUP(C637,Deflatores!G$4:I$38,3,FALSE)))</f>
        <v>4</v>
      </c>
      <c r="M637" s="106"/>
      <c r="N637" s="106"/>
      <c r="O637" s="124"/>
    </row>
    <row r="638" spans="1:15" x14ac:dyDescent="0.25">
      <c r="A638" s="112"/>
      <c r="B638" s="113"/>
      <c r="C638" s="113"/>
      <c r="D638" s="4"/>
      <c r="E638" s="4"/>
      <c r="F638" s="106" t="str">
        <f t="shared" si="100"/>
        <v/>
      </c>
      <c r="G638" s="106" t="str">
        <f t="shared" si="101"/>
        <v/>
      </c>
      <c r="H638" s="4" t="str">
        <f t="shared" si="102"/>
        <v/>
      </c>
      <c r="I638" s="105" t="str">
        <f t="shared" si="103"/>
        <v/>
      </c>
      <c r="J638" s="4" t="str">
        <f t="shared" si="104"/>
        <v/>
      </c>
      <c r="K638" s="106" t="str">
        <f t="shared" si="105"/>
        <v/>
      </c>
      <c r="L638" s="106" t="str">
        <f>IF(NOT(ISERROR(VLOOKUP(B638,Deflatores!G$42:H$64,2,FALSE))),VLOOKUP(B638,Deflatores!G$42:H$64,2,FALSE),IF(OR(ISBLANK(C638),ISBLANK(B638)),"",VLOOKUP(C638,Deflatores!G$4:H$38,2,FALSE)*H638+VLOOKUP(C638,Deflatores!G$4:I$38,3,FALSE)))</f>
        <v/>
      </c>
      <c r="M638" s="106"/>
      <c r="N638" s="106"/>
      <c r="O638" s="124"/>
    </row>
    <row r="639" spans="1:15" x14ac:dyDescent="0.25">
      <c r="A639" s="115" t="s">
        <v>548</v>
      </c>
      <c r="B639" s="113"/>
      <c r="C639" s="113"/>
      <c r="D639" s="4"/>
      <c r="E639" s="4"/>
      <c r="F639" s="106" t="str">
        <f t="shared" si="100"/>
        <v/>
      </c>
      <c r="G639" s="106" t="str">
        <f t="shared" si="101"/>
        <v/>
      </c>
      <c r="H639" s="4" t="str">
        <f t="shared" si="102"/>
        <v/>
      </c>
      <c r="I639" s="105" t="str">
        <f t="shared" si="103"/>
        <v/>
      </c>
      <c r="J639" s="4" t="str">
        <f t="shared" si="104"/>
        <v/>
      </c>
      <c r="K639" s="106" t="str">
        <f t="shared" si="105"/>
        <v/>
      </c>
      <c r="L639" s="106" t="str">
        <f>IF(NOT(ISERROR(VLOOKUP(B639,Deflatores!G$42:H$64,2,FALSE))),VLOOKUP(B639,Deflatores!G$42:H$64,2,FALSE),IF(OR(ISBLANK(C639),ISBLANK(B639)),"",VLOOKUP(C639,Deflatores!G$4:H$38,2,FALSE)*H639+VLOOKUP(C639,Deflatores!G$4:I$38,3,FALSE)))</f>
        <v/>
      </c>
      <c r="M639" s="106"/>
      <c r="N639" s="106"/>
      <c r="O639" s="124"/>
    </row>
    <row r="640" spans="1:15" x14ac:dyDescent="0.25">
      <c r="A640" s="112" t="s">
        <v>549</v>
      </c>
      <c r="B640" s="113" t="s">
        <v>44</v>
      </c>
      <c r="C640" s="113" t="s">
        <v>45</v>
      </c>
      <c r="D640" s="4">
        <v>5</v>
      </c>
      <c r="E640" s="4">
        <v>1</v>
      </c>
      <c r="F640" s="106" t="str">
        <f t="shared" si="100"/>
        <v>Baixa</v>
      </c>
      <c r="G640" s="106" t="str">
        <f t="shared" si="101"/>
        <v>ALIL</v>
      </c>
      <c r="H640" s="4">
        <f t="shared" si="102"/>
        <v>7</v>
      </c>
      <c r="I640" s="105" t="str">
        <f t="shared" si="103"/>
        <v>L</v>
      </c>
      <c r="J640" s="4" t="str">
        <f t="shared" si="104"/>
        <v>ALII</v>
      </c>
      <c r="K640" s="106">
        <f t="shared" si="105"/>
        <v>7</v>
      </c>
      <c r="L640" s="106">
        <f>IF(NOT(ISERROR(VLOOKUP(B640,Deflatores!G$42:H$64,2,FALSE))),VLOOKUP(B640,Deflatores!G$42:H$64,2,FALSE),IF(OR(ISBLANK(C640),ISBLANK(B640)),"",VLOOKUP(C640,Deflatores!G$4:H$38,2,FALSE)*H640+VLOOKUP(C640,Deflatores!G$4:I$38,3,FALSE)))</f>
        <v>7</v>
      </c>
      <c r="M640" s="106"/>
      <c r="N640" s="106"/>
      <c r="O640" s="124"/>
    </row>
    <row r="641" spans="1:15" x14ac:dyDescent="0.25">
      <c r="A641" s="112" t="s">
        <v>550</v>
      </c>
      <c r="B641" s="113" t="s">
        <v>48</v>
      </c>
      <c r="C641" s="113" t="s">
        <v>45</v>
      </c>
      <c r="D641" s="4">
        <v>6</v>
      </c>
      <c r="E641" s="4">
        <v>2</v>
      </c>
      <c r="F641" s="106" t="str">
        <f t="shared" si="100"/>
        <v>Média</v>
      </c>
      <c r="G641" s="106" t="str">
        <f t="shared" si="101"/>
        <v>EEA</v>
      </c>
      <c r="H641" s="4">
        <f t="shared" si="102"/>
        <v>4</v>
      </c>
      <c r="I641" s="105" t="str">
        <f t="shared" si="103"/>
        <v>A</v>
      </c>
      <c r="J641" s="4" t="str">
        <f t="shared" si="104"/>
        <v>EEI</v>
      </c>
      <c r="K641" s="106">
        <f t="shared" si="105"/>
        <v>4</v>
      </c>
      <c r="L641" s="106">
        <f>IF(NOT(ISERROR(VLOOKUP(B641,Deflatores!G$42:H$64,2,FALSE))),VLOOKUP(B641,Deflatores!G$42:H$64,2,FALSE),IF(OR(ISBLANK(C641),ISBLANK(B641)),"",VLOOKUP(C641,Deflatores!G$4:H$38,2,FALSE)*H641+VLOOKUP(C641,Deflatores!G$4:I$38,3,FALSE)))</f>
        <v>4</v>
      </c>
      <c r="M641" s="106"/>
      <c r="N641" s="106"/>
      <c r="O641" s="124"/>
    </row>
    <row r="642" spans="1:15" x14ac:dyDescent="0.25">
      <c r="A642" s="114" t="s">
        <v>551</v>
      </c>
      <c r="B642" s="113" t="s">
        <v>113</v>
      </c>
      <c r="C642" s="113" t="s">
        <v>45</v>
      </c>
      <c r="D642" s="4">
        <v>5</v>
      </c>
      <c r="E642" s="4">
        <v>2</v>
      </c>
      <c r="F642" s="106" t="str">
        <f t="shared" si="100"/>
        <v>Baixa</v>
      </c>
      <c r="G642" s="106" t="str">
        <f t="shared" si="101"/>
        <v>SEL</v>
      </c>
      <c r="H642" s="4">
        <f t="shared" si="102"/>
        <v>4</v>
      </c>
      <c r="I642" s="105" t="str">
        <f t="shared" si="103"/>
        <v>L</v>
      </c>
      <c r="J642" s="4" t="str">
        <f t="shared" si="104"/>
        <v>SEI</v>
      </c>
      <c r="K642" s="106">
        <f t="shared" si="105"/>
        <v>4</v>
      </c>
      <c r="L642" s="106">
        <f>IF(NOT(ISERROR(VLOOKUP(B642,Deflatores!G$42:H$64,2,FALSE))),VLOOKUP(B642,Deflatores!G$42:H$64,2,FALSE),IF(OR(ISBLANK(C642),ISBLANK(B642)),"",VLOOKUP(C642,Deflatores!G$4:H$38,2,FALSE)*H642+VLOOKUP(C642,Deflatores!G$4:I$38,3,FALSE)))</f>
        <v>4</v>
      </c>
      <c r="M642" s="106"/>
      <c r="N642" s="106"/>
      <c r="O642" s="124"/>
    </row>
    <row r="643" spans="1:15" x14ac:dyDescent="0.25">
      <c r="A643" s="112" t="s">
        <v>552</v>
      </c>
      <c r="B643" s="113" t="s">
        <v>48</v>
      </c>
      <c r="C643" s="113" t="s">
        <v>45</v>
      </c>
      <c r="D643" s="4">
        <v>3</v>
      </c>
      <c r="E643" s="4">
        <v>1</v>
      </c>
      <c r="F643" s="106" t="str">
        <f>IF(ISBLANK(B643),"",IF(I643="L","Baixa",IF(I643="A","Média",IF(I643="","","Alta"))))</f>
        <v>Baixa</v>
      </c>
      <c r="G643" s="106" t="str">
        <f>CONCATENATE(B643,I643)</f>
        <v>EEL</v>
      </c>
      <c r="H643" s="4">
        <f>IF(ISBLANK(B643),"",IF(B643="ALI",IF(I643="L",7,IF(I643="A",10,15)),IF(B643="AIE",IF(I643="L",5,IF(I643="A",7,10)),IF(B643="SE",IF(I643="L",4,IF(I643="A",5,7)),IF(OR(B643="EE",B643="CE"),IF(I643="L",3,IF(I643="A",4,6)),0)))))</f>
        <v>3</v>
      </c>
      <c r="I643" s="105" t="str">
        <f>IF(OR(ISBLANK(D643),ISBLANK(E643)),IF(OR(B643="ALI",B643="AIE"),"L",IF(OR(B643="EE",B643="SE",B643="CE"),"A","")),IF(B643="EE",IF(E643&gt;=3,IF(D643&gt;=5,"H","A"),IF(E643&gt;=2,IF(D643&gt;=16,"H",IF(D643&lt;=4,"L","A")),IF(D643&lt;=15,"L","A"))),IF(OR(B643="SE",B643="CE"),IF(E643&gt;=4,IF(D643&gt;=6,"H","A"),IF(E643&gt;=2,IF(D643&gt;=20,"H",IF(D643&lt;=5,"L","A")),IF(D643&lt;=19,"L","A"))),IF(OR(B643="ALI",B643="AIE"),IF(E643&gt;=6,IF(D643&gt;=20,"H","A"),IF(E643&gt;=2,IF(D643&gt;=51,"H",IF(D643&lt;=19,"L","A")),IF(D643&lt;=50,"L","A"))),""))))</f>
        <v>L</v>
      </c>
      <c r="J643" s="4" t="str">
        <f>CONCATENATE(B643,C643)</f>
        <v>EEI</v>
      </c>
      <c r="K643" s="106">
        <f>IF(OR(H643="",H643=0),L643,H643)</f>
        <v>3</v>
      </c>
      <c r="L643" s="106">
        <f>IF(NOT(ISERROR(VLOOKUP(B643,Deflatores!G$42:H$64,2,FALSE))),VLOOKUP(B643,Deflatores!G$42:H$64,2,FALSE),IF(OR(ISBLANK(C643),ISBLANK(B643)),"",VLOOKUP(C643,Deflatores!G$4:H$38,2,FALSE)*H643+VLOOKUP(C643,Deflatores!G$4:I$38,3,FALSE)))</f>
        <v>3</v>
      </c>
      <c r="M643" s="106"/>
      <c r="N643" s="106"/>
      <c r="O643" s="124"/>
    </row>
    <row r="644" spans="1:15" x14ac:dyDescent="0.25">
      <c r="A644" s="112"/>
      <c r="B644" s="113"/>
      <c r="C644" s="113"/>
      <c r="D644" s="4"/>
      <c r="E644" s="4"/>
      <c r="F644" s="106" t="str">
        <f t="shared" si="100"/>
        <v/>
      </c>
      <c r="G644" s="106" t="str">
        <f t="shared" si="101"/>
        <v/>
      </c>
      <c r="H644" s="4" t="str">
        <f t="shared" si="102"/>
        <v/>
      </c>
      <c r="I644" s="105" t="str">
        <f t="shared" si="103"/>
        <v/>
      </c>
      <c r="J644" s="4" t="str">
        <f t="shared" si="104"/>
        <v/>
      </c>
      <c r="K644" s="106" t="str">
        <f t="shared" si="105"/>
        <v/>
      </c>
      <c r="L644" s="106" t="str">
        <f>IF(NOT(ISERROR(VLOOKUP(B644,Deflatores!G$42:H$64,2,FALSE))),VLOOKUP(B644,Deflatores!G$42:H$64,2,FALSE),IF(OR(ISBLANK(C644),ISBLANK(B644)),"",VLOOKUP(C644,Deflatores!G$4:H$38,2,FALSE)*H644+VLOOKUP(C644,Deflatores!G$4:I$38,3,FALSE)))</f>
        <v/>
      </c>
      <c r="M644" s="106"/>
      <c r="N644" s="106"/>
      <c r="O644" s="124"/>
    </row>
    <row r="645" spans="1:15" x14ac:dyDescent="0.25">
      <c r="A645" s="115" t="s">
        <v>553</v>
      </c>
      <c r="B645" s="113"/>
      <c r="C645" s="113"/>
      <c r="D645" s="4"/>
      <c r="E645" s="4"/>
      <c r="F645" s="106" t="str">
        <f t="shared" si="100"/>
        <v/>
      </c>
      <c r="G645" s="106" t="str">
        <f t="shared" si="101"/>
        <v/>
      </c>
      <c r="H645" s="4" t="str">
        <f t="shared" si="102"/>
        <v/>
      </c>
      <c r="I645" s="105" t="str">
        <f t="shared" si="103"/>
        <v/>
      </c>
      <c r="J645" s="4" t="str">
        <f t="shared" si="104"/>
        <v/>
      </c>
      <c r="K645" s="106" t="str">
        <f t="shared" si="105"/>
        <v/>
      </c>
      <c r="L645" s="106" t="str">
        <f>IF(NOT(ISERROR(VLOOKUP(B645,Deflatores!G$42:H$64,2,FALSE))),VLOOKUP(B645,Deflatores!G$42:H$64,2,FALSE),IF(OR(ISBLANK(C645),ISBLANK(B645)),"",VLOOKUP(C645,Deflatores!G$4:H$38,2,FALSE)*H645+VLOOKUP(C645,Deflatores!G$4:I$38,3,FALSE)))</f>
        <v/>
      </c>
      <c r="M645" s="106"/>
      <c r="N645" s="106"/>
      <c r="O645" s="124"/>
    </row>
    <row r="646" spans="1:15" x14ac:dyDescent="0.25">
      <c r="A646" s="112" t="s">
        <v>554</v>
      </c>
      <c r="B646" s="113" t="s">
        <v>50</v>
      </c>
      <c r="C646" s="113" t="s">
        <v>45</v>
      </c>
      <c r="D646" s="4">
        <v>8</v>
      </c>
      <c r="E646" s="4">
        <v>1</v>
      </c>
      <c r="F646" s="106" t="str">
        <f t="shared" si="100"/>
        <v>Baixa</v>
      </c>
      <c r="G646" s="106" t="str">
        <f t="shared" si="101"/>
        <v>CEL</v>
      </c>
      <c r="H646" s="4">
        <f t="shared" si="102"/>
        <v>3</v>
      </c>
      <c r="I646" s="105" t="str">
        <f t="shared" si="103"/>
        <v>L</v>
      </c>
      <c r="J646" s="4" t="str">
        <f t="shared" si="104"/>
        <v>CEI</v>
      </c>
      <c r="K646" s="106">
        <f t="shared" si="105"/>
        <v>3</v>
      </c>
      <c r="L646" s="106">
        <f>IF(NOT(ISERROR(VLOOKUP(B646,Deflatores!G$42:H$64,2,FALSE))),VLOOKUP(B646,Deflatores!G$42:H$64,2,FALSE),IF(OR(ISBLANK(C646),ISBLANK(B646)),"",VLOOKUP(C646,Deflatores!G$4:H$38,2,FALSE)*H646+VLOOKUP(C646,Deflatores!G$4:I$38,3,FALSE)))</f>
        <v>3</v>
      </c>
      <c r="M646" s="106"/>
      <c r="N646" s="106"/>
      <c r="O646" s="124"/>
    </row>
    <row r="647" spans="1:15" x14ac:dyDescent="0.25">
      <c r="A647" s="112" t="s">
        <v>555</v>
      </c>
      <c r="B647" s="113" t="s">
        <v>50</v>
      </c>
      <c r="C647" s="113" t="s">
        <v>45</v>
      </c>
      <c r="D647" s="4">
        <v>6</v>
      </c>
      <c r="E647" s="4">
        <v>2</v>
      </c>
      <c r="F647" s="106" t="str">
        <f>IF(ISBLANK(B647),"",IF(I647="L","Baixa",IF(I647="A","Média",IF(I647="","","Alta"))))</f>
        <v>Média</v>
      </c>
      <c r="G647" s="106" t="str">
        <f>CONCATENATE(B647,I647)</f>
        <v>CEA</v>
      </c>
      <c r="H647" s="4">
        <f>IF(ISBLANK(B647),"",IF(B647="ALI",IF(I647="L",7,IF(I647="A",10,15)),IF(B647="AIE",IF(I647="L",5,IF(I647="A",7,10)),IF(B647="SE",IF(I647="L",4,IF(I647="A",5,7)),IF(OR(B647="EE",B647="CE"),IF(I647="L",3,IF(I647="A",4,6)),0)))))</f>
        <v>4</v>
      </c>
      <c r="I647" s="105" t="str">
        <f>IF(OR(ISBLANK(D647),ISBLANK(E647)),IF(OR(B647="ALI",B647="AIE"),"L",IF(OR(B647="EE",B647="SE",B647="CE"),"A","")),IF(B647="EE",IF(E647&gt;=3,IF(D647&gt;=5,"H","A"),IF(E647&gt;=2,IF(D647&gt;=16,"H",IF(D647&lt;=4,"L","A")),IF(D647&lt;=15,"L","A"))),IF(OR(B647="SE",B647="CE"),IF(E647&gt;=4,IF(D647&gt;=6,"H","A"),IF(E647&gt;=2,IF(D647&gt;=20,"H",IF(D647&lt;=5,"L","A")),IF(D647&lt;=19,"L","A"))),IF(OR(B647="ALI",B647="AIE"),IF(E647&gt;=6,IF(D647&gt;=20,"H","A"),IF(E647&gt;=2,IF(D647&gt;=51,"H",IF(D647&lt;=19,"L","A")),IF(D647&lt;=50,"L","A"))),""))))</f>
        <v>A</v>
      </c>
      <c r="J647" s="4" t="str">
        <f>CONCATENATE(B647,C647)</f>
        <v>CEI</v>
      </c>
      <c r="K647" s="106">
        <f>IF(OR(H647="",H647=0),L647,H647)</f>
        <v>4</v>
      </c>
      <c r="L647" s="106">
        <f>IF(NOT(ISERROR(VLOOKUP(B647,Deflatores!G$42:H$64,2,FALSE))),VLOOKUP(B647,Deflatores!G$42:H$64,2,FALSE),IF(OR(ISBLANK(C647),ISBLANK(B647)),"",VLOOKUP(C647,Deflatores!G$4:H$38,2,FALSE)*H647+VLOOKUP(C647,Deflatores!G$4:I$38,3,FALSE)))</f>
        <v>4</v>
      </c>
      <c r="M647" s="106"/>
      <c r="N647" s="106"/>
      <c r="O647" s="124"/>
    </row>
    <row r="648" spans="1:15" x14ac:dyDescent="0.25">
      <c r="A648" s="114" t="s">
        <v>556</v>
      </c>
      <c r="B648" s="113" t="s">
        <v>50</v>
      </c>
      <c r="C648" s="113" t="s">
        <v>45</v>
      </c>
      <c r="D648" s="4">
        <v>3</v>
      </c>
      <c r="E648" s="4">
        <v>1</v>
      </c>
      <c r="F648" s="106" t="str">
        <f>IF(ISBLANK(B648),"",IF(I648="L","Baixa",IF(I648="A","Média",IF(I648="","","Alta"))))</f>
        <v>Baixa</v>
      </c>
      <c r="G648" s="106" t="str">
        <f>CONCATENATE(B648,I648)</f>
        <v>CEL</v>
      </c>
      <c r="H648" s="4">
        <f>IF(ISBLANK(B648),"",IF(B648="ALI",IF(I648="L",7,IF(I648="A",10,15)),IF(B648="AIE",IF(I648="L",5,IF(I648="A",7,10)),IF(B648="SE",IF(I648="L",4,IF(I648="A",5,7)),IF(OR(B648="EE",B648="CE"),IF(I648="L",3,IF(I648="A",4,6)),0)))))</f>
        <v>3</v>
      </c>
      <c r="I648" s="105" t="str">
        <f>IF(OR(ISBLANK(D648),ISBLANK(E648)),IF(OR(B648="ALI",B648="AIE"),"L",IF(OR(B648="EE",B648="SE",B648="CE"),"A","")),IF(B648="EE",IF(E648&gt;=3,IF(D648&gt;=5,"H","A"),IF(E648&gt;=2,IF(D648&gt;=16,"H",IF(D648&lt;=4,"L","A")),IF(D648&lt;=15,"L","A"))),IF(OR(B648="SE",B648="CE"),IF(E648&gt;=4,IF(D648&gt;=6,"H","A"),IF(E648&gt;=2,IF(D648&gt;=20,"H",IF(D648&lt;=5,"L","A")),IF(D648&lt;=19,"L","A"))),IF(OR(B648="ALI",B648="AIE"),IF(E648&gt;=6,IF(D648&gt;=20,"H","A"),IF(E648&gt;=2,IF(D648&gt;=51,"H",IF(D648&lt;=19,"L","A")),IF(D648&lt;=50,"L","A"))),""))))</f>
        <v>L</v>
      </c>
      <c r="J648" s="4" t="str">
        <f>CONCATENATE(B648,C648)</f>
        <v>CEI</v>
      </c>
      <c r="K648" s="106">
        <f>IF(OR(H648="",H648=0),L648,H648)</f>
        <v>3</v>
      </c>
      <c r="L648" s="106">
        <f>IF(NOT(ISERROR(VLOOKUP(B648,Deflatores!G$42:H$64,2,FALSE))),VLOOKUP(B648,Deflatores!G$42:H$64,2,FALSE),IF(OR(ISBLANK(C648),ISBLANK(B648)),"",VLOOKUP(C648,Deflatores!G$4:H$38,2,FALSE)*H648+VLOOKUP(C648,Deflatores!G$4:I$38,3,FALSE)))</f>
        <v>3</v>
      </c>
      <c r="M648" s="106"/>
      <c r="N648" s="106"/>
      <c r="O648" s="124"/>
    </row>
    <row r="649" spans="1:15" x14ac:dyDescent="0.25">
      <c r="A649" s="112" t="s">
        <v>557</v>
      </c>
      <c r="B649" s="113" t="s">
        <v>48</v>
      </c>
      <c r="C649" s="113" t="s">
        <v>45</v>
      </c>
      <c r="D649" s="4">
        <v>5</v>
      </c>
      <c r="E649" s="4">
        <v>3</v>
      </c>
      <c r="F649" s="106" t="str">
        <f t="shared" si="100"/>
        <v>Alta</v>
      </c>
      <c r="G649" s="106" t="str">
        <f t="shared" si="101"/>
        <v>EEH</v>
      </c>
      <c r="H649" s="4">
        <f t="shared" si="102"/>
        <v>6</v>
      </c>
      <c r="I649" s="105" t="str">
        <f t="shared" si="103"/>
        <v>H</v>
      </c>
      <c r="J649" s="4" t="str">
        <f t="shared" si="104"/>
        <v>EEI</v>
      </c>
      <c r="K649" s="106">
        <f t="shared" si="105"/>
        <v>6</v>
      </c>
      <c r="L649" s="106">
        <f>IF(NOT(ISERROR(VLOOKUP(B649,Deflatores!G$42:H$64,2,FALSE))),VLOOKUP(B649,Deflatores!G$42:H$64,2,FALSE),IF(OR(ISBLANK(C649),ISBLANK(B649)),"",VLOOKUP(C649,Deflatores!G$4:H$38,2,FALSE)*H649+VLOOKUP(C649,Deflatores!G$4:I$38,3,FALSE)))</f>
        <v>6</v>
      </c>
      <c r="M649" s="106"/>
      <c r="N649" s="106"/>
      <c r="O649" s="124"/>
    </row>
    <row r="650" spans="1:15" x14ac:dyDescent="0.25">
      <c r="A650" s="112" t="s">
        <v>558</v>
      </c>
      <c r="B650" s="113" t="s">
        <v>48</v>
      </c>
      <c r="C650" s="113" t="s">
        <v>45</v>
      </c>
      <c r="D650" s="4">
        <v>5</v>
      </c>
      <c r="E650" s="4">
        <v>4</v>
      </c>
      <c r="F650" s="106" t="str">
        <f t="shared" si="100"/>
        <v>Alta</v>
      </c>
      <c r="G650" s="106" t="str">
        <f t="shared" si="101"/>
        <v>EEH</v>
      </c>
      <c r="H650" s="4">
        <f t="shared" si="102"/>
        <v>6</v>
      </c>
      <c r="I650" s="105" t="str">
        <f t="shared" si="103"/>
        <v>H</v>
      </c>
      <c r="J650" s="4" t="str">
        <f t="shared" si="104"/>
        <v>EEI</v>
      </c>
      <c r="K650" s="106">
        <f t="shared" si="105"/>
        <v>6</v>
      </c>
      <c r="L650" s="106">
        <f>IF(NOT(ISERROR(VLOOKUP(B650,Deflatores!G$42:H$64,2,FALSE))),VLOOKUP(B650,Deflatores!G$42:H$64,2,FALSE),IF(OR(ISBLANK(C650),ISBLANK(B650)),"",VLOOKUP(C650,Deflatores!G$4:H$38,2,FALSE)*H650+VLOOKUP(C650,Deflatores!G$4:I$38,3,FALSE)))</f>
        <v>6</v>
      </c>
      <c r="M650" s="106"/>
      <c r="N650" s="106"/>
      <c r="O650" s="124"/>
    </row>
    <row r="651" spans="1:15" x14ac:dyDescent="0.25">
      <c r="A651" s="112"/>
      <c r="B651" s="113"/>
      <c r="C651" s="113"/>
      <c r="D651" s="4"/>
      <c r="E651" s="4"/>
      <c r="F651" s="106" t="str">
        <f t="shared" si="100"/>
        <v/>
      </c>
      <c r="G651" s="106" t="str">
        <f t="shared" si="101"/>
        <v/>
      </c>
      <c r="H651" s="4" t="str">
        <f t="shared" si="102"/>
        <v/>
      </c>
      <c r="I651" s="105" t="str">
        <f t="shared" si="103"/>
        <v/>
      </c>
      <c r="J651" s="4" t="str">
        <f t="shared" si="104"/>
        <v/>
      </c>
      <c r="K651" s="106" t="str">
        <f t="shared" si="105"/>
        <v/>
      </c>
      <c r="L651" s="106" t="str">
        <f>IF(NOT(ISERROR(VLOOKUP(B651,Deflatores!G$42:H$64,2,FALSE))),VLOOKUP(B651,Deflatores!G$42:H$64,2,FALSE),IF(OR(ISBLANK(C651),ISBLANK(B651)),"",VLOOKUP(C651,Deflatores!G$4:H$38,2,FALSE)*H651+VLOOKUP(C651,Deflatores!G$4:I$38,3,FALSE)))</f>
        <v/>
      </c>
      <c r="M651" s="106"/>
      <c r="N651" s="106"/>
      <c r="O651" s="124"/>
    </row>
    <row r="652" spans="1:15" x14ac:dyDescent="0.25">
      <c r="A652" s="115" t="s">
        <v>559</v>
      </c>
      <c r="B652" s="113"/>
      <c r="C652" s="113"/>
      <c r="D652" s="4"/>
      <c r="E652" s="4"/>
      <c r="F652" s="106" t="str">
        <f t="shared" si="100"/>
        <v/>
      </c>
      <c r="G652" s="106" t="str">
        <f t="shared" si="101"/>
        <v/>
      </c>
      <c r="H652" s="4" t="str">
        <f t="shared" si="102"/>
        <v/>
      </c>
      <c r="I652" s="105" t="str">
        <f t="shared" si="103"/>
        <v/>
      </c>
      <c r="J652" s="4" t="str">
        <f t="shared" si="104"/>
        <v/>
      </c>
      <c r="K652" s="106" t="str">
        <f t="shared" si="105"/>
        <v/>
      </c>
      <c r="L652" s="106" t="str">
        <f>IF(NOT(ISERROR(VLOOKUP(B652,Deflatores!G$42:H$64,2,FALSE))),VLOOKUP(B652,Deflatores!G$42:H$64,2,FALSE),IF(OR(ISBLANK(C652),ISBLANK(B652)),"",VLOOKUP(C652,Deflatores!G$4:H$38,2,FALSE)*H652+VLOOKUP(C652,Deflatores!G$4:I$38,3,FALSE)))</f>
        <v/>
      </c>
      <c r="M652" s="106"/>
      <c r="N652" s="106"/>
      <c r="O652" s="124"/>
    </row>
    <row r="653" spans="1:15" x14ac:dyDescent="0.25">
      <c r="A653" s="112" t="s">
        <v>560</v>
      </c>
      <c r="B653" s="113" t="s">
        <v>67</v>
      </c>
      <c r="C653" s="113" t="s">
        <v>45</v>
      </c>
      <c r="D653" s="4">
        <v>2</v>
      </c>
      <c r="E653" s="4">
        <v>1</v>
      </c>
      <c r="F653" s="106" t="str">
        <f t="shared" si="100"/>
        <v>Baixa</v>
      </c>
      <c r="G653" s="106" t="str">
        <f t="shared" si="101"/>
        <v>AIEL</v>
      </c>
      <c r="H653" s="4">
        <f t="shared" si="102"/>
        <v>5</v>
      </c>
      <c r="I653" s="105" t="str">
        <f t="shared" si="103"/>
        <v>L</v>
      </c>
      <c r="J653" s="4" t="str">
        <f t="shared" si="104"/>
        <v>AIEI</v>
      </c>
      <c r="K653" s="106">
        <f t="shared" si="105"/>
        <v>5</v>
      </c>
      <c r="L653" s="106">
        <f>IF(NOT(ISERROR(VLOOKUP(B653,Deflatores!G$42:H$64,2,FALSE))),VLOOKUP(B653,Deflatores!G$42:H$64,2,FALSE),IF(OR(ISBLANK(C653),ISBLANK(B653)),"",VLOOKUP(C653,Deflatores!G$4:H$38,2,FALSE)*H653+VLOOKUP(C653,Deflatores!G$4:I$38,3,FALSE)))</f>
        <v>5</v>
      </c>
      <c r="M653" s="106"/>
      <c r="N653" s="106"/>
      <c r="O653" s="106"/>
    </row>
    <row r="654" spans="1:15" x14ac:dyDescent="0.25">
      <c r="A654" s="112" t="s">
        <v>561</v>
      </c>
      <c r="B654" s="113" t="s">
        <v>44</v>
      </c>
      <c r="C654" s="113" t="s">
        <v>45</v>
      </c>
      <c r="D654" s="4">
        <v>38</v>
      </c>
      <c r="E654" s="4">
        <v>5</v>
      </c>
      <c r="F654" s="106" t="str">
        <f t="shared" si="100"/>
        <v>Média</v>
      </c>
      <c r="G654" s="106" t="str">
        <f t="shared" si="101"/>
        <v>ALIA</v>
      </c>
      <c r="H654" s="4">
        <f t="shared" si="102"/>
        <v>10</v>
      </c>
      <c r="I654" s="105" t="str">
        <f t="shared" si="103"/>
        <v>A</v>
      </c>
      <c r="J654" s="4" t="str">
        <f t="shared" si="104"/>
        <v>ALII</v>
      </c>
      <c r="K654" s="106">
        <f t="shared" si="105"/>
        <v>10</v>
      </c>
      <c r="L654" s="106">
        <f>IF(NOT(ISERROR(VLOOKUP(B654,Deflatores!G$42:H$64,2,FALSE))),VLOOKUP(B654,Deflatores!G$42:H$64,2,FALSE),IF(OR(ISBLANK(C654),ISBLANK(B654)),"",VLOOKUP(C654,Deflatores!G$4:H$38,2,FALSE)*H654+VLOOKUP(C654,Deflatores!G$4:I$38,3,FALSE)))</f>
        <v>10</v>
      </c>
      <c r="M654" s="106"/>
      <c r="N654" s="106"/>
      <c r="O654" s="124"/>
    </row>
    <row r="655" spans="1:15" x14ac:dyDescent="0.25">
      <c r="A655" s="112" t="s">
        <v>562</v>
      </c>
      <c r="B655" s="113" t="s">
        <v>50</v>
      </c>
      <c r="C655" s="113" t="s">
        <v>45</v>
      </c>
      <c r="D655" s="4">
        <v>20</v>
      </c>
      <c r="E655" s="4">
        <v>5</v>
      </c>
      <c r="F655" s="106" t="str">
        <f t="shared" si="100"/>
        <v>Alta</v>
      </c>
      <c r="G655" s="106" t="str">
        <f t="shared" si="101"/>
        <v>CEH</v>
      </c>
      <c r="H655" s="4">
        <f t="shared" si="102"/>
        <v>6</v>
      </c>
      <c r="I655" s="105" t="str">
        <f t="shared" si="103"/>
        <v>H</v>
      </c>
      <c r="J655" s="4" t="str">
        <f t="shared" si="104"/>
        <v>CEI</v>
      </c>
      <c r="K655" s="106">
        <f t="shared" si="105"/>
        <v>6</v>
      </c>
      <c r="L655" s="106">
        <f>IF(NOT(ISERROR(VLOOKUP(B655,Deflatores!G$42:H$64,2,FALSE))),VLOOKUP(B655,Deflatores!G$42:H$64,2,FALSE),IF(OR(ISBLANK(C655),ISBLANK(B655)),"",VLOOKUP(C655,Deflatores!G$4:H$38,2,FALSE)*H655+VLOOKUP(C655,Deflatores!G$4:I$38,3,FALSE)))</f>
        <v>6</v>
      </c>
      <c r="M655" s="106"/>
      <c r="N655" s="106"/>
      <c r="O655" s="124"/>
    </row>
    <row r="656" spans="1:15" x14ac:dyDescent="0.25">
      <c r="A656" s="112" t="s">
        <v>563</v>
      </c>
      <c r="B656" s="113" t="s">
        <v>48</v>
      </c>
      <c r="C656" s="113" t="s">
        <v>45</v>
      </c>
      <c r="D656" s="4">
        <v>30</v>
      </c>
      <c r="E656" s="4">
        <v>5</v>
      </c>
      <c r="F656" s="106" t="str">
        <f t="shared" si="100"/>
        <v>Alta</v>
      </c>
      <c r="G656" s="106" t="str">
        <f t="shared" si="101"/>
        <v>EEH</v>
      </c>
      <c r="H656" s="4">
        <f t="shared" si="102"/>
        <v>6</v>
      </c>
      <c r="I656" s="105" t="str">
        <f t="shared" si="103"/>
        <v>H</v>
      </c>
      <c r="J656" s="4" t="str">
        <f t="shared" si="104"/>
        <v>EEI</v>
      </c>
      <c r="K656" s="106">
        <f t="shared" si="105"/>
        <v>6</v>
      </c>
      <c r="L656" s="106">
        <f>IF(NOT(ISERROR(VLOOKUP(B656,Deflatores!G$42:H$64,2,FALSE))),VLOOKUP(B656,Deflatores!G$42:H$64,2,FALSE),IF(OR(ISBLANK(C656),ISBLANK(B656)),"",VLOOKUP(C656,Deflatores!G$4:H$38,2,FALSE)*H656+VLOOKUP(C656,Deflatores!G$4:I$38,3,FALSE)))</f>
        <v>6</v>
      </c>
      <c r="M656" s="106"/>
      <c r="N656" s="106"/>
      <c r="O656" s="124"/>
    </row>
    <row r="657" spans="1:15" x14ac:dyDescent="0.25">
      <c r="A657" s="114" t="s">
        <v>564</v>
      </c>
      <c r="B657" s="113" t="s">
        <v>50</v>
      </c>
      <c r="C657" s="113" t="s">
        <v>45</v>
      </c>
      <c r="D657" s="113">
        <v>3</v>
      </c>
      <c r="E657" s="118">
        <v>1</v>
      </c>
      <c r="F657" s="106" t="str">
        <f t="shared" si="100"/>
        <v>Baixa</v>
      </c>
      <c r="G657" s="106" t="str">
        <f t="shared" si="101"/>
        <v>CEL</v>
      </c>
      <c r="H657" s="4">
        <f t="shared" si="102"/>
        <v>3</v>
      </c>
      <c r="I657" s="105" t="str">
        <f t="shared" si="103"/>
        <v>L</v>
      </c>
      <c r="J657" s="4" t="str">
        <f t="shared" si="104"/>
        <v>CEI</v>
      </c>
      <c r="K657" s="106">
        <f t="shared" si="105"/>
        <v>3</v>
      </c>
      <c r="L657" s="106">
        <f>IF(NOT(ISERROR(VLOOKUP(B657,Deflatores!G$42:H$64,2,FALSE))),VLOOKUP(B657,Deflatores!G$42:H$64,2,FALSE),IF(OR(ISBLANK(C657),ISBLANK(B657)),"",VLOOKUP(C657,Deflatores!G$4:H$38,2,FALSE)*H657+VLOOKUP(C657,Deflatores!G$4:I$38,3,FALSE)))</f>
        <v>3</v>
      </c>
      <c r="M657" s="106"/>
      <c r="N657" s="106"/>
      <c r="O657" s="142"/>
    </row>
    <row r="658" spans="1:15" x14ac:dyDescent="0.25">
      <c r="A658" s="114" t="s">
        <v>565</v>
      </c>
      <c r="B658" s="113" t="s">
        <v>50</v>
      </c>
      <c r="C658" s="113" t="s">
        <v>45</v>
      </c>
      <c r="D658" s="113">
        <v>3</v>
      </c>
      <c r="E658" s="118">
        <v>1</v>
      </c>
      <c r="F658" s="106" t="str">
        <f t="shared" si="100"/>
        <v>Baixa</v>
      </c>
      <c r="G658" s="106" t="str">
        <f t="shared" si="101"/>
        <v>CEL</v>
      </c>
      <c r="H658" s="4">
        <f t="shared" si="102"/>
        <v>3</v>
      </c>
      <c r="I658" s="105" t="str">
        <f t="shared" si="103"/>
        <v>L</v>
      </c>
      <c r="J658" s="4" t="str">
        <f t="shared" si="104"/>
        <v>CEI</v>
      </c>
      <c r="K658" s="106">
        <f t="shared" si="105"/>
        <v>3</v>
      </c>
      <c r="L658" s="106">
        <f>IF(NOT(ISERROR(VLOOKUP(B658,Deflatores!G$42:H$64,2,FALSE))),VLOOKUP(B658,Deflatores!G$42:H$64,2,FALSE),IF(OR(ISBLANK(C658),ISBLANK(B658)),"",VLOOKUP(C658,Deflatores!G$4:H$38,2,FALSE)*H658+VLOOKUP(C658,Deflatores!G$4:I$38,3,FALSE)))</f>
        <v>3</v>
      </c>
      <c r="M658" s="106"/>
      <c r="N658" s="106"/>
      <c r="O658" s="142"/>
    </row>
    <row r="659" spans="1:15" x14ac:dyDescent="0.25">
      <c r="A659" s="112" t="s">
        <v>566</v>
      </c>
      <c r="B659" s="113" t="s">
        <v>48</v>
      </c>
      <c r="C659" s="113" t="s">
        <v>45</v>
      </c>
      <c r="D659" s="4">
        <v>30</v>
      </c>
      <c r="E659" s="4">
        <v>5</v>
      </c>
      <c r="F659" s="106" t="str">
        <f t="shared" si="100"/>
        <v>Alta</v>
      </c>
      <c r="G659" s="106" t="str">
        <f t="shared" si="101"/>
        <v>EEH</v>
      </c>
      <c r="H659" s="4">
        <f t="shared" si="102"/>
        <v>6</v>
      </c>
      <c r="I659" s="105" t="str">
        <f t="shared" si="103"/>
        <v>H</v>
      </c>
      <c r="J659" s="4" t="str">
        <f t="shared" si="104"/>
        <v>EEI</v>
      </c>
      <c r="K659" s="106">
        <f t="shared" si="105"/>
        <v>6</v>
      </c>
      <c r="L659" s="106">
        <f>IF(NOT(ISERROR(VLOOKUP(B659,Deflatores!G$42:H$64,2,FALSE))),VLOOKUP(B659,Deflatores!G$42:H$64,2,FALSE),IF(OR(ISBLANK(C659),ISBLANK(B659)),"",VLOOKUP(C659,Deflatores!G$4:H$38,2,FALSE)*H659+VLOOKUP(C659,Deflatores!G$4:I$38,3,FALSE)))</f>
        <v>6</v>
      </c>
      <c r="M659" s="106"/>
      <c r="N659" s="106"/>
      <c r="O659" s="124"/>
    </row>
    <row r="660" spans="1:15" x14ac:dyDescent="0.25">
      <c r="A660" s="114" t="s">
        <v>567</v>
      </c>
      <c r="B660" s="113" t="s">
        <v>50</v>
      </c>
      <c r="C660" s="113" t="s">
        <v>45</v>
      </c>
      <c r="D660" s="4">
        <v>30</v>
      </c>
      <c r="E660" s="4">
        <v>4</v>
      </c>
      <c r="F660" s="106" t="str">
        <f>IF(ISBLANK(B660),"",IF(I660="L","Baixa",IF(I660="A","Média",IF(I660="","","Alta"))))</f>
        <v>Alta</v>
      </c>
      <c r="G660" s="106" t="str">
        <f>CONCATENATE(B660,I660)</f>
        <v>CEH</v>
      </c>
      <c r="H660" s="4">
        <f>IF(ISBLANK(B660),"",IF(B660="ALI",IF(I660="L",7,IF(I660="A",10,15)),IF(B660="AIE",IF(I660="L",5,IF(I660="A",7,10)),IF(B660="SE",IF(I660="L",4,IF(I660="A",5,7)),IF(OR(B660="EE",B660="CE"),IF(I660="L",3,IF(I660="A",4,6)),0)))))</f>
        <v>6</v>
      </c>
      <c r="I660" s="105" t="str">
        <f>IF(OR(ISBLANK(D660),ISBLANK(E660)),IF(OR(B660="ALI",B660="AIE"),"L",IF(OR(B660="EE",B660="SE",B660="CE"),"A","")),IF(B660="EE",IF(E660&gt;=3,IF(D660&gt;=5,"H","A"),IF(E660&gt;=2,IF(D660&gt;=16,"H",IF(D660&lt;=4,"L","A")),IF(D660&lt;=15,"L","A"))),IF(OR(B660="SE",B660="CE"),IF(E660&gt;=4,IF(D660&gt;=6,"H","A"),IF(E660&gt;=2,IF(D660&gt;=20,"H",IF(D660&lt;=5,"L","A")),IF(D660&lt;=19,"L","A"))),IF(OR(B660="ALI",B660="AIE"),IF(E660&gt;=6,IF(D660&gt;=20,"H","A"),IF(E660&gt;=2,IF(D660&gt;=51,"H",IF(D660&lt;=19,"L","A")),IF(D660&lt;=50,"L","A"))),""))))</f>
        <v>H</v>
      </c>
      <c r="J660" s="4" t="str">
        <f>CONCATENATE(B660,C660)</f>
        <v>CEI</v>
      </c>
      <c r="K660" s="106">
        <f>IF(OR(H660="",H660=0),L660,H660)</f>
        <v>6</v>
      </c>
      <c r="L660" s="106">
        <f>IF(NOT(ISERROR(VLOOKUP(B660,Deflatores!G$42:H$64,2,FALSE))),VLOOKUP(B660,Deflatores!G$42:H$64,2,FALSE),IF(OR(ISBLANK(C660),ISBLANK(B660)),"",VLOOKUP(C660,Deflatores!G$4:H$38,2,FALSE)*H660+VLOOKUP(C660,Deflatores!G$4:I$38,3,FALSE)))</f>
        <v>6</v>
      </c>
      <c r="M660" s="106"/>
      <c r="N660" s="106"/>
      <c r="O660" s="124"/>
    </row>
    <row r="661" spans="1:15" x14ac:dyDescent="0.25">
      <c r="A661" s="112" t="s">
        <v>568</v>
      </c>
      <c r="B661" s="113" t="s">
        <v>50</v>
      </c>
      <c r="C661" s="113" t="s">
        <v>45</v>
      </c>
      <c r="D661" s="4">
        <v>27</v>
      </c>
      <c r="E661" s="4">
        <v>4</v>
      </c>
      <c r="F661" s="106" t="str">
        <f>IF(ISBLANK(B661),"",IF(I661="L","Baixa",IF(I661="A","Média",IF(I661="","","Alta"))))</f>
        <v>Alta</v>
      </c>
      <c r="G661" s="106" t="str">
        <f>CONCATENATE(B661,I661)</f>
        <v>CEH</v>
      </c>
      <c r="H661" s="4">
        <f>IF(ISBLANK(B661),"",IF(B661="ALI",IF(I661="L",7,IF(I661="A",10,15)),IF(B661="AIE",IF(I661="L",5,IF(I661="A",7,10)),IF(B661="SE",IF(I661="L",4,IF(I661="A",5,7)),IF(OR(B661="EE",B661="CE"),IF(I661="L",3,IF(I661="A",4,6)),0)))))</f>
        <v>6</v>
      </c>
      <c r="I661" s="105" t="str">
        <f>IF(OR(ISBLANK(D661),ISBLANK(E661)),IF(OR(B661="ALI",B661="AIE"),"L",IF(OR(B661="EE",B661="SE",B661="CE"),"A","")),IF(B661="EE",IF(E661&gt;=3,IF(D661&gt;=5,"H","A"),IF(E661&gt;=2,IF(D661&gt;=16,"H",IF(D661&lt;=4,"L","A")),IF(D661&lt;=15,"L","A"))),IF(OR(B661="SE",B661="CE"),IF(E661&gt;=4,IF(D661&gt;=6,"H","A"),IF(E661&gt;=2,IF(D661&gt;=20,"H",IF(D661&lt;=5,"L","A")),IF(D661&lt;=19,"L","A"))),IF(OR(B661="ALI",B661="AIE"),IF(E661&gt;=6,IF(D661&gt;=20,"H","A"),IF(E661&gt;=2,IF(D661&gt;=51,"H",IF(D661&lt;=19,"L","A")),IF(D661&lt;=50,"L","A"))),""))))</f>
        <v>H</v>
      </c>
      <c r="J661" s="4" t="str">
        <f>CONCATENATE(B661,C661)</f>
        <v>CEI</v>
      </c>
      <c r="K661" s="106">
        <f>IF(OR(H661="",H661=0),L661,H661)</f>
        <v>6</v>
      </c>
      <c r="L661" s="106">
        <f>IF(NOT(ISERROR(VLOOKUP(B661,Deflatores!G$42:H$64,2,FALSE))),VLOOKUP(B661,Deflatores!G$42:H$64,2,FALSE),IF(OR(ISBLANK(C661),ISBLANK(B661)),"",VLOOKUP(C661,Deflatores!G$4:H$38,2,FALSE)*H661+VLOOKUP(C661,Deflatores!G$4:I$38,3,FALSE)))</f>
        <v>6</v>
      </c>
      <c r="M661" s="106"/>
      <c r="N661" s="106"/>
      <c r="O661" s="124"/>
    </row>
    <row r="662" spans="1:15" x14ac:dyDescent="0.25">
      <c r="A662" s="112" t="s">
        <v>569</v>
      </c>
      <c r="B662" s="113" t="s">
        <v>48</v>
      </c>
      <c r="C662" s="113" t="s">
        <v>45</v>
      </c>
      <c r="D662" s="4">
        <v>3</v>
      </c>
      <c r="E662" s="4">
        <v>1</v>
      </c>
      <c r="F662" s="106" t="str">
        <f t="shared" si="100"/>
        <v>Baixa</v>
      </c>
      <c r="G662" s="106" t="str">
        <f t="shared" si="101"/>
        <v>EEL</v>
      </c>
      <c r="H662" s="4">
        <f t="shared" si="102"/>
        <v>3</v>
      </c>
      <c r="I662" s="105" t="str">
        <f t="shared" si="103"/>
        <v>L</v>
      </c>
      <c r="J662" s="4" t="str">
        <f t="shared" si="104"/>
        <v>EEI</v>
      </c>
      <c r="K662" s="106">
        <f t="shared" si="105"/>
        <v>3</v>
      </c>
      <c r="L662" s="106">
        <f>IF(NOT(ISERROR(VLOOKUP(B662,Deflatores!G$42:H$64,2,FALSE))),VLOOKUP(B662,Deflatores!G$42:H$64,2,FALSE),IF(OR(ISBLANK(C662),ISBLANK(B662)),"",VLOOKUP(C662,Deflatores!G$4:H$38,2,FALSE)*H662+VLOOKUP(C662,Deflatores!G$4:I$38,3,FALSE)))</f>
        <v>3</v>
      </c>
      <c r="M662" s="106"/>
      <c r="N662" s="106"/>
      <c r="O662" s="124"/>
    </row>
    <row r="663" spans="1:15" x14ac:dyDescent="0.25">
      <c r="A663" s="112" t="s">
        <v>570</v>
      </c>
      <c r="B663" s="113" t="s">
        <v>48</v>
      </c>
      <c r="C663" s="113" t="s">
        <v>45</v>
      </c>
      <c r="D663" s="4">
        <v>6</v>
      </c>
      <c r="E663" s="4">
        <v>1</v>
      </c>
      <c r="F663" s="106" t="str">
        <f t="shared" si="100"/>
        <v>Baixa</v>
      </c>
      <c r="G663" s="106" t="str">
        <f t="shared" si="101"/>
        <v>EEL</v>
      </c>
      <c r="H663" s="4">
        <f t="shared" si="102"/>
        <v>3</v>
      </c>
      <c r="I663" s="105" t="str">
        <f t="shared" si="103"/>
        <v>L</v>
      </c>
      <c r="J663" s="4" t="str">
        <f t="shared" si="104"/>
        <v>EEI</v>
      </c>
      <c r="K663" s="106">
        <f t="shared" si="105"/>
        <v>3</v>
      </c>
      <c r="L663" s="106">
        <f>IF(NOT(ISERROR(VLOOKUP(B663,Deflatores!G$42:H$64,2,FALSE))),VLOOKUP(B663,Deflatores!G$42:H$64,2,FALSE),IF(OR(ISBLANK(C663),ISBLANK(B663)),"",VLOOKUP(C663,Deflatores!G$4:H$38,2,FALSE)*H663+VLOOKUP(C663,Deflatores!G$4:I$38,3,FALSE)))</f>
        <v>3</v>
      </c>
      <c r="M663" s="106"/>
      <c r="N663" s="106"/>
      <c r="O663" s="124"/>
    </row>
    <row r="664" spans="1:15" x14ac:dyDescent="0.25">
      <c r="A664" s="112" t="s">
        <v>571</v>
      </c>
      <c r="B664" s="113" t="s">
        <v>48</v>
      </c>
      <c r="C664" s="113" t="s">
        <v>45</v>
      </c>
      <c r="D664" s="4">
        <v>6</v>
      </c>
      <c r="E664" s="4">
        <v>1</v>
      </c>
      <c r="F664" s="106" t="str">
        <f t="shared" si="100"/>
        <v>Baixa</v>
      </c>
      <c r="G664" s="106" t="str">
        <f t="shared" si="101"/>
        <v>EEL</v>
      </c>
      <c r="H664" s="4">
        <f t="shared" si="102"/>
        <v>3</v>
      </c>
      <c r="I664" s="105" t="str">
        <f t="shared" si="103"/>
        <v>L</v>
      </c>
      <c r="J664" s="4" t="str">
        <f t="shared" si="104"/>
        <v>EEI</v>
      </c>
      <c r="K664" s="106">
        <f t="shared" si="105"/>
        <v>3</v>
      </c>
      <c r="L664" s="106">
        <f>IF(NOT(ISERROR(VLOOKUP(B664,Deflatores!G$42:H$64,2,FALSE))),VLOOKUP(B664,Deflatores!G$42:H$64,2,FALSE),IF(OR(ISBLANK(C664),ISBLANK(B664)),"",VLOOKUP(C664,Deflatores!G$4:H$38,2,FALSE)*H664+VLOOKUP(C664,Deflatores!G$4:I$38,3,FALSE)))</f>
        <v>3</v>
      </c>
      <c r="M664" s="106"/>
      <c r="N664" s="106"/>
      <c r="O664" s="124"/>
    </row>
    <row r="665" spans="1:15" x14ac:dyDescent="0.25">
      <c r="A665" s="114" t="s">
        <v>572</v>
      </c>
      <c r="B665" s="113" t="s">
        <v>50</v>
      </c>
      <c r="C665" s="113" t="s">
        <v>45</v>
      </c>
      <c r="D665" s="4">
        <v>4</v>
      </c>
      <c r="E665" s="4">
        <v>1</v>
      </c>
      <c r="F665" s="106" t="str">
        <f t="shared" si="100"/>
        <v>Baixa</v>
      </c>
      <c r="G665" s="106" t="str">
        <f t="shared" si="101"/>
        <v>CEL</v>
      </c>
      <c r="H665" s="4">
        <f t="shared" si="102"/>
        <v>3</v>
      </c>
      <c r="I665" s="105" t="str">
        <f t="shared" si="103"/>
        <v>L</v>
      </c>
      <c r="J665" s="4" t="str">
        <f t="shared" si="104"/>
        <v>CEI</v>
      </c>
      <c r="K665" s="106">
        <f t="shared" si="105"/>
        <v>3</v>
      </c>
      <c r="L665" s="106">
        <f>IF(NOT(ISERROR(VLOOKUP(B665,Deflatores!G$42:H$64,2,FALSE))),VLOOKUP(B665,Deflatores!G$42:H$64,2,FALSE),IF(OR(ISBLANK(C665),ISBLANK(B665)),"",VLOOKUP(C665,Deflatores!G$4:H$38,2,FALSE)*H665+VLOOKUP(C665,Deflatores!G$4:I$38,3,FALSE)))</f>
        <v>3</v>
      </c>
      <c r="M665" s="106"/>
      <c r="N665" s="106"/>
      <c r="O665" s="124"/>
    </row>
    <row r="666" spans="1:15" x14ac:dyDescent="0.25">
      <c r="A666" s="112" t="s">
        <v>573</v>
      </c>
      <c r="B666" s="113" t="s">
        <v>50</v>
      </c>
      <c r="C666" s="113" t="s">
        <v>45</v>
      </c>
      <c r="D666" s="4">
        <v>6</v>
      </c>
      <c r="E666" s="4">
        <v>1</v>
      </c>
      <c r="F666" s="106" t="str">
        <f t="shared" si="100"/>
        <v>Baixa</v>
      </c>
      <c r="G666" s="106" t="str">
        <f t="shared" si="101"/>
        <v>CEL</v>
      </c>
      <c r="H666" s="4">
        <f t="shared" si="102"/>
        <v>3</v>
      </c>
      <c r="I666" s="105" t="str">
        <f t="shared" si="103"/>
        <v>L</v>
      </c>
      <c r="J666" s="4" t="str">
        <f t="shared" si="104"/>
        <v>CEI</v>
      </c>
      <c r="K666" s="106">
        <f t="shared" si="105"/>
        <v>3</v>
      </c>
      <c r="L666" s="106">
        <f>IF(NOT(ISERROR(VLOOKUP(B666,Deflatores!G$42:H$64,2,FALSE))),VLOOKUP(B666,Deflatores!G$42:H$64,2,FALSE),IF(OR(ISBLANK(C666),ISBLANK(B666)),"",VLOOKUP(C666,Deflatores!G$4:H$38,2,FALSE)*H666+VLOOKUP(C666,Deflatores!G$4:I$38,3,FALSE)))</f>
        <v>3</v>
      </c>
      <c r="M666" s="106"/>
      <c r="N666" s="106"/>
      <c r="O666" s="124"/>
    </row>
    <row r="667" spans="1:15" x14ac:dyDescent="0.25">
      <c r="A667" s="112" t="s">
        <v>574</v>
      </c>
      <c r="B667" s="113" t="s">
        <v>48</v>
      </c>
      <c r="C667" s="113" t="s">
        <v>45</v>
      </c>
      <c r="D667" s="4">
        <v>4</v>
      </c>
      <c r="E667" s="4">
        <v>1</v>
      </c>
      <c r="F667" s="106" t="str">
        <f t="shared" ref="F667" si="106">IF(ISBLANK(B667),"",IF(I667="L","Baixa",IF(I667="A","Média",IF(I667="","","Alta"))))</f>
        <v>Baixa</v>
      </c>
      <c r="G667" s="106" t="str">
        <f t="shared" ref="G667" si="107">CONCATENATE(B667,I667)</f>
        <v>EEL</v>
      </c>
      <c r="H667" s="4">
        <f t="shared" ref="H667" si="108">IF(ISBLANK(B667),"",IF(B667="ALI",IF(I667="L",7,IF(I667="A",10,15)),IF(B667="AIE",IF(I667="L",5,IF(I667="A",7,10)),IF(B667="SE",IF(I667="L",4,IF(I667="A",5,7)),IF(OR(B667="EE",B667="CE"),IF(I667="L",3,IF(I667="A",4,6)),0)))))</f>
        <v>3</v>
      </c>
      <c r="I667" s="105" t="str">
        <f t="shared" ref="I667" si="109">IF(OR(ISBLANK(D667),ISBLANK(E667)),IF(OR(B667="ALI",B667="AIE"),"L",IF(OR(B667="EE",B667="SE",B667="CE"),"A","")),IF(B667="EE",IF(E667&gt;=3,IF(D667&gt;=5,"H","A"),IF(E667&gt;=2,IF(D667&gt;=16,"H",IF(D667&lt;=4,"L","A")),IF(D667&lt;=15,"L","A"))),IF(OR(B667="SE",B667="CE"),IF(E667&gt;=4,IF(D667&gt;=6,"H","A"),IF(E667&gt;=2,IF(D667&gt;=20,"H",IF(D667&lt;=5,"L","A")),IF(D667&lt;=19,"L","A"))),IF(OR(B667="ALI",B667="AIE"),IF(E667&gt;=6,IF(D667&gt;=20,"H","A"),IF(E667&gt;=2,IF(D667&gt;=51,"H",IF(D667&lt;=19,"L","A")),IF(D667&lt;=50,"L","A"))),""))))</f>
        <v>L</v>
      </c>
      <c r="J667" s="4" t="str">
        <f t="shared" ref="J667" si="110">CONCATENATE(B667,C667)</f>
        <v>EEI</v>
      </c>
      <c r="K667" s="106">
        <f t="shared" ref="K667" si="111">IF(OR(H667="",H667=0),L667,H667)</f>
        <v>3</v>
      </c>
      <c r="L667" s="106">
        <f>IF(NOT(ISERROR(VLOOKUP(B667,Deflatores!G$42:H$64,2,FALSE))),VLOOKUP(B667,Deflatores!G$42:H$64,2,FALSE),IF(OR(ISBLANK(C667),ISBLANK(B667)),"",VLOOKUP(C667,Deflatores!G$4:H$38,2,FALSE)*H667+VLOOKUP(C667,Deflatores!G$4:I$38,3,FALSE)))</f>
        <v>3</v>
      </c>
      <c r="M667" s="106"/>
      <c r="N667" s="106"/>
      <c r="O667" s="124"/>
    </row>
    <row r="668" spans="1:15" x14ac:dyDescent="0.25">
      <c r="A668" s="112" t="s">
        <v>575</v>
      </c>
      <c r="B668" s="113" t="s">
        <v>48</v>
      </c>
      <c r="C668" s="113" t="s">
        <v>72</v>
      </c>
      <c r="D668" s="4">
        <v>12</v>
      </c>
      <c r="E668" s="4">
        <v>2</v>
      </c>
      <c r="F668" s="106" t="str">
        <f t="shared" si="100"/>
        <v>Média</v>
      </c>
      <c r="G668" s="106" t="str">
        <f t="shared" si="101"/>
        <v>EEA</v>
      </c>
      <c r="H668" s="4">
        <f t="shared" si="102"/>
        <v>4</v>
      </c>
      <c r="I668" s="105" t="str">
        <f t="shared" si="103"/>
        <v>A</v>
      </c>
      <c r="J668" s="4" t="str">
        <f t="shared" si="104"/>
        <v>EEE</v>
      </c>
      <c r="K668" s="106">
        <f t="shared" si="105"/>
        <v>4</v>
      </c>
      <c r="L668" s="106">
        <f>IF(NOT(ISERROR(VLOOKUP(B668,Deflatores!G$42:H$64,2,FALSE))),VLOOKUP(B668,Deflatores!G$42:H$64,2,FALSE),IF(OR(ISBLANK(C668),ISBLANK(B668)),"",VLOOKUP(C668,Deflatores!G$4:H$38,2,FALSE)*H668+VLOOKUP(C668,Deflatores!G$4:I$38,3,FALSE)))</f>
        <v>1.6</v>
      </c>
      <c r="M668" s="106"/>
      <c r="N668" s="106"/>
      <c r="O668" s="124" t="s">
        <v>576</v>
      </c>
    </row>
    <row r="669" spans="1:15" x14ac:dyDescent="0.25">
      <c r="A669" s="112" t="s">
        <v>577</v>
      </c>
      <c r="B669" s="113" t="s">
        <v>48</v>
      </c>
      <c r="C669" s="113" t="s">
        <v>72</v>
      </c>
      <c r="D669" s="4">
        <v>12</v>
      </c>
      <c r="E669" s="4">
        <v>2</v>
      </c>
      <c r="F669" s="106" t="str">
        <f t="shared" si="100"/>
        <v>Média</v>
      </c>
      <c r="G669" s="106" t="str">
        <f t="shared" si="101"/>
        <v>EEA</v>
      </c>
      <c r="H669" s="4">
        <f t="shared" si="102"/>
        <v>4</v>
      </c>
      <c r="I669" s="105" t="str">
        <f t="shared" si="103"/>
        <v>A</v>
      </c>
      <c r="J669" s="4" t="str">
        <f t="shared" si="104"/>
        <v>EEE</v>
      </c>
      <c r="K669" s="106">
        <f t="shared" si="105"/>
        <v>4</v>
      </c>
      <c r="L669" s="106">
        <f>IF(NOT(ISERROR(VLOOKUP(B669,Deflatores!G$42:H$64,2,FALSE))),VLOOKUP(B669,Deflatores!G$42:H$64,2,FALSE),IF(OR(ISBLANK(C669),ISBLANK(B669)),"",VLOOKUP(C669,Deflatores!G$4:H$38,2,FALSE)*H669+VLOOKUP(C669,Deflatores!G$4:I$38,3,FALSE)))</f>
        <v>1.6</v>
      </c>
      <c r="M669" s="106"/>
      <c r="N669" s="106"/>
      <c r="O669" s="124" t="s">
        <v>576</v>
      </c>
    </row>
    <row r="670" spans="1:15" x14ac:dyDescent="0.25">
      <c r="A670" s="114" t="s">
        <v>578</v>
      </c>
      <c r="B670" s="113" t="s">
        <v>50</v>
      </c>
      <c r="C670" s="113" t="s">
        <v>72</v>
      </c>
      <c r="D670" s="4">
        <v>10</v>
      </c>
      <c r="E670" s="4">
        <v>2</v>
      </c>
      <c r="F670" s="106" t="str">
        <f t="shared" si="100"/>
        <v>Média</v>
      </c>
      <c r="G670" s="106" t="str">
        <f t="shared" si="101"/>
        <v>CEA</v>
      </c>
      <c r="H670" s="4">
        <f t="shared" si="102"/>
        <v>4</v>
      </c>
      <c r="I670" s="105" t="str">
        <f t="shared" si="103"/>
        <v>A</v>
      </c>
      <c r="J670" s="4" t="str">
        <f t="shared" si="104"/>
        <v>CEE</v>
      </c>
      <c r="K670" s="106">
        <f t="shared" si="105"/>
        <v>4</v>
      </c>
      <c r="L670" s="106">
        <f>IF(NOT(ISERROR(VLOOKUP(B670,Deflatores!G$42:H$64,2,FALSE))),VLOOKUP(B670,Deflatores!G$42:H$64,2,FALSE),IF(OR(ISBLANK(C670),ISBLANK(B670)),"",VLOOKUP(C670,Deflatores!G$4:H$38,2,FALSE)*H670+VLOOKUP(C670,Deflatores!G$4:I$38,3,FALSE)))</f>
        <v>1.6</v>
      </c>
      <c r="M670" s="106"/>
      <c r="N670" s="106"/>
      <c r="O670" s="124" t="s">
        <v>576</v>
      </c>
    </row>
    <row r="671" spans="1:15" x14ac:dyDescent="0.25">
      <c r="A671" s="112" t="s">
        <v>579</v>
      </c>
      <c r="B671" s="113" t="s">
        <v>50</v>
      </c>
      <c r="C671" s="113" t="s">
        <v>72</v>
      </c>
      <c r="D671" s="4">
        <v>12</v>
      </c>
      <c r="E671" s="4">
        <v>2</v>
      </c>
      <c r="F671" s="106" t="str">
        <f t="shared" si="100"/>
        <v>Média</v>
      </c>
      <c r="G671" s="106" t="str">
        <f t="shared" si="101"/>
        <v>CEA</v>
      </c>
      <c r="H671" s="4">
        <f t="shared" si="102"/>
        <v>4</v>
      </c>
      <c r="I671" s="105" t="str">
        <f t="shared" si="103"/>
        <v>A</v>
      </c>
      <c r="J671" s="4" t="str">
        <f t="shared" si="104"/>
        <v>CEE</v>
      </c>
      <c r="K671" s="106">
        <f t="shared" si="105"/>
        <v>4</v>
      </c>
      <c r="L671" s="106">
        <f>IF(NOT(ISERROR(VLOOKUP(B671,Deflatores!G$42:H$64,2,FALSE))),VLOOKUP(B671,Deflatores!G$42:H$64,2,FALSE),IF(OR(ISBLANK(C671),ISBLANK(B671)),"",VLOOKUP(C671,Deflatores!G$4:H$38,2,FALSE)*H671+VLOOKUP(C671,Deflatores!G$4:I$38,3,FALSE)))</f>
        <v>1.6</v>
      </c>
      <c r="M671" s="106"/>
      <c r="N671" s="106"/>
      <c r="O671" s="124" t="s">
        <v>576</v>
      </c>
    </row>
    <row r="672" spans="1:15" x14ac:dyDescent="0.25">
      <c r="A672" s="112" t="s">
        <v>580</v>
      </c>
      <c r="B672" s="113" t="s">
        <v>50</v>
      </c>
      <c r="C672" s="113" t="s">
        <v>72</v>
      </c>
      <c r="D672" s="4">
        <v>12</v>
      </c>
      <c r="E672" s="4">
        <v>1</v>
      </c>
      <c r="F672" s="106" t="str">
        <f t="shared" si="100"/>
        <v>Baixa</v>
      </c>
      <c r="G672" s="106" t="str">
        <f t="shared" si="101"/>
        <v>CEL</v>
      </c>
      <c r="H672" s="4">
        <f t="shared" si="102"/>
        <v>3</v>
      </c>
      <c r="I672" s="105" t="str">
        <f t="shared" si="103"/>
        <v>L</v>
      </c>
      <c r="J672" s="4" t="str">
        <f t="shared" si="104"/>
        <v>CEE</v>
      </c>
      <c r="K672" s="106">
        <f t="shared" si="105"/>
        <v>3</v>
      </c>
      <c r="L672" s="106">
        <f>IF(NOT(ISERROR(VLOOKUP(B672,Deflatores!G$42:H$64,2,FALSE))),VLOOKUP(B672,Deflatores!G$42:H$64,2,FALSE),IF(OR(ISBLANK(C672),ISBLANK(B672)),"",VLOOKUP(C672,Deflatores!G$4:H$38,2,FALSE)*H672+VLOOKUP(C672,Deflatores!G$4:I$38,3,FALSE)))</f>
        <v>1.2000000000000002</v>
      </c>
      <c r="M672" s="106"/>
      <c r="N672" s="106"/>
      <c r="O672" s="124" t="s">
        <v>576</v>
      </c>
    </row>
    <row r="673" spans="1:15" x14ac:dyDescent="0.25">
      <c r="A673" s="112" t="s">
        <v>581</v>
      </c>
      <c r="B673" s="113" t="s">
        <v>48</v>
      </c>
      <c r="C673" s="113" t="s">
        <v>45</v>
      </c>
      <c r="D673" s="4">
        <v>31</v>
      </c>
      <c r="E673" s="4">
        <v>5</v>
      </c>
      <c r="F673" s="106" t="str">
        <f t="shared" si="100"/>
        <v>Alta</v>
      </c>
      <c r="G673" s="106" t="str">
        <f t="shared" si="101"/>
        <v>EEH</v>
      </c>
      <c r="H673" s="4">
        <f t="shared" si="102"/>
        <v>6</v>
      </c>
      <c r="I673" s="105" t="str">
        <f t="shared" si="103"/>
        <v>H</v>
      </c>
      <c r="J673" s="4" t="str">
        <f t="shared" si="104"/>
        <v>EEI</v>
      </c>
      <c r="K673" s="106">
        <f t="shared" si="105"/>
        <v>6</v>
      </c>
      <c r="L673" s="106">
        <f>IF(NOT(ISERROR(VLOOKUP(B673,Deflatores!G$42:H$64,2,FALSE))),VLOOKUP(B673,Deflatores!G$42:H$64,2,FALSE),IF(OR(ISBLANK(C673),ISBLANK(B673)),"",VLOOKUP(C673,Deflatores!G$4:H$38,2,FALSE)*H673+VLOOKUP(C673,Deflatores!G$4:I$38,3,FALSE)))</f>
        <v>6</v>
      </c>
      <c r="M673" s="106"/>
      <c r="N673" s="106"/>
      <c r="O673" s="124"/>
    </row>
    <row r="674" spans="1:15" x14ac:dyDescent="0.25">
      <c r="A674" s="112"/>
      <c r="B674" s="113"/>
      <c r="C674" s="113"/>
      <c r="D674" s="4"/>
      <c r="E674" s="4"/>
      <c r="F674" s="106" t="str">
        <f t="shared" si="100"/>
        <v/>
      </c>
      <c r="G674" s="106" t="str">
        <f t="shared" si="101"/>
        <v/>
      </c>
      <c r="H674" s="4" t="str">
        <f t="shared" si="102"/>
        <v/>
      </c>
      <c r="I674" s="105" t="str">
        <f t="shared" si="103"/>
        <v/>
      </c>
      <c r="J674" s="4" t="str">
        <f t="shared" si="104"/>
        <v/>
      </c>
      <c r="K674" s="106" t="str">
        <f t="shared" si="105"/>
        <v/>
      </c>
      <c r="L674" s="106" t="str">
        <f>IF(NOT(ISERROR(VLOOKUP(B674,Deflatores!G$42:H$64,2,FALSE))),VLOOKUP(B674,Deflatores!G$42:H$64,2,FALSE),IF(OR(ISBLANK(C674),ISBLANK(B674)),"",VLOOKUP(C674,Deflatores!G$4:H$38,2,FALSE)*H674+VLOOKUP(C674,Deflatores!G$4:I$38,3,FALSE)))</f>
        <v/>
      </c>
      <c r="M674" s="106"/>
      <c r="N674" s="106"/>
      <c r="O674" s="124"/>
    </row>
    <row r="675" spans="1:15" x14ac:dyDescent="0.25">
      <c r="A675" s="115" t="s">
        <v>582</v>
      </c>
      <c r="B675" s="113"/>
      <c r="C675" s="113"/>
      <c r="D675" s="4"/>
      <c r="E675" s="4"/>
      <c r="F675" s="106" t="str">
        <f t="shared" si="100"/>
        <v/>
      </c>
      <c r="G675" s="106" t="str">
        <f t="shared" si="101"/>
        <v/>
      </c>
      <c r="H675" s="4" t="str">
        <f t="shared" si="102"/>
        <v/>
      </c>
      <c r="I675" s="105" t="str">
        <f t="shared" si="103"/>
        <v/>
      </c>
      <c r="J675" s="4" t="str">
        <f t="shared" si="104"/>
        <v/>
      </c>
      <c r="K675" s="106" t="str">
        <f t="shared" si="105"/>
        <v/>
      </c>
      <c r="L675" s="106" t="str">
        <f>IF(NOT(ISERROR(VLOOKUP(B675,Deflatores!G$42:H$64,2,FALSE))),VLOOKUP(B675,Deflatores!G$42:H$64,2,FALSE),IF(OR(ISBLANK(C675),ISBLANK(B675)),"",VLOOKUP(C675,Deflatores!G$4:H$38,2,FALSE)*H675+VLOOKUP(C675,Deflatores!G$4:I$38,3,FALSE)))</f>
        <v/>
      </c>
      <c r="M675" s="106"/>
      <c r="N675" s="106"/>
      <c r="O675" s="124"/>
    </row>
    <row r="676" spans="1:15" x14ac:dyDescent="0.25">
      <c r="A676" s="112" t="s">
        <v>583</v>
      </c>
      <c r="B676" s="113" t="s">
        <v>44</v>
      </c>
      <c r="C676" s="113" t="s">
        <v>45</v>
      </c>
      <c r="D676" s="4">
        <v>13</v>
      </c>
      <c r="E676" s="4">
        <v>1</v>
      </c>
      <c r="F676" s="106" t="str">
        <f t="shared" si="100"/>
        <v>Baixa</v>
      </c>
      <c r="G676" s="106" t="str">
        <f t="shared" si="101"/>
        <v>ALIL</v>
      </c>
      <c r="H676" s="4">
        <f t="shared" si="102"/>
        <v>7</v>
      </c>
      <c r="I676" s="105" t="str">
        <f t="shared" si="103"/>
        <v>L</v>
      </c>
      <c r="J676" s="4" t="str">
        <f t="shared" si="104"/>
        <v>ALII</v>
      </c>
      <c r="K676" s="106">
        <f t="shared" si="105"/>
        <v>7</v>
      </c>
      <c r="L676" s="106">
        <f>IF(NOT(ISERROR(VLOOKUP(B676,Deflatores!G$42:H$64,2,FALSE))),VLOOKUP(B676,Deflatores!G$42:H$64,2,FALSE),IF(OR(ISBLANK(C676),ISBLANK(B676)),"",VLOOKUP(C676,Deflatores!G$4:H$38,2,FALSE)*H676+VLOOKUP(C676,Deflatores!G$4:I$38,3,FALSE)))</f>
        <v>7</v>
      </c>
      <c r="M676" s="106"/>
      <c r="N676" s="106"/>
      <c r="O676" s="124"/>
    </row>
    <row r="677" spans="1:15" x14ac:dyDescent="0.25">
      <c r="A677" s="112" t="s">
        <v>584</v>
      </c>
      <c r="B677" s="113" t="s">
        <v>50</v>
      </c>
      <c r="C677" s="113" t="s">
        <v>45</v>
      </c>
      <c r="D677" s="4">
        <v>10</v>
      </c>
      <c r="E677" s="4">
        <v>3</v>
      </c>
      <c r="F677" s="106" t="str">
        <f t="shared" si="100"/>
        <v>Média</v>
      </c>
      <c r="G677" s="106" t="str">
        <f t="shared" si="101"/>
        <v>CEA</v>
      </c>
      <c r="H677" s="4">
        <f t="shared" si="102"/>
        <v>4</v>
      </c>
      <c r="I677" s="105" t="str">
        <f t="shared" si="103"/>
        <v>A</v>
      </c>
      <c r="J677" s="4" t="str">
        <f t="shared" si="104"/>
        <v>CEI</v>
      </c>
      <c r="K677" s="106">
        <f t="shared" si="105"/>
        <v>4</v>
      </c>
      <c r="L677" s="106">
        <f>IF(NOT(ISERROR(VLOOKUP(B677,Deflatores!G$42:H$64,2,FALSE))),VLOOKUP(B677,Deflatores!G$42:H$64,2,FALSE),IF(OR(ISBLANK(C677),ISBLANK(B677)),"",VLOOKUP(C677,Deflatores!G$4:H$38,2,FALSE)*H677+VLOOKUP(C677,Deflatores!G$4:I$38,3,FALSE)))</f>
        <v>4</v>
      </c>
      <c r="M677" s="106"/>
      <c r="N677" s="106"/>
      <c r="O677" s="124"/>
    </row>
    <row r="678" spans="1:15" x14ac:dyDescent="0.25">
      <c r="A678" s="112" t="s">
        <v>585</v>
      </c>
      <c r="B678" s="113" t="s">
        <v>48</v>
      </c>
      <c r="C678" s="113" t="s">
        <v>45</v>
      </c>
      <c r="D678" s="4">
        <v>14</v>
      </c>
      <c r="E678" s="4">
        <v>4</v>
      </c>
      <c r="F678" s="106" t="str">
        <f t="shared" si="100"/>
        <v>Alta</v>
      </c>
      <c r="G678" s="106" t="str">
        <f t="shared" si="101"/>
        <v>EEH</v>
      </c>
      <c r="H678" s="4">
        <f t="shared" si="102"/>
        <v>6</v>
      </c>
      <c r="I678" s="105" t="str">
        <f t="shared" si="103"/>
        <v>H</v>
      </c>
      <c r="J678" s="4" t="str">
        <f t="shared" si="104"/>
        <v>EEI</v>
      </c>
      <c r="K678" s="106">
        <f t="shared" si="105"/>
        <v>6</v>
      </c>
      <c r="L678" s="106">
        <f>IF(NOT(ISERROR(VLOOKUP(B678,Deflatores!G$42:H$64,2,FALSE))),VLOOKUP(B678,Deflatores!G$42:H$64,2,FALSE),IF(OR(ISBLANK(C678),ISBLANK(B678)),"",VLOOKUP(C678,Deflatores!G$4:H$38,2,FALSE)*H678+VLOOKUP(C678,Deflatores!G$4:I$38,3,FALSE)))</f>
        <v>6</v>
      </c>
      <c r="M678" s="106"/>
      <c r="N678" s="106"/>
      <c r="O678" s="124"/>
    </row>
    <row r="679" spans="1:15" x14ac:dyDescent="0.25">
      <c r="A679" s="114" t="s">
        <v>586</v>
      </c>
      <c r="B679" s="113" t="s">
        <v>50</v>
      </c>
      <c r="C679" s="113" t="s">
        <v>45</v>
      </c>
      <c r="D679" s="4">
        <v>2</v>
      </c>
      <c r="E679" s="4">
        <v>1</v>
      </c>
      <c r="F679" s="106" t="str">
        <f>IF(ISBLANK(B679),"",IF(I679="L","Baixa",IF(I679="A","Média",IF(I679="","","Alta"))))</f>
        <v>Baixa</v>
      </c>
      <c r="G679" s="106" t="str">
        <f>CONCATENATE(B679,I679)</f>
        <v>CEL</v>
      </c>
      <c r="H679" s="4">
        <f>IF(ISBLANK(B679),"",IF(B679="ALI",IF(I679="L",7,IF(I679="A",10,15)),IF(B679="AIE",IF(I679="L",5,IF(I679="A",7,10)),IF(B679="SE",IF(I679="L",4,IF(I679="A",5,7)),IF(OR(B679="EE",B679="CE"),IF(I679="L",3,IF(I679="A",4,6)),0)))))</f>
        <v>3</v>
      </c>
      <c r="I679" s="105" t="str">
        <f>IF(OR(ISBLANK(D679),ISBLANK(E679)),IF(OR(B679="ALI",B679="AIE"),"L",IF(OR(B679="EE",B679="SE",B679="CE"),"A","")),IF(B679="EE",IF(E679&gt;=3,IF(D679&gt;=5,"H","A"),IF(E679&gt;=2,IF(D679&gt;=16,"H",IF(D679&lt;=4,"L","A")),IF(D679&lt;=15,"L","A"))),IF(OR(B679="SE",B679="CE"),IF(E679&gt;=4,IF(D679&gt;=6,"H","A"),IF(E679&gt;=2,IF(D679&gt;=20,"H",IF(D679&lt;=5,"L","A")),IF(D679&lt;=19,"L","A"))),IF(OR(B679="ALI",B679="AIE"),IF(E679&gt;=6,IF(D679&gt;=20,"H","A"),IF(E679&gt;=2,IF(D679&gt;=51,"H",IF(D679&lt;=19,"L","A")),IF(D679&lt;=50,"L","A"))),""))))</f>
        <v>L</v>
      </c>
      <c r="J679" s="4" t="str">
        <f>CONCATENATE(B679,C679)</f>
        <v>CEI</v>
      </c>
      <c r="K679" s="106">
        <f>IF(OR(H679="",H679=0),L679,H679)</f>
        <v>3</v>
      </c>
      <c r="L679" s="106">
        <f>IF(NOT(ISERROR(VLOOKUP(B679,Deflatores!G$42:H$64,2,FALSE))),VLOOKUP(B679,Deflatores!G$42:H$64,2,FALSE),IF(OR(ISBLANK(C679),ISBLANK(B679)),"",VLOOKUP(C679,Deflatores!G$4:H$38,2,FALSE)*H679+VLOOKUP(C679,Deflatores!G$4:I$38,3,FALSE)))</f>
        <v>3</v>
      </c>
      <c r="M679" s="106"/>
      <c r="N679" s="106"/>
      <c r="O679" s="124"/>
    </row>
    <row r="680" spans="1:15" x14ac:dyDescent="0.25">
      <c r="A680" s="112" t="s">
        <v>587</v>
      </c>
      <c r="B680" s="113" t="s">
        <v>48</v>
      </c>
      <c r="C680" s="113" t="s">
        <v>45</v>
      </c>
      <c r="D680" s="4">
        <v>14</v>
      </c>
      <c r="E680" s="4">
        <v>4</v>
      </c>
      <c r="F680" s="106" t="str">
        <f t="shared" si="100"/>
        <v>Alta</v>
      </c>
      <c r="G680" s="106" t="str">
        <f t="shared" si="101"/>
        <v>EEH</v>
      </c>
      <c r="H680" s="4">
        <f t="shared" si="102"/>
        <v>6</v>
      </c>
      <c r="I680" s="105" t="str">
        <f t="shared" si="103"/>
        <v>H</v>
      </c>
      <c r="J680" s="4" t="str">
        <f t="shared" si="104"/>
        <v>EEI</v>
      </c>
      <c r="K680" s="106">
        <f t="shared" si="105"/>
        <v>6</v>
      </c>
      <c r="L680" s="106">
        <f>IF(NOT(ISERROR(VLOOKUP(B680,Deflatores!G$42:H$64,2,FALSE))),VLOOKUP(B680,Deflatores!G$42:H$64,2,FALSE),IF(OR(ISBLANK(C680),ISBLANK(B680)),"",VLOOKUP(C680,Deflatores!G$4:H$38,2,FALSE)*H680+VLOOKUP(C680,Deflatores!G$4:I$38,3,FALSE)))</f>
        <v>6</v>
      </c>
      <c r="M680" s="106"/>
      <c r="N680" s="106"/>
      <c r="O680" s="124"/>
    </row>
    <row r="681" spans="1:15" x14ac:dyDescent="0.25">
      <c r="A681" s="114" t="s">
        <v>588</v>
      </c>
      <c r="B681" s="113" t="s">
        <v>50</v>
      </c>
      <c r="C681" s="113" t="s">
        <v>45</v>
      </c>
      <c r="D681" s="4">
        <v>12</v>
      </c>
      <c r="E681" s="4">
        <v>4</v>
      </c>
      <c r="F681" s="106" t="str">
        <f>IF(ISBLANK(B681),"",IF(I681="L","Baixa",IF(I681="A","Média",IF(I681="","","Alta"))))</f>
        <v>Alta</v>
      </c>
      <c r="G681" s="106" t="str">
        <f>CONCATENATE(B681,I681)</f>
        <v>CEH</v>
      </c>
      <c r="H681" s="4">
        <f>IF(ISBLANK(B681),"",IF(B681="ALI",IF(I681="L",7,IF(I681="A",10,15)),IF(B681="AIE",IF(I681="L",5,IF(I681="A",7,10)),IF(B681="SE",IF(I681="L",4,IF(I681="A",5,7)),IF(OR(B681="EE",B681="CE"),IF(I681="L",3,IF(I681="A",4,6)),0)))))</f>
        <v>6</v>
      </c>
      <c r="I681" s="105" t="str">
        <f>IF(OR(ISBLANK(D681),ISBLANK(E681)),IF(OR(B681="ALI",B681="AIE"),"L",IF(OR(B681="EE",B681="SE",B681="CE"),"A","")),IF(B681="EE",IF(E681&gt;=3,IF(D681&gt;=5,"H","A"),IF(E681&gt;=2,IF(D681&gt;=16,"H",IF(D681&lt;=4,"L","A")),IF(D681&lt;=15,"L","A"))),IF(OR(B681="SE",B681="CE"),IF(E681&gt;=4,IF(D681&gt;=6,"H","A"),IF(E681&gt;=2,IF(D681&gt;=20,"H",IF(D681&lt;=5,"L","A")),IF(D681&lt;=19,"L","A"))),IF(OR(B681="ALI",B681="AIE"),IF(E681&gt;=6,IF(D681&gt;=20,"H","A"),IF(E681&gt;=2,IF(D681&gt;=51,"H",IF(D681&lt;=19,"L","A")),IF(D681&lt;=50,"L","A"))),""))))</f>
        <v>H</v>
      </c>
      <c r="J681" s="4" t="str">
        <f>CONCATENATE(B681,C681)</f>
        <v>CEI</v>
      </c>
      <c r="K681" s="106">
        <f>IF(OR(H681="",H681=0),L681,H681)</f>
        <v>6</v>
      </c>
      <c r="L681" s="106">
        <f>IF(NOT(ISERROR(VLOOKUP(B681,Deflatores!G$42:H$64,2,FALSE))),VLOOKUP(B681,Deflatores!G$42:H$64,2,FALSE),IF(OR(ISBLANK(C681),ISBLANK(B681)),"",VLOOKUP(C681,Deflatores!G$4:H$38,2,FALSE)*H681+VLOOKUP(C681,Deflatores!G$4:I$38,3,FALSE)))</f>
        <v>6</v>
      </c>
      <c r="M681" s="106"/>
      <c r="N681" s="106"/>
      <c r="O681" s="124"/>
    </row>
    <row r="682" spans="1:15" x14ac:dyDescent="0.25">
      <c r="A682" s="112" t="s">
        <v>589</v>
      </c>
      <c r="B682" s="113" t="s">
        <v>50</v>
      </c>
      <c r="C682" s="113" t="s">
        <v>45</v>
      </c>
      <c r="D682" s="4">
        <v>14</v>
      </c>
      <c r="E682" s="4">
        <v>4</v>
      </c>
      <c r="F682" s="106" t="str">
        <f>IF(ISBLANK(B682),"",IF(I682="L","Baixa",IF(I682="A","Média",IF(I682="","","Alta"))))</f>
        <v>Alta</v>
      </c>
      <c r="G682" s="106" t="str">
        <f>CONCATENATE(B682,I682)</f>
        <v>CEH</v>
      </c>
      <c r="H682" s="4">
        <f>IF(ISBLANK(B682),"",IF(B682="ALI",IF(I682="L",7,IF(I682="A",10,15)),IF(B682="AIE",IF(I682="L",5,IF(I682="A",7,10)),IF(B682="SE",IF(I682="L",4,IF(I682="A",5,7)),IF(OR(B682="EE",B682="CE"),IF(I682="L",3,IF(I682="A",4,6)),0)))))</f>
        <v>6</v>
      </c>
      <c r="I682" s="105" t="str">
        <f>IF(OR(ISBLANK(D682),ISBLANK(E682)),IF(OR(B682="ALI",B682="AIE"),"L",IF(OR(B682="EE",B682="SE",B682="CE"),"A","")),IF(B682="EE",IF(E682&gt;=3,IF(D682&gt;=5,"H","A"),IF(E682&gt;=2,IF(D682&gt;=16,"H",IF(D682&lt;=4,"L","A")),IF(D682&lt;=15,"L","A"))),IF(OR(B682="SE",B682="CE"),IF(E682&gt;=4,IF(D682&gt;=6,"H","A"),IF(E682&gt;=2,IF(D682&gt;=20,"H",IF(D682&lt;=5,"L","A")),IF(D682&lt;=19,"L","A"))),IF(OR(B682="ALI",B682="AIE"),IF(E682&gt;=6,IF(D682&gt;=20,"H","A"),IF(E682&gt;=2,IF(D682&gt;=51,"H",IF(D682&lt;=19,"L","A")),IF(D682&lt;=50,"L","A"))),""))))</f>
        <v>H</v>
      </c>
      <c r="J682" s="4" t="str">
        <f>CONCATENATE(B682,C682)</f>
        <v>CEI</v>
      </c>
      <c r="K682" s="106">
        <f>IF(OR(H682="",H682=0),L682,H682)</f>
        <v>6</v>
      </c>
      <c r="L682" s="106">
        <f>IF(NOT(ISERROR(VLOOKUP(B682,Deflatores!G$42:H$64,2,FALSE))),VLOOKUP(B682,Deflatores!G$42:H$64,2,FALSE),IF(OR(ISBLANK(C682),ISBLANK(B682)),"",VLOOKUP(C682,Deflatores!G$4:H$38,2,FALSE)*H682+VLOOKUP(C682,Deflatores!G$4:I$38,3,FALSE)))</f>
        <v>6</v>
      </c>
      <c r="M682" s="106"/>
      <c r="N682" s="106"/>
      <c r="O682" s="124"/>
    </row>
    <row r="683" spans="1:15" x14ac:dyDescent="0.25">
      <c r="A683" s="112" t="s">
        <v>590</v>
      </c>
      <c r="B683" s="113" t="s">
        <v>48</v>
      </c>
      <c r="C683" s="113" t="s">
        <v>45</v>
      </c>
      <c r="D683" s="4">
        <v>3</v>
      </c>
      <c r="E683" s="4">
        <v>1</v>
      </c>
      <c r="F683" s="106" t="str">
        <f t="shared" si="100"/>
        <v>Baixa</v>
      </c>
      <c r="G683" s="106" t="str">
        <f t="shared" si="101"/>
        <v>EEL</v>
      </c>
      <c r="H683" s="4">
        <f t="shared" si="102"/>
        <v>3</v>
      </c>
      <c r="I683" s="105" t="str">
        <f t="shared" si="103"/>
        <v>L</v>
      </c>
      <c r="J683" s="4" t="str">
        <f t="shared" si="104"/>
        <v>EEI</v>
      </c>
      <c r="K683" s="106">
        <f t="shared" si="105"/>
        <v>3</v>
      </c>
      <c r="L683" s="106">
        <f>IF(NOT(ISERROR(VLOOKUP(B683,Deflatores!G$42:H$64,2,FALSE))),VLOOKUP(B683,Deflatores!G$42:H$64,2,FALSE),IF(OR(ISBLANK(C683),ISBLANK(B683)),"",VLOOKUP(C683,Deflatores!G$4:H$38,2,FALSE)*H683+VLOOKUP(C683,Deflatores!G$4:I$38,3,FALSE)))</f>
        <v>3</v>
      </c>
      <c r="M683" s="106"/>
      <c r="N683" s="106"/>
      <c r="O683" s="124"/>
    </row>
    <row r="684" spans="1:15" x14ac:dyDescent="0.25">
      <c r="A684" s="163" t="s">
        <v>1426</v>
      </c>
      <c r="B684" s="113" t="s">
        <v>50</v>
      </c>
      <c r="C684" s="113" t="s">
        <v>45</v>
      </c>
      <c r="D684" s="4">
        <v>10</v>
      </c>
      <c r="E684" s="4">
        <v>2</v>
      </c>
      <c r="F684" s="105" t="str">
        <f t="shared" si="100"/>
        <v>Média</v>
      </c>
      <c r="G684" s="4" t="str">
        <f t="shared" si="101"/>
        <v>CEA</v>
      </c>
      <c r="H684" s="4">
        <f t="shared" si="102"/>
        <v>4</v>
      </c>
      <c r="I684" s="105" t="str">
        <f t="shared" si="103"/>
        <v>A</v>
      </c>
      <c r="J684" s="4" t="str">
        <f t="shared" si="104"/>
        <v>CEI</v>
      </c>
      <c r="K684" s="106">
        <f t="shared" si="105"/>
        <v>4</v>
      </c>
      <c r="L684" s="106">
        <f>IF(NOT(ISERROR(VLOOKUP(B684,Deflatores!G$42:H$64,2,FALSE))),VLOOKUP(B684,Deflatores!G$42:H$64,2,FALSE),IF(OR(ISBLANK(C684),ISBLANK(B684)),"",VLOOKUP(C684,Deflatores!G$4:H$38,2,FALSE)*H684+VLOOKUP(C684,Deflatores!G$4:I$38,3,FALSE)))</f>
        <v>4</v>
      </c>
      <c r="M684" s="6"/>
      <c r="N684" s="6"/>
      <c r="O684" s="144"/>
    </row>
    <row r="685" spans="1:15" x14ac:dyDescent="0.25">
      <c r="A685" s="163" t="s">
        <v>1427</v>
      </c>
      <c r="B685" s="113" t="s">
        <v>48</v>
      </c>
      <c r="C685" s="113" t="s">
        <v>45</v>
      </c>
      <c r="D685" s="4">
        <v>7</v>
      </c>
      <c r="E685" s="4">
        <v>2</v>
      </c>
      <c r="F685" s="105" t="str">
        <f t="shared" si="100"/>
        <v>Média</v>
      </c>
      <c r="G685" s="4" t="str">
        <f t="shared" si="101"/>
        <v>EEA</v>
      </c>
      <c r="H685" s="4">
        <f t="shared" si="102"/>
        <v>4</v>
      </c>
      <c r="I685" s="105" t="str">
        <f t="shared" si="103"/>
        <v>A</v>
      </c>
      <c r="J685" s="4" t="str">
        <f t="shared" si="104"/>
        <v>EEI</v>
      </c>
      <c r="K685" s="106">
        <f t="shared" si="105"/>
        <v>4</v>
      </c>
      <c r="L685" s="106">
        <f>IF(NOT(ISERROR(VLOOKUP(B685,Deflatores!G$42:H$64,2,FALSE))),VLOOKUP(B685,Deflatores!G$42:H$64,2,FALSE),IF(OR(ISBLANK(C685),ISBLANK(B685)),"",VLOOKUP(C685,Deflatores!G$4:H$38,2,FALSE)*H685+VLOOKUP(C685,Deflatores!G$4:I$38,3,FALSE)))</f>
        <v>4</v>
      </c>
      <c r="M685" s="6"/>
      <c r="N685" s="6"/>
      <c r="O685" s="144"/>
    </row>
    <row r="686" spans="1:15" x14ac:dyDescent="0.25">
      <c r="A686" s="163" t="s">
        <v>1428</v>
      </c>
      <c r="B686" s="113" t="s">
        <v>48</v>
      </c>
      <c r="C686" s="113" t="s">
        <v>45</v>
      </c>
      <c r="D686" s="4">
        <v>7</v>
      </c>
      <c r="E686" s="4">
        <v>2</v>
      </c>
      <c r="F686" s="105" t="str">
        <f t="shared" si="100"/>
        <v>Média</v>
      </c>
      <c r="G686" s="4" t="str">
        <f t="shared" si="101"/>
        <v>EEA</v>
      </c>
      <c r="H686" s="4">
        <f t="shared" si="102"/>
        <v>4</v>
      </c>
      <c r="I686" s="105" t="str">
        <f t="shared" si="103"/>
        <v>A</v>
      </c>
      <c r="J686" s="4" t="str">
        <f t="shared" si="104"/>
        <v>EEI</v>
      </c>
      <c r="K686" s="106">
        <f t="shared" si="105"/>
        <v>4</v>
      </c>
      <c r="L686" s="106">
        <f>IF(NOT(ISERROR(VLOOKUP(B686,Deflatores!G$42:H$64,2,FALSE))),VLOOKUP(B686,Deflatores!G$42:H$64,2,FALSE),IF(OR(ISBLANK(C686),ISBLANK(B686)),"",VLOOKUP(C686,Deflatores!G$4:H$38,2,FALSE)*H686+VLOOKUP(C686,Deflatores!G$4:I$38,3,FALSE)))</f>
        <v>4</v>
      </c>
      <c r="M686" s="6"/>
      <c r="N686" s="6"/>
      <c r="O686" s="144"/>
    </row>
    <row r="687" spans="1:15" x14ac:dyDescent="0.25">
      <c r="A687" s="154" t="s">
        <v>1431</v>
      </c>
      <c r="B687" s="113" t="s">
        <v>50</v>
      </c>
      <c r="C687" s="113" t="s">
        <v>45</v>
      </c>
      <c r="D687" s="4">
        <v>5</v>
      </c>
      <c r="E687" s="4">
        <v>2</v>
      </c>
      <c r="F687" s="105" t="str">
        <f t="shared" ref="F687" si="112">IF(ISBLANK(B687),"",IF(I687="L","Baixa",IF(I687="A","Média",IF(I687="","","Alta"))))</f>
        <v>Baixa</v>
      </c>
      <c r="G687" s="4" t="str">
        <f t="shared" ref="G687" si="113">CONCATENATE(B687,I687)</f>
        <v>CEL</v>
      </c>
      <c r="H687" s="4">
        <f t="shared" ref="H687" si="114">IF(ISBLANK(B687),"",IF(B687="ALI",IF(I687="L",7,IF(I687="A",10,15)),IF(B687="AIE",IF(I687="L",5,IF(I687="A",7,10)),IF(B687="SE",IF(I687="L",4,IF(I687="A",5,7)),IF(OR(B687="EE",B687="CE"),IF(I687="L",3,IF(I687="A",4,6)),0)))))</f>
        <v>3</v>
      </c>
      <c r="I687" s="105" t="str">
        <f t="shared" ref="I687" si="115">IF(OR(ISBLANK(D687),ISBLANK(E687)),IF(OR(B687="ALI",B687="AIE"),"L",IF(OR(B687="EE",B687="SE",B687="CE"),"A","")),IF(B687="EE",IF(E687&gt;=3,IF(D687&gt;=5,"H","A"),IF(E687&gt;=2,IF(D687&gt;=16,"H",IF(D687&lt;=4,"L","A")),IF(D687&lt;=15,"L","A"))),IF(OR(B687="SE",B687="CE"),IF(E687&gt;=4,IF(D687&gt;=6,"H","A"),IF(E687&gt;=2,IF(D687&gt;=20,"H",IF(D687&lt;=5,"L","A")),IF(D687&lt;=19,"L","A"))),IF(OR(B687="ALI",B687="AIE"),IF(E687&gt;=6,IF(D687&gt;=20,"H","A"),IF(E687&gt;=2,IF(D687&gt;=51,"H",IF(D687&lt;=19,"L","A")),IF(D687&lt;=50,"L","A"))),""))))</f>
        <v>L</v>
      </c>
      <c r="J687" s="4" t="str">
        <f t="shared" ref="J687" si="116">CONCATENATE(B687,C687)</f>
        <v>CEI</v>
      </c>
      <c r="K687" s="106">
        <f t="shared" ref="K687" si="117">IF(OR(H687="",H687=0),L687,H687)</f>
        <v>3</v>
      </c>
      <c r="L687" s="106">
        <f>IF(NOT(ISERROR(VLOOKUP(B687,Deflatores!G$42:H$64,2,FALSE))),VLOOKUP(B687,Deflatores!G$42:H$64,2,FALSE),IF(OR(ISBLANK(C687),ISBLANK(B687)),"",VLOOKUP(C687,Deflatores!G$4:H$38,2,FALSE)*H687+VLOOKUP(C687,Deflatores!G$4:I$38,3,FALSE)))</f>
        <v>3</v>
      </c>
      <c r="M687" s="6"/>
      <c r="N687" s="6"/>
      <c r="O687" s="144"/>
    </row>
    <row r="688" spans="1:15" x14ac:dyDescent="0.25">
      <c r="A688" s="163" t="s">
        <v>1429</v>
      </c>
      <c r="B688" s="113" t="s">
        <v>50</v>
      </c>
      <c r="C688" s="113" t="s">
        <v>45</v>
      </c>
      <c r="D688" s="4">
        <v>7</v>
      </c>
      <c r="E688" s="4">
        <v>2</v>
      </c>
      <c r="F688" s="105" t="str">
        <f t="shared" si="100"/>
        <v>Média</v>
      </c>
      <c r="G688" s="4" t="str">
        <f t="shared" si="101"/>
        <v>CEA</v>
      </c>
      <c r="H688" s="4">
        <f t="shared" si="102"/>
        <v>4</v>
      </c>
      <c r="I688" s="105" t="str">
        <f t="shared" si="103"/>
        <v>A</v>
      </c>
      <c r="J688" s="4" t="str">
        <f t="shared" si="104"/>
        <v>CEI</v>
      </c>
      <c r="K688" s="106">
        <f t="shared" si="105"/>
        <v>4</v>
      </c>
      <c r="L688" s="106">
        <f>IF(NOT(ISERROR(VLOOKUP(B688,Deflatores!G$42:H$64,2,FALSE))),VLOOKUP(B688,Deflatores!G$42:H$64,2,FALSE),IF(OR(ISBLANK(C688),ISBLANK(B688)),"",VLOOKUP(C688,Deflatores!G$4:H$38,2,FALSE)*H688+VLOOKUP(C688,Deflatores!G$4:I$38,3,FALSE)))</f>
        <v>4</v>
      </c>
      <c r="M688" s="6"/>
      <c r="N688" s="6"/>
      <c r="O688" s="144"/>
    </row>
    <row r="689" spans="1:15" x14ac:dyDescent="0.25">
      <c r="A689" s="163" t="s">
        <v>1430</v>
      </c>
      <c r="B689" s="113" t="s">
        <v>50</v>
      </c>
      <c r="C689" s="113" t="s">
        <v>45</v>
      </c>
      <c r="D689" s="4">
        <v>3</v>
      </c>
      <c r="E689" s="4">
        <v>1</v>
      </c>
      <c r="F689" s="105" t="str">
        <f t="shared" si="100"/>
        <v>Baixa</v>
      </c>
      <c r="G689" s="4" t="str">
        <f t="shared" si="101"/>
        <v>CEL</v>
      </c>
      <c r="H689" s="4">
        <f t="shared" si="102"/>
        <v>3</v>
      </c>
      <c r="I689" s="105" t="str">
        <f t="shared" si="103"/>
        <v>L</v>
      </c>
      <c r="J689" s="4" t="str">
        <f t="shared" si="104"/>
        <v>CEI</v>
      </c>
      <c r="K689" s="106">
        <f t="shared" si="105"/>
        <v>3</v>
      </c>
      <c r="L689" s="106">
        <f>IF(NOT(ISERROR(VLOOKUP(B689,Deflatores!G$42:H$64,2,FALSE))),VLOOKUP(B689,Deflatores!G$42:H$64,2,FALSE),IF(OR(ISBLANK(C689),ISBLANK(B689)),"",VLOOKUP(C689,Deflatores!G$4:H$38,2,FALSE)*H689+VLOOKUP(C689,Deflatores!G$4:I$38,3,FALSE)))</f>
        <v>3</v>
      </c>
      <c r="M689" s="6"/>
      <c r="N689" s="6"/>
      <c r="O689" s="144"/>
    </row>
    <row r="690" spans="1:15" x14ac:dyDescent="0.25">
      <c r="A690" s="112"/>
      <c r="B690" s="113"/>
      <c r="C690" s="113"/>
      <c r="D690" s="4"/>
      <c r="E690" s="4"/>
      <c r="F690" s="106" t="str">
        <f t="shared" si="100"/>
        <v/>
      </c>
      <c r="G690" s="106" t="str">
        <f t="shared" si="101"/>
        <v/>
      </c>
      <c r="H690" s="4" t="str">
        <f t="shared" si="102"/>
        <v/>
      </c>
      <c r="I690" s="105" t="str">
        <f t="shared" si="103"/>
        <v/>
      </c>
      <c r="J690" s="4" t="str">
        <f t="shared" si="104"/>
        <v/>
      </c>
      <c r="K690" s="106" t="str">
        <f t="shared" si="105"/>
        <v/>
      </c>
      <c r="L690" s="106" t="str">
        <f>IF(NOT(ISERROR(VLOOKUP(B690,Deflatores!G$42:H$64,2,FALSE))),VLOOKUP(B690,Deflatores!G$42:H$64,2,FALSE),IF(OR(ISBLANK(C690),ISBLANK(B690)),"",VLOOKUP(C690,Deflatores!G$4:H$38,2,FALSE)*H690+VLOOKUP(C690,Deflatores!G$4:I$38,3,FALSE)))</f>
        <v/>
      </c>
      <c r="M690" s="106"/>
      <c r="N690" s="106"/>
      <c r="O690" s="124"/>
    </row>
    <row r="691" spans="1:15" x14ac:dyDescent="0.25">
      <c r="A691" s="143" t="s">
        <v>591</v>
      </c>
      <c r="B691" s="113"/>
      <c r="C691" s="113"/>
      <c r="D691" s="4"/>
      <c r="E691" s="4"/>
      <c r="F691" s="105" t="str">
        <f>IF(ISBLANK(B691),"",IF(I691="L","Baixa",IF(I691="A","Média",IF(I691="","","Alta"))))</f>
        <v/>
      </c>
      <c r="G691" s="4" t="str">
        <f>CONCATENATE(B691,I691)</f>
        <v/>
      </c>
      <c r="H691" s="4" t="str">
        <f>IF(ISBLANK(B691),"",IF(B691="ALI",IF(I691="L",7,IF(I691="A",10,15)),IF(B691="AIE",IF(I691="L",5,IF(I691="A",7,10)),IF(B691="SE",IF(I691="L",4,IF(I691="A",5,7)),IF(OR(B691="EE",B691="CE"),IF(I691="L",3,IF(I691="A",4,6)),0)))))</f>
        <v/>
      </c>
      <c r="I691" s="105" t="str">
        <f>IF(OR(ISBLANK(D691),ISBLANK(E691)),IF(OR(B691="ALI",B691="AIE"),"L",IF(OR(B691="EE",B691="SE",B691="CE"),"A","")),IF(B691="EE",IF(E691&gt;=3,IF(D691&gt;=5,"H","A"),IF(E691&gt;=2,IF(D691&gt;=16,"H",IF(D691&lt;=4,"L","A")),IF(D691&lt;=15,"L","A"))),IF(OR(B691="SE",B691="CE"),IF(E691&gt;=4,IF(D691&gt;=6,"H","A"),IF(E691&gt;=2,IF(D691&gt;=20,"H",IF(D691&lt;=5,"L","A")),IF(D691&lt;=19,"L","A"))),IF(OR(B691="ALI",B691="AIE"),IF(E691&gt;=6,IF(D691&gt;=20,"H","A"),IF(E691&gt;=2,IF(D691&gt;=51,"H",IF(D691&lt;=19,"L","A")),IF(D691&lt;=50,"L","A"))),""))))</f>
        <v/>
      </c>
      <c r="J691" s="4" t="str">
        <f>CONCATENATE(B691,C691)</f>
        <v/>
      </c>
      <c r="K691" s="106" t="str">
        <f>IF(OR(H691="",H691=0),L691,H691)</f>
        <v/>
      </c>
      <c r="L691" s="106" t="str">
        <f>IF(NOT(ISERROR(VLOOKUP(B691,Deflatores!G$42:H$64,2,FALSE))),VLOOKUP(B691,Deflatores!G$42:H$64,2,FALSE),IF(OR(ISBLANK(C691),ISBLANK(B691)),"",VLOOKUP(C691,Deflatores!G$4:H$38,2,FALSE)*H691+VLOOKUP(C691,Deflatores!G$4:I$38,3,FALSE)))</f>
        <v/>
      </c>
      <c r="M691" s="6"/>
      <c r="N691" s="6"/>
      <c r="O691" s="144"/>
    </row>
    <row r="692" spans="1:15" x14ac:dyDescent="0.25">
      <c r="A692" s="145" t="s">
        <v>592</v>
      </c>
      <c r="B692" s="113" t="s">
        <v>113</v>
      </c>
      <c r="C692" s="113" t="s">
        <v>45</v>
      </c>
      <c r="D692" s="4">
        <v>30</v>
      </c>
      <c r="E692" s="4">
        <v>3</v>
      </c>
      <c r="F692" s="105" t="str">
        <f t="shared" ref="F692:F715" si="118">IF(ISBLANK(B692),"",IF(I692="L","Baixa",IF(I692="A","Média",IF(I692="","","Alta"))))</f>
        <v>Alta</v>
      </c>
      <c r="G692" s="4" t="str">
        <f t="shared" ref="G692:G715" si="119">CONCATENATE(B692,I692)</f>
        <v>SEH</v>
      </c>
      <c r="H692" s="4">
        <f t="shared" ref="H692:H715" si="120">IF(ISBLANK(B692),"",IF(B692="ALI",IF(I692="L",7,IF(I692="A",10,15)),IF(B692="AIE",IF(I692="L",5,IF(I692="A",7,10)),IF(B692="SE",IF(I692="L",4,IF(I692="A",5,7)),IF(OR(B692="EE",B692="CE"),IF(I692="L",3,IF(I692="A",4,6)),0)))))</f>
        <v>7</v>
      </c>
      <c r="I692" s="105" t="str">
        <f t="shared" ref="I692:I715" si="121">IF(OR(ISBLANK(D692),ISBLANK(E692)),IF(OR(B692="ALI",B692="AIE"),"L",IF(OR(B692="EE",B692="SE",B692="CE"),"A","")),IF(B692="EE",IF(E692&gt;=3,IF(D692&gt;=5,"H","A"),IF(E692&gt;=2,IF(D692&gt;=16,"H",IF(D692&lt;=4,"L","A")),IF(D692&lt;=15,"L","A"))),IF(OR(B692="SE",B692="CE"),IF(E692&gt;=4,IF(D692&gt;=6,"H","A"),IF(E692&gt;=2,IF(D692&gt;=20,"H",IF(D692&lt;=5,"L","A")),IF(D692&lt;=19,"L","A"))),IF(OR(B692="ALI",B692="AIE"),IF(E692&gt;=6,IF(D692&gt;=20,"H","A"),IF(E692&gt;=2,IF(D692&gt;=51,"H",IF(D692&lt;=19,"L","A")),IF(D692&lt;=50,"L","A"))),""))))</f>
        <v>H</v>
      </c>
      <c r="J692" s="4" t="str">
        <f t="shared" ref="J692:J715" si="122">CONCATENATE(B692,C692)</f>
        <v>SEI</v>
      </c>
      <c r="K692" s="106">
        <f t="shared" ref="K692:K715" si="123">IF(OR(H692="",H692=0),L692,H692)</f>
        <v>7</v>
      </c>
      <c r="L692" s="106">
        <f>IF(NOT(ISERROR(VLOOKUP(B692,Deflatores!G$42:H$64,2,FALSE))),VLOOKUP(B692,Deflatores!G$42:H$64,2,FALSE),IF(OR(ISBLANK(C692),ISBLANK(B692)),"",VLOOKUP(C692,Deflatores!G$4:H$38,2,FALSE)*H692+VLOOKUP(C692,Deflatores!G$4:I$38,3,FALSE)))</f>
        <v>7</v>
      </c>
      <c r="M692" s="6"/>
      <c r="N692" s="6"/>
      <c r="O692" s="144"/>
    </row>
    <row r="693" spans="1:15" x14ac:dyDescent="0.25">
      <c r="A693" s="145" t="s">
        <v>593</v>
      </c>
      <c r="B693" s="113" t="s">
        <v>113</v>
      </c>
      <c r="C693" s="113" t="s">
        <v>45</v>
      </c>
      <c r="D693" s="4">
        <v>30</v>
      </c>
      <c r="E693" s="4">
        <v>3</v>
      </c>
      <c r="F693" s="105" t="str">
        <f t="shared" si="118"/>
        <v>Alta</v>
      </c>
      <c r="G693" s="4" t="str">
        <f t="shared" si="119"/>
        <v>SEH</v>
      </c>
      <c r="H693" s="4">
        <f t="shared" si="120"/>
        <v>7</v>
      </c>
      <c r="I693" s="105" t="str">
        <f t="shared" si="121"/>
        <v>H</v>
      </c>
      <c r="J693" s="4" t="str">
        <f t="shared" si="122"/>
        <v>SEI</v>
      </c>
      <c r="K693" s="106">
        <f t="shared" si="123"/>
        <v>7</v>
      </c>
      <c r="L693" s="106">
        <f>IF(NOT(ISERROR(VLOOKUP(B693,Deflatores!G$42:H$64,2,FALSE))),VLOOKUP(B693,Deflatores!G$42:H$64,2,FALSE),IF(OR(ISBLANK(C693),ISBLANK(B693)),"",VLOOKUP(C693,Deflatores!G$4:H$38,2,FALSE)*H693+VLOOKUP(C693,Deflatores!G$4:I$38,3,FALSE)))</f>
        <v>7</v>
      </c>
      <c r="M693" s="6"/>
      <c r="N693" s="6"/>
      <c r="O693" s="144" t="s">
        <v>594</v>
      </c>
    </row>
    <row r="694" spans="1:15" x14ac:dyDescent="0.25">
      <c r="A694" s="145" t="s">
        <v>595</v>
      </c>
      <c r="B694" s="113" t="s">
        <v>113</v>
      </c>
      <c r="C694" s="113" t="s">
        <v>45</v>
      </c>
      <c r="D694" s="4">
        <v>30</v>
      </c>
      <c r="E694" s="4">
        <v>3</v>
      </c>
      <c r="F694" s="105" t="str">
        <f t="shared" si="118"/>
        <v>Alta</v>
      </c>
      <c r="G694" s="4" t="str">
        <f t="shared" si="119"/>
        <v>SEH</v>
      </c>
      <c r="H694" s="4">
        <f t="shared" si="120"/>
        <v>7</v>
      </c>
      <c r="I694" s="105" t="str">
        <f t="shared" si="121"/>
        <v>H</v>
      </c>
      <c r="J694" s="4" t="str">
        <f t="shared" si="122"/>
        <v>SEI</v>
      </c>
      <c r="K694" s="106">
        <f t="shared" si="123"/>
        <v>7</v>
      </c>
      <c r="L694" s="106">
        <f>IF(NOT(ISERROR(VLOOKUP(B694,Deflatores!G$42:H$64,2,FALSE))),VLOOKUP(B694,Deflatores!G$42:H$64,2,FALSE),IF(OR(ISBLANK(C694),ISBLANK(B694)),"",VLOOKUP(C694,Deflatores!G$4:H$38,2,FALSE)*H694+VLOOKUP(C694,Deflatores!G$4:I$38,3,FALSE)))</f>
        <v>7</v>
      </c>
      <c r="M694" s="6"/>
      <c r="N694" s="6"/>
      <c r="O694" s="144" t="s">
        <v>594</v>
      </c>
    </row>
    <row r="695" spans="1:15" x14ac:dyDescent="0.25">
      <c r="A695" s="145"/>
      <c r="B695" s="113"/>
      <c r="C695" s="113"/>
      <c r="D695" s="4"/>
      <c r="E695" s="4"/>
      <c r="F695" s="105" t="str">
        <f t="shared" ref="F695:F702" si="124">IF(ISBLANK(B695),"",IF(I695="L","Baixa",IF(I695="A","Média",IF(I695="","","Alta"))))</f>
        <v/>
      </c>
      <c r="G695" s="4" t="str">
        <f t="shared" ref="G695:G702" si="125">CONCATENATE(B695,I695)</f>
        <v/>
      </c>
      <c r="H695" s="4" t="str">
        <f t="shared" ref="H695:H702" si="126">IF(ISBLANK(B695),"",IF(B695="ALI",IF(I695="L",7,IF(I695="A",10,15)),IF(B695="AIE",IF(I695="L",5,IF(I695="A",7,10)),IF(B695="SE",IF(I695="L",4,IF(I695="A",5,7)),IF(OR(B695="EE",B695="CE"),IF(I695="L",3,IF(I695="A",4,6)),0)))))</f>
        <v/>
      </c>
      <c r="I695" s="105" t="str">
        <f t="shared" ref="I695:I702" si="127">IF(OR(ISBLANK(D695),ISBLANK(E695)),IF(OR(B695="ALI",B695="AIE"),"L",IF(OR(B695="EE",B695="SE",B695="CE"),"A","")),IF(B695="EE",IF(E695&gt;=3,IF(D695&gt;=5,"H","A"),IF(E695&gt;=2,IF(D695&gt;=16,"H",IF(D695&lt;=4,"L","A")),IF(D695&lt;=15,"L","A"))),IF(OR(B695="SE",B695="CE"),IF(E695&gt;=4,IF(D695&gt;=6,"H","A"),IF(E695&gt;=2,IF(D695&gt;=20,"H",IF(D695&lt;=5,"L","A")),IF(D695&lt;=19,"L","A"))),IF(OR(B695="ALI",B695="AIE"),IF(E695&gt;=6,IF(D695&gt;=20,"H","A"),IF(E695&gt;=2,IF(D695&gt;=51,"H",IF(D695&lt;=19,"L","A")),IF(D695&lt;=50,"L","A"))),""))))</f>
        <v/>
      </c>
      <c r="J695" s="4" t="str">
        <f t="shared" ref="J695:J702" si="128">CONCATENATE(B695,C695)</f>
        <v/>
      </c>
      <c r="K695" s="106" t="str">
        <f t="shared" ref="K695:K702" si="129">IF(OR(H695="",H695=0),L695,H695)</f>
        <v/>
      </c>
      <c r="L695" s="106" t="str">
        <f>IF(NOT(ISERROR(VLOOKUP(B695,Deflatores!G$42:H$64,2,FALSE))),VLOOKUP(B695,Deflatores!G$42:H$64,2,FALSE),IF(OR(ISBLANK(C695),ISBLANK(B695)),"",VLOOKUP(C695,Deflatores!G$4:H$38,2,FALSE)*H695+VLOOKUP(C695,Deflatores!G$4:I$38,3,FALSE)))</f>
        <v/>
      </c>
      <c r="M695" s="6"/>
      <c r="N695" s="6"/>
      <c r="O695" s="144"/>
    </row>
    <row r="696" spans="1:15" x14ac:dyDescent="0.25">
      <c r="A696" s="143" t="s">
        <v>596</v>
      </c>
      <c r="B696" s="113"/>
      <c r="C696" s="113"/>
      <c r="D696" s="4"/>
      <c r="E696" s="4"/>
      <c r="F696" s="105" t="str">
        <f t="shared" si="124"/>
        <v/>
      </c>
      <c r="G696" s="4" t="str">
        <f t="shared" si="125"/>
        <v/>
      </c>
      <c r="H696" s="4" t="str">
        <f t="shared" si="126"/>
        <v/>
      </c>
      <c r="I696" s="105" t="str">
        <f t="shared" si="127"/>
        <v/>
      </c>
      <c r="J696" s="4" t="str">
        <f t="shared" si="128"/>
        <v/>
      </c>
      <c r="K696" s="106" t="str">
        <f t="shared" si="129"/>
        <v/>
      </c>
      <c r="L696" s="106" t="str">
        <f>IF(NOT(ISERROR(VLOOKUP(B696,Deflatores!G$42:H$64,2,FALSE))),VLOOKUP(B696,Deflatores!G$42:H$64,2,FALSE),IF(OR(ISBLANK(C696),ISBLANK(B696)),"",VLOOKUP(C696,Deflatores!G$4:H$38,2,FALSE)*H696+VLOOKUP(C696,Deflatores!G$4:I$38,3,FALSE)))</f>
        <v/>
      </c>
      <c r="M696" s="6"/>
      <c r="N696" s="6"/>
      <c r="O696" s="144"/>
    </row>
    <row r="697" spans="1:15" x14ac:dyDescent="0.25">
      <c r="A697" s="145" t="s">
        <v>597</v>
      </c>
      <c r="B697" s="113" t="s">
        <v>50</v>
      </c>
      <c r="C697" s="113" t="s">
        <v>45</v>
      </c>
      <c r="D697" s="4">
        <v>12</v>
      </c>
      <c r="E697" s="4">
        <v>6</v>
      </c>
      <c r="F697" s="105" t="str">
        <f t="shared" si="124"/>
        <v>Alta</v>
      </c>
      <c r="G697" s="4" t="str">
        <f t="shared" si="125"/>
        <v>CEH</v>
      </c>
      <c r="H697" s="4">
        <f t="shared" si="126"/>
        <v>6</v>
      </c>
      <c r="I697" s="105" t="str">
        <f t="shared" si="127"/>
        <v>H</v>
      </c>
      <c r="J697" s="4" t="str">
        <f t="shared" si="128"/>
        <v>CEI</v>
      </c>
      <c r="K697" s="106">
        <f t="shared" si="129"/>
        <v>6</v>
      </c>
      <c r="L697" s="106">
        <f>IF(NOT(ISERROR(VLOOKUP(B697,Deflatores!G$42:H$64,2,FALSE))),VLOOKUP(B697,Deflatores!G$42:H$64,2,FALSE),IF(OR(ISBLANK(C697),ISBLANK(B697)),"",VLOOKUP(C697,Deflatores!G$4:H$38,2,FALSE)*H697+VLOOKUP(C697,Deflatores!G$4:I$38,3,FALSE)))</f>
        <v>6</v>
      </c>
      <c r="M697" s="6"/>
      <c r="N697" s="6"/>
      <c r="O697" s="144"/>
    </row>
    <row r="698" spans="1:15" x14ac:dyDescent="0.25">
      <c r="A698" s="146" t="s">
        <v>598</v>
      </c>
      <c r="B698" s="113" t="s">
        <v>50</v>
      </c>
      <c r="C698" s="113" t="s">
        <v>45</v>
      </c>
      <c r="D698" s="4">
        <v>3</v>
      </c>
      <c r="E698" s="4">
        <v>2</v>
      </c>
      <c r="F698" s="105" t="str">
        <f t="shared" si="124"/>
        <v>Baixa</v>
      </c>
      <c r="G698" s="4" t="str">
        <f t="shared" si="125"/>
        <v>CEL</v>
      </c>
      <c r="H698" s="4">
        <f t="shared" si="126"/>
        <v>3</v>
      </c>
      <c r="I698" s="105" t="str">
        <f t="shared" si="127"/>
        <v>L</v>
      </c>
      <c r="J698" s="4" t="str">
        <f t="shared" si="128"/>
        <v>CEI</v>
      </c>
      <c r="K698" s="106">
        <f t="shared" si="129"/>
        <v>3</v>
      </c>
      <c r="L698" s="106">
        <f>IF(NOT(ISERROR(VLOOKUP(B698,Deflatores!G$42:H$64,2,FALSE))),VLOOKUP(B698,Deflatores!G$42:H$64,2,FALSE),IF(OR(ISBLANK(C698),ISBLANK(B698)),"",VLOOKUP(C698,Deflatores!G$4:H$38,2,FALSE)*H698+VLOOKUP(C698,Deflatores!G$4:I$38,3,FALSE)))</f>
        <v>3</v>
      </c>
      <c r="M698" s="6"/>
      <c r="N698" s="6"/>
      <c r="O698" s="144"/>
    </row>
    <row r="699" spans="1:15" x14ac:dyDescent="0.25">
      <c r="A699" s="146" t="s">
        <v>599</v>
      </c>
      <c r="B699" s="113" t="s">
        <v>50</v>
      </c>
      <c r="C699" s="113" t="s">
        <v>45</v>
      </c>
      <c r="D699" s="4">
        <v>3</v>
      </c>
      <c r="E699" s="4">
        <v>1</v>
      </c>
      <c r="F699" s="105" t="str">
        <f t="shared" si="124"/>
        <v>Baixa</v>
      </c>
      <c r="G699" s="4" t="str">
        <f t="shared" si="125"/>
        <v>CEL</v>
      </c>
      <c r="H699" s="4">
        <f t="shared" si="126"/>
        <v>3</v>
      </c>
      <c r="I699" s="105" t="str">
        <f t="shared" si="127"/>
        <v>L</v>
      </c>
      <c r="J699" s="4" t="str">
        <f t="shared" si="128"/>
        <v>CEI</v>
      </c>
      <c r="K699" s="106">
        <f t="shared" si="129"/>
        <v>3</v>
      </c>
      <c r="L699" s="106">
        <f>IF(NOT(ISERROR(VLOOKUP(B699,Deflatores!G$42:H$64,2,FALSE))),VLOOKUP(B699,Deflatores!G$42:H$64,2,FALSE),IF(OR(ISBLANK(C699),ISBLANK(B699)),"",VLOOKUP(C699,Deflatores!G$4:H$38,2,FALSE)*H699+VLOOKUP(C699,Deflatores!G$4:I$38,3,FALSE)))</f>
        <v>3</v>
      </c>
      <c r="M699" s="6"/>
      <c r="N699" s="6"/>
      <c r="O699" s="144"/>
    </row>
    <row r="700" spans="1:15" x14ac:dyDescent="0.25">
      <c r="A700" s="146" t="s">
        <v>600</v>
      </c>
      <c r="B700" s="113" t="s">
        <v>50</v>
      </c>
      <c r="C700" s="113" t="s">
        <v>45</v>
      </c>
      <c r="D700" s="4">
        <v>3</v>
      </c>
      <c r="E700" s="4">
        <v>1</v>
      </c>
      <c r="F700" s="105" t="str">
        <f t="shared" si="124"/>
        <v>Baixa</v>
      </c>
      <c r="G700" s="4" t="str">
        <f t="shared" si="125"/>
        <v>CEL</v>
      </c>
      <c r="H700" s="4">
        <f t="shared" si="126"/>
        <v>3</v>
      </c>
      <c r="I700" s="105" t="str">
        <f t="shared" si="127"/>
        <v>L</v>
      </c>
      <c r="J700" s="4" t="str">
        <f t="shared" si="128"/>
        <v>CEI</v>
      </c>
      <c r="K700" s="106">
        <f t="shared" si="129"/>
        <v>3</v>
      </c>
      <c r="L700" s="106">
        <f>IF(NOT(ISERROR(VLOOKUP(B700,Deflatores!G$42:H$64,2,FALSE))),VLOOKUP(B700,Deflatores!G$42:H$64,2,FALSE),IF(OR(ISBLANK(C700),ISBLANK(B700)),"",VLOOKUP(C700,Deflatores!G$4:H$38,2,FALSE)*H700+VLOOKUP(C700,Deflatores!G$4:I$38,3,FALSE)))</f>
        <v>3</v>
      </c>
      <c r="M700" s="6"/>
      <c r="N700" s="6"/>
      <c r="O700" s="144"/>
    </row>
    <row r="701" spans="1:15" x14ac:dyDescent="0.25">
      <c r="A701" s="145" t="s">
        <v>601</v>
      </c>
      <c r="B701" s="113" t="s">
        <v>50</v>
      </c>
      <c r="C701" s="113" t="s">
        <v>45</v>
      </c>
      <c r="D701" s="4">
        <v>15</v>
      </c>
      <c r="E701" s="4">
        <v>5</v>
      </c>
      <c r="F701" s="105" t="str">
        <f t="shared" si="124"/>
        <v>Alta</v>
      </c>
      <c r="G701" s="4" t="str">
        <f t="shared" si="125"/>
        <v>CEH</v>
      </c>
      <c r="H701" s="4">
        <f t="shared" si="126"/>
        <v>6</v>
      </c>
      <c r="I701" s="105" t="str">
        <f t="shared" si="127"/>
        <v>H</v>
      </c>
      <c r="J701" s="4" t="str">
        <f t="shared" si="128"/>
        <v>CEI</v>
      </c>
      <c r="K701" s="106">
        <f t="shared" si="129"/>
        <v>6</v>
      </c>
      <c r="L701" s="106">
        <f>IF(NOT(ISERROR(VLOOKUP(B701,Deflatores!G$42:H$64,2,FALSE))),VLOOKUP(B701,Deflatores!G$42:H$64,2,FALSE),IF(OR(ISBLANK(C701),ISBLANK(B701)),"",VLOOKUP(C701,Deflatores!G$4:H$38,2,FALSE)*H701+VLOOKUP(C701,Deflatores!G$4:I$38,3,FALSE)))</f>
        <v>6</v>
      </c>
      <c r="M701" s="6"/>
      <c r="N701" s="6"/>
      <c r="O701" s="144"/>
    </row>
    <row r="702" spans="1:15" x14ac:dyDescent="0.25">
      <c r="A702" s="145"/>
      <c r="B702" s="113"/>
      <c r="C702" s="113"/>
      <c r="D702" s="4"/>
      <c r="E702" s="4"/>
      <c r="F702" s="105" t="str">
        <f t="shared" si="124"/>
        <v/>
      </c>
      <c r="G702" s="4" t="str">
        <f t="shared" si="125"/>
        <v/>
      </c>
      <c r="H702" s="4" t="str">
        <f t="shared" si="126"/>
        <v/>
      </c>
      <c r="I702" s="105" t="str">
        <f t="shared" si="127"/>
        <v/>
      </c>
      <c r="J702" s="4" t="str">
        <f t="shared" si="128"/>
        <v/>
      </c>
      <c r="K702" s="106" t="str">
        <f t="shared" si="129"/>
        <v/>
      </c>
      <c r="L702" s="106" t="str">
        <f>IF(NOT(ISERROR(VLOOKUP(B702,Deflatores!G$42:H$64,2,FALSE))),VLOOKUP(B702,Deflatores!G$42:H$64,2,FALSE),IF(OR(ISBLANK(C702),ISBLANK(B702)),"",VLOOKUP(C702,Deflatores!G$4:H$38,2,FALSE)*H702+VLOOKUP(C702,Deflatores!G$4:I$38,3,FALSE)))</f>
        <v/>
      </c>
      <c r="M702" s="6"/>
      <c r="N702" s="6"/>
      <c r="O702" s="144"/>
    </row>
    <row r="703" spans="1:15" x14ac:dyDescent="0.25">
      <c r="A703" s="143" t="s">
        <v>602</v>
      </c>
      <c r="B703" s="113"/>
      <c r="C703" s="113"/>
      <c r="D703" s="4"/>
      <c r="E703" s="4"/>
      <c r="F703" s="105" t="str">
        <f t="shared" si="118"/>
        <v/>
      </c>
      <c r="G703" s="4" t="str">
        <f t="shared" si="119"/>
        <v/>
      </c>
      <c r="H703" s="4" t="str">
        <f t="shared" si="120"/>
        <v/>
      </c>
      <c r="I703" s="105" t="str">
        <f t="shared" si="121"/>
        <v/>
      </c>
      <c r="J703" s="4" t="str">
        <f t="shared" si="122"/>
        <v/>
      </c>
      <c r="K703" s="106" t="str">
        <f t="shared" si="123"/>
        <v/>
      </c>
      <c r="L703" s="106" t="str">
        <f>IF(NOT(ISERROR(VLOOKUP(B703,Deflatores!G$42:H$64,2,FALSE))),VLOOKUP(B703,Deflatores!G$42:H$64,2,FALSE),IF(OR(ISBLANK(C703),ISBLANK(B703)),"",VLOOKUP(C703,Deflatores!G$4:H$38,2,FALSE)*H703+VLOOKUP(C703,Deflatores!G$4:I$38,3,FALSE)))</f>
        <v/>
      </c>
      <c r="M703" s="6"/>
      <c r="N703" s="6"/>
      <c r="O703" s="144"/>
    </row>
    <row r="704" spans="1:15" x14ac:dyDescent="0.25">
      <c r="A704" s="145" t="s">
        <v>603</v>
      </c>
      <c r="B704" s="113" t="s">
        <v>44</v>
      </c>
      <c r="C704" s="113" t="s">
        <v>45</v>
      </c>
      <c r="D704" s="4">
        <v>18</v>
      </c>
      <c r="E704" s="4">
        <v>3</v>
      </c>
      <c r="F704" s="105" t="str">
        <f t="shared" si="118"/>
        <v>Baixa</v>
      </c>
      <c r="G704" s="4" t="str">
        <f t="shared" si="119"/>
        <v>ALIL</v>
      </c>
      <c r="H704" s="4">
        <f t="shared" si="120"/>
        <v>7</v>
      </c>
      <c r="I704" s="105" t="str">
        <f t="shared" si="121"/>
        <v>L</v>
      </c>
      <c r="J704" s="4" t="str">
        <f t="shared" si="122"/>
        <v>ALII</v>
      </c>
      <c r="K704" s="106">
        <f t="shared" si="123"/>
        <v>7</v>
      </c>
      <c r="L704" s="106">
        <f>IF(NOT(ISERROR(VLOOKUP(B704,Deflatores!G$42:H$64,2,FALSE))),VLOOKUP(B704,Deflatores!G$42:H$64,2,FALSE),IF(OR(ISBLANK(C704),ISBLANK(B704)),"",VLOOKUP(C704,Deflatores!G$4:H$38,2,FALSE)*H704+VLOOKUP(C704,Deflatores!G$4:I$38,3,FALSE)))</f>
        <v>7</v>
      </c>
      <c r="M704" s="6"/>
      <c r="N704" s="6"/>
      <c r="O704" s="144"/>
    </row>
    <row r="705" spans="1:15" x14ac:dyDescent="0.25">
      <c r="A705" s="145" t="s">
        <v>604</v>
      </c>
      <c r="B705" s="113" t="s">
        <v>48</v>
      </c>
      <c r="C705" s="113" t="s">
        <v>45</v>
      </c>
      <c r="D705" s="4">
        <v>14</v>
      </c>
      <c r="E705" s="4">
        <v>5</v>
      </c>
      <c r="F705" s="105" t="str">
        <f t="shared" si="118"/>
        <v>Alta</v>
      </c>
      <c r="G705" s="4" t="str">
        <f t="shared" si="119"/>
        <v>EEH</v>
      </c>
      <c r="H705" s="4">
        <f t="shared" si="120"/>
        <v>6</v>
      </c>
      <c r="I705" s="105" t="str">
        <f t="shared" si="121"/>
        <v>H</v>
      </c>
      <c r="J705" s="4" t="str">
        <f t="shared" si="122"/>
        <v>EEI</v>
      </c>
      <c r="K705" s="106">
        <f t="shared" si="123"/>
        <v>6</v>
      </c>
      <c r="L705" s="106">
        <f>IF(NOT(ISERROR(VLOOKUP(B705,Deflatores!G$42:H$64,2,FALSE))),VLOOKUP(B705,Deflatores!G$42:H$64,2,FALSE),IF(OR(ISBLANK(C705),ISBLANK(B705)),"",VLOOKUP(C705,Deflatores!G$4:H$38,2,FALSE)*H705+VLOOKUP(C705,Deflatores!G$4:I$38,3,FALSE)))</f>
        <v>6</v>
      </c>
      <c r="M705" s="6"/>
      <c r="N705" s="6"/>
      <c r="O705" s="144"/>
    </row>
    <row r="706" spans="1:15" x14ac:dyDescent="0.25">
      <c r="A706" s="146" t="s">
        <v>605</v>
      </c>
      <c r="B706" s="113" t="s">
        <v>50</v>
      </c>
      <c r="C706" s="113" t="s">
        <v>45</v>
      </c>
      <c r="D706" s="4">
        <v>3</v>
      </c>
      <c r="E706" s="4">
        <v>1</v>
      </c>
      <c r="F706" s="105" t="str">
        <f t="shared" si="118"/>
        <v>Baixa</v>
      </c>
      <c r="G706" s="4" t="str">
        <f t="shared" si="119"/>
        <v>CEL</v>
      </c>
      <c r="H706" s="4">
        <f t="shared" si="120"/>
        <v>3</v>
      </c>
      <c r="I706" s="105" t="str">
        <f t="shared" si="121"/>
        <v>L</v>
      </c>
      <c r="J706" s="4" t="str">
        <f t="shared" si="122"/>
        <v>CEI</v>
      </c>
      <c r="K706" s="106">
        <f t="shared" si="123"/>
        <v>3</v>
      </c>
      <c r="L706" s="106">
        <f>IF(NOT(ISERROR(VLOOKUP(B706,Deflatores!G$42:H$64,2,FALSE))),VLOOKUP(B706,Deflatores!G$42:H$64,2,FALSE),IF(OR(ISBLANK(C706),ISBLANK(B706)),"",VLOOKUP(C706,Deflatores!G$4:H$38,2,FALSE)*H706+VLOOKUP(C706,Deflatores!G$4:I$38,3,FALSE)))</f>
        <v>3</v>
      </c>
      <c r="M706" s="6"/>
      <c r="N706" s="6"/>
      <c r="O706" s="144"/>
    </row>
    <row r="707" spans="1:15" x14ac:dyDescent="0.25">
      <c r="A707" s="145" t="s">
        <v>606</v>
      </c>
      <c r="B707" s="113" t="s">
        <v>113</v>
      </c>
      <c r="C707" s="113" t="s">
        <v>45</v>
      </c>
      <c r="D707" s="4">
        <v>5</v>
      </c>
      <c r="E707" s="4">
        <v>1</v>
      </c>
      <c r="F707" s="105" t="str">
        <f t="shared" si="118"/>
        <v>Baixa</v>
      </c>
      <c r="G707" s="4" t="str">
        <f t="shared" si="119"/>
        <v>SEL</v>
      </c>
      <c r="H707" s="4">
        <f t="shared" si="120"/>
        <v>4</v>
      </c>
      <c r="I707" s="105" t="str">
        <f t="shared" si="121"/>
        <v>L</v>
      </c>
      <c r="J707" s="4" t="str">
        <f t="shared" si="122"/>
        <v>SEI</v>
      </c>
      <c r="K707" s="106">
        <f t="shared" si="123"/>
        <v>4</v>
      </c>
      <c r="L707" s="106">
        <f>IF(NOT(ISERROR(VLOOKUP(B707,Deflatores!G$42:H$64,2,FALSE))),VLOOKUP(B707,Deflatores!G$42:H$64,2,FALSE),IF(OR(ISBLANK(C707),ISBLANK(B707)),"",VLOOKUP(C707,Deflatores!G$4:H$38,2,FALSE)*H707+VLOOKUP(C707,Deflatores!G$4:I$38,3,FALSE)))</f>
        <v>4</v>
      </c>
      <c r="M707" s="6"/>
      <c r="N707" s="6"/>
      <c r="O707" s="144" t="s">
        <v>607</v>
      </c>
    </row>
    <row r="708" spans="1:15" x14ac:dyDescent="0.25">
      <c r="A708" s="145"/>
      <c r="B708" s="113"/>
      <c r="C708" s="113"/>
      <c r="D708" s="4"/>
      <c r="E708" s="4"/>
      <c r="F708" s="105" t="str">
        <f t="shared" si="118"/>
        <v/>
      </c>
      <c r="G708" s="4" t="str">
        <f t="shared" si="119"/>
        <v/>
      </c>
      <c r="H708" s="4" t="str">
        <f t="shared" si="120"/>
        <v/>
      </c>
      <c r="I708" s="105" t="str">
        <f t="shared" si="121"/>
        <v/>
      </c>
      <c r="J708" s="4" t="str">
        <f t="shared" si="122"/>
        <v/>
      </c>
      <c r="K708" s="106" t="str">
        <f t="shared" si="123"/>
        <v/>
      </c>
      <c r="L708" s="106" t="str">
        <f>IF(NOT(ISERROR(VLOOKUP(B708,Deflatores!G$42:H$64,2,FALSE))),VLOOKUP(B708,Deflatores!G$42:H$64,2,FALSE),IF(OR(ISBLANK(C708),ISBLANK(B708)),"",VLOOKUP(C708,Deflatores!G$4:H$38,2,FALSE)*H708+VLOOKUP(C708,Deflatores!G$4:I$38,3,FALSE)))</f>
        <v/>
      </c>
      <c r="M708" s="6"/>
      <c r="N708" s="6"/>
      <c r="O708" s="144"/>
    </row>
    <row r="709" spans="1:15" x14ac:dyDescent="0.25">
      <c r="A709" s="143" t="s">
        <v>608</v>
      </c>
      <c r="B709" s="113"/>
      <c r="C709" s="113"/>
      <c r="D709" s="4"/>
      <c r="E709" s="4"/>
      <c r="F709" s="105" t="str">
        <f t="shared" si="118"/>
        <v/>
      </c>
      <c r="G709" s="4" t="str">
        <f t="shared" si="119"/>
        <v/>
      </c>
      <c r="H709" s="4" t="str">
        <f t="shared" si="120"/>
        <v/>
      </c>
      <c r="I709" s="105" t="str">
        <f t="shared" si="121"/>
        <v/>
      </c>
      <c r="J709" s="4" t="str">
        <f t="shared" si="122"/>
        <v/>
      </c>
      <c r="K709" s="106" t="str">
        <f t="shared" si="123"/>
        <v/>
      </c>
      <c r="L709" s="106" t="str">
        <f>IF(NOT(ISERROR(VLOOKUP(B709,Deflatores!G$42:H$64,2,FALSE))),VLOOKUP(B709,Deflatores!G$42:H$64,2,FALSE),IF(OR(ISBLANK(C709),ISBLANK(B709)),"",VLOOKUP(C709,Deflatores!G$4:H$38,2,FALSE)*H709+VLOOKUP(C709,Deflatores!G$4:I$38,3,FALSE)))</f>
        <v/>
      </c>
      <c r="M709" s="6"/>
      <c r="N709" s="6"/>
      <c r="O709" s="144"/>
    </row>
    <row r="710" spans="1:15" x14ac:dyDescent="0.25">
      <c r="A710" s="145" t="s">
        <v>609</v>
      </c>
      <c r="B710" s="113" t="s">
        <v>48</v>
      </c>
      <c r="C710" s="113" t="s">
        <v>45</v>
      </c>
      <c r="D710" s="4">
        <v>14</v>
      </c>
      <c r="E710" s="4">
        <v>5</v>
      </c>
      <c r="F710" s="105" t="str">
        <f t="shared" si="118"/>
        <v>Alta</v>
      </c>
      <c r="G710" s="4" t="str">
        <f t="shared" si="119"/>
        <v>EEH</v>
      </c>
      <c r="H710" s="4">
        <f t="shared" si="120"/>
        <v>6</v>
      </c>
      <c r="I710" s="105" t="str">
        <f t="shared" si="121"/>
        <v>H</v>
      </c>
      <c r="J710" s="4" t="str">
        <f t="shared" si="122"/>
        <v>EEI</v>
      </c>
      <c r="K710" s="106">
        <f t="shared" si="123"/>
        <v>6</v>
      </c>
      <c r="L710" s="106">
        <f>IF(NOT(ISERROR(VLOOKUP(B710,Deflatores!G$42:H$64,2,FALSE))),VLOOKUP(B710,Deflatores!G$42:H$64,2,FALSE),IF(OR(ISBLANK(C710),ISBLANK(B710)),"",VLOOKUP(C710,Deflatores!G$4:H$38,2,FALSE)*H710+VLOOKUP(C710,Deflatores!G$4:I$38,3,FALSE)))</f>
        <v>6</v>
      </c>
      <c r="M710" s="6"/>
      <c r="N710" s="6"/>
      <c r="O710" s="144"/>
    </row>
    <row r="711" spans="1:15" x14ac:dyDescent="0.25">
      <c r="A711" s="146" t="s">
        <v>610</v>
      </c>
      <c r="B711" s="113" t="s">
        <v>50</v>
      </c>
      <c r="C711" s="113" t="s">
        <v>45</v>
      </c>
      <c r="D711" s="4">
        <v>14</v>
      </c>
      <c r="E711" s="4">
        <v>5</v>
      </c>
      <c r="F711" s="105" t="str">
        <f t="shared" si="118"/>
        <v>Alta</v>
      </c>
      <c r="G711" s="4" t="str">
        <f t="shared" si="119"/>
        <v>CEH</v>
      </c>
      <c r="H711" s="4">
        <f t="shared" si="120"/>
        <v>6</v>
      </c>
      <c r="I711" s="105" t="str">
        <f t="shared" si="121"/>
        <v>H</v>
      </c>
      <c r="J711" s="4" t="str">
        <f t="shared" si="122"/>
        <v>CEI</v>
      </c>
      <c r="K711" s="106">
        <f t="shared" si="123"/>
        <v>6</v>
      </c>
      <c r="L711" s="106">
        <f>IF(NOT(ISERROR(VLOOKUP(B711,Deflatores!G$42:H$64,2,FALSE))),VLOOKUP(B711,Deflatores!G$42:H$64,2,FALSE),IF(OR(ISBLANK(C711),ISBLANK(B711)),"",VLOOKUP(C711,Deflatores!G$4:H$38,2,FALSE)*H711+VLOOKUP(C711,Deflatores!G$4:I$38,3,FALSE)))</f>
        <v>6</v>
      </c>
      <c r="M711" s="6"/>
      <c r="N711" s="6"/>
      <c r="O711" s="144"/>
    </row>
    <row r="712" spans="1:15" x14ac:dyDescent="0.25">
      <c r="A712" s="145"/>
      <c r="B712" s="113"/>
      <c r="C712" s="113"/>
      <c r="D712" s="4"/>
      <c r="E712" s="4"/>
      <c r="F712" s="105" t="str">
        <f t="shared" si="118"/>
        <v/>
      </c>
      <c r="G712" s="4" t="str">
        <f t="shared" si="119"/>
        <v/>
      </c>
      <c r="H712" s="4" t="str">
        <f t="shared" si="120"/>
        <v/>
      </c>
      <c r="I712" s="105" t="str">
        <f t="shared" si="121"/>
        <v/>
      </c>
      <c r="J712" s="4" t="str">
        <f t="shared" si="122"/>
        <v/>
      </c>
      <c r="K712" s="106" t="str">
        <f t="shared" si="123"/>
        <v/>
      </c>
      <c r="L712" s="106" t="str">
        <f>IF(NOT(ISERROR(VLOOKUP(B712,Deflatores!G$42:H$64,2,FALSE))),VLOOKUP(B712,Deflatores!G$42:H$64,2,FALSE),IF(OR(ISBLANK(C712),ISBLANK(B712)),"",VLOOKUP(C712,Deflatores!G$4:H$38,2,FALSE)*H712+VLOOKUP(C712,Deflatores!G$4:I$38,3,FALSE)))</f>
        <v/>
      </c>
      <c r="M712" s="6"/>
      <c r="N712" s="6"/>
      <c r="O712" s="144"/>
    </row>
    <row r="713" spans="1:15" x14ac:dyDescent="0.25">
      <c r="A713" s="143" t="s">
        <v>611</v>
      </c>
      <c r="B713" s="113"/>
      <c r="C713" s="113"/>
      <c r="D713" s="4"/>
      <c r="E713" s="4"/>
      <c r="F713" s="105" t="str">
        <f>IF(ISBLANK(B713),"",IF(I713="L","Baixa",IF(I713="A","Média",IF(I713="","","Alta"))))</f>
        <v/>
      </c>
      <c r="G713" s="4" t="str">
        <f>CONCATENATE(B713,I713)</f>
        <v/>
      </c>
      <c r="H713" s="4" t="str">
        <f>IF(ISBLANK(B713),"",IF(B713="ALI",IF(I713="L",7,IF(I713="A",10,15)),IF(B713="AIE",IF(I713="L",5,IF(I713="A",7,10)),IF(B713="SE",IF(I713="L",4,IF(I713="A",5,7)),IF(OR(B713="EE",B713="CE"),IF(I713="L",3,IF(I713="A",4,6)),0)))))</f>
        <v/>
      </c>
      <c r="I713" s="105" t="str">
        <f>IF(OR(ISBLANK(D713),ISBLANK(E713)),IF(OR(B713="ALI",B713="AIE"),"L",IF(OR(B713="EE",B713="SE",B713="CE"),"A","")),IF(B713="EE",IF(E713&gt;=3,IF(D713&gt;=5,"H","A"),IF(E713&gt;=2,IF(D713&gt;=16,"H",IF(D713&lt;=4,"L","A")),IF(D713&lt;=15,"L","A"))),IF(OR(B713="SE",B713="CE"),IF(E713&gt;=4,IF(D713&gt;=6,"H","A"),IF(E713&gt;=2,IF(D713&gt;=20,"H",IF(D713&lt;=5,"L","A")),IF(D713&lt;=19,"L","A"))),IF(OR(B713="ALI",B713="AIE"),IF(E713&gt;=6,IF(D713&gt;=20,"H","A"),IF(E713&gt;=2,IF(D713&gt;=51,"H",IF(D713&lt;=19,"L","A")),IF(D713&lt;=50,"L","A"))),""))))</f>
        <v/>
      </c>
      <c r="J713" s="4" t="str">
        <f>CONCATENATE(B713,C713)</f>
        <v/>
      </c>
      <c r="K713" s="106" t="str">
        <f>IF(OR(H713="",H713=0),L713,H713)</f>
        <v/>
      </c>
      <c r="L713" s="106" t="str">
        <f>IF(NOT(ISERROR(VLOOKUP(B713,Deflatores!G$42:H$64,2,FALSE))),VLOOKUP(B713,Deflatores!G$42:H$64,2,FALSE),IF(OR(ISBLANK(C713),ISBLANK(B713)),"",VLOOKUP(C713,Deflatores!G$4:H$38,2,FALSE)*H713+VLOOKUP(C713,Deflatores!G$4:I$38,3,FALSE)))</f>
        <v/>
      </c>
      <c r="M713" s="6"/>
      <c r="N713" s="6"/>
      <c r="O713" s="144"/>
    </row>
    <row r="714" spans="1:15" x14ac:dyDescent="0.25">
      <c r="A714" s="145" t="s">
        <v>612</v>
      </c>
      <c r="B714" s="113" t="s">
        <v>48</v>
      </c>
      <c r="C714" s="113" t="s">
        <v>45</v>
      </c>
      <c r="D714" s="4">
        <v>3</v>
      </c>
      <c r="E714" s="4">
        <v>1</v>
      </c>
      <c r="F714" s="105" t="str">
        <f>IF(ISBLANK(B714),"",IF(I714="L","Baixa",IF(I714="A","Média",IF(I714="","","Alta"))))</f>
        <v>Baixa</v>
      </c>
      <c r="G714" s="4" t="str">
        <f>CONCATENATE(B714,I714)</f>
        <v>EEL</v>
      </c>
      <c r="H714" s="4">
        <f>IF(ISBLANK(B714),"",IF(B714="ALI",IF(I714="L",7,IF(I714="A",10,15)),IF(B714="AIE",IF(I714="L",5,IF(I714="A",7,10)),IF(B714="SE",IF(I714="L",4,IF(I714="A",5,7)),IF(OR(B714="EE",B714="CE"),IF(I714="L",3,IF(I714="A",4,6)),0)))))</f>
        <v>3</v>
      </c>
      <c r="I714" s="105" t="str">
        <f>IF(OR(ISBLANK(D714),ISBLANK(E714)),IF(OR(B714="ALI",B714="AIE"),"L",IF(OR(B714="EE",B714="SE",B714="CE"),"A","")),IF(B714="EE",IF(E714&gt;=3,IF(D714&gt;=5,"H","A"),IF(E714&gt;=2,IF(D714&gt;=16,"H",IF(D714&lt;=4,"L","A")),IF(D714&lt;=15,"L","A"))),IF(OR(B714="SE",B714="CE"),IF(E714&gt;=4,IF(D714&gt;=6,"H","A"),IF(E714&gt;=2,IF(D714&gt;=20,"H",IF(D714&lt;=5,"L","A")),IF(D714&lt;=19,"L","A"))),IF(OR(B714="ALI",B714="AIE"),IF(E714&gt;=6,IF(D714&gt;=20,"H","A"),IF(E714&gt;=2,IF(D714&gt;=51,"H",IF(D714&lt;=19,"L","A")),IF(D714&lt;=50,"L","A"))),""))))</f>
        <v>L</v>
      </c>
      <c r="J714" s="4" t="str">
        <f>CONCATENATE(B714,C714)</f>
        <v>EEI</v>
      </c>
      <c r="K714" s="106">
        <f>IF(OR(H714="",H714=0),L714,H714)</f>
        <v>3</v>
      </c>
      <c r="L714" s="106">
        <f>IF(NOT(ISERROR(VLOOKUP(B714,Deflatores!G$42:H$64,2,FALSE))),VLOOKUP(B714,Deflatores!G$42:H$64,2,FALSE),IF(OR(ISBLANK(C714),ISBLANK(B714)),"",VLOOKUP(C714,Deflatores!G$4:H$38,2,FALSE)*H714+VLOOKUP(C714,Deflatores!G$4:I$38,3,FALSE)))</f>
        <v>3</v>
      </c>
      <c r="M714" s="6"/>
      <c r="N714" s="6"/>
      <c r="O714" s="144"/>
    </row>
    <row r="715" spans="1:15" x14ac:dyDescent="0.25">
      <c r="A715" s="145"/>
      <c r="B715" s="113"/>
      <c r="C715" s="113"/>
      <c r="D715" s="4"/>
      <c r="E715" s="4"/>
      <c r="F715" s="105" t="str">
        <f t="shared" si="118"/>
        <v/>
      </c>
      <c r="G715" s="4" t="str">
        <f t="shared" si="119"/>
        <v/>
      </c>
      <c r="H715" s="4" t="str">
        <f t="shared" si="120"/>
        <v/>
      </c>
      <c r="I715" s="105" t="str">
        <f t="shared" si="121"/>
        <v/>
      </c>
      <c r="J715" s="4" t="str">
        <f t="shared" si="122"/>
        <v/>
      </c>
      <c r="K715" s="106" t="str">
        <f t="shared" si="123"/>
        <v/>
      </c>
      <c r="L715" s="106" t="str">
        <f>IF(NOT(ISERROR(VLOOKUP(B715,Deflatores!G$42:H$64,2,FALSE))),VLOOKUP(B715,Deflatores!G$42:H$64,2,FALSE),IF(OR(ISBLANK(C715),ISBLANK(B715)),"",VLOOKUP(C715,Deflatores!G$4:H$38,2,FALSE)*H715+VLOOKUP(C715,Deflatores!G$4:I$38,3,FALSE)))</f>
        <v/>
      </c>
      <c r="M715" s="6"/>
      <c r="N715" s="6"/>
      <c r="O715" s="144"/>
    </row>
    <row r="716" spans="1:15" x14ac:dyDescent="0.25">
      <c r="A716" s="143" t="s">
        <v>613</v>
      </c>
      <c r="B716" s="113"/>
      <c r="C716" s="113"/>
      <c r="D716" s="4"/>
      <c r="E716" s="4"/>
      <c r="F716" s="105" t="str">
        <f>IF(ISBLANK(B716),"",IF(I716="L","Baixa",IF(I716="A","Média",IF(I716="","","Alta"))))</f>
        <v/>
      </c>
      <c r="G716" s="4" t="str">
        <f>CONCATENATE(B716,I716)</f>
        <v/>
      </c>
      <c r="H716" s="4" t="str">
        <f>IF(ISBLANK(B716),"",IF(B716="ALI",IF(I716="L",7,IF(I716="A",10,15)),IF(B716="AIE",IF(I716="L",5,IF(I716="A",7,10)),IF(B716="SE",IF(I716="L",4,IF(I716="A",5,7)),IF(OR(B716="EE",B716="CE"),IF(I716="L",3,IF(I716="A",4,6)),0)))))</f>
        <v/>
      </c>
      <c r="I716" s="105" t="str">
        <f>IF(OR(ISBLANK(D716),ISBLANK(E716)),IF(OR(B716="ALI",B716="AIE"),"L",IF(OR(B716="EE",B716="SE",B716="CE"),"A","")),IF(B716="EE",IF(E716&gt;=3,IF(D716&gt;=5,"H","A"),IF(E716&gt;=2,IF(D716&gt;=16,"H",IF(D716&lt;=4,"L","A")),IF(D716&lt;=15,"L","A"))),IF(OR(B716="SE",B716="CE"),IF(E716&gt;=4,IF(D716&gt;=6,"H","A"),IF(E716&gt;=2,IF(D716&gt;=20,"H",IF(D716&lt;=5,"L","A")),IF(D716&lt;=19,"L","A"))),IF(OR(B716="ALI",B716="AIE"),IF(E716&gt;=6,IF(D716&gt;=20,"H","A"),IF(E716&gt;=2,IF(D716&gt;=51,"H",IF(D716&lt;=19,"L","A")),IF(D716&lt;=50,"L","A"))),""))))</f>
        <v/>
      </c>
      <c r="J716" s="4" t="str">
        <f>CONCATENATE(B716,C716)</f>
        <v/>
      </c>
      <c r="K716" s="106" t="str">
        <f>IF(OR(H716="",H716=0),L716,H716)</f>
        <v/>
      </c>
      <c r="L716" s="106" t="str">
        <f>IF(NOT(ISERROR(VLOOKUP(B716,Deflatores!G$42:H$64,2,FALSE))),VLOOKUP(B716,Deflatores!G$42:H$64,2,FALSE),IF(OR(ISBLANK(C716),ISBLANK(B716)),"",VLOOKUP(C716,Deflatores!G$4:H$38,2,FALSE)*H716+VLOOKUP(C716,Deflatores!G$4:I$38,3,FALSE)))</f>
        <v/>
      </c>
      <c r="M716" s="6"/>
      <c r="N716" s="6"/>
      <c r="O716" s="144"/>
    </row>
    <row r="717" spans="1:15" x14ac:dyDescent="0.25">
      <c r="A717" s="145" t="s">
        <v>614</v>
      </c>
      <c r="B717" s="113" t="s">
        <v>113</v>
      </c>
      <c r="C717" s="113" t="s">
        <v>45</v>
      </c>
      <c r="D717" s="4">
        <v>11</v>
      </c>
      <c r="E717" s="4">
        <v>5</v>
      </c>
      <c r="F717" s="105" t="str">
        <f t="shared" ref="F717:F774" si="130">IF(ISBLANK(B717),"",IF(I717="L","Baixa",IF(I717="A","Média",IF(I717="","","Alta"))))</f>
        <v>Alta</v>
      </c>
      <c r="G717" s="4" t="str">
        <f t="shared" ref="G717:G774" si="131">CONCATENATE(B717,I717)</f>
        <v>SEH</v>
      </c>
      <c r="H717" s="4">
        <f t="shared" ref="H717:H774" si="132">IF(ISBLANK(B717),"",IF(B717="ALI",IF(I717="L",7,IF(I717="A",10,15)),IF(B717="AIE",IF(I717="L",5,IF(I717="A",7,10)),IF(B717="SE",IF(I717="L",4,IF(I717="A",5,7)),IF(OR(B717="EE",B717="CE"),IF(I717="L",3,IF(I717="A",4,6)),0)))))</f>
        <v>7</v>
      </c>
      <c r="I717" s="105" t="str">
        <f t="shared" ref="I717:I774" si="133">IF(OR(ISBLANK(D717),ISBLANK(E717)),IF(OR(B717="ALI",B717="AIE"),"L",IF(OR(B717="EE",B717="SE",B717="CE"),"A","")),IF(B717="EE",IF(E717&gt;=3,IF(D717&gt;=5,"H","A"),IF(E717&gt;=2,IF(D717&gt;=16,"H",IF(D717&lt;=4,"L","A")),IF(D717&lt;=15,"L","A"))),IF(OR(B717="SE",B717="CE"),IF(E717&gt;=4,IF(D717&gt;=6,"H","A"),IF(E717&gt;=2,IF(D717&gt;=20,"H",IF(D717&lt;=5,"L","A")),IF(D717&lt;=19,"L","A"))),IF(OR(B717="ALI",B717="AIE"),IF(E717&gt;=6,IF(D717&gt;=20,"H","A"),IF(E717&gt;=2,IF(D717&gt;=51,"H",IF(D717&lt;=19,"L","A")),IF(D717&lt;=50,"L","A"))),""))))</f>
        <v>H</v>
      </c>
      <c r="J717" s="4" t="str">
        <f t="shared" ref="J717:J774" si="134">CONCATENATE(B717,C717)</f>
        <v>SEI</v>
      </c>
      <c r="K717" s="106">
        <f t="shared" ref="K717:K774" si="135">IF(OR(H717="",H717=0),L717,H717)</f>
        <v>7</v>
      </c>
      <c r="L717" s="106">
        <f>IF(NOT(ISERROR(VLOOKUP(B717,Deflatores!G$42:H$64,2,FALSE))),VLOOKUP(B717,Deflatores!G$42:H$64,2,FALSE),IF(OR(ISBLANK(C717),ISBLANK(B717)),"",VLOOKUP(C717,Deflatores!G$4:H$38,2,FALSE)*H717+VLOOKUP(C717,Deflatores!G$4:I$38,3,FALSE)))</f>
        <v>7</v>
      </c>
      <c r="M717" s="6"/>
      <c r="N717" s="6"/>
      <c r="O717" s="144"/>
    </row>
    <row r="718" spans="1:15" x14ac:dyDescent="0.25">
      <c r="A718" s="145" t="s">
        <v>615</v>
      </c>
      <c r="B718" s="113" t="s">
        <v>50</v>
      </c>
      <c r="C718" s="113" t="s">
        <v>45</v>
      </c>
      <c r="D718" s="4">
        <v>11</v>
      </c>
      <c r="E718" s="4">
        <v>5</v>
      </c>
      <c r="F718" s="105" t="str">
        <f t="shared" si="130"/>
        <v>Alta</v>
      </c>
      <c r="G718" s="4" t="str">
        <f t="shared" si="131"/>
        <v>CEH</v>
      </c>
      <c r="H718" s="4">
        <f t="shared" si="132"/>
        <v>6</v>
      </c>
      <c r="I718" s="105" t="str">
        <f t="shared" si="133"/>
        <v>H</v>
      </c>
      <c r="J718" s="4" t="str">
        <f t="shared" si="134"/>
        <v>CEI</v>
      </c>
      <c r="K718" s="106">
        <f t="shared" si="135"/>
        <v>6</v>
      </c>
      <c r="L718" s="106">
        <f>IF(NOT(ISERROR(VLOOKUP(B718,Deflatores!G$42:H$64,2,FALSE))),VLOOKUP(B718,Deflatores!G$42:H$64,2,FALSE),IF(OR(ISBLANK(C718),ISBLANK(B718)),"",VLOOKUP(C718,Deflatores!G$4:H$38,2,FALSE)*H718+VLOOKUP(C718,Deflatores!G$4:I$38,3,FALSE)))</f>
        <v>6</v>
      </c>
      <c r="M718" s="6"/>
      <c r="N718" s="6"/>
      <c r="O718" s="144"/>
    </row>
    <row r="719" spans="1:15" x14ac:dyDescent="0.25">
      <c r="A719" s="145" t="s">
        <v>616</v>
      </c>
      <c r="B719" s="113" t="s">
        <v>48</v>
      </c>
      <c r="C719" s="113" t="s">
        <v>45</v>
      </c>
      <c r="D719" s="4">
        <v>8</v>
      </c>
      <c r="E719" s="4">
        <v>5</v>
      </c>
      <c r="F719" s="105" t="str">
        <f t="shared" si="130"/>
        <v>Alta</v>
      </c>
      <c r="G719" s="4" t="str">
        <f t="shared" si="131"/>
        <v>EEH</v>
      </c>
      <c r="H719" s="4">
        <f t="shared" si="132"/>
        <v>6</v>
      </c>
      <c r="I719" s="105" t="str">
        <f t="shared" si="133"/>
        <v>H</v>
      </c>
      <c r="J719" s="4" t="str">
        <f t="shared" si="134"/>
        <v>EEI</v>
      </c>
      <c r="K719" s="106">
        <f t="shared" si="135"/>
        <v>6</v>
      </c>
      <c r="L719" s="106">
        <f>IF(NOT(ISERROR(VLOOKUP(B719,Deflatores!G$42:H$64,2,FALSE))),VLOOKUP(B719,Deflatores!G$42:H$64,2,FALSE),IF(OR(ISBLANK(C719),ISBLANK(B719)),"",VLOOKUP(C719,Deflatores!G$4:H$38,2,FALSE)*H719+VLOOKUP(C719,Deflatores!G$4:I$38,3,FALSE)))</f>
        <v>6</v>
      </c>
      <c r="M719" s="6"/>
      <c r="N719" s="6"/>
      <c r="O719" s="144"/>
    </row>
    <row r="720" spans="1:15" x14ac:dyDescent="0.25">
      <c r="A720" s="146" t="s">
        <v>617</v>
      </c>
      <c r="B720" s="113" t="s">
        <v>50</v>
      </c>
      <c r="C720" s="113" t="s">
        <v>45</v>
      </c>
      <c r="D720" s="4">
        <v>3</v>
      </c>
      <c r="E720" s="4">
        <v>1</v>
      </c>
      <c r="F720" s="105" t="str">
        <f t="shared" si="130"/>
        <v>Baixa</v>
      </c>
      <c r="G720" s="4" t="str">
        <f t="shared" si="131"/>
        <v>CEL</v>
      </c>
      <c r="H720" s="4">
        <f t="shared" si="132"/>
        <v>3</v>
      </c>
      <c r="I720" s="105" t="str">
        <f t="shared" si="133"/>
        <v>L</v>
      </c>
      <c r="J720" s="4" t="str">
        <f t="shared" si="134"/>
        <v>CEI</v>
      </c>
      <c r="K720" s="106">
        <f t="shared" si="135"/>
        <v>3</v>
      </c>
      <c r="L720" s="106">
        <f>IF(NOT(ISERROR(VLOOKUP(B720,Deflatores!G$42:H$64,2,FALSE))),VLOOKUP(B720,Deflatores!G$42:H$64,2,FALSE),IF(OR(ISBLANK(C720),ISBLANK(B720)),"",VLOOKUP(C720,Deflatores!G$4:H$38,2,FALSE)*H720+VLOOKUP(C720,Deflatores!G$4:I$38,3,FALSE)))</f>
        <v>3</v>
      </c>
      <c r="M720" s="6"/>
      <c r="N720" s="6"/>
      <c r="O720" s="144"/>
    </row>
    <row r="721" spans="1:15" x14ac:dyDescent="0.25">
      <c r="A721" s="145" t="s">
        <v>618</v>
      </c>
      <c r="B721" s="113" t="s">
        <v>50</v>
      </c>
      <c r="C721" s="113" t="s">
        <v>45</v>
      </c>
      <c r="D721" s="4">
        <v>12</v>
      </c>
      <c r="E721" s="4">
        <v>5</v>
      </c>
      <c r="F721" s="105" t="str">
        <f t="shared" si="130"/>
        <v>Alta</v>
      </c>
      <c r="G721" s="4" t="str">
        <f t="shared" si="131"/>
        <v>CEH</v>
      </c>
      <c r="H721" s="4">
        <f t="shared" si="132"/>
        <v>6</v>
      </c>
      <c r="I721" s="105" t="str">
        <f t="shared" si="133"/>
        <v>H</v>
      </c>
      <c r="J721" s="4" t="str">
        <f t="shared" si="134"/>
        <v>CEI</v>
      </c>
      <c r="K721" s="106">
        <f t="shared" si="135"/>
        <v>6</v>
      </c>
      <c r="L721" s="106">
        <f>IF(NOT(ISERROR(VLOOKUP(B721,Deflatores!G$42:H$64,2,FALSE))),VLOOKUP(B721,Deflatores!G$42:H$64,2,FALSE),IF(OR(ISBLANK(C721),ISBLANK(B721)),"",VLOOKUP(C721,Deflatores!G$4:H$38,2,FALSE)*H721+VLOOKUP(C721,Deflatores!G$4:I$38,3,FALSE)))</f>
        <v>6</v>
      </c>
      <c r="M721" s="6"/>
      <c r="N721" s="6"/>
      <c r="O721" s="144"/>
    </row>
    <row r="722" spans="1:15" x14ac:dyDescent="0.25">
      <c r="A722" s="145" t="s">
        <v>619</v>
      </c>
      <c r="B722" s="113" t="s">
        <v>50</v>
      </c>
      <c r="C722" s="113" t="s">
        <v>45</v>
      </c>
      <c r="D722" s="4">
        <v>14</v>
      </c>
      <c r="E722" s="4">
        <v>5</v>
      </c>
      <c r="F722" s="105" t="str">
        <f t="shared" si="130"/>
        <v>Alta</v>
      </c>
      <c r="G722" s="4" t="str">
        <f t="shared" si="131"/>
        <v>CEH</v>
      </c>
      <c r="H722" s="4">
        <f t="shared" si="132"/>
        <v>6</v>
      </c>
      <c r="I722" s="105" t="str">
        <f t="shared" si="133"/>
        <v>H</v>
      </c>
      <c r="J722" s="4" t="str">
        <f t="shared" si="134"/>
        <v>CEI</v>
      </c>
      <c r="K722" s="106">
        <f t="shared" si="135"/>
        <v>6</v>
      </c>
      <c r="L722" s="106">
        <f>IF(NOT(ISERROR(VLOOKUP(B722,Deflatores!G$42:H$64,2,FALSE))),VLOOKUP(B722,Deflatores!G$42:H$64,2,FALSE),IF(OR(ISBLANK(C722),ISBLANK(B722)),"",VLOOKUP(C722,Deflatores!G$4:H$38,2,FALSE)*H722+VLOOKUP(C722,Deflatores!G$4:I$38,3,FALSE)))</f>
        <v>6</v>
      </c>
      <c r="M722" s="6"/>
      <c r="N722" s="6"/>
      <c r="O722" s="144"/>
    </row>
    <row r="723" spans="1:15" x14ac:dyDescent="0.25">
      <c r="A723" s="145" t="s">
        <v>1441</v>
      </c>
      <c r="B723" s="113" t="s">
        <v>48</v>
      </c>
      <c r="C723" s="113" t="s">
        <v>45</v>
      </c>
      <c r="D723" s="4">
        <v>3</v>
      </c>
      <c r="E723" s="4">
        <v>1</v>
      </c>
      <c r="F723" s="105" t="str">
        <f t="shared" ref="F723" si="136">IF(ISBLANK(B723),"",IF(I723="L","Baixa",IF(I723="A","Média",IF(I723="","","Alta"))))</f>
        <v>Baixa</v>
      </c>
      <c r="G723" s="4" t="str">
        <f t="shared" ref="G723" si="137">CONCATENATE(B723,I723)</f>
        <v>EEL</v>
      </c>
      <c r="H723" s="4">
        <f t="shared" ref="H723" si="138">IF(ISBLANK(B723),"",IF(B723="ALI",IF(I723="L",7,IF(I723="A",10,15)),IF(B723="AIE",IF(I723="L",5,IF(I723="A",7,10)),IF(B723="SE",IF(I723="L",4,IF(I723="A",5,7)),IF(OR(B723="EE",B723="CE"),IF(I723="L",3,IF(I723="A",4,6)),0)))))</f>
        <v>3</v>
      </c>
      <c r="I723" s="105" t="str">
        <f t="shared" ref="I723" si="139">IF(OR(ISBLANK(D723),ISBLANK(E723)),IF(OR(B723="ALI",B723="AIE"),"L",IF(OR(B723="EE",B723="SE",B723="CE"),"A","")),IF(B723="EE",IF(E723&gt;=3,IF(D723&gt;=5,"H","A"),IF(E723&gt;=2,IF(D723&gt;=16,"H",IF(D723&lt;=4,"L","A")),IF(D723&lt;=15,"L","A"))),IF(OR(B723="SE",B723="CE"),IF(E723&gt;=4,IF(D723&gt;=6,"H","A"),IF(E723&gt;=2,IF(D723&gt;=20,"H",IF(D723&lt;=5,"L","A")),IF(D723&lt;=19,"L","A"))),IF(OR(B723="ALI",B723="AIE"),IF(E723&gt;=6,IF(D723&gt;=20,"H","A"),IF(E723&gt;=2,IF(D723&gt;=51,"H",IF(D723&lt;=19,"L","A")),IF(D723&lt;=50,"L","A"))),""))))</f>
        <v>L</v>
      </c>
      <c r="J723" s="4" t="str">
        <f t="shared" ref="J723" si="140">CONCATENATE(B723,C723)</f>
        <v>EEI</v>
      </c>
      <c r="K723" s="106">
        <f t="shared" ref="K723" si="141">IF(OR(H723="",H723=0),L723,H723)</f>
        <v>3</v>
      </c>
      <c r="L723" s="106">
        <f>IF(NOT(ISERROR(VLOOKUP(B723,Deflatores!G$42:H$64,2,FALSE))),VLOOKUP(B723,Deflatores!G$42:H$64,2,FALSE),IF(OR(ISBLANK(C723),ISBLANK(B723)),"",VLOOKUP(C723,Deflatores!G$4:H$38,2,FALSE)*H723+VLOOKUP(C723,Deflatores!G$4:I$38,3,FALSE)))</f>
        <v>3</v>
      </c>
      <c r="M723" s="6"/>
      <c r="N723" s="6"/>
      <c r="O723" s="144"/>
    </row>
    <row r="724" spans="1:15" ht="12" customHeight="1" x14ac:dyDescent="0.25">
      <c r="A724" s="145"/>
      <c r="B724" s="113"/>
      <c r="C724" s="113"/>
      <c r="D724" s="4"/>
      <c r="E724" s="4"/>
      <c r="F724" s="105" t="str">
        <f t="shared" si="130"/>
        <v/>
      </c>
      <c r="G724" s="4" t="str">
        <f t="shared" si="131"/>
        <v/>
      </c>
      <c r="H724" s="4" t="str">
        <f t="shared" si="132"/>
        <v/>
      </c>
      <c r="I724" s="105" t="str">
        <f t="shared" si="133"/>
        <v/>
      </c>
      <c r="J724" s="4" t="str">
        <f t="shared" si="134"/>
        <v/>
      </c>
      <c r="K724" s="106" t="str">
        <f t="shared" si="135"/>
        <v/>
      </c>
      <c r="L724" s="106" t="str">
        <f>IF(NOT(ISERROR(VLOOKUP(B724,Deflatores!G$42:H$64,2,FALSE))),VLOOKUP(B724,Deflatores!G$42:H$64,2,FALSE),IF(OR(ISBLANK(C724),ISBLANK(B724)),"",VLOOKUP(C724,Deflatores!G$4:H$38,2,FALSE)*H724+VLOOKUP(C724,Deflatores!G$4:I$38,3,FALSE)))</f>
        <v/>
      </c>
      <c r="M724" s="6"/>
      <c r="N724" s="6"/>
      <c r="O724" s="144"/>
    </row>
    <row r="725" spans="1:15" x14ac:dyDescent="0.25">
      <c r="A725" s="143" t="s">
        <v>620</v>
      </c>
      <c r="B725" s="113"/>
      <c r="C725" s="113"/>
      <c r="D725" s="4"/>
      <c r="E725" s="4"/>
      <c r="F725" s="105" t="str">
        <f t="shared" si="130"/>
        <v/>
      </c>
      <c r="G725" s="4" t="str">
        <f t="shared" si="131"/>
        <v/>
      </c>
      <c r="H725" s="4" t="str">
        <f t="shared" si="132"/>
        <v/>
      </c>
      <c r="I725" s="105" t="str">
        <f t="shared" si="133"/>
        <v/>
      </c>
      <c r="J725" s="4" t="str">
        <f t="shared" si="134"/>
        <v/>
      </c>
      <c r="K725" s="106" t="str">
        <f t="shared" si="135"/>
        <v/>
      </c>
      <c r="L725" s="106" t="str">
        <f>IF(NOT(ISERROR(VLOOKUP(B725,Deflatores!G$42:H$64,2,FALSE))),VLOOKUP(B725,Deflatores!G$42:H$64,2,FALSE),IF(OR(ISBLANK(C725),ISBLANK(B725)),"",VLOOKUP(C725,Deflatores!G$4:H$38,2,FALSE)*H725+VLOOKUP(C725,Deflatores!G$4:I$38,3,FALSE)))</f>
        <v/>
      </c>
      <c r="M725" s="6"/>
      <c r="N725" s="6"/>
      <c r="O725" s="144"/>
    </row>
    <row r="726" spans="1:15" ht="22" x14ac:dyDescent="0.25">
      <c r="A726" s="145" t="s">
        <v>621</v>
      </c>
      <c r="B726" s="113" t="s">
        <v>113</v>
      </c>
      <c r="C726" s="113" t="s">
        <v>45</v>
      </c>
      <c r="D726" s="4">
        <v>8</v>
      </c>
      <c r="E726" s="4">
        <v>2</v>
      </c>
      <c r="F726" s="105" t="str">
        <f>IF(ISBLANK(B726),"",IF(I726="L","Baixa",IF(I726="A","Média",IF(I726="","","Alta"))))</f>
        <v>Média</v>
      </c>
      <c r="G726" s="4" t="str">
        <f>CONCATENATE(B726,I726)</f>
        <v>SEA</v>
      </c>
      <c r="H726" s="4">
        <f>IF(ISBLANK(B726),"",IF(B726="ALI",IF(I726="L",7,IF(I726="A",10,15)),IF(B726="AIE",IF(I726="L",5,IF(I726="A",7,10)),IF(B726="SE",IF(I726="L",4,IF(I726="A",5,7)),IF(OR(B726="EE",B726="CE"),IF(I726="L",3,IF(I726="A",4,6)),0)))))</f>
        <v>5</v>
      </c>
      <c r="I726" s="105" t="str">
        <f>IF(OR(ISBLANK(D726),ISBLANK(E726)),IF(OR(B726="ALI",B726="AIE"),"L",IF(OR(B726="EE",B726="SE",B726="CE"),"A","")),IF(B726="EE",IF(E726&gt;=3,IF(D726&gt;=5,"H","A"),IF(E726&gt;=2,IF(D726&gt;=16,"H",IF(D726&lt;=4,"L","A")),IF(D726&lt;=15,"L","A"))),IF(OR(B726="SE",B726="CE"),IF(E726&gt;=4,IF(D726&gt;=6,"H","A"),IF(E726&gt;=2,IF(D726&gt;=20,"H",IF(D726&lt;=5,"L","A")),IF(D726&lt;=19,"L","A"))),IF(OR(B726="ALI",B726="AIE"),IF(E726&gt;=6,IF(D726&gt;=20,"H","A"),IF(E726&gt;=2,IF(D726&gt;=51,"H",IF(D726&lt;=19,"L","A")),IF(D726&lt;=50,"L","A"))),""))))</f>
        <v>A</v>
      </c>
      <c r="J726" s="4" t="str">
        <f>CONCATENATE(B726,C726)</f>
        <v>SEI</v>
      </c>
      <c r="K726" s="106">
        <f>IF(OR(H726="",H726=0),L726,H726)</f>
        <v>5</v>
      </c>
      <c r="L726" s="106">
        <f>IF(NOT(ISERROR(VLOOKUP(B726,Deflatores!G$42:H$64,2,FALSE))),VLOOKUP(B726,Deflatores!G$42:H$64,2,FALSE),IF(OR(ISBLANK(C726),ISBLANK(B726)),"",VLOOKUP(C726,Deflatores!G$4:H$38,2,FALSE)*H726+VLOOKUP(C726,Deflatores!G$4:I$38,3,FALSE)))</f>
        <v>5</v>
      </c>
      <c r="M726" s="6"/>
      <c r="N726" s="6"/>
      <c r="O726" s="144" t="s">
        <v>622</v>
      </c>
    </row>
    <row r="727" spans="1:15" x14ac:dyDescent="0.25">
      <c r="A727" s="145" t="s">
        <v>623</v>
      </c>
      <c r="B727" s="113" t="s">
        <v>48</v>
      </c>
      <c r="C727" s="113" t="s">
        <v>45</v>
      </c>
      <c r="D727" s="4">
        <v>3</v>
      </c>
      <c r="E727" s="4">
        <v>2</v>
      </c>
      <c r="F727" s="105" t="str">
        <f>IF(ISBLANK(B727),"",IF(I727="L","Baixa",IF(I727="A","Média",IF(I727="","","Alta"))))</f>
        <v>Baixa</v>
      </c>
      <c r="G727" s="4" t="str">
        <f>CONCATENATE(B727,I727)</f>
        <v>EEL</v>
      </c>
      <c r="H727" s="4">
        <f>IF(ISBLANK(B727),"",IF(B727="ALI",IF(I727="L",7,IF(I727="A",10,15)),IF(B727="AIE",IF(I727="L",5,IF(I727="A",7,10)),IF(B727="SE",IF(I727="L",4,IF(I727="A",5,7)),IF(OR(B727="EE",B727="CE"),IF(I727="L",3,IF(I727="A",4,6)),0)))))</f>
        <v>3</v>
      </c>
      <c r="I727" s="105" t="str">
        <f>IF(OR(ISBLANK(D727),ISBLANK(E727)),IF(OR(B727="ALI",B727="AIE"),"L",IF(OR(B727="EE",B727="SE",B727="CE"),"A","")),IF(B727="EE",IF(E727&gt;=3,IF(D727&gt;=5,"H","A"),IF(E727&gt;=2,IF(D727&gt;=16,"H",IF(D727&lt;=4,"L","A")),IF(D727&lt;=15,"L","A"))),IF(OR(B727="SE",B727="CE"),IF(E727&gt;=4,IF(D727&gt;=6,"H","A"),IF(E727&gt;=2,IF(D727&gt;=20,"H",IF(D727&lt;=5,"L","A")),IF(D727&lt;=19,"L","A"))),IF(OR(B727="ALI",B727="AIE"),IF(E727&gt;=6,IF(D727&gt;=20,"H","A"),IF(E727&gt;=2,IF(D727&gt;=51,"H",IF(D727&lt;=19,"L","A")),IF(D727&lt;=50,"L","A"))),""))))</f>
        <v>L</v>
      </c>
      <c r="J727" s="4" t="str">
        <f>CONCATENATE(B727,C727)</f>
        <v>EEI</v>
      </c>
      <c r="K727" s="106">
        <f>IF(OR(H727="",H727=0),L727,H727)</f>
        <v>3</v>
      </c>
      <c r="L727" s="106">
        <f>IF(NOT(ISERROR(VLOOKUP(B727,Deflatores!G$42:H$64,2,FALSE))),VLOOKUP(B727,Deflatores!G$42:H$64,2,FALSE),IF(OR(ISBLANK(C727),ISBLANK(B727)),"",VLOOKUP(C727,Deflatores!G$4:H$38,2,FALSE)*H727+VLOOKUP(C727,Deflatores!G$4:I$38,3,FALSE)))</f>
        <v>3</v>
      </c>
      <c r="M727" s="6"/>
      <c r="N727" s="6"/>
      <c r="O727" s="144"/>
    </row>
    <row r="728" spans="1:15" x14ac:dyDescent="0.25">
      <c r="A728" s="145"/>
      <c r="B728" s="113"/>
      <c r="C728" s="113"/>
      <c r="D728" s="4"/>
      <c r="E728" s="4"/>
      <c r="F728" s="105" t="str">
        <f t="shared" si="130"/>
        <v/>
      </c>
      <c r="G728" s="4" t="str">
        <f t="shared" si="131"/>
        <v/>
      </c>
      <c r="H728" s="4" t="str">
        <f t="shared" si="132"/>
        <v/>
      </c>
      <c r="I728" s="105" t="str">
        <f t="shared" si="133"/>
        <v/>
      </c>
      <c r="J728" s="4" t="str">
        <f t="shared" si="134"/>
        <v/>
      </c>
      <c r="K728" s="106" t="str">
        <f t="shared" si="135"/>
        <v/>
      </c>
      <c r="L728" s="106" t="str">
        <f>IF(NOT(ISERROR(VLOOKUP(B728,Deflatores!G$42:H$64,2,FALSE))),VLOOKUP(B728,Deflatores!G$42:H$64,2,FALSE),IF(OR(ISBLANK(C728),ISBLANK(B728)),"",VLOOKUP(C728,Deflatores!G$4:H$38,2,FALSE)*H728+VLOOKUP(C728,Deflatores!G$4:I$38,3,FALSE)))</f>
        <v/>
      </c>
      <c r="M728" s="6"/>
      <c r="N728" s="6"/>
      <c r="O728" s="144"/>
    </row>
    <row r="729" spans="1:15" x14ac:dyDescent="0.25">
      <c r="A729" s="143" t="s">
        <v>624</v>
      </c>
      <c r="B729" s="113"/>
      <c r="C729" s="113"/>
      <c r="D729" s="4"/>
      <c r="E729" s="4"/>
      <c r="F729" s="105" t="str">
        <f t="shared" si="130"/>
        <v/>
      </c>
      <c r="G729" s="4" t="str">
        <f t="shared" si="131"/>
        <v/>
      </c>
      <c r="H729" s="4" t="str">
        <f t="shared" si="132"/>
        <v/>
      </c>
      <c r="I729" s="105" t="str">
        <f t="shared" si="133"/>
        <v/>
      </c>
      <c r="J729" s="4" t="str">
        <f t="shared" si="134"/>
        <v/>
      </c>
      <c r="K729" s="106" t="str">
        <f t="shared" si="135"/>
        <v/>
      </c>
      <c r="L729" s="106" t="str">
        <f>IF(NOT(ISERROR(VLOOKUP(B729,Deflatores!G$42:H$64,2,FALSE))),VLOOKUP(B729,Deflatores!G$42:H$64,2,FALSE),IF(OR(ISBLANK(C729),ISBLANK(B729)),"",VLOOKUP(C729,Deflatores!G$4:H$38,2,FALSE)*H729+VLOOKUP(C729,Deflatores!G$4:I$38,3,FALSE)))</f>
        <v/>
      </c>
      <c r="M729" s="6"/>
      <c r="N729" s="6"/>
      <c r="O729" s="144"/>
    </row>
    <row r="730" spans="1:15" x14ac:dyDescent="0.25">
      <c r="A730" s="223" t="s">
        <v>625</v>
      </c>
      <c r="B730" s="113" t="s">
        <v>50</v>
      </c>
      <c r="C730" s="113" t="s">
        <v>45</v>
      </c>
      <c r="D730" s="4">
        <v>13</v>
      </c>
      <c r="E730" s="4">
        <v>5</v>
      </c>
      <c r="F730" s="105" t="str">
        <f>IF(ISBLANK(B730),"",IF(I730="L","Baixa",IF(I730="A","Média",IF(I730="","","Alta"))))</f>
        <v>Alta</v>
      </c>
      <c r="G730" s="4" t="str">
        <f>CONCATENATE(B730,I730)</f>
        <v>CEH</v>
      </c>
      <c r="H730" s="4">
        <f>IF(ISBLANK(B730),"",IF(B730="ALI",IF(I730="L",7,IF(I730="A",10,15)),IF(B730="AIE",IF(I730="L",5,IF(I730="A",7,10)),IF(B730="SE",IF(I730="L",4,IF(I730="A",5,7)),IF(OR(B730="EE",B730="CE"),IF(I730="L",3,IF(I730="A",4,6)),0)))))</f>
        <v>6</v>
      </c>
      <c r="I730" s="105" t="str">
        <f>IF(OR(ISBLANK(D730),ISBLANK(E730)),IF(OR(B730="ALI",B730="AIE"),"L",IF(OR(B730="EE",B730="SE",B730="CE"),"A","")),IF(B730="EE",IF(E730&gt;=3,IF(D730&gt;=5,"H","A"),IF(E730&gt;=2,IF(D730&gt;=16,"H",IF(D730&lt;=4,"L","A")),IF(D730&lt;=15,"L","A"))),IF(OR(B730="SE",B730="CE"),IF(E730&gt;=4,IF(D730&gt;=6,"H","A"),IF(E730&gt;=2,IF(D730&gt;=20,"H",IF(D730&lt;=5,"L","A")),IF(D730&lt;=19,"L","A"))),IF(OR(B730="ALI",B730="AIE"),IF(E730&gt;=6,IF(D730&gt;=20,"H","A"),IF(E730&gt;=2,IF(D730&gt;=51,"H",IF(D730&lt;=19,"L","A")),IF(D730&lt;=50,"L","A"))),""))))</f>
        <v>H</v>
      </c>
      <c r="J730" s="4" t="str">
        <f>CONCATENATE(B730,C730)</f>
        <v>CEI</v>
      </c>
      <c r="K730" s="106">
        <f>IF(OR(H730="",H730=0),L730,H730)</f>
        <v>6</v>
      </c>
      <c r="L730" s="106">
        <f>IF(NOT(ISERROR(VLOOKUP(B730,Deflatores!G$42:H$64,2,FALSE))),VLOOKUP(B730,Deflatores!G$42:H$64,2,FALSE),IF(OR(ISBLANK(C730),ISBLANK(B730)),"",VLOOKUP(C730,Deflatores!G$4:H$38,2,FALSE)*H730+VLOOKUP(C730,Deflatores!G$4:I$38,3,FALSE)))</f>
        <v>6</v>
      </c>
      <c r="M730" s="6"/>
      <c r="N730" s="6"/>
      <c r="O730" s="144"/>
    </row>
    <row r="731" spans="1:15" x14ac:dyDescent="0.25">
      <c r="A731" s="223" t="s">
        <v>626</v>
      </c>
      <c r="B731" s="113" t="s">
        <v>48</v>
      </c>
      <c r="C731" s="113" t="s">
        <v>45</v>
      </c>
      <c r="D731" s="4">
        <v>4</v>
      </c>
      <c r="E731" s="4">
        <v>1</v>
      </c>
      <c r="F731" s="105" t="str">
        <f t="shared" si="130"/>
        <v>Baixa</v>
      </c>
      <c r="G731" s="4" t="str">
        <f t="shared" si="131"/>
        <v>EEL</v>
      </c>
      <c r="H731" s="4">
        <f t="shared" si="132"/>
        <v>3</v>
      </c>
      <c r="I731" s="105" t="str">
        <f t="shared" si="133"/>
        <v>L</v>
      </c>
      <c r="J731" s="4" t="str">
        <f t="shared" si="134"/>
        <v>EEI</v>
      </c>
      <c r="K731" s="106">
        <f t="shared" si="135"/>
        <v>3</v>
      </c>
      <c r="L731" s="106">
        <f>IF(NOT(ISERROR(VLOOKUP(B731,Deflatores!G$42:H$64,2,FALSE))),VLOOKUP(B731,Deflatores!G$42:H$64,2,FALSE),IF(OR(ISBLANK(C731),ISBLANK(B731)),"",VLOOKUP(C731,Deflatores!G$4:H$38,2,FALSE)*H731+VLOOKUP(C731,Deflatores!G$4:I$38,3,FALSE)))</f>
        <v>3</v>
      </c>
      <c r="M731" s="6"/>
      <c r="N731" s="6"/>
      <c r="O731" s="144"/>
    </row>
    <row r="732" spans="1:15" x14ac:dyDescent="0.25">
      <c r="A732" s="223"/>
      <c r="B732" s="113"/>
      <c r="C732" s="113"/>
      <c r="D732" s="4"/>
      <c r="E732" s="4"/>
      <c r="F732" s="105" t="str">
        <f t="shared" si="130"/>
        <v/>
      </c>
      <c r="G732" s="4" t="str">
        <f t="shared" si="131"/>
        <v/>
      </c>
      <c r="H732" s="4" t="str">
        <f t="shared" si="132"/>
        <v/>
      </c>
      <c r="I732" s="105" t="str">
        <f t="shared" si="133"/>
        <v/>
      </c>
      <c r="J732" s="4" t="str">
        <f t="shared" si="134"/>
        <v/>
      </c>
      <c r="K732" s="106" t="str">
        <f t="shared" si="135"/>
        <v/>
      </c>
      <c r="L732" s="106" t="str">
        <f>IF(NOT(ISERROR(VLOOKUP(B732,Deflatores!G$42:H$64,2,FALSE))),VLOOKUP(B732,Deflatores!G$42:H$64,2,FALSE),IF(OR(ISBLANK(C732),ISBLANK(B732)),"",VLOOKUP(C732,Deflatores!G$4:H$38,2,FALSE)*H732+VLOOKUP(C732,Deflatores!G$4:I$38,3,FALSE)))</f>
        <v/>
      </c>
      <c r="M732" s="6"/>
      <c r="N732" s="6"/>
      <c r="O732" s="144"/>
    </row>
    <row r="733" spans="1:15" ht="14.25" customHeight="1" x14ac:dyDescent="0.25">
      <c r="A733" s="222" t="s">
        <v>627</v>
      </c>
      <c r="B733" s="113"/>
      <c r="C733" s="113"/>
      <c r="D733" s="4"/>
      <c r="E733" s="4"/>
      <c r="F733" s="105" t="str">
        <f t="shared" si="130"/>
        <v/>
      </c>
      <c r="G733" s="4" t="str">
        <f t="shared" si="131"/>
        <v/>
      </c>
      <c r="H733" s="4" t="str">
        <f t="shared" si="132"/>
        <v/>
      </c>
      <c r="I733" s="105" t="str">
        <f t="shared" si="133"/>
        <v/>
      </c>
      <c r="J733" s="4" t="str">
        <f t="shared" si="134"/>
        <v/>
      </c>
      <c r="K733" s="106" t="str">
        <f t="shared" si="135"/>
        <v/>
      </c>
      <c r="L733" s="106" t="str">
        <f>IF(NOT(ISERROR(VLOOKUP(B733,Deflatores!G$42:H$64,2,FALSE))),VLOOKUP(B733,Deflatores!G$42:H$64,2,FALSE),IF(OR(ISBLANK(C733),ISBLANK(B733)),"",VLOOKUP(C733,Deflatores!G$4:H$38,2,FALSE)*H733+VLOOKUP(C733,Deflatores!G$4:I$38,3,FALSE)))</f>
        <v/>
      </c>
      <c r="M733" s="6"/>
      <c r="N733" s="6"/>
      <c r="O733" s="144"/>
    </row>
    <row r="734" spans="1:15" ht="14.25" customHeight="1" x14ac:dyDescent="0.25">
      <c r="A734" s="223" t="s">
        <v>628</v>
      </c>
      <c r="B734" s="113" t="s">
        <v>44</v>
      </c>
      <c r="C734" s="113" t="s">
        <v>45</v>
      </c>
      <c r="D734" s="4">
        <v>8</v>
      </c>
      <c r="E734" s="4">
        <v>3</v>
      </c>
      <c r="F734" s="105" t="str">
        <f t="shared" si="130"/>
        <v>Baixa</v>
      </c>
      <c r="G734" s="4" t="str">
        <f t="shared" si="131"/>
        <v>ALIL</v>
      </c>
      <c r="H734" s="4">
        <f t="shared" si="132"/>
        <v>7</v>
      </c>
      <c r="I734" s="105" t="str">
        <f t="shared" si="133"/>
        <v>L</v>
      </c>
      <c r="J734" s="4" t="str">
        <f t="shared" si="134"/>
        <v>ALII</v>
      </c>
      <c r="K734" s="106">
        <f t="shared" si="135"/>
        <v>7</v>
      </c>
      <c r="L734" s="106">
        <f>IF(NOT(ISERROR(VLOOKUP(B734,Deflatores!G$42:H$64,2,FALSE))),VLOOKUP(B734,Deflatores!G$42:H$64,2,FALSE),IF(OR(ISBLANK(C734),ISBLANK(B734)),"",VLOOKUP(C734,Deflatores!G$4:H$38,2,FALSE)*H734+VLOOKUP(C734,Deflatores!G$4:I$38,3,FALSE)))</f>
        <v>7</v>
      </c>
      <c r="M734" s="6"/>
      <c r="N734" s="6"/>
      <c r="O734" s="144"/>
    </row>
    <row r="735" spans="1:15" ht="14.25" customHeight="1" x14ac:dyDescent="0.25">
      <c r="A735" s="223" t="s">
        <v>629</v>
      </c>
      <c r="B735" s="113" t="s">
        <v>50</v>
      </c>
      <c r="C735" s="113" t="s">
        <v>45</v>
      </c>
      <c r="D735" s="4">
        <v>10</v>
      </c>
      <c r="E735" s="4">
        <v>4</v>
      </c>
      <c r="F735" s="105" t="str">
        <f t="shared" si="130"/>
        <v>Alta</v>
      </c>
      <c r="G735" s="4" t="str">
        <f t="shared" si="131"/>
        <v>CEH</v>
      </c>
      <c r="H735" s="4">
        <f t="shared" si="132"/>
        <v>6</v>
      </c>
      <c r="I735" s="105" t="str">
        <f t="shared" si="133"/>
        <v>H</v>
      </c>
      <c r="J735" s="4" t="str">
        <f t="shared" si="134"/>
        <v>CEI</v>
      </c>
      <c r="K735" s="106">
        <f t="shared" si="135"/>
        <v>6</v>
      </c>
      <c r="L735" s="106">
        <f>IF(NOT(ISERROR(VLOOKUP(B735,Deflatores!G$42:H$64,2,FALSE))),VLOOKUP(B735,Deflatores!G$42:H$64,2,FALSE),IF(OR(ISBLANK(C735),ISBLANK(B735)),"",VLOOKUP(C735,Deflatores!G$4:H$38,2,FALSE)*H735+VLOOKUP(C735,Deflatores!G$4:I$38,3,FALSE)))</f>
        <v>6</v>
      </c>
      <c r="M735" s="6"/>
      <c r="N735" s="6"/>
      <c r="O735" s="144"/>
    </row>
    <row r="736" spans="1:15" ht="14.25" customHeight="1" x14ac:dyDescent="0.25">
      <c r="A736" s="221" t="s">
        <v>630</v>
      </c>
      <c r="B736" s="113" t="s">
        <v>50</v>
      </c>
      <c r="C736" s="113" t="s">
        <v>45</v>
      </c>
      <c r="D736" s="4">
        <v>3</v>
      </c>
      <c r="E736" s="4">
        <v>1</v>
      </c>
      <c r="F736" s="105" t="str">
        <f t="shared" si="130"/>
        <v>Baixa</v>
      </c>
      <c r="G736" s="4" t="str">
        <f t="shared" si="131"/>
        <v>CEL</v>
      </c>
      <c r="H736" s="4">
        <f t="shared" si="132"/>
        <v>3</v>
      </c>
      <c r="I736" s="105" t="str">
        <f t="shared" si="133"/>
        <v>L</v>
      </c>
      <c r="J736" s="4" t="str">
        <f t="shared" si="134"/>
        <v>CEI</v>
      </c>
      <c r="K736" s="106">
        <f t="shared" si="135"/>
        <v>3</v>
      </c>
      <c r="L736" s="106">
        <f>IF(NOT(ISERROR(VLOOKUP(B736,Deflatores!G$42:H$64,2,FALSE))),VLOOKUP(B736,Deflatores!G$42:H$64,2,FALSE),IF(OR(ISBLANK(C736),ISBLANK(B736)),"",VLOOKUP(C736,Deflatores!G$4:H$38,2,FALSE)*H736+VLOOKUP(C736,Deflatores!G$4:I$38,3,FALSE)))</f>
        <v>3</v>
      </c>
      <c r="M736" s="6"/>
      <c r="N736" s="6"/>
      <c r="O736" s="144"/>
    </row>
    <row r="737" spans="1:15" ht="14.25" customHeight="1" x14ac:dyDescent="0.25">
      <c r="A737" s="221" t="s">
        <v>631</v>
      </c>
      <c r="B737" s="113" t="s">
        <v>50</v>
      </c>
      <c r="C737" s="113" t="s">
        <v>45</v>
      </c>
      <c r="D737" s="4">
        <v>3</v>
      </c>
      <c r="E737" s="4">
        <v>1</v>
      </c>
      <c r="F737" s="105" t="str">
        <f t="shared" si="130"/>
        <v>Baixa</v>
      </c>
      <c r="G737" s="4" t="str">
        <f t="shared" si="131"/>
        <v>CEL</v>
      </c>
      <c r="H737" s="4">
        <f t="shared" si="132"/>
        <v>3</v>
      </c>
      <c r="I737" s="105" t="str">
        <f t="shared" si="133"/>
        <v>L</v>
      </c>
      <c r="J737" s="4" t="str">
        <f t="shared" si="134"/>
        <v>CEI</v>
      </c>
      <c r="K737" s="106">
        <f t="shared" si="135"/>
        <v>3</v>
      </c>
      <c r="L737" s="106">
        <f>IF(NOT(ISERROR(VLOOKUP(B737,Deflatores!G$42:H$64,2,FALSE))),VLOOKUP(B737,Deflatores!G$42:H$64,2,FALSE),IF(OR(ISBLANK(C737),ISBLANK(B737)),"",VLOOKUP(C737,Deflatores!G$4:H$38,2,FALSE)*H737+VLOOKUP(C737,Deflatores!G$4:I$38,3,FALSE)))</f>
        <v>3</v>
      </c>
      <c r="M737" s="6"/>
      <c r="N737" s="6"/>
      <c r="O737" s="144"/>
    </row>
    <row r="738" spans="1:15" ht="14.25" customHeight="1" x14ac:dyDescent="0.25">
      <c r="A738" s="223" t="s">
        <v>632</v>
      </c>
      <c r="B738" s="113" t="s">
        <v>48</v>
      </c>
      <c r="C738" s="113" t="s">
        <v>45</v>
      </c>
      <c r="D738" s="4">
        <v>5</v>
      </c>
      <c r="E738" s="4">
        <v>10</v>
      </c>
      <c r="F738" s="105" t="str">
        <f t="shared" si="130"/>
        <v>Alta</v>
      </c>
      <c r="G738" s="4" t="str">
        <f t="shared" si="131"/>
        <v>EEH</v>
      </c>
      <c r="H738" s="4">
        <f t="shared" si="132"/>
        <v>6</v>
      </c>
      <c r="I738" s="105" t="str">
        <f t="shared" si="133"/>
        <v>H</v>
      </c>
      <c r="J738" s="4" t="str">
        <f t="shared" si="134"/>
        <v>EEI</v>
      </c>
      <c r="K738" s="106">
        <f t="shared" si="135"/>
        <v>6</v>
      </c>
      <c r="L738" s="106">
        <f>IF(NOT(ISERROR(VLOOKUP(B738,Deflatores!G$42:H$64,2,FALSE))),VLOOKUP(B738,Deflatores!G$42:H$64,2,FALSE),IF(OR(ISBLANK(C738),ISBLANK(B738)),"",VLOOKUP(C738,Deflatores!G$4:H$38,2,FALSE)*H738+VLOOKUP(C738,Deflatores!G$4:I$38,3,FALSE)))</f>
        <v>6</v>
      </c>
      <c r="M738" s="6"/>
      <c r="N738" s="6"/>
      <c r="O738" s="144"/>
    </row>
    <row r="739" spans="1:15" ht="14.25" customHeight="1" x14ac:dyDescent="0.25">
      <c r="A739" s="223" t="s">
        <v>633</v>
      </c>
      <c r="B739" s="113" t="s">
        <v>48</v>
      </c>
      <c r="C739" s="113" t="s">
        <v>45</v>
      </c>
      <c r="D739" s="4">
        <v>5</v>
      </c>
      <c r="E739" s="4">
        <v>10</v>
      </c>
      <c r="F739" s="105" t="str">
        <f t="shared" si="130"/>
        <v>Alta</v>
      </c>
      <c r="G739" s="4" t="str">
        <f t="shared" si="131"/>
        <v>EEH</v>
      </c>
      <c r="H739" s="4">
        <f t="shared" si="132"/>
        <v>6</v>
      </c>
      <c r="I739" s="105" t="str">
        <f t="shared" si="133"/>
        <v>H</v>
      </c>
      <c r="J739" s="4" t="str">
        <f t="shared" si="134"/>
        <v>EEI</v>
      </c>
      <c r="K739" s="106">
        <f t="shared" si="135"/>
        <v>6</v>
      </c>
      <c r="L739" s="106">
        <f>IF(NOT(ISERROR(VLOOKUP(B739,Deflatores!G$42:H$64,2,FALSE))),VLOOKUP(B739,Deflatores!G$42:H$64,2,FALSE),IF(OR(ISBLANK(C739),ISBLANK(B739)),"",VLOOKUP(C739,Deflatores!G$4:H$38,2,FALSE)*H739+VLOOKUP(C739,Deflatores!G$4:I$38,3,FALSE)))</f>
        <v>6</v>
      </c>
      <c r="M739" s="6"/>
      <c r="N739" s="6"/>
      <c r="O739" s="144"/>
    </row>
    <row r="740" spans="1:15" ht="14.25" customHeight="1" x14ac:dyDescent="0.25">
      <c r="A740" s="223" t="s">
        <v>634</v>
      </c>
      <c r="B740" s="113" t="s">
        <v>48</v>
      </c>
      <c r="C740" s="113" t="s">
        <v>45</v>
      </c>
      <c r="D740" s="4">
        <v>5</v>
      </c>
      <c r="E740" s="4">
        <v>3</v>
      </c>
      <c r="F740" s="105" t="str">
        <f t="shared" si="130"/>
        <v>Alta</v>
      </c>
      <c r="G740" s="4" t="str">
        <f t="shared" si="131"/>
        <v>EEH</v>
      </c>
      <c r="H740" s="4">
        <f t="shared" si="132"/>
        <v>6</v>
      </c>
      <c r="I740" s="105" t="str">
        <f t="shared" si="133"/>
        <v>H</v>
      </c>
      <c r="J740" s="4" t="str">
        <f t="shared" si="134"/>
        <v>EEI</v>
      </c>
      <c r="K740" s="106">
        <f t="shared" si="135"/>
        <v>6</v>
      </c>
      <c r="L740" s="106">
        <f>IF(NOT(ISERROR(VLOOKUP(B740,Deflatores!G$42:H$64,2,FALSE))),VLOOKUP(B740,Deflatores!G$42:H$64,2,FALSE),IF(OR(ISBLANK(C740),ISBLANK(B740)),"",VLOOKUP(C740,Deflatores!G$4:H$38,2,FALSE)*H740+VLOOKUP(C740,Deflatores!G$4:I$38,3,FALSE)))</f>
        <v>6</v>
      </c>
      <c r="M740" s="6"/>
      <c r="N740" s="6"/>
      <c r="O740" s="144"/>
    </row>
    <row r="741" spans="1:15" ht="14.25" customHeight="1" x14ac:dyDescent="0.25">
      <c r="A741" s="145"/>
      <c r="B741" s="113"/>
      <c r="C741" s="113"/>
      <c r="D741" s="4"/>
      <c r="E741" s="4"/>
      <c r="F741" s="105" t="str">
        <f t="shared" si="130"/>
        <v/>
      </c>
      <c r="G741" s="4" t="str">
        <f t="shared" si="131"/>
        <v/>
      </c>
      <c r="H741" s="4" t="str">
        <f t="shared" si="132"/>
        <v/>
      </c>
      <c r="I741" s="105" t="str">
        <f t="shared" si="133"/>
        <v/>
      </c>
      <c r="J741" s="4" t="str">
        <f t="shared" si="134"/>
        <v/>
      </c>
      <c r="K741" s="106" t="str">
        <f t="shared" si="135"/>
        <v/>
      </c>
      <c r="L741" s="106" t="str">
        <f>IF(NOT(ISERROR(VLOOKUP(B741,Deflatores!G$42:H$64,2,FALSE))),VLOOKUP(B741,Deflatores!G$42:H$64,2,FALSE),IF(OR(ISBLANK(C741),ISBLANK(B741)),"",VLOOKUP(C741,Deflatores!G$4:H$38,2,FALSE)*H741+VLOOKUP(C741,Deflatores!G$4:I$38,3,FALSE)))</f>
        <v/>
      </c>
      <c r="M741" s="6"/>
      <c r="N741" s="6"/>
      <c r="O741" s="144"/>
    </row>
    <row r="742" spans="1:15" x14ac:dyDescent="0.25">
      <c r="A742" s="143" t="s">
        <v>635</v>
      </c>
      <c r="B742" s="113"/>
      <c r="C742" s="113"/>
      <c r="D742" s="4"/>
      <c r="E742" s="4"/>
      <c r="F742" s="105" t="str">
        <f t="shared" si="130"/>
        <v/>
      </c>
      <c r="G742" s="4" t="str">
        <f t="shared" si="131"/>
        <v/>
      </c>
      <c r="H742" s="4" t="str">
        <f t="shared" si="132"/>
        <v/>
      </c>
      <c r="I742" s="105" t="str">
        <f t="shared" si="133"/>
        <v/>
      </c>
      <c r="J742" s="4" t="str">
        <f t="shared" si="134"/>
        <v/>
      </c>
      <c r="K742" s="106" t="str">
        <f t="shared" si="135"/>
        <v/>
      </c>
      <c r="L742" s="106" t="str">
        <f>IF(NOT(ISERROR(VLOOKUP(B742,Deflatores!G$42:H$64,2,FALSE))),VLOOKUP(B742,Deflatores!G$42:H$64,2,FALSE),IF(OR(ISBLANK(C742),ISBLANK(B742)),"",VLOOKUP(C742,Deflatores!G$4:H$38,2,FALSE)*H742+VLOOKUP(C742,Deflatores!G$4:I$38,3,FALSE)))</f>
        <v/>
      </c>
      <c r="M742" s="6"/>
      <c r="N742" s="6"/>
      <c r="O742" s="144"/>
    </row>
    <row r="743" spans="1:15" ht="14.25" customHeight="1" x14ac:dyDescent="0.25">
      <c r="A743" s="112" t="s">
        <v>636</v>
      </c>
      <c r="B743" s="113" t="s">
        <v>44</v>
      </c>
      <c r="C743" s="113" t="s">
        <v>45</v>
      </c>
      <c r="D743" s="4">
        <v>63</v>
      </c>
      <c r="E743" s="4">
        <v>11</v>
      </c>
      <c r="F743" s="105" t="str">
        <f t="shared" si="130"/>
        <v>Alta</v>
      </c>
      <c r="G743" s="4" t="str">
        <f t="shared" si="131"/>
        <v>ALIH</v>
      </c>
      <c r="H743" s="4">
        <f t="shared" si="132"/>
        <v>15</v>
      </c>
      <c r="I743" s="105" t="str">
        <f t="shared" si="133"/>
        <v>H</v>
      </c>
      <c r="J743" s="4" t="str">
        <f t="shared" si="134"/>
        <v>ALII</v>
      </c>
      <c r="K743" s="106">
        <f t="shared" si="135"/>
        <v>15</v>
      </c>
      <c r="L743" s="106">
        <f>IF(NOT(ISERROR(VLOOKUP(B743,Deflatores!G$42:H$64,2,FALSE))),VLOOKUP(B743,Deflatores!G$42:H$64,2,FALSE),IF(OR(ISBLANK(C743),ISBLANK(B743)),"",VLOOKUP(C743,Deflatores!G$4:H$38,2,FALSE)*H743+VLOOKUP(C743,Deflatores!G$4:I$38,3,FALSE)))</f>
        <v>15</v>
      </c>
      <c r="M743" s="6"/>
      <c r="N743" s="6"/>
      <c r="O743" s="144"/>
    </row>
    <row r="744" spans="1:15" ht="14.25" customHeight="1" x14ac:dyDescent="0.25">
      <c r="A744" s="112" t="s">
        <v>637</v>
      </c>
      <c r="B744" s="113" t="s">
        <v>50</v>
      </c>
      <c r="C744" s="113" t="s">
        <v>45</v>
      </c>
      <c r="D744" s="4">
        <v>19</v>
      </c>
      <c r="E744" s="4">
        <v>5</v>
      </c>
      <c r="F744" s="105" t="str">
        <f t="shared" si="130"/>
        <v>Alta</v>
      </c>
      <c r="G744" s="4" t="str">
        <f t="shared" si="131"/>
        <v>CEH</v>
      </c>
      <c r="H744" s="4">
        <f t="shared" si="132"/>
        <v>6</v>
      </c>
      <c r="I744" s="105" t="str">
        <f t="shared" si="133"/>
        <v>H</v>
      </c>
      <c r="J744" s="4" t="str">
        <f t="shared" si="134"/>
        <v>CEI</v>
      </c>
      <c r="K744" s="106">
        <f t="shared" si="135"/>
        <v>6</v>
      </c>
      <c r="L744" s="106">
        <f>IF(NOT(ISERROR(VLOOKUP(B744,Deflatores!G$42:H$64,2,FALSE))),VLOOKUP(B744,Deflatores!G$42:H$64,2,FALSE),IF(OR(ISBLANK(C744),ISBLANK(B744)),"",VLOOKUP(C744,Deflatores!G$4:H$38,2,FALSE)*H744+VLOOKUP(C744,Deflatores!G$4:I$38,3,FALSE)))</f>
        <v>6</v>
      </c>
      <c r="M744" s="6"/>
      <c r="N744" s="6"/>
      <c r="O744" s="144"/>
    </row>
    <row r="745" spans="1:15" x14ac:dyDescent="0.25">
      <c r="A745" s="147" t="s">
        <v>1414</v>
      </c>
      <c r="B745" s="113" t="s">
        <v>50</v>
      </c>
      <c r="C745" s="113" t="s">
        <v>45</v>
      </c>
      <c r="D745" s="4">
        <v>4</v>
      </c>
      <c r="E745" s="4">
        <v>1</v>
      </c>
      <c r="F745" s="105" t="str">
        <f t="shared" ref="F745:F746" si="142">IF(ISBLANK(B745),"",IF(I745="L","Baixa",IF(I745="A","Média",IF(I745="","","Alta"))))</f>
        <v>Baixa</v>
      </c>
      <c r="G745" s="4" t="str">
        <f t="shared" ref="G745" si="143">CONCATENATE(B745,I745)</f>
        <v>CEL</v>
      </c>
      <c r="H745" s="4">
        <f t="shared" ref="H745:H746" si="144">IF(ISBLANK(B745),"",IF(B745="ALI",IF(I745="L",7,IF(I745="A",10,15)),IF(B745="AIE",IF(I745="L",5,IF(I745="A",7,10)),IF(B745="SE",IF(I745="L",4,IF(I745="A",5,7)),IF(OR(B745="EE",B745="CE"),IF(I745="L",3,IF(I745="A",4,6)),0)))))</f>
        <v>3</v>
      </c>
      <c r="I745" s="105" t="str">
        <f t="shared" ref="I745:I746" si="145">IF(OR(ISBLANK(D745),ISBLANK(E745)),IF(OR(B745="ALI",B745="AIE"),"L",IF(OR(B745="EE",B745="SE",B745="CE"),"A","")),IF(B745="EE",IF(E745&gt;=3,IF(D745&gt;=5,"H","A"),IF(E745&gt;=2,IF(D745&gt;=16,"H",IF(D745&lt;=4,"L","A")),IF(D745&lt;=15,"L","A"))),IF(OR(B745="SE",B745="CE"),IF(E745&gt;=4,IF(D745&gt;=6,"H","A"),IF(E745&gt;=2,IF(D745&gt;=20,"H",IF(D745&lt;=5,"L","A")),IF(D745&lt;=19,"L","A"))),IF(OR(B745="ALI",B745="AIE"),IF(E745&gt;=6,IF(D745&gt;=20,"H","A"),IF(E745&gt;=2,IF(D745&gt;=51,"H",IF(D745&lt;=19,"L","A")),IF(D745&lt;=50,"L","A"))),""))))</f>
        <v>L</v>
      </c>
      <c r="J745" s="4" t="str">
        <f t="shared" ref="J745:J746" si="146">CONCATENATE(B745,C745)</f>
        <v>CEI</v>
      </c>
      <c r="K745" s="106">
        <f t="shared" ref="K745:K746" si="147">IF(OR(H745="",H745=0),L745,H745)</f>
        <v>3</v>
      </c>
      <c r="L745" s="106">
        <f>IF(NOT(ISERROR(VLOOKUP(B745,Deflatores!G$42:H$64,2,FALSE))),VLOOKUP(B745,Deflatores!G$42:H$64,2,FALSE),IF(OR(ISBLANK(C745),ISBLANK(B745)),"",VLOOKUP(C745,Deflatores!G$4:H$38,2,FALSE)*H745+VLOOKUP(C745,Deflatores!G$4:I$38,3,FALSE)))</f>
        <v>3</v>
      </c>
      <c r="M745" s="6"/>
      <c r="N745" s="6"/>
      <c r="O745" s="144"/>
    </row>
    <row r="746" spans="1:15" ht="13" x14ac:dyDescent="0.3">
      <c r="A746" s="114" t="s">
        <v>1415</v>
      </c>
      <c r="B746" s="113" t="s">
        <v>50</v>
      </c>
      <c r="C746" s="113" t="s">
        <v>45</v>
      </c>
      <c r="D746" s="4">
        <v>4</v>
      </c>
      <c r="E746" s="4">
        <v>5</v>
      </c>
      <c r="F746" s="106" t="str">
        <f t="shared" si="142"/>
        <v>Média</v>
      </c>
      <c r="G746" s="102"/>
      <c r="H746" s="4">
        <f t="shared" si="144"/>
        <v>4</v>
      </c>
      <c r="I746" s="105" t="str">
        <f t="shared" si="145"/>
        <v>A</v>
      </c>
      <c r="J746" s="4" t="str">
        <f t="shared" si="146"/>
        <v>CEI</v>
      </c>
      <c r="K746" s="106">
        <f t="shared" si="147"/>
        <v>4</v>
      </c>
      <c r="L746" s="106">
        <f>IF(NOT(ISERROR(VLOOKUP(B746,Deflatores!G$42:H$64,2,FALSE))),VLOOKUP(B746,Deflatores!G$42:H$64,2,FALSE),IF(OR(ISBLANK(C746),ISBLANK(B746)),"",VLOOKUP(C746,Deflatores!G$4:H$38,2,FALSE)*H746+VLOOKUP(C746,Deflatores!G$4:I$38,3,FALSE)))</f>
        <v>4</v>
      </c>
      <c r="M746" s="106"/>
      <c r="N746" s="106"/>
      <c r="O746" s="144"/>
    </row>
    <row r="747" spans="1:15" x14ac:dyDescent="0.25">
      <c r="A747" s="114" t="s">
        <v>1416</v>
      </c>
      <c r="B747" s="113" t="s">
        <v>50</v>
      </c>
      <c r="C747" s="113" t="s">
        <v>45</v>
      </c>
      <c r="D747" s="4">
        <v>4</v>
      </c>
      <c r="E747" s="4">
        <v>1</v>
      </c>
      <c r="F747" s="106" t="str">
        <f>IF(ISBLANK(B747),"",IF(I747="L","Baixa",IF(I747="A","Média",IF(I747="","","Alta"))))</f>
        <v>Baixa</v>
      </c>
      <c r="G747" s="106" t="str">
        <f>CONCATENATE(B747,I747)</f>
        <v>CEL</v>
      </c>
      <c r="H747" s="4">
        <f>IF(ISBLANK(B747),"",IF(B747="ALI",IF(I747="L",7,IF(I747="A",10,15)),IF(B747="AIE",IF(I747="L",5,IF(I747="A",7,10)),IF(B747="SE",IF(I747="L",4,IF(I747="A",5,7)),IF(OR(B747="EE",B747="CE"),IF(I747="L",3,IF(I747="A",4,6)),0)))))</f>
        <v>3</v>
      </c>
      <c r="I747" s="105" t="str">
        <f>IF(OR(ISBLANK(D747),ISBLANK(E747)),IF(OR(B747="ALI",B747="AIE"),"L",IF(OR(B747="EE",B747="SE",B747="CE"),"A","")),IF(B747="EE",IF(E747&gt;=3,IF(D747&gt;=5,"H","A"),IF(E747&gt;=2,IF(D747&gt;=16,"H",IF(D747&lt;=4,"L","A")),IF(D747&lt;=15,"L","A"))),IF(OR(B747="SE",B747="CE"),IF(E747&gt;=4,IF(D747&gt;=6,"H","A"),IF(E747&gt;=2,IF(D747&gt;=20,"H",IF(D747&lt;=5,"L","A")),IF(D747&lt;=19,"L","A"))),IF(OR(B747="ALI",B747="AIE"),IF(E747&gt;=6,IF(D747&gt;=20,"H","A"),IF(E747&gt;=2,IF(D747&gt;=51,"H",IF(D747&lt;=19,"L","A")),IF(D747&lt;=50,"L","A"))),""))))</f>
        <v>L</v>
      </c>
      <c r="J747" s="4" t="str">
        <f>CONCATENATE(B747,C747)</f>
        <v>CEI</v>
      </c>
      <c r="K747" s="106">
        <f>IF(OR(H747="",H747=0),L747,H747)</f>
        <v>3</v>
      </c>
      <c r="L747" s="106">
        <f>IF(NOT(ISERROR(VLOOKUP(B747,Deflatores!G$42:H$64,2,FALSE))),VLOOKUP(B747,Deflatores!G$42:H$64,2,FALSE),IF(OR(ISBLANK(C747),ISBLANK(B747)),"",VLOOKUP(C747,Deflatores!G$4:H$38,2,FALSE)*H747+VLOOKUP(C747,Deflatores!G$4:I$38,3,FALSE)))</f>
        <v>3</v>
      </c>
      <c r="M747" s="106"/>
      <c r="N747" s="106"/>
      <c r="O747" s="130"/>
    </row>
    <row r="748" spans="1:15" x14ac:dyDescent="0.25">
      <c r="A748" s="114" t="s">
        <v>1417</v>
      </c>
      <c r="B748" s="113" t="s">
        <v>50</v>
      </c>
      <c r="C748" s="113" t="s">
        <v>45</v>
      </c>
      <c r="D748" s="4">
        <v>4</v>
      </c>
      <c r="E748" s="4">
        <v>1</v>
      </c>
      <c r="F748" s="106" t="str">
        <f>IF(ISBLANK(B748),"",IF(I748="L","Baixa",IF(I748="A","Média",IF(I748="","","Alta"))))</f>
        <v>Baixa</v>
      </c>
      <c r="G748" s="106" t="str">
        <f>CONCATENATE(B748,I748)</f>
        <v>CEL</v>
      </c>
      <c r="H748" s="4">
        <f>IF(ISBLANK(B748),"",IF(B748="ALI",IF(I748="L",7,IF(I748="A",10,15)),IF(B748="AIE",IF(I748="L",5,IF(I748="A",7,10)),IF(B748="SE",IF(I748="L",4,IF(I748="A",5,7)),IF(OR(B748="EE",B748="CE"),IF(I748="L",3,IF(I748="A",4,6)),0)))))</f>
        <v>3</v>
      </c>
      <c r="I748" s="105" t="str">
        <f>IF(OR(ISBLANK(D748),ISBLANK(E748)),IF(OR(B748="ALI",B748="AIE"),"L",IF(OR(B748="EE",B748="SE",B748="CE"),"A","")),IF(B748="EE",IF(E748&gt;=3,IF(D748&gt;=5,"H","A"),IF(E748&gt;=2,IF(D748&gt;=16,"H",IF(D748&lt;=4,"L","A")),IF(D748&lt;=15,"L","A"))),IF(OR(B748="SE",B748="CE"),IF(E748&gt;=4,IF(D748&gt;=6,"H","A"),IF(E748&gt;=2,IF(D748&gt;=20,"H",IF(D748&lt;=5,"L","A")),IF(D748&lt;=19,"L","A"))),IF(OR(B748="ALI",B748="AIE"),IF(E748&gt;=6,IF(D748&gt;=20,"H","A"),IF(E748&gt;=2,IF(D748&gt;=51,"H",IF(D748&lt;=19,"L","A")),IF(D748&lt;=50,"L","A"))),""))))</f>
        <v>L</v>
      </c>
      <c r="J748" s="4" t="str">
        <f>CONCATENATE(B748,C748)</f>
        <v>CEI</v>
      </c>
      <c r="K748" s="106">
        <f>IF(OR(H748="",H748=0),L748,H748)</f>
        <v>3</v>
      </c>
      <c r="L748" s="106">
        <f>IF(NOT(ISERROR(VLOOKUP(B748,Deflatores!G$42:H$64,2,FALSE))),VLOOKUP(B748,Deflatores!G$42:H$64,2,FALSE),IF(OR(ISBLANK(C748),ISBLANK(B748)),"",VLOOKUP(C748,Deflatores!G$4:H$38,2,FALSE)*H748+VLOOKUP(C748,Deflatores!G$4:I$38,3,FALSE)))</f>
        <v>3</v>
      </c>
      <c r="M748" s="106"/>
      <c r="N748" s="106"/>
      <c r="O748" s="130"/>
    </row>
    <row r="749" spans="1:15" ht="14.25" customHeight="1" x14ac:dyDescent="0.25">
      <c r="A749" s="147" t="s">
        <v>638</v>
      </c>
      <c r="B749" s="113" t="s">
        <v>50</v>
      </c>
      <c r="C749" s="113" t="s">
        <v>45</v>
      </c>
      <c r="D749" s="4">
        <v>3</v>
      </c>
      <c r="E749" s="4">
        <v>1</v>
      </c>
      <c r="F749" s="105" t="str">
        <f t="shared" si="130"/>
        <v>Baixa</v>
      </c>
      <c r="G749" s="4" t="str">
        <f t="shared" si="131"/>
        <v>CEL</v>
      </c>
      <c r="H749" s="4">
        <f t="shared" si="132"/>
        <v>3</v>
      </c>
      <c r="I749" s="105" t="str">
        <f t="shared" si="133"/>
        <v>L</v>
      </c>
      <c r="J749" s="4" t="str">
        <f t="shared" si="134"/>
        <v>CEI</v>
      </c>
      <c r="K749" s="106">
        <f t="shared" si="135"/>
        <v>3</v>
      </c>
      <c r="L749" s="106">
        <f>IF(NOT(ISERROR(VLOOKUP(B749,Deflatores!G$42:H$64,2,FALSE))),VLOOKUP(B749,Deflatores!G$42:H$64,2,FALSE),IF(OR(ISBLANK(C749),ISBLANK(B749)),"",VLOOKUP(C749,Deflatores!G$4:H$38,2,FALSE)*H749+VLOOKUP(C749,Deflatores!G$4:I$38,3,FALSE)))</f>
        <v>3</v>
      </c>
      <c r="M749" s="6"/>
      <c r="N749" s="6"/>
      <c r="O749" s="144"/>
    </row>
    <row r="750" spans="1:15" ht="14.25" customHeight="1" x14ac:dyDescent="0.25">
      <c r="A750" s="147" t="s">
        <v>639</v>
      </c>
      <c r="B750" s="113" t="s">
        <v>50</v>
      </c>
      <c r="C750" s="113" t="s">
        <v>45</v>
      </c>
      <c r="D750" s="4">
        <v>3</v>
      </c>
      <c r="E750" s="4">
        <v>1</v>
      </c>
      <c r="F750" s="105" t="str">
        <f t="shared" si="130"/>
        <v>Baixa</v>
      </c>
      <c r="G750" s="4" t="str">
        <f t="shared" si="131"/>
        <v>CEL</v>
      </c>
      <c r="H750" s="4">
        <f t="shared" si="132"/>
        <v>3</v>
      </c>
      <c r="I750" s="105" t="str">
        <f t="shared" si="133"/>
        <v>L</v>
      </c>
      <c r="J750" s="4" t="str">
        <f t="shared" si="134"/>
        <v>CEI</v>
      </c>
      <c r="K750" s="106">
        <f t="shared" si="135"/>
        <v>3</v>
      </c>
      <c r="L750" s="106">
        <f>IF(NOT(ISERROR(VLOOKUP(B750,Deflatores!G$42:H$64,2,FALSE))),VLOOKUP(B750,Deflatores!G$42:H$64,2,FALSE),IF(OR(ISBLANK(C750),ISBLANK(B750)),"",VLOOKUP(C750,Deflatores!G$4:H$38,2,FALSE)*H750+VLOOKUP(C750,Deflatores!G$4:I$38,3,FALSE)))</f>
        <v>3</v>
      </c>
      <c r="M750" s="6"/>
      <c r="N750" s="6"/>
      <c r="O750" s="144"/>
    </row>
    <row r="751" spans="1:15" ht="14.25" customHeight="1" x14ac:dyDescent="0.25">
      <c r="A751" s="112" t="s">
        <v>640</v>
      </c>
      <c r="B751" s="113" t="s">
        <v>48</v>
      </c>
      <c r="C751" s="113" t="s">
        <v>45</v>
      </c>
      <c r="D751" s="4">
        <v>23</v>
      </c>
      <c r="E751" s="4">
        <v>8</v>
      </c>
      <c r="F751" s="105" t="str">
        <f t="shared" si="130"/>
        <v>Alta</v>
      </c>
      <c r="G751" s="4" t="str">
        <f t="shared" si="131"/>
        <v>EEH</v>
      </c>
      <c r="H751" s="4">
        <f t="shared" si="132"/>
        <v>6</v>
      </c>
      <c r="I751" s="105" t="str">
        <f t="shared" si="133"/>
        <v>H</v>
      </c>
      <c r="J751" s="4" t="str">
        <f t="shared" si="134"/>
        <v>EEI</v>
      </c>
      <c r="K751" s="106">
        <f t="shared" si="135"/>
        <v>6</v>
      </c>
      <c r="L751" s="106">
        <f>IF(NOT(ISERROR(VLOOKUP(B751,Deflatores!G$42:H$64,2,FALSE))),VLOOKUP(B751,Deflatores!G$42:H$64,2,FALSE),IF(OR(ISBLANK(C751),ISBLANK(B751)),"",VLOOKUP(C751,Deflatores!G$4:H$38,2,FALSE)*H751+VLOOKUP(C751,Deflatores!G$4:I$38,3,FALSE)))</f>
        <v>6</v>
      </c>
      <c r="M751" s="6"/>
      <c r="N751" s="6"/>
      <c r="O751" s="144"/>
    </row>
    <row r="752" spans="1:15" ht="14.25" customHeight="1" x14ac:dyDescent="0.25">
      <c r="A752" s="147" t="s">
        <v>641</v>
      </c>
      <c r="B752" s="113" t="s">
        <v>50</v>
      </c>
      <c r="C752" s="113" t="s">
        <v>45</v>
      </c>
      <c r="D752" s="4">
        <v>3</v>
      </c>
      <c r="E752" s="4">
        <v>1</v>
      </c>
      <c r="F752" s="105" t="str">
        <f t="shared" si="130"/>
        <v>Baixa</v>
      </c>
      <c r="G752" s="4" t="str">
        <f t="shared" si="131"/>
        <v>CEL</v>
      </c>
      <c r="H752" s="4">
        <f t="shared" si="132"/>
        <v>3</v>
      </c>
      <c r="I752" s="105" t="str">
        <f t="shared" si="133"/>
        <v>L</v>
      </c>
      <c r="J752" s="4" t="str">
        <f t="shared" si="134"/>
        <v>CEI</v>
      </c>
      <c r="K752" s="106">
        <f t="shared" si="135"/>
        <v>3</v>
      </c>
      <c r="L752" s="106">
        <f>IF(NOT(ISERROR(VLOOKUP(B752,Deflatores!G$42:H$64,2,FALSE))),VLOOKUP(B752,Deflatores!G$42:H$64,2,FALSE),IF(OR(ISBLANK(C752),ISBLANK(B752)),"",VLOOKUP(C752,Deflatores!G$4:H$38,2,FALSE)*H752+VLOOKUP(C752,Deflatores!G$4:I$38,3,FALSE)))</f>
        <v>3</v>
      </c>
      <c r="M752" s="6"/>
      <c r="N752" s="6"/>
      <c r="O752" s="144"/>
    </row>
    <row r="753" spans="1:15" ht="14.25" customHeight="1" x14ac:dyDescent="0.25">
      <c r="A753" s="147" t="s">
        <v>642</v>
      </c>
      <c r="B753" s="113" t="s">
        <v>50</v>
      </c>
      <c r="C753" s="113" t="s">
        <v>45</v>
      </c>
      <c r="D753" s="4">
        <v>3</v>
      </c>
      <c r="E753" s="4">
        <v>1</v>
      </c>
      <c r="F753" s="105" t="str">
        <f t="shared" si="130"/>
        <v>Baixa</v>
      </c>
      <c r="G753" s="4" t="str">
        <f t="shared" si="131"/>
        <v>CEL</v>
      </c>
      <c r="H753" s="4">
        <f t="shared" si="132"/>
        <v>3</v>
      </c>
      <c r="I753" s="105" t="str">
        <f t="shared" si="133"/>
        <v>L</v>
      </c>
      <c r="J753" s="4" t="str">
        <f t="shared" si="134"/>
        <v>CEI</v>
      </c>
      <c r="K753" s="106">
        <f t="shared" si="135"/>
        <v>3</v>
      </c>
      <c r="L753" s="106">
        <f>IF(NOT(ISERROR(VLOOKUP(B753,Deflatores!G$42:H$64,2,FALSE))),VLOOKUP(B753,Deflatores!G$42:H$64,2,FALSE),IF(OR(ISBLANK(C753),ISBLANK(B753)),"",VLOOKUP(C753,Deflatores!G$4:H$38,2,FALSE)*H753+VLOOKUP(C753,Deflatores!G$4:I$38,3,FALSE)))</f>
        <v>3</v>
      </c>
      <c r="M753" s="6"/>
      <c r="N753" s="6"/>
      <c r="O753" s="144"/>
    </row>
    <row r="754" spans="1:15" x14ac:dyDescent="0.25">
      <c r="A754" s="112" t="s">
        <v>643</v>
      </c>
      <c r="B754" s="113" t="s">
        <v>48</v>
      </c>
      <c r="C754" s="113" t="s">
        <v>45</v>
      </c>
      <c r="D754" s="4">
        <v>23</v>
      </c>
      <c r="E754" s="4">
        <v>8</v>
      </c>
      <c r="F754" s="105" t="str">
        <f t="shared" si="130"/>
        <v>Alta</v>
      </c>
      <c r="G754" s="4" t="str">
        <f t="shared" si="131"/>
        <v>EEH</v>
      </c>
      <c r="H754" s="4">
        <f t="shared" si="132"/>
        <v>6</v>
      </c>
      <c r="I754" s="105" t="str">
        <f t="shared" si="133"/>
        <v>H</v>
      </c>
      <c r="J754" s="4" t="str">
        <f t="shared" si="134"/>
        <v>EEI</v>
      </c>
      <c r="K754" s="106">
        <f t="shared" si="135"/>
        <v>6</v>
      </c>
      <c r="L754" s="106">
        <f>IF(NOT(ISERROR(VLOOKUP(B754,Deflatores!G$42:H$64,2,FALSE))),VLOOKUP(B754,Deflatores!G$42:H$64,2,FALSE),IF(OR(ISBLANK(C754),ISBLANK(B754)),"",VLOOKUP(C754,Deflatores!G$4:H$38,2,FALSE)*H754+VLOOKUP(C754,Deflatores!G$4:I$38,3,FALSE)))</f>
        <v>6</v>
      </c>
      <c r="M754" s="6"/>
      <c r="N754" s="6"/>
      <c r="O754" s="144"/>
    </row>
    <row r="755" spans="1:15" x14ac:dyDescent="0.25">
      <c r="A755" s="114" t="s">
        <v>644</v>
      </c>
      <c r="B755" s="113" t="s">
        <v>50</v>
      </c>
      <c r="C755" s="113" t="s">
        <v>45</v>
      </c>
      <c r="D755" s="4">
        <v>23</v>
      </c>
      <c r="E755" s="4">
        <v>5</v>
      </c>
      <c r="F755" s="105" t="str">
        <f t="shared" si="130"/>
        <v>Alta</v>
      </c>
      <c r="G755" s="4" t="str">
        <f t="shared" si="131"/>
        <v>CEH</v>
      </c>
      <c r="H755" s="4">
        <f t="shared" si="132"/>
        <v>6</v>
      </c>
      <c r="I755" s="105" t="str">
        <f t="shared" si="133"/>
        <v>H</v>
      </c>
      <c r="J755" s="4" t="str">
        <f t="shared" si="134"/>
        <v>CEI</v>
      </c>
      <c r="K755" s="106">
        <f t="shared" si="135"/>
        <v>6</v>
      </c>
      <c r="L755" s="106">
        <f>IF(NOT(ISERROR(VLOOKUP(B755,Deflatores!G$42:H$64,2,FALSE))),VLOOKUP(B755,Deflatores!G$42:H$64,2,FALSE),IF(OR(ISBLANK(C755),ISBLANK(B755)),"",VLOOKUP(C755,Deflatores!G$4:H$38,2,FALSE)*H755+VLOOKUP(C755,Deflatores!G$4:I$38,3,FALSE)))</f>
        <v>6</v>
      </c>
      <c r="M755" s="6"/>
      <c r="N755" s="6"/>
      <c r="O755" s="144"/>
    </row>
    <row r="756" spans="1:15" x14ac:dyDescent="0.25">
      <c r="A756" s="112" t="s">
        <v>645</v>
      </c>
      <c r="B756" s="113" t="s">
        <v>48</v>
      </c>
      <c r="C756" s="113" t="s">
        <v>45</v>
      </c>
      <c r="D756" s="4">
        <v>3</v>
      </c>
      <c r="E756" s="4">
        <v>1</v>
      </c>
      <c r="F756" s="105" t="str">
        <f t="shared" si="130"/>
        <v>Baixa</v>
      </c>
      <c r="G756" s="4" t="str">
        <f t="shared" si="131"/>
        <v>EEL</v>
      </c>
      <c r="H756" s="4">
        <f t="shared" si="132"/>
        <v>3</v>
      </c>
      <c r="I756" s="105" t="str">
        <f t="shared" si="133"/>
        <v>L</v>
      </c>
      <c r="J756" s="4" t="str">
        <f t="shared" si="134"/>
        <v>EEI</v>
      </c>
      <c r="K756" s="106">
        <f t="shared" si="135"/>
        <v>3</v>
      </c>
      <c r="L756" s="106">
        <f>IF(NOT(ISERROR(VLOOKUP(B756,Deflatores!G$42:H$64,2,FALSE))),VLOOKUP(B756,Deflatores!G$42:H$64,2,FALSE),IF(OR(ISBLANK(C756),ISBLANK(B756)),"",VLOOKUP(C756,Deflatores!G$4:H$38,2,FALSE)*H756+VLOOKUP(C756,Deflatores!G$4:I$38,3,FALSE)))</f>
        <v>3</v>
      </c>
      <c r="M756" s="6"/>
      <c r="N756" s="6"/>
      <c r="O756" s="144"/>
    </row>
    <row r="757" spans="1:15" x14ac:dyDescent="0.25">
      <c r="A757" s="112" t="s">
        <v>646</v>
      </c>
      <c r="B757" s="113" t="s">
        <v>50</v>
      </c>
      <c r="C757" s="113" t="s">
        <v>45</v>
      </c>
      <c r="D757" s="4">
        <v>6</v>
      </c>
      <c r="E757" s="4">
        <v>1</v>
      </c>
      <c r="F757" s="105" t="str">
        <f>IF(ISBLANK(B757),"",IF(I757="L","Baixa",IF(I757="A","Média",IF(I757="","","Alta"))))</f>
        <v>Baixa</v>
      </c>
      <c r="G757" s="4" t="str">
        <f>CONCATENATE(B757,I757)</f>
        <v>CEL</v>
      </c>
      <c r="H757" s="4">
        <f>IF(ISBLANK(B757),"",IF(B757="ALI",IF(I757="L",7,IF(I757="A",10,15)),IF(B757="AIE",IF(I757="L",5,IF(I757="A",7,10)),IF(B757="SE",IF(I757="L",4,IF(I757="A",5,7)),IF(OR(B757="EE",B757="CE"),IF(I757="L",3,IF(I757="A",4,6)),0)))))</f>
        <v>3</v>
      </c>
      <c r="I757" s="105" t="str">
        <f>IF(OR(ISBLANK(D757),ISBLANK(E757)),IF(OR(B757="ALI",B757="AIE"),"L",IF(OR(B757="EE",B757="SE",B757="CE"),"A","")),IF(B757="EE",IF(E757&gt;=3,IF(D757&gt;=5,"H","A"),IF(E757&gt;=2,IF(D757&gt;=16,"H",IF(D757&lt;=4,"L","A")),IF(D757&lt;=15,"L","A"))),IF(OR(B757="SE",B757="CE"),IF(E757&gt;=4,IF(D757&gt;=6,"H","A"),IF(E757&gt;=2,IF(D757&gt;=20,"H",IF(D757&lt;=5,"L","A")),IF(D757&lt;=19,"L","A"))),IF(OR(B757="ALI",B757="AIE"),IF(E757&gt;=6,IF(D757&gt;=20,"H","A"),IF(E757&gt;=2,IF(D757&gt;=51,"H",IF(D757&lt;=19,"L","A")),IF(D757&lt;=50,"L","A"))),""))))</f>
        <v>L</v>
      </c>
      <c r="J757" s="4" t="str">
        <f>CONCATENATE(B757,C757)</f>
        <v>CEI</v>
      </c>
      <c r="K757" s="106">
        <f>IF(OR(H757="",H757=0),L757,H757)</f>
        <v>3</v>
      </c>
      <c r="L757" s="106">
        <f>IF(NOT(ISERROR(VLOOKUP(B757,Deflatores!G$42:H$64,2,FALSE))),VLOOKUP(B757,Deflatores!G$42:H$64,2,FALSE),IF(OR(ISBLANK(C757),ISBLANK(B757)),"",VLOOKUP(C757,Deflatores!G$4:H$38,2,FALSE)*H757+VLOOKUP(C757,Deflatores!G$4:I$38,3,FALSE)))</f>
        <v>3</v>
      </c>
      <c r="M757" s="6"/>
      <c r="N757" s="6"/>
      <c r="O757" s="144"/>
    </row>
    <row r="758" spans="1:15" x14ac:dyDescent="0.25">
      <c r="A758" s="112" t="s">
        <v>647</v>
      </c>
      <c r="B758" s="113" t="s">
        <v>48</v>
      </c>
      <c r="C758" s="113" t="s">
        <v>45</v>
      </c>
      <c r="D758" s="4">
        <v>6</v>
      </c>
      <c r="E758" s="4">
        <v>1</v>
      </c>
      <c r="F758" s="105" t="str">
        <f t="shared" si="130"/>
        <v>Baixa</v>
      </c>
      <c r="G758" s="4" t="str">
        <f t="shared" si="131"/>
        <v>EEL</v>
      </c>
      <c r="H758" s="4">
        <f t="shared" si="132"/>
        <v>3</v>
      </c>
      <c r="I758" s="105" t="str">
        <f t="shared" si="133"/>
        <v>L</v>
      </c>
      <c r="J758" s="4" t="str">
        <f t="shared" si="134"/>
        <v>EEI</v>
      </c>
      <c r="K758" s="106">
        <f t="shared" si="135"/>
        <v>3</v>
      </c>
      <c r="L758" s="106">
        <f>IF(NOT(ISERROR(VLOOKUP(B758,Deflatores!G$42:H$64,2,FALSE))),VLOOKUP(B758,Deflatores!G$42:H$64,2,FALSE),IF(OR(ISBLANK(C758),ISBLANK(B758)),"",VLOOKUP(C758,Deflatores!G$4:H$38,2,FALSE)*H758+VLOOKUP(C758,Deflatores!G$4:I$38,3,FALSE)))</f>
        <v>3</v>
      </c>
      <c r="M758" s="6"/>
      <c r="N758" s="6"/>
      <c r="O758" s="144"/>
    </row>
    <row r="759" spans="1:15" x14ac:dyDescent="0.25">
      <c r="A759" s="112" t="s">
        <v>648</v>
      </c>
      <c r="B759" s="113" t="s">
        <v>48</v>
      </c>
      <c r="C759" s="113" t="s">
        <v>45</v>
      </c>
      <c r="D759" s="4">
        <v>6</v>
      </c>
      <c r="E759" s="4">
        <v>4</v>
      </c>
      <c r="F759" s="105" t="str">
        <f t="shared" si="130"/>
        <v>Alta</v>
      </c>
      <c r="G759" s="4" t="str">
        <f t="shared" si="131"/>
        <v>EEH</v>
      </c>
      <c r="H759" s="4">
        <f t="shared" si="132"/>
        <v>6</v>
      </c>
      <c r="I759" s="105" t="str">
        <f t="shared" si="133"/>
        <v>H</v>
      </c>
      <c r="J759" s="4" t="str">
        <f t="shared" si="134"/>
        <v>EEI</v>
      </c>
      <c r="K759" s="106">
        <f t="shared" si="135"/>
        <v>6</v>
      </c>
      <c r="L759" s="106">
        <f>IF(NOT(ISERROR(VLOOKUP(B759,Deflatores!G$42:H$64,2,FALSE))),VLOOKUP(B759,Deflatores!G$42:H$64,2,FALSE),IF(OR(ISBLANK(C759),ISBLANK(B759)),"",VLOOKUP(C759,Deflatores!G$4:H$38,2,FALSE)*H759+VLOOKUP(C759,Deflatores!G$4:I$38,3,FALSE)))</f>
        <v>6</v>
      </c>
      <c r="M759" s="6"/>
      <c r="N759" s="6"/>
      <c r="O759" s="144"/>
    </row>
    <row r="760" spans="1:15" x14ac:dyDescent="0.25">
      <c r="A760" s="114" t="s">
        <v>649</v>
      </c>
      <c r="B760" s="113" t="s">
        <v>50</v>
      </c>
      <c r="C760" s="113" t="s">
        <v>45</v>
      </c>
      <c r="D760" s="4">
        <v>4</v>
      </c>
      <c r="E760" s="4">
        <v>1</v>
      </c>
      <c r="F760" s="105" t="str">
        <f t="shared" si="130"/>
        <v>Baixa</v>
      </c>
      <c r="G760" s="4" t="str">
        <f t="shared" si="131"/>
        <v>CEL</v>
      </c>
      <c r="H760" s="4">
        <f t="shared" si="132"/>
        <v>3</v>
      </c>
      <c r="I760" s="105" t="str">
        <f t="shared" si="133"/>
        <v>L</v>
      </c>
      <c r="J760" s="4" t="str">
        <f t="shared" si="134"/>
        <v>CEI</v>
      </c>
      <c r="K760" s="106">
        <f t="shared" si="135"/>
        <v>3</v>
      </c>
      <c r="L760" s="106">
        <f>IF(NOT(ISERROR(VLOOKUP(B760,Deflatores!G$42:H$64,2,FALSE))),VLOOKUP(B760,Deflatores!G$42:H$64,2,FALSE),IF(OR(ISBLANK(C760),ISBLANK(B760)),"",VLOOKUP(C760,Deflatores!G$4:H$38,2,FALSE)*H760+VLOOKUP(C760,Deflatores!G$4:I$38,3,FALSE)))</f>
        <v>3</v>
      </c>
      <c r="M760" s="6"/>
      <c r="N760" s="6"/>
      <c r="O760" s="144"/>
    </row>
    <row r="761" spans="1:15" x14ac:dyDescent="0.25">
      <c r="A761" s="112" t="s">
        <v>650</v>
      </c>
      <c r="B761" s="113" t="s">
        <v>50</v>
      </c>
      <c r="C761" s="113" t="s">
        <v>45</v>
      </c>
      <c r="D761" s="4">
        <v>6</v>
      </c>
      <c r="E761" s="4">
        <v>1</v>
      </c>
      <c r="F761" s="105" t="str">
        <f t="shared" si="130"/>
        <v>Baixa</v>
      </c>
      <c r="G761" s="4" t="str">
        <f t="shared" si="131"/>
        <v>CEL</v>
      </c>
      <c r="H761" s="4">
        <f t="shared" si="132"/>
        <v>3</v>
      </c>
      <c r="I761" s="105" t="str">
        <f t="shared" si="133"/>
        <v>L</v>
      </c>
      <c r="J761" s="4" t="str">
        <f t="shared" si="134"/>
        <v>CEI</v>
      </c>
      <c r="K761" s="106">
        <f t="shared" si="135"/>
        <v>3</v>
      </c>
      <c r="L761" s="106">
        <f>IF(NOT(ISERROR(VLOOKUP(B761,Deflatores!G$42:H$64,2,FALSE))),VLOOKUP(B761,Deflatores!G$42:H$64,2,FALSE),IF(OR(ISBLANK(C761),ISBLANK(B761)),"",VLOOKUP(C761,Deflatores!G$4:H$38,2,FALSE)*H761+VLOOKUP(C761,Deflatores!G$4:I$38,3,FALSE)))</f>
        <v>3</v>
      </c>
      <c r="M761" s="6"/>
      <c r="N761" s="6"/>
      <c r="O761" s="144"/>
    </row>
    <row r="762" spans="1:15" x14ac:dyDescent="0.25">
      <c r="A762" s="112" t="s">
        <v>651</v>
      </c>
      <c r="B762" s="113" t="s">
        <v>48</v>
      </c>
      <c r="C762" s="113" t="s">
        <v>45</v>
      </c>
      <c r="D762" s="4">
        <v>4</v>
      </c>
      <c r="E762" s="4">
        <v>4</v>
      </c>
      <c r="F762" s="105" t="str">
        <f t="shared" si="130"/>
        <v>Média</v>
      </c>
      <c r="G762" s="4" t="str">
        <f t="shared" si="131"/>
        <v>EEA</v>
      </c>
      <c r="H762" s="4">
        <f t="shared" si="132"/>
        <v>4</v>
      </c>
      <c r="I762" s="105" t="str">
        <f t="shared" si="133"/>
        <v>A</v>
      </c>
      <c r="J762" s="4" t="str">
        <f t="shared" si="134"/>
        <v>EEI</v>
      </c>
      <c r="K762" s="106">
        <f t="shared" si="135"/>
        <v>4</v>
      </c>
      <c r="L762" s="106">
        <f>IF(NOT(ISERROR(VLOOKUP(B762,Deflatores!G$42:H$64,2,FALSE))),VLOOKUP(B762,Deflatores!G$42:H$64,2,FALSE),IF(OR(ISBLANK(C762),ISBLANK(B762)),"",VLOOKUP(C762,Deflatores!G$4:H$38,2,FALSE)*H762+VLOOKUP(C762,Deflatores!G$4:I$38,3,FALSE)))</f>
        <v>4</v>
      </c>
      <c r="M762" s="6"/>
      <c r="N762" s="6"/>
      <c r="O762" s="144"/>
    </row>
    <row r="763" spans="1:15" x14ac:dyDescent="0.25">
      <c r="A763" s="112" t="s">
        <v>652</v>
      </c>
      <c r="B763" s="113" t="s">
        <v>48</v>
      </c>
      <c r="C763" s="113" t="s">
        <v>45</v>
      </c>
      <c r="D763" s="4">
        <v>24</v>
      </c>
      <c r="E763" s="4">
        <v>2</v>
      </c>
      <c r="F763" s="105" t="str">
        <f t="shared" si="130"/>
        <v>Alta</v>
      </c>
      <c r="G763" s="4" t="str">
        <f t="shared" si="131"/>
        <v>EEH</v>
      </c>
      <c r="H763" s="4">
        <f t="shared" si="132"/>
        <v>6</v>
      </c>
      <c r="I763" s="105" t="str">
        <f t="shared" si="133"/>
        <v>H</v>
      </c>
      <c r="J763" s="4" t="str">
        <f t="shared" si="134"/>
        <v>EEI</v>
      </c>
      <c r="K763" s="106">
        <f t="shared" si="135"/>
        <v>6</v>
      </c>
      <c r="L763" s="106">
        <f>IF(NOT(ISERROR(VLOOKUP(B763,Deflatores!G$42:H$64,2,FALSE))),VLOOKUP(B763,Deflatores!G$42:H$64,2,FALSE),IF(OR(ISBLANK(C763),ISBLANK(B763)),"",VLOOKUP(C763,Deflatores!G$4:H$38,2,FALSE)*H763+VLOOKUP(C763,Deflatores!G$4:I$38,3,FALSE)))</f>
        <v>6</v>
      </c>
      <c r="M763" s="6"/>
      <c r="N763" s="6"/>
      <c r="O763" s="144"/>
    </row>
    <row r="764" spans="1:15" x14ac:dyDescent="0.25">
      <c r="A764" s="112" t="s">
        <v>653</v>
      </c>
      <c r="B764" s="113" t="s">
        <v>48</v>
      </c>
      <c r="C764" s="113" t="s">
        <v>45</v>
      </c>
      <c r="D764" s="4">
        <v>24</v>
      </c>
      <c r="E764" s="4">
        <v>2</v>
      </c>
      <c r="F764" s="105" t="str">
        <f t="shared" si="130"/>
        <v>Alta</v>
      </c>
      <c r="G764" s="4" t="str">
        <f t="shared" si="131"/>
        <v>EEH</v>
      </c>
      <c r="H764" s="4">
        <f t="shared" si="132"/>
        <v>6</v>
      </c>
      <c r="I764" s="105" t="str">
        <f t="shared" si="133"/>
        <v>H</v>
      </c>
      <c r="J764" s="4" t="str">
        <f t="shared" si="134"/>
        <v>EEI</v>
      </c>
      <c r="K764" s="106">
        <f t="shared" si="135"/>
        <v>6</v>
      </c>
      <c r="L764" s="106">
        <f>IF(NOT(ISERROR(VLOOKUP(B764,Deflatores!G$42:H$64,2,FALSE))),VLOOKUP(B764,Deflatores!G$42:H$64,2,FALSE),IF(OR(ISBLANK(C764),ISBLANK(B764)),"",VLOOKUP(C764,Deflatores!G$4:H$38,2,FALSE)*H764+VLOOKUP(C764,Deflatores!G$4:I$38,3,FALSE)))</f>
        <v>6</v>
      </c>
      <c r="M764" s="6"/>
      <c r="N764" s="6"/>
      <c r="O764" s="144"/>
    </row>
    <row r="765" spans="1:15" x14ac:dyDescent="0.25">
      <c r="A765" s="114" t="s">
        <v>654</v>
      </c>
      <c r="B765" s="113" t="s">
        <v>50</v>
      </c>
      <c r="C765" s="113" t="s">
        <v>45</v>
      </c>
      <c r="D765" s="4">
        <v>23</v>
      </c>
      <c r="E765" s="4">
        <v>3</v>
      </c>
      <c r="F765" s="105" t="str">
        <f t="shared" si="130"/>
        <v>Alta</v>
      </c>
      <c r="G765" s="4" t="str">
        <f t="shared" si="131"/>
        <v>CEH</v>
      </c>
      <c r="H765" s="4">
        <f t="shared" si="132"/>
        <v>6</v>
      </c>
      <c r="I765" s="105" t="str">
        <f t="shared" si="133"/>
        <v>H</v>
      </c>
      <c r="J765" s="4" t="str">
        <f t="shared" si="134"/>
        <v>CEI</v>
      </c>
      <c r="K765" s="106">
        <f t="shared" si="135"/>
        <v>6</v>
      </c>
      <c r="L765" s="106">
        <f>IF(NOT(ISERROR(VLOOKUP(B765,Deflatores!G$42:H$64,2,FALSE))),VLOOKUP(B765,Deflatores!G$42:H$64,2,FALSE),IF(OR(ISBLANK(C765),ISBLANK(B765)),"",VLOOKUP(C765,Deflatores!G$4:H$38,2,FALSE)*H765+VLOOKUP(C765,Deflatores!G$4:I$38,3,FALSE)))</f>
        <v>6</v>
      </c>
      <c r="M765" s="6"/>
      <c r="N765" s="6"/>
      <c r="O765" s="144"/>
    </row>
    <row r="766" spans="1:15" x14ac:dyDescent="0.25">
      <c r="A766" s="112" t="s">
        <v>655</v>
      </c>
      <c r="B766" s="113" t="s">
        <v>50</v>
      </c>
      <c r="C766" s="113" t="s">
        <v>45</v>
      </c>
      <c r="D766" s="4">
        <v>25</v>
      </c>
      <c r="E766" s="4">
        <v>3</v>
      </c>
      <c r="F766" s="105" t="str">
        <f t="shared" si="130"/>
        <v>Alta</v>
      </c>
      <c r="G766" s="4" t="str">
        <f t="shared" si="131"/>
        <v>CEH</v>
      </c>
      <c r="H766" s="4">
        <f t="shared" si="132"/>
        <v>6</v>
      </c>
      <c r="I766" s="105" t="str">
        <f t="shared" si="133"/>
        <v>H</v>
      </c>
      <c r="J766" s="4" t="str">
        <f t="shared" si="134"/>
        <v>CEI</v>
      </c>
      <c r="K766" s="106">
        <f t="shared" si="135"/>
        <v>6</v>
      </c>
      <c r="L766" s="106">
        <f>IF(NOT(ISERROR(VLOOKUP(B766,Deflatores!G$42:H$64,2,FALSE))),VLOOKUP(B766,Deflatores!G$42:H$64,2,FALSE),IF(OR(ISBLANK(C766),ISBLANK(B766)),"",VLOOKUP(C766,Deflatores!G$4:H$38,2,FALSE)*H766+VLOOKUP(C766,Deflatores!G$4:I$38,3,FALSE)))</f>
        <v>6</v>
      </c>
      <c r="M766" s="6"/>
      <c r="N766" s="6"/>
      <c r="O766" s="144"/>
    </row>
    <row r="767" spans="1:15" x14ac:dyDescent="0.25">
      <c r="A767" s="112" t="s">
        <v>1418</v>
      </c>
      <c r="B767" s="113" t="s">
        <v>48</v>
      </c>
      <c r="C767" s="113" t="s">
        <v>45</v>
      </c>
      <c r="D767" s="4">
        <v>4</v>
      </c>
      <c r="E767" s="4">
        <v>3</v>
      </c>
      <c r="F767" s="105" t="str">
        <f t="shared" ref="F767" si="148">IF(ISBLANK(B767),"",IF(I767="L","Baixa",IF(I767="A","Média",IF(I767="","","Alta"))))</f>
        <v>Média</v>
      </c>
      <c r="G767" s="4" t="str">
        <f t="shared" ref="G767" si="149">CONCATENATE(B767,I767)</f>
        <v>EEA</v>
      </c>
      <c r="H767" s="4">
        <f t="shared" ref="H767" si="150">IF(ISBLANK(B767),"",IF(B767="ALI",IF(I767="L",7,IF(I767="A",10,15)),IF(B767="AIE",IF(I767="L",5,IF(I767="A",7,10)),IF(B767="SE",IF(I767="L",4,IF(I767="A",5,7)),IF(OR(B767="EE",B767="CE"),IF(I767="L",3,IF(I767="A",4,6)),0)))))</f>
        <v>4</v>
      </c>
      <c r="I767" s="105" t="str">
        <f t="shared" ref="I767" si="151">IF(OR(ISBLANK(D767),ISBLANK(E767)),IF(OR(B767="ALI",B767="AIE"),"L",IF(OR(B767="EE",B767="SE",B767="CE"),"A","")),IF(B767="EE",IF(E767&gt;=3,IF(D767&gt;=5,"H","A"),IF(E767&gt;=2,IF(D767&gt;=16,"H",IF(D767&lt;=4,"L","A")),IF(D767&lt;=15,"L","A"))),IF(OR(B767="SE",B767="CE"),IF(E767&gt;=4,IF(D767&gt;=6,"H","A"),IF(E767&gt;=2,IF(D767&gt;=20,"H",IF(D767&lt;=5,"L","A")),IF(D767&lt;=19,"L","A"))),IF(OR(B767="ALI",B767="AIE"),IF(E767&gt;=6,IF(D767&gt;=20,"H","A"),IF(E767&gt;=2,IF(D767&gt;=51,"H",IF(D767&lt;=19,"L","A")),IF(D767&lt;=50,"L","A"))),""))))</f>
        <v>A</v>
      </c>
      <c r="J767" s="4" t="str">
        <f t="shared" ref="J767" si="152">CONCATENATE(B767,C767)</f>
        <v>EEI</v>
      </c>
      <c r="K767" s="106">
        <f t="shared" ref="K767" si="153">IF(OR(H767="",H767=0),L767,H767)</f>
        <v>4</v>
      </c>
      <c r="L767" s="106">
        <f>IF(NOT(ISERROR(VLOOKUP(B767,Deflatores!G$42:H$64,2,FALSE))),VLOOKUP(B767,Deflatores!G$42:H$64,2,FALSE),IF(OR(ISBLANK(C767),ISBLANK(B767)),"",VLOOKUP(C767,Deflatores!G$4:H$38,2,FALSE)*H767+VLOOKUP(C767,Deflatores!G$4:I$38,3,FALSE)))</f>
        <v>4</v>
      </c>
      <c r="M767" s="6"/>
      <c r="N767" s="6"/>
      <c r="O767" s="144"/>
    </row>
    <row r="768" spans="1:15" x14ac:dyDescent="0.25">
      <c r="A768" s="112" t="s">
        <v>656</v>
      </c>
      <c r="B768" s="113" t="s">
        <v>48</v>
      </c>
      <c r="C768" s="113" t="s">
        <v>45</v>
      </c>
      <c r="D768" s="4">
        <v>8</v>
      </c>
      <c r="E768" s="4">
        <v>3</v>
      </c>
      <c r="F768" s="105" t="str">
        <f t="shared" si="130"/>
        <v>Alta</v>
      </c>
      <c r="G768" s="4" t="str">
        <f t="shared" si="131"/>
        <v>EEH</v>
      </c>
      <c r="H768" s="4">
        <f t="shared" si="132"/>
        <v>6</v>
      </c>
      <c r="I768" s="105" t="str">
        <f t="shared" si="133"/>
        <v>H</v>
      </c>
      <c r="J768" s="4" t="str">
        <f t="shared" si="134"/>
        <v>EEI</v>
      </c>
      <c r="K768" s="106">
        <f t="shared" si="135"/>
        <v>6</v>
      </c>
      <c r="L768" s="106">
        <f>IF(NOT(ISERROR(VLOOKUP(B768,Deflatores!G$42:H$64,2,FALSE))),VLOOKUP(B768,Deflatores!G$42:H$64,2,FALSE),IF(OR(ISBLANK(C768),ISBLANK(B768)),"",VLOOKUP(C768,Deflatores!G$4:H$38,2,FALSE)*H768+VLOOKUP(C768,Deflatores!G$4:I$38,3,FALSE)))</f>
        <v>6</v>
      </c>
      <c r="M768" s="6"/>
      <c r="N768" s="6"/>
      <c r="O768" s="144"/>
    </row>
    <row r="769" spans="1:15" x14ac:dyDescent="0.25">
      <c r="A769" s="112" t="s">
        <v>657</v>
      </c>
      <c r="B769" s="113" t="s">
        <v>48</v>
      </c>
      <c r="C769" s="113" t="s">
        <v>45</v>
      </c>
      <c r="D769" s="4">
        <v>3</v>
      </c>
      <c r="E769" s="4">
        <v>1</v>
      </c>
      <c r="F769" s="105" t="str">
        <f t="shared" si="130"/>
        <v>Baixa</v>
      </c>
      <c r="G769" s="4" t="str">
        <f t="shared" si="131"/>
        <v>EEL</v>
      </c>
      <c r="H769" s="4">
        <f t="shared" si="132"/>
        <v>3</v>
      </c>
      <c r="I769" s="105" t="str">
        <f t="shared" si="133"/>
        <v>L</v>
      </c>
      <c r="J769" s="4" t="str">
        <f t="shared" si="134"/>
        <v>EEI</v>
      </c>
      <c r="K769" s="106">
        <f t="shared" si="135"/>
        <v>3</v>
      </c>
      <c r="L769" s="106">
        <f>IF(NOT(ISERROR(VLOOKUP(B769,Deflatores!G$42:H$64,2,FALSE))),VLOOKUP(B769,Deflatores!G$42:H$64,2,FALSE),IF(OR(ISBLANK(C769),ISBLANK(B769)),"",VLOOKUP(C769,Deflatores!G$4:H$38,2,FALSE)*H769+VLOOKUP(C769,Deflatores!G$4:I$38,3,FALSE)))</f>
        <v>3</v>
      </c>
      <c r="M769" s="6"/>
      <c r="N769" s="6"/>
      <c r="O769" s="144"/>
    </row>
    <row r="770" spans="1:15" ht="13.5" customHeight="1" x14ac:dyDescent="0.25">
      <c r="A770" s="112" t="s">
        <v>658</v>
      </c>
      <c r="B770" s="113" t="s">
        <v>48</v>
      </c>
      <c r="C770" s="113" t="s">
        <v>45</v>
      </c>
      <c r="D770" s="4">
        <v>5</v>
      </c>
      <c r="E770" s="4">
        <v>3</v>
      </c>
      <c r="F770" s="105" t="str">
        <f t="shared" si="130"/>
        <v>Alta</v>
      </c>
      <c r="G770" s="4" t="str">
        <f t="shared" si="131"/>
        <v>EEH</v>
      </c>
      <c r="H770" s="4">
        <f t="shared" si="132"/>
        <v>6</v>
      </c>
      <c r="I770" s="105" t="str">
        <f t="shared" si="133"/>
        <v>H</v>
      </c>
      <c r="J770" s="4" t="str">
        <f t="shared" si="134"/>
        <v>EEI</v>
      </c>
      <c r="K770" s="106">
        <f t="shared" si="135"/>
        <v>6</v>
      </c>
      <c r="L770" s="106">
        <f>IF(NOT(ISERROR(VLOOKUP(B770,Deflatores!G$42:H$64,2,FALSE))),VLOOKUP(B770,Deflatores!G$42:H$64,2,FALSE),IF(OR(ISBLANK(C770),ISBLANK(B770)),"",VLOOKUP(C770,Deflatores!G$4:H$38,2,FALSE)*H770+VLOOKUP(C770,Deflatores!G$4:I$38,3,FALSE)))</f>
        <v>6</v>
      </c>
      <c r="M770" s="6"/>
      <c r="N770" s="6"/>
      <c r="O770" s="144"/>
    </row>
    <row r="771" spans="1:15" ht="14.25" customHeight="1" x14ac:dyDescent="0.25">
      <c r="A771" s="112" t="s">
        <v>659</v>
      </c>
      <c r="B771" s="113" t="s">
        <v>48</v>
      </c>
      <c r="C771" s="113" t="s">
        <v>45</v>
      </c>
      <c r="D771" s="4">
        <v>5</v>
      </c>
      <c r="E771" s="4">
        <v>3</v>
      </c>
      <c r="F771" s="105" t="str">
        <f t="shared" si="130"/>
        <v>Alta</v>
      </c>
      <c r="G771" s="4" t="str">
        <f t="shared" si="131"/>
        <v>EEH</v>
      </c>
      <c r="H771" s="4">
        <f t="shared" si="132"/>
        <v>6</v>
      </c>
      <c r="I771" s="105" t="str">
        <f t="shared" si="133"/>
        <v>H</v>
      </c>
      <c r="J771" s="4" t="str">
        <f t="shared" si="134"/>
        <v>EEI</v>
      </c>
      <c r="K771" s="106">
        <f t="shared" si="135"/>
        <v>6</v>
      </c>
      <c r="L771" s="106">
        <f>IF(NOT(ISERROR(VLOOKUP(B771,Deflatores!G$42:H$64,2,FALSE))),VLOOKUP(B771,Deflatores!G$42:H$64,2,FALSE),IF(OR(ISBLANK(C771),ISBLANK(B771)),"",VLOOKUP(C771,Deflatores!G$4:H$38,2,FALSE)*H771+VLOOKUP(C771,Deflatores!G$4:I$38,3,FALSE)))</f>
        <v>6</v>
      </c>
      <c r="M771" s="6"/>
      <c r="N771" s="6"/>
      <c r="O771" s="144"/>
    </row>
    <row r="772" spans="1:15" ht="15" customHeight="1" x14ac:dyDescent="0.25">
      <c r="A772" s="112" t="s">
        <v>660</v>
      </c>
      <c r="B772" s="113" t="s">
        <v>48</v>
      </c>
      <c r="C772" s="113" t="s">
        <v>45</v>
      </c>
      <c r="D772" s="4">
        <v>9</v>
      </c>
      <c r="E772" s="4">
        <v>3</v>
      </c>
      <c r="F772" s="105" t="str">
        <f t="shared" si="130"/>
        <v>Alta</v>
      </c>
      <c r="G772" s="4" t="str">
        <f t="shared" si="131"/>
        <v>EEH</v>
      </c>
      <c r="H772" s="4">
        <f t="shared" si="132"/>
        <v>6</v>
      </c>
      <c r="I772" s="105" t="str">
        <f t="shared" si="133"/>
        <v>H</v>
      </c>
      <c r="J772" s="4" t="str">
        <f t="shared" si="134"/>
        <v>EEI</v>
      </c>
      <c r="K772" s="106">
        <f t="shared" si="135"/>
        <v>6</v>
      </c>
      <c r="L772" s="106">
        <f>IF(NOT(ISERROR(VLOOKUP(B772,Deflatores!G$42:H$64,2,FALSE))),VLOOKUP(B772,Deflatores!G$42:H$64,2,FALSE),IF(OR(ISBLANK(C772),ISBLANK(B772)),"",VLOOKUP(C772,Deflatores!G$4:H$38,2,FALSE)*H772+VLOOKUP(C772,Deflatores!G$4:I$38,3,FALSE)))</f>
        <v>6</v>
      </c>
      <c r="M772" s="6"/>
      <c r="N772" s="6"/>
      <c r="O772" s="144"/>
    </row>
    <row r="773" spans="1:15" x14ac:dyDescent="0.25">
      <c r="A773" s="114" t="s">
        <v>661</v>
      </c>
      <c r="B773" s="113" t="s">
        <v>50</v>
      </c>
      <c r="C773" s="113" t="s">
        <v>45</v>
      </c>
      <c r="D773" s="4">
        <v>5</v>
      </c>
      <c r="E773" s="4">
        <v>3</v>
      </c>
      <c r="F773" s="105" t="str">
        <f t="shared" si="130"/>
        <v>Baixa</v>
      </c>
      <c r="G773" s="4" t="str">
        <f t="shared" si="131"/>
        <v>CEL</v>
      </c>
      <c r="H773" s="4">
        <f t="shared" si="132"/>
        <v>3</v>
      </c>
      <c r="I773" s="105" t="str">
        <f t="shared" si="133"/>
        <v>L</v>
      </c>
      <c r="J773" s="4" t="str">
        <f t="shared" si="134"/>
        <v>CEI</v>
      </c>
      <c r="K773" s="106">
        <f t="shared" si="135"/>
        <v>3</v>
      </c>
      <c r="L773" s="106">
        <f>IF(NOT(ISERROR(VLOOKUP(B773,Deflatores!G$42:H$64,2,FALSE))),VLOOKUP(B773,Deflatores!G$42:H$64,2,FALSE),IF(OR(ISBLANK(C773),ISBLANK(B773)),"",VLOOKUP(C773,Deflatores!G$4:H$38,2,FALSE)*H773+VLOOKUP(C773,Deflatores!G$4:I$38,3,FALSE)))</f>
        <v>3</v>
      </c>
      <c r="M773" s="6"/>
      <c r="N773" s="6"/>
      <c r="O773" s="144"/>
    </row>
    <row r="774" spans="1:15" x14ac:dyDescent="0.25">
      <c r="A774" s="112" t="s">
        <v>645</v>
      </c>
      <c r="B774" s="113" t="s">
        <v>48</v>
      </c>
      <c r="C774" s="113" t="s">
        <v>45</v>
      </c>
      <c r="D774" s="4">
        <v>3</v>
      </c>
      <c r="E774" s="4">
        <v>4</v>
      </c>
      <c r="F774" s="105" t="str">
        <f t="shared" si="130"/>
        <v>Média</v>
      </c>
      <c r="G774" s="4" t="str">
        <f t="shared" si="131"/>
        <v>EEA</v>
      </c>
      <c r="H774" s="4">
        <f t="shared" si="132"/>
        <v>4</v>
      </c>
      <c r="I774" s="105" t="str">
        <f t="shared" si="133"/>
        <v>A</v>
      </c>
      <c r="J774" s="4" t="str">
        <f t="shared" si="134"/>
        <v>EEI</v>
      </c>
      <c r="K774" s="106">
        <f t="shared" si="135"/>
        <v>4</v>
      </c>
      <c r="L774" s="106">
        <f>IF(NOT(ISERROR(VLOOKUP(B774,Deflatores!G$42:H$64,2,FALSE))),VLOOKUP(B774,Deflatores!G$42:H$64,2,FALSE),IF(OR(ISBLANK(C774),ISBLANK(B774)),"",VLOOKUP(C774,Deflatores!G$4:H$38,2,FALSE)*H774+VLOOKUP(C774,Deflatores!G$4:I$38,3,FALSE)))</f>
        <v>4</v>
      </c>
      <c r="M774" s="6"/>
      <c r="N774" s="6"/>
      <c r="O774" s="144"/>
    </row>
    <row r="775" spans="1:15" x14ac:dyDescent="0.25">
      <c r="A775" s="112" t="s">
        <v>662</v>
      </c>
      <c r="B775" s="113" t="s">
        <v>48</v>
      </c>
      <c r="C775" s="113" t="s">
        <v>45</v>
      </c>
      <c r="D775" s="4">
        <v>22</v>
      </c>
      <c r="E775" s="4">
        <v>5</v>
      </c>
      <c r="F775" s="105" t="str">
        <f t="shared" ref="F775:F805" si="154">IF(ISBLANK(B775),"",IF(I775="L","Baixa",IF(I775="A","Média",IF(I775="","","Alta"))))</f>
        <v>Alta</v>
      </c>
      <c r="G775" s="4" t="str">
        <f t="shared" ref="G775:G805" si="155">CONCATENATE(B775,I775)</f>
        <v>EEH</v>
      </c>
      <c r="H775" s="4">
        <f t="shared" ref="H775:H805" si="156">IF(ISBLANK(B775),"",IF(B775="ALI",IF(I775="L",7,IF(I775="A",10,15)),IF(B775="AIE",IF(I775="L",5,IF(I775="A",7,10)),IF(B775="SE",IF(I775="L",4,IF(I775="A",5,7)),IF(OR(B775="EE",B775="CE"),IF(I775="L",3,IF(I775="A",4,6)),0)))))</f>
        <v>6</v>
      </c>
      <c r="I775" s="105" t="str">
        <f t="shared" ref="I775:I805" si="157">IF(OR(ISBLANK(D775),ISBLANK(E775)),IF(OR(B775="ALI",B775="AIE"),"L",IF(OR(B775="EE",B775="SE",B775="CE"),"A","")),IF(B775="EE",IF(E775&gt;=3,IF(D775&gt;=5,"H","A"),IF(E775&gt;=2,IF(D775&gt;=16,"H",IF(D775&lt;=4,"L","A")),IF(D775&lt;=15,"L","A"))),IF(OR(B775="SE",B775="CE"),IF(E775&gt;=4,IF(D775&gt;=6,"H","A"),IF(E775&gt;=2,IF(D775&gt;=20,"H",IF(D775&lt;=5,"L","A")),IF(D775&lt;=19,"L","A"))),IF(OR(B775="ALI",B775="AIE"),IF(E775&gt;=6,IF(D775&gt;=20,"H","A"),IF(E775&gt;=2,IF(D775&gt;=51,"H",IF(D775&lt;=19,"L","A")),IF(D775&lt;=50,"L","A"))),""))))</f>
        <v>H</v>
      </c>
      <c r="J775" s="4" t="str">
        <f t="shared" ref="J775:J805" si="158">CONCATENATE(B775,C775)</f>
        <v>EEI</v>
      </c>
      <c r="K775" s="106">
        <f t="shared" ref="K775:K805" si="159">IF(OR(H775="",H775=0),L775,H775)</f>
        <v>6</v>
      </c>
      <c r="L775" s="106">
        <f>IF(NOT(ISERROR(VLOOKUP(B775,Deflatores!G$42:H$64,2,FALSE))),VLOOKUP(B775,Deflatores!G$42:H$64,2,FALSE),IF(OR(ISBLANK(C775),ISBLANK(B775)),"",VLOOKUP(C775,Deflatores!G$4:H$38,2,FALSE)*H775+VLOOKUP(C775,Deflatores!G$4:I$38,3,FALSE)))</f>
        <v>6</v>
      </c>
      <c r="M775" s="6"/>
      <c r="N775" s="6"/>
      <c r="O775" s="144"/>
    </row>
    <row r="776" spans="1:15" x14ac:dyDescent="0.25">
      <c r="A776" s="112" t="s">
        <v>663</v>
      </c>
      <c r="B776" s="113" t="s">
        <v>50</v>
      </c>
      <c r="C776" s="113" t="s">
        <v>45</v>
      </c>
      <c r="D776" s="4">
        <v>48</v>
      </c>
      <c r="E776" s="4">
        <v>7</v>
      </c>
      <c r="F776" s="105" t="str">
        <f t="shared" si="154"/>
        <v>Alta</v>
      </c>
      <c r="G776" s="4" t="str">
        <f t="shared" si="155"/>
        <v>CEH</v>
      </c>
      <c r="H776" s="4">
        <f t="shared" si="156"/>
        <v>6</v>
      </c>
      <c r="I776" s="105" t="str">
        <f t="shared" si="157"/>
        <v>H</v>
      </c>
      <c r="J776" s="4" t="str">
        <f t="shared" si="158"/>
        <v>CEI</v>
      </c>
      <c r="K776" s="106">
        <f t="shared" si="159"/>
        <v>6</v>
      </c>
      <c r="L776" s="106">
        <f>IF(NOT(ISERROR(VLOOKUP(B776,Deflatores!G$42:H$64,2,FALSE))),VLOOKUP(B776,Deflatores!G$42:H$64,2,FALSE),IF(OR(ISBLANK(C776),ISBLANK(B776)),"",VLOOKUP(C776,Deflatores!G$4:H$38,2,FALSE)*H776+VLOOKUP(C776,Deflatores!G$4:I$38,3,FALSE)))</f>
        <v>6</v>
      </c>
      <c r="M776" s="6"/>
      <c r="N776" s="6"/>
      <c r="O776" s="144"/>
    </row>
    <row r="777" spans="1:15" x14ac:dyDescent="0.25">
      <c r="A777" s="145"/>
      <c r="B777" s="113"/>
      <c r="C777" s="113"/>
      <c r="D777" s="4"/>
      <c r="E777" s="4"/>
      <c r="F777" s="105" t="str">
        <f t="shared" si="154"/>
        <v/>
      </c>
      <c r="G777" s="4" t="str">
        <f t="shared" si="155"/>
        <v/>
      </c>
      <c r="H777" s="4" t="str">
        <f t="shared" si="156"/>
        <v/>
      </c>
      <c r="I777" s="105" t="str">
        <f t="shared" si="157"/>
        <v/>
      </c>
      <c r="J777" s="4" t="str">
        <f t="shared" si="158"/>
        <v/>
      </c>
      <c r="K777" s="106" t="str">
        <f t="shared" si="159"/>
        <v/>
      </c>
      <c r="L777" s="106" t="str">
        <f>IF(NOT(ISERROR(VLOOKUP(B777,Deflatores!G$42:H$64,2,FALSE))),VLOOKUP(B777,Deflatores!G$42:H$64,2,FALSE),IF(OR(ISBLANK(C777),ISBLANK(B777)),"",VLOOKUP(C777,Deflatores!G$4:H$38,2,FALSE)*H777+VLOOKUP(C777,Deflatores!G$4:I$38,3,FALSE)))</f>
        <v/>
      </c>
      <c r="M777" s="6"/>
      <c r="N777" s="6"/>
      <c r="O777" s="144"/>
    </row>
    <row r="778" spans="1:15" x14ac:dyDescent="0.25">
      <c r="A778" s="143" t="s">
        <v>664</v>
      </c>
      <c r="B778" s="113"/>
      <c r="C778" s="113"/>
      <c r="D778" s="4"/>
      <c r="E778" s="4"/>
      <c r="F778" s="105" t="str">
        <f t="shared" si="154"/>
        <v/>
      </c>
      <c r="G778" s="4" t="str">
        <f t="shared" si="155"/>
        <v/>
      </c>
      <c r="H778" s="4" t="str">
        <f t="shared" si="156"/>
        <v/>
      </c>
      <c r="I778" s="105" t="str">
        <f t="shared" si="157"/>
        <v/>
      </c>
      <c r="J778" s="4" t="str">
        <f t="shared" si="158"/>
        <v/>
      </c>
      <c r="K778" s="106" t="str">
        <f t="shared" si="159"/>
        <v/>
      </c>
      <c r="L778" s="106" t="str">
        <f>IF(NOT(ISERROR(VLOOKUP(B778,Deflatores!G$42:H$64,2,FALSE))),VLOOKUP(B778,Deflatores!G$42:H$64,2,FALSE),IF(OR(ISBLANK(C778),ISBLANK(B778)),"",VLOOKUP(C778,Deflatores!G$4:H$38,2,FALSE)*H778+VLOOKUP(C778,Deflatores!G$4:I$38,3,FALSE)))</f>
        <v/>
      </c>
      <c r="M778" s="6"/>
      <c r="N778" s="6"/>
      <c r="O778" s="144"/>
    </row>
    <row r="779" spans="1:15" x14ac:dyDescent="0.25">
      <c r="A779" s="112" t="s">
        <v>665</v>
      </c>
      <c r="B779" s="113" t="s">
        <v>48</v>
      </c>
      <c r="C779" s="113" t="s">
        <v>45</v>
      </c>
      <c r="D779" s="4">
        <v>23</v>
      </c>
      <c r="E779" s="4">
        <v>5</v>
      </c>
      <c r="F779" s="105" t="str">
        <f t="shared" si="154"/>
        <v>Alta</v>
      </c>
      <c r="G779" s="4" t="str">
        <f t="shared" si="155"/>
        <v>EEH</v>
      </c>
      <c r="H779" s="4">
        <f t="shared" si="156"/>
        <v>6</v>
      </c>
      <c r="I779" s="105" t="str">
        <f t="shared" si="157"/>
        <v>H</v>
      </c>
      <c r="J779" s="4" t="str">
        <f t="shared" si="158"/>
        <v>EEI</v>
      </c>
      <c r="K779" s="106">
        <f t="shared" si="159"/>
        <v>6</v>
      </c>
      <c r="L779" s="106">
        <f>IF(NOT(ISERROR(VLOOKUP(B779,Deflatores!G$42:H$64,2,FALSE))),VLOOKUP(B779,Deflatores!G$42:H$64,2,FALSE),IF(OR(ISBLANK(C779),ISBLANK(B779)),"",VLOOKUP(C779,Deflatores!G$4:H$38,2,FALSE)*H779+VLOOKUP(C779,Deflatores!G$4:I$38,3,FALSE)))</f>
        <v>6</v>
      </c>
      <c r="M779" s="6"/>
      <c r="N779" s="6"/>
      <c r="O779" s="144"/>
    </row>
    <row r="780" spans="1:15" x14ac:dyDescent="0.25">
      <c r="A780" s="112" t="s">
        <v>666</v>
      </c>
      <c r="B780" s="113" t="s">
        <v>48</v>
      </c>
      <c r="C780" s="113" t="s">
        <v>45</v>
      </c>
      <c r="D780" s="4">
        <v>23</v>
      </c>
      <c r="E780" s="4">
        <v>5</v>
      </c>
      <c r="F780" s="105" t="str">
        <f t="shared" si="154"/>
        <v>Alta</v>
      </c>
      <c r="G780" s="4" t="str">
        <f t="shared" si="155"/>
        <v>EEH</v>
      </c>
      <c r="H780" s="4">
        <f t="shared" si="156"/>
        <v>6</v>
      </c>
      <c r="I780" s="105" t="str">
        <f t="shared" si="157"/>
        <v>H</v>
      </c>
      <c r="J780" s="4" t="str">
        <f t="shared" si="158"/>
        <v>EEI</v>
      </c>
      <c r="K780" s="106">
        <f t="shared" si="159"/>
        <v>6</v>
      </c>
      <c r="L780" s="106">
        <f>IF(NOT(ISERROR(VLOOKUP(B780,Deflatores!G$42:H$64,2,FALSE))),VLOOKUP(B780,Deflatores!G$42:H$64,2,FALSE),IF(OR(ISBLANK(C780),ISBLANK(B780)),"",VLOOKUP(C780,Deflatores!G$4:H$38,2,FALSE)*H780+VLOOKUP(C780,Deflatores!G$4:I$38,3,FALSE)))</f>
        <v>6</v>
      </c>
      <c r="M780" s="6"/>
      <c r="N780" s="6"/>
      <c r="O780" s="144"/>
    </row>
    <row r="781" spans="1:15" x14ac:dyDescent="0.25">
      <c r="A781" s="114" t="s">
        <v>667</v>
      </c>
      <c r="B781" s="113" t="s">
        <v>50</v>
      </c>
      <c r="C781" s="113" t="s">
        <v>45</v>
      </c>
      <c r="D781" s="4">
        <v>21</v>
      </c>
      <c r="E781" s="4">
        <v>5</v>
      </c>
      <c r="F781" s="105" t="str">
        <f t="shared" si="154"/>
        <v>Alta</v>
      </c>
      <c r="G781" s="4" t="str">
        <f t="shared" si="155"/>
        <v>CEH</v>
      </c>
      <c r="H781" s="4">
        <f t="shared" si="156"/>
        <v>6</v>
      </c>
      <c r="I781" s="105" t="str">
        <f t="shared" si="157"/>
        <v>H</v>
      </c>
      <c r="J781" s="4" t="str">
        <f t="shared" si="158"/>
        <v>CEI</v>
      </c>
      <c r="K781" s="106">
        <f t="shared" si="159"/>
        <v>6</v>
      </c>
      <c r="L781" s="106">
        <f>IF(NOT(ISERROR(VLOOKUP(B781,Deflatores!G$42:H$64,2,FALSE))),VLOOKUP(B781,Deflatores!G$42:H$64,2,FALSE),IF(OR(ISBLANK(C781),ISBLANK(B781)),"",VLOOKUP(C781,Deflatores!G$4:H$38,2,FALSE)*H781+VLOOKUP(C781,Deflatores!G$4:I$38,3,FALSE)))</f>
        <v>6</v>
      </c>
      <c r="M781" s="6"/>
      <c r="N781" s="6"/>
      <c r="O781" s="144"/>
    </row>
    <row r="782" spans="1:15" x14ac:dyDescent="0.25">
      <c r="A782" s="112" t="s">
        <v>668</v>
      </c>
      <c r="B782" s="113" t="s">
        <v>48</v>
      </c>
      <c r="C782" s="113" t="s">
        <v>45</v>
      </c>
      <c r="D782" s="4">
        <v>19</v>
      </c>
      <c r="E782" s="4">
        <v>2</v>
      </c>
      <c r="F782" s="105" t="str">
        <f t="shared" si="154"/>
        <v>Alta</v>
      </c>
      <c r="G782" s="4" t="str">
        <f t="shared" si="155"/>
        <v>EEH</v>
      </c>
      <c r="H782" s="4">
        <f t="shared" si="156"/>
        <v>6</v>
      </c>
      <c r="I782" s="105" t="str">
        <f t="shared" si="157"/>
        <v>H</v>
      </c>
      <c r="J782" s="4" t="str">
        <f t="shared" si="158"/>
        <v>EEI</v>
      </c>
      <c r="K782" s="106">
        <f t="shared" si="159"/>
        <v>6</v>
      </c>
      <c r="L782" s="106">
        <f>IF(NOT(ISERROR(VLOOKUP(B782,Deflatores!G$42:H$64,2,FALSE))),VLOOKUP(B782,Deflatores!G$42:H$64,2,FALSE),IF(OR(ISBLANK(C782),ISBLANK(B782)),"",VLOOKUP(C782,Deflatores!G$4:H$38,2,FALSE)*H782+VLOOKUP(C782,Deflatores!G$4:I$38,3,FALSE)))</f>
        <v>6</v>
      </c>
      <c r="M782" s="6"/>
      <c r="N782" s="6"/>
      <c r="O782" s="144"/>
    </row>
    <row r="783" spans="1:15" x14ac:dyDescent="0.25">
      <c r="A783" s="112" t="s">
        <v>669</v>
      </c>
      <c r="B783" s="113" t="s">
        <v>48</v>
      </c>
      <c r="C783" s="113" t="s">
        <v>45</v>
      </c>
      <c r="D783" s="4">
        <v>19</v>
      </c>
      <c r="E783" s="4">
        <v>2</v>
      </c>
      <c r="F783" s="105" t="str">
        <f t="shared" si="154"/>
        <v>Alta</v>
      </c>
      <c r="G783" s="4" t="str">
        <f t="shared" si="155"/>
        <v>EEH</v>
      </c>
      <c r="H783" s="4">
        <f t="shared" si="156"/>
        <v>6</v>
      </c>
      <c r="I783" s="105" t="str">
        <f t="shared" si="157"/>
        <v>H</v>
      </c>
      <c r="J783" s="4" t="str">
        <f t="shared" si="158"/>
        <v>EEI</v>
      </c>
      <c r="K783" s="106">
        <f t="shared" si="159"/>
        <v>6</v>
      </c>
      <c r="L783" s="106">
        <f>IF(NOT(ISERROR(VLOOKUP(B783,Deflatores!G$42:H$64,2,FALSE))),VLOOKUP(B783,Deflatores!G$42:H$64,2,FALSE),IF(OR(ISBLANK(C783),ISBLANK(B783)),"",VLOOKUP(C783,Deflatores!G$4:H$38,2,FALSE)*H783+VLOOKUP(C783,Deflatores!G$4:I$38,3,FALSE)))</f>
        <v>6</v>
      </c>
      <c r="M783" s="6"/>
      <c r="N783" s="6"/>
      <c r="O783" s="144"/>
    </row>
    <row r="784" spans="1:15" x14ac:dyDescent="0.25">
      <c r="A784" s="114" t="s">
        <v>670</v>
      </c>
      <c r="B784" s="113" t="s">
        <v>50</v>
      </c>
      <c r="C784" s="113" t="s">
        <v>45</v>
      </c>
      <c r="D784" s="4">
        <v>24</v>
      </c>
      <c r="E784" s="4">
        <v>2</v>
      </c>
      <c r="F784" s="105" t="str">
        <f t="shared" si="154"/>
        <v>Alta</v>
      </c>
      <c r="G784" s="4" t="str">
        <f t="shared" si="155"/>
        <v>CEH</v>
      </c>
      <c r="H784" s="4">
        <f t="shared" si="156"/>
        <v>6</v>
      </c>
      <c r="I784" s="105" t="str">
        <f t="shared" si="157"/>
        <v>H</v>
      </c>
      <c r="J784" s="4" t="str">
        <f t="shared" si="158"/>
        <v>CEI</v>
      </c>
      <c r="K784" s="106">
        <f t="shared" si="159"/>
        <v>6</v>
      </c>
      <c r="L784" s="106">
        <f>IF(NOT(ISERROR(VLOOKUP(B784,Deflatores!G$42:H$64,2,FALSE))),VLOOKUP(B784,Deflatores!G$42:H$64,2,FALSE),IF(OR(ISBLANK(C784),ISBLANK(B784)),"",VLOOKUP(C784,Deflatores!G$4:H$38,2,FALSE)*H784+VLOOKUP(C784,Deflatores!G$4:I$38,3,FALSE)))</f>
        <v>6</v>
      </c>
      <c r="M784" s="6"/>
      <c r="N784" s="6"/>
      <c r="O784" s="144"/>
    </row>
    <row r="785" spans="1:15" x14ac:dyDescent="0.25">
      <c r="A785" s="112" t="s">
        <v>671</v>
      </c>
      <c r="B785" s="113" t="s">
        <v>50</v>
      </c>
      <c r="C785" s="113" t="s">
        <v>45</v>
      </c>
      <c r="D785" s="4">
        <v>24</v>
      </c>
      <c r="E785" s="4">
        <v>2</v>
      </c>
      <c r="F785" s="105" t="str">
        <f t="shared" si="154"/>
        <v>Alta</v>
      </c>
      <c r="G785" s="4" t="str">
        <f t="shared" si="155"/>
        <v>CEH</v>
      </c>
      <c r="H785" s="4">
        <f t="shared" si="156"/>
        <v>6</v>
      </c>
      <c r="I785" s="105" t="str">
        <f t="shared" si="157"/>
        <v>H</v>
      </c>
      <c r="J785" s="4" t="str">
        <f t="shared" si="158"/>
        <v>CEI</v>
      </c>
      <c r="K785" s="106">
        <f t="shared" si="159"/>
        <v>6</v>
      </c>
      <c r="L785" s="106">
        <f>IF(NOT(ISERROR(VLOOKUP(B785,Deflatores!G$42:H$64,2,FALSE))),VLOOKUP(B785,Deflatores!G$42:H$64,2,FALSE),IF(OR(ISBLANK(C785),ISBLANK(B785)),"",VLOOKUP(C785,Deflatores!G$4:H$38,2,FALSE)*H785+VLOOKUP(C785,Deflatores!G$4:I$38,3,FALSE)))</f>
        <v>6</v>
      </c>
      <c r="M785" s="6"/>
      <c r="N785" s="6"/>
      <c r="O785" s="144"/>
    </row>
    <row r="786" spans="1:15" x14ac:dyDescent="0.25">
      <c r="A786" s="112" t="s">
        <v>672</v>
      </c>
      <c r="B786" s="113" t="s">
        <v>48</v>
      </c>
      <c r="C786" s="113" t="s">
        <v>72</v>
      </c>
      <c r="D786" s="4">
        <v>5</v>
      </c>
      <c r="E786" s="4">
        <v>3</v>
      </c>
      <c r="F786" s="105" t="str">
        <f t="shared" si="154"/>
        <v>Alta</v>
      </c>
      <c r="G786" s="4" t="str">
        <f t="shared" si="155"/>
        <v>EEH</v>
      </c>
      <c r="H786" s="4">
        <f t="shared" si="156"/>
        <v>6</v>
      </c>
      <c r="I786" s="105" t="str">
        <f t="shared" si="157"/>
        <v>H</v>
      </c>
      <c r="J786" s="4" t="str">
        <f t="shared" si="158"/>
        <v>EEE</v>
      </c>
      <c r="K786" s="106">
        <f t="shared" si="159"/>
        <v>6</v>
      </c>
      <c r="L786" s="106">
        <f>IF(NOT(ISERROR(VLOOKUP(B786,Deflatores!G$42:H$64,2,FALSE))),VLOOKUP(B786,Deflatores!G$42:H$64,2,FALSE),IF(OR(ISBLANK(C786),ISBLANK(B786)),"",VLOOKUP(C786,Deflatores!G$4:H$38,2,FALSE)*H786+VLOOKUP(C786,Deflatores!G$4:I$38,3,FALSE)))</f>
        <v>2.4000000000000004</v>
      </c>
      <c r="M786" s="6"/>
      <c r="N786" s="6"/>
      <c r="O786" s="144"/>
    </row>
    <row r="787" spans="1:15" ht="17.25" customHeight="1" x14ac:dyDescent="0.25">
      <c r="A787" s="114" t="s">
        <v>673</v>
      </c>
      <c r="B787" s="113" t="s">
        <v>50</v>
      </c>
      <c r="C787" s="113" t="s">
        <v>72</v>
      </c>
      <c r="D787" s="4">
        <v>3</v>
      </c>
      <c r="E787" s="4">
        <v>3</v>
      </c>
      <c r="F787" s="105" t="str">
        <f t="shared" si="154"/>
        <v>Baixa</v>
      </c>
      <c r="G787" s="4" t="str">
        <f t="shared" si="155"/>
        <v>CEL</v>
      </c>
      <c r="H787" s="4">
        <f t="shared" si="156"/>
        <v>3</v>
      </c>
      <c r="I787" s="105" t="str">
        <f t="shared" si="157"/>
        <v>L</v>
      </c>
      <c r="J787" s="4" t="str">
        <f t="shared" si="158"/>
        <v>CEE</v>
      </c>
      <c r="K787" s="106">
        <f t="shared" si="159"/>
        <v>3</v>
      </c>
      <c r="L787" s="106">
        <f>IF(NOT(ISERROR(VLOOKUP(B787,Deflatores!G$42:H$64,2,FALSE))),VLOOKUP(B787,Deflatores!G$42:H$64,2,FALSE),IF(OR(ISBLANK(C787),ISBLANK(B787)),"",VLOOKUP(C787,Deflatores!G$4:H$38,2,FALSE)*H787+VLOOKUP(C787,Deflatores!G$4:I$38,3,FALSE)))</f>
        <v>1.2000000000000002</v>
      </c>
      <c r="M787" s="6"/>
      <c r="N787" s="6"/>
      <c r="O787" s="144"/>
    </row>
    <row r="788" spans="1:15" x14ac:dyDescent="0.25">
      <c r="A788" s="112" t="s">
        <v>658</v>
      </c>
      <c r="B788" s="113" t="s">
        <v>48</v>
      </c>
      <c r="C788" s="113" t="s">
        <v>45</v>
      </c>
      <c r="D788" s="4">
        <v>9</v>
      </c>
      <c r="E788" s="4">
        <v>3</v>
      </c>
      <c r="F788" s="105" t="str">
        <f t="shared" si="154"/>
        <v>Alta</v>
      </c>
      <c r="G788" s="4" t="str">
        <f t="shared" si="155"/>
        <v>EEH</v>
      </c>
      <c r="H788" s="4">
        <f t="shared" si="156"/>
        <v>6</v>
      </c>
      <c r="I788" s="105" t="str">
        <f t="shared" si="157"/>
        <v>H</v>
      </c>
      <c r="J788" s="4" t="str">
        <f t="shared" si="158"/>
        <v>EEI</v>
      </c>
      <c r="K788" s="106">
        <f t="shared" si="159"/>
        <v>6</v>
      </c>
      <c r="L788" s="106">
        <f>IF(NOT(ISERROR(VLOOKUP(B788,Deflatores!G$42:H$64,2,FALSE))),VLOOKUP(B788,Deflatores!G$42:H$64,2,FALSE),IF(OR(ISBLANK(C788),ISBLANK(B788)),"",VLOOKUP(C788,Deflatores!G$4:H$38,2,FALSE)*H788+VLOOKUP(C788,Deflatores!G$4:I$38,3,FALSE)))</f>
        <v>6</v>
      </c>
      <c r="M788" s="6"/>
      <c r="N788" s="6"/>
      <c r="O788" s="144"/>
    </row>
    <row r="789" spans="1:15" x14ac:dyDescent="0.25">
      <c r="A789" s="112" t="s">
        <v>659</v>
      </c>
      <c r="B789" s="113" t="s">
        <v>48</v>
      </c>
      <c r="C789" s="113" t="s">
        <v>45</v>
      </c>
      <c r="D789" s="4">
        <v>9</v>
      </c>
      <c r="E789" s="4">
        <v>3</v>
      </c>
      <c r="F789" s="105" t="str">
        <f t="shared" si="154"/>
        <v>Alta</v>
      </c>
      <c r="G789" s="4" t="str">
        <f t="shared" si="155"/>
        <v>EEH</v>
      </c>
      <c r="H789" s="4">
        <f t="shared" si="156"/>
        <v>6</v>
      </c>
      <c r="I789" s="105" t="str">
        <f t="shared" si="157"/>
        <v>H</v>
      </c>
      <c r="J789" s="4" t="str">
        <f t="shared" si="158"/>
        <v>EEI</v>
      </c>
      <c r="K789" s="106">
        <f t="shared" si="159"/>
        <v>6</v>
      </c>
      <c r="L789" s="106">
        <f>IF(NOT(ISERROR(VLOOKUP(B789,Deflatores!G$42:H$64,2,FALSE))),VLOOKUP(B789,Deflatores!G$42:H$64,2,FALSE),IF(OR(ISBLANK(C789),ISBLANK(B789)),"",VLOOKUP(C789,Deflatores!G$4:H$38,2,FALSE)*H789+VLOOKUP(C789,Deflatores!G$4:I$38,3,FALSE)))</f>
        <v>6</v>
      </c>
      <c r="M789" s="6"/>
      <c r="N789" s="6"/>
      <c r="O789" s="144"/>
    </row>
    <row r="790" spans="1:15" x14ac:dyDescent="0.25">
      <c r="A790" s="112" t="s">
        <v>674</v>
      </c>
      <c r="B790" s="113" t="s">
        <v>50</v>
      </c>
      <c r="C790" s="113" t="s">
        <v>45</v>
      </c>
      <c r="D790" s="4">
        <v>43</v>
      </c>
      <c r="E790" s="4">
        <v>5</v>
      </c>
      <c r="F790" s="105" t="str">
        <f t="shared" si="154"/>
        <v>Alta</v>
      </c>
      <c r="G790" s="4" t="str">
        <f t="shared" si="155"/>
        <v>CEH</v>
      </c>
      <c r="H790" s="4">
        <f t="shared" si="156"/>
        <v>6</v>
      </c>
      <c r="I790" s="105" t="str">
        <f t="shared" si="157"/>
        <v>H</v>
      </c>
      <c r="J790" s="4" t="str">
        <f t="shared" si="158"/>
        <v>CEI</v>
      </c>
      <c r="K790" s="106">
        <f t="shared" si="159"/>
        <v>6</v>
      </c>
      <c r="L790" s="106">
        <f>IF(NOT(ISERROR(VLOOKUP(B790,Deflatores!G$42:H$64,2,FALSE))),VLOOKUP(B790,Deflatores!G$42:H$64,2,FALSE),IF(OR(ISBLANK(C790),ISBLANK(B790)),"",VLOOKUP(C790,Deflatores!G$4:H$38,2,FALSE)*H790+VLOOKUP(C790,Deflatores!G$4:I$38,3,FALSE)))</f>
        <v>6</v>
      </c>
      <c r="M790" s="6"/>
      <c r="N790" s="6"/>
      <c r="O790" s="144"/>
    </row>
    <row r="791" spans="1:15" x14ac:dyDescent="0.25">
      <c r="A791" s="112" t="s">
        <v>675</v>
      </c>
      <c r="B791" s="113" t="s">
        <v>48</v>
      </c>
      <c r="C791" s="113" t="s">
        <v>45</v>
      </c>
      <c r="D791" s="4">
        <v>3</v>
      </c>
      <c r="E791" s="4">
        <v>1</v>
      </c>
      <c r="F791" s="105" t="str">
        <f t="shared" si="154"/>
        <v>Baixa</v>
      </c>
      <c r="G791" s="4" t="str">
        <f t="shared" si="155"/>
        <v>EEL</v>
      </c>
      <c r="H791" s="4">
        <f t="shared" si="156"/>
        <v>3</v>
      </c>
      <c r="I791" s="105" t="str">
        <f t="shared" si="157"/>
        <v>L</v>
      </c>
      <c r="J791" s="4" t="str">
        <f t="shared" si="158"/>
        <v>EEI</v>
      </c>
      <c r="K791" s="106">
        <f t="shared" si="159"/>
        <v>3</v>
      </c>
      <c r="L791" s="106">
        <f>IF(NOT(ISERROR(VLOOKUP(B791,Deflatores!G$42:H$64,2,FALSE))),VLOOKUP(B791,Deflatores!G$42:H$64,2,FALSE),IF(OR(ISBLANK(C791),ISBLANK(B791)),"",VLOOKUP(C791,Deflatores!G$4:H$38,2,FALSE)*H791+VLOOKUP(C791,Deflatores!G$4:I$38,3,FALSE)))</f>
        <v>3</v>
      </c>
      <c r="M791" s="6"/>
      <c r="N791" s="6"/>
      <c r="O791" s="144"/>
    </row>
    <row r="792" spans="1:15" x14ac:dyDescent="0.25">
      <c r="A792" s="112" t="s">
        <v>676</v>
      </c>
      <c r="B792" s="113" t="s">
        <v>48</v>
      </c>
      <c r="C792" s="113" t="s">
        <v>45</v>
      </c>
      <c r="D792" s="4">
        <v>16</v>
      </c>
      <c r="E792" s="4">
        <v>5</v>
      </c>
      <c r="F792" s="105" t="str">
        <f t="shared" si="154"/>
        <v>Alta</v>
      </c>
      <c r="G792" s="4" t="str">
        <f t="shared" si="155"/>
        <v>EEH</v>
      </c>
      <c r="H792" s="4">
        <f t="shared" si="156"/>
        <v>6</v>
      </c>
      <c r="I792" s="105" t="str">
        <f t="shared" si="157"/>
        <v>H</v>
      </c>
      <c r="J792" s="4" t="str">
        <f t="shared" si="158"/>
        <v>EEI</v>
      </c>
      <c r="K792" s="106">
        <f t="shared" si="159"/>
        <v>6</v>
      </c>
      <c r="L792" s="106">
        <f>IF(NOT(ISERROR(VLOOKUP(B792,Deflatores!G$42:H$64,2,FALSE))),VLOOKUP(B792,Deflatores!G$42:H$64,2,FALSE),IF(OR(ISBLANK(C792),ISBLANK(B792)),"",VLOOKUP(C792,Deflatores!G$4:H$38,2,FALSE)*H792+VLOOKUP(C792,Deflatores!G$4:I$38,3,FALSE)))</f>
        <v>6</v>
      </c>
      <c r="M792" s="6"/>
      <c r="N792" s="6"/>
      <c r="O792" s="144"/>
    </row>
    <row r="793" spans="1:15" x14ac:dyDescent="0.25">
      <c r="A793" s="145"/>
      <c r="B793" s="113"/>
      <c r="C793" s="113"/>
      <c r="D793" s="4"/>
      <c r="E793" s="4"/>
      <c r="F793" s="105" t="str">
        <f t="shared" si="154"/>
        <v/>
      </c>
      <c r="G793" s="4" t="str">
        <f t="shared" si="155"/>
        <v/>
      </c>
      <c r="H793" s="4" t="str">
        <f t="shared" si="156"/>
        <v/>
      </c>
      <c r="I793" s="105" t="str">
        <f t="shared" si="157"/>
        <v/>
      </c>
      <c r="J793" s="4" t="str">
        <f t="shared" si="158"/>
        <v/>
      </c>
      <c r="K793" s="106" t="str">
        <f t="shared" si="159"/>
        <v/>
      </c>
      <c r="L793" s="106" t="str">
        <f>IF(NOT(ISERROR(VLOOKUP(B793,Deflatores!G$42:H$64,2,FALSE))),VLOOKUP(B793,Deflatores!G$42:H$64,2,FALSE),IF(OR(ISBLANK(C793),ISBLANK(B793)),"",VLOOKUP(C793,Deflatores!G$4:H$38,2,FALSE)*H793+VLOOKUP(C793,Deflatores!G$4:I$38,3,FALSE)))</f>
        <v/>
      </c>
      <c r="M793" s="6"/>
      <c r="N793" s="6"/>
      <c r="O793" s="144"/>
    </row>
    <row r="794" spans="1:15" x14ac:dyDescent="0.25">
      <c r="A794" s="143" t="s">
        <v>677</v>
      </c>
      <c r="B794" s="113"/>
      <c r="C794" s="113"/>
      <c r="D794" s="4"/>
      <c r="E794" s="4"/>
      <c r="F794" s="105" t="str">
        <f t="shared" si="154"/>
        <v/>
      </c>
      <c r="G794" s="4" t="str">
        <f t="shared" si="155"/>
        <v/>
      </c>
      <c r="H794" s="4" t="str">
        <f t="shared" si="156"/>
        <v/>
      </c>
      <c r="I794" s="105" t="str">
        <f t="shared" si="157"/>
        <v/>
      </c>
      <c r="J794" s="4" t="str">
        <f t="shared" si="158"/>
        <v/>
      </c>
      <c r="K794" s="106" t="str">
        <f t="shared" si="159"/>
        <v/>
      </c>
      <c r="L794" s="106" t="str">
        <f>IF(NOT(ISERROR(VLOOKUP(B794,Deflatores!G$42:H$64,2,FALSE))),VLOOKUP(B794,Deflatores!G$42:H$64,2,FALSE),IF(OR(ISBLANK(C794),ISBLANK(B794)),"",VLOOKUP(C794,Deflatores!G$4:H$38,2,FALSE)*H794+VLOOKUP(C794,Deflatores!G$4:I$38,3,FALSE)))</f>
        <v/>
      </c>
      <c r="M794" s="6"/>
      <c r="N794" s="6"/>
      <c r="O794" s="144"/>
    </row>
    <row r="795" spans="1:15" x14ac:dyDescent="0.25">
      <c r="A795" s="146" t="s">
        <v>678</v>
      </c>
      <c r="B795" s="113" t="s">
        <v>48</v>
      </c>
      <c r="C795" s="113" t="s">
        <v>45</v>
      </c>
      <c r="D795" s="4">
        <v>12</v>
      </c>
      <c r="E795" s="4">
        <v>3</v>
      </c>
      <c r="F795" s="105" t="str">
        <f t="shared" si="154"/>
        <v>Alta</v>
      </c>
      <c r="G795" s="4" t="str">
        <f t="shared" si="155"/>
        <v>EEH</v>
      </c>
      <c r="H795" s="4">
        <f t="shared" si="156"/>
        <v>6</v>
      </c>
      <c r="I795" s="105" t="str">
        <f t="shared" si="157"/>
        <v>H</v>
      </c>
      <c r="J795" s="4" t="str">
        <f t="shared" si="158"/>
        <v>EEI</v>
      </c>
      <c r="K795" s="106">
        <f t="shared" si="159"/>
        <v>6</v>
      </c>
      <c r="L795" s="106">
        <f>IF(NOT(ISERROR(VLOOKUP(B795,Deflatores!G$42:H$64,2,FALSE))),VLOOKUP(B795,Deflatores!G$42:H$64,2,FALSE),IF(OR(ISBLANK(C795),ISBLANK(B795)),"",VLOOKUP(C795,Deflatores!G$4:H$38,2,FALSE)*H795+VLOOKUP(C795,Deflatores!G$4:I$38,3,FALSE)))</f>
        <v>6</v>
      </c>
      <c r="M795" s="6"/>
      <c r="N795" s="6"/>
      <c r="O795" s="144"/>
    </row>
    <row r="796" spans="1:15" ht="14.25" customHeight="1" x14ac:dyDescent="0.25">
      <c r="A796" s="147" t="s">
        <v>679</v>
      </c>
      <c r="B796" s="113" t="s">
        <v>50</v>
      </c>
      <c r="C796" s="113" t="s">
        <v>45</v>
      </c>
      <c r="D796" s="4">
        <v>3</v>
      </c>
      <c r="E796" s="4">
        <v>1</v>
      </c>
      <c r="F796" s="105" t="str">
        <f t="shared" si="154"/>
        <v>Baixa</v>
      </c>
      <c r="G796" s="4" t="str">
        <f t="shared" si="155"/>
        <v>CEL</v>
      </c>
      <c r="H796" s="4">
        <f t="shared" si="156"/>
        <v>3</v>
      </c>
      <c r="I796" s="105" t="str">
        <f t="shared" si="157"/>
        <v>L</v>
      </c>
      <c r="J796" s="4" t="str">
        <f t="shared" si="158"/>
        <v>CEI</v>
      </c>
      <c r="K796" s="106">
        <f t="shared" si="159"/>
        <v>3</v>
      </c>
      <c r="L796" s="106">
        <f>IF(NOT(ISERROR(VLOOKUP(B796,Deflatores!G$42:H$64,2,FALSE))),VLOOKUP(B796,Deflatores!G$42:H$64,2,FALSE),IF(OR(ISBLANK(C796),ISBLANK(B796)),"",VLOOKUP(C796,Deflatores!G$4:H$38,2,FALSE)*H796+VLOOKUP(C796,Deflatores!G$4:I$38,3,FALSE)))</f>
        <v>3</v>
      </c>
      <c r="M796" s="6"/>
      <c r="N796" s="6"/>
      <c r="O796" s="144"/>
    </row>
    <row r="797" spans="1:15" ht="14.25" customHeight="1" x14ac:dyDescent="0.25">
      <c r="A797" s="147" t="s">
        <v>680</v>
      </c>
      <c r="B797" s="113" t="s">
        <v>50</v>
      </c>
      <c r="C797" s="113" t="s">
        <v>45</v>
      </c>
      <c r="D797" s="4">
        <v>3</v>
      </c>
      <c r="E797" s="4">
        <v>1</v>
      </c>
      <c r="F797" s="105" t="str">
        <f t="shared" si="154"/>
        <v>Baixa</v>
      </c>
      <c r="G797" s="4" t="str">
        <f t="shared" si="155"/>
        <v>CEL</v>
      </c>
      <c r="H797" s="4">
        <f t="shared" si="156"/>
        <v>3</v>
      </c>
      <c r="I797" s="105" t="str">
        <f t="shared" si="157"/>
        <v>L</v>
      </c>
      <c r="J797" s="4" t="str">
        <f t="shared" si="158"/>
        <v>CEI</v>
      </c>
      <c r="K797" s="106">
        <f t="shared" si="159"/>
        <v>3</v>
      </c>
      <c r="L797" s="106">
        <f>IF(NOT(ISERROR(VLOOKUP(B797,Deflatores!G$42:H$64,2,FALSE))),VLOOKUP(B797,Deflatores!G$42:H$64,2,FALSE),IF(OR(ISBLANK(C797),ISBLANK(B797)),"",VLOOKUP(C797,Deflatores!G$4:H$38,2,FALSE)*H797+VLOOKUP(C797,Deflatores!G$4:I$38,3,FALSE)))</f>
        <v>3</v>
      </c>
      <c r="M797" s="6"/>
      <c r="N797" s="6"/>
      <c r="O797" s="144"/>
    </row>
    <row r="798" spans="1:15" x14ac:dyDescent="0.25">
      <c r="A798" s="146" t="s">
        <v>681</v>
      </c>
      <c r="B798" s="113" t="s">
        <v>48</v>
      </c>
      <c r="C798" s="113" t="s">
        <v>45</v>
      </c>
      <c r="D798" s="4">
        <v>12</v>
      </c>
      <c r="E798" s="4">
        <v>3</v>
      </c>
      <c r="F798" s="105" t="str">
        <f t="shared" si="154"/>
        <v>Alta</v>
      </c>
      <c r="G798" s="4" t="str">
        <f t="shared" si="155"/>
        <v>EEH</v>
      </c>
      <c r="H798" s="4">
        <f t="shared" si="156"/>
        <v>6</v>
      </c>
      <c r="I798" s="105" t="str">
        <f t="shared" si="157"/>
        <v>H</v>
      </c>
      <c r="J798" s="4" t="str">
        <f t="shared" si="158"/>
        <v>EEI</v>
      </c>
      <c r="K798" s="106">
        <f t="shared" si="159"/>
        <v>6</v>
      </c>
      <c r="L798" s="106">
        <f>IF(NOT(ISERROR(VLOOKUP(B798,Deflatores!G$42:H$64,2,FALSE))),VLOOKUP(B798,Deflatores!G$42:H$64,2,FALSE),IF(OR(ISBLANK(C798),ISBLANK(B798)),"",VLOOKUP(C798,Deflatores!G$4:H$38,2,FALSE)*H798+VLOOKUP(C798,Deflatores!G$4:I$38,3,FALSE)))</f>
        <v>6</v>
      </c>
      <c r="M798" s="6"/>
      <c r="N798" s="6"/>
      <c r="O798" s="144"/>
    </row>
    <row r="799" spans="1:15" x14ac:dyDescent="0.25">
      <c r="A799" s="147" t="s">
        <v>682</v>
      </c>
      <c r="B799" s="113" t="s">
        <v>50</v>
      </c>
      <c r="C799" s="113" t="s">
        <v>45</v>
      </c>
      <c r="D799" s="4">
        <v>10</v>
      </c>
      <c r="E799" s="4">
        <v>3</v>
      </c>
      <c r="F799" s="105" t="str">
        <f t="shared" si="154"/>
        <v>Média</v>
      </c>
      <c r="G799" s="4" t="str">
        <f t="shared" si="155"/>
        <v>CEA</v>
      </c>
      <c r="H799" s="4">
        <f t="shared" si="156"/>
        <v>4</v>
      </c>
      <c r="I799" s="105" t="str">
        <f t="shared" si="157"/>
        <v>A</v>
      </c>
      <c r="J799" s="4" t="str">
        <f t="shared" si="158"/>
        <v>CEI</v>
      </c>
      <c r="K799" s="106">
        <f t="shared" si="159"/>
        <v>4</v>
      </c>
      <c r="L799" s="106">
        <f>IF(NOT(ISERROR(VLOOKUP(B799,Deflatores!G$42:H$64,2,FALSE))),VLOOKUP(B799,Deflatores!G$42:H$64,2,FALSE),IF(OR(ISBLANK(C799),ISBLANK(B799)),"",VLOOKUP(C799,Deflatores!G$4:H$38,2,FALSE)*H799+VLOOKUP(C799,Deflatores!G$4:I$38,3,FALSE)))</f>
        <v>4</v>
      </c>
      <c r="M799" s="6"/>
      <c r="N799" s="6"/>
      <c r="O799" s="144"/>
    </row>
    <row r="800" spans="1:15" x14ac:dyDescent="0.25">
      <c r="A800" s="146" t="s">
        <v>683</v>
      </c>
      <c r="B800" s="113" t="s">
        <v>50</v>
      </c>
      <c r="C800" s="113" t="s">
        <v>45</v>
      </c>
      <c r="D800" s="4">
        <v>12</v>
      </c>
      <c r="E800" s="4">
        <v>3</v>
      </c>
      <c r="F800" s="105" t="str">
        <f t="shared" si="154"/>
        <v>Média</v>
      </c>
      <c r="G800" s="4" t="str">
        <f t="shared" si="155"/>
        <v>CEA</v>
      </c>
      <c r="H800" s="4">
        <f t="shared" si="156"/>
        <v>4</v>
      </c>
      <c r="I800" s="105" t="str">
        <f t="shared" si="157"/>
        <v>A</v>
      </c>
      <c r="J800" s="4" t="str">
        <f t="shared" si="158"/>
        <v>CEI</v>
      </c>
      <c r="K800" s="106">
        <f t="shared" si="159"/>
        <v>4</v>
      </c>
      <c r="L800" s="106">
        <f>IF(NOT(ISERROR(VLOOKUP(B800,Deflatores!G$42:H$64,2,FALSE))),VLOOKUP(B800,Deflatores!G$42:H$64,2,FALSE),IF(OR(ISBLANK(C800),ISBLANK(B800)),"",VLOOKUP(C800,Deflatores!G$4:H$38,2,FALSE)*H800+VLOOKUP(C800,Deflatores!G$4:I$38,3,FALSE)))</f>
        <v>4</v>
      </c>
      <c r="M800" s="6"/>
      <c r="N800" s="6"/>
      <c r="O800" s="144"/>
    </row>
    <row r="801" spans="1:15" x14ac:dyDescent="0.25">
      <c r="A801" s="145"/>
      <c r="B801" s="113"/>
      <c r="C801" s="113"/>
      <c r="D801" s="4"/>
      <c r="E801" s="4"/>
      <c r="F801" s="105" t="str">
        <f t="shared" si="154"/>
        <v/>
      </c>
      <c r="G801" s="4" t="str">
        <f t="shared" si="155"/>
        <v/>
      </c>
      <c r="H801" s="4" t="str">
        <f t="shared" si="156"/>
        <v/>
      </c>
      <c r="I801" s="105" t="str">
        <f t="shared" si="157"/>
        <v/>
      </c>
      <c r="J801" s="4" t="str">
        <f t="shared" si="158"/>
        <v/>
      </c>
      <c r="K801" s="106" t="str">
        <f t="shared" si="159"/>
        <v/>
      </c>
      <c r="L801" s="106" t="str">
        <f>IF(NOT(ISERROR(VLOOKUP(B801,Deflatores!G$42:H$64,2,FALSE))),VLOOKUP(B801,Deflatores!G$42:H$64,2,FALSE),IF(OR(ISBLANK(C801),ISBLANK(B801)),"",VLOOKUP(C801,Deflatores!G$4:H$38,2,FALSE)*H801+VLOOKUP(C801,Deflatores!G$4:I$38,3,FALSE)))</f>
        <v/>
      </c>
      <c r="M801" s="6"/>
      <c r="N801" s="6"/>
      <c r="O801" s="144"/>
    </row>
    <row r="802" spans="1:15" x14ac:dyDescent="0.25">
      <c r="A802" s="143" t="s">
        <v>684</v>
      </c>
      <c r="B802" s="113"/>
      <c r="C802" s="113"/>
      <c r="D802" s="4"/>
      <c r="E802" s="4"/>
      <c r="F802" s="105" t="str">
        <f t="shared" si="154"/>
        <v/>
      </c>
      <c r="G802" s="4" t="str">
        <f t="shared" si="155"/>
        <v/>
      </c>
      <c r="H802" s="4" t="str">
        <f t="shared" si="156"/>
        <v/>
      </c>
      <c r="I802" s="105" t="str">
        <f t="shared" si="157"/>
        <v/>
      </c>
      <c r="J802" s="4" t="str">
        <f t="shared" si="158"/>
        <v/>
      </c>
      <c r="K802" s="106" t="str">
        <f t="shared" si="159"/>
        <v/>
      </c>
      <c r="L802" s="106" t="str">
        <f>IF(NOT(ISERROR(VLOOKUP(B802,Deflatores!G$42:H$64,2,FALSE))),VLOOKUP(B802,Deflatores!G$42:H$64,2,FALSE),IF(OR(ISBLANK(C802),ISBLANK(B802)),"",VLOOKUP(C802,Deflatores!G$4:H$38,2,FALSE)*H802+VLOOKUP(C802,Deflatores!G$4:I$38,3,FALSE)))</f>
        <v/>
      </c>
      <c r="M802" s="6"/>
      <c r="N802" s="6"/>
      <c r="O802" s="144"/>
    </row>
    <row r="803" spans="1:15" x14ac:dyDescent="0.25">
      <c r="A803" s="112" t="s">
        <v>685</v>
      </c>
      <c r="B803" s="113" t="s">
        <v>113</v>
      </c>
      <c r="C803" s="113" t="s">
        <v>45</v>
      </c>
      <c r="D803" s="4">
        <v>13</v>
      </c>
      <c r="E803" s="4">
        <v>3</v>
      </c>
      <c r="F803" s="105" t="str">
        <f t="shared" si="154"/>
        <v>Média</v>
      </c>
      <c r="G803" s="4" t="str">
        <f t="shared" si="155"/>
        <v>SEA</v>
      </c>
      <c r="H803" s="4">
        <f t="shared" si="156"/>
        <v>5</v>
      </c>
      <c r="I803" s="105" t="str">
        <f t="shared" si="157"/>
        <v>A</v>
      </c>
      <c r="J803" s="4" t="str">
        <f t="shared" si="158"/>
        <v>SEI</v>
      </c>
      <c r="K803" s="106">
        <f t="shared" si="159"/>
        <v>5</v>
      </c>
      <c r="L803" s="106">
        <f>IF(NOT(ISERROR(VLOOKUP(B803,Deflatores!G$42:H$64,2,FALSE))),VLOOKUP(B803,Deflatores!G$42:H$64,2,FALSE),IF(OR(ISBLANK(C803),ISBLANK(B803)),"",VLOOKUP(C803,Deflatores!G$4:H$38,2,FALSE)*H803+VLOOKUP(C803,Deflatores!G$4:I$38,3,FALSE)))</f>
        <v>5</v>
      </c>
      <c r="M803" s="6"/>
      <c r="N803" s="6"/>
      <c r="O803" s="144"/>
    </row>
    <row r="804" spans="1:15" x14ac:dyDescent="0.25">
      <c r="A804" s="112" t="s">
        <v>686</v>
      </c>
      <c r="B804" s="113" t="s">
        <v>48</v>
      </c>
      <c r="C804" s="113" t="s">
        <v>45</v>
      </c>
      <c r="D804" s="4">
        <v>15</v>
      </c>
      <c r="E804" s="4">
        <v>3</v>
      </c>
      <c r="F804" s="105" t="str">
        <f t="shared" si="154"/>
        <v>Alta</v>
      </c>
      <c r="G804" s="4" t="str">
        <f t="shared" si="155"/>
        <v>EEH</v>
      </c>
      <c r="H804" s="4">
        <f t="shared" si="156"/>
        <v>6</v>
      </c>
      <c r="I804" s="105" t="str">
        <f t="shared" si="157"/>
        <v>H</v>
      </c>
      <c r="J804" s="4" t="str">
        <f t="shared" si="158"/>
        <v>EEI</v>
      </c>
      <c r="K804" s="106">
        <f t="shared" si="159"/>
        <v>6</v>
      </c>
      <c r="L804" s="106">
        <f>IF(NOT(ISERROR(VLOOKUP(B804,Deflatores!G$42:H$64,2,FALSE))),VLOOKUP(B804,Deflatores!G$42:H$64,2,FALSE),IF(OR(ISBLANK(C804),ISBLANK(B804)),"",VLOOKUP(C804,Deflatores!G$4:H$38,2,FALSE)*H804+VLOOKUP(C804,Deflatores!G$4:I$38,3,FALSE)))</f>
        <v>6</v>
      </c>
      <c r="M804" s="6"/>
      <c r="N804" s="6"/>
      <c r="O804" s="144"/>
    </row>
    <row r="805" spans="1:15" x14ac:dyDescent="0.25">
      <c r="A805" s="146" t="s">
        <v>687</v>
      </c>
      <c r="B805" s="113" t="s">
        <v>50</v>
      </c>
      <c r="C805" s="113" t="s">
        <v>72</v>
      </c>
      <c r="D805" s="4">
        <v>7</v>
      </c>
      <c r="E805" s="4">
        <v>1</v>
      </c>
      <c r="F805" s="105" t="str">
        <f t="shared" si="154"/>
        <v>Baixa</v>
      </c>
      <c r="G805" s="4" t="str">
        <f t="shared" si="155"/>
        <v>CEL</v>
      </c>
      <c r="H805" s="4">
        <f t="shared" si="156"/>
        <v>3</v>
      </c>
      <c r="I805" s="105" t="str">
        <f t="shared" si="157"/>
        <v>L</v>
      </c>
      <c r="J805" s="4" t="str">
        <f t="shared" si="158"/>
        <v>CEE</v>
      </c>
      <c r="K805" s="106">
        <f t="shared" si="159"/>
        <v>3</v>
      </c>
      <c r="L805" s="106">
        <f>IF(NOT(ISERROR(VLOOKUP(B805,Deflatores!G$42:H$64,2,FALSE))),VLOOKUP(B805,Deflatores!G$42:H$64,2,FALSE),IF(OR(ISBLANK(C805),ISBLANK(B805)),"",VLOOKUP(C805,Deflatores!G$4:H$38,2,FALSE)*H805+VLOOKUP(C805,Deflatores!G$4:I$38,3,FALSE)))</f>
        <v>1.2000000000000002</v>
      </c>
      <c r="M805" s="6"/>
      <c r="N805" s="6"/>
      <c r="O805" s="144"/>
    </row>
    <row r="806" spans="1:15" x14ac:dyDescent="0.25">
      <c r="A806" s="146"/>
      <c r="B806" s="113"/>
      <c r="C806" s="113"/>
      <c r="D806" s="4"/>
      <c r="E806" s="4"/>
      <c r="F806" s="105" t="str">
        <f t="shared" ref="F806:F832" si="160">IF(ISBLANK(B806),"",IF(I806="L","Baixa",IF(I806="A","Média",IF(I806="","","Alta"))))</f>
        <v/>
      </c>
      <c r="G806" s="4" t="str">
        <f t="shared" ref="G806:G832" si="161">CONCATENATE(B806,I806)</f>
        <v/>
      </c>
      <c r="H806" s="4" t="str">
        <f t="shared" ref="H806:H832" si="162">IF(ISBLANK(B806),"",IF(B806="ALI",IF(I806="L",7,IF(I806="A",10,15)),IF(B806="AIE",IF(I806="L",5,IF(I806="A",7,10)),IF(B806="SE",IF(I806="L",4,IF(I806="A",5,7)),IF(OR(B806="EE",B806="CE"),IF(I806="L",3,IF(I806="A",4,6)),0)))))</f>
        <v/>
      </c>
      <c r="I806" s="105" t="str">
        <f t="shared" ref="I806:I832" si="163">IF(OR(ISBLANK(D806),ISBLANK(E806)),IF(OR(B806="ALI",B806="AIE"),"L",IF(OR(B806="EE",B806="SE",B806="CE"),"A","")),IF(B806="EE",IF(E806&gt;=3,IF(D806&gt;=5,"H","A"),IF(E806&gt;=2,IF(D806&gt;=16,"H",IF(D806&lt;=4,"L","A")),IF(D806&lt;=15,"L","A"))),IF(OR(B806="SE",B806="CE"),IF(E806&gt;=4,IF(D806&gt;=6,"H","A"),IF(E806&gt;=2,IF(D806&gt;=20,"H",IF(D806&lt;=5,"L","A")),IF(D806&lt;=19,"L","A"))),IF(OR(B806="ALI",B806="AIE"),IF(E806&gt;=6,IF(D806&gt;=20,"H","A"),IF(E806&gt;=2,IF(D806&gt;=51,"H",IF(D806&lt;=19,"L","A")),IF(D806&lt;=50,"L","A"))),""))))</f>
        <v/>
      </c>
      <c r="J806" s="4" t="str">
        <f t="shared" ref="J806:J832" si="164">CONCATENATE(B806,C806)</f>
        <v/>
      </c>
      <c r="K806" s="106" t="str">
        <f t="shared" ref="K806:K832" si="165">IF(OR(H806="",H806=0),L806,H806)</f>
        <v/>
      </c>
      <c r="L806" s="106" t="str">
        <f>IF(NOT(ISERROR(VLOOKUP(B806,Deflatores!G$42:H$64,2,FALSE))),VLOOKUP(B806,Deflatores!G$42:H$64,2,FALSE),IF(OR(ISBLANK(C806),ISBLANK(B806)),"",VLOOKUP(C806,Deflatores!G$4:H$38,2,FALSE)*H806+VLOOKUP(C806,Deflatores!G$4:I$38,3,FALSE)))</f>
        <v/>
      </c>
      <c r="M806" s="6"/>
      <c r="N806" s="6"/>
      <c r="O806" s="144"/>
    </row>
    <row r="807" spans="1:15" ht="22" x14ac:dyDescent="0.25">
      <c r="A807" s="143" t="s">
        <v>688</v>
      </c>
      <c r="B807" s="113"/>
      <c r="C807" s="113"/>
      <c r="D807" s="4"/>
      <c r="E807" s="4"/>
      <c r="F807" s="105" t="str">
        <f t="shared" si="160"/>
        <v/>
      </c>
      <c r="G807" s="4" t="str">
        <f t="shared" si="161"/>
        <v/>
      </c>
      <c r="H807" s="4" t="str">
        <f t="shared" si="162"/>
        <v/>
      </c>
      <c r="I807" s="105" t="str">
        <f t="shared" si="163"/>
        <v/>
      </c>
      <c r="J807" s="4" t="str">
        <f t="shared" si="164"/>
        <v/>
      </c>
      <c r="K807" s="106" t="str">
        <f t="shared" si="165"/>
        <v/>
      </c>
      <c r="L807" s="106" t="str">
        <f>IF(NOT(ISERROR(VLOOKUP(B807,Deflatores!G$42:H$64,2,FALSE))),VLOOKUP(B807,Deflatores!G$42:H$64,2,FALSE),IF(OR(ISBLANK(C807),ISBLANK(B807)),"",VLOOKUP(C807,Deflatores!G$4:H$38,2,FALSE)*H807+VLOOKUP(C807,Deflatores!G$4:I$38,3,FALSE)))</f>
        <v/>
      </c>
      <c r="M807" s="6"/>
      <c r="N807" s="6"/>
      <c r="O807" s="144"/>
    </row>
    <row r="808" spans="1:15" x14ac:dyDescent="0.25">
      <c r="A808" s="154" t="s">
        <v>689</v>
      </c>
      <c r="B808" s="113" t="s">
        <v>48</v>
      </c>
      <c r="C808" s="113" t="s">
        <v>45</v>
      </c>
      <c r="D808" s="4">
        <v>21</v>
      </c>
      <c r="E808" s="4">
        <v>5</v>
      </c>
      <c r="F808" s="105" t="str">
        <f t="shared" si="160"/>
        <v>Alta</v>
      </c>
      <c r="G808" s="4" t="str">
        <f t="shared" si="161"/>
        <v>EEH</v>
      </c>
      <c r="H808" s="4">
        <f t="shared" si="162"/>
        <v>6</v>
      </c>
      <c r="I808" s="105" t="str">
        <f t="shared" si="163"/>
        <v>H</v>
      </c>
      <c r="J808" s="4" t="str">
        <f t="shared" si="164"/>
        <v>EEI</v>
      </c>
      <c r="K808" s="106">
        <f t="shared" si="165"/>
        <v>6</v>
      </c>
      <c r="L808" s="106">
        <f>IF(NOT(ISERROR(VLOOKUP(B808,Deflatores!G$42:H$64,2,FALSE))),VLOOKUP(B808,Deflatores!G$42:H$64,2,FALSE),IF(OR(ISBLANK(C808),ISBLANK(B808)),"",VLOOKUP(C808,Deflatores!G$4:H$38,2,FALSE)*H808+VLOOKUP(C808,Deflatores!G$4:I$38,3,FALSE)))</f>
        <v>6</v>
      </c>
      <c r="M808" s="6"/>
      <c r="N808" s="6"/>
      <c r="O808" s="144"/>
    </row>
    <row r="809" spans="1:15" x14ac:dyDescent="0.25">
      <c r="A809" s="154" t="s">
        <v>690</v>
      </c>
      <c r="B809" s="113" t="s">
        <v>48</v>
      </c>
      <c r="C809" s="113" t="s">
        <v>45</v>
      </c>
      <c r="D809" s="4">
        <v>13</v>
      </c>
      <c r="E809" s="4">
        <v>5</v>
      </c>
      <c r="F809" s="105" t="str">
        <f t="shared" si="160"/>
        <v>Alta</v>
      </c>
      <c r="G809" s="4" t="str">
        <f t="shared" si="161"/>
        <v>EEH</v>
      </c>
      <c r="H809" s="4">
        <f t="shared" si="162"/>
        <v>6</v>
      </c>
      <c r="I809" s="105" t="str">
        <f t="shared" si="163"/>
        <v>H</v>
      </c>
      <c r="J809" s="4" t="str">
        <f t="shared" si="164"/>
        <v>EEI</v>
      </c>
      <c r="K809" s="106">
        <f t="shared" si="165"/>
        <v>6</v>
      </c>
      <c r="L809" s="106">
        <f>IF(NOT(ISERROR(VLOOKUP(B809,Deflatores!G$42:H$64,2,FALSE))),VLOOKUP(B809,Deflatores!G$42:H$64,2,FALSE),IF(OR(ISBLANK(C809),ISBLANK(B809)),"",VLOOKUP(C809,Deflatores!G$4:H$38,2,FALSE)*H809+VLOOKUP(C809,Deflatores!G$4:I$38,3,FALSE)))</f>
        <v>6</v>
      </c>
      <c r="M809" s="6"/>
      <c r="N809" s="6"/>
      <c r="O809" s="144"/>
    </row>
    <row r="810" spans="1:15" x14ac:dyDescent="0.25">
      <c r="A810" s="154" t="s">
        <v>691</v>
      </c>
      <c r="B810" s="113" t="s">
        <v>48</v>
      </c>
      <c r="C810" s="113" t="s">
        <v>45</v>
      </c>
      <c r="D810" s="4">
        <v>5</v>
      </c>
      <c r="E810" s="4">
        <v>5</v>
      </c>
      <c r="F810" s="105" t="str">
        <f t="shared" si="160"/>
        <v>Alta</v>
      </c>
      <c r="G810" s="4" t="str">
        <f t="shared" si="161"/>
        <v>EEH</v>
      </c>
      <c r="H810" s="4">
        <f t="shared" si="162"/>
        <v>6</v>
      </c>
      <c r="I810" s="105" t="str">
        <f t="shared" si="163"/>
        <v>H</v>
      </c>
      <c r="J810" s="4" t="str">
        <f t="shared" si="164"/>
        <v>EEI</v>
      </c>
      <c r="K810" s="106">
        <f t="shared" si="165"/>
        <v>6</v>
      </c>
      <c r="L810" s="106">
        <f>IF(NOT(ISERROR(VLOOKUP(B810,Deflatores!G$42:H$64,2,FALSE))),VLOOKUP(B810,Deflatores!G$42:H$64,2,FALSE),IF(OR(ISBLANK(C810),ISBLANK(B810)),"",VLOOKUP(C810,Deflatores!G$4:H$38,2,FALSE)*H810+VLOOKUP(C810,Deflatores!G$4:I$38,3,FALSE)))</f>
        <v>6</v>
      </c>
      <c r="M810" s="6"/>
      <c r="N810" s="6"/>
      <c r="O810" s="144"/>
    </row>
    <row r="811" spans="1:15" x14ac:dyDescent="0.25">
      <c r="A811" s="154" t="s">
        <v>692</v>
      </c>
      <c r="B811" s="113" t="s">
        <v>48</v>
      </c>
      <c r="C811" s="113" t="s">
        <v>45</v>
      </c>
      <c r="D811" s="4">
        <v>7</v>
      </c>
      <c r="E811" s="4">
        <v>2</v>
      </c>
      <c r="F811" s="105" t="str">
        <f t="shared" si="160"/>
        <v>Média</v>
      </c>
      <c r="G811" s="4" t="str">
        <f t="shared" si="161"/>
        <v>EEA</v>
      </c>
      <c r="H811" s="4">
        <f t="shared" si="162"/>
        <v>4</v>
      </c>
      <c r="I811" s="105" t="str">
        <f t="shared" si="163"/>
        <v>A</v>
      </c>
      <c r="J811" s="4" t="str">
        <f t="shared" si="164"/>
        <v>EEI</v>
      </c>
      <c r="K811" s="106">
        <f t="shared" si="165"/>
        <v>4</v>
      </c>
      <c r="L811" s="106">
        <f>IF(NOT(ISERROR(VLOOKUP(B811,Deflatores!G$42:H$64,2,FALSE))),VLOOKUP(B811,Deflatores!G$42:H$64,2,FALSE),IF(OR(ISBLANK(C811),ISBLANK(B811)),"",VLOOKUP(C811,Deflatores!G$4:H$38,2,FALSE)*H811+VLOOKUP(C811,Deflatores!G$4:I$38,3,FALSE)))</f>
        <v>4</v>
      </c>
      <c r="M811" s="6"/>
      <c r="N811" s="6"/>
      <c r="O811" s="144"/>
    </row>
    <row r="812" spans="1:15" x14ac:dyDescent="0.25">
      <c r="A812" s="154" t="s">
        <v>693</v>
      </c>
      <c r="B812" s="113" t="s">
        <v>50</v>
      </c>
      <c r="C812" s="113" t="s">
        <v>45</v>
      </c>
      <c r="D812" s="4">
        <v>5</v>
      </c>
      <c r="E812" s="4">
        <v>2</v>
      </c>
      <c r="F812" s="105" t="str">
        <f t="shared" si="160"/>
        <v>Baixa</v>
      </c>
      <c r="G812" s="4" t="str">
        <f t="shared" si="161"/>
        <v>CEL</v>
      </c>
      <c r="H812" s="4">
        <f t="shared" si="162"/>
        <v>3</v>
      </c>
      <c r="I812" s="105" t="str">
        <f t="shared" si="163"/>
        <v>L</v>
      </c>
      <c r="J812" s="4" t="str">
        <f t="shared" si="164"/>
        <v>CEI</v>
      </c>
      <c r="K812" s="106">
        <f t="shared" si="165"/>
        <v>3</v>
      </c>
      <c r="L812" s="106">
        <f>IF(NOT(ISERROR(VLOOKUP(B812,Deflatores!G$42:H$64,2,FALSE))),VLOOKUP(B812,Deflatores!G$42:H$64,2,FALSE),IF(OR(ISBLANK(C812),ISBLANK(B812)),"",VLOOKUP(C812,Deflatores!G$4:H$38,2,FALSE)*H812+VLOOKUP(C812,Deflatores!G$4:I$38,3,FALSE)))</f>
        <v>3</v>
      </c>
      <c r="M812" s="6"/>
      <c r="N812" s="6"/>
      <c r="O812" s="144"/>
    </row>
    <row r="813" spans="1:15" x14ac:dyDescent="0.25">
      <c r="A813" s="154" t="s">
        <v>694</v>
      </c>
      <c r="B813" s="113" t="s">
        <v>48</v>
      </c>
      <c r="C813" s="113" t="s">
        <v>45</v>
      </c>
      <c r="D813" s="4">
        <v>4</v>
      </c>
      <c r="E813" s="4">
        <v>3</v>
      </c>
      <c r="F813" s="105" t="str">
        <f t="shared" si="160"/>
        <v>Média</v>
      </c>
      <c r="G813" s="4" t="str">
        <f t="shared" si="161"/>
        <v>EEA</v>
      </c>
      <c r="H813" s="4">
        <f t="shared" si="162"/>
        <v>4</v>
      </c>
      <c r="I813" s="105" t="str">
        <f t="shared" si="163"/>
        <v>A</v>
      </c>
      <c r="J813" s="4" t="str">
        <f t="shared" si="164"/>
        <v>EEI</v>
      </c>
      <c r="K813" s="106">
        <f t="shared" si="165"/>
        <v>4</v>
      </c>
      <c r="L813" s="106">
        <f>IF(NOT(ISERROR(VLOOKUP(B813,Deflatores!G$42:H$64,2,FALSE))),VLOOKUP(B813,Deflatores!G$42:H$64,2,FALSE),IF(OR(ISBLANK(C813),ISBLANK(B813)),"",VLOOKUP(C813,Deflatores!G$4:H$38,2,FALSE)*H813+VLOOKUP(C813,Deflatores!G$4:I$38,3,FALSE)))</f>
        <v>4</v>
      </c>
      <c r="M813" s="6"/>
      <c r="N813" s="6"/>
      <c r="O813" s="144"/>
    </row>
    <row r="814" spans="1:15" x14ac:dyDescent="0.25">
      <c r="A814" s="154" t="s">
        <v>695</v>
      </c>
      <c r="B814" s="113" t="s">
        <v>50</v>
      </c>
      <c r="C814" s="113" t="s">
        <v>45</v>
      </c>
      <c r="D814" s="4">
        <v>10</v>
      </c>
      <c r="E814" s="4">
        <v>3</v>
      </c>
      <c r="F814" s="105" t="str">
        <f t="shared" si="160"/>
        <v>Média</v>
      </c>
      <c r="G814" s="4" t="str">
        <f t="shared" si="161"/>
        <v>CEA</v>
      </c>
      <c r="H814" s="4">
        <f t="shared" si="162"/>
        <v>4</v>
      </c>
      <c r="I814" s="105" t="str">
        <f t="shared" si="163"/>
        <v>A</v>
      </c>
      <c r="J814" s="4" t="str">
        <f t="shared" si="164"/>
        <v>CEI</v>
      </c>
      <c r="K814" s="106">
        <f t="shared" si="165"/>
        <v>4</v>
      </c>
      <c r="L814" s="106">
        <f>IF(NOT(ISERROR(VLOOKUP(B814,Deflatores!G$42:H$64,2,FALSE))),VLOOKUP(B814,Deflatores!G$42:H$64,2,FALSE),IF(OR(ISBLANK(C814),ISBLANK(B814)),"",VLOOKUP(C814,Deflatores!G$4:H$38,2,FALSE)*H814+VLOOKUP(C814,Deflatores!G$4:I$38,3,FALSE)))</f>
        <v>4</v>
      </c>
      <c r="M814" s="6"/>
      <c r="N814" s="6"/>
      <c r="O814" s="144"/>
    </row>
    <row r="815" spans="1:15" x14ac:dyDescent="0.25">
      <c r="A815" s="154" t="s">
        <v>696</v>
      </c>
      <c r="B815" s="113" t="s">
        <v>48</v>
      </c>
      <c r="C815" s="113" t="s">
        <v>45</v>
      </c>
      <c r="D815" s="4">
        <v>3</v>
      </c>
      <c r="E815" s="4">
        <v>1</v>
      </c>
      <c r="F815" s="105" t="str">
        <f t="shared" si="160"/>
        <v>Baixa</v>
      </c>
      <c r="G815" s="4" t="str">
        <f t="shared" si="161"/>
        <v>EEL</v>
      </c>
      <c r="H815" s="4">
        <f t="shared" si="162"/>
        <v>3</v>
      </c>
      <c r="I815" s="105" t="str">
        <f t="shared" si="163"/>
        <v>L</v>
      </c>
      <c r="J815" s="4" t="str">
        <f t="shared" si="164"/>
        <v>EEI</v>
      </c>
      <c r="K815" s="106">
        <f t="shared" si="165"/>
        <v>3</v>
      </c>
      <c r="L815" s="106">
        <f>IF(NOT(ISERROR(VLOOKUP(B815,Deflatores!G$42:H$64,2,FALSE))),VLOOKUP(B815,Deflatores!G$42:H$64,2,FALSE),IF(OR(ISBLANK(C815),ISBLANK(B815)),"",VLOOKUP(C815,Deflatores!G$4:H$38,2,FALSE)*H815+VLOOKUP(C815,Deflatores!G$4:I$38,3,FALSE)))</f>
        <v>3</v>
      </c>
      <c r="M815" s="6"/>
      <c r="N815" s="6"/>
      <c r="O815" s="144"/>
    </row>
    <row r="816" spans="1:15" x14ac:dyDescent="0.25">
      <c r="A816" s="154" t="s">
        <v>697</v>
      </c>
      <c r="B816" s="113" t="s">
        <v>48</v>
      </c>
      <c r="C816" s="113" t="s">
        <v>45</v>
      </c>
      <c r="D816" s="4">
        <v>4</v>
      </c>
      <c r="E816" s="4">
        <v>1</v>
      </c>
      <c r="F816" s="105" t="str">
        <f t="shared" si="160"/>
        <v>Baixa</v>
      </c>
      <c r="G816" s="4" t="str">
        <f t="shared" si="161"/>
        <v>EEL</v>
      </c>
      <c r="H816" s="4">
        <f t="shared" si="162"/>
        <v>3</v>
      </c>
      <c r="I816" s="105" t="str">
        <f t="shared" si="163"/>
        <v>L</v>
      </c>
      <c r="J816" s="4" t="str">
        <f t="shared" si="164"/>
        <v>EEI</v>
      </c>
      <c r="K816" s="106">
        <f t="shared" si="165"/>
        <v>3</v>
      </c>
      <c r="L816" s="106">
        <f>IF(NOT(ISERROR(VLOOKUP(B816,Deflatores!G$42:H$64,2,FALSE))),VLOOKUP(B816,Deflatores!G$42:H$64,2,FALSE),IF(OR(ISBLANK(C816),ISBLANK(B816)),"",VLOOKUP(C816,Deflatores!G$4:H$38,2,FALSE)*H816+VLOOKUP(C816,Deflatores!G$4:I$38,3,FALSE)))</f>
        <v>3</v>
      </c>
      <c r="M816" s="6"/>
      <c r="N816" s="6"/>
      <c r="O816" s="144"/>
    </row>
    <row r="817" spans="1:15" x14ac:dyDescent="0.25">
      <c r="A817" s="154" t="s">
        <v>698</v>
      </c>
      <c r="B817" s="113" t="s">
        <v>48</v>
      </c>
      <c r="C817" s="113" t="s">
        <v>45</v>
      </c>
      <c r="D817" s="4">
        <v>4</v>
      </c>
      <c r="E817" s="4">
        <v>1</v>
      </c>
      <c r="F817" s="105" t="str">
        <f t="shared" si="160"/>
        <v>Baixa</v>
      </c>
      <c r="G817" s="4" t="str">
        <f t="shared" si="161"/>
        <v>EEL</v>
      </c>
      <c r="H817" s="4">
        <f t="shared" si="162"/>
        <v>3</v>
      </c>
      <c r="I817" s="105" t="str">
        <f t="shared" si="163"/>
        <v>L</v>
      </c>
      <c r="J817" s="4" t="str">
        <f t="shared" si="164"/>
        <v>EEI</v>
      </c>
      <c r="K817" s="106">
        <f t="shared" si="165"/>
        <v>3</v>
      </c>
      <c r="L817" s="106">
        <f>IF(NOT(ISERROR(VLOOKUP(B817,Deflatores!G$42:H$64,2,FALSE))),VLOOKUP(B817,Deflatores!G$42:H$64,2,FALSE),IF(OR(ISBLANK(C817),ISBLANK(B817)),"",VLOOKUP(C817,Deflatores!G$4:H$38,2,FALSE)*H817+VLOOKUP(C817,Deflatores!G$4:I$38,3,FALSE)))</f>
        <v>3</v>
      </c>
      <c r="M817" s="6"/>
      <c r="N817" s="6"/>
      <c r="O817" s="144"/>
    </row>
    <row r="818" spans="1:15" x14ac:dyDescent="0.25">
      <c r="A818" s="154" t="s">
        <v>699</v>
      </c>
      <c r="B818" s="113" t="s">
        <v>50</v>
      </c>
      <c r="C818" s="113" t="s">
        <v>45</v>
      </c>
      <c r="D818" s="4">
        <v>4</v>
      </c>
      <c r="E818" s="4">
        <v>1</v>
      </c>
      <c r="F818" s="105" t="str">
        <f t="shared" si="160"/>
        <v>Baixa</v>
      </c>
      <c r="G818" s="4" t="str">
        <f t="shared" si="161"/>
        <v>CEL</v>
      </c>
      <c r="H818" s="4">
        <f t="shared" si="162"/>
        <v>3</v>
      </c>
      <c r="I818" s="105" t="str">
        <f t="shared" si="163"/>
        <v>L</v>
      </c>
      <c r="J818" s="4" t="str">
        <f t="shared" si="164"/>
        <v>CEI</v>
      </c>
      <c r="K818" s="106">
        <f t="shared" si="165"/>
        <v>3</v>
      </c>
      <c r="L818" s="106">
        <f>IF(NOT(ISERROR(VLOOKUP(B818,Deflatores!G$42:H$64,2,FALSE))),VLOOKUP(B818,Deflatores!G$42:H$64,2,FALSE),IF(OR(ISBLANK(C818),ISBLANK(B818)),"",VLOOKUP(C818,Deflatores!G$4:H$38,2,FALSE)*H818+VLOOKUP(C818,Deflatores!G$4:I$38,3,FALSE)))</f>
        <v>3</v>
      </c>
      <c r="M818" s="6"/>
      <c r="N818" s="6"/>
      <c r="O818" s="144"/>
    </row>
    <row r="819" spans="1:15" x14ac:dyDescent="0.25">
      <c r="A819" s="154" t="s">
        <v>700</v>
      </c>
      <c r="B819" s="113" t="s">
        <v>48</v>
      </c>
      <c r="C819" s="113" t="s">
        <v>45</v>
      </c>
      <c r="D819" s="4">
        <v>20</v>
      </c>
      <c r="E819" s="4">
        <v>4</v>
      </c>
      <c r="F819" s="105" t="str">
        <f t="shared" si="160"/>
        <v>Alta</v>
      </c>
      <c r="G819" s="4" t="str">
        <f t="shared" si="161"/>
        <v>EEH</v>
      </c>
      <c r="H819" s="4">
        <f t="shared" si="162"/>
        <v>6</v>
      </c>
      <c r="I819" s="105" t="str">
        <f t="shared" si="163"/>
        <v>H</v>
      </c>
      <c r="J819" s="4" t="str">
        <f t="shared" si="164"/>
        <v>EEI</v>
      </c>
      <c r="K819" s="106">
        <f t="shared" si="165"/>
        <v>6</v>
      </c>
      <c r="L819" s="106">
        <f>IF(NOT(ISERROR(VLOOKUP(B819,Deflatores!G$42:H$64,2,FALSE))),VLOOKUP(B819,Deflatores!G$42:H$64,2,FALSE),IF(OR(ISBLANK(C819),ISBLANK(B819)),"",VLOOKUP(C819,Deflatores!G$4:H$38,2,FALSE)*H819+VLOOKUP(C819,Deflatores!G$4:I$38,3,FALSE)))</f>
        <v>6</v>
      </c>
      <c r="M819" s="6"/>
      <c r="N819" s="6"/>
      <c r="O819" s="144" t="s">
        <v>701</v>
      </c>
    </row>
    <row r="820" spans="1:15" x14ac:dyDescent="0.25">
      <c r="A820" s="164" t="s">
        <v>702</v>
      </c>
      <c r="B820" s="113" t="s">
        <v>48</v>
      </c>
      <c r="C820" s="113" t="s">
        <v>45</v>
      </c>
      <c r="D820" s="4">
        <v>18</v>
      </c>
      <c r="E820" s="4">
        <v>4</v>
      </c>
      <c r="F820" s="105" t="str">
        <f t="shared" si="160"/>
        <v>Alta</v>
      </c>
      <c r="G820" s="4" t="str">
        <f t="shared" si="161"/>
        <v>EEH</v>
      </c>
      <c r="H820" s="4">
        <f t="shared" si="162"/>
        <v>6</v>
      </c>
      <c r="I820" s="105" t="str">
        <f t="shared" si="163"/>
        <v>H</v>
      </c>
      <c r="J820" s="4" t="str">
        <f t="shared" si="164"/>
        <v>EEI</v>
      </c>
      <c r="K820" s="106">
        <f t="shared" si="165"/>
        <v>6</v>
      </c>
      <c r="L820" s="106">
        <f>IF(NOT(ISERROR(VLOOKUP(B820,Deflatores!G$42:H$64,2,FALSE))),VLOOKUP(B820,Deflatores!G$42:H$64,2,FALSE),IF(OR(ISBLANK(C820),ISBLANK(B820)),"",VLOOKUP(C820,Deflatores!G$4:H$38,2,FALSE)*H820+VLOOKUP(C820,Deflatores!G$4:I$38,3,FALSE)))</f>
        <v>6</v>
      </c>
      <c r="M820" s="6"/>
      <c r="N820" s="6"/>
      <c r="O820" s="144"/>
    </row>
    <row r="821" spans="1:15" x14ac:dyDescent="0.25">
      <c r="A821" s="154" t="s">
        <v>703</v>
      </c>
      <c r="B821" s="113" t="s">
        <v>48</v>
      </c>
      <c r="C821" s="113" t="s">
        <v>45</v>
      </c>
      <c r="D821" s="4">
        <v>20</v>
      </c>
      <c r="E821" s="4">
        <v>4</v>
      </c>
      <c r="F821" s="105" t="str">
        <f t="shared" si="160"/>
        <v>Alta</v>
      </c>
      <c r="G821" s="4" t="str">
        <f t="shared" si="161"/>
        <v>EEH</v>
      </c>
      <c r="H821" s="4">
        <f t="shared" si="162"/>
        <v>6</v>
      </c>
      <c r="I821" s="105" t="str">
        <f t="shared" si="163"/>
        <v>H</v>
      </c>
      <c r="J821" s="4" t="str">
        <f t="shared" si="164"/>
        <v>EEI</v>
      </c>
      <c r="K821" s="106">
        <f t="shared" si="165"/>
        <v>6</v>
      </c>
      <c r="L821" s="106">
        <f>IF(NOT(ISERROR(VLOOKUP(B821,Deflatores!G$42:H$64,2,FALSE))),VLOOKUP(B821,Deflatores!G$42:H$64,2,FALSE),IF(OR(ISBLANK(C821),ISBLANK(B821)),"",VLOOKUP(C821,Deflatores!G$4:H$38,2,FALSE)*H821+VLOOKUP(C821,Deflatores!G$4:I$38,3,FALSE)))</f>
        <v>6</v>
      </c>
      <c r="M821" s="6"/>
      <c r="N821" s="6"/>
      <c r="O821" s="144" t="s">
        <v>701</v>
      </c>
    </row>
    <row r="822" spans="1:15" x14ac:dyDescent="0.25">
      <c r="A822" s="164" t="s">
        <v>704</v>
      </c>
      <c r="B822" s="113" t="s">
        <v>48</v>
      </c>
      <c r="C822" s="113" t="s">
        <v>45</v>
      </c>
      <c r="D822" s="4">
        <v>26</v>
      </c>
      <c r="E822" s="4">
        <v>5</v>
      </c>
      <c r="F822" s="105" t="str">
        <f t="shared" si="160"/>
        <v>Alta</v>
      </c>
      <c r="G822" s="4" t="str">
        <f t="shared" si="161"/>
        <v>EEH</v>
      </c>
      <c r="H822" s="4">
        <f t="shared" si="162"/>
        <v>6</v>
      </c>
      <c r="I822" s="105" t="str">
        <f t="shared" si="163"/>
        <v>H</v>
      </c>
      <c r="J822" s="4" t="str">
        <f t="shared" si="164"/>
        <v>EEI</v>
      </c>
      <c r="K822" s="106">
        <f t="shared" si="165"/>
        <v>6</v>
      </c>
      <c r="L822" s="106">
        <f>IF(NOT(ISERROR(VLOOKUP(B822,Deflatores!G$42:H$64,2,FALSE))),VLOOKUP(B822,Deflatores!G$42:H$64,2,FALSE),IF(OR(ISBLANK(C822),ISBLANK(B822)),"",VLOOKUP(C822,Deflatores!G$4:H$38,2,FALSE)*H822+VLOOKUP(C822,Deflatores!G$4:I$38,3,FALSE)))</f>
        <v>6</v>
      </c>
      <c r="M822" s="6"/>
      <c r="N822" s="6"/>
      <c r="O822" s="144"/>
    </row>
    <row r="823" spans="1:15" x14ac:dyDescent="0.25">
      <c r="A823" s="154" t="s">
        <v>705</v>
      </c>
      <c r="B823" s="113" t="s">
        <v>48</v>
      </c>
      <c r="C823" s="113" t="s">
        <v>45</v>
      </c>
      <c r="D823" s="4">
        <v>20</v>
      </c>
      <c r="E823" s="4">
        <v>4</v>
      </c>
      <c r="F823" s="105" t="str">
        <f t="shared" si="160"/>
        <v>Alta</v>
      </c>
      <c r="G823" s="4" t="str">
        <f t="shared" si="161"/>
        <v>EEH</v>
      </c>
      <c r="H823" s="4">
        <f t="shared" si="162"/>
        <v>6</v>
      </c>
      <c r="I823" s="105" t="str">
        <f t="shared" si="163"/>
        <v>H</v>
      </c>
      <c r="J823" s="4" t="str">
        <f t="shared" si="164"/>
        <v>EEI</v>
      </c>
      <c r="K823" s="106">
        <f t="shared" si="165"/>
        <v>6</v>
      </c>
      <c r="L823" s="106">
        <f>IF(NOT(ISERROR(VLOOKUP(B823,Deflatores!G$42:H$64,2,FALSE))),VLOOKUP(B823,Deflatores!G$42:H$64,2,FALSE),IF(OR(ISBLANK(C823),ISBLANK(B823)),"",VLOOKUP(C823,Deflatores!G$4:H$38,2,FALSE)*H823+VLOOKUP(C823,Deflatores!G$4:I$38,3,FALSE)))</f>
        <v>6</v>
      </c>
      <c r="M823" s="6"/>
      <c r="N823" s="6"/>
      <c r="O823" s="144" t="s">
        <v>701</v>
      </c>
    </row>
    <row r="824" spans="1:15" x14ac:dyDescent="0.25">
      <c r="A824" s="154" t="s">
        <v>706</v>
      </c>
      <c r="B824" s="113" t="s">
        <v>48</v>
      </c>
      <c r="C824" s="113" t="s">
        <v>45</v>
      </c>
      <c r="D824" s="4">
        <v>28</v>
      </c>
      <c r="E824" s="4">
        <v>5</v>
      </c>
      <c r="F824" s="105" t="str">
        <f t="shared" si="160"/>
        <v>Alta</v>
      </c>
      <c r="G824" s="4" t="str">
        <f t="shared" si="161"/>
        <v>EEH</v>
      </c>
      <c r="H824" s="4">
        <f t="shared" si="162"/>
        <v>6</v>
      </c>
      <c r="I824" s="105" t="str">
        <f t="shared" si="163"/>
        <v>H</v>
      </c>
      <c r="J824" s="4" t="str">
        <f t="shared" si="164"/>
        <v>EEI</v>
      </c>
      <c r="K824" s="106">
        <f t="shared" si="165"/>
        <v>6</v>
      </c>
      <c r="L824" s="106">
        <f>IF(NOT(ISERROR(VLOOKUP(B824,Deflatores!G$42:H$64,2,FALSE))),VLOOKUP(B824,Deflatores!G$42:H$64,2,FALSE),IF(OR(ISBLANK(C824),ISBLANK(B824)),"",VLOOKUP(C824,Deflatores!G$4:H$38,2,FALSE)*H824+VLOOKUP(C824,Deflatores!G$4:I$38,3,FALSE)))</f>
        <v>6</v>
      </c>
      <c r="M824" s="6"/>
      <c r="N824" s="6"/>
      <c r="O824" s="144" t="s">
        <v>701</v>
      </c>
    </row>
    <row r="825" spans="1:15" x14ac:dyDescent="0.25">
      <c r="A825" s="146"/>
      <c r="B825" s="113"/>
      <c r="C825" s="113"/>
      <c r="D825" s="4"/>
      <c r="E825" s="4"/>
      <c r="F825" s="105" t="str">
        <f t="shared" si="160"/>
        <v/>
      </c>
      <c r="G825" s="4" t="str">
        <f t="shared" si="161"/>
        <v/>
      </c>
      <c r="H825" s="4" t="str">
        <f t="shared" si="162"/>
        <v/>
      </c>
      <c r="I825" s="105" t="str">
        <f t="shared" si="163"/>
        <v/>
      </c>
      <c r="J825" s="4" t="str">
        <f t="shared" si="164"/>
        <v/>
      </c>
      <c r="K825" s="106" t="str">
        <f t="shared" si="165"/>
        <v/>
      </c>
      <c r="L825" s="106" t="str">
        <f>IF(NOT(ISERROR(VLOOKUP(B825,Deflatores!G$42:H$64,2,FALSE))),VLOOKUP(B825,Deflatores!G$42:H$64,2,FALSE),IF(OR(ISBLANK(C825),ISBLANK(B825)),"",VLOOKUP(C825,Deflatores!G$4:H$38,2,FALSE)*H825+VLOOKUP(C825,Deflatores!G$4:I$38,3,FALSE)))</f>
        <v/>
      </c>
      <c r="M825" s="6"/>
      <c r="N825" s="6"/>
      <c r="O825" s="144"/>
    </row>
    <row r="826" spans="1:15" x14ac:dyDescent="0.25">
      <c r="A826" s="143" t="s">
        <v>707</v>
      </c>
      <c r="B826" s="113"/>
      <c r="C826" s="113"/>
      <c r="D826" s="4"/>
      <c r="E826" s="4"/>
      <c r="F826" s="105" t="str">
        <f t="shared" si="160"/>
        <v/>
      </c>
      <c r="G826" s="4" t="str">
        <f t="shared" si="161"/>
        <v/>
      </c>
      <c r="H826" s="4" t="str">
        <f t="shared" si="162"/>
        <v/>
      </c>
      <c r="I826" s="105" t="str">
        <f t="shared" si="163"/>
        <v/>
      </c>
      <c r="J826" s="4" t="str">
        <f t="shared" si="164"/>
        <v/>
      </c>
      <c r="K826" s="106" t="str">
        <f t="shared" si="165"/>
        <v/>
      </c>
      <c r="L826" s="106" t="str">
        <f>IF(NOT(ISERROR(VLOOKUP(B826,Deflatores!G$42:H$64,2,FALSE))),VLOOKUP(B826,Deflatores!G$42:H$64,2,FALSE),IF(OR(ISBLANK(C826),ISBLANK(B826)),"",VLOOKUP(C826,Deflatores!G$4:H$38,2,FALSE)*H826+VLOOKUP(C826,Deflatores!G$4:I$38,3,FALSE)))</f>
        <v/>
      </c>
      <c r="M826" s="6"/>
      <c r="N826" s="6"/>
      <c r="O826" s="144"/>
    </row>
    <row r="827" spans="1:15" x14ac:dyDescent="0.25">
      <c r="A827" s="154" t="s">
        <v>708</v>
      </c>
      <c r="B827" s="113" t="s">
        <v>67</v>
      </c>
      <c r="C827" s="113" t="s">
        <v>45</v>
      </c>
      <c r="D827" s="4">
        <v>21</v>
      </c>
      <c r="E827" s="4">
        <v>1</v>
      </c>
      <c r="F827" s="105" t="str">
        <f t="shared" si="160"/>
        <v>Baixa</v>
      </c>
      <c r="G827" s="4" t="str">
        <f t="shared" si="161"/>
        <v>AIEL</v>
      </c>
      <c r="H827" s="4">
        <f t="shared" si="162"/>
        <v>5</v>
      </c>
      <c r="I827" s="105" t="str">
        <f t="shared" si="163"/>
        <v>L</v>
      </c>
      <c r="J827" s="4" t="str">
        <f t="shared" si="164"/>
        <v>AIEI</v>
      </c>
      <c r="K827" s="106">
        <f t="shared" si="165"/>
        <v>5</v>
      </c>
      <c r="L827" s="106">
        <f>IF(NOT(ISERROR(VLOOKUP(B827,Deflatores!G$42:H$64,2,FALSE))),VLOOKUP(B827,Deflatores!G$42:H$64,2,FALSE),IF(OR(ISBLANK(C827),ISBLANK(B827)),"",VLOOKUP(C827,Deflatores!G$4:H$38,2,FALSE)*H827+VLOOKUP(C827,Deflatores!G$4:I$38,3,FALSE)))</f>
        <v>5</v>
      </c>
      <c r="M827" s="6"/>
      <c r="N827" s="6"/>
      <c r="O827" s="144"/>
    </row>
    <row r="828" spans="1:15" x14ac:dyDescent="0.25">
      <c r="A828" s="154" t="s">
        <v>709</v>
      </c>
      <c r="B828" s="113" t="s">
        <v>44</v>
      </c>
      <c r="C828" s="113" t="s">
        <v>45</v>
      </c>
      <c r="D828" s="4">
        <v>20</v>
      </c>
      <c r="E828" s="4">
        <v>1</v>
      </c>
      <c r="F828" s="105" t="str">
        <f t="shared" si="160"/>
        <v>Baixa</v>
      </c>
      <c r="G828" s="4" t="str">
        <f t="shared" si="161"/>
        <v>ALIL</v>
      </c>
      <c r="H828" s="4">
        <f t="shared" si="162"/>
        <v>7</v>
      </c>
      <c r="I828" s="105" t="str">
        <f t="shared" si="163"/>
        <v>L</v>
      </c>
      <c r="J828" s="4" t="str">
        <f t="shared" si="164"/>
        <v>ALII</v>
      </c>
      <c r="K828" s="106">
        <f t="shared" si="165"/>
        <v>7</v>
      </c>
      <c r="L828" s="106">
        <f>IF(NOT(ISERROR(VLOOKUP(B828,Deflatores!G$42:H$64,2,FALSE))),VLOOKUP(B828,Deflatores!G$42:H$64,2,FALSE),IF(OR(ISBLANK(C828),ISBLANK(B828)),"",VLOOKUP(C828,Deflatores!G$4:H$38,2,FALSE)*H828+VLOOKUP(C828,Deflatores!G$4:I$38,3,FALSE)))</f>
        <v>7</v>
      </c>
      <c r="M828" s="6"/>
      <c r="N828" s="6"/>
      <c r="O828" s="144"/>
    </row>
    <row r="829" spans="1:15" x14ac:dyDescent="0.25">
      <c r="A829" s="154" t="s">
        <v>710</v>
      </c>
      <c r="B829" s="113" t="s">
        <v>48</v>
      </c>
      <c r="C829" s="113" t="s">
        <v>45</v>
      </c>
      <c r="D829" s="4">
        <v>29</v>
      </c>
      <c r="E829" s="4">
        <v>4</v>
      </c>
      <c r="F829" s="105" t="str">
        <f t="shared" si="160"/>
        <v>Alta</v>
      </c>
      <c r="G829" s="4" t="str">
        <f t="shared" si="161"/>
        <v>EEH</v>
      </c>
      <c r="H829" s="4">
        <f t="shared" si="162"/>
        <v>6</v>
      </c>
      <c r="I829" s="105" t="str">
        <f t="shared" si="163"/>
        <v>H</v>
      </c>
      <c r="J829" s="4" t="str">
        <f t="shared" si="164"/>
        <v>EEI</v>
      </c>
      <c r="K829" s="106">
        <f t="shared" si="165"/>
        <v>6</v>
      </c>
      <c r="L829" s="106">
        <f>IF(NOT(ISERROR(VLOOKUP(B829,Deflatores!G$42:H$64,2,FALSE))),VLOOKUP(B829,Deflatores!G$42:H$64,2,FALSE),IF(OR(ISBLANK(C829),ISBLANK(B829)),"",VLOOKUP(C829,Deflatores!G$4:H$38,2,FALSE)*H829+VLOOKUP(C829,Deflatores!G$4:I$38,3,FALSE)))</f>
        <v>6</v>
      </c>
      <c r="M829" s="6"/>
      <c r="N829" s="6"/>
      <c r="O829" s="144"/>
    </row>
    <row r="830" spans="1:15" x14ac:dyDescent="0.25">
      <c r="A830" s="154"/>
      <c r="B830" s="113"/>
      <c r="C830" s="113"/>
      <c r="D830" s="4"/>
      <c r="E830" s="4"/>
      <c r="F830" s="105" t="str">
        <f t="shared" si="160"/>
        <v/>
      </c>
      <c r="G830" s="4" t="str">
        <f t="shared" si="161"/>
        <v/>
      </c>
      <c r="H830" s="4" t="str">
        <f t="shared" si="162"/>
        <v/>
      </c>
      <c r="I830" s="105" t="str">
        <f t="shared" si="163"/>
        <v/>
      </c>
      <c r="J830" s="4" t="str">
        <f t="shared" si="164"/>
        <v/>
      </c>
      <c r="K830" s="106" t="str">
        <f t="shared" si="165"/>
        <v/>
      </c>
      <c r="L830" s="106" t="str">
        <f>IF(NOT(ISERROR(VLOOKUP(B830,Deflatores!G$42:H$64,2,FALSE))),VLOOKUP(B830,Deflatores!G$42:H$64,2,FALSE),IF(OR(ISBLANK(C830),ISBLANK(B830)),"",VLOOKUP(C830,Deflatores!G$4:H$38,2,FALSE)*H830+VLOOKUP(C830,Deflatores!G$4:I$38,3,FALSE)))</f>
        <v/>
      </c>
      <c r="M830" s="6"/>
      <c r="N830" s="6"/>
      <c r="O830" s="144"/>
    </row>
    <row r="831" spans="1:15" x14ac:dyDescent="0.25">
      <c r="A831" s="143" t="s">
        <v>711</v>
      </c>
      <c r="B831" s="113"/>
      <c r="C831" s="113"/>
      <c r="D831" s="4"/>
      <c r="E831" s="4"/>
      <c r="F831" s="105" t="str">
        <f t="shared" si="160"/>
        <v/>
      </c>
      <c r="G831" s="4" t="str">
        <f t="shared" si="161"/>
        <v/>
      </c>
      <c r="H831" s="4" t="str">
        <f t="shared" si="162"/>
        <v/>
      </c>
      <c r="I831" s="105" t="str">
        <f t="shared" si="163"/>
        <v/>
      </c>
      <c r="J831" s="4" t="str">
        <f t="shared" si="164"/>
        <v/>
      </c>
      <c r="K831" s="106" t="str">
        <f t="shared" si="165"/>
        <v/>
      </c>
      <c r="L831" s="106" t="str">
        <f>IF(NOT(ISERROR(VLOOKUP(B831,Deflatores!G$42:H$64,2,FALSE))),VLOOKUP(B831,Deflatores!G$42:H$64,2,FALSE),IF(OR(ISBLANK(C831),ISBLANK(B831)),"",VLOOKUP(C831,Deflatores!G$4:H$38,2,FALSE)*H831+VLOOKUP(C831,Deflatores!G$4:I$38,3,FALSE)))</f>
        <v/>
      </c>
      <c r="M831" s="6"/>
      <c r="N831" s="6"/>
      <c r="O831" s="144"/>
    </row>
    <row r="832" spans="1:15" x14ac:dyDescent="0.25">
      <c r="A832" s="146" t="s">
        <v>712</v>
      </c>
      <c r="B832" s="113" t="s">
        <v>50</v>
      </c>
      <c r="C832" s="113" t="s">
        <v>45</v>
      </c>
      <c r="D832" s="4">
        <v>11</v>
      </c>
      <c r="E832" s="4">
        <v>2</v>
      </c>
      <c r="F832" s="105" t="str">
        <f t="shared" si="160"/>
        <v>Média</v>
      </c>
      <c r="G832" s="4" t="str">
        <f t="shared" si="161"/>
        <v>CEA</v>
      </c>
      <c r="H832" s="4">
        <f t="shared" si="162"/>
        <v>4</v>
      </c>
      <c r="I832" s="105" t="str">
        <f t="shared" si="163"/>
        <v>A</v>
      </c>
      <c r="J832" s="4" t="str">
        <f t="shared" si="164"/>
        <v>CEI</v>
      </c>
      <c r="K832" s="106">
        <f t="shared" si="165"/>
        <v>4</v>
      </c>
      <c r="L832" s="106">
        <f>IF(NOT(ISERROR(VLOOKUP(B832,Deflatores!G$42:H$64,2,FALSE))),VLOOKUP(B832,Deflatores!G$42:H$64,2,FALSE),IF(OR(ISBLANK(C832),ISBLANK(B832)),"",VLOOKUP(C832,Deflatores!G$4:H$38,2,FALSE)*H832+VLOOKUP(C832,Deflatores!G$4:I$38,3,FALSE)))</f>
        <v>4</v>
      </c>
      <c r="M832" s="6"/>
      <c r="N832" s="6"/>
      <c r="O832" s="144"/>
    </row>
    <row r="833" spans="1:15" x14ac:dyDescent="0.25">
      <c r="A833" s="145"/>
      <c r="B833" s="113"/>
      <c r="C833" s="113"/>
      <c r="D833" s="4"/>
      <c r="E833" s="4"/>
      <c r="F833" s="105" t="str">
        <f t="shared" ref="F833:F856" si="166">IF(ISBLANK(B833),"",IF(I833="L","Baixa",IF(I833="A","Média",IF(I833="","","Alta"))))</f>
        <v/>
      </c>
      <c r="G833" s="4" t="str">
        <f t="shared" ref="G833:G856" si="167">CONCATENATE(B833,I833)</f>
        <v/>
      </c>
      <c r="H833" s="4" t="str">
        <f t="shared" ref="H833:H856" si="168">IF(ISBLANK(B833),"",IF(B833="ALI",IF(I833="L",7,IF(I833="A",10,15)),IF(B833="AIE",IF(I833="L",5,IF(I833="A",7,10)),IF(B833="SE",IF(I833="L",4,IF(I833="A",5,7)),IF(OR(B833="EE",B833="CE"),IF(I833="L",3,IF(I833="A",4,6)),0)))))</f>
        <v/>
      </c>
      <c r="I833" s="105" t="str">
        <f t="shared" ref="I833:I856" si="169">IF(OR(ISBLANK(D833),ISBLANK(E833)),IF(OR(B833="ALI",B833="AIE"),"L",IF(OR(B833="EE",B833="SE",B833="CE"),"A","")),IF(B833="EE",IF(E833&gt;=3,IF(D833&gt;=5,"H","A"),IF(E833&gt;=2,IF(D833&gt;=16,"H",IF(D833&lt;=4,"L","A")),IF(D833&lt;=15,"L","A"))),IF(OR(B833="SE",B833="CE"),IF(E833&gt;=4,IF(D833&gt;=6,"H","A"),IF(E833&gt;=2,IF(D833&gt;=20,"H",IF(D833&lt;=5,"L","A")),IF(D833&lt;=19,"L","A"))),IF(OR(B833="ALI",B833="AIE"),IF(E833&gt;=6,IF(D833&gt;=20,"H","A"),IF(E833&gt;=2,IF(D833&gt;=51,"H",IF(D833&lt;=19,"L","A")),IF(D833&lt;=50,"L","A"))),""))))</f>
        <v/>
      </c>
      <c r="J833" s="4" t="str">
        <f t="shared" ref="J833:J856" si="170">CONCATENATE(B833,C833)</f>
        <v/>
      </c>
      <c r="K833" s="106" t="str">
        <f t="shared" ref="K833:K856" si="171">IF(OR(H833="",H833=0),L833,H833)</f>
        <v/>
      </c>
      <c r="L833" s="106" t="str">
        <f>IF(NOT(ISERROR(VLOOKUP(B833,Deflatores!G$42:H$64,2,FALSE))),VLOOKUP(B833,Deflatores!G$42:H$64,2,FALSE),IF(OR(ISBLANK(C833),ISBLANK(B833)),"",VLOOKUP(C833,Deflatores!G$4:H$38,2,FALSE)*H833+VLOOKUP(C833,Deflatores!G$4:I$38,3,FALSE)))</f>
        <v/>
      </c>
      <c r="M833" s="6"/>
      <c r="N833" s="6"/>
      <c r="O833" s="144"/>
    </row>
    <row r="834" spans="1:15" x14ac:dyDescent="0.25">
      <c r="A834" s="143" t="s">
        <v>713</v>
      </c>
      <c r="B834" s="113"/>
      <c r="C834" s="113"/>
      <c r="D834" s="4"/>
      <c r="E834" s="4"/>
      <c r="F834" s="105" t="str">
        <f t="shared" si="166"/>
        <v/>
      </c>
      <c r="G834" s="4" t="str">
        <f t="shared" si="167"/>
        <v/>
      </c>
      <c r="H834" s="4" t="str">
        <f t="shared" si="168"/>
        <v/>
      </c>
      <c r="I834" s="105" t="str">
        <f t="shared" si="169"/>
        <v/>
      </c>
      <c r="J834" s="4" t="str">
        <f t="shared" si="170"/>
        <v/>
      </c>
      <c r="K834" s="106" t="str">
        <f t="shared" si="171"/>
        <v/>
      </c>
      <c r="L834" s="106" t="str">
        <f>IF(NOT(ISERROR(VLOOKUP(B834,Deflatores!G$42:H$64,2,FALSE))),VLOOKUP(B834,Deflatores!G$42:H$64,2,FALSE),IF(OR(ISBLANK(C834),ISBLANK(B834)),"",VLOOKUP(C834,Deflatores!G$4:H$38,2,FALSE)*H834+VLOOKUP(C834,Deflatores!G$4:I$38,3,FALSE)))</f>
        <v/>
      </c>
      <c r="M834" s="6"/>
      <c r="N834" s="6"/>
      <c r="O834" s="144"/>
    </row>
    <row r="835" spans="1:15" x14ac:dyDescent="0.25">
      <c r="A835" s="154" t="s">
        <v>714</v>
      </c>
      <c r="B835" s="113" t="s">
        <v>50</v>
      </c>
      <c r="C835" s="113" t="s">
        <v>45</v>
      </c>
      <c r="D835" s="4">
        <v>8</v>
      </c>
      <c r="E835" s="4">
        <v>4</v>
      </c>
      <c r="F835" s="105" t="str">
        <f t="shared" si="166"/>
        <v>Alta</v>
      </c>
      <c r="G835" s="4" t="str">
        <f t="shared" si="167"/>
        <v>CEH</v>
      </c>
      <c r="H835" s="4">
        <f t="shared" si="168"/>
        <v>6</v>
      </c>
      <c r="I835" s="105" t="str">
        <f t="shared" si="169"/>
        <v>H</v>
      </c>
      <c r="J835" s="4" t="str">
        <f t="shared" si="170"/>
        <v>CEI</v>
      </c>
      <c r="K835" s="106">
        <f t="shared" si="171"/>
        <v>6</v>
      </c>
      <c r="L835" s="106">
        <f>IF(NOT(ISERROR(VLOOKUP(B835,Deflatores!G$42:H$64,2,FALSE))),VLOOKUP(B835,Deflatores!G$42:H$64,2,FALSE),IF(OR(ISBLANK(C835),ISBLANK(B835)),"",VLOOKUP(C835,Deflatores!G$4:H$38,2,FALSE)*H835+VLOOKUP(C835,Deflatores!G$4:I$38,3,FALSE)))</f>
        <v>6</v>
      </c>
      <c r="M835" s="6"/>
      <c r="N835" s="6"/>
      <c r="O835" s="144"/>
    </row>
    <row r="836" spans="1:15" x14ac:dyDescent="0.25">
      <c r="A836" s="154" t="s">
        <v>715</v>
      </c>
      <c r="B836" s="113" t="s">
        <v>50</v>
      </c>
      <c r="C836" s="113" t="s">
        <v>45</v>
      </c>
      <c r="D836" s="4">
        <v>6</v>
      </c>
      <c r="E836" s="4">
        <v>4</v>
      </c>
      <c r="F836" s="105" t="str">
        <f t="shared" si="166"/>
        <v>Alta</v>
      </c>
      <c r="G836" s="4" t="str">
        <f t="shared" si="167"/>
        <v>CEH</v>
      </c>
      <c r="H836" s="4">
        <f t="shared" si="168"/>
        <v>6</v>
      </c>
      <c r="I836" s="105" t="str">
        <f t="shared" si="169"/>
        <v>H</v>
      </c>
      <c r="J836" s="4" t="str">
        <f t="shared" si="170"/>
        <v>CEI</v>
      </c>
      <c r="K836" s="106">
        <f t="shared" si="171"/>
        <v>6</v>
      </c>
      <c r="L836" s="106">
        <f>IF(NOT(ISERROR(VLOOKUP(B836,Deflatores!G$42:H$64,2,FALSE))),VLOOKUP(B836,Deflatores!G$42:H$64,2,FALSE),IF(OR(ISBLANK(C836),ISBLANK(B836)),"",VLOOKUP(C836,Deflatores!G$4:H$38,2,FALSE)*H836+VLOOKUP(C836,Deflatores!G$4:I$38,3,FALSE)))</f>
        <v>6</v>
      </c>
      <c r="M836" s="6"/>
      <c r="N836" s="6"/>
      <c r="O836" s="144"/>
    </row>
    <row r="837" spans="1:15" x14ac:dyDescent="0.25">
      <c r="A837" s="154" t="s">
        <v>716</v>
      </c>
      <c r="B837" s="113" t="s">
        <v>113</v>
      </c>
      <c r="C837" s="113" t="s">
        <v>45</v>
      </c>
      <c r="D837" s="4">
        <v>19</v>
      </c>
      <c r="E837" s="4">
        <v>4</v>
      </c>
      <c r="F837" s="105" t="str">
        <f t="shared" si="166"/>
        <v>Alta</v>
      </c>
      <c r="G837" s="4" t="str">
        <f t="shared" si="167"/>
        <v>SEH</v>
      </c>
      <c r="H837" s="4">
        <f t="shared" si="168"/>
        <v>7</v>
      </c>
      <c r="I837" s="105" t="str">
        <f t="shared" si="169"/>
        <v>H</v>
      </c>
      <c r="J837" s="4" t="str">
        <f t="shared" si="170"/>
        <v>SEI</v>
      </c>
      <c r="K837" s="106">
        <f t="shared" si="171"/>
        <v>7</v>
      </c>
      <c r="L837" s="106">
        <f>IF(NOT(ISERROR(VLOOKUP(B837,Deflatores!G$42:H$64,2,FALSE))),VLOOKUP(B837,Deflatores!G$42:H$64,2,FALSE),IF(OR(ISBLANK(C837),ISBLANK(B837)),"",VLOOKUP(C837,Deflatores!G$4:H$38,2,FALSE)*H837+VLOOKUP(C837,Deflatores!G$4:I$38,3,FALSE)))</f>
        <v>7</v>
      </c>
      <c r="M837" s="6"/>
      <c r="N837" s="6"/>
      <c r="O837" s="144"/>
    </row>
    <row r="838" spans="1:15" ht="22" x14ac:dyDescent="0.25">
      <c r="A838" s="154" t="s">
        <v>717</v>
      </c>
      <c r="B838" s="113" t="s">
        <v>50</v>
      </c>
      <c r="C838" s="113" t="s">
        <v>45</v>
      </c>
      <c r="D838" s="4">
        <v>10</v>
      </c>
      <c r="E838" s="4">
        <v>4</v>
      </c>
      <c r="F838" s="105" t="str">
        <f t="shared" si="166"/>
        <v>Alta</v>
      </c>
      <c r="G838" s="4" t="str">
        <f t="shared" si="167"/>
        <v>CEH</v>
      </c>
      <c r="H838" s="4">
        <f t="shared" si="168"/>
        <v>6</v>
      </c>
      <c r="I838" s="105" t="str">
        <f t="shared" si="169"/>
        <v>H</v>
      </c>
      <c r="J838" s="4" t="str">
        <f t="shared" si="170"/>
        <v>CEI</v>
      </c>
      <c r="K838" s="106">
        <f t="shared" si="171"/>
        <v>6</v>
      </c>
      <c r="L838" s="106">
        <f>IF(NOT(ISERROR(VLOOKUP(B838,Deflatores!G$42:H$64,2,FALSE))),VLOOKUP(B838,Deflatores!G$42:H$64,2,FALSE),IF(OR(ISBLANK(C838),ISBLANK(B838)),"",VLOOKUP(C838,Deflatores!G$4:H$38,2,FALSE)*H838+VLOOKUP(C838,Deflatores!G$4:I$38,3,FALSE)))</f>
        <v>6</v>
      </c>
      <c r="M838" s="6"/>
      <c r="N838" s="6"/>
      <c r="O838" s="144" t="s">
        <v>718</v>
      </c>
    </row>
    <row r="839" spans="1:15" x14ac:dyDescent="0.25">
      <c r="A839" s="154" t="s">
        <v>719</v>
      </c>
      <c r="B839" s="113" t="s">
        <v>50</v>
      </c>
      <c r="C839" s="113" t="s">
        <v>45</v>
      </c>
      <c r="D839" s="4">
        <v>8</v>
      </c>
      <c r="E839" s="4">
        <v>1</v>
      </c>
      <c r="F839" s="105" t="str">
        <f t="shared" si="166"/>
        <v>Baixa</v>
      </c>
      <c r="G839" s="4" t="str">
        <f t="shared" si="167"/>
        <v>CEL</v>
      </c>
      <c r="H839" s="4">
        <f t="shared" si="168"/>
        <v>3</v>
      </c>
      <c r="I839" s="105" t="str">
        <f t="shared" si="169"/>
        <v>L</v>
      </c>
      <c r="J839" s="4" t="str">
        <f t="shared" si="170"/>
        <v>CEI</v>
      </c>
      <c r="K839" s="106">
        <f t="shared" si="171"/>
        <v>3</v>
      </c>
      <c r="L839" s="106">
        <f>IF(NOT(ISERROR(VLOOKUP(B839,Deflatores!G$42:H$64,2,FALSE))),VLOOKUP(B839,Deflatores!G$42:H$64,2,FALSE),IF(OR(ISBLANK(C839),ISBLANK(B839)),"",VLOOKUP(C839,Deflatores!G$4:H$38,2,FALSE)*H839+VLOOKUP(C839,Deflatores!G$4:I$38,3,FALSE)))</f>
        <v>3</v>
      </c>
      <c r="M839" s="6"/>
      <c r="N839" s="6"/>
      <c r="O839" s="144"/>
    </row>
    <row r="840" spans="1:15" x14ac:dyDescent="0.25">
      <c r="A840" s="143"/>
      <c r="B840" s="113"/>
      <c r="C840" s="113"/>
      <c r="D840" s="4"/>
      <c r="E840" s="4"/>
      <c r="F840" s="105" t="str">
        <f t="shared" si="166"/>
        <v/>
      </c>
      <c r="G840" s="4" t="str">
        <f t="shared" si="167"/>
        <v/>
      </c>
      <c r="H840" s="4" t="str">
        <f t="shared" si="168"/>
        <v/>
      </c>
      <c r="I840" s="105" t="str">
        <f t="shared" si="169"/>
        <v/>
      </c>
      <c r="J840" s="4" t="str">
        <f t="shared" si="170"/>
        <v/>
      </c>
      <c r="K840" s="106" t="str">
        <f t="shared" si="171"/>
        <v/>
      </c>
      <c r="L840" s="106" t="str">
        <f>IF(NOT(ISERROR(VLOOKUP(B840,Deflatores!G$42:H$64,2,FALSE))),VLOOKUP(B840,Deflatores!G$42:H$64,2,FALSE),IF(OR(ISBLANK(C840),ISBLANK(B840)),"",VLOOKUP(C840,Deflatores!G$4:H$38,2,FALSE)*H840+VLOOKUP(C840,Deflatores!G$4:I$38,3,FALSE)))</f>
        <v/>
      </c>
      <c r="M840" s="6"/>
      <c r="N840" s="6"/>
      <c r="O840" s="144"/>
    </row>
    <row r="841" spans="1:15" x14ac:dyDescent="0.25">
      <c r="A841" s="143" t="s">
        <v>720</v>
      </c>
      <c r="B841" s="113"/>
      <c r="C841" s="113"/>
      <c r="D841" s="4"/>
      <c r="E841" s="4"/>
      <c r="F841" s="105" t="str">
        <f t="shared" si="166"/>
        <v/>
      </c>
      <c r="G841" s="4" t="str">
        <f t="shared" si="167"/>
        <v/>
      </c>
      <c r="H841" s="4" t="str">
        <f t="shared" si="168"/>
        <v/>
      </c>
      <c r="I841" s="105" t="str">
        <f t="shared" si="169"/>
        <v/>
      </c>
      <c r="J841" s="4" t="str">
        <f t="shared" si="170"/>
        <v/>
      </c>
      <c r="K841" s="106" t="str">
        <f t="shared" si="171"/>
        <v/>
      </c>
      <c r="L841" s="106" t="str">
        <f>IF(NOT(ISERROR(VLOOKUP(B841,Deflatores!G$42:H$64,2,FALSE))),VLOOKUP(B841,Deflatores!G$42:H$64,2,FALSE),IF(OR(ISBLANK(C841),ISBLANK(B841)),"",VLOOKUP(C841,Deflatores!G$4:H$38,2,FALSE)*H841+VLOOKUP(C841,Deflatores!G$4:I$38,3,FALSE)))</f>
        <v/>
      </c>
      <c r="M841" s="6"/>
      <c r="N841" s="6"/>
      <c r="O841" s="144"/>
    </row>
    <row r="842" spans="1:15" x14ac:dyDescent="0.25">
      <c r="A842" s="154" t="s">
        <v>721</v>
      </c>
      <c r="B842" s="113" t="s">
        <v>50</v>
      </c>
      <c r="C842" s="113" t="s">
        <v>45</v>
      </c>
      <c r="D842" s="4">
        <v>7</v>
      </c>
      <c r="E842" s="4">
        <v>4</v>
      </c>
      <c r="F842" s="105" t="str">
        <f t="shared" si="166"/>
        <v>Alta</v>
      </c>
      <c r="G842" s="4" t="str">
        <f t="shared" si="167"/>
        <v>CEH</v>
      </c>
      <c r="H842" s="4">
        <f t="shared" si="168"/>
        <v>6</v>
      </c>
      <c r="I842" s="105" t="str">
        <f t="shared" si="169"/>
        <v>H</v>
      </c>
      <c r="J842" s="4" t="str">
        <f t="shared" si="170"/>
        <v>CEI</v>
      </c>
      <c r="K842" s="106">
        <f t="shared" si="171"/>
        <v>6</v>
      </c>
      <c r="L842" s="106">
        <f>IF(NOT(ISERROR(VLOOKUP(B842,Deflatores!G$42:H$64,2,FALSE))),VLOOKUP(B842,Deflatores!G$42:H$64,2,FALSE),IF(OR(ISBLANK(C842),ISBLANK(B842)),"",VLOOKUP(C842,Deflatores!G$4:H$38,2,FALSE)*H842+VLOOKUP(C842,Deflatores!G$4:I$38,3,FALSE)))</f>
        <v>6</v>
      </c>
      <c r="M842" s="6"/>
      <c r="N842" s="6"/>
      <c r="O842" s="144"/>
    </row>
    <row r="843" spans="1:15" x14ac:dyDescent="0.25">
      <c r="A843" s="154" t="s">
        <v>722</v>
      </c>
      <c r="B843" s="113" t="s">
        <v>50</v>
      </c>
      <c r="C843" s="113" t="s">
        <v>45</v>
      </c>
      <c r="D843" s="4">
        <v>5</v>
      </c>
      <c r="E843" s="4">
        <v>4</v>
      </c>
      <c r="F843" s="105" t="str">
        <f t="shared" si="166"/>
        <v>Média</v>
      </c>
      <c r="G843" s="4" t="str">
        <f t="shared" si="167"/>
        <v>CEA</v>
      </c>
      <c r="H843" s="4">
        <f t="shared" si="168"/>
        <v>4</v>
      </c>
      <c r="I843" s="105" t="str">
        <f t="shared" si="169"/>
        <v>A</v>
      </c>
      <c r="J843" s="4" t="str">
        <f t="shared" si="170"/>
        <v>CEI</v>
      </c>
      <c r="K843" s="106">
        <f t="shared" si="171"/>
        <v>4</v>
      </c>
      <c r="L843" s="106">
        <f>IF(NOT(ISERROR(VLOOKUP(B843,Deflatores!G$42:H$64,2,FALSE))),VLOOKUP(B843,Deflatores!G$42:H$64,2,FALSE),IF(OR(ISBLANK(C843),ISBLANK(B843)),"",VLOOKUP(C843,Deflatores!G$4:H$38,2,FALSE)*H843+VLOOKUP(C843,Deflatores!G$4:I$38,3,FALSE)))</f>
        <v>4</v>
      </c>
      <c r="M843" s="6"/>
      <c r="N843" s="6"/>
      <c r="O843" s="144"/>
    </row>
    <row r="844" spans="1:15" ht="22" x14ac:dyDescent="0.25">
      <c r="A844" s="154" t="s">
        <v>723</v>
      </c>
      <c r="B844" s="113" t="s">
        <v>113</v>
      </c>
      <c r="C844" s="113" t="s">
        <v>45</v>
      </c>
      <c r="D844" s="4">
        <v>17</v>
      </c>
      <c r="E844" s="4">
        <v>4</v>
      </c>
      <c r="F844" s="105" t="str">
        <f t="shared" si="166"/>
        <v>Alta</v>
      </c>
      <c r="G844" s="4" t="str">
        <f t="shared" si="167"/>
        <v>SEH</v>
      </c>
      <c r="H844" s="4">
        <f t="shared" si="168"/>
        <v>7</v>
      </c>
      <c r="I844" s="105" t="str">
        <f t="shared" si="169"/>
        <v>H</v>
      </c>
      <c r="J844" s="4" t="str">
        <f t="shared" si="170"/>
        <v>SEI</v>
      </c>
      <c r="K844" s="106">
        <f t="shared" si="171"/>
        <v>7</v>
      </c>
      <c r="L844" s="106">
        <f>IF(NOT(ISERROR(VLOOKUP(B844,Deflatores!G$42:H$64,2,FALSE))),VLOOKUP(B844,Deflatores!G$42:H$64,2,FALSE),IF(OR(ISBLANK(C844),ISBLANK(B844)),"",VLOOKUP(C844,Deflatores!G$4:H$38,2,FALSE)*H844+VLOOKUP(C844,Deflatores!G$4:I$38,3,FALSE)))</f>
        <v>7</v>
      </c>
      <c r="M844" s="6"/>
      <c r="N844" s="6"/>
      <c r="O844" s="144" t="s">
        <v>724</v>
      </c>
    </row>
    <row r="845" spans="1:15" x14ac:dyDescent="0.25">
      <c r="A845" s="154" t="s">
        <v>725</v>
      </c>
      <c r="B845" s="113" t="s">
        <v>50</v>
      </c>
      <c r="C845" s="113" t="s">
        <v>45</v>
      </c>
      <c r="D845" s="4">
        <v>9</v>
      </c>
      <c r="E845" s="4">
        <v>4</v>
      </c>
      <c r="F845" s="105" t="str">
        <f t="shared" si="166"/>
        <v>Alta</v>
      </c>
      <c r="G845" s="4" t="str">
        <f t="shared" si="167"/>
        <v>CEH</v>
      </c>
      <c r="H845" s="4">
        <f t="shared" si="168"/>
        <v>6</v>
      </c>
      <c r="I845" s="105" t="str">
        <f t="shared" si="169"/>
        <v>H</v>
      </c>
      <c r="J845" s="4" t="str">
        <f t="shared" si="170"/>
        <v>CEI</v>
      </c>
      <c r="K845" s="106">
        <f t="shared" si="171"/>
        <v>6</v>
      </c>
      <c r="L845" s="106">
        <f>IF(NOT(ISERROR(VLOOKUP(B845,Deflatores!G$42:H$64,2,FALSE))),VLOOKUP(B845,Deflatores!G$42:H$64,2,FALSE),IF(OR(ISBLANK(C845),ISBLANK(B845)),"",VLOOKUP(C845,Deflatores!G$4:H$38,2,FALSE)*H845+VLOOKUP(C845,Deflatores!G$4:I$38,3,FALSE)))</f>
        <v>6</v>
      </c>
      <c r="M845" s="6"/>
      <c r="N845" s="6"/>
      <c r="O845" s="144"/>
    </row>
    <row r="846" spans="1:15" x14ac:dyDescent="0.25">
      <c r="A846" s="154" t="s">
        <v>726</v>
      </c>
      <c r="B846" s="113" t="s">
        <v>50</v>
      </c>
      <c r="C846" s="113" t="s">
        <v>72</v>
      </c>
      <c r="D846" s="4">
        <v>7</v>
      </c>
      <c r="E846" s="4">
        <v>1</v>
      </c>
      <c r="F846" s="105" t="str">
        <f t="shared" si="166"/>
        <v>Baixa</v>
      </c>
      <c r="G846" s="4" t="str">
        <f t="shared" si="167"/>
        <v>CEL</v>
      </c>
      <c r="H846" s="4">
        <f t="shared" si="168"/>
        <v>3</v>
      </c>
      <c r="I846" s="105" t="str">
        <f t="shared" si="169"/>
        <v>L</v>
      </c>
      <c r="J846" s="4" t="str">
        <f t="shared" si="170"/>
        <v>CEE</v>
      </c>
      <c r="K846" s="106">
        <f t="shared" si="171"/>
        <v>3</v>
      </c>
      <c r="L846" s="106">
        <f>IF(NOT(ISERROR(VLOOKUP(B846,Deflatores!G$42:H$64,2,FALSE))),VLOOKUP(B846,Deflatores!G$42:H$64,2,FALSE),IF(OR(ISBLANK(C846),ISBLANK(B846)),"",VLOOKUP(C846,Deflatores!G$4:H$38,2,FALSE)*H846+VLOOKUP(C846,Deflatores!G$4:I$38,3,FALSE)))</f>
        <v>1.2000000000000002</v>
      </c>
      <c r="M846" s="6"/>
      <c r="N846" s="6"/>
      <c r="O846" s="150"/>
    </row>
    <row r="847" spans="1:15" x14ac:dyDescent="0.25">
      <c r="A847" s="154"/>
      <c r="B847" s="113"/>
      <c r="C847" s="113"/>
      <c r="D847" s="4"/>
      <c r="E847" s="4"/>
      <c r="F847" s="105" t="str">
        <f t="shared" si="166"/>
        <v/>
      </c>
      <c r="G847" s="4" t="str">
        <f t="shared" si="167"/>
        <v/>
      </c>
      <c r="H847" s="4" t="str">
        <f t="shared" si="168"/>
        <v/>
      </c>
      <c r="I847" s="105" t="str">
        <f t="shared" si="169"/>
        <v/>
      </c>
      <c r="J847" s="4" t="str">
        <f t="shared" si="170"/>
        <v/>
      </c>
      <c r="K847" s="106" t="str">
        <f t="shared" si="171"/>
        <v/>
      </c>
      <c r="L847" s="106" t="s">
        <v>423</v>
      </c>
      <c r="M847" s="6"/>
      <c r="N847" s="6"/>
      <c r="O847" s="144"/>
    </row>
    <row r="848" spans="1:15" x14ac:dyDescent="0.25">
      <c r="A848" s="143" t="s">
        <v>727</v>
      </c>
      <c r="B848" s="113"/>
      <c r="C848" s="113"/>
      <c r="D848" s="4"/>
      <c r="E848" s="4"/>
      <c r="F848" s="105" t="str">
        <f t="shared" si="166"/>
        <v/>
      </c>
      <c r="G848" s="4" t="str">
        <f t="shared" si="167"/>
        <v/>
      </c>
      <c r="H848" s="4" t="str">
        <f t="shared" si="168"/>
        <v/>
      </c>
      <c r="I848" s="105" t="str">
        <f t="shared" si="169"/>
        <v/>
      </c>
      <c r="J848" s="4" t="str">
        <f t="shared" si="170"/>
        <v/>
      </c>
      <c r="K848" s="106" t="str">
        <f t="shared" si="171"/>
        <v/>
      </c>
      <c r="L848" s="106" t="str">
        <f>IF(NOT(ISERROR(VLOOKUP(B848,Deflatores!G$42:H$64,2,FALSE))),VLOOKUP(B848,Deflatores!G$42:H$64,2,FALSE),IF(OR(ISBLANK(C848),ISBLANK(B848)),"",VLOOKUP(C848,Deflatores!G$4:H$38,2,FALSE)*H848+VLOOKUP(C848,Deflatores!G$4:I$38,3,FALSE)))</f>
        <v/>
      </c>
      <c r="M848" s="6"/>
      <c r="N848" s="6"/>
      <c r="O848" s="123"/>
    </row>
    <row r="849" spans="1:15" x14ac:dyDescent="0.25">
      <c r="A849" s="154" t="s">
        <v>728</v>
      </c>
      <c r="B849" s="113" t="s">
        <v>50</v>
      </c>
      <c r="C849" s="113" t="s">
        <v>45</v>
      </c>
      <c r="D849" s="4">
        <v>15</v>
      </c>
      <c r="E849" s="4">
        <v>4</v>
      </c>
      <c r="F849" s="105" t="str">
        <f t="shared" si="166"/>
        <v>Alta</v>
      </c>
      <c r="G849" s="4" t="str">
        <f t="shared" si="167"/>
        <v>CEH</v>
      </c>
      <c r="H849" s="4">
        <f t="shared" si="168"/>
        <v>6</v>
      </c>
      <c r="I849" s="105" t="str">
        <f t="shared" si="169"/>
        <v>H</v>
      </c>
      <c r="J849" s="4" t="str">
        <f t="shared" si="170"/>
        <v>CEI</v>
      </c>
      <c r="K849" s="106">
        <f t="shared" si="171"/>
        <v>6</v>
      </c>
      <c r="L849" s="106">
        <f>IF(NOT(ISERROR(VLOOKUP(B849,Deflatores!G$42:H$64,2,FALSE))),VLOOKUP(B849,Deflatores!G$42:H$64,2,FALSE),IF(OR(ISBLANK(C849),ISBLANK(B849)),"",VLOOKUP(C849,Deflatores!G$4:H$38,2,FALSE)*H849+VLOOKUP(C849,Deflatores!G$4:I$38,3,FALSE)))</f>
        <v>6</v>
      </c>
      <c r="M849" s="6"/>
      <c r="N849" s="6"/>
      <c r="O849" s="144"/>
    </row>
    <row r="850" spans="1:15" x14ac:dyDescent="0.25">
      <c r="A850" s="143"/>
      <c r="B850" s="113"/>
      <c r="C850" s="113"/>
      <c r="D850" s="4"/>
      <c r="E850" s="4"/>
      <c r="F850" s="105" t="str">
        <f t="shared" si="166"/>
        <v/>
      </c>
      <c r="G850" s="4" t="str">
        <f t="shared" si="167"/>
        <v/>
      </c>
      <c r="H850" s="4" t="str">
        <f t="shared" si="168"/>
        <v/>
      </c>
      <c r="I850" s="105" t="str">
        <f t="shared" si="169"/>
        <v/>
      </c>
      <c r="J850" s="4" t="str">
        <f t="shared" si="170"/>
        <v/>
      </c>
      <c r="K850" s="106" t="str">
        <f t="shared" si="171"/>
        <v/>
      </c>
      <c r="L850" s="106" t="str">
        <f>IF(NOT(ISERROR(VLOOKUP(B850,Deflatores!G$42:H$64,2,FALSE))),VLOOKUP(B850,Deflatores!G$42:H$64,2,FALSE),IF(OR(ISBLANK(C850),ISBLANK(B850)),"",VLOOKUP(C850,Deflatores!G$4:H$38,2,FALSE)*H850+VLOOKUP(C850,Deflatores!G$4:I$38,3,FALSE)))</f>
        <v/>
      </c>
      <c r="M850" s="6"/>
      <c r="N850" s="6"/>
      <c r="O850" s="144"/>
    </row>
    <row r="851" spans="1:15" x14ac:dyDescent="0.25">
      <c r="A851" s="143" t="s">
        <v>729</v>
      </c>
      <c r="B851" s="113"/>
      <c r="C851" s="113"/>
      <c r="D851" s="4"/>
      <c r="E851" s="4"/>
      <c r="F851" s="105" t="str">
        <f t="shared" si="166"/>
        <v/>
      </c>
      <c r="G851" s="4" t="str">
        <f t="shared" si="167"/>
        <v/>
      </c>
      <c r="H851" s="4" t="str">
        <f t="shared" si="168"/>
        <v/>
      </c>
      <c r="I851" s="105" t="str">
        <f t="shared" si="169"/>
        <v/>
      </c>
      <c r="J851" s="4" t="str">
        <f t="shared" si="170"/>
        <v/>
      </c>
      <c r="K851" s="106" t="str">
        <f t="shared" si="171"/>
        <v/>
      </c>
      <c r="L851" s="106" t="str">
        <f>IF(NOT(ISERROR(VLOOKUP(B851,Deflatores!G$42:H$64,2,FALSE))),VLOOKUP(B851,Deflatores!G$42:H$64,2,FALSE),IF(OR(ISBLANK(C851),ISBLANK(B851)),"",VLOOKUP(C851,Deflatores!G$4:H$38,2,FALSE)*H851+VLOOKUP(C851,Deflatores!G$4:I$38,3,FALSE)))</f>
        <v/>
      </c>
      <c r="M851" s="6"/>
      <c r="N851" s="6"/>
      <c r="O851" s="144"/>
    </row>
    <row r="852" spans="1:15" x14ac:dyDescent="0.25">
      <c r="A852" s="154" t="s">
        <v>730</v>
      </c>
      <c r="B852" s="113" t="s">
        <v>50</v>
      </c>
      <c r="C852" s="113" t="s">
        <v>45</v>
      </c>
      <c r="D852" s="4">
        <v>9</v>
      </c>
      <c r="E852" s="4">
        <v>2</v>
      </c>
      <c r="F852" s="105" t="str">
        <f t="shared" si="166"/>
        <v>Média</v>
      </c>
      <c r="G852" s="4" t="str">
        <f t="shared" si="167"/>
        <v>CEA</v>
      </c>
      <c r="H852" s="4">
        <f t="shared" si="168"/>
        <v>4</v>
      </c>
      <c r="I852" s="105" t="str">
        <f t="shared" si="169"/>
        <v>A</v>
      </c>
      <c r="J852" s="4" t="str">
        <f t="shared" si="170"/>
        <v>CEI</v>
      </c>
      <c r="K852" s="106">
        <f t="shared" si="171"/>
        <v>4</v>
      </c>
      <c r="L852" s="106">
        <f>IF(NOT(ISERROR(VLOOKUP(B852,Deflatores!G$42:H$64,2,FALSE))),VLOOKUP(B852,Deflatores!G$42:H$64,2,FALSE),IF(OR(ISBLANK(C852),ISBLANK(B852)),"",VLOOKUP(C852,Deflatores!G$4:H$38,2,FALSE)*H852+VLOOKUP(C852,Deflatores!G$4:I$38,3,FALSE)))</f>
        <v>4</v>
      </c>
      <c r="M852" s="6"/>
      <c r="N852" s="6"/>
      <c r="O852" s="144"/>
    </row>
    <row r="853" spans="1:15" x14ac:dyDescent="0.25">
      <c r="A853" s="154" t="s">
        <v>731</v>
      </c>
      <c r="B853" s="113" t="s">
        <v>48</v>
      </c>
      <c r="C853" s="113" t="s">
        <v>45</v>
      </c>
      <c r="D853" s="4">
        <v>5</v>
      </c>
      <c r="E853" s="4">
        <v>1</v>
      </c>
      <c r="F853" s="105" t="str">
        <f t="shared" si="166"/>
        <v>Baixa</v>
      </c>
      <c r="G853" s="4" t="str">
        <f t="shared" si="167"/>
        <v>EEL</v>
      </c>
      <c r="H853" s="4">
        <f t="shared" si="168"/>
        <v>3</v>
      </c>
      <c r="I853" s="105" t="str">
        <f t="shared" si="169"/>
        <v>L</v>
      </c>
      <c r="J853" s="4" t="str">
        <f t="shared" si="170"/>
        <v>EEI</v>
      </c>
      <c r="K853" s="106">
        <f t="shared" si="171"/>
        <v>3</v>
      </c>
      <c r="L853" s="106">
        <f>IF(NOT(ISERROR(VLOOKUP(B853,Deflatores!G$42:H$64,2,FALSE))),VLOOKUP(B853,Deflatores!G$42:H$64,2,FALSE),IF(OR(ISBLANK(C853),ISBLANK(B853)),"",VLOOKUP(C853,Deflatores!G$4:H$38,2,FALSE)*H853+VLOOKUP(C853,Deflatores!G$4:I$38,3,FALSE)))</f>
        <v>3</v>
      </c>
      <c r="M853" s="6"/>
      <c r="N853" s="6"/>
      <c r="O853" s="144"/>
    </row>
    <row r="854" spans="1:15" x14ac:dyDescent="0.25">
      <c r="A854" s="143"/>
      <c r="B854" s="113"/>
      <c r="C854" s="113"/>
      <c r="D854" s="4"/>
      <c r="E854" s="4"/>
      <c r="F854" s="105" t="str">
        <f t="shared" si="166"/>
        <v/>
      </c>
      <c r="G854" s="4" t="str">
        <f t="shared" si="167"/>
        <v/>
      </c>
      <c r="H854" s="4" t="str">
        <f t="shared" si="168"/>
        <v/>
      </c>
      <c r="I854" s="105" t="str">
        <f t="shared" si="169"/>
        <v/>
      </c>
      <c r="J854" s="4" t="str">
        <f t="shared" si="170"/>
        <v/>
      </c>
      <c r="K854" s="106" t="str">
        <f t="shared" si="171"/>
        <v/>
      </c>
      <c r="L854" s="106" t="str">
        <f>IF(NOT(ISERROR(VLOOKUP(B854,Deflatores!G$42:H$64,2,FALSE))),VLOOKUP(B854,Deflatores!G$42:H$64,2,FALSE),IF(OR(ISBLANK(C854),ISBLANK(B854)),"",VLOOKUP(C854,Deflatores!G$4:H$38,2,FALSE)*H854+VLOOKUP(C854,Deflatores!G$4:I$38,3,FALSE)))</f>
        <v/>
      </c>
      <c r="M854" s="6"/>
      <c r="N854" s="6"/>
      <c r="O854" s="144"/>
    </row>
    <row r="855" spans="1:15" x14ac:dyDescent="0.25">
      <c r="A855" s="143" t="s">
        <v>732</v>
      </c>
      <c r="B855" s="113"/>
      <c r="C855" s="113"/>
      <c r="D855" s="4"/>
      <c r="E855" s="4"/>
      <c r="F855" s="105" t="str">
        <f t="shared" si="166"/>
        <v/>
      </c>
      <c r="G855" s="4" t="str">
        <f t="shared" si="167"/>
        <v/>
      </c>
      <c r="H855" s="4" t="str">
        <f t="shared" si="168"/>
        <v/>
      </c>
      <c r="I855" s="105" t="str">
        <f t="shared" si="169"/>
        <v/>
      </c>
      <c r="J855" s="4" t="str">
        <f t="shared" si="170"/>
        <v/>
      </c>
      <c r="K855" s="106" t="str">
        <f t="shared" si="171"/>
        <v/>
      </c>
      <c r="L855" s="106" t="str">
        <f>IF(NOT(ISERROR(VLOOKUP(B855,Deflatores!G$42:H$64,2,FALSE))),VLOOKUP(B855,Deflatores!G$42:H$64,2,FALSE),IF(OR(ISBLANK(C855),ISBLANK(B855)),"",VLOOKUP(C855,Deflatores!G$4:H$38,2,FALSE)*H855+VLOOKUP(C855,Deflatores!G$4:I$38,3,FALSE)))</f>
        <v/>
      </c>
      <c r="M855" s="6"/>
      <c r="N855" s="6"/>
      <c r="O855" s="123"/>
    </row>
    <row r="856" spans="1:15" x14ac:dyDescent="0.25">
      <c r="A856" s="146" t="s">
        <v>733</v>
      </c>
      <c r="B856" s="113" t="s">
        <v>50</v>
      </c>
      <c r="C856" s="113" t="s">
        <v>1302</v>
      </c>
      <c r="D856" s="4">
        <v>26</v>
      </c>
      <c r="E856" s="4">
        <v>6</v>
      </c>
      <c r="F856" s="105" t="str">
        <f t="shared" si="166"/>
        <v>Alta</v>
      </c>
      <c r="G856" s="4" t="str">
        <f t="shared" si="167"/>
        <v>CEH</v>
      </c>
      <c r="H856" s="4">
        <f t="shared" si="168"/>
        <v>6</v>
      </c>
      <c r="I856" s="105" t="str">
        <f t="shared" si="169"/>
        <v>H</v>
      </c>
      <c r="J856" s="4" t="str">
        <f t="shared" si="170"/>
        <v>CEA50</v>
      </c>
      <c r="K856" s="106">
        <f t="shared" si="171"/>
        <v>6</v>
      </c>
      <c r="L856" s="106">
        <f>IF(NOT(ISERROR(VLOOKUP(B856,Deflatores!G$42:H$64,2,FALSE))),VLOOKUP(B856,Deflatores!G$42:H$64,2,FALSE),IF(OR(ISBLANK(C856),ISBLANK(B856)),"",VLOOKUP(C856,Deflatores!G$4:H$38,2,FALSE)*H856+VLOOKUP(C856,Deflatores!G$4:I$38,3,FALSE)))</f>
        <v>3</v>
      </c>
      <c r="M856" s="6"/>
      <c r="N856" s="6"/>
      <c r="O856" s="144"/>
    </row>
    <row r="857" spans="1:15" x14ac:dyDescent="0.25">
      <c r="A857" s="146"/>
      <c r="B857" s="113"/>
      <c r="C857" s="113"/>
      <c r="D857" s="4"/>
      <c r="E857" s="4"/>
      <c r="F857" s="105" t="str">
        <f t="shared" ref="F857:F865" si="172">IF(ISBLANK(B857),"",IF(I857="L","Baixa",IF(I857="A","Média",IF(I857="","","Alta"))))</f>
        <v/>
      </c>
      <c r="G857" s="4" t="str">
        <f t="shared" ref="G857:G865" si="173">CONCATENATE(B857,I857)</f>
        <v/>
      </c>
      <c r="H857" s="4" t="str">
        <f t="shared" ref="H857:H865" si="174">IF(ISBLANK(B857),"",IF(B857="ALI",IF(I857="L",7,IF(I857="A",10,15)),IF(B857="AIE",IF(I857="L",5,IF(I857="A",7,10)),IF(B857="SE",IF(I857="L",4,IF(I857="A",5,7)),IF(OR(B857="EE",B857="CE"),IF(I857="L",3,IF(I857="A",4,6)),0)))))</f>
        <v/>
      </c>
      <c r="I857" s="105" t="str">
        <f t="shared" ref="I857:I865" si="175">IF(OR(ISBLANK(D857),ISBLANK(E857)),IF(OR(B857="ALI",B857="AIE"),"L",IF(OR(B857="EE",B857="SE",B857="CE"),"A","")),IF(B857="EE",IF(E857&gt;=3,IF(D857&gt;=5,"H","A"),IF(E857&gt;=2,IF(D857&gt;=16,"H",IF(D857&lt;=4,"L","A")),IF(D857&lt;=15,"L","A"))),IF(OR(B857="SE",B857="CE"),IF(E857&gt;=4,IF(D857&gt;=6,"H","A"),IF(E857&gt;=2,IF(D857&gt;=20,"H",IF(D857&lt;=5,"L","A")),IF(D857&lt;=19,"L","A"))),IF(OR(B857="ALI",B857="AIE"),IF(E857&gt;=6,IF(D857&gt;=20,"H","A"),IF(E857&gt;=2,IF(D857&gt;=51,"H",IF(D857&lt;=19,"L","A")),IF(D857&lt;=50,"L","A"))),""))))</f>
        <v/>
      </c>
      <c r="J857" s="4" t="str">
        <f t="shared" ref="J857:J865" si="176">CONCATENATE(B857,C857)</f>
        <v/>
      </c>
      <c r="K857" s="106" t="str">
        <f t="shared" ref="K857:K865" si="177">IF(OR(H857="",H857=0),L857,H857)</f>
        <v/>
      </c>
      <c r="L857" s="106" t="str">
        <f>IF(NOT(ISERROR(VLOOKUP(B857,Deflatores!G$42:H$64,2,FALSE))),VLOOKUP(B857,Deflatores!G$42:H$64,2,FALSE),IF(OR(ISBLANK(C857),ISBLANK(B857)),"",VLOOKUP(C857,Deflatores!G$4:H$38,2,FALSE)*H857+VLOOKUP(C857,Deflatores!G$4:I$38,3,FALSE)))</f>
        <v/>
      </c>
      <c r="M857" s="6"/>
      <c r="N857" s="6"/>
      <c r="O857" s="144"/>
    </row>
    <row r="858" spans="1:15" x14ac:dyDescent="0.25">
      <c r="A858" s="143" t="s">
        <v>734</v>
      </c>
      <c r="B858" s="113"/>
      <c r="C858" s="113"/>
      <c r="D858" s="4"/>
      <c r="E858" s="4"/>
      <c r="F858" s="105" t="str">
        <f t="shared" si="172"/>
        <v/>
      </c>
      <c r="G858" s="4" t="str">
        <f t="shared" si="173"/>
        <v/>
      </c>
      <c r="H858" s="4" t="str">
        <f t="shared" si="174"/>
        <v/>
      </c>
      <c r="I858" s="105" t="str">
        <f t="shared" si="175"/>
        <v/>
      </c>
      <c r="J858" s="4" t="str">
        <f t="shared" si="176"/>
        <v/>
      </c>
      <c r="K858" s="106" t="str">
        <f t="shared" si="177"/>
        <v/>
      </c>
      <c r="L858" s="106" t="str">
        <f>IF(NOT(ISERROR(VLOOKUP(B858,Deflatores!G$42:H$64,2,FALSE))),VLOOKUP(B858,Deflatores!G$42:H$64,2,FALSE),IF(OR(ISBLANK(C858),ISBLANK(B858)),"",VLOOKUP(C858,Deflatores!G$4:H$38,2,FALSE)*H858+VLOOKUP(C858,Deflatores!G$4:I$38,3,FALSE)))</f>
        <v/>
      </c>
      <c r="M858" s="6"/>
      <c r="N858" s="6"/>
      <c r="O858" s="144"/>
    </row>
    <row r="859" spans="1:15" x14ac:dyDescent="0.25">
      <c r="A859" s="146" t="s">
        <v>735</v>
      </c>
      <c r="B859" s="113" t="s">
        <v>50</v>
      </c>
      <c r="C859" s="113" t="s">
        <v>45</v>
      </c>
      <c r="D859" s="4">
        <v>6</v>
      </c>
      <c r="E859" s="4">
        <v>3</v>
      </c>
      <c r="F859" s="105" t="str">
        <f t="shared" si="172"/>
        <v>Média</v>
      </c>
      <c r="G859" s="4" t="str">
        <f t="shared" si="173"/>
        <v>CEA</v>
      </c>
      <c r="H859" s="4">
        <f t="shared" si="174"/>
        <v>4</v>
      </c>
      <c r="I859" s="105" t="str">
        <f t="shared" si="175"/>
        <v>A</v>
      </c>
      <c r="J859" s="4" t="str">
        <f t="shared" si="176"/>
        <v>CEI</v>
      </c>
      <c r="K859" s="106">
        <f t="shared" si="177"/>
        <v>4</v>
      </c>
      <c r="L859" s="106">
        <f>IF(NOT(ISERROR(VLOOKUP(B859,Deflatores!G$42:H$64,2,FALSE))),VLOOKUP(B859,Deflatores!G$42:H$64,2,FALSE),IF(OR(ISBLANK(C859),ISBLANK(B859)),"",VLOOKUP(C859,Deflatores!G$4:H$38,2,FALSE)*H859+VLOOKUP(C859,Deflatores!G$4:I$38,3,FALSE)))</f>
        <v>4</v>
      </c>
      <c r="M859" s="6"/>
      <c r="N859" s="6"/>
      <c r="O859" s="144"/>
    </row>
    <row r="860" spans="1:15" x14ac:dyDescent="0.25">
      <c r="A860" s="146"/>
      <c r="B860" s="113"/>
      <c r="C860" s="113"/>
      <c r="D860" s="4"/>
      <c r="E860" s="4"/>
      <c r="F860" s="105" t="str">
        <f t="shared" si="172"/>
        <v/>
      </c>
      <c r="G860" s="4" t="str">
        <f t="shared" si="173"/>
        <v/>
      </c>
      <c r="H860" s="4" t="str">
        <f t="shared" si="174"/>
        <v/>
      </c>
      <c r="I860" s="105" t="str">
        <f t="shared" si="175"/>
        <v/>
      </c>
      <c r="J860" s="4" t="str">
        <f t="shared" si="176"/>
        <v/>
      </c>
      <c r="K860" s="106" t="str">
        <f t="shared" si="177"/>
        <v/>
      </c>
      <c r="L860" s="106" t="str">
        <f>IF(NOT(ISERROR(VLOOKUP(B860,Deflatores!G$42:H$64,2,FALSE))),VLOOKUP(B860,Deflatores!G$42:H$64,2,FALSE),IF(OR(ISBLANK(C860),ISBLANK(B860)),"",VLOOKUP(C860,Deflatores!G$4:H$38,2,FALSE)*H860+VLOOKUP(C860,Deflatores!G$4:I$38,3,FALSE)))</f>
        <v/>
      </c>
      <c r="M860" s="6"/>
      <c r="N860" s="6"/>
      <c r="O860" s="144"/>
    </row>
    <row r="861" spans="1:15" x14ac:dyDescent="0.25">
      <c r="A861" s="143" t="s">
        <v>736</v>
      </c>
      <c r="B861" s="113"/>
      <c r="C861" s="113"/>
      <c r="D861" s="4"/>
      <c r="E861" s="4"/>
      <c r="F861" s="105" t="str">
        <f t="shared" si="172"/>
        <v/>
      </c>
      <c r="G861" s="4" t="str">
        <f t="shared" si="173"/>
        <v/>
      </c>
      <c r="H861" s="4" t="str">
        <f t="shared" si="174"/>
        <v/>
      </c>
      <c r="I861" s="105" t="str">
        <f t="shared" si="175"/>
        <v/>
      </c>
      <c r="J861" s="4" t="str">
        <f t="shared" si="176"/>
        <v/>
      </c>
      <c r="K861" s="106" t="str">
        <f t="shared" si="177"/>
        <v/>
      </c>
      <c r="L861" s="106" t="str">
        <f>IF(NOT(ISERROR(VLOOKUP(B861,Deflatores!G$42:H$64,2,FALSE))),VLOOKUP(B861,Deflatores!G$42:H$64,2,FALSE),IF(OR(ISBLANK(C861),ISBLANK(B861)),"",VLOOKUP(C861,Deflatores!G$4:H$38,2,FALSE)*H861+VLOOKUP(C861,Deflatores!G$4:I$38,3,FALSE)))</f>
        <v/>
      </c>
      <c r="M861" s="6"/>
      <c r="N861" s="6"/>
      <c r="O861" s="144"/>
    </row>
    <row r="862" spans="1:15" x14ac:dyDescent="0.25">
      <c r="A862" s="146" t="s">
        <v>737</v>
      </c>
      <c r="B862" s="113" t="s">
        <v>50</v>
      </c>
      <c r="C862" s="113" t="s">
        <v>45</v>
      </c>
      <c r="D862" s="4">
        <v>6</v>
      </c>
      <c r="E862" s="4">
        <v>2</v>
      </c>
      <c r="F862" s="105" t="str">
        <f t="shared" si="172"/>
        <v>Média</v>
      </c>
      <c r="G862" s="4" t="str">
        <f t="shared" si="173"/>
        <v>CEA</v>
      </c>
      <c r="H862" s="4">
        <f t="shared" si="174"/>
        <v>4</v>
      </c>
      <c r="I862" s="105" t="str">
        <f t="shared" si="175"/>
        <v>A</v>
      </c>
      <c r="J862" s="4" t="str">
        <f t="shared" si="176"/>
        <v>CEI</v>
      </c>
      <c r="K862" s="106">
        <f t="shared" si="177"/>
        <v>4</v>
      </c>
      <c r="L862" s="106">
        <f>IF(NOT(ISERROR(VLOOKUP(B862,Deflatores!G$42:H$64,2,FALSE))),VLOOKUP(B862,Deflatores!G$42:H$64,2,FALSE),IF(OR(ISBLANK(C862),ISBLANK(B862)),"",VLOOKUP(C862,Deflatores!G$4:H$38,2,FALSE)*H862+VLOOKUP(C862,Deflatores!G$4:I$38,3,FALSE)))</f>
        <v>4</v>
      </c>
      <c r="M862" s="6"/>
      <c r="N862" s="6"/>
      <c r="O862" s="144"/>
    </row>
    <row r="863" spans="1:15" x14ac:dyDescent="0.25">
      <c r="A863" s="146"/>
      <c r="B863" s="113"/>
      <c r="C863" s="113"/>
      <c r="D863" s="4"/>
      <c r="E863" s="4"/>
      <c r="F863" s="105" t="str">
        <f t="shared" si="172"/>
        <v/>
      </c>
      <c r="G863" s="4" t="str">
        <f t="shared" si="173"/>
        <v/>
      </c>
      <c r="H863" s="4" t="str">
        <f t="shared" si="174"/>
        <v/>
      </c>
      <c r="I863" s="105" t="str">
        <f t="shared" si="175"/>
        <v/>
      </c>
      <c r="J863" s="4" t="str">
        <f t="shared" si="176"/>
        <v/>
      </c>
      <c r="K863" s="106" t="str">
        <f t="shared" si="177"/>
        <v/>
      </c>
      <c r="L863" s="106" t="str">
        <f>IF(NOT(ISERROR(VLOOKUP(B863,Deflatores!G$42:H$64,2,FALSE))),VLOOKUP(B863,Deflatores!G$42:H$64,2,FALSE),IF(OR(ISBLANK(C863),ISBLANK(B863)),"",VLOOKUP(C863,Deflatores!G$4:H$38,2,FALSE)*H863+VLOOKUP(C863,Deflatores!G$4:I$38,3,FALSE)))</f>
        <v/>
      </c>
      <c r="M863" s="6"/>
      <c r="N863" s="6"/>
      <c r="O863" s="144"/>
    </row>
    <row r="864" spans="1:15" x14ac:dyDescent="0.25">
      <c r="A864" s="143" t="s">
        <v>738</v>
      </c>
      <c r="B864" s="113"/>
      <c r="C864" s="113"/>
      <c r="D864" s="4"/>
      <c r="E864" s="4"/>
      <c r="F864" s="105" t="str">
        <f t="shared" si="172"/>
        <v/>
      </c>
      <c r="G864" s="4" t="str">
        <f t="shared" si="173"/>
        <v/>
      </c>
      <c r="H864" s="4" t="str">
        <f t="shared" si="174"/>
        <v/>
      </c>
      <c r="I864" s="105" t="str">
        <f t="shared" si="175"/>
        <v/>
      </c>
      <c r="J864" s="4" t="str">
        <f t="shared" si="176"/>
        <v/>
      </c>
      <c r="K864" s="106" t="str">
        <f t="shared" si="177"/>
        <v/>
      </c>
      <c r="L864" s="106" t="str">
        <f>IF(NOT(ISERROR(VLOOKUP(B864,Deflatores!G$42:H$64,2,FALSE))),VLOOKUP(B864,Deflatores!G$42:H$64,2,FALSE),IF(OR(ISBLANK(C864),ISBLANK(B864)),"",VLOOKUP(C864,Deflatores!G$4:H$38,2,FALSE)*H864+VLOOKUP(C864,Deflatores!G$4:I$38,3,FALSE)))</f>
        <v/>
      </c>
      <c r="M864" s="6"/>
      <c r="N864" s="6"/>
      <c r="O864" s="144"/>
    </row>
    <row r="865" spans="1:15" x14ac:dyDescent="0.25">
      <c r="A865" s="146" t="s">
        <v>739</v>
      </c>
      <c r="B865" s="113" t="s">
        <v>50</v>
      </c>
      <c r="C865" s="113" t="s">
        <v>45</v>
      </c>
      <c r="D865" s="4">
        <v>6</v>
      </c>
      <c r="E865" s="4">
        <v>2</v>
      </c>
      <c r="F865" s="105" t="str">
        <f t="shared" si="172"/>
        <v>Média</v>
      </c>
      <c r="G865" s="4" t="str">
        <f t="shared" si="173"/>
        <v>CEA</v>
      </c>
      <c r="H865" s="4">
        <f t="shared" si="174"/>
        <v>4</v>
      </c>
      <c r="I865" s="105" t="str">
        <f t="shared" si="175"/>
        <v>A</v>
      </c>
      <c r="J865" s="4" t="str">
        <f t="shared" si="176"/>
        <v>CEI</v>
      </c>
      <c r="K865" s="106">
        <f t="shared" si="177"/>
        <v>4</v>
      </c>
      <c r="L865" s="106">
        <f>IF(NOT(ISERROR(VLOOKUP(B865,Deflatores!G$42:H$64,2,FALSE))),VLOOKUP(B865,Deflatores!G$42:H$64,2,FALSE),IF(OR(ISBLANK(C865),ISBLANK(B865)),"",VLOOKUP(C865,Deflatores!G$4:H$38,2,FALSE)*H865+VLOOKUP(C865,Deflatores!G$4:I$38,3,FALSE)))</f>
        <v>4</v>
      </c>
      <c r="M865" s="6"/>
      <c r="N865" s="6"/>
      <c r="O865" s="144"/>
    </row>
    <row r="866" spans="1:15" x14ac:dyDescent="0.25">
      <c r="A866" s="145"/>
      <c r="B866" s="113"/>
      <c r="C866" s="113"/>
      <c r="D866" s="4"/>
      <c r="E866" s="4"/>
      <c r="F866" s="105" t="str">
        <f t="shared" ref="F866:F902" si="178">IF(ISBLANK(B866),"",IF(I866="L","Baixa",IF(I866="A","Média",IF(I866="","","Alta"))))</f>
        <v/>
      </c>
      <c r="G866" s="4" t="str">
        <f t="shared" ref="G866:G902" si="179">CONCATENATE(B866,I866)</f>
        <v/>
      </c>
      <c r="H866" s="4" t="str">
        <f t="shared" ref="H866:H902" si="180">IF(ISBLANK(B866),"",IF(B866="ALI",IF(I866="L",7,IF(I866="A",10,15)),IF(B866="AIE",IF(I866="L",5,IF(I866="A",7,10)),IF(B866="SE",IF(I866="L",4,IF(I866="A",5,7)),IF(OR(B866="EE",B866="CE"),IF(I866="L",3,IF(I866="A",4,6)),0)))))</f>
        <v/>
      </c>
      <c r="I866" s="105" t="str">
        <f t="shared" ref="I866:I902" si="181">IF(OR(ISBLANK(D866),ISBLANK(E866)),IF(OR(B866="ALI",B866="AIE"),"L",IF(OR(B866="EE",B866="SE",B866="CE"),"A","")),IF(B866="EE",IF(E866&gt;=3,IF(D866&gt;=5,"H","A"),IF(E866&gt;=2,IF(D866&gt;=16,"H",IF(D866&lt;=4,"L","A")),IF(D866&lt;=15,"L","A"))),IF(OR(B866="SE",B866="CE"),IF(E866&gt;=4,IF(D866&gt;=6,"H","A"),IF(E866&gt;=2,IF(D866&gt;=20,"H",IF(D866&lt;=5,"L","A")),IF(D866&lt;=19,"L","A"))),IF(OR(B866="ALI",B866="AIE"),IF(E866&gt;=6,IF(D866&gt;=20,"H","A"),IF(E866&gt;=2,IF(D866&gt;=51,"H",IF(D866&lt;=19,"L","A")),IF(D866&lt;=50,"L","A"))),""))))</f>
        <v/>
      </c>
      <c r="J866" s="4" t="str">
        <f t="shared" ref="J866:J902" si="182">CONCATENATE(B866,C866)</f>
        <v/>
      </c>
      <c r="K866" s="106" t="str">
        <f t="shared" ref="K866:K902" si="183">IF(OR(H866="",H866=0),L866,H866)</f>
        <v/>
      </c>
      <c r="L866" s="106" t="str">
        <f>IF(NOT(ISERROR(VLOOKUP(B866,Deflatores!G$42:H$64,2,FALSE))),VLOOKUP(B866,Deflatores!G$42:H$64,2,FALSE),IF(OR(ISBLANK(C866),ISBLANK(B866)),"",VLOOKUP(C866,Deflatores!G$4:H$38,2,FALSE)*H866+VLOOKUP(C866,Deflatores!G$4:I$38,3,FALSE)))</f>
        <v/>
      </c>
      <c r="M866" s="6"/>
      <c r="N866" s="6"/>
      <c r="O866" s="144"/>
    </row>
    <row r="867" spans="1:15" x14ac:dyDescent="0.25">
      <c r="A867" s="143" t="s">
        <v>740</v>
      </c>
      <c r="B867" s="113"/>
      <c r="C867" s="113"/>
      <c r="D867" s="4"/>
      <c r="E867" s="4"/>
      <c r="F867" s="105" t="str">
        <f t="shared" si="178"/>
        <v/>
      </c>
      <c r="G867" s="4" t="str">
        <f t="shared" si="179"/>
        <v/>
      </c>
      <c r="H867" s="4" t="str">
        <f t="shared" si="180"/>
        <v/>
      </c>
      <c r="I867" s="105" t="str">
        <f t="shared" si="181"/>
        <v/>
      </c>
      <c r="J867" s="4" t="str">
        <f t="shared" si="182"/>
        <v/>
      </c>
      <c r="K867" s="106" t="str">
        <f t="shared" si="183"/>
        <v/>
      </c>
      <c r="L867" s="106" t="str">
        <f>IF(NOT(ISERROR(VLOOKUP(B867,Deflatores!G$42:H$64,2,FALSE))),VLOOKUP(B867,Deflatores!G$42:H$64,2,FALSE),IF(OR(ISBLANK(C867),ISBLANK(B867)),"",VLOOKUP(C867,Deflatores!G$4:H$38,2,FALSE)*H867+VLOOKUP(C867,Deflatores!G$4:I$38,3,FALSE)))</f>
        <v/>
      </c>
      <c r="M867" s="6"/>
      <c r="N867" s="6"/>
      <c r="O867" s="144"/>
    </row>
    <row r="868" spans="1:15" x14ac:dyDescent="0.25">
      <c r="A868" s="221" t="s">
        <v>741</v>
      </c>
      <c r="B868" s="113" t="s">
        <v>50</v>
      </c>
      <c r="C868" s="113" t="s">
        <v>45</v>
      </c>
      <c r="D868" s="4">
        <v>6</v>
      </c>
      <c r="E868" s="4">
        <v>2</v>
      </c>
      <c r="F868" s="105" t="str">
        <f t="shared" si="178"/>
        <v>Média</v>
      </c>
      <c r="G868" s="4" t="str">
        <f t="shared" si="179"/>
        <v>CEA</v>
      </c>
      <c r="H868" s="4">
        <f t="shared" si="180"/>
        <v>4</v>
      </c>
      <c r="I868" s="105" t="str">
        <f t="shared" si="181"/>
        <v>A</v>
      </c>
      <c r="J868" s="4" t="str">
        <f t="shared" si="182"/>
        <v>CEI</v>
      </c>
      <c r="K868" s="106">
        <f t="shared" si="183"/>
        <v>4</v>
      </c>
      <c r="L868" s="106">
        <f>IF(NOT(ISERROR(VLOOKUP(B868,Deflatores!G$42:H$64,2,FALSE))),VLOOKUP(B868,Deflatores!G$42:H$64,2,FALSE),IF(OR(ISBLANK(C868),ISBLANK(B868)),"",VLOOKUP(C868,Deflatores!G$4:H$38,2,FALSE)*H868+VLOOKUP(C868,Deflatores!G$4:I$38,3,FALSE)))</f>
        <v>4</v>
      </c>
      <c r="M868" s="6"/>
      <c r="N868" s="6"/>
      <c r="O868" s="144"/>
    </row>
    <row r="869" spans="1:15" x14ac:dyDescent="0.25">
      <c r="A869" s="222"/>
      <c r="B869" s="113"/>
      <c r="C869" s="113"/>
      <c r="D869" s="4"/>
      <c r="E869" s="4"/>
      <c r="F869" s="105" t="str">
        <f t="shared" ref="F869:F901" si="184">IF(ISBLANK(B869),"",IF(I869="L","Baixa",IF(I869="A","Média",IF(I869="","","Alta"))))</f>
        <v/>
      </c>
      <c r="G869" s="4" t="str">
        <f t="shared" ref="G869:G901" si="185">CONCATENATE(B869,I869)</f>
        <v/>
      </c>
      <c r="H869" s="4" t="str">
        <f t="shared" ref="H869:H901" si="186">IF(ISBLANK(B869),"",IF(B869="ALI",IF(I869="L",7,IF(I869="A",10,15)),IF(B869="AIE",IF(I869="L",5,IF(I869="A",7,10)),IF(B869="SE",IF(I869="L",4,IF(I869="A",5,7)),IF(OR(B869="EE",B869="CE"),IF(I869="L",3,IF(I869="A",4,6)),0)))))</f>
        <v/>
      </c>
      <c r="I869" s="105" t="str">
        <f t="shared" ref="I869:I901" si="187">IF(OR(ISBLANK(D869),ISBLANK(E869)),IF(OR(B869="ALI",B869="AIE"),"L",IF(OR(B869="EE",B869="SE",B869="CE"),"A","")),IF(B869="EE",IF(E869&gt;=3,IF(D869&gt;=5,"H","A"),IF(E869&gt;=2,IF(D869&gt;=16,"H",IF(D869&lt;=4,"L","A")),IF(D869&lt;=15,"L","A"))),IF(OR(B869="SE",B869="CE"),IF(E869&gt;=4,IF(D869&gt;=6,"H","A"),IF(E869&gt;=2,IF(D869&gt;=20,"H",IF(D869&lt;=5,"L","A")),IF(D869&lt;=19,"L","A"))),IF(OR(B869="ALI",B869="AIE"),IF(E869&gt;=6,IF(D869&gt;=20,"H","A"),IF(E869&gt;=2,IF(D869&gt;=51,"H",IF(D869&lt;=19,"L","A")),IF(D869&lt;=50,"L","A"))),""))))</f>
        <v/>
      </c>
      <c r="J869" s="4" t="str">
        <f t="shared" ref="J869:J901" si="188">CONCATENATE(B869,C869)</f>
        <v/>
      </c>
      <c r="K869" s="106" t="str">
        <f t="shared" ref="K869:K901" si="189">IF(OR(H869="",H869=0),L869,H869)</f>
        <v/>
      </c>
      <c r="L869" s="106" t="str">
        <f>IF(NOT(ISERROR(VLOOKUP(B869,Deflatores!G$42:H$64,2,FALSE))),VLOOKUP(B869,Deflatores!G$42:H$64,2,FALSE),IF(OR(ISBLANK(C869),ISBLANK(B869)),"",VLOOKUP(C869,Deflatores!G$4:H$38,2,FALSE)*H869+VLOOKUP(C869,Deflatores!G$4:I$38,3,FALSE)))</f>
        <v/>
      </c>
      <c r="M869" s="6"/>
      <c r="N869" s="6"/>
      <c r="O869" s="144"/>
    </row>
    <row r="870" spans="1:15" x14ac:dyDescent="0.25">
      <c r="A870" s="222" t="s">
        <v>742</v>
      </c>
      <c r="B870" s="113"/>
      <c r="C870" s="113"/>
      <c r="D870" s="4"/>
      <c r="E870" s="4"/>
      <c r="F870" s="105" t="str">
        <f>IF(ISBLANK(B870),"",IF(I870="L","Baixa",IF(I870="A","Média",IF(I870="","","Alta"))))</f>
        <v/>
      </c>
      <c r="G870" s="4" t="str">
        <f>CONCATENATE(B870,I870)</f>
        <v/>
      </c>
      <c r="H870" s="4" t="str">
        <f>IF(ISBLANK(B870),"",IF(B870="ALI",IF(I870="L",7,IF(I870="A",10,15)),IF(B870="AIE",IF(I870="L",5,IF(I870="A",7,10)),IF(B870="SE",IF(I870="L",4,IF(I870="A",5,7)),IF(OR(B870="EE",B870="CE"),IF(I870="L",3,IF(I870="A",4,6)),0)))))</f>
        <v/>
      </c>
      <c r="I870" s="105" t="str">
        <f>IF(OR(ISBLANK(D870),ISBLANK(E870)),IF(OR(B870="ALI",B870="AIE"),"L",IF(OR(B870="EE",B870="SE",B870="CE"),"A","")),IF(B870="EE",IF(E870&gt;=3,IF(D870&gt;=5,"H","A"),IF(E870&gt;=2,IF(D870&gt;=16,"H",IF(D870&lt;=4,"L","A")),IF(D870&lt;=15,"L","A"))),IF(OR(B870="SE",B870="CE"),IF(E870&gt;=4,IF(D870&gt;=6,"H","A"),IF(E870&gt;=2,IF(D870&gt;=20,"H",IF(D870&lt;=5,"L","A")),IF(D870&lt;=19,"L","A"))),IF(OR(B870="ALI",B870="AIE"),IF(E870&gt;=6,IF(D870&gt;=20,"H","A"),IF(E870&gt;=2,IF(D870&gt;=51,"H",IF(D870&lt;=19,"L","A")),IF(D870&lt;=50,"L","A"))),""))))</f>
        <v/>
      </c>
      <c r="J870" s="4" t="str">
        <f>CONCATENATE(B870,C870)</f>
        <v/>
      </c>
      <c r="K870" s="106" t="str">
        <f>IF(OR(H870="",H870=0),L870,H870)</f>
        <v/>
      </c>
      <c r="L870" s="106" t="str">
        <f>IF(NOT(ISERROR(VLOOKUP(B870,Deflatores!G$42:H$64,2,FALSE))),VLOOKUP(B870,Deflatores!G$42:H$64,2,FALSE),IF(OR(ISBLANK(C870),ISBLANK(B870)),"",VLOOKUP(C870,Deflatores!G$4:H$38,2,FALSE)*H870+VLOOKUP(C870,Deflatores!G$4:I$38,3,FALSE)))</f>
        <v/>
      </c>
      <c r="M870" s="6"/>
      <c r="N870" s="6"/>
      <c r="O870" s="144"/>
    </row>
    <row r="871" spans="1:15" x14ac:dyDescent="0.25">
      <c r="A871" s="223" t="s">
        <v>743</v>
      </c>
      <c r="B871" s="113" t="s">
        <v>50</v>
      </c>
      <c r="C871" s="113" t="s">
        <v>45</v>
      </c>
      <c r="D871" s="4">
        <v>17</v>
      </c>
      <c r="E871" s="4">
        <v>5</v>
      </c>
      <c r="F871" s="105" t="str">
        <f>IF(ISBLANK(B871),"",IF(I871="L","Baixa",IF(I871="A","Média",IF(I871="","","Alta"))))</f>
        <v>Alta</v>
      </c>
      <c r="G871" s="4" t="str">
        <f>CONCATENATE(B871,I871)</f>
        <v>CEH</v>
      </c>
      <c r="H871" s="4">
        <f>IF(ISBLANK(B871),"",IF(B871="ALI",IF(I871="L",7,IF(I871="A",10,15)),IF(B871="AIE",IF(I871="L",5,IF(I871="A",7,10)),IF(B871="SE",IF(I871="L",4,IF(I871="A",5,7)),IF(OR(B871="EE",B871="CE"),IF(I871="L",3,IF(I871="A",4,6)),0)))))</f>
        <v>6</v>
      </c>
      <c r="I871" s="105" t="str">
        <f>IF(OR(ISBLANK(D871),ISBLANK(E871)),IF(OR(B871="ALI",B871="AIE"),"L",IF(OR(B871="EE",B871="SE",B871="CE"),"A","")),IF(B871="EE",IF(E871&gt;=3,IF(D871&gt;=5,"H","A"),IF(E871&gt;=2,IF(D871&gt;=16,"H",IF(D871&lt;=4,"L","A")),IF(D871&lt;=15,"L","A"))),IF(OR(B871="SE",B871="CE"),IF(E871&gt;=4,IF(D871&gt;=6,"H","A"),IF(E871&gt;=2,IF(D871&gt;=20,"H",IF(D871&lt;=5,"L","A")),IF(D871&lt;=19,"L","A"))),IF(OR(B871="ALI",B871="AIE"),IF(E871&gt;=6,IF(D871&gt;=20,"H","A"),IF(E871&gt;=2,IF(D871&gt;=51,"H",IF(D871&lt;=19,"L","A")),IF(D871&lt;=50,"L","A"))),""))))</f>
        <v>H</v>
      </c>
      <c r="J871" s="4" t="str">
        <f>CONCATENATE(B871,C871)</f>
        <v>CEI</v>
      </c>
      <c r="K871" s="106">
        <f>IF(OR(H871="",H871=0),L871,H871)</f>
        <v>6</v>
      </c>
      <c r="L871" s="106">
        <f>IF(NOT(ISERROR(VLOOKUP(B871,Deflatores!G$42:H$64,2,FALSE))),VLOOKUP(B871,Deflatores!G$42:H$64,2,FALSE),IF(OR(ISBLANK(C871),ISBLANK(B871)),"",VLOOKUP(C871,Deflatores!G$4:H$38,2,FALSE)*H871+VLOOKUP(C871,Deflatores!G$4:I$38,3,FALSE)))</f>
        <v>6</v>
      </c>
      <c r="M871" s="6"/>
      <c r="N871" s="6"/>
      <c r="O871" s="144"/>
    </row>
    <row r="872" spans="1:15" x14ac:dyDescent="0.25">
      <c r="A872" s="219" t="s">
        <v>1449</v>
      </c>
      <c r="B872" s="113" t="s">
        <v>50</v>
      </c>
      <c r="C872" s="113" t="s">
        <v>45</v>
      </c>
      <c r="D872" s="4">
        <v>3</v>
      </c>
      <c r="E872" s="4">
        <v>1</v>
      </c>
      <c r="F872" s="106" t="str">
        <f>IF(ISBLANK(B872),"",IF(I872="L","Baixa",IF(I872="A","Média",IF(I872="","","Alta"))))</f>
        <v>Baixa</v>
      </c>
      <c r="G872" s="106" t="str">
        <f>CONCATENATE(B872,I872)</f>
        <v>CEL</v>
      </c>
      <c r="H872" s="4">
        <f>IF(ISBLANK(B872),"",IF(B872="ALI",IF(I872="L",7,IF(I872="A",10,15)),IF(B872="AIE",IF(I872="L",5,IF(I872="A",7,10)),IF(B872="SE",IF(I872="L",4,IF(I872="A",5,7)),IF(OR(B872="EE",B872="CE"),IF(I872="L",3,IF(I872="A",4,6)),0)))))</f>
        <v>3</v>
      </c>
      <c r="I872" s="105" t="str">
        <f>IF(OR(ISBLANK(D872),ISBLANK(E872)),IF(OR(B872="ALI",B872="AIE"),"L",IF(OR(B872="EE",B872="SE",B872="CE"),"A","")),IF(B872="EE",IF(E872&gt;=3,IF(D872&gt;=5,"H","A"),IF(E872&gt;=2,IF(D872&gt;=16,"H",IF(D872&lt;=4,"L","A")),IF(D872&lt;=15,"L","A"))),IF(OR(B872="SE",B872="CE"),IF(E872&gt;=4,IF(D872&gt;=6,"H","A"),IF(E872&gt;=2,IF(D872&gt;=20,"H",IF(D872&lt;=5,"L","A")),IF(D872&lt;=19,"L","A"))),IF(OR(B872="ALI",B872="AIE"),IF(E872&gt;=6,IF(D872&gt;=20,"H","A"),IF(E872&gt;=2,IF(D872&gt;=51,"H",IF(D872&lt;=19,"L","A")),IF(D872&lt;=50,"L","A"))),""))))</f>
        <v>L</v>
      </c>
      <c r="J872" s="4" t="str">
        <f>CONCATENATE(B872,C872)</f>
        <v>CEI</v>
      </c>
      <c r="K872" s="106">
        <f>IF(OR(H872="",H872=0),L872,H872)</f>
        <v>3</v>
      </c>
      <c r="L872" s="106">
        <f>IF(NOT(ISERROR(VLOOKUP(B872,Deflatores!G$42:H$64,2,FALSE))),VLOOKUP(B872,Deflatores!G$42:H$64,2,FALSE),IF(OR(ISBLANK(C872),ISBLANK(B872)),"",VLOOKUP(C872,Deflatores!G$4:H$38,2,FALSE)*H872+VLOOKUP(C872,Deflatores!G$4:I$38,3,FALSE)))</f>
        <v>3</v>
      </c>
      <c r="M872" s="106"/>
      <c r="N872" s="106"/>
      <c r="O872" s="124"/>
    </row>
    <row r="873" spans="1:15" x14ac:dyDescent="0.25">
      <c r="A873" s="219" t="s">
        <v>1450</v>
      </c>
      <c r="B873" s="113" t="s">
        <v>50</v>
      </c>
      <c r="C873" s="113" t="s">
        <v>45</v>
      </c>
      <c r="D873" s="4">
        <v>3</v>
      </c>
      <c r="E873" s="4">
        <v>1</v>
      </c>
      <c r="F873" s="106" t="str">
        <f>IF(ISBLANK(B873),"",IF(I873="L","Baixa",IF(I873="A","Média",IF(I873="","","Alta"))))</f>
        <v>Baixa</v>
      </c>
      <c r="G873" s="106" t="str">
        <f>CONCATENATE(B873,I873)</f>
        <v>CEL</v>
      </c>
      <c r="H873" s="4">
        <f>IF(ISBLANK(B873),"",IF(B873="ALI",IF(I873="L",7,IF(I873="A",10,15)),IF(B873="AIE",IF(I873="L",5,IF(I873="A",7,10)),IF(B873="SE",IF(I873="L",4,IF(I873="A",5,7)),IF(OR(B873="EE",B873="CE"),IF(I873="L",3,IF(I873="A",4,6)),0)))))</f>
        <v>3</v>
      </c>
      <c r="I873" s="105" t="str">
        <f>IF(OR(ISBLANK(D873),ISBLANK(E873)),IF(OR(B873="ALI",B873="AIE"),"L",IF(OR(B873="EE",B873="SE",B873="CE"),"A","")),IF(B873="EE",IF(E873&gt;=3,IF(D873&gt;=5,"H","A"),IF(E873&gt;=2,IF(D873&gt;=16,"H",IF(D873&lt;=4,"L","A")),IF(D873&lt;=15,"L","A"))),IF(OR(B873="SE",B873="CE"),IF(E873&gt;=4,IF(D873&gt;=6,"H","A"),IF(E873&gt;=2,IF(D873&gt;=20,"H",IF(D873&lt;=5,"L","A")),IF(D873&lt;=19,"L","A"))),IF(OR(B873="ALI",B873="AIE"),IF(E873&gt;=6,IF(D873&gt;=20,"H","A"),IF(E873&gt;=2,IF(D873&gt;=51,"H",IF(D873&lt;=19,"L","A")),IF(D873&lt;=50,"L","A"))),""))))</f>
        <v>L</v>
      </c>
      <c r="J873" s="4" t="str">
        <f>CONCATENATE(B873,C873)</f>
        <v>CEI</v>
      </c>
      <c r="K873" s="106">
        <f>IF(OR(H873="",H873=0),L873,H873)</f>
        <v>3</v>
      </c>
      <c r="L873" s="106">
        <f>IF(NOT(ISERROR(VLOOKUP(B873,Deflatores!G$42:H$64,2,FALSE))),VLOOKUP(B873,Deflatores!G$42:H$64,2,FALSE),IF(OR(ISBLANK(C873),ISBLANK(B873)),"",VLOOKUP(C873,Deflatores!G$4:H$38,2,FALSE)*H873+VLOOKUP(C873,Deflatores!G$4:I$38,3,FALSE)))</f>
        <v>3</v>
      </c>
      <c r="M873" s="106"/>
      <c r="N873" s="106"/>
      <c r="O873" s="124"/>
    </row>
    <row r="874" spans="1:15" x14ac:dyDescent="0.25">
      <c r="A874" s="223" t="s">
        <v>744</v>
      </c>
      <c r="B874" s="113" t="s">
        <v>48</v>
      </c>
      <c r="C874" s="113" t="s">
        <v>45</v>
      </c>
      <c r="D874" s="4">
        <v>3</v>
      </c>
      <c r="E874" s="4">
        <v>1</v>
      </c>
      <c r="F874" s="105" t="str">
        <f>IF(ISBLANK(B874),"",IF(I874="L","Baixa",IF(I874="A","Média",IF(I874="","","Alta"))))</f>
        <v>Baixa</v>
      </c>
      <c r="G874" s="4" t="str">
        <f>CONCATENATE(B874,I874)</f>
        <v>EEL</v>
      </c>
      <c r="H874" s="4">
        <f>IF(ISBLANK(B874),"",IF(B874="ALI",IF(I874="L",7,IF(I874="A",10,15)),IF(B874="AIE",IF(I874="L",5,IF(I874="A",7,10)),IF(B874="SE",IF(I874="L",4,IF(I874="A",5,7)),IF(OR(B874="EE",B874="CE"),IF(I874="L",3,IF(I874="A",4,6)),0)))))</f>
        <v>3</v>
      </c>
      <c r="I874" s="105" t="str">
        <f>IF(OR(ISBLANK(D874),ISBLANK(E874)),IF(OR(B874="ALI",B874="AIE"),"L",IF(OR(B874="EE",B874="SE",B874="CE"),"A","")),IF(B874="EE",IF(E874&gt;=3,IF(D874&gt;=5,"H","A"),IF(E874&gt;=2,IF(D874&gt;=16,"H",IF(D874&lt;=4,"L","A")),IF(D874&lt;=15,"L","A"))),IF(OR(B874="SE",B874="CE"),IF(E874&gt;=4,IF(D874&gt;=6,"H","A"),IF(E874&gt;=2,IF(D874&gt;=20,"H",IF(D874&lt;=5,"L","A")),IF(D874&lt;=19,"L","A"))),IF(OR(B874="ALI",B874="AIE"),IF(E874&gt;=6,IF(D874&gt;=20,"H","A"),IF(E874&gt;=2,IF(D874&gt;=51,"H",IF(D874&lt;=19,"L","A")),IF(D874&lt;=50,"L","A"))),""))))</f>
        <v>L</v>
      </c>
      <c r="J874" s="4" t="str">
        <f>CONCATENATE(B874,C874)</f>
        <v>EEI</v>
      </c>
      <c r="K874" s="106">
        <f>IF(OR(H874="",H874=0),L874,H874)</f>
        <v>3</v>
      </c>
      <c r="L874" s="106">
        <f>IF(NOT(ISERROR(VLOOKUP(B874,Deflatores!G$42:H$64,2,FALSE))),VLOOKUP(B874,Deflatores!G$42:H$64,2,FALSE),IF(OR(ISBLANK(C874),ISBLANK(B874)),"",VLOOKUP(C874,Deflatores!G$4:H$38,2,FALSE)*H874+VLOOKUP(C874,Deflatores!G$4:I$38,3,FALSE)))</f>
        <v>3</v>
      </c>
      <c r="M874" s="6"/>
      <c r="N874" s="6"/>
      <c r="O874" s="144"/>
    </row>
    <row r="875" spans="1:15" x14ac:dyDescent="0.25">
      <c r="A875" s="223"/>
      <c r="B875" s="113"/>
      <c r="C875" s="113"/>
      <c r="D875" s="4"/>
      <c r="E875" s="4"/>
      <c r="F875" s="105"/>
      <c r="G875" s="4"/>
      <c r="H875" s="4"/>
      <c r="I875" s="105"/>
      <c r="J875" s="4"/>
      <c r="K875" s="106"/>
      <c r="L875" s="106"/>
      <c r="M875" s="6"/>
      <c r="N875" s="6"/>
      <c r="O875" s="144"/>
    </row>
    <row r="876" spans="1:15" x14ac:dyDescent="0.25">
      <c r="A876" s="143" t="s">
        <v>745</v>
      </c>
      <c r="B876" s="113"/>
      <c r="C876" s="113"/>
      <c r="D876" s="4"/>
      <c r="E876" s="4"/>
      <c r="F876" s="105" t="str">
        <f t="shared" si="184"/>
        <v/>
      </c>
      <c r="G876" s="4" t="str">
        <f t="shared" si="185"/>
        <v/>
      </c>
      <c r="H876" s="4" t="str">
        <f t="shared" si="186"/>
        <v/>
      </c>
      <c r="I876" s="105" t="str">
        <f t="shared" si="187"/>
        <v/>
      </c>
      <c r="J876" s="4" t="str">
        <f t="shared" si="188"/>
        <v/>
      </c>
      <c r="K876" s="106" t="str">
        <f t="shared" si="189"/>
        <v/>
      </c>
      <c r="L876" s="106" t="str">
        <f>IF(NOT(ISERROR(VLOOKUP(B876,Deflatores!G$42:H$64,2,FALSE))),VLOOKUP(B876,Deflatores!G$42:H$64,2,FALSE),IF(OR(ISBLANK(C876),ISBLANK(B876)),"",VLOOKUP(C876,Deflatores!G$4:H$38,2,FALSE)*H876+VLOOKUP(C876,Deflatores!G$4:I$38,3,FALSE)))</f>
        <v/>
      </c>
      <c r="M876" s="6"/>
      <c r="N876" s="6"/>
      <c r="O876" s="144"/>
    </row>
    <row r="877" spans="1:15" x14ac:dyDescent="0.25">
      <c r="A877" s="145" t="s">
        <v>746</v>
      </c>
      <c r="B877" s="113" t="s">
        <v>44</v>
      </c>
      <c r="C877" s="113" t="s">
        <v>45</v>
      </c>
      <c r="D877" s="4">
        <v>38</v>
      </c>
      <c r="E877" s="4">
        <v>3</v>
      </c>
      <c r="F877" s="105" t="str">
        <f t="shared" si="184"/>
        <v>Média</v>
      </c>
      <c r="G877" s="4" t="str">
        <f t="shared" si="185"/>
        <v>ALIA</v>
      </c>
      <c r="H877" s="4">
        <f t="shared" si="186"/>
        <v>10</v>
      </c>
      <c r="I877" s="105" t="str">
        <f t="shared" si="187"/>
        <v>A</v>
      </c>
      <c r="J877" s="4" t="str">
        <f t="shared" si="188"/>
        <v>ALII</v>
      </c>
      <c r="K877" s="106">
        <f t="shared" si="189"/>
        <v>10</v>
      </c>
      <c r="L877" s="106">
        <f>IF(NOT(ISERROR(VLOOKUP(B877,Deflatores!G$42:H$64,2,FALSE))),VLOOKUP(B877,Deflatores!G$42:H$64,2,FALSE),IF(OR(ISBLANK(C877),ISBLANK(B877)),"",VLOOKUP(C877,Deflatores!G$4:H$38,2,FALSE)*H877+VLOOKUP(C877,Deflatores!G$4:I$38,3,FALSE)))</f>
        <v>10</v>
      </c>
      <c r="M877" s="6"/>
      <c r="N877" s="6"/>
      <c r="O877" s="144"/>
    </row>
    <row r="878" spans="1:15" x14ac:dyDescent="0.25">
      <c r="A878" s="145" t="s">
        <v>747</v>
      </c>
      <c r="B878" s="113" t="s">
        <v>48</v>
      </c>
      <c r="C878" s="113" t="s">
        <v>45</v>
      </c>
      <c r="D878" s="4">
        <v>24</v>
      </c>
      <c r="E878" s="4">
        <v>5</v>
      </c>
      <c r="F878" s="105" t="str">
        <f t="shared" si="184"/>
        <v>Alta</v>
      </c>
      <c r="G878" s="4" t="str">
        <f t="shared" si="185"/>
        <v>EEH</v>
      </c>
      <c r="H878" s="4">
        <f t="shared" si="186"/>
        <v>6</v>
      </c>
      <c r="I878" s="105" t="str">
        <f t="shared" si="187"/>
        <v>H</v>
      </c>
      <c r="J878" s="4" t="str">
        <f t="shared" si="188"/>
        <v>EEI</v>
      </c>
      <c r="K878" s="106">
        <f t="shared" si="189"/>
        <v>6</v>
      </c>
      <c r="L878" s="106">
        <f>IF(NOT(ISERROR(VLOOKUP(B878,Deflatores!G$42:H$64,2,FALSE))),VLOOKUP(B878,Deflatores!G$42:H$64,2,FALSE),IF(OR(ISBLANK(C878),ISBLANK(B878)),"",VLOOKUP(C878,Deflatores!G$4:H$38,2,FALSE)*H878+VLOOKUP(C878,Deflatores!G$4:I$38,3,FALSE)))</f>
        <v>6</v>
      </c>
      <c r="M878" s="6"/>
      <c r="N878" s="6"/>
      <c r="O878" s="144"/>
    </row>
    <row r="879" spans="1:15" x14ac:dyDescent="0.25">
      <c r="A879" s="145" t="s">
        <v>748</v>
      </c>
      <c r="B879" s="113" t="s">
        <v>50</v>
      </c>
      <c r="C879" s="113" t="s">
        <v>45</v>
      </c>
      <c r="D879" s="4">
        <v>24</v>
      </c>
      <c r="E879" s="4">
        <v>5</v>
      </c>
      <c r="F879" s="105" t="str">
        <f t="shared" ref="F879:F880" si="190">IF(ISBLANK(B879),"",IF(I879="L","Baixa",IF(I879="A","Média",IF(I879="","","Alta"))))</f>
        <v>Alta</v>
      </c>
      <c r="G879" s="4" t="str">
        <f t="shared" ref="G879:G880" si="191">CONCATENATE(B879,I879)</f>
        <v>CEH</v>
      </c>
      <c r="H879" s="4">
        <f t="shared" ref="H879:H880" si="192">IF(ISBLANK(B879),"",IF(B879="ALI",IF(I879="L",7,IF(I879="A",10,15)),IF(B879="AIE",IF(I879="L",5,IF(I879="A",7,10)),IF(B879="SE",IF(I879="L",4,IF(I879="A",5,7)),IF(OR(B879="EE",B879="CE"),IF(I879="L",3,IF(I879="A",4,6)),0)))))</f>
        <v>6</v>
      </c>
      <c r="I879" s="105" t="str">
        <f t="shared" ref="I879:I880" si="193">IF(OR(ISBLANK(D879),ISBLANK(E879)),IF(OR(B879="ALI",B879="AIE"),"L",IF(OR(B879="EE",B879="SE",B879="CE"),"A","")),IF(B879="EE",IF(E879&gt;=3,IF(D879&gt;=5,"H","A"),IF(E879&gt;=2,IF(D879&gt;=16,"H",IF(D879&lt;=4,"L","A")),IF(D879&lt;=15,"L","A"))),IF(OR(B879="SE",B879="CE"),IF(E879&gt;=4,IF(D879&gt;=6,"H","A"),IF(E879&gt;=2,IF(D879&gt;=20,"H",IF(D879&lt;=5,"L","A")),IF(D879&lt;=19,"L","A"))),IF(OR(B879="ALI",B879="AIE"),IF(E879&gt;=6,IF(D879&gt;=20,"H","A"),IF(E879&gt;=2,IF(D879&gt;=51,"H",IF(D879&lt;=19,"L","A")),IF(D879&lt;=50,"L","A"))),""))))</f>
        <v>H</v>
      </c>
      <c r="J879" s="4" t="str">
        <f t="shared" ref="J879:J880" si="194">CONCATENATE(B879,C879)</f>
        <v>CEI</v>
      </c>
      <c r="K879" s="106">
        <f t="shared" ref="K879:K880" si="195">IF(OR(H879="",H879=0),L879,H879)</f>
        <v>6</v>
      </c>
      <c r="L879" s="106">
        <f>IF(NOT(ISERROR(VLOOKUP(B879,Deflatores!G$42:H$64,2,FALSE))),VLOOKUP(B879,Deflatores!G$42:H$64,2,FALSE),IF(OR(ISBLANK(C879),ISBLANK(B879)),"",VLOOKUP(C879,Deflatores!G$4:H$38,2,FALSE)*H879+VLOOKUP(C879,Deflatores!G$4:I$38,3,FALSE)))</f>
        <v>6</v>
      </c>
      <c r="M879" s="6"/>
      <c r="N879" s="6"/>
      <c r="O879" s="144"/>
    </row>
    <row r="880" spans="1:15" x14ac:dyDescent="0.25">
      <c r="A880" s="145" t="s">
        <v>749</v>
      </c>
      <c r="B880" s="113" t="s">
        <v>48</v>
      </c>
      <c r="C880" s="113" t="s">
        <v>45</v>
      </c>
      <c r="D880" s="4">
        <v>24</v>
      </c>
      <c r="E880" s="4">
        <v>5</v>
      </c>
      <c r="F880" s="105" t="str">
        <f t="shared" si="190"/>
        <v>Alta</v>
      </c>
      <c r="G880" s="4" t="str">
        <f t="shared" si="191"/>
        <v>EEH</v>
      </c>
      <c r="H880" s="4">
        <f t="shared" si="192"/>
        <v>6</v>
      </c>
      <c r="I880" s="105" t="str">
        <f t="shared" si="193"/>
        <v>H</v>
      </c>
      <c r="J880" s="4" t="str">
        <f t="shared" si="194"/>
        <v>EEI</v>
      </c>
      <c r="K880" s="106">
        <f t="shared" si="195"/>
        <v>6</v>
      </c>
      <c r="L880" s="106">
        <f>IF(NOT(ISERROR(VLOOKUP(B880,Deflatores!G$42:H$64,2,FALSE))),VLOOKUP(B880,Deflatores!G$42:H$64,2,FALSE),IF(OR(ISBLANK(C880),ISBLANK(B880)),"",VLOOKUP(C880,Deflatores!G$4:H$38,2,FALSE)*H880+VLOOKUP(C880,Deflatores!G$4:I$38,3,FALSE)))</f>
        <v>6</v>
      </c>
      <c r="M880" s="6"/>
      <c r="N880" s="6"/>
      <c r="O880" s="144"/>
    </row>
    <row r="881" spans="1:15" x14ac:dyDescent="0.25">
      <c r="A881" s="146" t="s">
        <v>750</v>
      </c>
      <c r="B881" s="113" t="s">
        <v>50</v>
      </c>
      <c r="C881" s="113" t="s">
        <v>45</v>
      </c>
      <c r="D881" s="4">
        <v>22</v>
      </c>
      <c r="E881" s="4">
        <v>5</v>
      </c>
      <c r="F881" s="105" t="str">
        <f t="shared" ref="F881" si="196">IF(ISBLANK(B881),"",IF(I881="L","Baixa",IF(I881="A","Média",IF(I881="","","Alta"))))</f>
        <v>Alta</v>
      </c>
      <c r="G881" s="4" t="str">
        <f t="shared" ref="G881" si="197">CONCATENATE(B881,I881)</f>
        <v>CEH</v>
      </c>
      <c r="H881" s="4">
        <f t="shared" ref="H881" si="198">IF(ISBLANK(B881),"",IF(B881="ALI",IF(I881="L",7,IF(I881="A",10,15)),IF(B881="AIE",IF(I881="L",5,IF(I881="A",7,10)),IF(B881="SE",IF(I881="L",4,IF(I881="A",5,7)),IF(OR(B881="EE",B881="CE"),IF(I881="L",3,IF(I881="A",4,6)),0)))))</f>
        <v>6</v>
      </c>
      <c r="I881" s="105" t="str">
        <f t="shared" ref="I881" si="199">IF(OR(ISBLANK(D881),ISBLANK(E881)),IF(OR(B881="ALI",B881="AIE"),"L",IF(OR(B881="EE",B881="SE",B881="CE"),"A","")),IF(B881="EE",IF(E881&gt;=3,IF(D881&gt;=5,"H","A"),IF(E881&gt;=2,IF(D881&gt;=16,"H",IF(D881&lt;=4,"L","A")),IF(D881&lt;=15,"L","A"))),IF(OR(B881="SE",B881="CE"),IF(E881&gt;=4,IF(D881&gt;=6,"H","A"),IF(E881&gt;=2,IF(D881&gt;=20,"H",IF(D881&lt;=5,"L","A")),IF(D881&lt;=19,"L","A"))),IF(OR(B881="ALI",B881="AIE"),IF(E881&gt;=6,IF(D881&gt;=20,"H","A"),IF(E881&gt;=2,IF(D881&gt;=51,"H",IF(D881&lt;=19,"L","A")),IF(D881&lt;=50,"L","A"))),""))))</f>
        <v>H</v>
      </c>
      <c r="J881" s="4" t="str">
        <f t="shared" ref="J881" si="200">CONCATENATE(B881,C881)</f>
        <v>CEI</v>
      </c>
      <c r="K881" s="106">
        <f t="shared" ref="K881" si="201">IF(OR(H881="",H881=0),L881,H881)</f>
        <v>6</v>
      </c>
      <c r="L881" s="106">
        <f>IF(NOT(ISERROR(VLOOKUP(B881,Deflatores!G$42:H$64,2,FALSE))),VLOOKUP(B881,Deflatores!G$42:H$64,2,FALSE),IF(OR(ISBLANK(C881),ISBLANK(B881)),"",VLOOKUP(C881,Deflatores!G$4:H$38,2,FALSE)*H881+VLOOKUP(C881,Deflatores!G$4:I$38,3,FALSE)))</f>
        <v>6</v>
      </c>
      <c r="M881" s="6"/>
      <c r="N881" s="6"/>
      <c r="O881" s="144"/>
    </row>
    <row r="882" spans="1:15" x14ac:dyDescent="0.25">
      <c r="A882" s="145" t="s">
        <v>751</v>
      </c>
      <c r="B882" s="113" t="s">
        <v>48</v>
      </c>
      <c r="C882" s="113" t="s">
        <v>45</v>
      </c>
      <c r="D882" s="4">
        <v>5</v>
      </c>
      <c r="E882" s="4">
        <v>1</v>
      </c>
      <c r="F882" s="105" t="str">
        <f t="shared" si="184"/>
        <v>Baixa</v>
      </c>
      <c r="G882" s="4" t="str">
        <f t="shared" si="185"/>
        <v>EEL</v>
      </c>
      <c r="H882" s="4">
        <f t="shared" si="186"/>
        <v>3</v>
      </c>
      <c r="I882" s="105" t="str">
        <f t="shared" si="187"/>
        <v>L</v>
      </c>
      <c r="J882" s="4" t="str">
        <f t="shared" si="188"/>
        <v>EEI</v>
      </c>
      <c r="K882" s="106">
        <f t="shared" si="189"/>
        <v>3</v>
      </c>
      <c r="L882" s="106">
        <f>IF(NOT(ISERROR(VLOOKUP(B882,Deflatores!G$42:H$64,2,FALSE))),VLOOKUP(B882,Deflatores!G$42:H$64,2,FALSE),IF(OR(ISBLANK(C882),ISBLANK(B882)),"",VLOOKUP(C882,Deflatores!G$4:H$38,2,FALSE)*H882+VLOOKUP(C882,Deflatores!G$4:I$38,3,FALSE)))</f>
        <v>3</v>
      </c>
      <c r="M882" s="6"/>
      <c r="N882" s="6"/>
      <c r="O882" s="144"/>
    </row>
    <row r="883" spans="1:15" x14ac:dyDescent="0.25">
      <c r="A883" s="145"/>
      <c r="B883" s="113"/>
      <c r="C883" s="113"/>
      <c r="D883" s="4"/>
      <c r="E883" s="4"/>
      <c r="F883" s="105" t="str">
        <f t="shared" si="184"/>
        <v/>
      </c>
      <c r="G883" s="4" t="str">
        <f t="shared" si="185"/>
        <v/>
      </c>
      <c r="H883" s="4" t="str">
        <f t="shared" si="186"/>
        <v/>
      </c>
      <c r="I883" s="105" t="str">
        <f t="shared" si="187"/>
        <v/>
      </c>
      <c r="J883" s="4" t="str">
        <f t="shared" si="188"/>
        <v/>
      </c>
      <c r="K883" s="106" t="str">
        <f t="shared" si="189"/>
        <v/>
      </c>
      <c r="L883" s="106" t="str">
        <f>IF(NOT(ISERROR(VLOOKUP(B883,Deflatores!G$42:H$64,2,FALSE))),VLOOKUP(B883,Deflatores!G$42:H$64,2,FALSE),IF(OR(ISBLANK(C883),ISBLANK(B883)),"",VLOOKUP(C883,Deflatores!G$4:H$38,2,FALSE)*H883+VLOOKUP(C883,Deflatores!G$4:I$38,3,FALSE)))</f>
        <v/>
      </c>
      <c r="M883" s="6"/>
      <c r="N883" s="6"/>
      <c r="O883" s="144"/>
    </row>
    <row r="884" spans="1:15" x14ac:dyDescent="0.25">
      <c r="A884" s="143" t="s">
        <v>752</v>
      </c>
      <c r="B884" s="113"/>
      <c r="C884" s="113"/>
      <c r="D884" s="4"/>
      <c r="E884" s="4"/>
      <c r="F884" s="105" t="str">
        <f t="shared" si="184"/>
        <v/>
      </c>
      <c r="G884" s="4" t="str">
        <f t="shared" si="185"/>
        <v/>
      </c>
      <c r="H884" s="4" t="str">
        <f t="shared" si="186"/>
        <v/>
      </c>
      <c r="I884" s="105" t="str">
        <f t="shared" si="187"/>
        <v/>
      </c>
      <c r="J884" s="4" t="str">
        <f t="shared" si="188"/>
        <v/>
      </c>
      <c r="K884" s="106" t="str">
        <f t="shared" si="189"/>
        <v/>
      </c>
      <c r="L884" s="106" t="str">
        <f>IF(NOT(ISERROR(VLOOKUP(B884,Deflatores!G$42:H$64,2,FALSE))),VLOOKUP(B884,Deflatores!G$42:H$64,2,FALSE),IF(OR(ISBLANK(C884),ISBLANK(B884)),"",VLOOKUP(C884,Deflatores!G$4:H$38,2,FALSE)*H884+VLOOKUP(C884,Deflatores!G$4:I$38,3,FALSE)))</f>
        <v/>
      </c>
      <c r="M884" s="6"/>
      <c r="N884" s="6"/>
      <c r="O884" s="144"/>
    </row>
    <row r="885" spans="1:15" x14ac:dyDescent="0.25">
      <c r="A885" s="145" t="s">
        <v>753</v>
      </c>
      <c r="B885" s="113" t="s">
        <v>50</v>
      </c>
      <c r="C885" s="113" t="s">
        <v>45</v>
      </c>
      <c r="D885" s="4">
        <v>6</v>
      </c>
      <c r="E885" s="4">
        <v>1</v>
      </c>
      <c r="F885" s="105" t="str">
        <f t="shared" si="184"/>
        <v>Baixa</v>
      </c>
      <c r="G885" s="4" t="str">
        <f t="shared" si="185"/>
        <v>CEL</v>
      </c>
      <c r="H885" s="4">
        <f t="shared" si="186"/>
        <v>3</v>
      </c>
      <c r="I885" s="105" t="str">
        <f t="shared" si="187"/>
        <v>L</v>
      </c>
      <c r="J885" s="4" t="str">
        <f t="shared" si="188"/>
        <v>CEI</v>
      </c>
      <c r="K885" s="106">
        <f t="shared" si="189"/>
        <v>3</v>
      </c>
      <c r="L885" s="106">
        <f>IF(NOT(ISERROR(VLOOKUP(B885,Deflatores!G$42:H$64,2,FALSE))),VLOOKUP(B885,Deflatores!G$42:H$64,2,FALSE),IF(OR(ISBLANK(C885),ISBLANK(B885)),"",VLOOKUP(C885,Deflatores!G$4:H$38,2,FALSE)*H885+VLOOKUP(C885,Deflatores!G$4:I$38,3,FALSE)))</f>
        <v>3</v>
      </c>
      <c r="M885" s="6"/>
      <c r="N885" s="6"/>
      <c r="O885" s="144"/>
    </row>
    <row r="886" spans="1:15" x14ac:dyDescent="0.25">
      <c r="A886" s="145" t="s">
        <v>754</v>
      </c>
      <c r="B886" s="113" t="s">
        <v>48</v>
      </c>
      <c r="C886" s="113" t="s">
        <v>45</v>
      </c>
      <c r="D886" s="4">
        <v>6</v>
      </c>
      <c r="E886" s="4">
        <v>1</v>
      </c>
      <c r="F886" s="105" t="str">
        <f t="shared" si="184"/>
        <v>Baixa</v>
      </c>
      <c r="G886" s="4" t="str">
        <f t="shared" si="185"/>
        <v>EEL</v>
      </c>
      <c r="H886" s="4">
        <f t="shared" si="186"/>
        <v>3</v>
      </c>
      <c r="I886" s="105" t="str">
        <f t="shared" si="187"/>
        <v>L</v>
      </c>
      <c r="J886" s="4" t="str">
        <f t="shared" si="188"/>
        <v>EEI</v>
      </c>
      <c r="K886" s="106">
        <f t="shared" si="189"/>
        <v>3</v>
      </c>
      <c r="L886" s="106">
        <f>IF(NOT(ISERROR(VLOOKUP(B886,Deflatores!G$42:H$64,2,FALSE))),VLOOKUP(B886,Deflatores!G$42:H$64,2,FALSE),IF(OR(ISBLANK(C886),ISBLANK(B886)),"",VLOOKUP(C886,Deflatores!G$4:H$38,2,FALSE)*H886+VLOOKUP(C886,Deflatores!G$4:I$38,3,FALSE)))</f>
        <v>3</v>
      </c>
      <c r="M886" s="6"/>
      <c r="N886" s="6"/>
      <c r="O886" s="144"/>
    </row>
    <row r="887" spans="1:15" x14ac:dyDescent="0.25">
      <c r="A887" s="145" t="s">
        <v>755</v>
      </c>
      <c r="B887" s="113" t="s">
        <v>48</v>
      </c>
      <c r="C887" s="113" t="s">
        <v>45</v>
      </c>
      <c r="D887" s="4">
        <v>6</v>
      </c>
      <c r="E887" s="4">
        <v>1</v>
      </c>
      <c r="F887" s="105" t="str">
        <f t="shared" si="184"/>
        <v>Baixa</v>
      </c>
      <c r="G887" s="4" t="str">
        <f t="shared" si="185"/>
        <v>EEL</v>
      </c>
      <c r="H887" s="4">
        <f t="shared" si="186"/>
        <v>3</v>
      </c>
      <c r="I887" s="105" t="str">
        <f t="shared" si="187"/>
        <v>L</v>
      </c>
      <c r="J887" s="4" t="str">
        <f t="shared" si="188"/>
        <v>EEI</v>
      </c>
      <c r="K887" s="106">
        <f t="shared" si="189"/>
        <v>3</v>
      </c>
      <c r="L887" s="106">
        <f>IF(NOT(ISERROR(VLOOKUP(B887,Deflatores!G$42:H$64,2,FALSE))),VLOOKUP(B887,Deflatores!G$42:H$64,2,FALSE),IF(OR(ISBLANK(C887),ISBLANK(B887)),"",VLOOKUP(C887,Deflatores!G$4:H$38,2,FALSE)*H887+VLOOKUP(C887,Deflatores!G$4:I$38,3,FALSE)))</f>
        <v>3</v>
      </c>
      <c r="M887" s="6"/>
      <c r="N887" s="6"/>
      <c r="O887" s="144"/>
    </row>
    <row r="888" spans="1:15" x14ac:dyDescent="0.25">
      <c r="A888" s="146" t="s">
        <v>756</v>
      </c>
      <c r="B888" s="113" t="s">
        <v>50</v>
      </c>
      <c r="C888" s="113" t="s">
        <v>45</v>
      </c>
      <c r="D888" s="4">
        <v>6</v>
      </c>
      <c r="E888" s="4">
        <v>1</v>
      </c>
      <c r="F888" s="105" t="str">
        <f t="shared" si="184"/>
        <v>Baixa</v>
      </c>
      <c r="G888" s="4" t="str">
        <f t="shared" si="185"/>
        <v>CEL</v>
      </c>
      <c r="H888" s="4">
        <f t="shared" si="186"/>
        <v>3</v>
      </c>
      <c r="I888" s="105" t="str">
        <f t="shared" si="187"/>
        <v>L</v>
      </c>
      <c r="J888" s="4" t="str">
        <f t="shared" si="188"/>
        <v>CEI</v>
      </c>
      <c r="K888" s="106">
        <f t="shared" si="189"/>
        <v>3</v>
      </c>
      <c r="L888" s="106">
        <f>IF(NOT(ISERROR(VLOOKUP(B888,Deflatores!G$42:H$64,2,FALSE))),VLOOKUP(B888,Deflatores!G$42:H$64,2,FALSE),IF(OR(ISBLANK(C888),ISBLANK(B888)),"",VLOOKUP(C888,Deflatores!G$4:H$38,2,FALSE)*H888+VLOOKUP(C888,Deflatores!G$4:I$38,3,FALSE)))</f>
        <v>3</v>
      </c>
      <c r="M888" s="6"/>
      <c r="N888" s="6"/>
      <c r="O888" s="144"/>
    </row>
    <row r="889" spans="1:15" x14ac:dyDescent="0.25">
      <c r="A889" s="145" t="s">
        <v>757</v>
      </c>
      <c r="B889" s="113" t="s">
        <v>48</v>
      </c>
      <c r="C889" s="113" t="s">
        <v>45</v>
      </c>
      <c r="D889" s="4">
        <v>6</v>
      </c>
      <c r="E889" s="4">
        <v>1</v>
      </c>
      <c r="F889" s="105" t="str">
        <f t="shared" ref="F889" si="202">IF(ISBLANK(B889),"",IF(I889="L","Baixa",IF(I889="A","Média",IF(I889="","","Alta"))))</f>
        <v>Baixa</v>
      </c>
      <c r="G889" s="4" t="str">
        <f t="shared" ref="G889" si="203">CONCATENATE(B889,I889)</f>
        <v>EEL</v>
      </c>
      <c r="H889" s="4">
        <f t="shared" ref="H889" si="204">IF(ISBLANK(B889),"",IF(B889="ALI",IF(I889="L",7,IF(I889="A",10,15)),IF(B889="AIE",IF(I889="L",5,IF(I889="A",7,10)),IF(B889="SE",IF(I889="L",4,IF(I889="A",5,7)),IF(OR(B889="EE",B889="CE"),IF(I889="L",3,IF(I889="A",4,6)),0)))))</f>
        <v>3</v>
      </c>
      <c r="I889" s="105" t="str">
        <f t="shared" ref="I889" si="205">IF(OR(ISBLANK(D889),ISBLANK(E889)),IF(OR(B889="ALI",B889="AIE"),"L",IF(OR(B889="EE",B889="SE",B889="CE"),"A","")),IF(B889="EE",IF(E889&gt;=3,IF(D889&gt;=5,"H","A"),IF(E889&gt;=2,IF(D889&gt;=16,"H",IF(D889&lt;=4,"L","A")),IF(D889&lt;=15,"L","A"))),IF(OR(B889="SE",B889="CE"),IF(E889&gt;=4,IF(D889&gt;=6,"H","A"),IF(E889&gt;=2,IF(D889&gt;=20,"H",IF(D889&lt;=5,"L","A")),IF(D889&lt;=19,"L","A"))),IF(OR(B889="ALI",B889="AIE"),IF(E889&gt;=6,IF(D889&gt;=20,"H","A"),IF(E889&gt;=2,IF(D889&gt;=51,"H",IF(D889&lt;=19,"L","A")),IF(D889&lt;=50,"L","A"))),""))))</f>
        <v>L</v>
      </c>
      <c r="J889" s="4" t="str">
        <f t="shared" ref="J889" si="206">CONCATENATE(B889,C889)</f>
        <v>EEI</v>
      </c>
      <c r="K889" s="106">
        <f t="shared" ref="K889" si="207">IF(OR(H889="",H889=0),L889,H889)</f>
        <v>3</v>
      </c>
      <c r="L889" s="106">
        <f>IF(NOT(ISERROR(VLOOKUP(B889,Deflatores!G$42:H$64,2,FALSE))),VLOOKUP(B889,Deflatores!G$42:H$64,2,FALSE),IF(OR(ISBLANK(C889),ISBLANK(B889)),"",VLOOKUP(C889,Deflatores!G$4:H$38,2,FALSE)*H889+VLOOKUP(C889,Deflatores!G$4:I$38,3,FALSE)))</f>
        <v>3</v>
      </c>
      <c r="M889" s="6"/>
      <c r="N889" s="6"/>
      <c r="O889" s="144"/>
    </row>
    <row r="890" spans="1:15" x14ac:dyDescent="0.25">
      <c r="A890" s="145" t="s">
        <v>758</v>
      </c>
      <c r="B890" s="113" t="s">
        <v>48</v>
      </c>
      <c r="C890" s="113" t="s">
        <v>45</v>
      </c>
      <c r="D890" s="4">
        <v>3</v>
      </c>
      <c r="E890" s="4">
        <v>1</v>
      </c>
      <c r="F890" s="105" t="str">
        <f t="shared" si="184"/>
        <v>Baixa</v>
      </c>
      <c r="G890" s="4" t="str">
        <f t="shared" si="185"/>
        <v>EEL</v>
      </c>
      <c r="H890" s="4">
        <f t="shared" si="186"/>
        <v>3</v>
      </c>
      <c r="I890" s="105" t="str">
        <f t="shared" si="187"/>
        <v>L</v>
      </c>
      <c r="J890" s="4" t="str">
        <f t="shared" si="188"/>
        <v>EEI</v>
      </c>
      <c r="K890" s="106">
        <f t="shared" si="189"/>
        <v>3</v>
      </c>
      <c r="L890" s="106">
        <f>IF(NOT(ISERROR(VLOOKUP(B890,Deflatores!G$42:H$64,2,FALSE))),VLOOKUP(B890,Deflatores!G$42:H$64,2,FALSE),IF(OR(ISBLANK(C890),ISBLANK(B890)),"",VLOOKUP(C890,Deflatores!G$4:H$38,2,FALSE)*H890+VLOOKUP(C890,Deflatores!G$4:I$38,3,FALSE)))</f>
        <v>3</v>
      </c>
      <c r="M890" s="6"/>
      <c r="N890" s="6"/>
      <c r="O890" s="144"/>
    </row>
    <row r="891" spans="1:15" x14ac:dyDescent="0.25">
      <c r="A891" s="145"/>
      <c r="B891" s="113"/>
      <c r="C891" s="113"/>
      <c r="D891" s="4"/>
      <c r="E891" s="4"/>
      <c r="F891" s="105" t="str">
        <f t="shared" si="184"/>
        <v/>
      </c>
      <c r="G891" s="4" t="str">
        <f t="shared" si="185"/>
        <v/>
      </c>
      <c r="H891" s="4" t="str">
        <f t="shared" si="186"/>
        <v/>
      </c>
      <c r="I891" s="105" t="str">
        <f t="shared" si="187"/>
        <v/>
      </c>
      <c r="J891" s="4" t="str">
        <f t="shared" si="188"/>
        <v/>
      </c>
      <c r="K891" s="106" t="str">
        <f t="shared" si="189"/>
        <v/>
      </c>
      <c r="L891" s="106" t="str">
        <f>IF(NOT(ISERROR(VLOOKUP(B891,Deflatores!G$42:H$64,2,FALSE))),VLOOKUP(B891,Deflatores!G$42:H$64,2,FALSE),IF(OR(ISBLANK(C891),ISBLANK(B891)),"",VLOOKUP(C891,Deflatores!G$4:H$38,2,FALSE)*H891+VLOOKUP(C891,Deflatores!G$4:I$38,3,FALSE)))</f>
        <v/>
      </c>
      <c r="M891" s="6"/>
      <c r="N891" s="6"/>
      <c r="O891" s="144"/>
    </row>
    <row r="892" spans="1:15" x14ac:dyDescent="0.25">
      <c r="A892" s="115" t="s">
        <v>759</v>
      </c>
      <c r="B892" s="113"/>
      <c r="C892" s="113"/>
      <c r="D892" s="4"/>
      <c r="E892" s="4"/>
      <c r="F892" s="106" t="str">
        <f t="shared" si="184"/>
        <v/>
      </c>
      <c r="G892" s="106" t="str">
        <f t="shared" si="185"/>
        <v/>
      </c>
      <c r="H892" s="106" t="str">
        <f t="shared" si="186"/>
        <v/>
      </c>
      <c r="I892" s="106" t="str">
        <f t="shared" si="187"/>
        <v/>
      </c>
      <c r="J892" s="106" t="str">
        <f t="shared" si="188"/>
        <v/>
      </c>
      <c r="K892" s="106" t="str">
        <f t="shared" si="189"/>
        <v/>
      </c>
      <c r="L892" s="106" t="str">
        <f>IF(NOT(ISERROR(VLOOKUP(B892,Deflatores!G$42:H$64,2,FALSE))),VLOOKUP(B892,Deflatores!G$42:H$64,2,FALSE),IF(OR(ISBLANK(C892),ISBLANK(B892)),"",VLOOKUP(C892,Deflatores!G$4:H$38,2,FALSE)*H892+VLOOKUP(C892,Deflatores!G$4:I$38,3,FALSE)))</f>
        <v/>
      </c>
      <c r="M892" s="106"/>
      <c r="N892" s="106"/>
      <c r="O892" s="123"/>
    </row>
    <row r="893" spans="1:15" x14ac:dyDescent="0.25">
      <c r="A893" s="162" t="s">
        <v>760</v>
      </c>
      <c r="B893" s="113" t="s">
        <v>50</v>
      </c>
      <c r="C893" s="113" t="s">
        <v>45</v>
      </c>
      <c r="D893" s="4">
        <v>8</v>
      </c>
      <c r="E893" s="4">
        <v>2</v>
      </c>
      <c r="F893" s="106" t="str">
        <f t="shared" si="184"/>
        <v>Média</v>
      </c>
      <c r="G893" s="106" t="str">
        <f t="shared" si="185"/>
        <v>CEA</v>
      </c>
      <c r="H893" s="106">
        <f t="shared" si="186"/>
        <v>4</v>
      </c>
      <c r="I893" s="106" t="str">
        <f t="shared" si="187"/>
        <v>A</v>
      </c>
      <c r="J893" s="106" t="str">
        <f t="shared" si="188"/>
        <v>CEI</v>
      </c>
      <c r="K893" s="106">
        <f t="shared" si="189"/>
        <v>4</v>
      </c>
      <c r="L893" s="106">
        <f>IF(NOT(ISERROR(VLOOKUP(B893,Deflatores!G$42:H$64,2,FALSE))),VLOOKUP(B893,Deflatores!G$42:H$64,2,FALSE),IF(OR(ISBLANK(C893),ISBLANK(B893)),"",VLOOKUP(C893,Deflatores!G$4:H$38,2,FALSE)*H893+VLOOKUP(C893,Deflatores!G$4:I$38,3,FALSE)))</f>
        <v>4</v>
      </c>
      <c r="M893" s="106"/>
      <c r="N893" s="106"/>
      <c r="O893" s="106"/>
    </row>
    <row r="894" spans="1:15" x14ac:dyDescent="0.25">
      <c r="A894" s="162" t="s">
        <v>761</v>
      </c>
      <c r="B894" s="113" t="s">
        <v>48</v>
      </c>
      <c r="C894" s="113" t="s">
        <v>45</v>
      </c>
      <c r="D894" s="113">
        <v>14</v>
      </c>
      <c r="E894" s="4">
        <v>3</v>
      </c>
      <c r="F894" s="106" t="str">
        <f t="shared" si="184"/>
        <v>Alta</v>
      </c>
      <c r="G894" s="106" t="str">
        <f t="shared" si="185"/>
        <v>EEH</v>
      </c>
      <c r="H894" s="106">
        <f t="shared" si="186"/>
        <v>6</v>
      </c>
      <c r="I894" s="106" t="str">
        <f t="shared" si="187"/>
        <v>H</v>
      </c>
      <c r="J894" s="106" t="str">
        <f t="shared" si="188"/>
        <v>EEI</v>
      </c>
      <c r="K894" s="106">
        <f t="shared" si="189"/>
        <v>6</v>
      </c>
      <c r="L894" s="106">
        <f>IF(NOT(ISERROR(VLOOKUP(B894,Deflatores!G$42:H$64,2,FALSE))),VLOOKUP(B894,Deflatores!G$42:H$64,2,FALSE),IF(OR(ISBLANK(C894),ISBLANK(B894)),"",VLOOKUP(C894,Deflatores!G$4:H$38,2,FALSE)*H894+VLOOKUP(C894,Deflatores!G$4:I$38,3,FALSE)))</f>
        <v>6</v>
      </c>
      <c r="M894" s="106"/>
      <c r="N894" s="106"/>
      <c r="O894" s="106"/>
    </row>
    <row r="895" spans="1:15" x14ac:dyDescent="0.25">
      <c r="A895" s="162" t="s">
        <v>762</v>
      </c>
      <c r="B895" s="113" t="s">
        <v>48</v>
      </c>
      <c r="C895" s="113" t="s">
        <v>45</v>
      </c>
      <c r="D895" s="113">
        <v>14</v>
      </c>
      <c r="E895" s="4">
        <v>3</v>
      </c>
      <c r="F895" s="106" t="str">
        <f t="shared" si="184"/>
        <v>Alta</v>
      </c>
      <c r="G895" s="106" t="str">
        <f t="shared" si="185"/>
        <v>EEH</v>
      </c>
      <c r="H895" s="106">
        <f t="shared" si="186"/>
        <v>6</v>
      </c>
      <c r="I895" s="106" t="str">
        <f t="shared" si="187"/>
        <v>H</v>
      </c>
      <c r="J895" s="106" t="str">
        <f t="shared" si="188"/>
        <v>EEI</v>
      </c>
      <c r="K895" s="106">
        <f t="shared" si="189"/>
        <v>6</v>
      </c>
      <c r="L895" s="106">
        <f>IF(NOT(ISERROR(VLOOKUP(B895,Deflatores!G$42:H$64,2,FALSE))),VLOOKUP(B895,Deflatores!G$42:H$64,2,FALSE),IF(OR(ISBLANK(C895),ISBLANK(B895)),"",VLOOKUP(C895,Deflatores!G$4:H$38,2,FALSE)*H895+VLOOKUP(C895,Deflatores!G$4:I$38,3,FALSE)))</f>
        <v>6</v>
      </c>
      <c r="M895" s="106"/>
      <c r="N895" s="106"/>
      <c r="O895" s="106"/>
    </row>
    <row r="896" spans="1:15" x14ac:dyDescent="0.25">
      <c r="A896" s="112" t="s">
        <v>763</v>
      </c>
      <c r="B896" s="113" t="s">
        <v>50</v>
      </c>
      <c r="C896" s="113" t="s">
        <v>45</v>
      </c>
      <c r="D896" s="113">
        <v>14</v>
      </c>
      <c r="E896" s="4">
        <v>3</v>
      </c>
      <c r="F896" s="106" t="str">
        <f t="shared" si="184"/>
        <v>Média</v>
      </c>
      <c r="G896" s="106" t="str">
        <f t="shared" si="185"/>
        <v>CEA</v>
      </c>
      <c r="H896" s="106">
        <f t="shared" si="186"/>
        <v>4</v>
      </c>
      <c r="I896" s="106" t="str">
        <f t="shared" si="187"/>
        <v>A</v>
      </c>
      <c r="J896" s="106" t="str">
        <f t="shared" si="188"/>
        <v>CEI</v>
      </c>
      <c r="K896" s="106">
        <f t="shared" si="189"/>
        <v>4</v>
      </c>
      <c r="L896" s="106">
        <f>IF(NOT(ISERROR(VLOOKUP(B896,Deflatores!G$42:H$64,2,FALSE))),VLOOKUP(B896,Deflatores!G$42:H$64,2,FALSE),IF(OR(ISBLANK(C896),ISBLANK(B896)),"",VLOOKUP(C896,Deflatores!G$4:H$38,2,FALSE)*H896+VLOOKUP(C896,Deflatores!G$4:I$38,3,FALSE)))</f>
        <v>4</v>
      </c>
      <c r="M896" s="106"/>
      <c r="N896" s="106"/>
      <c r="O896" s="106"/>
    </row>
    <row r="897" spans="1:15" x14ac:dyDescent="0.25">
      <c r="A897" s="162" t="s">
        <v>764</v>
      </c>
      <c r="B897" s="113" t="s">
        <v>50</v>
      </c>
      <c r="C897" s="113" t="s">
        <v>45</v>
      </c>
      <c r="D897" s="113">
        <v>14</v>
      </c>
      <c r="E897" s="4">
        <v>3</v>
      </c>
      <c r="F897" s="106" t="str">
        <f t="shared" ref="F897:F898" si="208">IF(ISBLANK(B897),"",IF(I897="L","Baixa",IF(I897="A","Média",IF(I897="","","Alta"))))</f>
        <v>Média</v>
      </c>
      <c r="G897" s="106" t="str">
        <f t="shared" ref="G897:G898" si="209">CONCATENATE(B897,I897)</f>
        <v>CEA</v>
      </c>
      <c r="H897" s="106">
        <f t="shared" ref="H897:H898" si="210">IF(ISBLANK(B897),"",IF(B897="ALI",IF(I897="L",7,IF(I897="A",10,15)),IF(B897="AIE",IF(I897="L",5,IF(I897="A",7,10)),IF(B897="SE",IF(I897="L",4,IF(I897="A",5,7)),IF(OR(B897="EE",B897="CE"),IF(I897="L",3,IF(I897="A",4,6)),0)))))</f>
        <v>4</v>
      </c>
      <c r="I897" s="106" t="str">
        <f t="shared" ref="I897:I898" si="211">IF(OR(ISBLANK(D897),ISBLANK(E897)),IF(OR(B897="ALI",B897="AIE"),"L",IF(OR(B897="EE",B897="SE",B897="CE"),"A","")),IF(B897="EE",IF(E897&gt;=3,IF(D897&gt;=5,"H","A"),IF(E897&gt;=2,IF(D897&gt;=16,"H",IF(D897&lt;=4,"L","A")),IF(D897&lt;=15,"L","A"))),IF(OR(B897="SE",B897="CE"),IF(E897&gt;=4,IF(D897&gt;=6,"H","A"),IF(E897&gt;=2,IF(D897&gt;=20,"H",IF(D897&lt;=5,"L","A")),IF(D897&lt;=19,"L","A"))),IF(OR(B897="ALI",B897="AIE"),IF(E897&gt;=6,IF(D897&gt;=20,"H","A"),IF(E897&gt;=2,IF(D897&gt;=51,"H",IF(D897&lt;=19,"L","A")),IF(D897&lt;=50,"L","A"))),""))))</f>
        <v>A</v>
      </c>
      <c r="J897" s="106" t="str">
        <f t="shared" ref="J897:J898" si="212">CONCATENATE(B897,C897)</f>
        <v>CEI</v>
      </c>
      <c r="K897" s="106">
        <f t="shared" ref="K897:K898" si="213">IF(OR(H897="",H897=0),L897,H897)</f>
        <v>4</v>
      </c>
      <c r="L897" s="106">
        <f>IF(NOT(ISERROR(VLOOKUP(B897,Deflatores!G$42:H$64,2,FALSE))),VLOOKUP(B897,Deflatores!G$42:H$64,2,FALSE),IF(OR(ISBLANK(C897),ISBLANK(B897)),"",VLOOKUP(C897,Deflatores!G$4:H$38,2,FALSE)*H897+VLOOKUP(C897,Deflatores!G$4:I$38,3,FALSE)))</f>
        <v>4</v>
      </c>
      <c r="M897" s="106"/>
      <c r="N897" s="106"/>
      <c r="O897" s="106"/>
    </row>
    <row r="898" spans="1:15" x14ac:dyDescent="0.25">
      <c r="A898" s="162" t="s">
        <v>765</v>
      </c>
      <c r="B898" s="113" t="s">
        <v>48</v>
      </c>
      <c r="C898" s="113" t="s">
        <v>45</v>
      </c>
      <c r="D898" s="113">
        <v>4</v>
      </c>
      <c r="E898" s="4">
        <v>1</v>
      </c>
      <c r="F898" s="106" t="str">
        <f t="shared" si="208"/>
        <v>Baixa</v>
      </c>
      <c r="G898" s="106" t="str">
        <f t="shared" si="209"/>
        <v>EEL</v>
      </c>
      <c r="H898" s="106">
        <f t="shared" si="210"/>
        <v>3</v>
      </c>
      <c r="I898" s="106" t="str">
        <f t="shared" si="211"/>
        <v>L</v>
      </c>
      <c r="J898" s="106" t="str">
        <f t="shared" si="212"/>
        <v>EEI</v>
      </c>
      <c r="K898" s="106">
        <f t="shared" si="213"/>
        <v>3</v>
      </c>
      <c r="L898" s="106">
        <f>IF(NOT(ISERROR(VLOOKUP(B898,Deflatores!G$42:H$64,2,FALSE))),VLOOKUP(B898,Deflatores!G$42:H$64,2,FALSE),IF(OR(ISBLANK(C898),ISBLANK(B898)),"",VLOOKUP(C898,Deflatores!G$4:H$38,2,FALSE)*H898+VLOOKUP(C898,Deflatores!G$4:I$38,3,FALSE)))</f>
        <v>3</v>
      </c>
      <c r="M898" s="106"/>
      <c r="N898" s="106"/>
      <c r="O898" s="106"/>
    </row>
    <row r="899" spans="1:15" x14ac:dyDescent="0.25">
      <c r="A899" s="162" t="s">
        <v>766</v>
      </c>
      <c r="B899" s="113" t="s">
        <v>48</v>
      </c>
      <c r="C899" s="113" t="s">
        <v>45</v>
      </c>
      <c r="D899" s="113">
        <v>13</v>
      </c>
      <c r="E899" s="4">
        <v>3</v>
      </c>
      <c r="F899" s="106" t="str">
        <f t="shared" si="184"/>
        <v>Alta</v>
      </c>
      <c r="G899" s="106" t="str">
        <f t="shared" si="185"/>
        <v>EEH</v>
      </c>
      <c r="H899" s="106">
        <f t="shared" si="186"/>
        <v>6</v>
      </c>
      <c r="I899" s="106" t="str">
        <f t="shared" si="187"/>
        <v>H</v>
      </c>
      <c r="J899" s="106" t="str">
        <f t="shared" si="188"/>
        <v>EEI</v>
      </c>
      <c r="K899" s="106">
        <f t="shared" si="189"/>
        <v>6</v>
      </c>
      <c r="L899" s="106">
        <f>IF(NOT(ISERROR(VLOOKUP(B899,Deflatores!G$42:H$64,2,FALSE))),VLOOKUP(B899,Deflatores!G$42:H$64,2,FALSE),IF(OR(ISBLANK(C899),ISBLANK(B899)),"",VLOOKUP(C899,Deflatores!G$4:H$38,2,FALSE)*H899+VLOOKUP(C899,Deflatores!G$4:I$38,3,FALSE)))</f>
        <v>6</v>
      </c>
      <c r="M899" s="106"/>
      <c r="N899" s="106"/>
      <c r="O899" s="106"/>
    </row>
    <row r="900" spans="1:15" x14ac:dyDescent="0.25">
      <c r="A900" s="162" t="s">
        <v>767</v>
      </c>
      <c r="B900" s="113" t="s">
        <v>48</v>
      </c>
      <c r="C900" s="113" t="s">
        <v>45</v>
      </c>
      <c r="D900" s="113">
        <v>6</v>
      </c>
      <c r="E900" s="4">
        <v>3</v>
      </c>
      <c r="F900" s="106" t="str">
        <f t="shared" si="184"/>
        <v>Alta</v>
      </c>
      <c r="G900" s="106" t="str">
        <f t="shared" si="185"/>
        <v>EEH</v>
      </c>
      <c r="H900" s="106">
        <f t="shared" si="186"/>
        <v>6</v>
      </c>
      <c r="I900" s="106" t="str">
        <f t="shared" si="187"/>
        <v>H</v>
      </c>
      <c r="J900" s="106" t="str">
        <f t="shared" si="188"/>
        <v>EEI</v>
      </c>
      <c r="K900" s="106">
        <f t="shared" si="189"/>
        <v>6</v>
      </c>
      <c r="L900" s="106">
        <f>IF(NOT(ISERROR(VLOOKUP(B900,Deflatores!G$42:H$64,2,FALSE))),VLOOKUP(B900,Deflatores!G$42:H$64,2,FALSE),IF(OR(ISBLANK(C900),ISBLANK(B900)),"",VLOOKUP(C900,Deflatores!G$4:H$38,2,FALSE)*H900+VLOOKUP(C900,Deflatores!G$4:I$38,3,FALSE)))</f>
        <v>6</v>
      </c>
      <c r="M900" s="106"/>
      <c r="N900" s="106"/>
      <c r="O900" s="106"/>
    </row>
    <row r="901" spans="1:15" x14ac:dyDescent="0.25">
      <c r="A901" s="162" t="s">
        <v>768</v>
      </c>
      <c r="B901" s="113" t="s">
        <v>48</v>
      </c>
      <c r="C901" s="113" t="s">
        <v>45</v>
      </c>
      <c r="D901" s="113">
        <v>4</v>
      </c>
      <c r="E901" s="4">
        <v>3</v>
      </c>
      <c r="F901" s="106" t="str">
        <f t="shared" si="184"/>
        <v>Média</v>
      </c>
      <c r="G901" s="106" t="str">
        <f t="shared" si="185"/>
        <v>EEA</v>
      </c>
      <c r="H901" s="106">
        <f t="shared" si="186"/>
        <v>4</v>
      </c>
      <c r="I901" s="106" t="str">
        <f t="shared" si="187"/>
        <v>A</v>
      </c>
      <c r="J901" s="106" t="str">
        <f t="shared" si="188"/>
        <v>EEI</v>
      </c>
      <c r="K901" s="106">
        <f t="shared" si="189"/>
        <v>4</v>
      </c>
      <c r="L901" s="106">
        <f>IF(NOT(ISERROR(VLOOKUP(B901,Deflatores!G$42:H$64,2,FALSE))),VLOOKUP(B901,Deflatores!G$42:H$64,2,FALSE),IF(OR(ISBLANK(C901),ISBLANK(B901)),"",VLOOKUP(C901,Deflatores!G$4:H$38,2,FALSE)*H901+VLOOKUP(C901,Deflatores!G$4:I$38,3,FALSE)))</f>
        <v>4</v>
      </c>
      <c r="M901" s="106"/>
      <c r="N901" s="106"/>
      <c r="O901" s="106"/>
    </row>
    <row r="902" spans="1:15" x14ac:dyDescent="0.25">
      <c r="A902" s="145"/>
      <c r="B902" s="113"/>
      <c r="C902" s="113"/>
      <c r="D902" s="4"/>
      <c r="E902" s="4"/>
      <c r="F902" s="105" t="str">
        <f t="shared" si="178"/>
        <v/>
      </c>
      <c r="G902" s="4" t="str">
        <f t="shared" si="179"/>
        <v/>
      </c>
      <c r="H902" s="4" t="str">
        <f t="shared" si="180"/>
        <v/>
      </c>
      <c r="I902" s="105" t="str">
        <f t="shared" si="181"/>
        <v/>
      </c>
      <c r="J902" s="4" t="str">
        <f t="shared" si="182"/>
        <v/>
      </c>
      <c r="K902" s="106" t="str">
        <f t="shared" si="183"/>
        <v/>
      </c>
      <c r="L902" s="106" t="str">
        <f>IF(NOT(ISERROR(VLOOKUP(B902,Deflatores!G$42:H$64,2,FALSE))),VLOOKUP(B902,Deflatores!G$42:H$64,2,FALSE),IF(OR(ISBLANK(C902),ISBLANK(B902)),"",VLOOKUP(C902,Deflatores!G$4:H$38,2,FALSE)*H902+VLOOKUP(C902,Deflatores!G$4:I$38,3,FALSE)))</f>
        <v/>
      </c>
      <c r="M902" s="6"/>
      <c r="N902" s="6"/>
      <c r="O902" s="144"/>
    </row>
    <row r="903" spans="1:15" x14ac:dyDescent="0.25">
      <c r="A903" s="143" t="s">
        <v>769</v>
      </c>
      <c r="B903" s="113"/>
      <c r="C903" s="113"/>
      <c r="D903" s="113"/>
      <c r="E903" s="4"/>
      <c r="F903" s="106" t="str">
        <f t="shared" ref="F903:F931" si="214">IF(ISBLANK(B903),"",IF(I903="L","Baixa",IF(I903="A","Média",IF(I903="","","Alta"))))</f>
        <v/>
      </c>
      <c r="G903" s="106" t="str">
        <f t="shared" ref="G903:G926" si="215">CONCATENATE(B903,I903)</f>
        <v/>
      </c>
      <c r="H903" s="106" t="str">
        <f t="shared" ref="H903:H931" si="216">IF(ISBLANK(B903),"",IF(B903="ALI",IF(I903="L",7,IF(I903="A",10,15)),IF(B903="AIE",IF(I903="L",5,IF(I903="A",7,10)),IF(B903="SE",IF(I903="L",4,IF(I903="A",5,7)),IF(OR(B903="EE",B903="CE"),IF(I903="L",3,IF(I903="A",4,6)),0)))))</f>
        <v/>
      </c>
      <c r="I903" s="106" t="str">
        <f t="shared" ref="I903:I931" si="217">IF(OR(ISBLANK(D903),ISBLANK(E903)),IF(OR(B903="ALI",B903="AIE"),"L",IF(OR(B903="EE",B903="SE",B903="CE"),"A","")),IF(B903="EE",IF(E903&gt;=3,IF(D903&gt;=5,"H","A"),IF(E903&gt;=2,IF(D903&gt;=16,"H",IF(D903&lt;=4,"L","A")),IF(D903&lt;=15,"L","A"))),IF(OR(B903="SE",B903="CE"),IF(E903&gt;=4,IF(D903&gt;=6,"H","A"),IF(E903&gt;=2,IF(D903&gt;=20,"H",IF(D903&lt;=5,"L","A")),IF(D903&lt;=19,"L","A"))),IF(OR(B903="ALI",B903="AIE"),IF(E903&gt;=6,IF(D903&gt;=20,"H","A"),IF(E903&gt;=2,IF(D903&gt;=51,"H",IF(D903&lt;=19,"L","A")),IF(D903&lt;=50,"L","A"))),""))))</f>
        <v/>
      </c>
      <c r="J903" s="106" t="str">
        <f t="shared" ref="J903:J931" si="218">CONCATENATE(B903,C903)</f>
        <v/>
      </c>
      <c r="K903" s="106" t="str">
        <f t="shared" ref="K903:K931" si="219">IF(OR(H903="",H903=0),L903,H903)</f>
        <v/>
      </c>
      <c r="L903" s="106" t="str">
        <f>IF(NOT(ISERROR(VLOOKUP(B903,Deflatores!G$42:H$64,2,FALSE))),VLOOKUP(B903,Deflatores!G$42:H$64,2,FALSE),IF(OR(ISBLANK(C903),ISBLANK(B903)),"",VLOOKUP(C903,Deflatores!G$4:H$38,2,FALSE)*H903+VLOOKUP(C903,Deflatores!G$4:I$38,3,FALSE)))</f>
        <v/>
      </c>
      <c r="M903" s="106"/>
      <c r="N903" s="106"/>
      <c r="O903" s="123"/>
    </row>
    <row r="904" spans="1:15" x14ac:dyDescent="0.25">
      <c r="A904" s="163" t="s">
        <v>770</v>
      </c>
      <c r="B904" s="113" t="s">
        <v>50</v>
      </c>
      <c r="C904" s="113" t="s">
        <v>45</v>
      </c>
      <c r="D904" s="113">
        <v>13</v>
      </c>
      <c r="E904" s="4">
        <v>7</v>
      </c>
      <c r="F904" s="106" t="str">
        <f t="shared" si="214"/>
        <v>Alta</v>
      </c>
      <c r="G904" s="106" t="str">
        <f t="shared" si="215"/>
        <v>CEH</v>
      </c>
      <c r="H904" s="106">
        <f t="shared" si="216"/>
        <v>6</v>
      </c>
      <c r="I904" s="106" t="str">
        <f t="shared" si="217"/>
        <v>H</v>
      </c>
      <c r="J904" s="106" t="str">
        <f t="shared" si="218"/>
        <v>CEI</v>
      </c>
      <c r="K904" s="106">
        <f t="shared" si="219"/>
        <v>6</v>
      </c>
      <c r="L904" s="106">
        <f>IF(NOT(ISERROR(VLOOKUP(B904,Deflatores!G$42:H$64,2,FALSE))),VLOOKUP(B904,Deflatores!G$42:H$64,2,FALSE),IF(OR(ISBLANK(C904),ISBLANK(B904)),"",VLOOKUP(C904,Deflatores!G$4:H$38,2,FALSE)*H904+VLOOKUP(C904,Deflatores!G$4:I$38,3,FALSE)))</f>
        <v>6</v>
      </c>
      <c r="M904" s="106"/>
      <c r="N904" s="106"/>
      <c r="O904" s="161"/>
    </row>
    <row r="905" spans="1:15" x14ac:dyDescent="0.25">
      <c r="A905" s="163"/>
      <c r="B905" s="113"/>
      <c r="C905" s="113"/>
      <c r="D905" s="113"/>
      <c r="E905" s="4"/>
      <c r="F905" s="106" t="str">
        <f t="shared" si="214"/>
        <v/>
      </c>
      <c r="G905" s="106" t="str">
        <f t="shared" si="215"/>
        <v/>
      </c>
      <c r="H905" s="106" t="str">
        <f t="shared" si="216"/>
        <v/>
      </c>
      <c r="I905" s="106" t="str">
        <f t="shared" si="217"/>
        <v/>
      </c>
      <c r="J905" s="106" t="str">
        <f t="shared" si="218"/>
        <v/>
      </c>
      <c r="K905" s="106" t="str">
        <f t="shared" si="219"/>
        <v/>
      </c>
      <c r="L905" s="106" t="str">
        <f>IF(NOT(ISERROR(VLOOKUP(B905,Deflatores!G$42:H$64,2,FALSE))),VLOOKUP(B905,Deflatores!G$42:H$64,2,FALSE),IF(OR(ISBLANK(C905),ISBLANK(B905)),"",VLOOKUP(C905,Deflatores!G$4:H$38,2,FALSE)*H905+VLOOKUP(C905,Deflatores!G$4:I$38,3,FALSE)))</f>
        <v/>
      </c>
      <c r="M905" s="106"/>
      <c r="N905" s="106"/>
      <c r="O905" s="161"/>
    </row>
    <row r="906" spans="1:15" x14ac:dyDescent="0.25">
      <c r="A906" s="143" t="s">
        <v>771</v>
      </c>
      <c r="B906" s="113"/>
      <c r="C906" s="113"/>
      <c r="D906" s="113"/>
      <c r="E906" s="4"/>
      <c r="F906" s="106" t="str">
        <f t="shared" si="214"/>
        <v/>
      </c>
      <c r="G906" s="106" t="str">
        <f t="shared" si="215"/>
        <v/>
      </c>
      <c r="H906" s="106" t="str">
        <f t="shared" si="216"/>
        <v/>
      </c>
      <c r="I906" s="106" t="str">
        <f t="shared" si="217"/>
        <v/>
      </c>
      <c r="J906" s="106" t="str">
        <f t="shared" si="218"/>
        <v/>
      </c>
      <c r="K906" s="106" t="str">
        <f t="shared" si="219"/>
        <v/>
      </c>
      <c r="L906" s="106" t="str">
        <f>IF(NOT(ISERROR(VLOOKUP(B906,Deflatores!G$42:H$64,2,FALSE))),VLOOKUP(B906,Deflatores!G$42:H$64,2,FALSE),IF(OR(ISBLANK(C906),ISBLANK(B906)),"",VLOOKUP(C906,Deflatores!G$4:H$38,2,FALSE)*H906+VLOOKUP(C906,Deflatores!G$4:I$38,3,FALSE)))</f>
        <v/>
      </c>
      <c r="M906" s="106"/>
      <c r="N906" s="106"/>
      <c r="O906" s="123"/>
    </row>
    <row r="907" spans="1:15" x14ac:dyDescent="0.25">
      <c r="A907" s="163" t="s">
        <v>772</v>
      </c>
      <c r="B907" s="113" t="s">
        <v>44</v>
      </c>
      <c r="C907" s="113" t="s">
        <v>45</v>
      </c>
      <c r="D907" s="113">
        <v>19</v>
      </c>
      <c r="E907" s="4">
        <v>1</v>
      </c>
      <c r="F907" s="106" t="str">
        <f t="shared" si="214"/>
        <v>Baixa</v>
      </c>
      <c r="G907" s="106" t="str">
        <f t="shared" si="215"/>
        <v>ALIL</v>
      </c>
      <c r="H907" s="106">
        <f t="shared" si="216"/>
        <v>7</v>
      </c>
      <c r="I907" s="106" t="str">
        <f t="shared" si="217"/>
        <v>L</v>
      </c>
      <c r="J907" s="106" t="str">
        <f t="shared" si="218"/>
        <v>ALII</v>
      </c>
      <c r="K907" s="106">
        <f t="shared" si="219"/>
        <v>7</v>
      </c>
      <c r="L907" s="106">
        <f>IF(NOT(ISERROR(VLOOKUP(B907,Deflatores!G$42:H$64,2,FALSE))),VLOOKUP(B907,Deflatores!G$42:H$64,2,FALSE),IF(OR(ISBLANK(C907),ISBLANK(B907)),"",VLOOKUP(C907,Deflatores!G$4:H$38,2,FALSE)*H907+VLOOKUP(C907,Deflatores!G$4:I$38,3,FALSE)))</f>
        <v>7</v>
      </c>
      <c r="M907" s="106"/>
      <c r="N907" s="106"/>
      <c r="O907" s="161"/>
    </row>
    <row r="908" spans="1:15" x14ac:dyDescent="0.25">
      <c r="A908" s="163" t="s">
        <v>773</v>
      </c>
      <c r="B908" s="113" t="s">
        <v>48</v>
      </c>
      <c r="C908" s="113" t="s">
        <v>45</v>
      </c>
      <c r="D908" s="113">
        <v>20</v>
      </c>
      <c r="E908" s="4">
        <v>7</v>
      </c>
      <c r="F908" s="106" t="str">
        <f t="shared" si="214"/>
        <v>Alta</v>
      </c>
      <c r="G908" s="106" t="str">
        <f t="shared" si="215"/>
        <v>EEH</v>
      </c>
      <c r="H908" s="106">
        <f t="shared" si="216"/>
        <v>6</v>
      </c>
      <c r="I908" s="106" t="str">
        <f t="shared" si="217"/>
        <v>H</v>
      </c>
      <c r="J908" s="106" t="str">
        <f t="shared" si="218"/>
        <v>EEI</v>
      </c>
      <c r="K908" s="106">
        <f t="shared" si="219"/>
        <v>6</v>
      </c>
      <c r="L908" s="106">
        <f>IF(NOT(ISERROR(VLOOKUP(B908,Deflatores!G$42:H$64,2,FALSE))),VLOOKUP(B908,Deflatores!G$42:H$64,2,FALSE),IF(OR(ISBLANK(C908),ISBLANK(B908)),"",VLOOKUP(C908,Deflatores!G$4:H$38,2,FALSE)*H908+VLOOKUP(C908,Deflatores!G$4:I$38,3,FALSE)))</f>
        <v>6</v>
      </c>
      <c r="M908" s="106"/>
      <c r="N908" s="106"/>
      <c r="O908" s="161"/>
    </row>
    <row r="909" spans="1:15" x14ac:dyDescent="0.25">
      <c r="A909" s="163" t="s">
        <v>774</v>
      </c>
      <c r="B909" s="113" t="s">
        <v>50</v>
      </c>
      <c r="C909" s="113" t="s">
        <v>45</v>
      </c>
      <c r="D909" s="113">
        <v>18</v>
      </c>
      <c r="E909" s="4">
        <v>8</v>
      </c>
      <c r="F909" s="106" t="str">
        <f t="shared" si="214"/>
        <v>Alta</v>
      </c>
      <c r="G909" s="106" t="str">
        <f t="shared" si="215"/>
        <v>CEH</v>
      </c>
      <c r="H909" s="106">
        <f t="shared" si="216"/>
        <v>6</v>
      </c>
      <c r="I909" s="106" t="str">
        <f t="shared" si="217"/>
        <v>H</v>
      </c>
      <c r="J909" s="106" t="str">
        <f t="shared" si="218"/>
        <v>CEI</v>
      </c>
      <c r="K909" s="106">
        <f t="shared" si="219"/>
        <v>6</v>
      </c>
      <c r="L909" s="106">
        <f>IF(NOT(ISERROR(VLOOKUP(B909,Deflatores!G$42:H$64,2,FALSE))),VLOOKUP(B909,Deflatores!G$42:H$64,2,FALSE),IF(OR(ISBLANK(C909),ISBLANK(B909)),"",VLOOKUP(C909,Deflatores!G$4:H$38,2,FALSE)*H909+VLOOKUP(C909,Deflatores!G$4:I$38,3,FALSE)))</f>
        <v>6</v>
      </c>
      <c r="M909" s="106"/>
      <c r="N909" s="106"/>
      <c r="O909" s="161"/>
    </row>
    <row r="910" spans="1:15" x14ac:dyDescent="0.25">
      <c r="A910" s="163" t="s">
        <v>775</v>
      </c>
      <c r="B910" s="113" t="s">
        <v>48</v>
      </c>
      <c r="C910" s="113" t="s">
        <v>45</v>
      </c>
      <c r="D910" s="113">
        <v>20</v>
      </c>
      <c r="E910" s="4">
        <v>6</v>
      </c>
      <c r="F910" s="106" t="str">
        <f t="shared" si="214"/>
        <v>Alta</v>
      </c>
      <c r="G910" s="106" t="str">
        <f t="shared" si="215"/>
        <v>EEH</v>
      </c>
      <c r="H910" s="106">
        <f t="shared" si="216"/>
        <v>6</v>
      </c>
      <c r="I910" s="106" t="str">
        <f t="shared" si="217"/>
        <v>H</v>
      </c>
      <c r="J910" s="106" t="str">
        <f t="shared" si="218"/>
        <v>EEI</v>
      </c>
      <c r="K910" s="106">
        <f t="shared" si="219"/>
        <v>6</v>
      </c>
      <c r="L910" s="106">
        <f>IF(NOT(ISERROR(VLOOKUP(B910,Deflatores!G$42:H$64,2,FALSE))),VLOOKUP(B910,Deflatores!G$42:H$64,2,FALSE),IF(OR(ISBLANK(C910),ISBLANK(B910)),"",VLOOKUP(C910,Deflatores!G$4:H$38,2,FALSE)*H910+VLOOKUP(C910,Deflatores!G$4:I$38,3,FALSE)))</f>
        <v>6</v>
      </c>
      <c r="M910" s="106"/>
      <c r="N910" s="106"/>
      <c r="O910" s="161"/>
    </row>
    <row r="911" spans="1:15" x14ac:dyDescent="0.25">
      <c r="A911" s="163" t="s">
        <v>776</v>
      </c>
      <c r="B911" s="113" t="s">
        <v>48</v>
      </c>
      <c r="C911" s="113" t="s">
        <v>45</v>
      </c>
      <c r="D911" s="113">
        <v>4</v>
      </c>
      <c r="E911" s="4">
        <v>2</v>
      </c>
      <c r="F911" s="106" t="str">
        <f t="shared" si="214"/>
        <v>Baixa</v>
      </c>
      <c r="G911" s="106" t="str">
        <f t="shared" si="215"/>
        <v>EEL</v>
      </c>
      <c r="H911" s="106">
        <f t="shared" si="216"/>
        <v>3</v>
      </c>
      <c r="I911" s="106" t="str">
        <f t="shared" si="217"/>
        <v>L</v>
      </c>
      <c r="J911" s="106" t="str">
        <f t="shared" si="218"/>
        <v>EEI</v>
      </c>
      <c r="K911" s="106">
        <f t="shared" si="219"/>
        <v>3</v>
      </c>
      <c r="L911" s="106">
        <f>IF(NOT(ISERROR(VLOOKUP(B911,Deflatores!G$42:H$64,2,FALSE))),VLOOKUP(B911,Deflatores!G$42:H$64,2,FALSE),IF(OR(ISBLANK(C911),ISBLANK(B911)),"",VLOOKUP(C911,Deflatores!G$4:H$38,2,FALSE)*H911+VLOOKUP(C911,Deflatores!G$4:I$38,3,FALSE)))</f>
        <v>3</v>
      </c>
      <c r="M911" s="106"/>
      <c r="N911" s="106"/>
      <c r="O911" s="161"/>
    </row>
    <row r="912" spans="1:15" x14ac:dyDescent="0.25">
      <c r="A912" s="163"/>
      <c r="B912" s="113"/>
      <c r="C912" s="113"/>
      <c r="D912" s="113"/>
      <c r="E912" s="4"/>
      <c r="F912" s="106" t="str">
        <f t="shared" si="214"/>
        <v/>
      </c>
      <c r="G912" s="106" t="str">
        <f t="shared" si="215"/>
        <v/>
      </c>
      <c r="H912" s="106" t="str">
        <f t="shared" si="216"/>
        <v/>
      </c>
      <c r="I912" s="106" t="str">
        <f t="shared" si="217"/>
        <v/>
      </c>
      <c r="J912" s="106" t="str">
        <f t="shared" si="218"/>
        <v/>
      </c>
      <c r="K912" s="106" t="str">
        <f t="shared" si="219"/>
        <v/>
      </c>
      <c r="L912" s="106" t="str">
        <f>IF(NOT(ISERROR(VLOOKUP(B912,Deflatores!G$42:H$64,2,FALSE))),VLOOKUP(B912,Deflatores!G$42:H$64,2,FALSE),IF(OR(ISBLANK(C912),ISBLANK(B912)),"",VLOOKUP(C912,Deflatores!G$4:H$38,2,FALSE)*H912+VLOOKUP(C912,Deflatores!G$4:I$38,3,FALSE)))</f>
        <v/>
      </c>
      <c r="M912" s="106"/>
      <c r="N912" s="106"/>
      <c r="O912" s="161"/>
    </row>
    <row r="913" spans="1:15" x14ac:dyDescent="0.25">
      <c r="A913" s="143" t="s">
        <v>777</v>
      </c>
      <c r="B913" s="113"/>
      <c r="C913" s="113"/>
      <c r="D913" s="113"/>
      <c r="E913" s="4"/>
      <c r="F913" s="106" t="str">
        <f t="shared" si="214"/>
        <v/>
      </c>
      <c r="G913" s="106" t="str">
        <f t="shared" si="215"/>
        <v/>
      </c>
      <c r="H913" s="106" t="str">
        <f t="shared" si="216"/>
        <v/>
      </c>
      <c r="I913" s="106" t="str">
        <f t="shared" si="217"/>
        <v/>
      </c>
      <c r="J913" s="106" t="str">
        <f t="shared" si="218"/>
        <v/>
      </c>
      <c r="K913" s="106" t="str">
        <f t="shared" si="219"/>
        <v/>
      </c>
      <c r="L913" s="106" t="str">
        <f>IF(NOT(ISERROR(VLOOKUP(B913,Deflatores!G$42:H$64,2,FALSE))),VLOOKUP(B913,Deflatores!G$42:H$64,2,FALSE),IF(OR(ISBLANK(C913),ISBLANK(B913)),"",VLOOKUP(C913,Deflatores!G$4:H$38,2,FALSE)*H913+VLOOKUP(C913,Deflatores!G$4:I$38,3,FALSE)))</f>
        <v/>
      </c>
      <c r="M913" s="106"/>
      <c r="N913" s="106"/>
      <c r="O913" s="123"/>
    </row>
    <row r="914" spans="1:15" x14ac:dyDescent="0.25">
      <c r="A914" s="163" t="s">
        <v>778</v>
      </c>
      <c r="B914" s="113" t="s">
        <v>48</v>
      </c>
      <c r="C914" s="113" t="s">
        <v>45</v>
      </c>
      <c r="D914" s="113">
        <v>4</v>
      </c>
      <c r="E914" s="4">
        <v>2</v>
      </c>
      <c r="F914" s="106" t="str">
        <f t="shared" si="214"/>
        <v>Baixa</v>
      </c>
      <c r="G914" s="106" t="str">
        <f t="shared" si="215"/>
        <v>EEL</v>
      </c>
      <c r="H914" s="106">
        <f t="shared" si="216"/>
        <v>3</v>
      </c>
      <c r="I914" s="106" t="str">
        <f t="shared" si="217"/>
        <v>L</v>
      </c>
      <c r="J914" s="106" t="str">
        <f t="shared" si="218"/>
        <v>EEI</v>
      </c>
      <c r="K914" s="106">
        <f t="shared" si="219"/>
        <v>3</v>
      </c>
      <c r="L914" s="106">
        <f>IF(NOT(ISERROR(VLOOKUP(B914,Deflatores!G$42:H$64,2,FALSE))),VLOOKUP(B914,Deflatores!G$42:H$64,2,FALSE),IF(OR(ISBLANK(C914),ISBLANK(B914)),"",VLOOKUP(C914,Deflatores!G$4:H$38,2,FALSE)*H914+VLOOKUP(C914,Deflatores!G$4:I$38,3,FALSE)))</f>
        <v>3</v>
      </c>
      <c r="M914" s="106"/>
      <c r="N914" s="106"/>
      <c r="O914" s="161"/>
    </row>
    <row r="915" spans="1:15" x14ac:dyDescent="0.25">
      <c r="A915" s="163" t="s">
        <v>779</v>
      </c>
      <c r="B915" s="113" t="s">
        <v>48</v>
      </c>
      <c r="C915" s="113" t="s">
        <v>45</v>
      </c>
      <c r="D915" s="113">
        <v>3</v>
      </c>
      <c r="E915" s="4">
        <v>1</v>
      </c>
      <c r="F915" s="106" t="str">
        <f t="shared" si="214"/>
        <v>Baixa</v>
      </c>
      <c r="G915" s="106" t="str">
        <f t="shared" si="215"/>
        <v>EEL</v>
      </c>
      <c r="H915" s="106">
        <f t="shared" si="216"/>
        <v>3</v>
      </c>
      <c r="I915" s="106" t="str">
        <f t="shared" si="217"/>
        <v>L</v>
      </c>
      <c r="J915" s="106" t="str">
        <f t="shared" si="218"/>
        <v>EEI</v>
      </c>
      <c r="K915" s="106">
        <f t="shared" si="219"/>
        <v>3</v>
      </c>
      <c r="L915" s="106">
        <f>IF(NOT(ISERROR(VLOOKUP(B915,Deflatores!G$42:H$64,2,FALSE))),VLOOKUP(B915,Deflatores!G$42:H$64,2,FALSE),IF(OR(ISBLANK(C915),ISBLANK(B915)),"",VLOOKUP(C915,Deflatores!G$4:H$38,2,FALSE)*H915+VLOOKUP(C915,Deflatores!G$4:I$38,3,FALSE)))</f>
        <v>3</v>
      </c>
      <c r="M915" s="106"/>
      <c r="N915" s="106"/>
      <c r="O915" s="161"/>
    </row>
    <row r="916" spans="1:15" x14ac:dyDescent="0.25">
      <c r="A916" s="163"/>
      <c r="B916" s="113"/>
      <c r="C916" s="113"/>
      <c r="D916" s="113"/>
      <c r="E916" s="4"/>
      <c r="F916" s="106" t="str">
        <f t="shared" si="214"/>
        <v/>
      </c>
      <c r="G916" s="106" t="str">
        <f t="shared" si="215"/>
        <v/>
      </c>
      <c r="H916" s="106" t="str">
        <f t="shared" si="216"/>
        <v/>
      </c>
      <c r="I916" s="106" t="str">
        <f t="shared" si="217"/>
        <v/>
      </c>
      <c r="J916" s="106" t="str">
        <f t="shared" si="218"/>
        <v/>
      </c>
      <c r="K916" s="106" t="str">
        <f t="shared" si="219"/>
        <v/>
      </c>
      <c r="L916" s="106" t="str">
        <f>IF(NOT(ISERROR(VLOOKUP(B916,Deflatores!G$42:H$64,2,FALSE))),VLOOKUP(B916,Deflatores!G$42:H$64,2,FALSE),IF(OR(ISBLANK(C916),ISBLANK(B916)),"",VLOOKUP(C916,Deflatores!G$4:H$38,2,FALSE)*H916+VLOOKUP(C916,Deflatores!G$4:I$38,3,FALSE)))</f>
        <v/>
      </c>
      <c r="M916" s="106"/>
      <c r="N916" s="106"/>
      <c r="O916" s="161"/>
    </row>
    <row r="917" spans="1:15" x14ac:dyDescent="0.25">
      <c r="A917" s="143" t="s">
        <v>780</v>
      </c>
      <c r="B917" s="113"/>
      <c r="C917" s="113"/>
      <c r="D917" s="113"/>
      <c r="E917" s="4"/>
      <c r="F917" s="106" t="str">
        <f t="shared" si="214"/>
        <v/>
      </c>
      <c r="G917" s="106" t="str">
        <f t="shared" si="215"/>
        <v/>
      </c>
      <c r="H917" s="106" t="str">
        <f t="shared" si="216"/>
        <v/>
      </c>
      <c r="I917" s="106" t="str">
        <f t="shared" si="217"/>
        <v/>
      </c>
      <c r="J917" s="106" t="str">
        <f t="shared" si="218"/>
        <v/>
      </c>
      <c r="K917" s="106" t="str">
        <f t="shared" si="219"/>
        <v/>
      </c>
      <c r="L917" s="106" t="str">
        <f>IF(NOT(ISERROR(VLOOKUP(B917,Deflatores!G$42:H$64,2,FALSE))),VLOOKUP(B917,Deflatores!G$42:H$64,2,FALSE),IF(OR(ISBLANK(C917),ISBLANK(B917)),"",VLOOKUP(C917,Deflatores!G$4:H$38,2,FALSE)*H917+VLOOKUP(C917,Deflatores!G$4:I$38,3,FALSE)))</f>
        <v/>
      </c>
      <c r="M917" s="106"/>
      <c r="N917" s="106"/>
      <c r="O917" s="123"/>
    </row>
    <row r="918" spans="1:15" x14ac:dyDescent="0.25">
      <c r="A918" s="163" t="s">
        <v>781</v>
      </c>
      <c r="B918" s="113" t="s">
        <v>113</v>
      </c>
      <c r="C918" s="113" t="s">
        <v>45</v>
      </c>
      <c r="D918" s="113">
        <v>20</v>
      </c>
      <c r="E918" s="4">
        <v>7</v>
      </c>
      <c r="F918" s="106" t="str">
        <f t="shared" si="214"/>
        <v>Alta</v>
      </c>
      <c r="G918" s="106" t="str">
        <f t="shared" si="215"/>
        <v>SEH</v>
      </c>
      <c r="H918" s="106">
        <f t="shared" si="216"/>
        <v>7</v>
      </c>
      <c r="I918" s="106" t="str">
        <f t="shared" si="217"/>
        <v>H</v>
      </c>
      <c r="J918" s="106" t="str">
        <f t="shared" si="218"/>
        <v>SEI</v>
      </c>
      <c r="K918" s="106">
        <f t="shared" si="219"/>
        <v>7</v>
      </c>
      <c r="L918" s="106">
        <f>IF(NOT(ISERROR(VLOOKUP(B918,Deflatores!G$42:H$64,2,FALSE))),VLOOKUP(B918,Deflatores!G$42:H$64,2,FALSE),IF(OR(ISBLANK(C918),ISBLANK(B918)),"",VLOOKUP(C918,Deflatores!G$4:H$38,2,FALSE)*H918+VLOOKUP(C918,Deflatores!G$4:I$38,3,FALSE)))</f>
        <v>7</v>
      </c>
      <c r="M918" s="106"/>
      <c r="N918" s="106"/>
      <c r="O918" s="161"/>
    </row>
    <row r="919" spans="1:15" x14ac:dyDescent="0.25">
      <c r="A919" s="163"/>
      <c r="B919" s="113"/>
      <c r="C919" s="113"/>
      <c r="D919" s="113"/>
      <c r="E919" s="4"/>
      <c r="F919" s="106" t="str">
        <f t="shared" si="214"/>
        <v/>
      </c>
      <c r="G919" s="106" t="str">
        <f t="shared" si="215"/>
        <v/>
      </c>
      <c r="H919" s="106" t="str">
        <f t="shared" si="216"/>
        <v/>
      </c>
      <c r="I919" s="106" t="str">
        <f t="shared" si="217"/>
        <v/>
      </c>
      <c r="J919" s="106" t="str">
        <f t="shared" si="218"/>
        <v/>
      </c>
      <c r="K919" s="106" t="str">
        <f t="shared" si="219"/>
        <v/>
      </c>
      <c r="L919" s="106" t="str">
        <f>IF(NOT(ISERROR(VLOOKUP(B919,Deflatores!G$42:H$64,2,FALSE))),VLOOKUP(B919,Deflatores!G$42:H$64,2,FALSE),IF(OR(ISBLANK(C919),ISBLANK(B919)),"",VLOOKUP(C919,Deflatores!G$4:H$38,2,FALSE)*H919+VLOOKUP(C919,Deflatores!G$4:I$38,3,FALSE)))</f>
        <v/>
      </c>
      <c r="M919" s="106"/>
      <c r="N919" s="106"/>
      <c r="O919" s="161"/>
    </row>
    <row r="920" spans="1:15" x14ac:dyDescent="0.25">
      <c r="A920" s="143" t="s">
        <v>782</v>
      </c>
      <c r="B920" s="113"/>
      <c r="C920" s="113"/>
      <c r="D920" s="113"/>
      <c r="E920" s="4"/>
      <c r="F920" s="106" t="str">
        <f t="shared" si="214"/>
        <v/>
      </c>
      <c r="G920" s="106" t="str">
        <f t="shared" si="215"/>
        <v/>
      </c>
      <c r="H920" s="106" t="str">
        <f t="shared" si="216"/>
        <v/>
      </c>
      <c r="I920" s="106" t="str">
        <f t="shared" si="217"/>
        <v/>
      </c>
      <c r="J920" s="106" t="str">
        <f t="shared" si="218"/>
        <v/>
      </c>
      <c r="K920" s="106" t="str">
        <f t="shared" si="219"/>
        <v/>
      </c>
      <c r="L920" s="106" t="str">
        <f>IF(NOT(ISERROR(VLOOKUP(B920,Deflatores!G$42:H$64,2,FALSE))),VLOOKUP(B920,Deflatores!G$42:H$64,2,FALSE),IF(OR(ISBLANK(C920),ISBLANK(B920)),"",VLOOKUP(C920,Deflatores!G$4:H$38,2,FALSE)*H920+VLOOKUP(C920,Deflatores!G$4:I$38,3,FALSE)))</f>
        <v/>
      </c>
      <c r="M920" s="106"/>
      <c r="N920" s="106"/>
      <c r="O920" s="123"/>
    </row>
    <row r="921" spans="1:15" x14ac:dyDescent="0.25">
      <c r="A921" s="163" t="s">
        <v>783</v>
      </c>
      <c r="B921" s="113" t="s">
        <v>48</v>
      </c>
      <c r="C921" s="113" t="s">
        <v>45</v>
      </c>
      <c r="D921" s="113">
        <v>6</v>
      </c>
      <c r="E921" s="4">
        <v>4</v>
      </c>
      <c r="F921" s="106" t="str">
        <f t="shared" si="214"/>
        <v>Alta</v>
      </c>
      <c r="G921" s="106" t="str">
        <f t="shared" si="215"/>
        <v>EEH</v>
      </c>
      <c r="H921" s="106">
        <f t="shared" si="216"/>
        <v>6</v>
      </c>
      <c r="I921" s="106" t="str">
        <f t="shared" si="217"/>
        <v>H</v>
      </c>
      <c r="J921" s="106" t="str">
        <f t="shared" si="218"/>
        <v>EEI</v>
      </c>
      <c r="K921" s="106">
        <f t="shared" si="219"/>
        <v>6</v>
      </c>
      <c r="L921" s="106">
        <f>IF(NOT(ISERROR(VLOOKUP(B921,Deflatores!G$42:H$64,2,FALSE))),VLOOKUP(B921,Deflatores!G$42:H$64,2,FALSE),IF(OR(ISBLANK(C921),ISBLANK(B921)),"",VLOOKUP(C921,Deflatores!G$4:H$38,2,FALSE)*H921+VLOOKUP(C921,Deflatores!G$4:I$38,3,FALSE)))</f>
        <v>6</v>
      </c>
      <c r="M921" s="106"/>
      <c r="N921" s="106"/>
      <c r="O921" s="161"/>
    </row>
    <row r="922" spans="1:15" x14ac:dyDescent="0.25">
      <c r="A922" s="163"/>
      <c r="B922" s="113"/>
      <c r="C922" s="113"/>
      <c r="D922" s="113"/>
      <c r="E922" s="4"/>
      <c r="F922" s="106" t="str">
        <f t="shared" si="214"/>
        <v/>
      </c>
      <c r="G922" s="106" t="str">
        <f t="shared" si="215"/>
        <v/>
      </c>
      <c r="H922" s="106" t="str">
        <f t="shared" si="216"/>
        <v/>
      </c>
      <c r="I922" s="106" t="str">
        <f t="shared" si="217"/>
        <v/>
      </c>
      <c r="J922" s="106" t="str">
        <f t="shared" si="218"/>
        <v/>
      </c>
      <c r="K922" s="106" t="str">
        <f t="shared" si="219"/>
        <v/>
      </c>
      <c r="L922" s="106" t="str">
        <f>IF(NOT(ISERROR(VLOOKUP(B922,Deflatores!G$42:H$64,2,FALSE))),VLOOKUP(B922,Deflatores!G$42:H$64,2,FALSE),IF(OR(ISBLANK(C922),ISBLANK(B922)),"",VLOOKUP(C922,Deflatores!G$4:H$38,2,FALSE)*H922+VLOOKUP(C922,Deflatores!G$4:I$38,3,FALSE)))</f>
        <v/>
      </c>
      <c r="M922" s="106"/>
      <c r="N922" s="106"/>
      <c r="O922" s="161"/>
    </row>
    <row r="923" spans="1:15" x14ac:dyDescent="0.25">
      <c r="A923" s="143" t="s">
        <v>1411</v>
      </c>
      <c r="B923" s="113"/>
      <c r="C923" s="113"/>
      <c r="D923" s="4"/>
      <c r="E923" s="4"/>
      <c r="F923" s="105" t="str">
        <f t="shared" si="214"/>
        <v/>
      </c>
      <c r="G923" s="4" t="str">
        <f t="shared" si="215"/>
        <v/>
      </c>
      <c r="H923" s="4" t="str">
        <f t="shared" si="216"/>
        <v/>
      </c>
      <c r="I923" s="105" t="str">
        <f t="shared" si="217"/>
        <v/>
      </c>
      <c r="J923" s="4" t="str">
        <f t="shared" si="218"/>
        <v/>
      </c>
      <c r="K923" s="106" t="str">
        <f t="shared" si="219"/>
        <v/>
      </c>
      <c r="L923" s="106" t="str">
        <f>IF(NOT(ISERROR(VLOOKUP(B923,Deflatores!G$42:H$64,2,FALSE))),VLOOKUP(B923,Deflatores!G$42:H$64,2,FALSE),IF(OR(ISBLANK(C923),ISBLANK(B923)),"",VLOOKUP(C923,Deflatores!G$4:H$38,2,FALSE)*H923+VLOOKUP(C923,Deflatores!G$4:I$38,3,FALSE)))</f>
        <v/>
      </c>
      <c r="M923" s="6"/>
      <c r="N923" s="6"/>
      <c r="O923" s="144"/>
    </row>
    <row r="924" spans="1:15" x14ac:dyDescent="0.25">
      <c r="A924" s="145" t="s">
        <v>1412</v>
      </c>
      <c r="B924" s="113" t="s">
        <v>113</v>
      </c>
      <c r="C924" s="113" t="s">
        <v>45</v>
      </c>
      <c r="D924" s="4">
        <v>41</v>
      </c>
      <c r="E924" s="4">
        <v>5</v>
      </c>
      <c r="F924" s="105" t="str">
        <f t="shared" si="214"/>
        <v>Alta</v>
      </c>
      <c r="G924" s="4" t="str">
        <f t="shared" si="215"/>
        <v>SEH</v>
      </c>
      <c r="H924" s="4">
        <f t="shared" si="216"/>
        <v>7</v>
      </c>
      <c r="I924" s="105" t="str">
        <f t="shared" si="217"/>
        <v>H</v>
      </c>
      <c r="J924" s="4" t="str">
        <f t="shared" si="218"/>
        <v>SEI</v>
      </c>
      <c r="K924" s="106">
        <f t="shared" si="219"/>
        <v>7</v>
      </c>
      <c r="L924" s="106">
        <f>IF(NOT(ISERROR(VLOOKUP(B924,Deflatores!G$42:H$64,2,FALSE))),VLOOKUP(B924,Deflatores!G$42:H$64,2,FALSE),IF(OR(ISBLANK(C924),ISBLANK(B924)),"",VLOOKUP(C924,Deflatores!G$4:H$38,2,FALSE)*H924+VLOOKUP(C924,Deflatores!G$4:I$38,3,FALSE)))</f>
        <v>7</v>
      </c>
      <c r="M924" s="6"/>
      <c r="N924" s="6"/>
      <c r="O924" s="144"/>
    </row>
    <row r="925" spans="1:15" x14ac:dyDescent="0.25">
      <c r="A925" s="145" t="s">
        <v>1413</v>
      </c>
      <c r="B925" s="113" t="s">
        <v>113</v>
      </c>
      <c r="C925" s="113" t="s">
        <v>45</v>
      </c>
      <c r="D925" s="4">
        <v>40</v>
      </c>
      <c r="E925" s="4">
        <v>5</v>
      </c>
      <c r="F925" s="105" t="str">
        <f t="shared" si="214"/>
        <v>Alta</v>
      </c>
      <c r="G925" s="4" t="str">
        <f t="shared" si="215"/>
        <v>SEH</v>
      </c>
      <c r="H925" s="4">
        <f t="shared" si="216"/>
        <v>7</v>
      </c>
      <c r="I925" s="105" t="str">
        <f t="shared" si="217"/>
        <v>H</v>
      </c>
      <c r="J925" s="4" t="str">
        <f t="shared" si="218"/>
        <v>SEI</v>
      </c>
      <c r="K925" s="106">
        <f t="shared" si="219"/>
        <v>7</v>
      </c>
      <c r="L925" s="106">
        <f>IF(NOT(ISERROR(VLOOKUP(B925,Deflatores!G$42:H$64,2,FALSE))),VLOOKUP(B925,Deflatores!G$42:H$64,2,FALSE),IF(OR(ISBLANK(C925),ISBLANK(B925)),"",VLOOKUP(C925,Deflatores!G$4:H$38,2,FALSE)*H925+VLOOKUP(C925,Deflatores!G$4:I$38,3,FALSE)))</f>
        <v>7</v>
      </c>
      <c r="M925" s="6"/>
      <c r="N925" s="6"/>
      <c r="O925" s="144"/>
    </row>
    <row r="926" spans="1:15" x14ac:dyDescent="0.25">
      <c r="A926" s="112"/>
      <c r="B926" s="113"/>
      <c r="C926" s="113"/>
      <c r="D926" s="4"/>
      <c r="E926" s="4"/>
      <c r="F926" s="105" t="str">
        <f t="shared" si="214"/>
        <v/>
      </c>
      <c r="G926" s="4" t="str">
        <f t="shared" si="215"/>
        <v/>
      </c>
      <c r="H926" s="4" t="str">
        <f t="shared" si="216"/>
        <v/>
      </c>
      <c r="I926" s="105" t="str">
        <f t="shared" si="217"/>
        <v/>
      </c>
      <c r="J926" s="4" t="str">
        <f t="shared" si="218"/>
        <v/>
      </c>
      <c r="K926" s="106" t="str">
        <f t="shared" si="219"/>
        <v/>
      </c>
      <c r="L926" s="106" t="str">
        <f>IF(NOT(ISERROR(VLOOKUP(B926,Deflatores!G$42:H$64,2,FALSE))),VLOOKUP(B926,Deflatores!G$42:H$64,2,FALSE),IF(OR(ISBLANK(C926),ISBLANK(B926)),"",VLOOKUP(C926,Deflatores!G$4:H$38,2,FALSE)*H926+VLOOKUP(C926,Deflatores!G$4:I$38,3,FALSE)))</f>
        <v/>
      </c>
      <c r="M926" s="6"/>
      <c r="N926" s="6"/>
      <c r="O926" s="144"/>
    </row>
    <row r="927" spans="1:15" ht="13" x14ac:dyDescent="0.3">
      <c r="A927" s="115" t="s">
        <v>1419</v>
      </c>
      <c r="B927" s="113"/>
      <c r="C927" s="113"/>
      <c r="D927" s="4"/>
      <c r="E927" s="4"/>
      <c r="F927" s="106" t="str">
        <f t="shared" si="214"/>
        <v/>
      </c>
      <c r="G927" s="102"/>
      <c r="H927" s="4" t="str">
        <f t="shared" si="216"/>
        <v/>
      </c>
      <c r="I927" s="105" t="str">
        <f t="shared" si="217"/>
        <v/>
      </c>
      <c r="J927" s="4" t="str">
        <f t="shared" si="218"/>
        <v/>
      </c>
      <c r="K927" s="106" t="str">
        <f t="shared" si="219"/>
        <v/>
      </c>
      <c r="L927" s="106" t="str">
        <f>IF(NOT(ISERROR(VLOOKUP(B927,Deflatores!G$42:H$64,2,FALSE))),VLOOKUP(B927,Deflatores!G$42:H$64,2,FALSE),IF(OR(ISBLANK(C927),ISBLANK(B927)),"",VLOOKUP(C927,Deflatores!G$4:H$38,2,FALSE)*H927+VLOOKUP(C927,Deflatores!G$4:I$38,3,FALSE)))</f>
        <v/>
      </c>
      <c r="M927" s="106"/>
      <c r="N927" s="106"/>
      <c r="O927" s="124"/>
    </row>
    <row r="928" spans="1:15" ht="13" x14ac:dyDescent="0.3">
      <c r="A928" s="162" t="s">
        <v>1425</v>
      </c>
      <c r="B928" s="113" t="s">
        <v>44</v>
      </c>
      <c r="C928" s="113" t="s">
        <v>45</v>
      </c>
      <c r="D928" s="4">
        <v>24</v>
      </c>
      <c r="E928" s="4">
        <v>2</v>
      </c>
      <c r="F928" s="106" t="str">
        <f t="shared" si="214"/>
        <v>Média</v>
      </c>
      <c r="G928" s="102"/>
      <c r="H928" s="4">
        <f t="shared" si="216"/>
        <v>10</v>
      </c>
      <c r="I928" s="105" t="str">
        <f t="shared" si="217"/>
        <v>A</v>
      </c>
      <c r="J928" s="4" t="str">
        <f t="shared" si="218"/>
        <v>ALII</v>
      </c>
      <c r="K928" s="106">
        <f t="shared" si="219"/>
        <v>10</v>
      </c>
      <c r="L928" s="106">
        <f>IF(NOT(ISERROR(VLOOKUP(B928,Deflatores!G$42:H$64,2,FALSE))),VLOOKUP(B928,Deflatores!G$42:H$64,2,FALSE),IF(OR(ISBLANK(C928),ISBLANK(B928)),"",VLOOKUP(C928,Deflatores!G$4:H$38,2,FALSE)*H928+VLOOKUP(C928,Deflatores!G$4:I$38,3,FALSE)))</f>
        <v>10</v>
      </c>
      <c r="M928" s="106"/>
      <c r="N928" s="106"/>
      <c r="O928" s="124"/>
    </row>
    <row r="929" spans="1:15" x14ac:dyDescent="0.25">
      <c r="A929" s="162" t="s">
        <v>1420</v>
      </c>
      <c r="B929" s="113" t="s">
        <v>50</v>
      </c>
      <c r="C929" s="113" t="s">
        <v>45</v>
      </c>
      <c r="D929" s="4">
        <v>11</v>
      </c>
      <c r="E929" s="4">
        <v>6</v>
      </c>
      <c r="F929" s="106" t="str">
        <f t="shared" si="214"/>
        <v>Alta</v>
      </c>
      <c r="G929" s="106" t="str">
        <f t="shared" ref="G929:G931" si="220">CONCATENATE(B929,I929)</f>
        <v>CEH</v>
      </c>
      <c r="H929" s="4">
        <f t="shared" si="216"/>
        <v>6</v>
      </c>
      <c r="I929" s="105" t="str">
        <f t="shared" si="217"/>
        <v>H</v>
      </c>
      <c r="J929" s="4" t="str">
        <f t="shared" si="218"/>
        <v>CEI</v>
      </c>
      <c r="K929" s="106">
        <f t="shared" si="219"/>
        <v>6</v>
      </c>
      <c r="L929" s="106">
        <f>IF(NOT(ISERROR(VLOOKUP(B929,Deflatores!G$42:H$64,2,FALSE))),VLOOKUP(B929,Deflatores!G$42:H$64,2,FALSE),IF(OR(ISBLANK(C929),ISBLANK(B929)),"",VLOOKUP(C929,Deflatores!G$4:H$38,2,FALSE)*H929+VLOOKUP(C929,Deflatores!G$4:I$38,3,FALSE)))</f>
        <v>6</v>
      </c>
      <c r="M929" s="106"/>
      <c r="N929" s="106"/>
      <c r="O929" s="124"/>
    </row>
    <row r="930" spans="1:15" x14ac:dyDescent="0.25">
      <c r="A930" s="162" t="s">
        <v>1421</v>
      </c>
      <c r="B930" s="113" t="s">
        <v>50</v>
      </c>
      <c r="C930" s="113" t="s">
        <v>45</v>
      </c>
      <c r="D930" s="4">
        <v>26</v>
      </c>
      <c r="E930" s="4">
        <v>6</v>
      </c>
      <c r="F930" s="106" t="str">
        <f t="shared" si="214"/>
        <v>Alta</v>
      </c>
      <c r="G930" s="106" t="str">
        <f t="shared" si="220"/>
        <v>CEH</v>
      </c>
      <c r="H930" s="4">
        <f t="shared" si="216"/>
        <v>6</v>
      </c>
      <c r="I930" s="105" t="str">
        <f t="shared" si="217"/>
        <v>H</v>
      </c>
      <c r="J930" s="4" t="str">
        <f t="shared" si="218"/>
        <v>CEI</v>
      </c>
      <c r="K930" s="106">
        <f t="shared" si="219"/>
        <v>6</v>
      </c>
      <c r="L930" s="106">
        <f>IF(NOT(ISERROR(VLOOKUP(B930,Deflatores!G$42:H$64,2,FALSE))),VLOOKUP(B930,Deflatores!G$42:H$64,2,FALSE),IF(OR(ISBLANK(C930),ISBLANK(B930)),"",VLOOKUP(C930,Deflatores!G$4:H$38,2,FALSE)*H930+VLOOKUP(C930,Deflatores!G$4:I$38,3,FALSE)))</f>
        <v>6</v>
      </c>
      <c r="M930" s="106"/>
      <c r="N930" s="106"/>
      <c r="O930" s="124"/>
    </row>
    <row r="931" spans="1:15" x14ac:dyDescent="0.25">
      <c r="A931" s="162" t="s">
        <v>1422</v>
      </c>
      <c r="B931" s="113" t="s">
        <v>48</v>
      </c>
      <c r="C931" s="113" t="s">
        <v>45</v>
      </c>
      <c r="D931" s="4">
        <v>3</v>
      </c>
      <c r="E931" s="4">
        <v>1</v>
      </c>
      <c r="F931" s="106" t="str">
        <f t="shared" si="214"/>
        <v>Baixa</v>
      </c>
      <c r="G931" s="106" t="str">
        <f t="shared" si="220"/>
        <v>EEL</v>
      </c>
      <c r="H931" s="4">
        <f t="shared" si="216"/>
        <v>3</v>
      </c>
      <c r="I931" s="105" t="str">
        <f t="shared" si="217"/>
        <v>L</v>
      </c>
      <c r="J931" s="4" t="str">
        <f t="shared" si="218"/>
        <v>EEI</v>
      </c>
      <c r="K931" s="106">
        <f t="shared" si="219"/>
        <v>3</v>
      </c>
      <c r="L931" s="106">
        <f>IF(NOT(ISERROR(VLOOKUP(B931,Deflatores!G$42:H$64,2,FALSE))),VLOOKUP(B931,Deflatores!G$42:H$64,2,FALSE),IF(OR(ISBLANK(C931),ISBLANK(B931)),"",VLOOKUP(C931,Deflatores!G$4:H$38,2,FALSE)*H931+VLOOKUP(C931,Deflatores!G$4:I$38,3,FALSE)))</f>
        <v>3</v>
      </c>
      <c r="M931" s="106"/>
      <c r="N931" s="106"/>
      <c r="O931" s="124"/>
    </row>
    <row r="932" spans="1:15" x14ac:dyDescent="0.25">
      <c r="A932" s="162"/>
      <c r="B932" s="113"/>
      <c r="C932" s="113"/>
      <c r="D932" s="4"/>
      <c r="E932" s="4"/>
      <c r="F932" s="106"/>
      <c r="G932" s="106"/>
      <c r="H932" s="4"/>
      <c r="I932" s="105"/>
      <c r="J932" s="4"/>
      <c r="K932" s="106"/>
      <c r="L932" s="106" t="str">
        <f>IF(NOT(ISERROR(VLOOKUP(B932,Deflatores!G$42:H$64,2,FALSE))),VLOOKUP(B932,Deflatores!G$42:H$64,2,FALSE),IF(OR(ISBLANK(C932),ISBLANK(B932)),"",VLOOKUP(C932,Deflatores!G$4:H$38,2,FALSE)*H932+VLOOKUP(C932,Deflatores!G$4:I$38,3,FALSE)))</f>
        <v/>
      </c>
      <c r="M932" s="106"/>
      <c r="N932" s="106"/>
      <c r="O932" s="124"/>
    </row>
    <row r="933" spans="1:15" x14ac:dyDescent="0.25">
      <c r="A933" s="115" t="s">
        <v>1423</v>
      </c>
      <c r="B933" s="113"/>
      <c r="C933" s="113"/>
      <c r="D933" s="4"/>
      <c r="E933" s="4"/>
      <c r="F933" s="106" t="str">
        <f t="shared" ref="F933:F934" si="221">IF(ISBLANK(B933),"",IF(I933="L","Baixa",IF(I933="A","Média",IF(I933="","","Alta"))))</f>
        <v/>
      </c>
      <c r="G933" s="106" t="str">
        <f t="shared" ref="G933:G934" si="222">CONCATENATE(B933,I933)</f>
        <v/>
      </c>
      <c r="H933" s="4" t="str">
        <f t="shared" ref="H933:H934" si="223">IF(ISBLANK(B933),"",IF(B933="ALI",IF(I933="L",7,IF(I933="A",10,15)),IF(B933="AIE",IF(I933="L",5,IF(I933="A",7,10)),IF(B933="SE",IF(I933="L",4,IF(I933="A",5,7)),IF(OR(B933="EE",B933="CE"),IF(I933="L",3,IF(I933="A",4,6)),0)))))</f>
        <v/>
      </c>
      <c r="I933" s="105" t="str">
        <f t="shared" ref="I933:I934" si="224">IF(OR(ISBLANK(D933),ISBLANK(E933)),IF(OR(B933="ALI",B933="AIE"),"L",IF(OR(B933="EE",B933="SE",B933="CE"),"A","")),IF(B933="EE",IF(E933&gt;=3,IF(D933&gt;=5,"H","A"),IF(E933&gt;=2,IF(D933&gt;=16,"H",IF(D933&lt;=4,"L","A")),IF(D933&lt;=15,"L","A"))),IF(OR(B933="SE",B933="CE"),IF(E933&gt;=4,IF(D933&gt;=6,"H","A"),IF(E933&gt;=2,IF(D933&gt;=20,"H",IF(D933&lt;=5,"L","A")),IF(D933&lt;=19,"L","A"))),IF(OR(B933="ALI",B933="AIE"),IF(E933&gt;=6,IF(D933&gt;=20,"H","A"),IF(E933&gt;=2,IF(D933&gt;=51,"H",IF(D933&lt;=19,"L","A")),IF(D933&lt;=50,"L","A"))),""))))</f>
        <v/>
      </c>
      <c r="J933" s="4" t="str">
        <f t="shared" ref="J933:J934" si="225">CONCATENATE(B933,C933)</f>
        <v/>
      </c>
      <c r="K933" s="106" t="str">
        <f t="shared" ref="K933:K934" si="226">IF(OR(H933="",H933=0),L933,H933)</f>
        <v/>
      </c>
      <c r="L933" s="106" t="str">
        <f>IF(NOT(ISERROR(VLOOKUP(B933,Deflatores!G$42:H$64,2,FALSE))),VLOOKUP(B933,Deflatores!G$42:H$64,2,FALSE),IF(OR(ISBLANK(C933),ISBLANK(B933)),"",VLOOKUP(C933,Deflatores!G$4:H$38,2,FALSE)*H933+VLOOKUP(C933,Deflatores!G$4:I$38,3,FALSE)))</f>
        <v/>
      </c>
      <c r="M933" s="106"/>
      <c r="N933" s="106"/>
      <c r="O933" s="124"/>
    </row>
    <row r="934" spans="1:15" x14ac:dyDescent="0.25">
      <c r="A934" s="162" t="s">
        <v>1424</v>
      </c>
      <c r="B934" s="113" t="s">
        <v>48</v>
      </c>
      <c r="C934" s="113" t="s">
        <v>45</v>
      </c>
      <c r="D934" s="4">
        <v>26</v>
      </c>
      <c r="E934" s="4">
        <v>3</v>
      </c>
      <c r="F934" s="106" t="str">
        <f t="shared" si="221"/>
        <v>Alta</v>
      </c>
      <c r="G934" s="106" t="str">
        <f t="shared" si="222"/>
        <v>EEH</v>
      </c>
      <c r="H934" s="4">
        <f t="shared" si="223"/>
        <v>6</v>
      </c>
      <c r="I934" s="105" t="str">
        <f t="shared" si="224"/>
        <v>H</v>
      </c>
      <c r="J934" s="4" t="str">
        <f t="shared" si="225"/>
        <v>EEI</v>
      </c>
      <c r="K934" s="106">
        <f t="shared" si="226"/>
        <v>6</v>
      </c>
      <c r="L934" s="106">
        <f>IF(NOT(ISERROR(VLOOKUP(B934,Deflatores!G$42:H$64,2,FALSE))),VLOOKUP(B934,Deflatores!G$42:H$64,2,FALSE),IF(OR(ISBLANK(C934),ISBLANK(B934)),"",VLOOKUP(C934,Deflatores!G$4:H$38,2,FALSE)*H934+VLOOKUP(C934,Deflatores!G$4:I$38,3,FALSE)))</f>
        <v>6</v>
      </c>
      <c r="M934" s="106"/>
      <c r="N934" s="106"/>
      <c r="O934" s="124"/>
    </row>
    <row r="935" spans="1:15" x14ac:dyDescent="0.25">
      <c r="A935" s="112"/>
      <c r="B935" s="113"/>
      <c r="C935" s="113"/>
      <c r="D935" s="4"/>
      <c r="E935" s="4"/>
      <c r="F935" s="106" t="str">
        <f t="shared" ref="F935:F939" si="227">IF(ISBLANK(B935),"",IF(I935="L","Baixa",IF(I935="A","Média",IF(I935="","","Alta"))))</f>
        <v/>
      </c>
      <c r="G935" s="106" t="str">
        <f t="shared" ref="G935:G939" si="228">CONCATENATE(B935,I935)</f>
        <v/>
      </c>
      <c r="H935" s="4" t="str">
        <f t="shared" ref="H935:H939" si="229">IF(ISBLANK(B935),"",IF(B935="ALI",IF(I935="L",7,IF(I935="A",10,15)),IF(B935="AIE",IF(I935="L",5,IF(I935="A",7,10)),IF(B935="SE",IF(I935="L",4,IF(I935="A",5,7)),IF(OR(B935="EE",B935="CE"),IF(I935="L",3,IF(I935="A",4,6)),0)))))</f>
        <v/>
      </c>
      <c r="I935" s="105" t="str">
        <f t="shared" ref="I935:I939" si="230">IF(OR(ISBLANK(D935),ISBLANK(E935)),IF(OR(B935="ALI",B935="AIE"),"L",IF(OR(B935="EE",B935="SE",B935="CE"),"A","")),IF(B935="EE",IF(E935&gt;=3,IF(D935&gt;=5,"H","A"),IF(E935&gt;=2,IF(D935&gt;=16,"H",IF(D935&lt;=4,"L","A")),IF(D935&lt;=15,"L","A"))),IF(OR(B935="SE",B935="CE"),IF(E935&gt;=4,IF(D935&gt;=6,"H","A"),IF(E935&gt;=2,IF(D935&gt;=20,"H",IF(D935&lt;=5,"L","A")),IF(D935&lt;=19,"L","A"))),IF(OR(B935="ALI",B935="AIE"),IF(E935&gt;=6,IF(D935&gt;=20,"H","A"),IF(E935&gt;=2,IF(D935&gt;=51,"H",IF(D935&lt;=19,"L","A")),IF(D935&lt;=50,"L","A"))),""))))</f>
        <v/>
      </c>
      <c r="J935" s="4" t="str">
        <f t="shared" ref="J935:J939" si="231">CONCATENATE(B935,C935)</f>
        <v/>
      </c>
      <c r="K935" s="106" t="str">
        <f t="shared" ref="K935:K939" si="232">IF(OR(H935="",H935=0),L935,H935)</f>
        <v/>
      </c>
      <c r="L935" s="106" t="str">
        <f>IF(NOT(ISERROR(VLOOKUP(B935,Deflatores!G$42:H$64,2,FALSE))),VLOOKUP(B935,Deflatores!G$42:H$64,2,FALSE),IF(OR(ISBLANK(C935),ISBLANK(B935)),"",VLOOKUP(C935,Deflatores!G$4:H$38,2,FALSE)*H935+VLOOKUP(C935,Deflatores!G$4:I$38,3,FALSE)))</f>
        <v/>
      </c>
      <c r="M935" s="106"/>
      <c r="N935" s="106"/>
      <c r="O935" s="124"/>
    </row>
    <row r="936" spans="1:15" x14ac:dyDescent="0.25">
      <c r="A936" s="115" t="s">
        <v>1434</v>
      </c>
      <c r="B936" s="113"/>
      <c r="C936" s="113"/>
      <c r="D936" s="4"/>
      <c r="E936" s="4"/>
      <c r="F936" s="106" t="str">
        <f t="shared" si="227"/>
        <v/>
      </c>
      <c r="G936" s="106" t="str">
        <f t="shared" si="228"/>
        <v/>
      </c>
      <c r="H936" s="4" t="str">
        <f t="shared" si="229"/>
        <v/>
      </c>
      <c r="I936" s="105" t="str">
        <f t="shared" si="230"/>
        <v/>
      </c>
      <c r="J936" s="4" t="str">
        <f t="shared" si="231"/>
        <v/>
      </c>
      <c r="K936" s="106" t="str">
        <f t="shared" si="232"/>
        <v/>
      </c>
      <c r="L936" s="106" t="str">
        <f>IF(NOT(ISERROR(VLOOKUP(B936,Deflatores!G$42:H$64,2,FALSE))),VLOOKUP(B936,Deflatores!G$42:H$64,2,FALSE),IF(OR(ISBLANK(C936),ISBLANK(B936)),"",VLOOKUP(C936,Deflatores!G$4:H$38,2,FALSE)*H936+VLOOKUP(C936,Deflatores!G$4:I$38,3,FALSE)))</f>
        <v/>
      </c>
      <c r="M936" s="106"/>
      <c r="N936" s="106"/>
      <c r="O936" s="124"/>
    </row>
    <row r="937" spans="1:15" x14ac:dyDescent="0.25">
      <c r="A937" s="114" t="s">
        <v>1437</v>
      </c>
      <c r="B937" s="113" t="s">
        <v>50</v>
      </c>
      <c r="C937" s="113" t="s">
        <v>45</v>
      </c>
      <c r="D937" s="4">
        <v>10</v>
      </c>
      <c r="E937" s="4">
        <v>2</v>
      </c>
      <c r="F937" s="106" t="str">
        <f t="shared" si="227"/>
        <v>Média</v>
      </c>
      <c r="G937" s="106" t="str">
        <f t="shared" si="228"/>
        <v>CEA</v>
      </c>
      <c r="H937" s="4">
        <f t="shared" si="229"/>
        <v>4</v>
      </c>
      <c r="I937" s="105" t="str">
        <f t="shared" si="230"/>
        <v>A</v>
      </c>
      <c r="J937" s="4" t="str">
        <f t="shared" si="231"/>
        <v>CEI</v>
      </c>
      <c r="K937" s="106">
        <f t="shared" si="232"/>
        <v>4</v>
      </c>
      <c r="L937" s="106">
        <f>IF(NOT(ISERROR(VLOOKUP(B937,Deflatores!G$42:H$64,2,FALSE))),VLOOKUP(B937,Deflatores!G$42:H$64,2,FALSE),IF(OR(ISBLANK(C937),ISBLANK(B937)),"",VLOOKUP(C937,Deflatores!G$4:H$38,2,FALSE)*H937+VLOOKUP(C937,Deflatores!G$4:I$38,3,FALSE)))</f>
        <v>4</v>
      </c>
      <c r="M937" s="106"/>
      <c r="N937" s="106"/>
      <c r="O937" s="124"/>
    </row>
    <row r="938" spans="1:15" x14ac:dyDescent="0.25">
      <c r="A938" s="114" t="s">
        <v>1435</v>
      </c>
      <c r="B938" s="113" t="s">
        <v>50</v>
      </c>
      <c r="C938" s="113" t="s">
        <v>45</v>
      </c>
      <c r="D938" s="4">
        <v>6</v>
      </c>
      <c r="E938" s="4">
        <v>1</v>
      </c>
      <c r="F938" s="106" t="str">
        <f t="shared" si="227"/>
        <v>Baixa</v>
      </c>
      <c r="G938" s="106" t="str">
        <f t="shared" si="228"/>
        <v>CEL</v>
      </c>
      <c r="H938" s="4">
        <f t="shared" si="229"/>
        <v>3</v>
      </c>
      <c r="I938" s="105" t="str">
        <f t="shared" si="230"/>
        <v>L</v>
      </c>
      <c r="J938" s="4" t="str">
        <f t="shared" si="231"/>
        <v>CEI</v>
      </c>
      <c r="K938" s="106">
        <f t="shared" si="232"/>
        <v>3</v>
      </c>
      <c r="L938" s="106">
        <f>IF(NOT(ISERROR(VLOOKUP(B938,Deflatores!G$42:H$64,2,FALSE))),VLOOKUP(B938,Deflatores!G$42:H$64,2,FALSE),IF(OR(ISBLANK(C938),ISBLANK(B938)),"",VLOOKUP(C938,Deflatores!G$4:H$38,2,FALSE)*H938+VLOOKUP(C938,Deflatores!G$4:I$38,3,FALSE)))</f>
        <v>3</v>
      </c>
      <c r="M938" s="106"/>
      <c r="N938" s="106"/>
      <c r="O938" s="124"/>
    </row>
    <row r="939" spans="1:15" x14ac:dyDescent="0.25">
      <c r="A939" s="114" t="s">
        <v>1436</v>
      </c>
      <c r="B939" s="113" t="s">
        <v>48</v>
      </c>
      <c r="C939" s="113" t="s">
        <v>45</v>
      </c>
      <c r="D939" s="4">
        <v>3</v>
      </c>
      <c r="E939" s="4">
        <v>1</v>
      </c>
      <c r="F939" s="106" t="str">
        <f t="shared" si="227"/>
        <v>Baixa</v>
      </c>
      <c r="G939" s="106" t="str">
        <f t="shared" si="228"/>
        <v>EEL</v>
      </c>
      <c r="H939" s="4">
        <f t="shared" si="229"/>
        <v>3</v>
      </c>
      <c r="I939" s="105" t="str">
        <f t="shared" si="230"/>
        <v>L</v>
      </c>
      <c r="J939" s="4" t="str">
        <f t="shared" si="231"/>
        <v>EEI</v>
      </c>
      <c r="K939" s="106">
        <f t="shared" si="232"/>
        <v>3</v>
      </c>
      <c r="L939" s="106">
        <f>IF(NOT(ISERROR(VLOOKUP(B939,Deflatores!G$42:H$64,2,FALSE))),VLOOKUP(B939,Deflatores!G$42:H$64,2,FALSE),IF(OR(ISBLANK(C939),ISBLANK(B939)),"",VLOOKUP(C939,Deflatores!G$4:H$38,2,FALSE)*H939+VLOOKUP(C939,Deflatores!G$4:I$38,3,FALSE)))</f>
        <v>3</v>
      </c>
      <c r="M939" s="106"/>
      <c r="N939" s="106"/>
      <c r="O939" s="124"/>
    </row>
    <row r="940" spans="1:15" x14ac:dyDescent="0.25">
      <c r="A940" s="114"/>
      <c r="B940" s="113"/>
      <c r="C940" s="113"/>
      <c r="D940" s="113"/>
      <c r="E940" s="113"/>
      <c r="F940" s="106" t="str">
        <f t="shared" ref="F940:F943" si="233">IF(ISBLANK(B940),"",IF(I940="L","Baixa",IF(I940="A","Média",IF(I940="","","Alta"))))</f>
        <v/>
      </c>
      <c r="G940" s="106" t="str">
        <f t="shared" ref="G940:G943" si="234">CONCATENATE(B940,I940)</f>
        <v/>
      </c>
      <c r="H940" s="4" t="str">
        <f t="shared" ref="H940:H943" si="235">IF(ISBLANK(B940),"",IF(B940="ALI",IF(I940="L",7,IF(I940="A",10,15)),IF(B940="AIE",IF(I940="L",5,IF(I940="A",7,10)),IF(B940="SE",IF(I940="L",4,IF(I940="A",5,7)),IF(OR(B940="EE",B940="CE"),IF(I940="L",3,IF(I940="A",4,6)),0)))))</f>
        <v/>
      </c>
      <c r="I940" s="105" t="str">
        <f t="shared" ref="I940:I943" si="236">IF(OR(ISBLANK(D940),ISBLANK(E940)),IF(OR(B940="ALI",B940="AIE"),"L",IF(OR(B940="EE",B940="SE",B940="CE"),"A","")),IF(B940="EE",IF(E940&gt;=3,IF(D940&gt;=5,"H","A"),IF(E940&gt;=2,IF(D940&gt;=16,"H",IF(D940&lt;=4,"L","A")),IF(D940&lt;=15,"L","A"))),IF(OR(B940="SE",B940="CE"),IF(E940&gt;=4,IF(D940&gt;=6,"H","A"),IF(E940&gt;=2,IF(D940&gt;=20,"H",IF(D940&lt;=5,"L","A")),IF(D940&lt;=19,"L","A"))),IF(OR(B940="ALI",B940="AIE"),IF(E940&gt;=6,IF(D940&gt;=20,"H","A"),IF(E940&gt;=2,IF(D940&gt;=51,"H",IF(D940&lt;=19,"L","A")),IF(D940&lt;=50,"L","A"))),""))))</f>
        <v/>
      </c>
      <c r="J940" s="4" t="str">
        <f t="shared" ref="J940:J943" si="237">CONCATENATE(B940,C940)</f>
        <v/>
      </c>
      <c r="K940" s="106" t="str">
        <f t="shared" ref="K940:K943" si="238">IF(OR(H940="",H940=0),L940,H940)</f>
        <v/>
      </c>
      <c r="L940" s="106" t="str">
        <f>IF(NOT(ISERROR(VLOOKUP(B940,Deflatores!G$42:H$64,2,FALSE))),VLOOKUP(B940,Deflatores!G$42:H$64,2,FALSE),IF(OR(ISBLANK(C940),ISBLANK(B940)),"",VLOOKUP(C940,Deflatores!G$4:H$38,2,FALSE)*H940+VLOOKUP(C940,Deflatores!G$4:I$38,3,FALSE)))</f>
        <v/>
      </c>
      <c r="M940" s="106"/>
      <c r="N940" s="106"/>
      <c r="O940" s="124"/>
    </row>
    <row r="941" spans="1:15" x14ac:dyDescent="0.25">
      <c r="A941" s="143" t="s">
        <v>1438</v>
      </c>
      <c r="B941" s="113"/>
      <c r="C941" s="113"/>
      <c r="D941" s="4"/>
      <c r="E941" s="4"/>
      <c r="F941" s="106" t="str">
        <f t="shared" si="233"/>
        <v/>
      </c>
      <c r="G941" s="106" t="str">
        <f t="shared" si="234"/>
        <v/>
      </c>
      <c r="H941" s="4" t="str">
        <f t="shared" si="235"/>
        <v/>
      </c>
      <c r="I941" s="105" t="str">
        <f t="shared" si="236"/>
        <v/>
      </c>
      <c r="J941" s="4" t="str">
        <f t="shared" si="237"/>
        <v/>
      </c>
      <c r="K941" s="106" t="str">
        <f t="shared" si="238"/>
        <v/>
      </c>
      <c r="L941" s="106" t="str">
        <f>IF(NOT(ISERROR(VLOOKUP(B941,Deflatores!G$42:H$64,2,FALSE))),VLOOKUP(B941,Deflatores!G$42:H$64,2,FALSE),IF(OR(ISBLANK(C941),ISBLANK(B941)),"",VLOOKUP(C941,Deflatores!G$4:H$38,2,FALSE)*H941+VLOOKUP(C941,Deflatores!G$4:I$38,3,FALSE)))</f>
        <v/>
      </c>
      <c r="M941" s="106"/>
      <c r="N941" s="106"/>
      <c r="O941" s="124"/>
    </row>
    <row r="942" spans="1:15" x14ac:dyDescent="0.25">
      <c r="A942" s="154" t="s">
        <v>1439</v>
      </c>
      <c r="B942" s="113" t="s">
        <v>50</v>
      </c>
      <c r="C942" s="113" t="s">
        <v>45</v>
      </c>
      <c r="D942" s="4">
        <v>12</v>
      </c>
      <c r="E942" s="4">
        <v>6</v>
      </c>
      <c r="F942" s="106" t="str">
        <f t="shared" si="233"/>
        <v>Alta</v>
      </c>
      <c r="G942" s="106" t="str">
        <f t="shared" si="234"/>
        <v>CEH</v>
      </c>
      <c r="H942" s="4">
        <f t="shared" si="235"/>
        <v>6</v>
      </c>
      <c r="I942" s="105" t="str">
        <f t="shared" si="236"/>
        <v>H</v>
      </c>
      <c r="J942" s="4" t="str">
        <f t="shared" si="237"/>
        <v>CEI</v>
      </c>
      <c r="K942" s="106">
        <f t="shared" si="238"/>
        <v>6</v>
      </c>
      <c r="L942" s="106">
        <f>IF(NOT(ISERROR(VLOOKUP(B942,Deflatores!G$42:H$64,2,FALSE))),VLOOKUP(B942,Deflatores!G$42:H$64,2,FALSE),IF(OR(ISBLANK(C942),ISBLANK(B942)),"",VLOOKUP(C942,Deflatores!G$4:H$38,2,FALSE)*H942+VLOOKUP(C942,Deflatores!G$4:I$38,3,FALSE)))</f>
        <v>6</v>
      </c>
      <c r="M942" s="106"/>
      <c r="N942" s="106"/>
      <c r="O942" s="124"/>
    </row>
    <row r="943" spans="1:15" x14ac:dyDescent="0.25">
      <c r="A943" s="224" t="s">
        <v>1440</v>
      </c>
      <c r="B943" s="113" t="s">
        <v>48</v>
      </c>
      <c r="C943" s="113" t="s">
        <v>45</v>
      </c>
      <c r="D943" s="4">
        <v>3</v>
      </c>
      <c r="E943" s="4">
        <v>1</v>
      </c>
      <c r="F943" s="106" t="str">
        <f t="shared" si="233"/>
        <v>Baixa</v>
      </c>
      <c r="G943" s="106" t="str">
        <f t="shared" si="234"/>
        <v>EEL</v>
      </c>
      <c r="H943" s="4">
        <f t="shared" si="235"/>
        <v>3</v>
      </c>
      <c r="I943" s="105" t="str">
        <f t="shared" si="236"/>
        <v>L</v>
      </c>
      <c r="J943" s="4" t="str">
        <f t="shared" si="237"/>
        <v>EEI</v>
      </c>
      <c r="K943" s="106">
        <f t="shared" si="238"/>
        <v>3</v>
      </c>
      <c r="L943" s="106">
        <f>IF(NOT(ISERROR(VLOOKUP(B943,Deflatores!G$42:H$64,2,FALSE))),VLOOKUP(B943,Deflatores!G$42:H$64,2,FALSE),IF(OR(ISBLANK(C943),ISBLANK(B943)),"",VLOOKUP(C943,Deflatores!G$4:H$38,2,FALSE)*H943+VLOOKUP(C943,Deflatores!G$4:I$38,3,FALSE)))</f>
        <v>3</v>
      </c>
      <c r="M943" s="106"/>
      <c r="N943" s="106"/>
      <c r="O943" s="124"/>
    </row>
    <row r="944" spans="1:15" x14ac:dyDescent="0.25">
      <c r="A944" s="219"/>
      <c r="B944" s="113"/>
      <c r="C944" s="113"/>
      <c r="D944" s="113"/>
      <c r="E944" s="113"/>
      <c r="F944" s="106"/>
      <c r="G944" s="106"/>
      <c r="H944" s="4"/>
      <c r="I944" s="105"/>
      <c r="J944" s="4"/>
      <c r="K944" s="106"/>
      <c r="L944" s="106" t="str">
        <f>IF(NOT(ISERROR(VLOOKUP(B944,Deflatores!G$42:H$64,2,FALSE))),VLOOKUP(B944,Deflatores!G$42:H$64,2,FALSE),IF(OR(ISBLANK(C944),ISBLANK(B944)),"",VLOOKUP(C944,Deflatores!G$4:H$38,2,FALSE)*H944+VLOOKUP(C944,Deflatores!G$4:I$38,3,FALSE)))</f>
        <v/>
      </c>
      <c r="M944" s="106"/>
      <c r="N944" s="106"/>
      <c r="O944" s="124"/>
    </row>
    <row r="945" spans="1:15" x14ac:dyDescent="0.25">
      <c r="A945" s="222" t="s">
        <v>1442</v>
      </c>
      <c r="B945" s="113"/>
      <c r="C945" s="113"/>
      <c r="D945" s="4"/>
      <c r="E945" s="4"/>
      <c r="F945" s="105" t="str">
        <f t="shared" ref="F945:F952" si="239">IF(ISBLANK(B945),"",IF(I945="L","Baixa",IF(I945="A","Média",IF(I945="","","Alta"))))</f>
        <v/>
      </c>
      <c r="G945" s="4" t="str">
        <f t="shared" ref="G945:G952" si="240">CONCATENATE(B945,I945)</f>
        <v/>
      </c>
      <c r="H945" s="4" t="str">
        <f t="shared" ref="H945:H952" si="241">IF(ISBLANK(B945),"",IF(B945="ALI",IF(I945="L",7,IF(I945="A",10,15)),IF(B945="AIE",IF(I945="L",5,IF(I945="A",7,10)),IF(B945="SE",IF(I945="L",4,IF(I945="A",5,7)),IF(OR(B945="EE",B945="CE"),IF(I945="L",3,IF(I945="A",4,6)),0)))))</f>
        <v/>
      </c>
      <c r="I945" s="105" t="str">
        <f t="shared" ref="I945:I952" si="242">IF(OR(ISBLANK(D945),ISBLANK(E945)),IF(OR(B945="ALI",B945="AIE"),"L",IF(OR(B945="EE",B945="SE",B945="CE"),"A","")),IF(B945="EE",IF(E945&gt;=3,IF(D945&gt;=5,"H","A"),IF(E945&gt;=2,IF(D945&gt;=16,"H",IF(D945&lt;=4,"L","A")),IF(D945&lt;=15,"L","A"))),IF(OR(B945="SE",B945="CE"),IF(E945&gt;=4,IF(D945&gt;=6,"H","A"),IF(E945&gt;=2,IF(D945&gt;=20,"H",IF(D945&lt;=5,"L","A")),IF(D945&lt;=19,"L","A"))),IF(OR(B945="ALI",B945="AIE"),IF(E945&gt;=6,IF(D945&gt;=20,"H","A"),IF(E945&gt;=2,IF(D945&gt;=51,"H",IF(D945&lt;=19,"L","A")),IF(D945&lt;=50,"L","A"))),""))))</f>
        <v/>
      </c>
      <c r="J945" s="4" t="str">
        <f t="shared" ref="J945:J952" si="243">CONCATENATE(B945,C945)</f>
        <v/>
      </c>
      <c r="K945" s="106" t="str">
        <f t="shared" ref="K945:K952" si="244">IF(OR(H945="",H945=0),L945,H945)</f>
        <v/>
      </c>
      <c r="L945" s="106" t="str">
        <f>IF(NOT(ISERROR(VLOOKUP(B945,Deflatores!G$42:H$64,2,FALSE))),VLOOKUP(B945,Deflatores!G$42:H$64,2,FALSE),IF(OR(ISBLANK(C945),ISBLANK(B945)),"",VLOOKUP(C945,Deflatores!G$4:H$38,2,FALSE)*H945+VLOOKUP(C945,Deflatores!G$4:I$38,3,FALSE)))</f>
        <v/>
      </c>
      <c r="M945" s="6"/>
      <c r="N945" s="6"/>
      <c r="O945" s="144"/>
    </row>
    <row r="946" spans="1:15" x14ac:dyDescent="0.25">
      <c r="A946" s="224" t="s">
        <v>1443</v>
      </c>
      <c r="B946" s="113" t="s">
        <v>44</v>
      </c>
      <c r="C946" s="113" t="s">
        <v>45</v>
      </c>
      <c r="D946" s="4">
        <v>19</v>
      </c>
      <c r="E946" s="4">
        <v>2</v>
      </c>
      <c r="F946" s="105" t="str">
        <f t="shared" si="239"/>
        <v>Baixa</v>
      </c>
      <c r="G946" s="4" t="str">
        <f t="shared" si="240"/>
        <v>ALIL</v>
      </c>
      <c r="H946" s="4">
        <f t="shared" si="241"/>
        <v>7</v>
      </c>
      <c r="I946" s="105" t="str">
        <f t="shared" si="242"/>
        <v>L</v>
      </c>
      <c r="J946" s="4" t="str">
        <f t="shared" si="243"/>
        <v>ALII</v>
      </c>
      <c r="K946" s="106">
        <f t="shared" si="244"/>
        <v>7</v>
      </c>
      <c r="L946" s="106">
        <f>IF(NOT(ISERROR(VLOOKUP(B946,Deflatores!G$42:H$64,2,FALSE))),VLOOKUP(B946,Deflatores!G$42:H$64,2,FALSE),IF(OR(ISBLANK(C946),ISBLANK(B946)),"",VLOOKUP(C946,Deflatores!G$4:H$38,2,FALSE)*H946+VLOOKUP(C946,Deflatores!G$4:I$38,3,FALSE)))</f>
        <v>7</v>
      </c>
      <c r="M946" s="6"/>
      <c r="N946" s="6"/>
      <c r="O946" s="144"/>
    </row>
    <row r="947" spans="1:15" x14ac:dyDescent="0.25">
      <c r="A947" s="224" t="s">
        <v>1444</v>
      </c>
      <c r="B947" s="113" t="s">
        <v>48</v>
      </c>
      <c r="C947" s="113" t="s">
        <v>45</v>
      </c>
      <c r="D947" s="4">
        <v>20</v>
      </c>
      <c r="E947" s="4">
        <v>6</v>
      </c>
      <c r="F947" s="105" t="str">
        <f t="shared" si="239"/>
        <v>Alta</v>
      </c>
      <c r="G947" s="4" t="str">
        <f t="shared" si="240"/>
        <v>EEH</v>
      </c>
      <c r="H947" s="4">
        <f t="shared" si="241"/>
        <v>6</v>
      </c>
      <c r="I947" s="105" t="str">
        <f t="shared" si="242"/>
        <v>H</v>
      </c>
      <c r="J947" s="4" t="str">
        <f t="shared" si="243"/>
        <v>EEI</v>
      </c>
      <c r="K947" s="106">
        <f t="shared" si="244"/>
        <v>6</v>
      </c>
      <c r="L947" s="106">
        <f>IF(NOT(ISERROR(VLOOKUP(B947,Deflatores!G$42:H$64,2,FALSE))),VLOOKUP(B947,Deflatores!G$42:H$64,2,FALSE),IF(OR(ISBLANK(C947),ISBLANK(B947)),"",VLOOKUP(C947,Deflatores!G$4:H$38,2,FALSE)*H947+VLOOKUP(C947,Deflatores!G$4:I$38,3,FALSE)))</f>
        <v>6</v>
      </c>
      <c r="M947" s="6"/>
      <c r="N947" s="6"/>
      <c r="O947" s="144"/>
    </row>
    <row r="948" spans="1:15" x14ac:dyDescent="0.25">
      <c r="A948" s="224" t="s">
        <v>1445</v>
      </c>
      <c r="B948" s="113" t="s">
        <v>50</v>
      </c>
      <c r="C948" s="113" t="s">
        <v>45</v>
      </c>
      <c r="D948" s="4">
        <v>8</v>
      </c>
      <c r="E948" s="4">
        <v>1</v>
      </c>
      <c r="F948" s="105" t="str">
        <f t="shared" si="239"/>
        <v>Baixa</v>
      </c>
      <c r="G948" s="4" t="str">
        <f t="shared" si="240"/>
        <v>CEL</v>
      </c>
      <c r="H948" s="4">
        <f t="shared" si="241"/>
        <v>3</v>
      </c>
      <c r="I948" s="105" t="str">
        <f t="shared" si="242"/>
        <v>L</v>
      </c>
      <c r="J948" s="4" t="str">
        <f t="shared" si="243"/>
        <v>CEI</v>
      </c>
      <c r="K948" s="106">
        <f t="shared" si="244"/>
        <v>3</v>
      </c>
      <c r="L948" s="106">
        <f>IF(NOT(ISERROR(VLOOKUP(B948,Deflatores!G$42:H$64,2,FALSE))),VLOOKUP(B948,Deflatores!G$42:H$64,2,FALSE),IF(OR(ISBLANK(C948),ISBLANK(B948)),"",VLOOKUP(C948,Deflatores!G$4:H$38,2,FALSE)*H948+VLOOKUP(C948,Deflatores!G$4:I$38,3,FALSE)))</f>
        <v>3</v>
      </c>
      <c r="M948" s="6"/>
      <c r="N948" s="6"/>
      <c r="O948" s="144"/>
    </row>
    <row r="949" spans="1:15" x14ac:dyDescent="0.25">
      <c r="A949" s="224"/>
      <c r="B949" s="113"/>
      <c r="C949" s="113"/>
      <c r="D949" s="4"/>
      <c r="E949" s="4"/>
      <c r="F949" s="105" t="str">
        <f t="shared" si="239"/>
        <v/>
      </c>
      <c r="G949" s="4" t="str">
        <f t="shared" si="240"/>
        <v/>
      </c>
      <c r="H949" s="4" t="str">
        <f t="shared" si="241"/>
        <v/>
      </c>
      <c r="I949" s="105" t="str">
        <f t="shared" si="242"/>
        <v/>
      </c>
      <c r="J949" s="4" t="str">
        <f t="shared" si="243"/>
        <v/>
      </c>
      <c r="K949" s="106" t="str">
        <f t="shared" si="244"/>
        <v/>
      </c>
      <c r="L949" s="106" t="str">
        <f>IF(NOT(ISERROR(VLOOKUP(B949,Deflatores!G$42:H$64,2,FALSE))),VLOOKUP(B949,Deflatores!G$42:H$64,2,FALSE),IF(OR(ISBLANK(C949),ISBLANK(B949)),"",VLOOKUP(C949,Deflatores!G$4:H$38,2,FALSE)*H949+VLOOKUP(C949,Deflatores!G$4:I$38,3,FALSE)))</f>
        <v/>
      </c>
      <c r="M949" s="6"/>
      <c r="N949" s="6"/>
      <c r="O949" s="144"/>
    </row>
    <row r="950" spans="1:15" x14ac:dyDescent="0.25">
      <c r="A950" s="222" t="s">
        <v>1446</v>
      </c>
      <c r="B950" s="113"/>
      <c r="C950" s="113"/>
      <c r="D950" s="4"/>
      <c r="E950" s="4"/>
      <c r="F950" s="105" t="str">
        <f t="shared" si="239"/>
        <v/>
      </c>
      <c r="G950" s="4" t="str">
        <f t="shared" si="240"/>
        <v/>
      </c>
      <c r="H950" s="4" t="str">
        <f t="shared" si="241"/>
        <v/>
      </c>
      <c r="I950" s="105" t="str">
        <f t="shared" si="242"/>
        <v/>
      </c>
      <c r="J950" s="4" t="str">
        <f t="shared" si="243"/>
        <v/>
      </c>
      <c r="K950" s="106" t="str">
        <f t="shared" si="244"/>
        <v/>
      </c>
      <c r="L950" s="106" t="str">
        <f>IF(NOT(ISERROR(VLOOKUP(B950,Deflatores!G$42:H$64,2,FALSE))),VLOOKUP(B950,Deflatores!G$42:H$64,2,FALSE),IF(OR(ISBLANK(C950),ISBLANK(B950)),"",VLOOKUP(C950,Deflatores!G$4:H$38,2,FALSE)*H950+VLOOKUP(C950,Deflatores!G$4:I$38,3,FALSE)))</f>
        <v/>
      </c>
      <c r="M950" s="6"/>
      <c r="N950" s="6"/>
      <c r="O950" s="144"/>
    </row>
    <row r="951" spans="1:15" x14ac:dyDescent="0.25">
      <c r="A951" s="224" t="s">
        <v>1447</v>
      </c>
      <c r="B951" s="113" t="s">
        <v>50</v>
      </c>
      <c r="C951" s="113" t="s">
        <v>45</v>
      </c>
      <c r="D951" s="4">
        <v>5</v>
      </c>
      <c r="E951" s="4">
        <v>2</v>
      </c>
      <c r="F951" s="105" t="str">
        <f t="shared" si="239"/>
        <v>Baixa</v>
      </c>
      <c r="G951" s="4" t="str">
        <f t="shared" si="240"/>
        <v>CEL</v>
      </c>
      <c r="H951" s="4">
        <f t="shared" si="241"/>
        <v>3</v>
      </c>
      <c r="I951" s="105" t="str">
        <f t="shared" si="242"/>
        <v>L</v>
      </c>
      <c r="J951" s="4" t="str">
        <f t="shared" si="243"/>
        <v>CEI</v>
      </c>
      <c r="K951" s="106">
        <f t="shared" si="244"/>
        <v>3</v>
      </c>
      <c r="L951" s="106">
        <f>IF(NOT(ISERROR(VLOOKUP(B951,Deflatores!G$42:H$64,2,FALSE))),VLOOKUP(B951,Deflatores!G$42:H$64,2,FALSE),IF(OR(ISBLANK(C951),ISBLANK(B951)),"",VLOOKUP(C951,Deflatores!G$4:H$38,2,FALSE)*H951+VLOOKUP(C951,Deflatores!G$4:I$38,3,FALSE)))</f>
        <v>3</v>
      </c>
      <c r="M951" s="6"/>
      <c r="N951" s="6"/>
      <c r="O951" s="144"/>
    </row>
    <row r="952" spans="1:15" x14ac:dyDescent="0.25">
      <c r="A952" s="224" t="s">
        <v>1448</v>
      </c>
      <c r="B952" s="113" t="s">
        <v>48</v>
      </c>
      <c r="C952" s="113" t="s">
        <v>45</v>
      </c>
      <c r="D952" s="4">
        <v>11</v>
      </c>
      <c r="E952" s="4">
        <v>4</v>
      </c>
      <c r="F952" s="105" t="str">
        <f t="shared" si="239"/>
        <v>Alta</v>
      </c>
      <c r="G952" s="4" t="str">
        <f t="shared" si="240"/>
        <v>EEH</v>
      </c>
      <c r="H952" s="4">
        <f t="shared" si="241"/>
        <v>6</v>
      </c>
      <c r="I952" s="105" t="str">
        <f t="shared" si="242"/>
        <v>H</v>
      </c>
      <c r="J952" s="4" t="str">
        <f t="shared" si="243"/>
        <v>EEI</v>
      </c>
      <c r="K952" s="106">
        <f t="shared" si="244"/>
        <v>6</v>
      </c>
      <c r="L952" s="106">
        <f>IF(NOT(ISERROR(VLOOKUP(B952,Deflatores!G$42:H$64,2,FALSE))),VLOOKUP(B952,Deflatores!G$42:H$64,2,FALSE),IF(OR(ISBLANK(C952),ISBLANK(B952)),"",VLOOKUP(C952,Deflatores!G$4:H$38,2,FALSE)*H952+VLOOKUP(C952,Deflatores!G$4:I$38,3,FALSE)))</f>
        <v>6</v>
      </c>
      <c r="M952" s="6"/>
      <c r="N952" s="6"/>
      <c r="O952" s="144"/>
    </row>
    <row r="953" spans="1:15" x14ac:dyDescent="0.25">
      <c r="A953" s="224"/>
      <c r="B953" s="113"/>
      <c r="C953" s="113"/>
      <c r="D953" s="113"/>
      <c r="E953" s="113"/>
      <c r="F953" s="105"/>
      <c r="G953" s="4"/>
      <c r="H953" s="4"/>
      <c r="I953" s="105"/>
      <c r="J953" s="4"/>
      <c r="K953" s="106"/>
      <c r="L953" s="106"/>
      <c r="M953" s="6"/>
      <c r="N953" s="6"/>
      <c r="O953" s="220"/>
    </row>
    <row r="954" spans="1:15" ht="13.5" customHeight="1" x14ac:dyDescent="0.25">
      <c r="A954" s="119" t="s">
        <v>784</v>
      </c>
      <c r="B954" s="120"/>
      <c r="C954" s="120"/>
      <c r="D954" s="120"/>
      <c r="E954" s="120"/>
      <c r="F954" s="121" t="str">
        <f t="shared" ref="F954:F984" si="245">IF(ISBLANK(B954),"",IF(I954="L","Baixa",IF(I954="A","Média",IF(I954="","","Alta"))))</f>
        <v/>
      </c>
      <c r="G954" s="121" t="str">
        <f t="shared" ref="G954:G984" si="246">CONCATENATE(B954,I954)</f>
        <v/>
      </c>
      <c r="H954" s="121" t="str">
        <f t="shared" ref="H954:H984" si="247">IF(ISBLANK(B954),"",IF(B954="ALI",IF(I954="L",7,IF(I954="A",10,15)),IF(B954="AIE",IF(I954="L",5,IF(I954="A",7,10)),IF(B954="SE",IF(I954="L",4,IF(I954="A",5,7)),IF(OR(B954="EE",B954="CE"),IF(I954="L",3,IF(I954="A",4,6)),0)))))</f>
        <v/>
      </c>
      <c r="I954" s="121" t="str">
        <f t="shared" ref="I954:I984" si="248">IF(OR(ISBLANK(D954),ISBLANK(E954)),IF(OR(B954="ALI",B954="AIE"),"L",IF(OR(B954="EE",B954="SE",B954="CE"),"A","")),IF(B954="EE",IF(E954&gt;=3,IF(D954&gt;=5,"H","A"),IF(E954&gt;=2,IF(D954&gt;=16,"H",IF(D954&lt;=4,"L","A")),IF(D954&lt;=15,"L","A"))),IF(OR(B954="SE",B954="CE"),IF(E954&gt;=4,IF(D954&gt;=6,"H","A"),IF(E954&gt;=2,IF(D954&gt;=20,"H",IF(D954&lt;=5,"L","A")),IF(D954&lt;=19,"L","A"))),IF(OR(B954="ALI",B954="AIE"),IF(E954&gt;=6,IF(D954&gt;=20,"H","A"),IF(E954&gt;=2,IF(D954&gt;=51,"H",IF(D954&lt;=19,"L","A")),IF(D954&lt;=50,"L","A"))),""))))</f>
        <v/>
      </c>
      <c r="J954" s="121" t="str">
        <f t="shared" ref="J954:J984" si="249">CONCATENATE(B954,C954)</f>
        <v/>
      </c>
      <c r="K954" s="121" t="str">
        <f t="shared" ref="K954:K984" si="250">IF(OR(H954="",H954=0),L954,H954)</f>
        <v/>
      </c>
      <c r="L954" s="121" t="str">
        <f>IF(NOT(ISERROR(VLOOKUP(B954,Deflatores!G$42:H$64,2,FALSE))),VLOOKUP(B954,Deflatores!G$42:H$64,2,FALSE),IF(OR(ISBLANK(C954),ISBLANK(B954)),"",VLOOKUP(C954,Deflatores!G$4:H$38,2,FALSE)*H954+VLOOKUP(C954,Deflatores!G$4:I$38,3,FALSE)))</f>
        <v/>
      </c>
      <c r="M954" s="121"/>
      <c r="N954" s="121"/>
      <c r="O954" s="122"/>
    </row>
    <row r="955" spans="1:15" x14ac:dyDescent="0.25">
      <c r="A955" s="115" t="s">
        <v>785</v>
      </c>
      <c r="B955" s="113"/>
      <c r="C955" s="113"/>
      <c r="D955" s="4"/>
      <c r="E955" s="4"/>
      <c r="F955" s="106" t="str">
        <f t="shared" si="245"/>
        <v/>
      </c>
      <c r="G955" s="106" t="str">
        <f t="shared" si="246"/>
        <v/>
      </c>
      <c r="H955" s="4" t="str">
        <f t="shared" si="247"/>
        <v/>
      </c>
      <c r="I955" s="105" t="str">
        <f t="shared" si="248"/>
        <v/>
      </c>
      <c r="J955" s="4" t="str">
        <f t="shared" si="249"/>
        <v/>
      </c>
      <c r="K955" s="106" t="str">
        <f t="shared" si="250"/>
        <v/>
      </c>
      <c r="L955" s="106" t="str">
        <f>IF(NOT(ISERROR(VLOOKUP(B955,Deflatores!G$42:H$64,2,FALSE))),VLOOKUP(B955,Deflatores!G$42:H$64,2,FALSE),IF(OR(ISBLANK(C955),ISBLANK(B955)),"",VLOOKUP(C955,Deflatores!G$4:H$38,2,FALSE)*H955+VLOOKUP(C955,Deflatores!G$4:I$38,3,FALSE)))</f>
        <v/>
      </c>
      <c r="M955" s="106"/>
      <c r="N955" s="106"/>
      <c r="O955" s="124"/>
    </row>
    <row r="956" spans="1:15" x14ac:dyDescent="0.25">
      <c r="A956" s="112" t="s">
        <v>786</v>
      </c>
      <c r="B956" s="113" t="s">
        <v>44</v>
      </c>
      <c r="C956" s="113" t="s">
        <v>45</v>
      </c>
      <c r="D956" s="4">
        <v>22</v>
      </c>
      <c r="E956" s="4">
        <v>3</v>
      </c>
      <c r="F956" s="106" t="str">
        <f t="shared" si="245"/>
        <v>Média</v>
      </c>
      <c r="G956" s="106" t="str">
        <f t="shared" si="246"/>
        <v>ALIA</v>
      </c>
      <c r="H956" s="4">
        <f t="shared" si="247"/>
        <v>10</v>
      </c>
      <c r="I956" s="105" t="str">
        <f t="shared" si="248"/>
        <v>A</v>
      </c>
      <c r="J956" s="4" t="str">
        <f t="shared" si="249"/>
        <v>ALII</v>
      </c>
      <c r="K956" s="106">
        <f t="shared" si="250"/>
        <v>10</v>
      </c>
      <c r="L956" s="106">
        <f>IF(NOT(ISERROR(VLOOKUP(B956,Deflatores!G$42:H$64,2,FALSE))),VLOOKUP(B956,Deflatores!G$42:H$64,2,FALSE),IF(OR(ISBLANK(C956),ISBLANK(B956)),"",VLOOKUP(C956,Deflatores!G$4:H$38,2,FALSE)*H956+VLOOKUP(C956,Deflatores!G$4:I$38,3,FALSE)))</f>
        <v>10</v>
      </c>
      <c r="M956" s="106"/>
      <c r="N956" s="106"/>
      <c r="O956" s="124"/>
    </row>
    <row r="957" spans="1:15" x14ac:dyDescent="0.25">
      <c r="A957" s="112" t="s">
        <v>787</v>
      </c>
      <c r="B957" s="113" t="s">
        <v>113</v>
      </c>
      <c r="C957" s="113" t="s">
        <v>45</v>
      </c>
      <c r="D957" s="4">
        <v>10</v>
      </c>
      <c r="E957" s="4">
        <v>3</v>
      </c>
      <c r="F957" s="106" t="str">
        <f t="shared" si="245"/>
        <v>Média</v>
      </c>
      <c r="G957" s="106" t="str">
        <f t="shared" si="246"/>
        <v>SEA</v>
      </c>
      <c r="H957" s="4">
        <f t="shared" si="247"/>
        <v>5</v>
      </c>
      <c r="I957" s="105" t="str">
        <f t="shared" si="248"/>
        <v>A</v>
      </c>
      <c r="J957" s="4" t="str">
        <f t="shared" si="249"/>
        <v>SEI</v>
      </c>
      <c r="K957" s="106">
        <f t="shared" si="250"/>
        <v>5</v>
      </c>
      <c r="L957" s="106">
        <f>IF(NOT(ISERROR(VLOOKUP(B957,Deflatores!G$42:H$64,2,FALSE))),VLOOKUP(B957,Deflatores!G$42:H$64,2,FALSE),IF(OR(ISBLANK(C957),ISBLANK(B957)),"",VLOOKUP(C957,Deflatores!G$4:H$38,2,FALSE)*H957+VLOOKUP(C957,Deflatores!G$4:I$38,3,FALSE)))</f>
        <v>5</v>
      </c>
      <c r="M957" s="106"/>
      <c r="N957" s="106"/>
      <c r="O957" s="124"/>
    </row>
    <row r="958" spans="1:15" x14ac:dyDescent="0.25">
      <c r="A958" s="112" t="s">
        <v>788</v>
      </c>
      <c r="B958" s="113" t="s">
        <v>113</v>
      </c>
      <c r="C958" s="113" t="s">
        <v>45</v>
      </c>
      <c r="D958" s="4">
        <v>13</v>
      </c>
      <c r="E958" s="4">
        <v>3</v>
      </c>
      <c r="F958" s="106" t="str">
        <f t="shared" si="245"/>
        <v>Média</v>
      </c>
      <c r="G958" s="106" t="str">
        <f t="shared" si="246"/>
        <v>SEA</v>
      </c>
      <c r="H958" s="4">
        <f t="shared" si="247"/>
        <v>5</v>
      </c>
      <c r="I958" s="105" t="str">
        <f t="shared" si="248"/>
        <v>A</v>
      </c>
      <c r="J958" s="4" t="str">
        <f t="shared" si="249"/>
        <v>SEI</v>
      </c>
      <c r="K958" s="106">
        <f t="shared" si="250"/>
        <v>5</v>
      </c>
      <c r="L958" s="106">
        <f>IF(NOT(ISERROR(VLOOKUP(B958,Deflatores!G$42:H$64,2,FALSE))),VLOOKUP(B958,Deflatores!G$42:H$64,2,FALSE),IF(OR(ISBLANK(C958),ISBLANK(B958)),"",VLOOKUP(C958,Deflatores!G$4:H$38,2,FALSE)*H958+VLOOKUP(C958,Deflatores!G$4:I$38,3,FALSE)))</f>
        <v>5</v>
      </c>
      <c r="M958" s="106"/>
      <c r="N958" s="106"/>
      <c r="O958" s="124"/>
    </row>
    <row r="959" spans="1:15" x14ac:dyDescent="0.25">
      <c r="A959" s="112" t="s">
        <v>789</v>
      </c>
      <c r="B959" s="113" t="s">
        <v>48</v>
      </c>
      <c r="C959" s="113" t="s">
        <v>45</v>
      </c>
      <c r="D959" s="4">
        <v>14</v>
      </c>
      <c r="E959" s="4">
        <v>2</v>
      </c>
      <c r="F959" s="106" t="str">
        <f t="shared" si="245"/>
        <v>Média</v>
      </c>
      <c r="G959" s="106" t="str">
        <f t="shared" si="246"/>
        <v>EEA</v>
      </c>
      <c r="H959" s="4">
        <f t="shared" si="247"/>
        <v>4</v>
      </c>
      <c r="I959" s="105" t="str">
        <f t="shared" si="248"/>
        <v>A</v>
      </c>
      <c r="J959" s="4" t="str">
        <f t="shared" si="249"/>
        <v>EEI</v>
      </c>
      <c r="K959" s="106">
        <f t="shared" si="250"/>
        <v>4</v>
      </c>
      <c r="L959" s="106">
        <f>IF(NOT(ISERROR(VLOOKUP(B959,Deflatores!G$42:H$64,2,FALSE))),VLOOKUP(B959,Deflatores!G$42:H$64,2,FALSE),IF(OR(ISBLANK(C959),ISBLANK(B959)),"",VLOOKUP(C959,Deflatores!G$4:H$38,2,FALSE)*H959+VLOOKUP(C959,Deflatores!G$4:I$38,3,FALSE)))</f>
        <v>4</v>
      </c>
      <c r="M959" s="106"/>
      <c r="N959" s="106"/>
      <c r="O959" s="124"/>
    </row>
    <row r="960" spans="1:15" s="117" customFormat="1" x14ac:dyDescent="0.25">
      <c r="A960" s="114" t="s">
        <v>790</v>
      </c>
      <c r="B960" s="113" t="s">
        <v>50</v>
      </c>
      <c r="C960" s="113" t="s">
        <v>45</v>
      </c>
      <c r="D960" s="4">
        <v>9</v>
      </c>
      <c r="E960" s="4">
        <v>1</v>
      </c>
      <c r="F960" s="106" t="str">
        <f t="shared" si="245"/>
        <v>Baixa</v>
      </c>
      <c r="G960" s="106" t="str">
        <f t="shared" si="246"/>
        <v>CEL</v>
      </c>
      <c r="H960" s="4">
        <f t="shared" si="247"/>
        <v>3</v>
      </c>
      <c r="I960" s="105" t="str">
        <f t="shared" si="248"/>
        <v>L</v>
      </c>
      <c r="J960" s="4" t="str">
        <f t="shared" si="249"/>
        <v>CEI</v>
      </c>
      <c r="K960" s="106">
        <f t="shared" si="250"/>
        <v>3</v>
      </c>
      <c r="L960" s="106">
        <f>IF(NOT(ISERROR(VLOOKUP(B960,Deflatores!G$42:H$64,2,FALSE))),VLOOKUP(B960,Deflatores!G$42:H$64,2,FALSE),IF(OR(ISBLANK(C960),ISBLANK(B960)),"",VLOOKUP(C960,Deflatores!G$4:H$38,2,FALSE)*H960+VLOOKUP(C960,Deflatores!G$4:I$38,3,FALSE)))</f>
        <v>3</v>
      </c>
      <c r="M960" s="116"/>
      <c r="N960" s="116"/>
      <c r="O960" s="116"/>
    </row>
    <row r="961" spans="1:15" s="117" customFormat="1" x14ac:dyDescent="0.25">
      <c r="A961" s="114" t="s">
        <v>791</v>
      </c>
      <c r="B961" s="113" t="s">
        <v>50</v>
      </c>
      <c r="C961" s="113" t="s">
        <v>45</v>
      </c>
      <c r="D961" s="4">
        <v>3</v>
      </c>
      <c r="E961" s="4">
        <v>1</v>
      </c>
      <c r="F961" s="106" t="str">
        <f t="shared" si="245"/>
        <v>Baixa</v>
      </c>
      <c r="G961" s="106" t="str">
        <f t="shared" si="246"/>
        <v>CEL</v>
      </c>
      <c r="H961" s="4">
        <f t="shared" si="247"/>
        <v>3</v>
      </c>
      <c r="I961" s="105" t="str">
        <f t="shared" si="248"/>
        <v>L</v>
      </c>
      <c r="J961" s="4" t="str">
        <f t="shared" si="249"/>
        <v>CEI</v>
      </c>
      <c r="K961" s="106">
        <f t="shared" si="250"/>
        <v>3</v>
      </c>
      <c r="L961" s="106">
        <f>IF(NOT(ISERROR(VLOOKUP(B961,Deflatores!G$42:H$64,2,FALSE))),VLOOKUP(B961,Deflatores!G$42:H$64,2,FALSE),IF(OR(ISBLANK(C961),ISBLANK(B961)),"",VLOOKUP(C961,Deflatores!G$4:H$38,2,FALSE)*H961+VLOOKUP(C961,Deflatores!G$4:I$38,3,FALSE)))</f>
        <v>3</v>
      </c>
      <c r="M961" s="116"/>
      <c r="N961" s="116"/>
      <c r="O961" s="116"/>
    </row>
    <row r="962" spans="1:15" x14ac:dyDescent="0.25">
      <c r="A962" s="112" t="s">
        <v>792</v>
      </c>
      <c r="B962" s="113" t="s">
        <v>48</v>
      </c>
      <c r="C962" s="113" t="s">
        <v>45</v>
      </c>
      <c r="D962" s="4">
        <v>14</v>
      </c>
      <c r="E962" s="4">
        <v>2</v>
      </c>
      <c r="F962" s="106" t="str">
        <f t="shared" si="245"/>
        <v>Média</v>
      </c>
      <c r="G962" s="106" t="str">
        <f t="shared" si="246"/>
        <v>EEA</v>
      </c>
      <c r="H962" s="4">
        <f t="shared" si="247"/>
        <v>4</v>
      </c>
      <c r="I962" s="105" t="str">
        <f t="shared" si="248"/>
        <v>A</v>
      </c>
      <c r="J962" s="4" t="str">
        <f t="shared" si="249"/>
        <v>EEI</v>
      </c>
      <c r="K962" s="106">
        <f t="shared" si="250"/>
        <v>4</v>
      </c>
      <c r="L962" s="106">
        <f>IF(NOT(ISERROR(VLOOKUP(B962,Deflatores!G$42:H$64,2,FALSE))),VLOOKUP(B962,Deflatores!G$42:H$64,2,FALSE),IF(OR(ISBLANK(C962),ISBLANK(B962)),"",VLOOKUP(C962,Deflatores!G$4:H$38,2,FALSE)*H962+VLOOKUP(C962,Deflatores!G$4:I$38,3,FALSE)))</f>
        <v>4</v>
      </c>
      <c r="M962" s="106"/>
      <c r="N962" s="106"/>
      <c r="O962" s="124"/>
    </row>
    <row r="963" spans="1:15" s="117" customFormat="1" x14ac:dyDescent="0.25">
      <c r="A963" s="114" t="s">
        <v>793</v>
      </c>
      <c r="B963" s="113" t="s">
        <v>50</v>
      </c>
      <c r="C963" s="113" t="s">
        <v>45</v>
      </c>
      <c r="D963" s="4">
        <v>13</v>
      </c>
      <c r="E963" s="4">
        <v>3</v>
      </c>
      <c r="F963" s="106" t="str">
        <f t="shared" si="245"/>
        <v>Média</v>
      </c>
      <c r="G963" s="106" t="str">
        <f t="shared" si="246"/>
        <v>CEA</v>
      </c>
      <c r="H963" s="4">
        <f t="shared" si="247"/>
        <v>4</v>
      </c>
      <c r="I963" s="105" t="str">
        <f t="shared" si="248"/>
        <v>A</v>
      </c>
      <c r="J963" s="4" t="str">
        <f t="shared" si="249"/>
        <v>CEI</v>
      </c>
      <c r="K963" s="106">
        <f t="shared" si="250"/>
        <v>4</v>
      </c>
      <c r="L963" s="106">
        <f>IF(NOT(ISERROR(VLOOKUP(B963,Deflatores!G$42:H$64,2,FALSE))),VLOOKUP(B963,Deflatores!G$42:H$64,2,FALSE),IF(OR(ISBLANK(C963),ISBLANK(B963)),"",VLOOKUP(C963,Deflatores!G$4:H$38,2,FALSE)*H963+VLOOKUP(C963,Deflatores!G$4:I$38,3,FALSE)))</f>
        <v>4</v>
      </c>
      <c r="M963" s="116"/>
      <c r="N963" s="116"/>
      <c r="O963" s="116"/>
    </row>
    <row r="964" spans="1:15" x14ac:dyDescent="0.25">
      <c r="A964" s="112" t="s">
        <v>794</v>
      </c>
      <c r="B964" s="113" t="s">
        <v>48</v>
      </c>
      <c r="C964" s="113" t="s">
        <v>45</v>
      </c>
      <c r="D964" s="4">
        <v>3</v>
      </c>
      <c r="E964" s="4">
        <v>1</v>
      </c>
      <c r="F964" s="106" t="str">
        <f t="shared" si="245"/>
        <v>Baixa</v>
      </c>
      <c r="G964" s="106" t="str">
        <f t="shared" si="246"/>
        <v>EEL</v>
      </c>
      <c r="H964" s="4">
        <f t="shared" si="247"/>
        <v>3</v>
      </c>
      <c r="I964" s="105" t="str">
        <f t="shared" si="248"/>
        <v>L</v>
      </c>
      <c r="J964" s="4" t="str">
        <f t="shared" si="249"/>
        <v>EEI</v>
      </c>
      <c r="K964" s="106">
        <f t="shared" si="250"/>
        <v>3</v>
      </c>
      <c r="L964" s="106">
        <f>IF(NOT(ISERROR(VLOOKUP(B964,Deflatores!G$42:H$64,2,FALSE))),VLOOKUP(B964,Deflatores!G$42:H$64,2,FALSE),IF(OR(ISBLANK(C964),ISBLANK(B964)),"",VLOOKUP(C964,Deflatores!G$4:H$38,2,FALSE)*H964+VLOOKUP(C964,Deflatores!G$4:I$38,3,FALSE)))</f>
        <v>3</v>
      </c>
      <c r="M964" s="106"/>
      <c r="N964" s="106"/>
      <c r="O964" s="124"/>
    </row>
    <row r="965" spans="1:15" x14ac:dyDescent="0.25">
      <c r="A965" s="112" t="s">
        <v>795</v>
      </c>
      <c r="B965" s="113" t="s">
        <v>50</v>
      </c>
      <c r="C965" s="113" t="s">
        <v>45</v>
      </c>
      <c r="D965" s="4">
        <v>15</v>
      </c>
      <c r="E965" s="4">
        <v>3</v>
      </c>
      <c r="F965" s="106" t="str">
        <f t="shared" si="245"/>
        <v>Média</v>
      </c>
      <c r="G965" s="106" t="str">
        <f t="shared" si="246"/>
        <v>CEA</v>
      </c>
      <c r="H965" s="4">
        <f t="shared" si="247"/>
        <v>4</v>
      </c>
      <c r="I965" s="105" t="str">
        <f t="shared" si="248"/>
        <v>A</v>
      </c>
      <c r="J965" s="4" t="str">
        <f t="shared" si="249"/>
        <v>CEI</v>
      </c>
      <c r="K965" s="106">
        <f t="shared" si="250"/>
        <v>4</v>
      </c>
      <c r="L965" s="106">
        <f>IF(NOT(ISERROR(VLOOKUP(B965,Deflatores!G$42:H$64,2,FALSE))),VLOOKUP(B965,Deflatores!G$42:H$64,2,FALSE),IF(OR(ISBLANK(C965),ISBLANK(B965)),"",VLOOKUP(C965,Deflatores!G$4:H$38,2,FALSE)*H965+VLOOKUP(C965,Deflatores!G$4:I$38,3,FALSE)))</f>
        <v>4</v>
      </c>
      <c r="M965" s="106"/>
      <c r="N965" s="106"/>
      <c r="O965" s="124"/>
    </row>
    <row r="966" spans="1:15" x14ac:dyDescent="0.25">
      <c r="A966" s="112"/>
      <c r="B966" s="113"/>
      <c r="C966" s="113"/>
      <c r="D966" s="4"/>
      <c r="E966" s="4"/>
      <c r="F966" s="106" t="str">
        <f t="shared" si="245"/>
        <v/>
      </c>
      <c r="G966" s="106" t="str">
        <f t="shared" si="246"/>
        <v/>
      </c>
      <c r="H966" s="4" t="str">
        <f t="shared" si="247"/>
        <v/>
      </c>
      <c r="I966" s="105" t="str">
        <f t="shared" si="248"/>
        <v/>
      </c>
      <c r="J966" s="4" t="str">
        <f t="shared" si="249"/>
        <v/>
      </c>
      <c r="K966" s="106" t="str">
        <f t="shared" si="250"/>
        <v/>
      </c>
      <c r="L966" s="106" t="str">
        <f>IF(NOT(ISERROR(VLOOKUP(B966,Deflatores!G$42:H$64,2,FALSE))),VLOOKUP(B966,Deflatores!G$42:H$64,2,FALSE),IF(OR(ISBLANK(C966),ISBLANK(B966)),"",VLOOKUP(C966,Deflatores!G$4:H$38,2,FALSE)*H966+VLOOKUP(C966,Deflatores!G$4:I$38,3,FALSE)))</f>
        <v/>
      </c>
      <c r="M966" s="106"/>
      <c r="N966" s="106"/>
      <c r="O966" s="124"/>
    </row>
    <row r="967" spans="1:15" x14ac:dyDescent="0.25">
      <c r="A967" s="115" t="s">
        <v>796</v>
      </c>
      <c r="B967" s="113"/>
      <c r="C967" s="113"/>
      <c r="D967" s="4"/>
      <c r="E967" s="4"/>
      <c r="F967" s="106" t="str">
        <f t="shared" si="245"/>
        <v/>
      </c>
      <c r="G967" s="106" t="str">
        <f t="shared" si="246"/>
        <v/>
      </c>
      <c r="H967" s="4" t="str">
        <f t="shared" si="247"/>
        <v/>
      </c>
      <c r="I967" s="105" t="str">
        <f t="shared" si="248"/>
        <v/>
      </c>
      <c r="J967" s="4" t="str">
        <f t="shared" si="249"/>
        <v/>
      </c>
      <c r="K967" s="106" t="str">
        <f t="shared" si="250"/>
        <v/>
      </c>
      <c r="L967" s="106" t="str">
        <f>IF(NOT(ISERROR(VLOOKUP(B967,Deflatores!G$42:H$64,2,FALSE))),VLOOKUP(B967,Deflatores!G$42:H$64,2,FALSE),IF(OR(ISBLANK(C967),ISBLANK(B967)),"",VLOOKUP(C967,Deflatores!G$4:H$38,2,FALSE)*H967+VLOOKUP(C967,Deflatores!G$4:I$38,3,FALSE)))</f>
        <v/>
      </c>
      <c r="M967" s="106"/>
      <c r="N967" s="106"/>
      <c r="O967" s="124"/>
    </row>
    <row r="968" spans="1:15" x14ac:dyDescent="0.25">
      <c r="A968" s="112" t="s">
        <v>797</v>
      </c>
      <c r="B968" s="113" t="s">
        <v>44</v>
      </c>
      <c r="C968" s="113" t="s">
        <v>45</v>
      </c>
      <c r="D968" s="4">
        <v>10</v>
      </c>
      <c r="E968" s="4">
        <v>5</v>
      </c>
      <c r="F968" s="106" t="str">
        <f t="shared" si="245"/>
        <v>Baixa</v>
      </c>
      <c r="G968" s="106" t="str">
        <f t="shared" si="246"/>
        <v>ALIL</v>
      </c>
      <c r="H968" s="4">
        <f t="shared" si="247"/>
        <v>7</v>
      </c>
      <c r="I968" s="105" t="str">
        <f t="shared" si="248"/>
        <v>L</v>
      </c>
      <c r="J968" s="4" t="str">
        <f t="shared" si="249"/>
        <v>ALII</v>
      </c>
      <c r="K968" s="106">
        <f t="shared" si="250"/>
        <v>7</v>
      </c>
      <c r="L968" s="106">
        <f>IF(NOT(ISERROR(VLOOKUP(B968,Deflatores!G$42:H$64,2,FALSE))),VLOOKUP(B968,Deflatores!G$42:H$64,2,FALSE),IF(OR(ISBLANK(C968),ISBLANK(B968)),"",VLOOKUP(C968,Deflatores!G$4:H$38,2,FALSE)*H968+VLOOKUP(C968,Deflatores!G$4:I$38,3,FALSE)))</f>
        <v>7</v>
      </c>
      <c r="M968" s="106"/>
      <c r="N968" s="106"/>
      <c r="O968" s="124"/>
    </row>
    <row r="969" spans="1:15" x14ac:dyDescent="0.25">
      <c r="A969" s="112" t="s">
        <v>798</v>
      </c>
      <c r="B969" s="113" t="s">
        <v>48</v>
      </c>
      <c r="C969" s="113" t="s">
        <v>45</v>
      </c>
      <c r="D969" s="4">
        <v>7</v>
      </c>
      <c r="E969" s="4">
        <v>1</v>
      </c>
      <c r="F969" s="106" t="str">
        <f t="shared" si="245"/>
        <v>Baixa</v>
      </c>
      <c r="G969" s="106" t="str">
        <f t="shared" si="246"/>
        <v>EEL</v>
      </c>
      <c r="H969" s="4">
        <f t="shared" si="247"/>
        <v>3</v>
      </c>
      <c r="I969" s="105" t="str">
        <f t="shared" si="248"/>
        <v>L</v>
      </c>
      <c r="J969" s="4" t="str">
        <f t="shared" si="249"/>
        <v>EEI</v>
      </c>
      <c r="K969" s="106">
        <f t="shared" si="250"/>
        <v>3</v>
      </c>
      <c r="L969" s="106">
        <f>IF(NOT(ISERROR(VLOOKUP(B969,Deflatores!G$42:H$64,2,FALSE))),VLOOKUP(B969,Deflatores!G$42:H$64,2,FALSE),IF(OR(ISBLANK(C969),ISBLANK(B969)),"",VLOOKUP(C969,Deflatores!G$4:H$38,2,FALSE)*H969+VLOOKUP(C969,Deflatores!G$4:I$38,3,FALSE)))</f>
        <v>3</v>
      </c>
      <c r="M969" s="106"/>
      <c r="N969" s="106"/>
      <c r="O969" s="124"/>
    </row>
    <row r="970" spans="1:15" x14ac:dyDescent="0.25">
      <c r="A970" s="112" t="s">
        <v>799</v>
      </c>
      <c r="B970" s="113" t="s">
        <v>48</v>
      </c>
      <c r="C970" s="113" t="s">
        <v>45</v>
      </c>
      <c r="D970" s="4">
        <v>7</v>
      </c>
      <c r="E970" s="4">
        <v>1</v>
      </c>
      <c r="F970" s="106" t="str">
        <f t="shared" si="245"/>
        <v>Baixa</v>
      </c>
      <c r="G970" s="106" t="str">
        <f t="shared" si="246"/>
        <v>EEL</v>
      </c>
      <c r="H970" s="4">
        <f t="shared" si="247"/>
        <v>3</v>
      </c>
      <c r="I970" s="105" t="str">
        <f t="shared" si="248"/>
        <v>L</v>
      </c>
      <c r="J970" s="4" t="str">
        <f t="shared" si="249"/>
        <v>EEI</v>
      </c>
      <c r="K970" s="106">
        <f t="shared" si="250"/>
        <v>3</v>
      </c>
      <c r="L970" s="106">
        <f>IF(NOT(ISERROR(VLOOKUP(B970,Deflatores!G$42:H$64,2,FALSE))),VLOOKUP(B970,Deflatores!G$42:H$64,2,FALSE),IF(OR(ISBLANK(C970),ISBLANK(B970)),"",VLOOKUP(C970,Deflatores!G$4:H$38,2,FALSE)*H970+VLOOKUP(C970,Deflatores!G$4:I$38,3,FALSE)))</f>
        <v>3</v>
      </c>
      <c r="M970" s="106"/>
      <c r="N970" s="106"/>
      <c r="O970" s="124"/>
    </row>
    <row r="971" spans="1:15" x14ac:dyDescent="0.25">
      <c r="A971" s="114" t="s">
        <v>800</v>
      </c>
      <c r="B971" s="113" t="s">
        <v>50</v>
      </c>
      <c r="C971" s="113" t="s">
        <v>45</v>
      </c>
      <c r="D971" s="4">
        <v>5</v>
      </c>
      <c r="E971" s="4">
        <v>1</v>
      </c>
      <c r="F971" s="106" t="str">
        <f t="shared" si="245"/>
        <v>Baixa</v>
      </c>
      <c r="G971" s="106" t="str">
        <f t="shared" si="246"/>
        <v>CEL</v>
      </c>
      <c r="H971" s="4">
        <f t="shared" si="247"/>
        <v>3</v>
      </c>
      <c r="I971" s="105" t="str">
        <f t="shared" si="248"/>
        <v>L</v>
      </c>
      <c r="J971" s="4" t="str">
        <f t="shared" si="249"/>
        <v>CEI</v>
      </c>
      <c r="K971" s="106">
        <f t="shared" si="250"/>
        <v>3</v>
      </c>
      <c r="L971" s="106">
        <f>IF(NOT(ISERROR(VLOOKUP(B971,Deflatores!G$42:H$64,2,FALSE))),VLOOKUP(B971,Deflatores!G$42:H$64,2,FALSE),IF(OR(ISBLANK(C971),ISBLANK(B971)),"",VLOOKUP(C971,Deflatores!G$4:H$38,2,FALSE)*H971+VLOOKUP(C971,Deflatores!G$4:I$38,3,FALSE)))</f>
        <v>3</v>
      </c>
      <c r="M971" s="106"/>
      <c r="N971" s="106"/>
      <c r="O971" s="124"/>
    </row>
    <row r="972" spans="1:15" x14ac:dyDescent="0.25">
      <c r="A972" s="112" t="s">
        <v>801</v>
      </c>
      <c r="B972" s="113" t="s">
        <v>50</v>
      </c>
      <c r="C972" s="113" t="s">
        <v>45</v>
      </c>
      <c r="D972" s="4">
        <v>7</v>
      </c>
      <c r="E972" s="4">
        <v>1</v>
      </c>
      <c r="F972" s="106" t="str">
        <f t="shared" si="245"/>
        <v>Baixa</v>
      </c>
      <c r="G972" s="106" t="str">
        <f t="shared" si="246"/>
        <v>CEL</v>
      </c>
      <c r="H972" s="4">
        <f t="shared" si="247"/>
        <v>3</v>
      </c>
      <c r="I972" s="105" t="str">
        <f t="shared" si="248"/>
        <v>L</v>
      </c>
      <c r="J972" s="4" t="str">
        <f t="shared" si="249"/>
        <v>CEI</v>
      </c>
      <c r="K972" s="106">
        <f t="shared" si="250"/>
        <v>3</v>
      </c>
      <c r="L972" s="106">
        <f>IF(NOT(ISERROR(VLOOKUP(B972,Deflatores!G$42:H$64,2,FALSE))),VLOOKUP(B972,Deflatores!G$42:H$64,2,FALSE),IF(OR(ISBLANK(C972),ISBLANK(B972)),"",VLOOKUP(C972,Deflatores!G$4:H$38,2,FALSE)*H972+VLOOKUP(C972,Deflatores!G$4:I$38,3,FALSE)))</f>
        <v>3</v>
      </c>
      <c r="M972" s="106"/>
      <c r="N972" s="106"/>
      <c r="O972" s="124"/>
    </row>
    <row r="973" spans="1:15" x14ac:dyDescent="0.25">
      <c r="A973" s="112" t="s">
        <v>802</v>
      </c>
      <c r="B973" s="113" t="s">
        <v>48</v>
      </c>
      <c r="C973" s="113" t="s">
        <v>45</v>
      </c>
      <c r="D973" s="4">
        <v>3</v>
      </c>
      <c r="E973" s="4">
        <v>1</v>
      </c>
      <c r="F973" s="106" t="str">
        <f t="shared" si="245"/>
        <v>Baixa</v>
      </c>
      <c r="G973" s="106" t="str">
        <f t="shared" si="246"/>
        <v>EEL</v>
      </c>
      <c r="H973" s="4">
        <f t="shared" si="247"/>
        <v>3</v>
      </c>
      <c r="I973" s="105" t="str">
        <f t="shared" si="248"/>
        <v>L</v>
      </c>
      <c r="J973" s="4" t="str">
        <f t="shared" si="249"/>
        <v>EEI</v>
      </c>
      <c r="K973" s="106">
        <f t="shared" si="250"/>
        <v>3</v>
      </c>
      <c r="L973" s="106">
        <f>IF(NOT(ISERROR(VLOOKUP(B973,Deflatores!G$42:H$64,2,FALSE))),VLOOKUP(B973,Deflatores!G$42:H$64,2,FALSE),IF(OR(ISBLANK(C973),ISBLANK(B973)),"",VLOOKUP(C973,Deflatores!G$4:H$38,2,FALSE)*H973+VLOOKUP(C973,Deflatores!G$4:I$38,3,FALSE)))</f>
        <v>3</v>
      </c>
      <c r="M973" s="106"/>
      <c r="N973" s="106"/>
      <c r="O973" s="124"/>
    </row>
    <row r="974" spans="1:15" x14ac:dyDescent="0.25">
      <c r="A974" s="112" t="s">
        <v>803</v>
      </c>
      <c r="B974" s="113" t="s">
        <v>113</v>
      </c>
      <c r="C974" s="113" t="s">
        <v>45</v>
      </c>
      <c r="D974" s="4">
        <v>9</v>
      </c>
      <c r="E974" s="4">
        <v>1</v>
      </c>
      <c r="F974" s="106" t="str">
        <f t="shared" si="245"/>
        <v>Baixa</v>
      </c>
      <c r="G974" s="106" t="str">
        <f t="shared" si="246"/>
        <v>SEL</v>
      </c>
      <c r="H974" s="4">
        <f t="shared" si="247"/>
        <v>4</v>
      </c>
      <c r="I974" s="105" t="str">
        <f t="shared" si="248"/>
        <v>L</v>
      </c>
      <c r="J974" s="4" t="str">
        <f t="shared" si="249"/>
        <v>SEI</v>
      </c>
      <c r="K974" s="106">
        <f t="shared" si="250"/>
        <v>4</v>
      </c>
      <c r="L974" s="106">
        <f>IF(NOT(ISERROR(VLOOKUP(B974,Deflatores!G$42:H$64,2,FALSE))),VLOOKUP(B974,Deflatores!G$42:H$64,2,FALSE),IF(OR(ISBLANK(C974),ISBLANK(B974)),"",VLOOKUP(C974,Deflatores!G$4:H$38,2,FALSE)*H974+VLOOKUP(C974,Deflatores!G$4:I$38,3,FALSE)))</f>
        <v>4</v>
      </c>
      <c r="M974" s="106"/>
      <c r="N974" s="106"/>
      <c r="O974" s="124"/>
    </row>
    <row r="975" spans="1:15" x14ac:dyDescent="0.25">
      <c r="A975" s="112" t="s">
        <v>804</v>
      </c>
      <c r="B975" s="113" t="s">
        <v>113</v>
      </c>
      <c r="C975" s="113" t="s">
        <v>45</v>
      </c>
      <c r="D975" s="4">
        <v>10</v>
      </c>
      <c r="E975" s="4">
        <v>1</v>
      </c>
      <c r="F975" s="106" t="str">
        <f t="shared" si="245"/>
        <v>Baixa</v>
      </c>
      <c r="G975" s="106" t="str">
        <f t="shared" si="246"/>
        <v>SEL</v>
      </c>
      <c r="H975" s="4">
        <f t="shared" si="247"/>
        <v>4</v>
      </c>
      <c r="I975" s="105" t="str">
        <f t="shared" si="248"/>
        <v>L</v>
      </c>
      <c r="J975" s="4" t="str">
        <f t="shared" si="249"/>
        <v>SEI</v>
      </c>
      <c r="K975" s="106">
        <f t="shared" si="250"/>
        <v>4</v>
      </c>
      <c r="L975" s="106">
        <f>IF(NOT(ISERROR(VLOOKUP(B975,Deflatores!G$42:H$64,2,FALSE))),VLOOKUP(B975,Deflatores!G$42:H$64,2,FALSE),IF(OR(ISBLANK(C975),ISBLANK(B975)),"",VLOOKUP(C975,Deflatores!G$4:H$38,2,FALSE)*H975+VLOOKUP(C975,Deflatores!G$4:I$38,3,FALSE)))</f>
        <v>4</v>
      </c>
      <c r="M975" s="106"/>
      <c r="N975" s="106"/>
      <c r="O975" s="124"/>
    </row>
    <row r="976" spans="1:15" x14ac:dyDescent="0.25">
      <c r="A976" s="112"/>
      <c r="B976" s="113"/>
      <c r="C976" s="113"/>
      <c r="D976" s="4"/>
      <c r="E976" s="4"/>
      <c r="F976" s="106" t="str">
        <f t="shared" si="245"/>
        <v/>
      </c>
      <c r="G976" s="106" t="str">
        <f t="shared" si="246"/>
        <v/>
      </c>
      <c r="H976" s="4" t="str">
        <f t="shared" si="247"/>
        <v/>
      </c>
      <c r="I976" s="105" t="str">
        <f t="shared" si="248"/>
        <v/>
      </c>
      <c r="J976" s="4" t="str">
        <f t="shared" si="249"/>
        <v/>
      </c>
      <c r="K976" s="106" t="str">
        <f t="shared" si="250"/>
        <v/>
      </c>
      <c r="L976" s="106" t="str">
        <f>IF(NOT(ISERROR(VLOOKUP(B976,Deflatores!G$42:H$64,2,FALSE))),VLOOKUP(B976,Deflatores!G$42:H$64,2,FALSE),IF(OR(ISBLANK(C976),ISBLANK(B976)),"",VLOOKUP(C976,Deflatores!G$4:H$38,2,FALSE)*H976+VLOOKUP(C976,Deflatores!G$4:I$38,3,FALSE)))</f>
        <v/>
      </c>
      <c r="M976" s="106"/>
      <c r="N976" s="106"/>
      <c r="O976" s="124"/>
    </row>
    <row r="977" spans="1:15" x14ac:dyDescent="0.25">
      <c r="A977" s="115" t="s">
        <v>805</v>
      </c>
      <c r="B977" s="113"/>
      <c r="C977" s="113"/>
      <c r="D977" s="4"/>
      <c r="E977" s="4"/>
      <c r="F977" s="106" t="str">
        <f t="shared" si="245"/>
        <v/>
      </c>
      <c r="G977" s="106" t="str">
        <f t="shared" si="246"/>
        <v/>
      </c>
      <c r="H977" s="4" t="str">
        <f t="shared" si="247"/>
        <v/>
      </c>
      <c r="I977" s="105" t="str">
        <f t="shared" si="248"/>
        <v/>
      </c>
      <c r="J977" s="4" t="str">
        <f t="shared" si="249"/>
        <v/>
      </c>
      <c r="K977" s="106" t="str">
        <f t="shared" si="250"/>
        <v/>
      </c>
      <c r="L977" s="106" t="str">
        <f>IF(NOT(ISERROR(VLOOKUP(B977,Deflatores!G$42:H$64,2,FALSE))),VLOOKUP(B977,Deflatores!G$42:H$64,2,FALSE),IF(OR(ISBLANK(C977),ISBLANK(B977)),"",VLOOKUP(C977,Deflatores!G$4:H$38,2,FALSE)*H977+VLOOKUP(C977,Deflatores!G$4:I$38,3,FALSE)))</f>
        <v/>
      </c>
      <c r="M977" s="106"/>
      <c r="N977" s="106"/>
      <c r="O977" s="124" t="s">
        <v>806</v>
      </c>
    </row>
    <row r="978" spans="1:15" x14ac:dyDescent="0.25">
      <c r="A978" s="112" t="s">
        <v>807</v>
      </c>
      <c r="B978" s="113" t="s">
        <v>44</v>
      </c>
      <c r="C978" s="113" t="s">
        <v>72</v>
      </c>
      <c r="D978" s="4">
        <v>17</v>
      </c>
      <c r="E978" s="4">
        <v>2</v>
      </c>
      <c r="F978" s="106" t="str">
        <f t="shared" si="245"/>
        <v>Baixa</v>
      </c>
      <c r="G978" s="106" t="str">
        <f t="shared" si="246"/>
        <v>ALIL</v>
      </c>
      <c r="H978" s="4">
        <f t="shared" si="247"/>
        <v>7</v>
      </c>
      <c r="I978" s="105" t="str">
        <f t="shared" si="248"/>
        <v>L</v>
      </c>
      <c r="J978" s="4" t="str">
        <f t="shared" si="249"/>
        <v>ALIE</v>
      </c>
      <c r="K978" s="106">
        <f t="shared" si="250"/>
        <v>7</v>
      </c>
      <c r="L978" s="106">
        <f>IF(NOT(ISERROR(VLOOKUP(B978,Deflatores!G$42:H$64,2,FALSE))),VLOOKUP(B978,Deflatores!G$42:H$64,2,FALSE),IF(OR(ISBLANK(C978),ISBLANK(B978)),"",VLOOKUP(C978,Deflatores!G$4:H$38,2,FALSE)*H978+VLOOKUP(C978,Deflatores!G$4:I$38,3,FALSE)))</f>
        <v>2.8000000000000003</v>
      </c>
      <c r="M978" s="106"/>
      <c r="N978" s="106"/>
      <c r="O978" s="124"/>
    </row>
    <row r="979" spans="1:15" x14ac:dyDescent="0.25">
      <c r="A979" s="112" t="s">
        <v>808</v>
      </c>
      <c r="B979" s="113" t="s">
        <v>50</v>
      </c>
      <c r="C979" s="113" t="s">
        <v>72</v>
      </c>
      <c r="D979" s="4">
        <v>13</v>
      </c>
      <c r="E979" s="4">
        <v>3</v>
      </c>
      <c r="F979" s="106" t="str">
        <f t="shared" si="245"/>
        <v>Média</v>
      </c>
      <c r="G979" s="106" t="str">
        <f t="shared" si="246"/>
        <v>CEA</v>
      </c>
      <c r="H979" s="4">
        <f t="shared" si="247"/>
        <v>4</v>
      </c>
      <c r="I979" s="105" t="str">
        <f t="shared" si="248"/>
        <v>A</v>
      </c>
      <c r="J979" s="4" t="str">
        <f t="shared" si="249"/>
        <v>CEE</v>
      </c>
      <c r="K979" s="106">
        <f t="shared" si="250"/>
        <v>4</v>
      </c>
      <c r="L979" s="106">
        <f>IF(NOT(ISERROR(VLOOKUP(B979,Deflatores!G$42:H$64,2,FALSE))),VLOOKUP(B979,Deflatores!G$42:H$64,2,FALSE),IF(OR(ISBLANK(C979),ISBLANK(B979)),"",VLOOKUP(C979,Deflatores!G$4:H$38,2,FALSE)*H979+VLOOKUP(C979,Deflatores!G$4:I$38,3,FALSE)))</f>
        <v>1.6</v>
      </c>
      <c r="M979" s="106"/>
      <c r="N979" s="106"/>
      <c r="O979" s="124"/>
    </row>
    <row r="980" spans="1:15" x14ac:dyDescent="0.25">
      <c r="A980" s="112" t="s">
        <v>809</v>
      </c>
      <c r="B980" s="113" t="s">
        <v>50</v>
      </c>
      <c r="C980" s="113" t="s">
        <v>72</v>
      </c>
      <c r="D980" s="4">
        <v>14</v>
      </c>
      <c r="E980" s="4">
        <v>3</v>
      </c>
      <c r="F980" s="106" t="str">
        <f t="shared" si="245"/>
        <v>Média</v>
      </c>
      <c r="G980" s="106" t="str">
        <f t="shared" si="246"/>
        <v>CEA</v>
      </c>
      <c r="H980" s="4">
        <f t="shared" si="247"/>
        <v>4</v>
      </c>
      <c r="I980" s="105" t="str">
        <f t="shared" si="248"/>
        <v>A</v>
      </c>
      <c r="J980" s="4" t="str">
        <f t="shared" si="249"/>
        <v>CEE</v>
      </c>
      <c r="K980" s="106">
        <f t="shared" si="250"/>
        <v>4</v>
      </c>
      <c r="L980" s="106">
        <f>IF(NOT(ISERROR(VLOOKUP(B980,Deflatores!G$42:H$64,2,FALSE))),VLOOKUP(B980,Deflatores!G$42:H$64,2,FALSE),IF(OR(ISBLANK(C980),ISBLANK(B980)),"",VLOOKUP(C980,Deflatores!G$4:H$38,2,FALSE)*H980+VLOOKUP(C980,Deflatores!G$4:I$38,3,FALSE)))</f>
        <v>1.6</v>
      </c>
      <c r="M980" s="106"/>
      <c r="N980" s="106"/>
      <c r="O980" s="124"/>
    </row>
    <row r="981" spans="1:15" x14ac:dyDescent="0.25">
      <c r="A981" s="112" t="s">
        <v>810</v>
      </c>
      <c r="B981" s="113" t="s">
        <v>48</v>
      </c>
      <c r="C981" s="113" t="s">
        <v>72</v>
      </c>
      <c r="D981" s="4">
        <v>9</v>
      </c>
      <c r="E981" s="4">
        <v>3</v>
      </c>
      <c r="F981" s="106" t="str">
        <f t="shared" si="245"/>
        <v>Alta</v>
      </c>
      <c r="G981" s="106" t="str">
        <f t="shared" si="246"/>
        <v>EEH</v>
      </c>
      <c r="H981" s="4">
        <f t="shared" si="247"/>
        <v>6</v>
      </c>
      <c r="I981" s="105" t="str">
        <f t="shared" si="248"/>
        <v>H</v>
      </c>
      <c r="J981" s="4" t="str">
        <f t="shared" si="249"/>
        <v>EEE</v>
      </c>
      <c r="K981" s="106">
        <f t="shared" si="250"/>
        <v>6</v>
      </c>
      <c r="L981" s="106">
        <f>IF(NOT(ISERROR(VLOOKUP(B981,Deflatores!G$42:H$64,2,FALSE))),VLOOKUP(B981,Deflatores!G$42:H$64,2,FALSE),IF(OR(ISBLANK(C981),ISBLANK(B981)),"",VLOOKUP(C981,Deflatores!G$4:H$38,2,FALSE)*H981+VLOOKUP(C981,Deflatores!G$4:I$38,3,FALSE)))</f>
        <v>2.4000000000000004</v>
      </c>
      <c r="M981" s="106"/>
      <c r="N981" s="106"/>
      <c r="O981" s="124"/>
    </row>
    <row r="982" spans="1:15" s="117" customFormat="1" x14ac:dyDescent="0.25">
      <c r="A982" s="114" t="s">
        <v>811</v>
      </c>
      <c r="B982" s="113" t="s">
        <v>50</v>
      </c>
      <c r="C982" s="113" t="s">
        <v>45</v>
      </c>
      <c r="D982" s="4">
        <v>3</v>
      </c>
      <c r="E982" s="4">
        <v>1</v>
      </c>
      <c r="F982" s="106" t="str">
        <f t="shared" si="245"/>
        <v>Baixa</v>
      </c>
      <c r="G982" s="106" t="str">
        <f t="shared" si="246"/>
        <v>CEL</v>
      </c>
      <c r="H982" s="4">
        <f t="shared" si="247"/>
        <v>3</v>
      </c>
      <c r="I982" s="105" t="str">
        <f t="shared" si="248"/>
        <v>L</v>
      </c>
      <c r="J982" s="4" t="str">
        <f t="shared" si="249"/>
        <v>CEI</v>
      </c>
      <c r="K982" s="106">
        <f t="shared" si="250"/>
        <v>3</v>
      </c>
      <c r="L982" s="106">
        <f>IF(NOT(ISERROR(VLOOKUP(B982,Deflatores!G$42:H$64,2,FALSE))),VLOOKUP(B982,Deflatores!G$42:H$64,2,FALSE),IF(OR(ISBLANK(C982),ISBLANK(B982)),"",VLOOKUP(C982,Deflatores!G$4:H$38,2,FALSE)*H982+VLOOKUP(C982,Deflatores!G$4:I$38,3,FALSE)))</f>
        <v>3</v>
      </c>
      <c r="M982" s="116"/>
      <c r="N982" s="116"/>
      <c r="O982" s="123" t="s">
        <v>812</v>
      </c>
    </row>
    <row r="983" spans="1:15" x14ac:dyDescent="0.25">
      <c r="A983" s="112" t="s">
        <v>813</v>
      </c>
      <c r="B983" s="113" t="s">
        <v>48</v>
      </c>
      <c r="C983" s="113" t="s">
        <v>72</v>
      </c>
      <c r="D983" s="4">
        <v>10</v>
      </c>
      <c r="E983" s="4">
        <v>3</v>
      </c>
      <c r="F983" s="106" t="str">
        <f t="shared" si="245"/>
        <v>Alta</v>
      </c>
      <c r="G983" s="106" t="str">
        <f t="shared" si="246"/>
        <v>EEH</v>
      </c>
      <c r="H983" s="4">
        <f t="shared" si="247"/>
        <v>6</v>
      </c>
      <c r="I983" s="105" t="str">
        <f t="shared" si="248"/>
        <v>H</v>
      </c>
      <c r="J983" s="4" t="str">
        <f t="shared" si="249"/>
        <v>EEE</v>
      </c>
      <c r="K983" s="106">
        <f t="shared" si="250"/>
        <v>6</v>
      </c>
      <c r="L983" s="106">
        <f>IF(NOT(ISERROR(VLOOKUP(B983,Deflatores!G$42:H$64,2,FALSE))),VLOOKUP(B983,Deflatores!G$42:H$64,2,FALSE),IF(OR(ISBLANK(C983),ISBLANK(B983)),"",VLOOKUP(C983,Deflatores!G$4:H$38,2,FALSE)*H983+VLOOKUP(C983,Deflatores!G$4:I$38,3,FALSE)))</f>
        <v>2.4000000000000004</v>
      </c>
      <c r="M983" s="106"/>
      <c r="N983" s="106"/>
      <c r="O983" s="124"/>
    </row>
    <row r="984" spans="1:15" s="117" customFormat="1" x14ac:dyDescent="0.25">
      <c r="A984" s="114" t="s">
        <v>793</v>
      </c>
      <c r="B984" s="113" t="s">
        <v>50</v>
      </c>
      <c r="C984" s="113" t="s">
        <v>72</v>
      </c>
      <c r="D984" s="4">
        <v>8</v>
      </c>
      <c r="E984" s="4">
        <v>3</v>
      </c>
      <c r="F984" s="106" t="str">
        <f t="shared" si="245"/>
        <v>Média</v>
      </c>
      <c r="G984" s="106" t="str">
        <f t="shared" si="246"/>
        <v>CEA</v>
      </c>
      <c r="H984" s="4">
        <f t="shared" si="247"/>
        <v>4</v>
      </c>
      <c r="I984" s="105" t="str">
        <f t="shared" si="248"/>
        <v>A</v>
      </c>
      <c r="J984" s="4" t="str">
        <f t="shared" si="249"/>
        <v>CEE</v>
      </c>
      <c r="K984" s="106">
        <f t="shared" si="250"/>
        <v>4</v>
      </c>
      <c r="L984" s="106">
        <f>IF(NOT(ISERROR(VLOOKUP(B984,Deflatores!G$42:H$64,2,FALSE))),VLOOKUP(B984,Deflatores!G$42:H$64,2,FALSE),IF(OR(ISBLANK(C984),ISBLANK(B984)),"",VLOOKUP(C984,Deflatores!G$4:H$38,2,FALSE)*H984+VLOOKUP(C984,Deflatores!G$4:I$38,3,FALSE)))</f>
        <v>1.6</v>
      </c>
      <c r="M984" s="116"/>
      <c r="N984" s="116"/>
      <c r="O984" s="116"/>
    </row>
    <row r="985" spans="1:15" x14ac:dyDescent="0.25">
      <c r="A985" s="112" t="s">
        <v>814</v>
      </c>
      <c r="B985" s="113" t="s">
        <v>48</v>
      </c>
      <c r="C985" s="113" t="s">
        <v>72</v>
      </c>
      <c r="D985" s="4">
        <v>3</v>
      </c>
      <c r="E985" s="4">
        <v>1</v>
      </c>
      <c r="F985" s="106" t="str">
        <f t="shared" ref="F985:F1003" si="251">IF(ISBLANK(B985),"",IF(I985="L","Baixa",IF(I985="A","Média",IF(I985="","","Alta"))))</f>
        <v>Baixa</v>
      </c>
      <c r="G985" s="106" t="str">
        <f t="shared" ref="G985:G1003" si="252">CONCATENATE(B985,I985)</f>
        <v>EEL</v>
      </c>
      <c r="H985" s="4">
        <f t="shared" ref="H985:H1003" si="253">IF(ISBLANK(B985),"",IF(B985="ALI",IF(I985="L",7,IF(I985="A",10,15)),IF(B985="AIE",IF(I985="L",5,IF(I985="A",7,10)),IF(B985="SE",IF(I985="L",4,IF(I985="A",5,7)),IF(OR(B985="EE",B985="CE"),IF(I985="L",3,IF(I985="A",4,6)),0)))))</f>
        <v>3</v>
      </c>
      <c r="I985" s="105" t="str">
        <f t="shared" ref="I985:I1003" si="254">IF(OR(ISBLANK(D985),ISBLANK(E985)),IF(OR(B985="ALI",B985="AIE"),"L",IF(OR(B985="EE",B985="SE",B985="CE"),"A","")),IF(B985="EE",IF(E985&gt;=3,IF(D985&gt;=5,"H","A"),IF(E985&gt;=2,IF(D985&gt;=16,"H",IF(D985&lt;=4,"L","A")),IF(D985&lt;=15,"L","A"))),IF(OR(B985="SE",B985="CE"),IF(E985&gt;=4,IF(D985&gt;=6,"H","A"),IF(E985&gt;=2,IF(D985&gt;=20,"H",IF(D985&lt;=5,"L","A")),IF(D985&lt;=19,"L","A"))),IF(OR(B985="ALI",B985="AIE"),IF(E985&gt;=6,IF(D985&gt;=20,"H","A"),IF(E985&gt;=2,IF(D985&gt;=51,"H",IF(D985&lt;=19,"L","A")),IF(D985&lt;=50,"L","A"))),""))))</f>
        <v>L</v>
      </c>
      <c r="J985" s="4" t="str">
        <f t="shared" ref="J985:J1003" si="255">CONCATENATE(B985,C985)</f>
        <v>EEE</v>
      </c>
      <c r="K985" s="106">
        <f t="shared" ref="K985:K1003" si="256">IF(OR(H985="",H985=0),L985,H985)</f>
        <v>3</v>
      </c>
      <c r="L985" s="106">
        <f>IF(NOT(ISERROR(VLOOKUP(B985,Deflatores!G$42:H$64,2,FALSE))),VLOOKUP(B985,Deflatores!G$42:H$64,2,FALSE),IF(OR(ISBLANK(C985),ISBLANK(B985)),"",VLOOKUP(C985,Deflatores!G$4:H$38,2,FALSE)*H985+VLOOKUP(C985,Deflatores!G$4:I$38,3,FALSE)))</f>
        <v>1.2000000000000002</v>
      </c>
      <c r="M985" s="106"/>
      <c r="N985" s="106"/>
      <c r="O985" s="124"/>
    </row>
    <row r="986" spans="1:15" x14ac:dyDescent="0.25">
      <c r="A986" s="112" t="s">
        <v>815</v>
      </c>
      <c r="B986" s="113" t="s">
        <v>50</v>
      </c>
      <c r="C986" s="113" t="s">
        <v>72</v>
      </c>
      <c r="D986" s="4">
        <v>10</v>
      </c>
      <c r="E986" s="4">
        <v>3</v>
      </c>
      <c r="F986" s="106" t="str">
        <f t="shared" si="251"/>
        <v>Média</v>
      </c>
      <c r="G986" s="106" t="str">
        <f t="shared" si="252"/>
        <v>CEA</v>
      </c>
      <c r="H986" s="4">
        <f t="shared" si="253"/>
        <v>4</v>
      </c>
      <c r="I986" s="105" t="str">
        <f t="shared" si="254"/>
        <v>A</v>
      </c>
      <c r="J986" s="4" t="str">
        <f t="shared" si="255"/>
        <v>CEE</v>
      </c>
      <c r="K986" s="106">
        <f t="shared" si="256"/>
        <v>4</v>
      </c>
      <c r="L986" s="106">
        <f>IF(NOT(ISERROR(VLOOKUP(B986,Deflatores!G$42:H$64,2,FALSE))),VLOOKUP(B986,Deflatores!G$42:H$64,2,FALSE),IF(OR(ISBLANK(C986),ISBLANK(B986)),"",VLOOKUP(C986,Deflatores!G$4:H$38,2,FALSE)*H986+VLOOKUP(C986,Deflatores!G$4:I$38,3,FALSE)))</f>
        <v>1.6</v>
      </c>
      <c r="M986" s="106"/>
      <c r="N986" s="106"/>
      <c r="O986" s="124"/>
    </row>
    <row r="987" spans="1:15" x14ac:dyDescent="0.25">
      <c r="A987" s="112"/>
      <c r="B987" s="113"/>
      <c r="C987" s="113"/>
      <c r="D987" s="4"/>
      <c r="E987" s="4"/>
      <c r="F987" s="106" t="str">
        <f t="shared" si="251"/>
        <v/>
      </c>
      <c r="G987" s="106" t="str">
        <f t="shared" si="252"/>
        <v/>
      </c>
      <c r="H987" s="4" t="str">
        <f t="shared" si="253"/>
        <v/>
      </c>
      <c r="I987" s="105" t="str">
        <f t="shared" si="254"/>
        <v/>
      </c>
      <c r="J987" s="4" t="str">
        <f t="shared" si="255"/>
        <v/>
      </c>
      <c r="K987" s="106" t="str">
        <f t="shared" si="256"/>
        <v/>
      </c>
      <c r="L987" s="106" t="str">
        <f>IF(NOT(ISERROR(VLOOKUP(B987,Deflatores!G$42:H$64,2,FALSE))),VLOOKUP(B987,Deflatores!G$42:H$64,2,FALSE),IF(OR(ISBLANK(C987),ISBLANK(B987)),"",VLOOKUP(C987,Deflatores!G$4:H$38,2,FALSE)*H987+VLOOKUP(C987,Deflatores!G$4:I$38,3,FALSE)))</f>
        <v/>
      </c>
      <c r="M987" s="106"/>
      <c r="N987" s="106"/>
      <c r="O987" s="124"/>
    </row>
    <row r="988" spans="1:15" x14ac:dyDescent="0.25">
      <c r="A988" s="115" t="s">
        <v>816</v>
      </c>
      <c r="B988" s="113"/>
      <c r="C988" s="113"/>
      <c r="D988" s="4"/>
      <c r="E988" s="4"/>
      <c r="F988" s="106" t="str">
        <f t="shared" si="251"/>
        <v/>
      </c>
      <c r="G988" s="106" t="str">
        <f t="shared" si="252"/>
        <v/>
      </c>
      <c r="H988" s="4" t="str">
        <f t="shared" si="253"/>
        <v/>
      </c>
      <c r="I988" s="105" t="str">
        <f t="shared" si="254"/>
        <v/>
      </c>
      <c r="J988" s="4" t="str">
        <f t="shared" si="255"/>
        <v/>
      </c>
      <c r="K988" s="106" t="str">
        <f t="shared" si="256"/>
        <v/>
      </c>
      <c r="L988" s="106" t="str">
        <f>IF(NOT(ISERROR(VLOOKUP(B988,Deflatores!G$42:H$64,2,FALSE))),VLOOKUP(B988,Deflatores!G$42:H$64,2,FALSE),IF(OR(ISBLANK(C988),ISBLANK(B988)),"",VLOOKUP(C988,Deflatores!G$4:H$38,2,FALSE)*H988+VLOOKUP(C988,Deflatores!G$4:I$38,3,FALSE)))</f>
        <v/>
      </c>
      <c r="M988" s="106"/>
      <c r="N988" s="106"/>
      <c r="O988" s="124"/>
    </row>
    <row r="989" spans="1:15" x14ac:dyDescent="0.25">
      <c r="A989" s="112" t="s">
        <v>817</v>
      </c>
      <c r="B989" s="113" t="s">
        <v>44</v>
      </c>
      <c r="C989" s="113" t="s">
        <v>45</v>
      </c>
      <c r="D989" s="4">
        <v>38</v>
      </c>
      <c r="E989" s="4">
        <v>7</v>
      </c>
      <c r="F989" s="106" t="str">
        <f t="shared" si="251"/>
        <v>Alta</v>
      </c>
      <c r="G989" s="106" t="str">
        <f t="shared" si="252"/>
        <v>ALIH</v>
      </c>
      <c r="H989" s="4">
        <f t="shared" si="253"/>
        <v>15</v>
      </c>
      <c r="I989" s="105" t="str">
        <f t="shared" si="254"/>
        <v>H</v>
      </c>
      <c r="J989" s="4" t="str">
        <f t="shared" si="255"/>
        <v>ALII</v>
      </c>
      <c r="K989" s="106">
        <f t="shared" si="256"/>
        <v>15</v>
      </c>
      <c r="L989" s="106">
        <f>IF(NOT(ISERROR(VLOOKUP(B989,Deflatores!G$42:H$64,2,FALSE))),VLOOKUP(B989,Deflatores!G$42:H$64,2,FALSE),IF(OR(ISBLANK(C989),ISBLANK(B989)),"",VLOOKUP(C989,Deflatores!G$4:H$38,2,FALSE)*H989+VLOOKUP(C989,Deflatores!G$4:I$38,3,FALSE)))</f>
        <v>15</v>
      </c>
      <c r="M989" s="106"/>
      <c r="N989" s="106"/>
      <c r="O989" s="124"/>
    </row>
    <row r="990" spans="1:15" x14ac:dyDescent="0.25">
      <c r="A990" s="112" t="s">
        <v>818</v>
      </c>
      <c r="B990" s="113" t="s">
        <v>67</v>
      </c>
      <c r="C990" s="113" t="s">
        <v>45</v>
      </c>
      <c r="D990" s="4">
        <v>3</v>
      </c>
      <c r="E990" s="4">
        <v>3</v>
      </c>
      <c r="F990" s="106" t="str">
        <f t="shared" si="251"/>
        <v>Baixa</v>
      </c>
      <c r="G990" s="106" t="str">
        <f t="shared" si="252"/>
        <v>AIEL</v>
      </c>
      <c r="H990" s="4">
        <f t="shared" si="253"/>
        <v>5</v>
      </c>
      <c r="I990" s="105" t="str">
        <f t="shared" si="254"/>
        <v>L</v>
      </c>
      <c r="J990" s="4" t="str">
        <f t="shared" si="255"/>
        <v>AIEI</v>
      </c>
      <c r="K990" s="106">
        <f t="shared" si="256"/>
        <v>5</v>
      </c>
      <c r="L990" s="106">
        <f>IF(NOT(ISERROR(VLOOKUP(B990,Deflatores!G$42:H$64,2,FALSE))),VLOOKUP(B990,Deflatores!G$42:H$64,2,FALSE),IF(OR(ISBLANK(C990),ISBLANK(B990)),"",VLOOKUP(C990,Deflatores!G$4:H$38,2,FALSE)*H990+VLOOKUP(C990,Deflatores!G$4:I$38,3,FALSE)))</f>
        <v>5</v>
      </c>
      <c r="M990" s="106"/>
      <c r="N990" s="106"/>
      <c r="O990" s="124"/>
    </row>
    <row r="991" spans="1:15" x14ac:dyDescent="0.25">
      <c r="A991" s="112" t="s">
        <v>819</v>
      </c>
      <c r="B991" s="113" t="s">
        <v>50</v>
      </c>
      <c r="C991" s="113" t="s">
        <v>45</v>
      </c>
      <c r="D991" s="4">
        <v>16</v>
      </c>
      <c r="E991" s="4">
        <v>3</v>
      </c>
      <c r="F991" s="106" t="str">
        <f t="shared" si="251"/>
        <v>Média</v>
      </c>
      <c r="G991" s="106" t="str">
        <f t="shared" si="252"/>
        <v>CEA</v>
      </c>
      <c r="H991" s="4">
        <f t="shared" si="253"/>
        <v>4</v>
      </c>
      <c r="I991" s="105" t="str">
        <f t="shared" si="254"/>
        <v>A</v>
      </c>
      <c r="J991" s="4" t="str">
        <f t="shared" si="255"/>
        <v>CEI</v>
      </c>
      <c r="K991" s="106">
        <f t="shared" si="256"/>
        <v>4</v>
      </c>
      <c r="L991" s="106">
        <f>IF(NOT(ISERROR(VLOOKUP(B991,Deflatores!G$42:H$64,2,FALSE))),VLOOKUP(B991,Deflatores!G$42:H$64,2,FALSE),IF(OR(ISBLANK(C991),ISBLANK(B991)),"",VLOOKUP(C991,Deflatores!G$4:H$38,2,FALSE)*H991+VLOOKUP(C991,Deflatores!G$4:I$38,3,FALSE)))</f>
        <v>4</v>
      </c>
      <c r="M991" s="106"/>
      <c r="N991" s="106"/>
      <c r="O991" s="124"/>
    </row>
    <row r="992" spans="1:15" x14ac:dyDescent="0.25">
      <c r="A992" s="112" t="s">
        <v>820</v>
      </c>
      <c r="B992" s="113" t="s">
        <v>48</v>
      </c>
      <c r="C992" s="113" t="s">
        <v>45</v>
      </c>
      <c r="D992" s="4">
        <v>19</v>
      </c>
      <c r="E992" s="4">
        <v>2</v>
      </c>
      <c r="F992" s="106" t="str">
        <f t="shared" si="251"/>
        <v>Alta</v>
      </c>
      <c r="G992" s="106" t="str">
        <f t="shared" si="252"/>
        <v>EEH</v>
      </c>
      <c r="H992" s="4">
        <f t="shared" si="253"/>
        <v>6</v>
      </c>
      <c r="I992" s="105" t="str">
        <f t="shared" si="254"/>
        <v>H</v>
      </c>
      <c r="J992" s="4" t="str">
        <f t="shared" si="255"/>
        <v>EEI</v>
      </c>
      <c r="K992" s="106">
        <f t="shared" si="256"/>
        <v>6</v>
      </c>
      <c r="L992" s="106">
        <f>IF(NOT(ISERROR(VLOOKUP(B992,Deflatores!G$42:H$64,2,FALSE))),VLOOKUP(B992,Deflatores!G$42:H$64,2,FALSE),IF(OR(ISBLANK(C992),ISBLANK(B992)),"",VLOOKUP(C992,Deflatores!G$4:H$38,2,FALSE)*H992+VLOOKUP(C992,Deflatores!G$4:I$38,3,FALSE)))</f>
        <v>6</v>
      </c>
      <c r="M992" s="106"/>
      <c r="N992" s="106"/>
      <c r="O992" s="124"/>
    </row>
    <row r="993" spans="1:15" s="117" customFormat="1" x14ac:dyDescent="0.25">
      <c r="A993" s="114" t="s">
        <v>821</v>
      </c>
      <c r="B993" s="113" t="s">
        <v>50</v>
      </c>
      <c r="C993" s="113" t="s">
        <v>45</v>
      </c>
      <c r="D993" s="4">
        <v>3</v>
      </c>
      <c r="E993" s="4">
        <v>1</v>
      </c>
      <c r="F993" s="106" t="str">
        <f t="shared" si="251"/>
        <v>Baixa</v>
      </c>
      <c r="G993" s="106" t="str">
        <f t="shared" si="252"/>
        <v>CEL</v>
      </c>
      <c r="H993" s="4">
        <f t="shared" si="253"/>
        <v>3</v>
      </c>
      <c r="I993" s="105" t="str">
        <f t="shared" si="254"/>
        <v>L</v>
      </c>
      <c r="J993" s="4" t="str">
        <f t="shared" si="255"/>
        <v>CEI</v>
      </c>
      <c r="K993" s="106">
        <f t="shared" si="256"/>
        <v>3</v>
      </c>
      <c r="L993" s="106">
        <f>IF(NOT(ISERROR(VLOOKUP(B993,Deflatores!G$42:H$64,2,FALSE))),VLOOKUP(B993,Deflatores!G$42:H$64,2,FALSE),IF(OR(ISBLANK(C993),ISBLANK(B993)),"",VLOOKUP(C993,Deflatores!G$4:H$38,2,FALSE)*H993+VLOOKUP(C993,Deflatores!G$4:I$38,3,FALSE)))</f>
        <v>3</v>
      </c>
      <c r="M993" s="116"/>
      <c r="N993" s="116"/>
      <c r="O993" s="116"/>
    </row>
    <row r="994" spans="1:15" x14ac:dyDescent="0.25">
      <c r="A994" s="112" t="s">
        <v>822</v>
      </c>
      <c r="B994" s="113" t="s">
        <v>48</v>
      </c>
      <c r="C994" s="113" t="s">
        <v>45</v>
      </c>
      <c r="D994" s="4">
        <v>21</v>
      </c>
      <c r="E994" s="4">
        <v>3</v>
      </c>
      <c r="F994" s="106" t="str">
        <f t="shared" si="251"/>
        <v>Alta</v>
      </c>
      <c r="G994" s="106" t="str">
        <f t="shared" si="252"/>
        <v>EEH</v>
      </c>
      <c r="H994" s="4">
        <f t="shared" si="253"/>
        <v>6</v>
      </c>
      <c r="I994" s="105" t="str">
        <f t="shared" si="254"/>
        <v>H</v>
      </c>
      <c r="J994" s="4" t="str">
        <f t="shared" si="255"/>
        <v>EEI</v>
      </c>
      <c r="K994" s="106">
        <f t="shared" si="256"/>
        <v>6</v>
      </c>
      <c r="L994" s="106">
        <f>IF(NOT(ISERROR(VLOOKUP(B994,Deflatores!G$42:H$64,2,FALSE))),VLOOKUP(B994,Deflatores!G$42:H$64,2,FALSE),IF(OR(ISBLANK(C994),ISBLANK(B994)),"",VLOOKUP(C994,Deflatores!G$4:H$38,2,FALSE)*H994+VLOOKUP(C994,Deflatores!G$4:I$38,3,FALSE)))</f>
        <v>6</v>
      </c>
      <c r="M994" s="106"/>
      <c r="N994" s="106"/>
      <c r="O994" s="124"/>
    </row>
    <row r="995" spans="1:15" s="117" customFormat="1" x14ac:dyDescent="0.25">
      <c r="A995" s="114" t="s">
        <v>823</v>
      </c>
      <c r="B995" s="113" t="s">
        <v>50</v>
      </c>
      <c r="C995" s="113" t="s">
        <v>45</v>
      </c>
      <c r="D995" s="4">
        <v>3</v>
      </c>
      <c r="E995" s="4">
        <v>1</v>
      </c>
      <c r="F995" s="106" t="str">
        <f t="shared" si="251"/>
        <v>Baixa</v>
      </c>
      <c r="G995" s="106" t="str">
        <f t="shared" si="252"/>
        <v>CEL</v>
      </c>
      <c r="H995" s="4">
        <f t="shared" si="253"/>
        <v>3</v>
      </c>
      <c r="I995" s="105" t="str">
        <f t="shared" si="254"/>
        <v>L</v>
      </c>
      <c r="J995" s="4" t="str">
        <f t="shared" si="255"/>
        <v>CEI</v>
      </c>
      <c r="K995" s="106">
        <f t="shared" si="256"/>
        <v>3</v>
      </c>
      <c r="L995" s="106">
        <f>IF(NOT(ISERROR(VLOOKUP(B995,Deflatores!G$42:H$64,2,FALSE))),VLOOKUP(B995,Deflatores!G$42:H$64,2,FALSE),IF(OR(ISBLANK(C995),ISBLANK(B995)),"",VLOOKUP(C995,Deflatores!G$4:H$38,2,FALSE)*H995+VLOOKUP(C995,Deflatores!G$4:I$38,3,FALSE)))</f>
        <v>3</v>
      </c>
      <c r="M995" s="116"/>
      <c r="N995" s="116"/>
      <c r="O995" s="116"/>
    </row>
    <row r="996" spans="1:15" s="117" customFormat="1" x14ac:dyDescent="0.25">
      <c r="A996" s="114" t="s">
        <v>824</v>
      </c>
      <c r="B996" s="113" t="s">
        <v>50</v>
      </c>
      <c r="C996" s="113" t="s">
        <v>45</v>
      </c>
      <c r="D996" s="4">
        <v>3</v>
      </c>
      <c r="E996" s="4">
        <v>1</v>
      </c>
      <c r="F996" s="106" t="str">
        <f t="shared" si="251"/>
        <v>Baixa</v>
      </c>
      <c r="G996" s="106" t="str">
        <f t="shared" si="252"/>
        <v>CEL</v>
      </c>
      <c r="H996" s="4">
        <f t="shared" si="253"/>
        <v>3</v>
      </c>
      <c r="I996" s="105" t="str">
        <f t="shared" si="254"/>
        <v>L</v>
      </c>
      <c r="J996" s="4" t="str">
        <f t="shared" si="255"/>
        <v>CEI</v>
      </c>
      <c r="K996" s="106">
        <f t="shared" si="256"/>
        <v>3</v>
      </c>
      <c r="L996" s="106">
        <f>IF(NOT(ISERROR(VLOOKUP(B996,Deflatores!G$42:H$64,2,FALSE))),VLOOKUP(B996,Deflatores!G$42:H$64,2,FALSE),IF(OR(ISBLANK(C996),ISBLANK(B996)),"",VLOOKUP(C996,Deflatores!G$4:H$38,2,FALSE)*H996+VLOOKUP(C996,Deflatores!G$4:I$38,3,FALSE)))</f>
        <v>3</v>
      </c>
      <c r="M996" s="116"/>
      <c r="N996" s="116"/>
      <c r="O996" s="116"/>
    </row>
    <row r="997" spans="1:15" x14ac:dyDescent="0.25">
      <c r="A997" s="114" t="s">
        <v>825</v>
      </c>
      <c r="B997" s="113" t="s">
        <v>50</v>
      </c>
      <c r="C997" s="113" t="s">
        <v>45</v>
      </c>
      <c r="D997" s="4">
        <v>5</v>
      </c>
      <c r="E997" s="4">
        <v>1</v>
      </c>
      <c r="F997" s="106" t="str">
        <f t="shared" si="251"/>
        <v>Baixa</v>
      </c>
      <c r="G997" s="106" t="str">
        <f t="shared" si="252"/>
        <v>CEL</v>
      </c>
      <c r="H997" s="4">
        <f t="shared" si="253"/>
        <v>3</v>
      </c>
      <c r="I997" s="105" t="str">
        <f t="shared" si="254"/>
        <v>L</v>
      </c>
      <c r="J997" s="4" t="str">
        <f t="shared" si="255"/>
        <v>CEI</v>
      </c>
      <c r="K997" s="106">
        <f t="shared" si="256"/>
        <v>3</v>
      </c>
      <c r="L997" s="106">
        <f>IF(NOT(ISERROR(VLOOKUP(B997,Deflatores!G$42:H$64,2,FALSE))),VLOOKUP(B997,Deflatores!G$42:H$64,2,FALSE),IF(OR(ISBLANK(C997),ISBLANK(B997)),"",VLOOKUP(C997,Deflatores!G$4:H$38,2,FALSE)*H997+VLOOKUP(C997,Deflatores!G$4:I$38,3,FALSE)))</f>
        <v>3</v>
      </c>
      <c r="M997" s="106"/>
      <c r="N997" s="106"/>
      <c r="O997" s="124"/>
    </row>
    <row r="998" spans="1:15" x14ac:dyDescent="0.25">
      <c r="A998" s="112" t="s">
        <v>826</v>
      </c>
      <c r="B998" s="113" t="s">
        <v>48</v>
      </c>
      <c r="C998" s="113" t="s">
        <v>45</v>
      </c>
      <c r="D998" s="4">
        <v>21</v>
      </c>
      <c r="E998" s="4">
        <v>3</v>
      </c>
      <c r="F998" s="106" t="str">
        <f t="shared" si="251"/>
        <v>Alta</v>
      </c>
      <c r="G998" s="106" t="str">
        <f t="shared" si="252"/>
        <v>EEH</v>
      </c>
      <c r="H998" s="4">
        <f t="shared" si="253"/>
        <v>6</v>
      </c>
      <c r="I998" s="105" t="str">
        <f t="shared" si="254"/>
        <v>H</v>
      </c>
      <c r="J998" s="4" t="str">
        <f t="shared" si="255"/>
        <v>EEI</v>
      </c>
      <c r="K998" s="106">
        <f t="shared" si="256"/>
        <v>6</v>
      </c>
      <c r="L998" s="106">
        <f>IF(NOT(ISERROR(VLOOKUP(B998,Deflatores!G$42:H$64,2,FALSE))),VLOOKUP(B998,Deflatores!G$42:H$64,2,FALSE),IF(OR(ISBLANK(C998),ISBLANK(B998)),"",VLOOKUP(C998,Deflatores!G$4:H$38,2,FALSE)*H998+VLOOKUP(C998,Deflatores!G$4:I$38,3,FALSE)))</f>
        <v>6</v>
      </c>
      <c r="M998" s="106"/>
      <c r="N998" s="106"/>
      <c r="O998" s="124"/>
    </row>
    <row r="999" spans="1:15" s="117" customFormat="1" x14ac:dyDescent="0.25">
      <c r="A999" s="114" t="s">
        <v>827</v>
      </c>
      <c r="B999" s="113" t="s">
        <v>50</v>
      </c>
      <c r="C999" s="113" t="s">
        <v>45</v>
      </c>
      <c r="D999" s="4">
        <v>13</v>
      </c>
      <c r="E999" s="4">
        <v>2</v>
      </c>
      <c r="F999" s="106" t="str">
        <f t="shared" si="251"/>
        <v>Média</v>
      </c>
      <c r="G999" s="106" t="str">
        <f t="shared" si="252"/>
        <v>CEA</v>
      </c>
      <c r="H999" s="4">
        <f t="shared" si="253"/>
        <v>4</v>
      </c>
      <c r="I999" s="105" t="str">
        <f t="shared" si="254"/>
        <v>A</v>
      </c>
      <c r="J999" s="4" t="str">
        <f t="shared" si="255"/>
        <v>CEI</v>
      </c>
      <c r="K999" s="106">
        <f t="shared" si="256"/>
        <v>4</v>
      </c>
      <c r="L999" s="106">
        <f>IF(NOT(ISERROR(VLOOKUP(B999,Deflatores!G$42:H$64,2,FALSE))),VLOOKUP(B999,Deflatores!G$42:H$64,2,FALSE),IF(OR(ISBLANK(C999),ISBLANK(B999)),"",VLOOKUP(C999,Deflatores!G$4:H$38,2,FALSE)*H999+VLOOKUP(C999,Deflatores!G$4:I$38,3,FALSE)))</f>
        <v>4</v>
      </c>
      <c r="M999" s="116"/>
      <c r="N999" s="116"/>
      <c r="O999" s="139"/>
    </row>
    <row r="1000" spans="1:15" x14ac:dyDescent="0.25">
      <c r="A1000" s="112" t="s">
        <v>828</v>
      </c>
      <c r="B1000" s="113" t="s">
        <v>50</v>
      </c>
      <c r="C1000" s="113" t="s">
        <v>45</v>
      </c>
      <c r="D1000" s="4">
        <v>15</v>
      </c>
      <c r="E1000" s="4">
        <v>2</v>
      </c>
      <c r="F1000" s="106" t="str">
        <f t="shared" si="251"/>
        <v>Média</v>
      </c>
      <c r="G1000" s="106" t="str">
        <f t="shared" si="252"/>
        <v>CEA</v>
      </c>
      <c r="H1000" s="4">
        <f t="shared" si="253"/>
        <v>4</v>
      </c>
      <c r="I1000" s="105" t="str">
        <f t="shared" si="254"/>
        <v>A</v>
      </c>
      <c r="J1000" s="4" t="str">
        <f t="shared" si="255"/>
        <v>CEI</v>
      </c>
      <c r="K1000" s="106">
        <f t="shared" si="256"/>
        <v>4</v>
      </c>
      <c r="L1000" s="106">
        <f>IF(NOT(ISERROR(VLOOKUP(B1000,Deflatores!G$42:H$64,2,FALSE))),VLOOKUP(B1000,Deflatores!G$42:H$64,2,FALSE),IF(OR(ISBLANK(C1000),ISBLANK(B1000)),"",VLOOKUP(C1000,Deflatores!G$4:H$38,2,FALSE)*H1000+VLOOKUP(C1000,Deflatores!G$4:I$38,3,FALSE)))</f>
        <v>4</v>
      </c>
      <c r="M1000" s="106"/>
      <c r="N1000" s="106"/>
      <c r="O1000" s="124"/>
    </row>
    <row r="1001" spans="1:15" x14ac:dyDescent="0.25">
      <c r="A1001" s="112" t="s">
        <v>829</v>
      </c>
      <c r="B1001" s="113" t="s">
        <v>48</v>
      </c>
      <c r="C1001" s="113" t="s">
        <v>45</v>
      </c>
      <c r="D1001" s="4">
        <v>10</v>
      </c>
      <c r="E1001" s="4">
        <v>2</v>
      </c>
      <c r="F1001" s="106" t="str">
        <f t="shared" si="251"/>
        <v>Média</v>
      </c>
      <c r="G1001" s="106" t="str">
        <f t="shared" si="252"/>
        <v>EEA</v>
      </c>
      <c r="H1001" s="4">
        <f t="shared" si="253"/>
        <v>4</v>
      </c>
      <c r="I1001" s="105" t="str">
        <f t="shared" si="254"/>
        <v>A</v>
      </c>
      <c r="J1001" s="4" t="str">
        <f t="shared" si="255"/>
        <v>EEI</v>
      </c>
      <c r="K1001" s="106">
        <f t="shared" si="256"/>
        <v>4</v>
      </c>
      <c r="L1001" s="106">
        <f>IF(NOT(ISERROR(VLOOKUP(B1001,Deflatores!G$42:H$64,2,FALSE))),VLOOKUP(B1001,Deflatores!G$42:H$64,2,FALSE),IF(OR(ISBLANK(C1001),ISBLANK(B1001)),"",VLOOKUP(C1001,Deflatores!G$4:H$38,2,FALSE)*H1001+VLOOKUP(C1001,Deflatores!G$4:I$38,3,FALSE)))</f>
        <v>4</v>
      </c>
      <c r="M1001" s="106"/>
      <c r="N1001" s="106"/>
      <c r="O1001" s="124"/>
    </row>
    <row r="1002" spans="1:15" x14ac:dyDescent="0.25">
      <c r="A1002" s="112" t="s">
        <v>830</v>
      </c>
      <c r="B1002" s="113" t="s">
        <v>48</v>
      </c>
      <c r="C1002" s="113" t="s">
        <v>45</v>
      </c>
      <c r="D1002" s="4">
        <v>18</v>
      </c>
      <c r="E1002" s="4">
        <v>2</v>
      </c>
      <c r="F1002" s="106" t="str">
        <f t="shared" si="251"/>
        <v>Alta</v>
      </c>
      <c r="G1002" s="106" t="str">
        <f t="shared" si="252"/>
        <v>EEH</v>
      </c>
      <c r="H1002" s="4">
        <f t="shared" si="253"/>
        <v>6</v>
      </c>
      <c r="I1002" s="105" t="str">
        <f t="shared" si="254"/>
        <v>H</v>
      </c>
      <c r="J1002" s="4" t="str">
        <f t="shared" si="255"/>
        <v>EEI</v>
      </c>
      <c r="K1002" s="106">
        <f t="shared" si="256"/>
        <v>6</v>
      </c>
      <c r="L1002" s="106">
        <f>IF(NOT(ISERROR(VLOOKUP(B1002,Deflatores!G$42:H$64,2,FALSE))),VLOOKUP(B1002,Deflatores!G$42:H$64,2,FALSE),IF(OR(ISBLANK(C1002),ISBLANK(B1002)),"",VLOOKUP(C1002,Deflatores!G$4:H$38,2,FALSE)*H1002+VLOOKUP(C1002,Deflatores!G$4:I$38,3,FALSE)))</f>
        <v>6</v>
      </c>
      <c r="M1002" s="106"/>
      <c r="N1002" s="106"/>
      <c r="O1002" s="138"/>
    </row>
    <row r="1003" spans="1:15" x14ac:dyDescent="0.25">
      <c r="A1003" s="114" t="s">
        <v>831</v>
      </c>
      <c r="B1003" s="113" t="s">
        <v>50</v>
      </c>
      <c r="C1003" s="113" t="s">
        <v>45</v>
      </c>
      <c r="D1003" s="4">
        <v>34</v>
      </c>
      <c r="E1003" s="4">
        <v>2</v>
      </c>
      <c r="F1003" s="106" t="str">
        <f t="shared" si="251"/>
        <v>Alta</v>
      </c>
      <c r="G1003" s="106" t="str">
        <f t="shared" si="252"/>
        <v>CEH</v>
      </c>
      <c r="H1003" s="4">
        <f t="shared" si="253"/>
        <v>6</v>
      </c>
      <c r="I1003" s="105" t="str">
        <f t="shared" si="254"/>
        <v>H</v>
      </c>
      <c r="J1003" s="4" t="str">
        <f t="shared" si="255"/>
        <v>CEI</v>
      </c>
      <c r="K1003" s="106">
        <f t="shared" si="256"/>
        <v>6</v>
      </c>
      <c r="L1003" s="106">
        <f>IF(NOT(ISERROR(VLOOKUP(B1003,Deflatores!G$42:H$64,2,FALSE))),VLOOKUP(B1003,Deflatores!G$42:H$64,2,FALSE),IF(OR(ISBLANK(C1003),ISBLANK(B1003)),"",VLOOKUP(C1003,Deflatores!G$4:H$38,2,FALSE)*H1003+VLOOKUP(C1003,Deflatores!G$4:I$38,3,FALSE)))</f>
        <v>6</v>
      </c>
      <c r="M1003" s="106"/>
      <c r="N1003" s="106"/>
      <c r="O1003" s="139"/>
    </row>
    <row r="1004" spans="1:15" x14ac:dyDescent="0.25">
      <c r="A1004" s="112" t="s">
        <v>832</v>
      </c>
      <c r="B1004" s="113" t="s">
        <v>48</v>
      </c>
      <c r="C1004" s="113" t="s">
        <v>45</v>
      </c>
      <c r="D1004" s="4">
        <v>3</v>
      </c>
      <c r="E1004" s="4">
        <v>1</v>
      </c>
      <c r="F1004" s="106" t="str">
        <f t="shared" ref="F1004:F1151" si="257">IF(ISBLANK(B1004),"",IF(I1004="L","Baixa",IF(I1004="A","Média",IF(I1004="","","Alta"))))</f>
        <v>Baixa</v>
      </c>
      <c r="G1004" s="106" t="str">
        <f t="shared" ref="G1004:G1151" si="258">CONCATENATE(B1004,I1004)</f>
        <v>EEL</v>
      </c>
      <c r="H1004" s="4">
        <f t="shared" ref="H1004:H1151" si="259">IF(ISBLANK(B1004),"",IF(B1004="ALI",IF(I1004="L",7,IF(I1004="A",10,15)),IF(B1004="AIE",IF(I1004="L",5,IF(I1004="A",7,10)),IF(B1004="SE",IF(I1004="L",4,IF(I1004="A",5,7)),IF(OR(B1004="EE",B1004="CE"),IF(I1004="L",3,IF(I1004="A",4,6)),0)))))</f>
        <v>3</v>
      </c>
      <c r="I1004" s="105" t="str">
        <f t="shared" ref="I1004:I1151" si="260">IF(OR(ISBLANK(D1004),ISBLANK(E1004)),IF(OR(B1004="ALI",B1004="AIE"),"L",IF(OR(B1004="EE",B1004="SE",B1004="CE"),"A","")),IF(B1004="EE",IF(E1004&gt;=3,IF(D1004&gt;=5,"H","A"),IF(E1004&gt;=2,IF(D1004&gt;=16,"H",IF(D1004&lt;=4,"L","A")),IF(D1004&lt;=15,"L","A"))),IF(OR(B1004="SE",B1004="CE"),IF(E1004&gt;=4,IF(D1004&gt;=6,"H","A"),IF(E1004&gt;=2,IF(D1004&gt;=20,"H",IF(D1004&lt;=5,"L","A")),IF(D1004&lt;=19,"L","A"))),IF(OR(B1004="ALI",B1004="AIE"),IF(E1004&gt;=6,IF(D1004&gt;=20,"H","A"),IF(E1004&gt;=2,IF(D1004&gt;=51,"H",IF(D1004&lt;=19,"L","A")),IF(D1004&lt;=50,"L","A"))),""))))</f>
        <v>L</v>
      </c>
      <c r="J1004" s="4" t="str">
        <f t="shared" ref="J1004:J1151" si="261">CONCATENATE(B1004,C1004)</f>
        <v>EEI</v>
      </c>
      <c r="K1004" s="106">
        <f t="shared" ref="K1004:K1151" si="262">IF(OR(H1004="",H1004=0),L1004,H1004)</f>
        <v>3</v>
      </c>
      <c r="L1004" s="106">
        <f>IF(NOT(ISERROR(VLOOKUP(B1004,Deflatores!G$42:H$64,2,FALSE))),VLOOKUP(B1004,Deflatores!G$42:H$64,2,FALSE),IF(OR(ISBLANK(C1004),ISBLANK(B1004)),"",VLOOKUP(C1004,Deflatores!G$4:H$38,2,FALSE)*H1004+VLOOKUP(C1004,Deflatores!G$4:I$38,3,FALSE)))</f>
        <v>3</v>
      </c>
      <c r="M1004" s="106"/>
      <c r="N1004" s="106"/>
      <c r="O1004" s="124"/>
    </row>
    <row r="1005" spans="1:15" x14ac:dyDescent="0.25">
      <c r="A1005" s="112" t="s">
        <v>833</v>
      </c>
      <c r="B1005" s="113" t="s">
        <v>50</v>
      </c>
      <c r="C1005" s="113" t="s">
        <v>45</v>
      </c>
      <c r="D1005" s="4">
        <v>36</v>
      </c>
      <c r="E1005" s="4">
        <v>2</v>
      </c>
      <c r="F1005" s="106" t="str">
        <f t="shared" si="257"/>
        <v>Alta</v>
      </c>
      <c r="G1005" s="106" t="str">
        <f t="shared" si="258"/>
        <v>CEH</v>
      </c>
      <c r="H1005" s="4">
        <f t="shared" si="259"/>
        <v>6</v>
      </c>
      <c r="I1005" s="105" t="str">
        <f t="shared" si="260"/>
        <v>H</v>
      </c>
      <c r="J1005" s="4" t="str">
        <f t="shared" si="261"/>
        <v>CEI</v>
      </c>
      <c r="K1005" s="106">
        <f t="shared" si="262"/>
        <v>6</v>
      </c>
      <c r="L1005" s="106">
        <f>IF(NOT(ISERROR(VLOOKUP(B1005,Deflatores!G$42:H$64,2,FALSE))),VLOOKUP(B1005,Deflatores!G$42:H$64,2,FALSE),IF(OR(ISBLANK(C1005),ISBLANK(B1005)),"",VLOOKUP(C1005,Deflatores!G$4:H$38,2,FALSE)*H1005+VLOOKUP(C1005,Deflatores!G$4:I$38,3,FALSE)))</f>
        <v>6</v>
      </c>
      <c r="M1005" s="106"/>
      <c r="N1005" s="106"/>
      <c r="O1005" s="139"/>
    </row>
    <row r="1006" spans="1:15" x14ac:dyDescent="0.25">
      <c r="A1006" s="112" t="s">
        <v>834</v>
      </c>
      <c r="B1006" s="113" t="s">
        <v>48</v>
      </c>
      <c r="C1006" s="113" t="s">
        <v>45</v>
      </c>
      <c r="D1006" s="4">
        <v>3</v>
      </c>
      <c r="E1006" s="4">
        <v>1</v>
      </c>
      <c r="F1006" s="106" t="str">
        <f t="shared" si="257"/>
        <v>Baixa</v>
      </c>
      <c r="G1006" s="106" t="str">
        <f t="shared" si="258"/>
        <v>EEL</v>
      </c>
      <c r="H1006" s="4">
        <f t="shared" si="259"/>
        <v>3</v>
      </c>
      <c r="I1006" s="105" t="str">
        <f t="shared" si="260"/>
        <v>L</v>
      </c>
      <c r="J1006" s="4" t="str">
        <f t="shared" si="261"/>
        <v>EEI</v>
      </c>
      <c r="K1006" s="106">
        <f t="shared" si="262"/>
        <v>3</v>
      </c>
      <c r="L1006" s="106">
        <f>IF(NOT(ISERROR(VLOOKUP(B1006,Deflatores!G$42:H$64,2,FALSE))),VLOOKUP(B1006,Deflatores!G$42:H$64,2,FALSE),IF(OR(ISBLANK(C1006),ISBLANK(B1006)),"",VLOOKUP(C1006,Deflatores!G$4:H$38,2,FALSE)*H1006+VLOOKUP(C1006,Deflatores!G$4:I$38,3,FALSE)))</f>
        <v>3</v>
      </c>
      <c r="M1006" s="106"/>
      <c r="N1006" s="106"/>
      <c r="O1006" s="124"/>
    </row>
    <row r="1007" spans="1:15" x14ac:dyDescent="0.25">
      <c r="A1007" s="112" t="s">
        <v>835</v>
      </c>
      <c r="B1007" s="113" t="s">
        <v>48</v>
      </c>
      <c r="C1007" s="113" t="s">
        <v>45</v>
      </c>
      <c r="D1007" s="4">
        <v>4</v>
      </c>
      <c r="E1007" s="4">
        <v>1</v>
      </c>
      <c r="F1007" s="106" t="str">
        <f t="shared" si="257"/>
        <v>Baixa</v>
      </c>
      <c r="G1007" s="106" t="str">
        <f t="shared" si="258"/>
        <v>EEL</v>
      </c>
      <c r="H1007" s="4">
        <f t="shared" si="259"/>
        <v>3</v>
      </c>
      <c r="I1007" s="105" t="str">
        <f t="shared" si="260"/>
        <v>L</v>
      </c>
      <c r="J1007" s="4" t="str">
        <f t="shared" si="261"/>
        <v>EEI</v>
      </c>
      <c r="K1007" s="106">
        <f t="shared" si="262"/>
        <v>3</v>
      </c>
      <c r="L1007" s="106">
        <f>IF(NOT(ISERROR(VLOOKUP(B1007,Deflatores!G$42:H$64,2,FALSE))),VLOOKUP(B1007,Deflatores!G$42:H$64,2,FALSE),IF(OR(ISBLANK(C1007),ISBLANK(B1007)),"",VLOOKUP(C1007,Deflatores!G$4:H$38,2,FALSE)*H1007+VLOOKUP(C1007,Deflatores!G$4:I$38,3,FALSE)))</f>
        <v>3</v>
      </c>
      <c r="M1007" s="106"/>
      <c r="N1007" s="106"/>
      <c r="O1007" s="124"/>
    </row>
    <row r="1008" spans="1:15" x14ac:dyDescent="0.25">
      <c r="A1008" s="112" t="s">
        <v>836</v>
      </c>
      <c r="B1008" s="113" t="s">
        <v>48</v>
      </c>
      <c r="C1008" s="113" t="s">
        <v>45</v>
      </c>
      <c r="D1008" s="4">
        <v>17</v>
      </c>
      <c r="E1008" s="4">
        <v>3</v>
      </c>
      <c r="F1008" s="106" t="str">
        <f t="shared" si="257"/>
        <v>Alta</v>
      </c>
      <c r="G1008" s="106" t="str">
        <f t="shared" si="258"/>
        <v>EEH</v>
      </c>
      <c r="H1008" s="4">
        <f t="shared" si="259"/>
        <v>6</v>
      </c>
      <c r="I1008" s="105" t="str">
        <f t="shared" si="260"/>
        <v>H</v>
      </c>
      <c r="J1008" s="4" t="str">
        <f t="shared" si="261"/>
        <v>EEI</v>
      </c>
      <c r="K1008" s="106">
        <f t="shared" si="262"/>
        <v>6</v>
      </c>
      <c r="L1008" s="106">
        <v>6</v>
      </c>
      <c r="M1008" s="106"/>
      <c r="N1008" s="106"/>
      <c r="O1008" s="124"/>
    </row>
    <row r="1009" spans="1:15" x14ac:dyDescent="0.25">
      <c r="A1009" s="112" t="s">
        <v>837</v>
      </c>
      <c r="B1009" s="113" t="s">
        <v>48</v>
      </c>
      <c r="C1009" s="113" t="s">
        <v>45</v>
      </c>
      <c r="D1009" s="4">
        <v>17</v>
      </c>
      <c r="E1009" s="4">
        <v>2</v>
      </c>
      <c r="F1009" s="106" t="str">
        <f t="shared" si="257"/>
        <v>Alta</v>
      </c>
      <c r="G1009" s="106" t="str">
        <f t="shared" si="258"/>
        <v>EEH</v>
      </c>
      <c r="H1009" s="4">
        <f t="shared" si="259"/>
        <v>6</v>
      </c>
      <c r="I1009" s="105" t="str">
        <f t="shared" si="260"/>
        <v>H</v>
      </c>
      <c r="J1009" s="4" t="str">
        <f t="shared" si="261"/>
        <v>EEI</v>
      </c>
      <c r="K1009" s="106">
        <f t="shared" si="262"/>
        <v>6</v>
      </c>
      <c r="L1009" s="106">
        <v>6</v>
      </c>
      <c r="M1009" s="106"/>
      <c r="N1009" s="106"/>
      <c r="O1009" s="124"/>
    </row>
    <row r="1010" spans="1:15" s="117" customFormat="1" x14ac:dyDescent="0.25">
      <c r="A1010" s="114" t="s">
        <v>838</v>
      </c>
      <c r="B1010" s="113" t="s">
        <v>50</v>
      </c>
      <c r="C1010" s="113" t="s">
        <v>45</v>
      </c>
      <c r="D1010" s="4">
        <v>15</v>
      </c>
      <c r="E1010" s="4">
        <v>2</v>
      </c>
      <c r="F1010" s="106" t="str">
        <f t="shared" si="257"/>
        <v>Média</v>
      </c>
      <c r="G1010" s="106" t="str">
        <f t="shared" si="258"/>
        <v>CEA</v>
      </c>
      <c r="H1010" s="4">
        <f t="shared" si="259"/>
        <v>4</v>
      </c>
      <c r="I1010" s="105" t="str">
        <f t="shared" si="260"/>
        <v>A</v>
      </c>
      <c r="J1010" s="4" t="str">
        <f t="shared" si="261"/>
        <v>CEI</v>
      </c>
      <c r="K1010" s="106">
        <f t="shared" si="262"/>
        <v>4</v>
      </c>
      <c r="L1010" s="106">
        <v>4</v>
      </c>
      <c r="M1010" s="116"/>
      <c r="N1010" s="116"/>
      <c r="O1010" s="139"/>
    </row>
    <row r="1011" spans="1:15" x14ac:dyDescent="0.25">
      <c r="A1011" s="112" t="s">
        <v>839</v>
      </c>
      <c r="B1011" s="113" t="s">
        <v>48</v>
      </c>
      <c r="C1011" s="113" t="s">
        <v>45</v>
      </c>
      <c r="D1011" s="4">
        <v>9</v>
      </c>
      <c r="E1011" s="4">
        <v>2</v>
      </c>
      <c r="F1011" s="106" t="str">
        <f t="shared" si="257"/>
        <v>Média</v>
      </c>
      <c r="G1011" s="106" t="str">
        <f t="shared" si="258"/>
        <v>EEA</v>
      </c>
      <c r="H1011" s="4">
        <f t="shared" si="259"/>
        <v>4</v>
      </c>
      <c r="I1011" s="105" t="str">
        <f t="shared" si="260"/>
        <v>A</v>
      </c>
      <c r="J1011" s="4" t="str">
        <f t="shared" si="261"/>
        <v>EEI</v>
      </c>
      <c r="K1011" s="106">
        <f t="shared" si="262"/>
        <v>4</v>
      </c>
      <c r="L1011" s="106">
        <v>4</v>
      </c>
      <c r="M1011" s="106"/>
      <c r="N1011" s="106"/>
      <c r="O1011" s="124"/>
    </row>
    <row r="1012" spans="1:15" x14ac:dyDescent="0.25">
      <c r="A1012" s="112"/>
      <c r="B1012" s="113"/>
      <c r="C1012" s="113"/>
      <c r="D1012" s="4"/>
      <c r="E1012" s="4"/>
      <c r="F1012" s="106" t="str">
        <f t="shared" si="257"/>
        <v/>
      </c>
      <c r="G1012" s="106" t="str">
        <f t="shared" si="258"/>
        <v/>
      </c>
      <c r="H1012" s="4" t="str">
        <f t="shared" si="259"/>
        <v/>
      </c>
      <c r="I1012" s="105" t="str">
        <f t="shared" si="260"/>
        <v/>
      </c>
      <c r="J1012" s="4" t="str">
        <f t="shared" si="261"/>
        <v/>
      </c>
      <c r="K1012" s="106" t="str">
        <f t="shared" si="262"/>
        <v/>
      </c>
      <c r="L1012" s="106" t="str">
        <f>IF(NOT(ISERROR(VLOOKUP(B1012,Deflatores!G$42:H$64,2,FALSE))),VLOOKUP(B1012,Deflatores!G$42:H$64,2,FALSE),IF(OR(ISBLANK(C1012),ISBLANK(B1012)),"",VLOOKUP(C1012,Deflatores!G$4:H$38,2,FALSE)*H1012+VLOOKUP(C1012,Deflatores!G$4:I$38,3,FALSE)))</f>
        <v/>
      </c>
      <c r="M1012" s="106"/>
      <c r="N1012" s="106"/>
      <c r="O1012" s="124"/>
    </row>
    <row r="1013" spans="1:15" x14ac:dyDescent="0.25">
      <c r="A1013" s="115" t="s">
        <v>840</v>
      </c>
      <c r="B1013" s="113"/>
      <c r="C1013" s="113"/>
      <c r="D1013" s="4"/>
      <c r="E1013" s="4"/>
      <c r="F1013" s="106" t="str">
        <f t="shared" si="257"/>
        <v/>
      </c>
      <c r="G1013" s="106" t="str">
        <f t="shared" si="258"/>
        <v/>
      </c>
      <c r="H1013" s="4" t="str">
        <f t="shared" si="259"/>
        <v/>
      </c>
      <c r="I1013" s="105" t="str">
        <f t="shared" si="260"/>
        <v/>
      </c>
      <c r="J1013" s="4" t="str">
        <f t="shared" si="261"/>
        <v/>
      </c>
      <c r="K1013" s="106" t="str">
        <f t="shared" si="262"/>
        <v/>
      </c>
      <c r="L1013" s="106" t="str">
        <f>IF(NOT(ISERROR(VLOOKUP(B1013,Deflatores!G$42:H$64,2,FALSE))),VLOOKUP(B1013,Deflatores!G$42:H$64,2,FALSE),IF(OR(ISBLANK(C1013),ISBLANK(B1013)),"",VLOOKUP(C1013,Deflatores!G$4:H$38,2,FALSE)*H1013+VLOOKUP(C1013,Deflatores!G$4:I$38,3,FALSE)))</f>
        <v/>
      </c>
      <c r="M1013" s="106"/>
      <c r="N1013" s="106"/>
      <c r="O1013" s="124"/>
    </row>
    <row r="1014" spans="1:15" x14ac:dyDescent="0.25">
      <c r="A1014" s="112" t="s">
        <v>841</v>
      </c>
      <c r="B1014" s="113" t="s">
        <v>50</v>
      </c>
      <c r="C1014" s="113" t="s">
        <v>45</v>
      </c>
      <c r="D1014" s="4">
        <v>12</v>
      </c>
      <c r="E1014" s="4">
        <v>3</v>
      </c>
      <c r="F1014" s="106" t="str">
        <f t="shared" si="257"/>
        <v>Média</v>
      </c>
      <c r="G1014" s="106" t="str">
        <f t="shared" si="258"/>
        <v>CEA</v>
      </c>
      <c r="H1014" s="4">
        <f t="shared" si="259"/>
        <v>4</v>
      </c>
      <c r="I1014" s="105" t="str">
        <f t="shared" si="260"/>
        <v>A</v>
      </c>
      <c r="J1014" s="4" t="str">
        <f t="shared" si="261"/>
        <v>CEI</v>
      </c>
      <c r="K1014" s="106">
        <f t="shared" si="262"/>
        <v>4</v>
      </c>
      <c r="L1014" s="106">
        <f>IF(NOT(ISERROR(VLOOKUP(B1014,Deflatores!G$42:H$64,2,FALSE))),VLOOKUP(B1014,Deflatores!G$42:H$64,2,FALSE),IF(OR(ISBLANK(C1014),ISBLANK(B1014)),"",VLOOKUP(C1014,Deflatores!G$4:H$38,2,FALSE)*H1014+VLOOKUP(C1014,Deflatores!G$4:I$38,3,FALSE)))</f>
        <v>4</v>
      </c>
      <c r="M1014" s="106"/>
      <c r="N1014" s="106"/>
      <c r="O1014" s="124"/>
    </row>
    <row r="1015" spans="1:15" x14ac:dyDescent="0.25">
      <c r="A1015" s="112"/>
      <c r="B1015" s="113"/>
      <c r="C1015" s="113"/>
      <c r="D1015" s="4"/>
      <c r="E1015" s="4"/>
      <c r="F1015" s="106" t="str">
        <f t="shared" si="257"/>
        <v/>
      </c>
      <c r="G1015" s="106" t="str">
        <f t="shared" si="258"/>
        <v/>
      </c>
      <c r="H1015" s="4" t="str">
        <f t="shared" si="259"/>
        <v/>
      </c>
      <c r="I1015" s="105" t="str">
        <f t="shared" si="260"/>
        <v/>
      </c>
      <c r="J1015" s="4" t="str">
        <f t="shared" si="261"/>
        <v/>
      </c>
      <c r="K1015" s="106" t="str">
        <f t="shared" si="262"/>
        <v/>
      </c>
      <c r="L1015" s="106" t="str">
        <f>IF(NOT(ISERROR(VLOOKUP(B1015,Deflatores!G$42:H$64,2,FALSE))),VLOOKUP(B1015,Deflatores!G$42:H$64,2,FALSE),IF(OR(ISBLANK(C1015),ISBLANK(B1015)),"",VLOOKUP(C1015,Deflatores!G$4:H$38,2,FALSE)*H1015+VLOOKUP(C1015,Deflatores!G$4:I$38,3,FALSE)))</f>
        <v/>
      </c>
      <c r="M1015" s="106"/>
      <c r="N1015" s="106"/>
      <c r="O1015" s="124"/>
    </row>
    <row r="1016" spans="1:15" x14ac:dyDescent="0.25">
      <c r="A1016" s="115" t="s">
        <v>842</v>
      </c>
      <c r="B1016" s="113"/>
      <c r="C1016" s="113"/>
      <c r="D1016" s="4"/>
      <c r="E1016" s="4"/>
      <c r="F1016" s="106" t="str">
        <f t="shared" si="257"/>
        <v/>
      </c>
      <c r="G1016" s="106" t="str">
        <f t="shared" si="258"/>
        <v/>
      </c>
      <c r="H1016" s="4" t="str">
        <f t="shared" si="259"/>
        <v/>
      </c>
      <c r="I1016" s="105" t="str">
        <f t="shared" si="260"/>
        <v/>
      </c>
      <c r="J1016" s="4" t="str">
        <f t="shared" si="261"/>
        <v/>
      </c>
      <c r="K1016" s="106" t="str">
        <f t="shared" si="262"/>
        <v/>
      </c>
      <c r="L1016" s="106" t="str">
        <f>IF(NOT(ISERROR(VLOOKUP(B1016,Deflatores!G$42:H$64,2,FALSE))),VLOOKUP(B1016,Deflatores!G$42:H$64,2,FALSE),IF(OR(ISBLANK(C1016),ISBLANK(B1016)),"",VLOOKUP(C1016,Deflatores!G$4:H$38,2,FALSE)*H1016+VLOOKUP(C1016,Deflatores!G$4:I$38,3,FALSE)))</f>
        <v/>
      </c>
      <c r="M1016" s="106"/>
      <c r="N1016" s="106"/>
      <c r="O1016" s="124"/>
    </row>
    <row r="1017" spans="1:15" x14ac:dyDescent="0.25">
      <c r="A1017" s="112" t="s">
        <v>843</v>
      </c>
      <c r="B1017" s="113" t="s">
        <v>50</v>
      </c>
      <c r="C1017" s="113" t="s">
        <v>45</v>
      </c>
      <c r="D1017" s="4">
        <v>4</v>
      </c>
      <c r="E1017" s="4">
        <v>2</v>
      </c>
      <c r="F1017" s="106" t="str">
        <f t="shared" si="257"/>
        <v>Baixa</v>
      </c>
      <c r="G1017" s="106" t="str">
        <f t="shared" si="258"/>
        <v>CEL</v>
      </c>
      <c r="H1017" s="4">
        <f t="shared" si="259"/>
        <v>3</v>
      </c>
      <c r="I1017" s="105" t="str">
        <f t="shared" si="260"/>
        <v>L</v>
      </c>
      <c r="J1017" s="4" t="str">
        <f t="shared" si="261"/>
        <v>CEI</v>
      </c>
      <c r="K1017" s="106">
        <f t="shared" si="262"/>
        <v>3</v>
      </c>
      <c r="L1017" s="106">
        <f>IF(NOT(ISERROR(VLOOKUP(B1017,Deflatores!G$42:H$64,2,FALSE))),VLOOKUP(B1017,Deflatores!G$42:H$64,2,FALSE),IF(OR(ISBLANK(C1017),ISBLANK(B1017)),"",VLOOKUP(C1017,Deflatores!G$4:H$38,2,FALSE)*H1017+VLOOKUP(C1017,Deflatores!G$4:I$38,3,FALSE)))</f>
        <v>3</v>
      </c>
      <c r="M1017" s="106"/>
      <c r="N1017" s="106"/>
      <c r="O1017" s="124"/>
    </row>
    <row r="1018" spans="1:15" x14ac:dyDescent="0.25">
      <c r="A1018" s="112" t="s">
        <v>844</v>
      </c>
      <c r="B1018" s="113" t="s">
        <v>48</v>
      </c>
      <c r="C1018" s="113" t="s">
        <v>45</v>
      </c>
      <c r="D1018" s="4">
        <v>5</v>
      </c>
      <c r="E1018" s="4">
        <v>2</v>
      </c>
      <c r="F1018" s="106" t="str">
        <f t="shared" si="257"/>
        <v>Média</v>
      </c>
      <c r="G1018" s="106" t="str">
        <f t="shared" si="258"/>
        <v>EEA</v>
      </c>
      <c r="H1018" s="4">
        <f t="shared" si="259"/>
        <v>4</v>
      </c>
      <c r="I1018" s="105" t="str">
        <f t="shared" si="260"/>
        <v>A</v>
      </c>
      <c r="J1018" s="4" t="str">
        <f t="shared" si="261"/>
        <v>EEI</v>
      </c>
      <c r="K1018" s="106">
        <f t="shared" si="262"/>
        <v>4</v>
      </c>
      <c r="L1018" s="106">
        <f>IF(NOT(ISERROR(VLOOKUP(B1018,Deflatores!G$42:H$64,2,FALSE))),VLOOKUP(B1018,Deflatores!G$42:H$64,2,FALSE),IF(OR(ISBLANK(C1018),ISBLANK(B1018)),"",VLOOKUP(C1018,Deflatores!G$4:H$38,2,FALSE)*H1018+VLOOKUP(C1018,Deflatores!G$4:I$38,3,FALSE)))</f>
        <v>4</v>
      </c>
      <c r="M1018" s="106"/>
      <c r="N1018" s="106"/>
      <c r="O1018" s="124"/>
    </row>
    <row r="1019" spans="1:15" x14ac:dyDescent="0.25">
      <c r="A1019" s="112" t="s">
        <v>845</v>
      </c>
      <c r="B1019" s="113" t="s">
        <v>48</v>
      </c>
      <c r="C1019" s="113" t="s">
        <v>45</v>
      </c>
      <c r="D1019" s="4">
        <v>5</v>
      </c>
      <c r="E1019" s="4">
        <v>2</v>
      </c>
      <c r="F1019" s="106" t="str">
        <f t="shared" si="257"/>
        <v>Média</v>
      </c>
      <c r="G1019" s="106" t="str">
        <f t="shared" si="258"/>
        <v>EEA</v>
      </c>
      <c r="H1019" s="4">
        <f t="shared" si="259"/>
        <v>4</v>
      </c>
      <c r="I1019" s="105" t="str">
        <f t="shared" si="260"/>
        <v>A</v>
      </c>
      <c r="J1019" s="4" t="str">
        <f t="shared" si="261"/>
        <v>EEI</v>
      </c>
      <c r="K1019" s="106">
        <f t="shared" si="262"/>
        <v>4</v>
      </c>
      <c r="L1019" s="106">
        <f>IF(NOT(ISERROR(VLOOKUP(B1019,Deflatores!G$42:H$64,2,FALSE))),VLOOKUP(B1019,Deflatores!G$42:H$64,2,FALSE),IF(OR(ISBLANK(C1019),ISBLANK(B1019)),"",VLOOKUP(C1019,Deflatores!G$4:H$38,2,FALSE)*H1019+VLOOKUP(C1019,Deflatores!G$4:I$38,3,FALSE)))</f>
        <v>4</v>
      </c>
      <c r="M1019" s="106"/>
      <c r="N1019" s="106"/>
      <c r="O1019" s="124"/>
    </row>
    <row r="1020" spans="1:15" x14ac:dyDescent="0.25">
      <c r="A1020" s="112" t="s">
        <v>846</v>
      </c>
      <c r="B1020" s="113" t="s">
        <v>48</v>
      </c>
      <c r="C1020" s="113" t="s">
        <v>45</v>
      </c>
      <c r="D1020" s="4">
        <v>5</v>
      </c>
      <c r="E1020" s="4">
        <v>2</v>
      </c>
      <c r="F1020" s="106" t="str">
        <f t="shared" si="257"/>
        <v>Média</v>
      </c>
      <c r="G1020" s="106" t="str">
        <f t="shared" si="258"/>
        <v>EEA</v>
      </c>
      <c r="H1020" s="4">
        <f t="shared" si="259"/>
        <v>4</v>
      </c>
      <c r="I1020" s="105" t="str">
        <f t="shared" si="260"/>
        <v>A</v>
      </c>
      <c r="J1020" s="4" t="str">
        <f t="shared" si="261"/>
        <v>EEI</v>
      </c>
      <c r="K1020" s="106">
        <f t="shared" si="262"/>
        <v>4</v>
      </c>
      <c r="L1020" s="106">
        <f>IF(NOT(ISERROR(VLOOKUP(B1020,Deflatores!G$42:H$64,2,FALSE))),VLOOKUP(B1020,Deflatores!G$42:H$64,2,FALSE),IF(OR(ISBLANK(C1020),ISBLANK(B1020)),"",VLOOKUP(C1020,Deflatores!G$4:H$38,2,FALSE)*H1020+VLOOKUP(C1020,Deflatores!G$4:I$38,3,FALSE)))</f>
        <v>4</v>
      </c>
      <c r="M1020" s="106"/>
      <c r="N1020" s="106"/>
      <c r="O1020" s="124"/>
    </row>
    <row r="1021" spans="1:15" x14ac:dyDescent="0.25">
      <c r="A1021" s="112" t="s">
        <v>847</v>
      </c>
      <c r="B1021" s="113" t="s">
        <v>48</v>
      </c>
      <c r="C1021" s="113" t="s">
        <v>45</v>
      </c>
      <c r="D1021" s="4">
        <v>9</v>
      </c>
      <c r="E1021" s="4">
        <v>2</v>
      </c>
      <c r="F1021" s="106" t="str">
        <f t="shared" si="257"/>
        <v>Média</v>
      </c>
      <c r="G1021" s="106" t="str">
        <f t="shared" si="258"/>
        <v>EEA</v>
      </c>
      <c r="H1021" s="4">
        <f t="shared" si="259"/>
        <v>4</v>
      </c>
      <c r="I1021" s="105" t="str">
        <f t="shared" si="260"/>
        <v>A</v>
      </c>
      <c r="J1021" s="4" t="str">
        <f t="shared" si="261"/>
        <v>EEI</v>
      </c>
      <c r="K1021" s="106">
        <f t="shared" si="262"/>
        <v>4</v>
      </c>
      <c r="L1021" s="106">
        <f>IF(NOT(ISERROR(VLOOKUP(B1021,Deflatores!G$42:H$64,2,FALSE))),VLOOKUP(B1021,Deflatores!G$42:H$64,2,FALSE),IF(OR(ISBLANK(C1021),ISBLANK(B1021)),"",VLOOKUP(C1021,Deflatores!G$4:H$38,2,FALSE)*H1021+VLOOKUP(C1021,Deflatores!G$4:I$38,3,FALSE)))</f>
        <v>4</v>
      </c>
      <c r="M1021" s="106"/>
      <c r="N1021" s="106"/>
      <c r="O1021" s="124"/>
    </row>
    <row r="1022" spans="1:15" x14ac:dyDescent="0.25">
      <c r="A1022" s="112" t="s">
        <v>848</v>
      </c>
      <c r="B1022" s="113" t="s">
        <v>48</v>
      </c>
      <c r="C1022" s="113" t="s">
        <v>45</v>
      </c>
      <c r="D1022" s="4">
        <v>4</v>
      </c>
      <c r="E1022" s="4">
        <v>2</v>
      </c>
      <c r="F1022" s="106" t="str">
        <f t="shared" si="257"/>
        <v>Baixa</v>
      </c>
      <c r="G1022" s="106" t="str">
        <f t="shared" si="258"/>
        <v>EEL</v>
      </c>
      <c r="H1022" s="4">
        <f t="shared" si="259"/>
        <v>3</v>
      </c>
      <c r="I1022" s="105" t="str">
        <f t="shared" si="260"/>
        <v>L</v>
      </c>
      <c r="J1022" s="4" t="str">
        <f t="shared" si="261"/>
        <v>EEI</v>
      </c>
      <c r="K1022" s="106">
        <f t="shared" si="262"/>
        <v>3</v>
      </c>
      <c r="L1022" s="106">
        <f>IF(NOT(ISERROR(VLOOKUP(B1022,Deflatores!G$42:H$64,2,FALSE))),VLOOKUP(B1022,Deflatores!G$42:H$64,2,FALSE),IF(OR(ISBLANK(C1022),ISBLANK(B1022)),"",VLOOKUP(C1022,Deflatores!G$4:H$38,2,FALSE)*H1022+VLOOKUP(C1022,Deflatores!G$4:I$38,3,FALSE)))</f>
        <v>3</v>
      </c>
      <c r="M1022" s="106"/>
      <c r="N1022" s="106"/>
      <c r="O1022" s="124"/>
    </row>
    <row r="1023" spans="1:15" x14ac:dyDescent="0.25">
      <c r="A1023" s="112" t="s">
        <v>849</v>
      </c>
      <c r="B1023" s="113" t="s">
        <v>48</v>
      </c>
      <c r="C1023" s="113" t="s">
        <v>45</v>
      </c>
      <c r="D1023" s="4">
        <v>9</v>
      </c>
      <c r="E1023" s="4">
        <v>2</v>
      </c>
      <c r="F1023" s="106" t="str">
        <f t="shared" si="257"/>
        <v>Média</v>
      </c>
      <c r="G1023" s="106" t="str">
        <f t="shared" si="258"/>
        <v>EEA</v>
      </c>
      <c r="H1023" s="4">
        <f t="shared" si="259"/>
        <v>4</v>
      </c>
      <c r="I1023" s="105" t="str">
        <f t="shared" si="260"/>
        <v>A</v>
      </c>
      <c r="J1023" s="4" t="str">
        <f t="shared" si="261"/>
        <v>EEI</v>
      </c>
      <c r="K1023" s="106">
        <f t="shared" si="262"/>
        <v>4</v>
      </c>
      <c r="L1023" s="106">
        <f>IF(NOT(ISERROR(VLOOKUP(B1023,Deflatores!G$42:H$64,2,FALSE))),VLOOKUP(B1023,Deflatores!G$42:H$64,2,FALSE),IF(OR(ISBLANK(C1023),ISBLANK(B1023)),"",VLOOKUP(C1023,Deflatores!G$4:H$38,2,FALSE)*H1023+VLOOKUP(C1023,Deflatores!G$4:I$38,3,FALSE)))</f>
        <v>4</v>
      </c>
      <c r="M1023" s="106"/>
      <c r="N1023" s="106"/>
      <c r="O1023" s="124"/>
    </row>
    <row r="1024" spans="1:15" x14ac:dyDescent="0.25">
      <c r="A1024" s="112" t="s">
        <v>850</v>
      </c>
      <c r="B1024" s="113" t="s">
        <v>50</v>
      </c>
      <c r="C1024" s="113" t="s">
        <v>45</v>
      </c>
      <c r="D1024" s="4">
        <v>4</v>
      </c>
      <c r="E1024" s="4">
        <v>2</v>
      </c>
      <c r="F1024" s="106" t="str">
        <f t="shared" si="257"/>
        <v>Baixa</v>
      </c>
      <c r="G1024" s="106" t="str">
        <f t="shared" si="258"/>
        <v>CEL</v>
      </c>
      <c r="H1024" s="4">
        <f t="shared" si="259"/>
        <v>3</v>
      </c>
      <c r="I1024" s="105" t="str">
        <f t="shared" si="260"/>
        <v>L</v>
      </c>
      <c r="J1024" s="4" t="str">
        <f t="shared" si="261"/>
        <v>CEI</v>
      </c>
      <c r="K1024" s="106">
        <f t="shared" si="262"/>
        <v>3</v>
      </c>
      <c r="L1024" s="106">
        <f>IF(NOT(ISERROR(VLOOKUP(B1024,Deflatores!G$42:H$64,2,FALSE))),VLOOKUP(B1024,Deflatores!G$42:H$64,2,FALSE),IF(OR(ISBLANK(C1024),ISBLANK(B1024)),"",VLOOKUP(C1024,Deflatores!G$4:H$38,2,FALSE)*H1024+VLOOKUP(C1024,Deflatores!G$4:I$38,3,FALSE)))</f>
        <v>3</v>
      </c>
      <c r="M1024" s="106"/>
      <c r="N1024" s="106"/>
      <c r="O1024" s="124"/>
    </row>
    <row r="1025" spans="1:15" x14ac:dyDescent="0.25">
      <c r="A1025" s="112"/>
      <c r="B1025" s="113"/>
      <c r="C1025" s="113"/>
      <c r="D1025" s="4"/>
      <c r="E1025" s="4"/>
      <c r="F1025" s="106" t="str">
        <f t="shared" si="257"/>
        <v/>
      </c>
      <c r="G1025" s="106" t="str">
        <f t="shared" si="258"/>
        <v/>
      </c>
      <c r="H1025" s="4" t="str">
        <f t="shared" si="259"/>
        <v/>
      </c>
      <c r="I1025" s="105" t="str">
        <f t="shared" si="260"/>
        <v/>
      </c>
      <c r="J1025" s="4" t="str">
        <f t="shared" si="261"/>
        <v/>
      </c>
      <c r="K1025" s="106" t="str">
        <f t="shared" si="262"/>
        <v/>
      </c>
      <c r="L1025" s="106" t="str">
        <f>IF(NOT(ISERROR(VLOOKUP(B1025,Deflatores!G$42:H$64,2,FALSE))),VLOOKUP(B1025,Deflatores!G$42:H$64,2,FALSE),IF(OR(ISBLANK(C1025),ISBLANK(B1025)),"",VLOOKUP(C1025,Deflatores!G$4:H$38,2,FALSE)*H1025+VLOOKUP(C1025,Deflatores!G$4:I$38,3,FALSE)))</f>
        <v/>
      </c>
      <c r="M1025" s="106"/>
      <c r="N1025" s="106"/>
      <c r="O1025" s="124"/>
    </row>
    <row r="1026" spans="1:15" x14ac:dyDescent="0.25">
      <c r="A1026" s="115" t="s">
        <v>851</v>
      </c>
      <c r="B1026" s="113"/>
      <c r="C1026" s="113"/>
      <c r="D1026" s="4"/>
      <c r="E1026" s="4"/>
      <c r="F1026" s="106" t="str">
        <f t="shared" si="257"/>
        <v/>
      </c>
      <c r="G1026" s="106" t="str">
        <f t="shared" si="258"/>
        <v/>
      </c>
      <c r="H1026" s="4" t="str">
        <f t="shared" si="259"/>
        <v/>
      </c>
      <c r="I1026" s="105" t="str">
        <f t="shared" si="260"/>
        <v/>
      </c>
      <c r="J1026" s="4" t="str">
        <f t="shared" si="261"/>
        <v/>
      </c>
      <c r="K1026" s="106" t="str">
        <f t="shared" si="262"/>
        <v/>
      </c>
      <c r="L1026" s="106" t="str">
        <f>IF(NOT(ISERROR(VLOOKUP(B1026,Deflatores!G$42:H$64,2,FALSE))),VLOOKUP(B1026,Deflatores!G$42:H$64,2,FALSE),IF(OR(ISBLANK(C1026),ISBLANK(B1026)),"",VLOOKUP(C1026,Deflatores!G$4:H$38,2,FALSE)*H1026+VLOOKUP(C1026,Deflatores!G$4:I$38,3,FALSE)))</f>
        <v/>
      </c>
      <c r="M1026" s="106"/>
      <c r="N1026" s="106"/>
      <c r="O1026" s="124"/>
    </row>
    <row r="1027" spans="1:15" x14ac:dyDescent="0.25">
      <c r="A1027" s="112" t="s">
        <v>852</v>
      </c>
      <c r="B1027" s="113" t="s">
        <v>44</v>
      </c>
      <c r="C1027" s="113" t="s">
        <v>45</v>
      </c>
      <c r="D1027" s="4">
        <v>8</v>
      </c>
      <c r="E1027" s="4">
        <v>1</v>
      </c>
      <c r="F1027" s="106" t="str">
        <f t="shared" si="257"/>
        <v>Baixa</v>
      </c>
      <c r="G1027" s="106" t="str">
        <f t="shared" si="258"/>
        <v>ALIL</v>
      </c>
      <c r="H1027" s="4">
        <f t="shared" si="259"/>
        <v>7</v>
      </c>
      <c r="I1027" s="105" t="str">
        <f t="shared" si="260"/>
        <v>L</v>
      </c>
      <c r="J1027" s="4" t="str">
        <f t="shared" si="261"/>
        <v>ALII</v>
      </c>
      <c r="K1027" s="106">
        <f t="shared" si="262"/>
        <v>7</v>
      </c>
      <c r="L1027" s="106">
        <f>IF(NOT(ISERROR(VLOOKUP(B1027,Deflatores!G$42:H$64,2,FALSE))),VLOOKUP(B1027,Deflatores!G$42:H$64,2,FALSE),IF(OR(ISBLANK(C1027),ISBLANK(B1027)),"",VLOOKUP(C1027,Deflatores!G$4:H$38,2,FALSE)*H1027+VLOOKUP(C1027,Deflatores!G$4:I$38,3,FALSE)))</f>
        <v>7</v>
      </c>
      <c r="M1027" s="106"/>
      <c r="N1027" s="106"/>
      <c r="O1027" s="124"/>
    </row>
    <row r="1028" spans="1:15" x14ac:dyDescent="0.25">
      <c r="A1028" s="112" t="s">
        <v>853</v>
      </c>
      <c r="B1028" s="113" t="s">
        <v>50</v>
      </c>
      <c r="C1028" s="113" t="s">
        <v>45</v>
      </c>
      <c r="D1028" s="4">
        <v>10</v>
      </c>
      <c r="E1028" s="4">
        <v>3</v>
      </c>
      <c r="F1028" s="106" t="str">
        <f t="shared" si="257"/>
        <v>Média</v>
      </c>
      <c r="G1028" s="106" t="str">
        <f t="shared" si="258"/>
        <v>CEA</v>
      </c>
      <c r="H1028" s="4">
        <f t="shared" si="259"/>
        <v>4</v>
      </c>
      <c r="I1028" s="105" t="str">
        <f t="shared" si="260"/>
        <v>A</v>
      </c>
      <c r="J1028" s="4" t="str">
        <f t="shared" si="261"/>
        <v>CEI</v>
      </c>
      <c r="K1028" s="106">
        <f t="shared" si="262"/>
        <v>4</v>
      </c>
      <c r="L1028" s="106">
        <f>IF(NOT(ISERROR(VLOOKUP(B1028,Deflatores!G$42:H$64,2,FALSE))),VLOOKUP(B1028,Deflatores!G$42:H$64,2,FALSE),IF(OR(ISBLANK(C1028),ISBLANK(B1028)),"",VLOOKUP(C1028,Deflatores!G$4:H$38,2,FALSE)*H1028+VLOOKUP(C1028,Deflatores!G$4:I$38,3,FALSE)))</f>
        <v>4</v>
      </c>
      <c r="M1028" s="106"/>
      <c r="N1028" s="106"/>
      <c r="O1028" s="124"/>
    </row>
    <row r="1029" spans="1:15" x14ac:dyDescent="0.25">
      <c r="A1029" s="112" t="s">
        <v>854</v>
      </c>
      <c r="B1029" s="113" t="s">
        <v>48</v>
      </c>
      <c r="C1029" s="113" t="s">
        <v>45</v>
      </c>
      <c r="D1029" s="4">
        <v>5</v>
      </c>
      <c r="E1029" s="4">
        <v>3</v>
      </c>
      <c r="F1029" s="106" t="str">
        <f t="shared" si="257"/>
        <v>Alta</v>
      </c>
      <c r="G1029" s="106" t="str">
        <f t="shared" si="258"/>
        <v>EEH</v>
      </c>
      <c r="H1029" s="4">
        <f t="shared" si="259"/>
        <v>6</v>
      </c>
      <c r="I1029" s="105" t="str">
        <f t="shared" si="260"/>
        <v>H</v>
      </c>
      <c r="J1029" s="4" t="str">
        <f t="shared" si="261"/>
        <v>EEI</v>
      </c>
      <c r="K1029" s="106">
        <f t="shared" si="262"/>
        <v>6</v>
      </c>
      <c r="L1029" s="106">
        <f>IF(NOT(ISERROR(VLOOKUP(B1029,Deflatores!G$42:H$64,2,FALSE))),VLOOKUP(B1029,Deflatores!G$42:H$64,2,FALSE),IF(OR(ISBLANK(C1029),ISBLANK(B1029)),"",VLOOKUP(C1029,Deflatores!G$4:H$38,2,FALSE)*H1029+VLOOKUP(C1029,Deflatores!G$4:I$38,3,FALSE)))</f>
        <v>6</v>
      </c>
      <c r="M1029" s="106"/>
      <c r="N1029" s="106"/>
      <c r="O1029" s="124"/>
    </row>
    <row r="1030" spans="1:15" x14ac:dyDescent="0.25">
      <c r="A1030" s="112" t="s">
        <v>855</v>
      </c>
      <c r="B1030" s="113" t="s">
        <v>48</v>
      </c>
      <c r="C1030" s="113" t="s">
        <v>45</v>
      </c>
      <c r="D1030" s="4">
        <v>3</v>
      </c>
      <c r="E1030" s="4">
        <v>1</v>
      </c>
      <c r="F1030" s="106" t="str">
        <f t="shared" si="257"/>
        <v>Baixa</v>
      </c>
      <c r="G1030" s="106" t="str">
        <f t="shared" si="258"/>
        <v>EEL</v>
      </c>
      <c r="H1030" s="4">
        <f t="shared" si="259"/>
        <v>3</v>
      </c>
      <c r="I1030" s="105" t="str">
        <f t="shared" si="260"/>
        <v>L</v>
      </c>
      <c r="J1030" s="4" t="str">
        <f t="shared" si="261"/>
        <v>EEI</v>
      </c>
      <c r="K1030" s="106">
        <f t="shared" si="262"/>
        <v>3</v>
      </c>
      <c r="L1030" s="106">
        <f>IF(NOT(ISERROR(VLOOKUP(B1030,Deflatores!G$42:H$64,2,FALSE))),VLOOKUP(B1030,Deflatores!G$42:H$64,2,FALSE),IF(OR(ISBLANK(C1030),ISBLANK(B1030)),"",VLOOKUP(C1030,Deflatores!G$4:H$38,2,FALSE)*H1030+VLOOKUP(C1030,Deflatores!G$4:I$38,3,FALSE)))</f>
        <v>3</v>
      </c>
      <c r="M1030" s="106"/>
      <c r="N1030" s="106"/>
      <c r="O1030" s="124"/>
    </row>
    <row r="1031" spans="1:15" x14ac:dyDescent="0.25">
      <c r="A1031" s="112" t="s">
        <v>856</v>
      </c>
      <c r="B1031" s="113" t="s">
        <v>48</v>
      </c>
      <c r="C1031" s="113" t="s">
        <v>45</v>
      </c>
      <c r="D1031" s="4">
        <v>8</v>
      </c>
      <c r="E1031" s="4">
        <v>4</v>
      </c>
      <c r="F1031" s="106" t="str">
        <f t="shared" si="257"/>
        <v>Alta</v>
      </c>
      <c r="G1031" s="106" t="str">
        <f t="shared" si="258"/>
        <v>EEH</v>
      </c>
      <c r="H1031" s="4">
        <f t="shared" si="259"/>
        <v>6</v>
      </c>
      <c r="I1031" s="105" t="str">
        <f t="shared" si="260"/>
        <v>H</v>
      </c>
      <c r="J1031" s="4" t="str">
        <f t="shared" si="261"/>
        <v>EEI</v>
      </c>
      <c r="K1031" s="106">
        <f t="shared" si="262"/>
        <v>6</v>
      </c>
      <c r="L1031" s="106">
        <f>IF(NOT(ISERROR(VLOOKUP(B1031,Deflatores!G$42:H$64,2,FALSE))),VLOOKUP(B1031,Deflatores!G$42:H$64,2,FALSE),IF(OR(ISBLANK(C1031),ISBLANK(B1031)),"",VLOOKUP(C1031,Deflatores!G$4:H$38,2,FALSE)*H1031+VLOOKUP(C1031,Deflatores!G$4:I$38,3,FALSE)))</f>
        <v>6</v>
      </c>
      <c r="M1031" s="106"/>
      <c r="N1031" s="106"/>
      <c r="O1031" s="124"/>
    </row>
    <row r="1032" spans="1:15" x14ac:dyDescent="0.25">
      <c r="A1032" s="112"/>
      <c r="B1032" s="113"/>
      <c r="C1032" s="113"/>
      <c r="D1032" s="4"/>
      <c r="E1032" s="4"/>
      <c r="F1032" s="106" t="str">
        <f t="shared" si="257"/>
        <v/>
      </c>
      <c r="G1032" s="106" t="str">
        <f t="shared" si="258"/>
        <v/>
      </c>
      <c r="H1032" s="4" t="str">
        <f t="shared" si="259"/>
        <v/>
      </c>
      <c r="I1032" s="105" t="str">
        <f t="shared" si="260"/>
        <v/>
      </c>
      <c r="J1032" s="4" t="str">
        <f t="shared" si="261"/>
        <v/>
      </c>
      <c r="K1032" s="106" t="str">
        <f t="shared" si="262"/>
        <v/>
      </c>
      <c r="L1032" s="106" t="str">
        <f>IF(NOT(ISERROR(VLOOKUP(B1032,Deflatores!G$42:H$64,2,FALSE))),VLOOKUP(B1032,Deflatores!G$42:H$64,2,FALSE),IF(OR(ISBLANK(C1032),ISBLANK(B1032)),"",VLOOKUP(C1032,Deflatores!G$4:H$38,2,FALSE)*H1032+VLOOKUP(C1032,Deflatores!G$4:I$38,3,FALSE)))</f>
        <v/>
      </c>
      <c r="M1032" s="106"/>
      <c r="N1032" s="106"/>
      <c r="O1032" s="124"/>
    </row>
    <row r="1033" spans="1:15" x14ac:dyDescent="0.25">
      <c r="A1033" s="115" t="s">
        <v>857</v>
      </c>
      <c r="B1033" s="113"/>
      <c r="C1033" s="113"/>
      <c r="D1033" s="4"/>
      <c r="E1033" s="4"/>
      <c r="F1033" s="106" t="str">
        <f t="shared" si="257"/>
        <v/>
      </c>
      <c r="G1033" s="106" t="str">
        <f t="shared" si="258"/>
        <v/>
      </c>
      <c r="H1033" s="4" t="str">
        <f t="shared" si="259"/>
        <v/>
      </c>
      <c r="I1033" s="105" t="str">
        <f t="shared" si="260"/>
        <v/>
      </c>
      <c r="J1033" s="4" t="str">
        <f t="shared" si="261"/>
        <v/>
      </c>
      <c r="K1033" s="106" t="str">
        <f t="shared" si="262"/>
        <v/>
      </c>
      <c r="L1033" s="106" t="str">
        <f>IF(NOT(ISERROR(VLOOKUP(B1033,Deflatores!G$42:H$64,2,FALSE))),VLOOKUP(B1033,Deflatores!G$42:H$64,2,FALSE),IF(OR(ISBLANK(C1033),ISBLANK(B1033)),"",VLOOKUP(C1033,Deflatores!G$4:H$38,2,FALSE)*H1033+VLOOKUP(C1033,Deflatores!G$4:I$38,3,FALSE)))</f>
        <v/>
      </c>
      <c r="M1033" s="106"/>
      <c r="N1033" s="106"/>
      <c r="O1033" s="124"/>
    </row>
    <row r="1034" spans="1:15" x14ac:dyDescent="0.25">
      <c r="A1034" s="112" t="s">
        <v>858</v>
      </c>
      <c r="B1034" s="113" t="s">
        <v>50</v>
      </c>
      <c r="C1034" s="113" t="s">
        <v>45</v>
      </c>
      <c r="D1034" s="4">
        <v>22</v>
      </c>
      <c r="E1034" s="4">
        <v>3</v>
      </c>
      <c r="F1034" s="106" t="str">
        <f t="shared" si="257"/>
        <v>Alta</v>
      </c>
      <c r="G1034" s="106" t="str">
        <f t="shared" si="258"/>
        <v>CEH</v>
      </c>
      <c r="H1034" s="4">
        <f t="shared" si="259"/>
        <v>6</v>
      </c>
      <c r="I1034" s="105" t="str">
        <f t="shared" si="260"/>
        <v>H</v>
      </c>
      <c r="J1034" s="4" t="str">
        <f t="shared" si="261"/>
        <v>CEI</v>
      </c>
      <c r="K1034" s="106">
        <f t="shared" si="262"/>
        <v>6</v>
      </c>
      <c r="L1034" s="106">
        <f>IF(NOT(ISERROR(VLOOKUP(B1034,Deflatores!G$42:H$64,2,FALSE))),VLOOKUP(B1034,Deflatores!G$42:H$64,2,FALSE),IF(OR(ISBLANK(C1034),ISBLANK(B1034)),"",VLOOKUP(C1034,Deflatores!G$4:H$38,2,FALSE)*H1034+VLOOKUP(C1034,Deflatores!G$4:I$38,3,FALSE)))</f>
        <v>6</v>
      </c>
      <c r="M1034" s="106"/>
      <c r="N1034" s="106"/>
      <c r="O1034" s="124"/>
    </row>
    <row r="1035" spans="1:15" x14ac:dyDescent="0.25">
      <c r="A1035" s="112"/>
      <c r="B1035" s="113"/>
      <c r="C1035" s="113"/>
      <c r="D1035" s="4"/>
      <c r="E1035" s="4"/>
      <c r="F1035" s="106" t="str">
        <f t="shared" si="257"/>
        <v/>
      </c>
      <c r="G1035" s="106" t="str">
        <f t="shared" si="258"/>
        <v/>
      </c>
      <c r="H1035" s="4" t="str">
        <f t="shared" si="259"/>
        <v/>
      </c>
      <c r="I1035" s="105" t="str">
        <f t="shared" si="260"/>
        <v/>
      </c>
      <c r="J1035" s="4" t="str">
        <f t="shared" si="261"/>
        <v/>
      </c>
      <c r="K1035" s="106" t="str">
        <f t="shared" si="262"/>
        <v/>
      </c>
      <c r="L1035" s="106" t="str">
        <f>IF(NOT(ISERROR(VLOOKUP(B1035,Deflatores!G$42:H$64,2,FALSE))),VLOOKUP(B1035,Deflatores!G$42:H$64,2,FALSE),IF(OR(ISBLANK(C1035),ISBLANK(B1035)),"",VLOOKUP(C1035,Deflatores!G$4:H$38,2,FALSE)*H1035+VLOOKUP(C1035,Deflatores!G$4:I$38,3,FALSE)))</f>
        <v/>
      </c>
      <c r="M1035" s="106"/>
      <c r="N1035" s="106"/>
      <c r="O1035" s="124"/>
    </row>
    <row r="1036" spans="1:15" x14ac:dyDescent="0.25">
      <c r="A1036" s="115" t="s">
        <v>859</v>
      </c>
      <c r="B1036" s="113"/>
      <c r="C1036" s="113"/>
      <c r="D1036" s="4"/>
      <c r="E1036" s="4"/>
      <c r="F1036" s="106" t="str">
        <f t="shared" si="257"/>
        <v/>
      </c>
      <c r="G1036" s="106" t="str">
        <f t="shared" si="258"/>
        <v/>
      </c>
      <c r="H1036" s="4" t="str">
        <f t="shared" si="259"/>
        <v/>
      </c>
      <c r="I1036" s="105" t="str">
        <f t="shared" si="260"/>
        <v/>
      </c>
      <c r="J1036" s="4" t="str">
        <f t="shared" si="261"/>
        <v/>
      </c>
      <c r="K1036" s="106" t="str">
        <f t="shared" si="262"/>
        <v/>
      </c>
      <c r="L1036" s="106" t="str">
        <f>IF(NOT(ISERROR(VLOOKUP(B1036,Deflatores!G$42:H$64,2,FALSE))),VLOOKUP(B1036,Deflatores!G$42:H$64,2,FALSE),IF(OR(ISBLANK(C1036),ISBLANK(B1036)),"",VLOOKUP(C1036,Deflatores!G$4:H$38,2,FALSE)*H1036+VLOOKUP(C1036,Deflatores!G$4:I$38,3,FALSE)))</f>
        <v/>
      </c>
      <c r="M1036" s="106"/>
      <c r="N1036" s="106"/>
      <c r="O1036" s="124"/>
    </row>
    <row r="1037" spans="1:15" x14ac:dyDescent="0.25">
      <c r="A1037" s="112" t="s">
        <v>860</v>
      </c>
      <c r="B1037" s="113" t="s">
        <v>44</v>
      </c>
      <c r="C1037" s="113" t="s">
        <v>45</v>
      </c>
      <c r="D1037" s="4">
        <v>9</v>
      </c>
      <c r="E1037" s="4">
        <v>2</v>
      </c>
      <c r="F1037" s="106" t="str">
        <f t="shared" si="257"/>
        <v>Baixa</v>
      </c>
      <c r="G1037" s="106" t="str">
        <f t="shared" si="258"/>
        <v>ALIL</v>
      </c>
      <c r="H1037" s="4">
        <f t="shared" si="259"/>
        <v>7</v>
      </c>
      <c r="I1037" s="105" t="str">
        <f t="shared" si="260"/>
        <v>L</v>
      </c>
      <c r="J1037" s="4" t="str">
        <f t="shared" si="261"/>
        <v>ALII</v>
      </c>
      <c r="K1037" s="106">
        <f t="shared" si="262"/>
        <v>7</v>
      </c>
      <c r="L1037" s="106">
        <f>IF(NOT(ISERROR(VLOOKUP(B1037,Deflatores!G$42:H$64,2,FALSE))),VLOOKUP(B1037,Deflatores!G$42:H$64,2,FALSE),IF(OR(ISBLANK(C1037),ISBLANK(B1037)),"",VLOOKUP(C1037,Deflatores!G$4:H$38,2,FALSE)*H1037+VLOOKUP(C1037,Deflatores!G$4:I$38,3,FALSE)))</f>
        <v>7</v>
      </c>
      <c r="M1037" s="106"/>
      <c r="N1037" s="106"/>
      <c r="O1037" s="124"/>
    </row>
    <row r="1038" spans="1:15" x14ac:dyDescent="0.25">
      <c r="A1038" s="112" t="s">
        <v>861</v>
      </c>
      <c r="B1038" s="113" t="s">
        <v>50</v>
      </c>
      <c r="C1038" s="113" t="s">
        <v>45</v>
      </c>
      <c r="D1038" s="4">
        <v>13</v>
      </c>
      <c r="E1038" s="4">
        <v>3</v>
      </c>
      <c r="F1038" s="106" t="str">
        <f t="shared" si="257"/>
        <v>Média</v>
      </c>
      <c r="G1038" s="106" t="str">
        <f t="shared" si="258"/>
        <v>CEA</v>
      </c>
      <c r="H1038" s="4">
        <f t="shared" si="259"/>
        <v>4</v>
      </c>
      <c r="I1038" s="105" t="str">
        <f t="shared" si="260"/>
        <v>A</v>
      </c>
      <c r="J1038" s="4" t="str">
        <f t="shared" si="261"/>
        <v>CEI</v>
      </c>
      <c r="K1038" s="106">
        <f t="shared" si="262"/>
        <v>4</v>
      </c>
      <c r="L1038" s="106">
        <f>IF(NOT(ISERROR(VLOOKUP(B1038,Deflatores!G$42:H$64,2,FALSE))),VLOOKUP(B1038,Deflatores!G$42:H$64,2,FALSE),IF(OR(ISBLANK(C1038),ISBLANK(B1038)),"",VLOOKUP(C1038,Deflatores!G$4:H$38,2,FALSE)*H1038+VLOOKUP(C1038,Deflatores!G$4:I$38,3,FALSE)))</f>
        <v>4</v>
      </c>
      <c r="M1038" s="106"/>
      <c r="N1038" s="106"/>
      <c r="O1038" s="124"/>
    </row>
    <row r="1039" spans="1:15" x14ac:dyDescent="0.25">
      <c r="A1039" s="112" t="s">
        <v>862</v>
      </c>
      <c r="B1039" s="113" t="s">
        <v>48</v>
      </c>
      <c r="C1039" s="113" t="s">
        <v>45</v>
      </c>
      <c r="D1039" s="4">
        <v>3</v>
      </c>
      <c r="E1039" s="4">
        <v>1</v>
      </c>
      <c r="F1039" s="106" t="str">
        <f t="shared" si="257"/>
        <v>Baixa</v>
      </c>
      <c r="G1039" s="106" t="str">
        <f t="shared" si="258"/>
        <v>EEL</v>
      </c>
      <c r="H1039" s="4">
        <f t="shared" si="259"/>
        <v>3</v>
      </c>
      <c r="I1039" s="105" t="str">
        <f t="shared" si="260"/>
        <v>L</v>
      </c>
      <c r="J1039" s="4" t="str">
        <f t="shared" si="261"/>
        <v>EEI</v>
      </c>
      <c r="K1039" s="106">
        <f t="shared" si="262"/>
        <v>3</v>
      </c>
      <c r="L1039" s="106">
        <f>IF(NOT(ISERROR(VLOOKUP(B1039,Deflatores!G$42:H$64,2,FALSE))),VLOOKUP(B1039,Deflatores!G$42:H$64,2,FALSE),IF(OR(ISBLANK(C1039),ISBLANK(B1039)),"",VLOOKUP(C1039,Deflatores!G$4:H$38,2,FALSE)*H1039+VLOOKUP(C1039,Deflatores!G$4:I$38,3,FALSE)))</f>
        <v>3</v>
      </c>
      <c r="M1039" s="106"/>
      <c r="N1039" s="106"/>
      <c r="O1039" s="124"/>
    </row>
    <row r="1040" spans="1:15" x14ac:dyDescent="0.25">
      <c r="A1040" s="112" t="s">
        <v>863</v>
      </c>
      <c r="B1040" s="113" t="s">
        <v>48</v>
      </c>
      <c r="C1040" s="113" t="s">
        <v>45</v>
      </c>
      <c r="D1040" s="4">
        <v>3</v>
      </c>
      <c r="E1040" s="4">
        <v>1</v>
      </c>
      <c r="F1040" s="106" t="str">
        <f t="shared" si="257"/>
        <v>Baixa</v>
      </c>
      <c r="G1040" s="106" t="str">
        <f t="shared" si="258"/>
        <v>EEL</v>
      </c>
      <c r="H1040" s="4">
        <f t="shared" si="259"/>
        <v>3</v>
      </c>
      <c r="I1040" s="105" t="str">
        <f t="shared" si="260"/>
        <v>L</v>
      </c>
      <c r="J1040" s="4" t="str">
        <f t="shared" si="261"/>
        <v>EEI</v>
      </c>
      <c r="K1040" s="106">
        <f t="shared" si="262"/>
        <v>3</v>
      </c>
      <c r="L1040" s="106">
        <f>IF(NOT(ISERROR(VLOOKUP(B1040,Deflatores!G$42:H$64,2,FALSE))),VLOOKUP(B1040,Deflatores!G$42:H$64,2,FALSE),IF(OR(ISBLANK(C1040),ISBLANK(B1040)),"",VLOOKUP(C1040,Deflatores!G$4:H$38,2,FALSE)*H1040+VLOOKUP(C1040,Deflatores!G$4:I$38,3,FALSE)))</f>
        <v>3</v>
      </c>
      <c r="M1040" s="106"/>
      <c r="N1040" s="106"/>
      <c r="O1040" s="124"/>
    </row>
    <row r="1041" spans="1:15" x14ac:dyDescent="0.25">
      <c r="A1041" s="112" t="s">
        <v>864</v>
      </c>
      <c r="B1041" s="113" t="s">
        <v>48</v>
      </c>
      <c r="C1041" s="113" t="s">
        <v>45</v>
      </c>
      <c r="D1041" s="4">
        <v>7</v>
      </c>
      <c r="E1041" s="4">
        <v>1</v>
      </c>
      <c r="F1041" s="106" t="str">
        <f t="shared" si="257"/>
        <v>Baixa</v>
      </c>
      <c r="G1041" s="106" t="str">
        <f t="shared" si="258"/>
        <v>EEL</v>
      </c>
      <c r="H1041" s="4">
        <f t="shared" si="259"/>
        <v>3</v>
      </c>
      <c r="I1041" s="105" t="str">
        <f t="shared" si="260"/>
        <v>L</v>
      </c>
      <c r="J1041" s="4" t="str">
        <f t="shared" si="261"/>
        <v>EEI</v>
      </c>
      <c r="K1041" s="106">
        <f t="shared" si="262"/>
        <v>3</v>
      </c>
      <c r="L1041" s="106">
        <f>IF(NOT(ISERROR(VLOOKUP(B1041,Deflatores!G$42:H$64,2,FALSE))),VLOOKUP(B1041,Deflatores!G$42:H$64,2,FALSE),IF(OR(ISBLANK(C1041),ISBLANK(B1041)),"",VLOOKUP(C1041,Deflatores!G$4:H$38,2,FALSE)*H1041+VLOOKUP(C1041,Deflatores!G$4:I$38,3,FALSE)))</f>
        <v>3</v>
      </c>
      <c r="M1041" s="106"/>
      <c r="N1041" s="106"/>
      <c r="O1041" s="124"/>
    </row>
    <row r="1042" spans="1:15" x14ac:dyDescent="0.25">
      <c r="A1042" s="112" t="s">
        <v>865</v>
      </c>
      <c r="B1042" s="113" t="s">
        <v>48</v>
      </c>
      <c r="C1042" s="113" t="s">
        <v>45</v>
      </c>
      <c r="D1042" s="4">
        <v>7</v>
      </c>
      <c r="E1042" s="4">
        <v>1</v>
      </c>
      <c r="F1042" s="106" t="str">
        <f t="shared" si="257"/>
        <v>Baixa</v>
      </c>
      <c r="G1042" s="106" t="str">
        <f t="shared" si="258"/>
        <v>EEL</v>
      </c>
      <c r="H1042" s="4">
        <f t="shared" si="259"/>
        <v>3</v>
      </c>
      <c r="I1042" s="105" t="str">
        <f t="shared" si="260"/>
        <v>L</v>
      </c>
      <c r="J1042" s="4" t="str">
        <f t="shared" si="261"/>
        <v>EEI</v>
      </c>
      <c r="K1042" s="106">
        <f t="shared" si="262"/>
        <v>3</v>
      </c>
      <c r="L1042" s="106">
        <f>IF(NOT(ISERROR(VLOOKUP(B1042,Deflatores!G$42:H$64,2,FALSE))),VLOOKUP(B1042,Deflatores!G$42:H$64,2,FALSE),IF(OR(ISBLANK(C1042),ISBLANK(B1042)),"",VLOOKUP(C1042,Deflatores!G$4:H$38,2,FALSE)*H1042+VLOOKUP(C1042,Deflatores!G$4:I$38,3,FALSE)))</f>
        <v>3</v>
      </c>
      <c r="M1042" s="106"/>
      <c r="N1042" s="106"/>
      <c r="O1042" s="124"/>
    </row>
    <row r="1043" spans="1:15" x14ac:dyDescent="0.25">
      <c r="A1043" s="112" t="s">
        <v>866</v>
      </c>
      <c r="B1043" s="113" t="s">
        <v>48</v>
      </c>
      <c r="C1043" s="113" t="s">
        <v>45</v>
      </c>
      <c r="D1043" s="4">
        <v>10</v>
      </c>
      <c r="E1043" s="4">
        <v>3</v>
      </c>
      <c r="F1043" s="106" t="str">
        <f t="shared" si="257"/>
        <v>Alta</v>
      </c>
      <c r="G1043" s="106" t="str">
        <f t="shared" si="258"/>
        <v>EEH</v>
      </c>
      <c r="H1043" s="4">
        <f t="shared" si="259"/>
        <v>6</v>
      </c>
      <c r="I1043" s="105" t="str">
        <f t="shared" si="260"/>
        <v>H</v>
      </c>
      <c r="J1043" s="4" t="str">
        <f t="shared" si="261"/>
        <v>EEI</v>
      </c>
      <c r="K1043" s="106">
        <f t="shared" si="262"/>
        <v>6</v>
      </c>
      <c r="L1043" s="106">
        <f>IF(NOT(ISERROR(VLOOKUP(B1043,Deflatores!G$42:H$64,2,FALSE))),VLOOKUP(B1043,Deflatores!G$42:H$64,2,FALSE),IF(OR(ISBLANK(C1043),ISBLANK(B1043)),"",VLOOKUP(C1043,Deflatores!G$4:H$38,2,FALSE)*H1043+VLOOKUP(C1043,Deflatores!G$4:I$38,3,FALSE)))</f>
        <v>6</v>
      </c>
      <c r="M1043" s="106"/>
      <c r="N1043" s="106"/>
      <c r="O1043" s="124"/>
    </row>
    <row r="1044" spans="1:15" x14ac:dyDescent="0.25">
      <c r="A1044" s="114" t="s">
        <v>867</v>
      </c>
      <c r="B1044" s="113" t="s">
        <v>50</v>
      </c>
      <c r="C1044" s="113" t="s">
        <v>45</v>
      </c>
      <c r="D1044" s="4">
        <v>7</v>
      </c>
      <c r="E1044" s="4">
        <v>3</v>
      </c>
      <c r="F1044" s="106" t="str">
        <f t="shared" si="257"/>
        <v>Média</v>
      </c>
      <c r="G1044" s="106" t="str">
        <f t="shared" si="258"/>
        <v>CEA</v>
      </c>
      <c r="H1044" s="4">
        <f t="shared" si="259"/>
        <v>4</v>
      </c>
      <c r="I1044" s="105" t="str">
        <f t="shared" si="260"/>
        <v>A</v>
      </c>
      <c r="J1044" s="4" t="str">
        <f t="shared" si="261"/>
        <v>CEI</v>
      </c>
      <c r="K1044" s="106">
        <f t="shared" si="262"/>
        <v>4</v>
      </c>
      <c r="L1044" s="106">
        <f>IF(NOT(ISERROR(VLOOKUP(B1044,Deflatores!G$42:H$64,2,FALSE))),VLOOKUP(B1044,Deflatores!G$42:H$64,2,FALSE),IF(OR(ISBLANK(C1044),ISBLANK(B1044)),"",VLOOKUP(C1044,Deflatores!G$4:H$38,2,FALSE)*H1044+VLOOKUP(C1044,Deflatores!G$4:I$38,3,FALSE)))</f>
        <v>4</v>
      </c>
      <c r="M1044" s="106"/>
      <c r="N1044" s="106"/>
      <c r="O1044" s="124"/>
    </row>
    <row r="1045" spans="1:15" x14ac:dyDescent="0.25">
      <c r="A1045" s="112" t="s">
        <v>868</v>
      </c>
      <c r="B1045" s="113" t="s">
        <v>48</v>
      </c>
      <c r="C1045" s="113" t="s">
        <v>45</v>
      </c>
      <c r="D1045" s="4">
        <v>10</v>
      </c>
      <c r="E1045" s="4">
        <v>1</v>
      </c>
      <c r="F1045" s="106" t="str">
        <f t="shared" si="257"/>
        <v>Baixa</v>
      </c>
      <c r="G1045" s="106" t="str">
        <f t="shared" si="258"/>
        <v>EEL</v>
      </c>
      <c r="H1045" s="4">
        <f t="shared" si="259"/>
        <v>3</v>
      </c>
      <c r="I1045" s="105" t="str">
        <f t="shared" si="260"/>
        <v>L</v>
      </c>
      <c r="J1045" s="4" t="str">
        <f t="shared" si="261"/>
        <v>EEI</v>
      </c>
      <c r="K1045" s="106">
        <f t="shared" si="262"/>
        <v>3</v>
      </c>
      <c r="L1045" s="106">
        <f>IF(NOT(ISERROR(VLOOKUP(B1045,Deflatores!G$42:H$64,2,FALSE))),VLOOKUP(B1045,Deflatores!G$42:H$64,2,FALSE),IF(OR(ISBLANK(C1045),ISBLANK(B1045)),"",VLOOKUP(C1045,Deflatores!G$4:H$38,2,FALSE)*H1045+VLOOKUP(C1045,Deflatores!G$4:I$38,3,FALSE)))</f>
        <v>3</v>
      </c>
      <c r="M1045" s="106"/>
      <c r="N1045" s="106"/>
      <c r="O1045" s="124"/>
    </row>
    <row r="1046" spans="1:15" x14ac:dyDescent="0.25">
      <c r="A1046" s="112" t="s">
        <v>869</v>
      </c>
      <c r="B1046" s="113" t="s">
        <v>50</v>
      </c>
      <c r="C1046" s="113" t="s">
        <v>45</v>
      </c>
      <c r="D1046" s="4">
        <v>15</v>
      </c>
      <c r="E1046" s="4">
        <v>3</v>
      </c>
      <c r="F1046" s="106" t="str">
        <f t="shared" si="257"/>
        <v>Média</v>
      </c>
      <c r="G1046" s="106" t="str">
        <f t="shared" si="258"/>
        <v>CEA</v>
      </c>
      <c r="H1046" s="4">
        <f t="shared" si="259"/>
        <v>4</v>
      </c>
      <c r="I1046" s="105" t="str">
        <f t="shared" si="260"/>
        <v>A</v>
      </c>
      <c r="J1046" s="4" t="str">
        <f t="shared" si="261"/>
        <v>CEI</v>
      </c>
      <c r="K1046" s="106">
        <f t="shared" si="262"/>
        <v>4</v>
      </c>
      <c r="L1046" s="106">
        <f>IF(NOT(ISERROR(VLOOKUP(B1046,Deflatores!G$42:H$64,2,FALSE))),VLOOKUP(B1046,Deflatores!G$42:H$64,2,FALSE),IF(OR(ISBLANK(C1046),ISBLANK(B1046)),"",VLOOKUP(C1046,Deflatores!G$4:H$38,2,FALSE)*H1046+VLOOKUP(C1046,Deflatores!G$4:I$38,3,FALSE)))</f>
        <v>4</v>
      </c>
      <c r="M1046" s="106"/>
      <c r="N1046" s="106"/>
      <c r="O1046" s="124"/>
    </row>
    <row r="1047" spans="1:15" x14ac:dyDescent="0.25">
      <c r="A1047" s="112" t="s">
        <v>870</v>
      </c>
      <c r="B1047" s="113" t="s">
        <v>48</v>
      </c>
      <c r="C1047" s="113" t="s">
        <v>45</v>
      </c>
      <c r="D1047" s="4">
        <v>3</v>
      </c>
      <c r="E1047" s="4">
        <v>1</v>
      </c>
      <c r="F1047" s="106" t="str">
        <f t="shared" si="257"/>
        <v>Baixa</v>
      </c>
      <c r="G1047" s="106" t="str">
        <f t="shared" si="258"/>
        <v>EEL</v>
      </c>
      <c r="H1047" s="4">
        <f t="shared" si="259"/>
        <v>3</v>
      </c>
      <c r="I1047" s="105" t="str">
        <f t="shared" si="260"/>
        <v>L</v>
      </c>
      <c r="J1047" s="4" t="str">
        <f t="shared" si="261"/>
        <v>EEI</v>
      </c>
      <c r="K1047" s="106">
        <f t="shared" si="262"/>
        <v>3</v>
      </c>
      <c r="L1047" s="106">
        <f>IF(NOT(ISERROR(VLOOKUP(B1047,Deflatores!G$42:H$64,2,FALSE))),VLOOKUP(B1047,Deflatores!G$42:H$64,2,FALSE),IF(OR(ISBLANK(C1047),ISBLANK(B1047)),"",VLOOKUP(C1047,Deflatores!G$4:H$38,2,FALSE)*H1047+VLOOKUP(C1047,Deflatores!G$4:I$38,3,FALSE)))</f>
        <v>3</v>
      </c>
      <c r="M1047" s="106"/>
      <c r="N1047" s="106"/>
      <c r="O1047" s="124"/>
    </row>
    <row r="1048" spans="1:15" x14ac:dyDescent="0.25">
      <c r="A1048" s="112"/>
      <c r="B1048" s="113"/>
      <c r="C1048" s="113"/>
      <c r="D1048" s="4"/>
      <c r="E1048" s="4"/>
      <c r="F1048" s="106" t="str">
        <f t="shared" si="257"/>
        <v/>
      </c>
      <c r="G1048" s="106" t="str">
        <f t="shared" si="258"/>
        <v/>
      </c>
      <c r="H1048" s="4" t="str">
        <f t="shared" si="259"/>
        <v/>
      </c>
      <c r="I1048" s="105" t="str">
        <f t="shared" si="260"/>
        <v/>
      </c>
      <c r="J1048" s="4" t="str">
        <f t="shared" si="261"/>
        <v/>
      </c>
      <c r="K1048" s="106" t="str">
        <f t="shared" si="262"/>
        <v/>
      </c>
      <c r="L1048" s="106" t="str">
        <f>IF(NOT(ISERROR(VLOOKUP(B1048,Deflatores!G$42:H$64,2,FALSE))),VLOOKUP(B1048,Deflatores!G$42:H$64,2,FALSE),IF(OR(ISBLANK(C1048),ISBLANK(B1048)),"",VLOOKUP(C1048,Deflatores!G$4:H$38,2,FALSE)*H1048+VLOOKUP(C1048,Deflatores!G$4:I$38,3,FALSE)))</f>
        <v/>
      </c>
      <c r="M1048" s="106"/>
      <c r="N1048" s="106"/>
      <c r="O1048" s="124"/>
    </row>
    <row r="1049" spans="1:15" x14ac:dyDescent="0.25">
      <c r="A1049" s="115" t="s">
        <v>871</v>
      </c>
      <c r="B1049" s="113"/>
      <c r="C1049" s="113"/>
      <c r="D1049" s="4"/>
      <c r="E1049" s="4"/>
      <c r="F1049" s="106" t="str">
        <f t="shared" si="257"/>
        <v/>
      </c>
      <c r="G1049" s="106" t="str">
        <f t="shared" si="258"/>
        <v/>
      </c>
      <c r="H1049" s="4" t="str">
        <f t="shared" si="259"/>
        <v/>
      </c>
      <c r="I1049" s="105" t="str">
        <f t="shared" si="260"/>
        <v/>
      </c>
      <c r="J1049" s="4" t="str">
        <f t="shared" si="261"/>
        <v/>
      </c>
      <c r="K1049" s="106" t="str">
        <f t="shared" si="262"/>
        <v/>
      </c>
      <c r="L1049" s="106" t="str">
        <f>IF(NOT(ISERROR(VLOOKUP(B1049,Deflatores!G$42:H$64,2,FALSE))),VLOOKUP(B1049,Deflatores!G$42:H$64,2,FALSE),IF(OR(ISBLANK(C1049),ISBLANK(B1049)),"",VLOOKUP(C1049,Deflatores!G$4:H$38,2,FALSE)*H1049+VLOOKUP(C1049,Deflatores!G$4:I$38,3,FALSE)))</f>
        <v/>
      </c>
      <c r="M1049" s="106"/>
      <c r="N1049" s="106"/>
      <c r="O1049" s="124"/>
    </row>
    <row r="1050" spans="1:15" x14ac:dyDescent="0.25">
      <c r="A1050" s="112" t="s">
        <v>872</v>
      </c>
      <c r="B1050" s="113" t="s">
        <v>50</v>
      </c>
      <c r="C1050" s="113" t="s">
        <v>45</v>
      </c>
      <c r="D1050" s="4">
        <v>23</v>
      </c>
      <c r="E1050" s="4">
        <v>3</v>
      </c>
      <c r="F1050" s="106" t="str">
        <f t="shared" si="257"/>
        <v>Alta</v>
      </c>
      <c r="G1050" s="106" t="str">
        <f t="shared" si="258"/>
        <v>CEH</v>
      </c>
      <c r="H1050" s="4">
        <f t="shared" si="259"/>
        <v>6</v>
      </c>
      <c r="I1050" s="105" t="str">
        <f t="shared" si="260"/>
        <v>H</v>
      </c>
      <c r="J1050" s="4" t="str">
        <f t="shared" si="261"/>
        <v>CEI</v>
      </c>
      <c r="K1050" s="106">
        <f t="shared" si="262"/>
        <v>6</v>
      </c>
      <c r="L1050" s="106">
        <f>IF(NOT(ISERROR(VLOOKUP(B1050,Deflatores!G$42:H$64,2,FALSE))),VLOOKUP(B1050,Deflatores!G$42:H$64,2,FALSE),IF(OR(ISBLANK(C1050),ISBLANK(B1050)),"",VLOOKUP(C1050,Deflatores!G$4:H$38,2,FALSE)*H1050+VLOOKUP(C1050,Deflatores!G$4:I$38,3,FALSE)))</f>
        <v>6</v>
      </c>
      <c r="M1050" s="106"/>
      <c r="N1050" s="106"/>
      <c r="O1050" s="124"/>
    </row>
    <row r="1051" spans="1:15" x14ac:dyDescent="0.25">
      <c r="A1051" s="112"/>
      <c r="B1051" s="113"/>
      <c r="C1051" s="113"/>
      <c r="D1051" s="4"/>
      <c r="E1051" s="4"/>
      <c r="F1051" s="106" t="str">
        <f t="shared" si="257"/>
        <v/>
      </c>
      <c r="G1051" s="106" t="str">
        <f t="shared" si="258"/>
        <v/>
      </c>
      <c r="H1051" s="4" t="str">
        <f t="shared" si="259"/>
        <v/>
      </c>
      <c r="I1051" s="105" t="str">
        <f t="shared" si="260"/>
        <v/>
      </c>
      <c r="J1051" s="4" t="str">
        <f t="shared" si="261"/>
        <v/>
      </c>
      <c r="K1051" s="106" t="str">
        <f t="shared" si="262"/>
        <v/>
      </c>
      <c r="L1051" s="106" t="str">
        <f>IF(NOT(ISERROR(VLOOKUP(B1051,Deflatores!G$42:H$64,2,FALSE))),VLOOKUP(B1051,Deflatores!G$42:H$64,2,FALSE),IF(OR(ISBLANK(C1051),ISBLANK(B1051)),"",VLOOKUP(C1051,Deflatores!G$4:H$38,2,FALSE)*H1051+VLOOKUP(C1051,Deflatores!G$4:I$38,3,FALSE)))</f>
        <v/>
      </c>
      <c r="M1051" s="106"/>
      <c r="N1051" s="106"/>
      <c r="O1051" s="124"/>
    </row>
    <row r="1052" spans="1:15" x14ac:dyDescent="0.25">
      <c r="A1052" s="115" t="s">
        <v>873</v>
      </c>
      <c r="B1052" s="113"/>
      <c r="C1052" s="113"/>
      <c r="D1052" s="4"/>
      <c r="E1052" s="4"/>
      <c r="F1052" s="106" t="str">
        <f t="shared" si="257"/>
        <v/>
      </c>
      <c r="G1052" s="106" t="str">
        <f t="shared" si="258"/>
        <v/>
      </c>
      <c r="H1052" s="4" t="str">
        <f t="shared" si="259"/>
        <v/>
      </c>
      <c r="I1052" s="105" t="str">
        <f t="shared" si="260"/>
        <v/>
      </c>
      <c r="J1052" s="4" t="str">
        <f t="shared" si="261"/>
        <v/>
      </c>
      <c r="K1052" s="106" t="str">
        <f t="shared" si="262"/>
        <v/>
      </c>
      <c r="L1052" s="106" t="str">
        <f>IF(NOT(ISERROR(VLOOKUP(B1052,Deflatores!G$42:H$64,2,FALSE))),VLOOKUP(B1052,Deflatores!G$42:H$64,2,FALSE),IF(OR(ISBLANK(C1052),ISBLANK(B1052)),"",VLOOKUP(C1052,Deflatores!G$4:H$38,2,FALSE)*H1052+VLOOKUP(C1052,Deflatores!G$4:I$38,3,FALSE)))</f>
        <v/>
      </c>
      <c r="M1052" s="106"/>
      <c r="N1052" s="106"/>
      <c r="O1052" s="124"/>
    </row>
    <row r="1053" spans="1:15" x14ac:dyDescent="0.25">
      <c r="A1053" s="112" t="s">
        <v>874</v>
      </c>
      <c r="B1053" s="113" t="s">
        <v>44</v>
      </c>
      <c r="C1053" s="113" t="s">
        <v>45</v>
      </c>
      <c r="D1053" s="4">
        <v>9</v>
      </c>
      <c r="E1053" s="4">
        <v>1</v>
      </c>
      <c r="F1053" s="106" t="str">
        <f t="shared" si="257"/>
        <v>Baixa</v>
      </c>
      <c r="G1053" s="106" t="str">
        <f t="shared" si="258"/>
        <v>ALIL</v>
      </c>
      <c r="H1053" s="4">
        <f t="shared" si="259"/>
        <v>7</v>
      </c>
      <c r="I1053" s="105" t="str">
        <f t="shared" si="260"/>
        <v>L</v>
      </c>
      <c r="J1053" s="4" t="str">
        <f t="shared" si="261"/>
        <v>ALII</v>
      </c>
      <c r="K1053" s="106">
        <f t="shared" si="262"/>
        <v>7</v>
      </c>
      <c r="L1053" s="106">
        <f>IF(NOT(ISERROR(VLOOKUP(B1053,Deflatores!G$42:H$64,2,FALSE))),VLOOKUP(B1053,Deflatores!G$42:H$64,2,FALSE),IF(OR(ISBLANK(C1053),ISBLANK(B1053)),"",VLOOKUP(C1053,Deflatores!G$4:H$38,2,FALSE)*H1053+VLOOKUP(C1053,Deflatores!G$4:I$38,3,FALSE)))</f>
        <v>7</v>
      </c>
      <c r="M1053" s="106"/>
      <c r="N1053" s="106"/>
      <c r="O1053" s="124"/>
    </row>
    <row r="1054" spans="1:15" x14ac:dyDescent="0.25">
      <c r="A1054" s="112" t="s">
        <v>875</v>
      </c>
      <c r="B1054" s="113" t="s">
        <v>50</v>
      </c>
      <c r="C1054" s="113" t="s">
        <v>45</v>
      </c>
      <c r="D1054" s="4">
        <v>15</v>
      </c>
      <c r="E1054" s="4">
        <v>2</v>
      </c>
      <c r="F1054" s="106" t="str">
        <f t="shared" si="257"/>
        <v>Média</v>
      </c>
      <c r="G1054" s="106" t="str">
        <f t="shared" si="258"/>
        <v>CEA</v>
      </c>
      <c r="H1054" s="4">
        <f t="shared" si="259"/>
        <v>4</v>
      </c>
      <c r="I1054" s="105" t="str">
        <f t="shared" si="260"/>
        <v>A</v>
      </c>
      <c r="J1054" s="4" t="str">
        <f t="shared" si="261"/>
        <v>CEI</v>
      </c>
      <c r="K1054" s="106">
        <f t="shared" si="262"/>
        <v>4</v>
      </c>
      <c r="L1054" s="106">
        <f>IF(NOT(ISERROR(VLOOKUP(B1054,Deflatores!G$42:H$64,2,FALSE))),VLOOKUP(B1054,Deflatores!G$42:H$64,2,FALSE),IF(OR(ISBLANK(C1054),ISBLANK(B1054)),"",VLOOKUP(C1054,Deflatores!G$4:H$38,2,FALSE)*H1054+VLOOKUP(C1054,Deflatores!G$4:I$38,3,FALSE)))</f>
        <v>4</v>
      </c>
      <c r="M1054" s="106"/>
      <c r="N1054" s="106"/>
      <c r="O1054" s="124"/>
    </row>
    <row r="1055" spans="1:15" x14ac:dyDescent="0.25">
      <c r="A1055" s="112" t="s">
        <v>876</v>
      </c>
      <c r="B1055" s="113" t="s">
        <v>48</v>
      </c>
      <c r="C1055" s="113" t="s">
        <v>45</v>
      </c>
      <c r="D1055" s="4">
        <v>6</v>
      </c>
      <c r="E1055" s="4">
        <v>3</v>
      </c>
      <c r="F1055" s="106" t="str">
        <f t="shared" si="257"/>
        <v>Alta</v>
      </c>
      <c r="G1055" s="106" t="str">
        <f t="shared" si="258"/>
        <v>EEH</v>
      </c>
      <c r="H1055" s="4">
        <f t="shared" si="259"/>
        <v>6</v>
      </c>
      <c r="I1055" s="105" t="str">
        <f t="shared" si="260"/>
        <v>H</v>
      </c>
      <c r="J1055" s="4" t="str">
        <f t="shared" si="261"/>
        <v>EEI</v>
      </c>
      <c r="K1055" s="106">
        <f t="shared" si="262"/>
        <v>6</v>
      </c>
      <c r="L1055" s="106">
        <f>IF(NOT(ISERROR(VLOOKUP(B1055,Deflatores!G$42:H$64,2,FALSE))),VLOOKUP(B1055,Deflatores!G$42:H$64,2,FALSE),IF(OR(ISBLANK(C1055),ISBLANK(B1055)),"",VLOOKUP(C1055,Deflatores!G$4:H$38,2,FALSE)*H1055+VLOOKUP(C1055,Deflatores!G$4:I$38,3,FALSE)))</f>
        <v>6</v>
      </c>
      <c r="M1055" s="106"/>
      <c r="N1055" s="106"/>
      <c r="O1055" s="124"/>
    </row>
    <row r="1056" spans="1:15" ht="22" x14ac:dyDescent="0.25">
      <c r="A1056" s="114" t="s">
        <v>877</v>
      </c>
      <c r="B1056" s="113" t="s">
        <v>50</v>
      </c>
      <c r="C1056" s="113" t="s">
        <v>45</v>
      </c>
      <c r="D1056" s="4">
        <v>4</v>
      </c>
      <c r="E1056" s="4">
        <v>2</v>
      </c>
      <c r="F1056" s="106" t="str">
        <f t="shared" si="257"/>
        <v>Baixa</v>
      </c>
      <c r="G1056" s="106" t="str">
        <f t="shared" si="258"/>
        <v>CEL</v>
      </c>
      <c r="H1056" s="4">
        <f t="shared" si="259"/>
        <v>3</v>
      </c>
      <c r="I1056" s="105" t="str">
        <f t="shared" si="260"/>
        <v>L</v>
      </c>
      <c r="J1056" s="4" t="str">
        <f t="shared" si="261"/>
        <v>CEI</v>
      </c>
      <c r="K1056" s="106">
        <f t="shared" si="262"/>
        <v>3</v>
      </c>
      <c r="L1056" s="106">
        <f>IF(NOT(ISERROR(VLOOKUP(B1056,Deflatores!G$42:H$64,2,FALSE))),VLOOKUP(B1056,Deflatores!G$42:H$64,2,FALSE),IF(OR(ISBLANK(C1056),ISBLANK(B1056)),"",VLOOKUP(C1056,Deflatores!G$4:H$38,2,FALSE)*H1056+VLOOKUP(C1056,Deflatores!G$4:I$38,3,FALSE)))</f>
        <v>3</v>
      </c>
      <c r="M1056" s="106"/>
      <c r="N1056" s="106"/>
      <c r="O1056" s="124"/>
    </row>
    <row r="1057" spans="1:15" x14ac:dyDescent="0.25">
      <c r="A1057" s="112" t="s">
        <v>878</v>
      </c>
      <c r="B1057" s="113" t="s">
        <v>48</v>
      </c>
      <c r="C1057" s="113" t="s">
        <v>45</v>
      </c>
      <c r="D1057" s="4">
        <v>6</v>
      </c>
      <c r="E1057" s="4">
        <v>3</v>
      </c>
      <c r="F1057" s="106" t="str">
        <f t="shared" si="257"/>
        <v>Alta</v>
      </c>
      <c r="G1057" s="106" t="str">
        <f t="shared" si="258"/>
        <v>EEH</v>
      </c>
      <c r="H1057" s="4">
        <f t="shared" si="259"/>
        <v>6</v>
      </c>
      <c r="I1057" s="105" t="str">
        <f t="shared" si="260"/>
        <v>H</v>
      </c>
      <c r="J1057" s="4" t="str">
        <f t="shared" si="261"/>
        <v>EEI</v>
      </c>
      <c r="K1057" s="106">
        <f t="shared" si="262"/>
        <v>6</v>
      </c>
      <c r="L1057" s="106">
        <f>IF(NOT(ISERROR(VLOOKUP(B1057,Deflatores!G$42:H$64,2,FALSE))),VLOOKUP(B1057,Deflatores!G$42:H$64,2,FALSE),IF(OR(ISBLANK(C1057),ISBLANK(B1057)),"",VLOOKUP(C1057,Deflatores!G$4:H$38,2,FALSE)*H1057+VLOOKUP(C1057,Deflatores!G$4:I$38,3,FALSE)))</f>
        <v>6</v>
      </c>
      <c r="M1057" s="106"/>
      <c r="N1057" s="106"/>
      <c r="O1057" s="124"/>
    </row>
    <row r="1058" spans="1:15" x14ac:dyDescent="0.25">
      <c r="A1058" s="114" t="s">
        <v>879</v>
      </c>
      <c r="B1058" s="113" t="s">
        <v>50</v>
      </c>
      <c r="C1058" s="113" t="s">
        <v>45</v>
      </c>
      <c r="D1058" s="4">
        <v>7</v>
      </c>
      <c r="E1058" s="4">
        <v>3</v>
      </c>
      <c r="F1058" s="106" t="str">
        <f t="shared" si="257"/>
        <v>Média</v>
      </c>
      <c r="G1058" s="106" t="str">
        <f t="shared" si="258"/>
        <v>CEA</v>
      </c>
      <c r="H1058" s="4">
        <f t="shared" si="259"/>
        <v>4</v>
      </c>
      <c r="I1058" s="105" t="str">
        <f t="shared" si="260"/>
        <v>A</v>
      </c>
      <c r="J1058" s="4" t="str">
        <f t="shared" si="261"/>
        <v>CEI</v>
      </c>
      <c r="K1058" s="106">
        <f t="shared" si="262"/>
        <v>4</v>
      </c>
      <c r="L1058" s="106">
        <f>IF(NOT(ISERROR(VLOOKUP(B1058,Deflatores!G$42:H$64,2,FALSE))),VLOOKUP(B1058,Deflatores!G$42:H$64,2,FALSE),IF(OR(ISBLANK(C1058),ISBLANK(B1058)),"",VLOOKUP(C1058,Deflatores!G$4:H$38,2,FALSE)*H1058+VLOOKUP(C1058,Deflatores!G$4:I$38,3,FALSE)))</f>
        <v>4</v>
      </c>
      <c r="M1058" s="106"/>
      <c r="N1058" s="106"/>
      <c r="O1058" s="124"/>
    </row>
    <row r="1059" spans="1:15" x14ac:dyDescent="0.25">
      <c r="A1059" s="112" t="s">
        <v>880</v>
      </c>
      <c r="B1059" s="113" t="s">
        <v>50</v>
      </c>
      <c r="C1059" s="113" t="s">
        <v>45</v>
      </c>
      <c r="D1059" s="4">
        <v>9</v>
      </c>
      <c r="E1059" s="4">
        <v>3</v>
      </c>
      <c r="F1059" s="106" t="str">
        <f t="shared" si="257"/>
        <v>Média</v>
      </c>
      <c r="G1059" s="106" t="str">
        <f t="shared" si="258"/>
        <v>CEA</v>
      </c>
      <c r="H1059" s="4">
        <f t="shared" si="259"/>
        <v>4</v>
      </c>
      <c r="I1059" s="105" t="str">
        <f t="shared" si="260"/>
        <v>A</v>
      </c>
      <c r="J1059" s="4" t="str">
        <f t="shared" si="261"/>
        <v>CEI</v>
      </c>
      <c r="K1059" s="106">
        <f t="shared" si="262"/>
        <v>4</v>
      </c>
      <c r="L1059" s="106">
        <f>IF(NOT(ISERROR(VLOOKUP(B1059,Deflatores!G$42:H$64,2,FALSE))),VLOOKUP(B1059,Deflatores!G$42:H$64,2,FALSE),IF(OR(ISBLANK(C1059),ISBLANK(B1059)),"",VLOOKUP(C1059,Deflatores!G$4:H$38,2,FALSE)*H1059+VLOOKUP(C1059,Deflatores!G$4:I$38,3,FALSE)))</f>
        <v>4</v>
      </c>
      <c r="M1059" s="106"/>
      <c r="N1059" s="106"/>
      <c r="O1059" s="124"/>
    </row>
    <row r="1060" spans="1:15" x14ac:dyDescent="0.25">
      <c r="A1060" s="112" t="s">
        <v>881</v>
      </c>
      <c r="B1060" s="113" t="s">
        <v>48</v>
      </c>
      <c r="C1060" s="113" t="s">
        <v>45</v>
      </c>
      <c r="D1060" s="4">
        <v>3</v>
      </c>
      <c r="E1060" s="4">
        <v>1</v>
      </c>
      <c r="F1060" s="106" t="str">
        <f t="shared" si="257"/>
        <v>Baixa</v>
      </c>
      <c r="G1060" s="106" t="str">
        <f t="shared" si="258"/>
        <v>EEL</v>
      </c>
      <c r="H1060" s="4">
        <f t="shared" si="259"/>
        <v>3</v>
      </c>
      <c r="I1060" s="105" t="str">
        <f t="shared" si="260"/>
        <v>L</v>
      </c>
      <c r="J1060" s="4" t="str">
        <f t="shared" si="261"/>
        <v>EEI</v>
      </c>
      <c r="K1060" s="106">
        <f t="shared" si="262"/>
        <v>3</v>
      </c>
      <c r="L1060" s="106">
        <f>IF(NOT(ISERROR(VLOOKUP(B1060,Deflatores!G$42:H$64,2,FALSE))),VLOOKUP(B1060,Deflatores!G$42:H$64,2,FALSE),IF(OR(ISBLANK(C1060),ISBLANK(B1060)),"",VLOOKUP(C1060,Deflatores!G$4:H$38,2,FALSE)*H1060+VLOOKUP(C1060,Deflatores!G$4:I$38,3,FALSE)))</f>
        <v>3</v>
      </c>
      <c r="M1060" s="106"/>
      <c r="N1060" s="106"/>
      <c r="O1060" s="124"/>
    </row>
    <row r="1061" spans="1:15" x14ac:dyDescent="0.25">
      <c r="A1061" s="112" t="s">
        <v>882</v>
      </c>
      <c r="B1061" s="113" t="s">
        <v>48</v>
      </c>
      <c r="C1061" s="113" t="s">
        <v>45</v>
      </c>
      <c r="D1061" s="4">
        <v>3</v>
      </c>
      <c r="E1061" s="4">
        <v>2</v>
      </c>
      <c r="F1061" s="106" t="str">
        <f t="shared" si="257"/>
        <v>Baixa</v>
      </c>
      <c r="G1061" s="106" t="str">
        <f t="shared" si="258"/>
        <v>EEL</v>
      </c>
      <c r="H1061" s="4">
        <f t="shared" si="259"/>
        <v>3</v>
      </c>
      <c r="I1061" s="105" t="str">
        <f t="shared" si="260"/>
        <v>L</v>
      </c>
      <c r="J1061" s="4" t="str">
        <f t="shared" si="261"/>
        <v>EEI</v>
      </c>
      <c r="K1061" s="106">
        <f t="shared" si="262"/>
        <v>3</v>
      </c>
      <c r="L1061" s="106">
        <f>IF(NOT(ISERROR(VLOOKUP(B1061,Deflatores!G$42:H$64,2,FALSE))),VLOOKUP(B1061,Deflatores!G$42:H$64,2,FALSE),IF(OR(ISBLANK(C1061),ISBLANK(B1061)),"",VLOOKUP(C1061,Deflatores!G$4:H$38,2,FALSE)*H1061+VLOOKUP(C1061,Deflatores!G$4:I$38,3,FALSE)))</f>
        <v>3</v>
      </c>
      <c r="M1061" s="106"/>
      <c r="N1061" s="106"/>
      <c r="O1061" s="124"/>
    </row>
    <row r="1062" spans="1:15" x14ac:dyDescent="0.25">
      <c r="A1062" s="112" t="s">
        <v>883</v>
      </c>
      <c r="B1062" s="113" t="s">
        <v>48</v>
      </c>
      <c r="C1062" s="113" t="s">
        <v>45</v>
      </c>
      <c r="D1062" s="4">
        <v>4</v>
      </c>
      <c r="E1062" s="4">
        <v>2</v>
      </c>
      <c r="F1062" s="106" t="str">
        <f t="shared" si="257"/>
        <v>Baixa</v>
      </c>
      <c r="G1062" s="106" t="str">
        <f t="shared" si="258"/>
        <v>EEL</v>
      </c>
      <c r="H1062" s="4">
        <f t="shared" si="259"/>
        <v>3</v>
      </c>
      <c r="I1062" s="105" t="str">
        <f t="shared" si="260"/>
        <v>L</v>
      </c>
      <c r="J1062" s="4" t="str">
        <f t="shared" si="261"/>
        <v>EEI</v>
      </c>
      <c r="K1062" s="106">
        <f t="shared" si="262"/>
        <v>3</v>
      </c>
      <c r="L1062" s="106">
        <f>IF(NOT(ISERROR(VLOOKUP(B1062,Deflatores!G$42:H$64,2,FALSE))),VLOOKUP(B1062,Deflatores!G$42:H$64,2,FALSE),IF(OR(ISBLANK(C1062),ISBLANK(B1062)),"",VLOOKUP(C1062,Deflatores!G$4:H$38,2,FALSE)*H1062+VLOOKUP(C1062,Deflatores!G$4:I$38,3,FALSE)))</f>
        <v>3</v>
      </c>
      <c r="M1062" s="106"/>
      <c r="N1062" s="106"/>
      <c r="O1062" s="124"/>
    </row>
    <row r="1063" spans="1:15" ht="25.75" customHeight="1" x14ac:dyDescent="0.25">
      <c r="A1063" s="112" t="s">
        <v>884</v>
      </c>
      <c r="B1063" s="113" t="s">
        <v>48</v>
      </c>
      <c r="C1063" s="113" t="s">
        <v>45</v>
      </c>
      <c r="D1063" s="4">
        <v>7</v>
      </c>
      <c r="E1063" s="4">
        <v>2</v>
      </c>
      <c r="F1063" s="106" t="str">
        <f t="shared" si="257"/>
        <v>Média</v>
      </c>
      <c r="G1063" s="106" t="str">
        <f t="shared" si="258"/>
        <v>EEA</v>
      </c>
      <c r="H1063" s="4">
        <f t="shared" si="259"/>
        <v>4</v>
      </c>
      <c r="I1063" s="105" t="str">
        <f t="shared" si="260"/>
        <v>A</v>
      </c>
      <c r="J1063" s="4" t="str">
        <f t="shared" si="261"/>
        <v>EEI</v>
      </c>
      <c r="K1063" s="106">
        <f t="shared" si="262"/>
        <v>4</v>
      </c>
      <c r="L1063" s="106">
        <f>IF(NOT(ISERROR(VLOOKUP(B1063,Deflatores!G$42:H$64,2,FALSE))),VLOOKUP(B1063,Deflatores!G$42:H$64,2,FALSE),IF(OR(ISBLANK(C1063),ISBLANK(B1063)),"",VLOOKUP(C1063,Deflatores!G$4:H$38,2,FALSE)*H1063+VLOOKUP(C1063,Deflatores!G$4:I$38,3,FALSE)))</f>
        <v>4</v>
      </c>
      <c r="M1063" s="106"/>
      <c r="N1063" s="106"/>
      <c r="O1063" s="124"/>
    </row>
    <row r="1064" spans="1:15" ht="27" customHeight="1" x14ac:dyDescent="0.25">
      <c r="A1064" s="112" t="s">
        <v>885</v>
      </c>
      <c r="B1064" s="113" t="s">
        <v>48</v>
      </c>
      <c r="C1064" s="113" t="s">
        <v>45</v>
      </c>
      <c r="D1064" s="4">
        <v>7</v>
      </c>
      <c r="E1064" s="4">
        <v>2</v>
      </c>
      <c r="F1064" s="106" t="str">
        <f t="shared" si="257"/>
        <v>Média</v>
      </c>
      <c r="G1064" s="106" t="str">
        <f t="shared" si="258"/>
        <v>EEA</v>
      </c>
      <c r="H1064" s="4">
        <f t="shared" si="259"/>
        <v>4</v>
      </c>
      <c r="I1064" s="105" t="str">
        <f t="shared" si="260"/>
        <v>A</v>
      </c>
      <c r="J1064" s="4" t="str">
        <f t="shared" si="261"/>
        <v>EEI</v>
      </c>
      <c r="K1064" s="106">
        <f t="shared" si="262"/>
        <v>4</v>
      </c>
      <c r="L1064" s="106">
        <f>IF(NOT(ISERROR(VLOOKUP(B1064,Deflatores!G$42:H$64,2,FALSE))),VLOOKUP(B1064,Deflatores!G$42:H$64,2,FALSE),IF(OR(ISBLANK(C1064),ISBLANK(B1064)),"",VLOOKUP(C1064,Deflatores!G$4:H$38,2,FALSE)*H1064+VLOOKUP(C1064,Deflatores!G$4:I$38,3,FALSE)))</f>
        <v>4</v>
      </c>
      <c r="M1064" s="106"/>
      <c r="N1064" s="106"/>
      <c r="O1064" s="124"/>
    </row>
    <row r="1065" spans="1:15" x14ac:dyDescent="0.25">
      <c r="A1065" s="114" t="s">
        <v>82</v>
      </c>
      <c r="B1065" s="113" t="s">
        <v>48</v>
      </c>
      <c r="C1065" s="113" t="s">
        <v>45</v>
      </c>
      <c r="D1065" s="4">
        <v>5</v>
      </c>
      <c r="E1065" s="4">
        <v>2</v>
      </c>
      <c r="F1065" s="106" t="str">
        <f t="shared" si="257"/>
        <v>Média</v>
      </c>
      <c r="G1065" s="106" t="str">
        <f t="shared" si="258"/>
        <v>EEA</v>
      </c>
      <c r="H1065" s="4">
        <f t="shared" si="259"/>
        <v>4</v>
      </c>
      <c r="I1065" s="105" t="str">
        <f t="shared" si="260"/>
        <v>A</v>
      </c>
      <c r="J1065" s="4" t="str">
        <f t="shared" si="261"/>
        <v>EEI</v>
      </c>
      <c r="K1065" s="106">
        <f t="shared" si="262"/>
        <v>4</v>
      </c>
      <c r="L1065" s="106">
        <f>IF(NOT(ISERROR(VLOOKUP(B1065,Deflatores!G$42:H$64,2,FALSE))),VLOOKUP(B1065,Deflatores!G$42:H$64,2,FALSE),IF(OR(ISBLANK(C1065),ISBLANK(B1065)),"",VLOOKUP(C1065,Deflatores!G$4:H$38,2,FALSE)*H1065+VLOOKUP(C1065,Deflatores!G$4:I$38,3,FALSE)))</f>
        <v>4</v>
      </c>
      <c r="M1065" s="106"/>
      <c r="N1065" s="106"/>
      <c r="O1065" s="124"/>
    </row>
    <row r="1066" spans="1:15" x14ac:dyDescent="0.25">
      <c r="A1066" s="112"/>
      <c r="B1066" s="113"/>
      <c r="C1066" s="113"/>
      <c r="D1066" s="4"/>
      <c r="E1066" s="4"/>
      <c r="F1066" s="106" t="str">
        <f t="shared" si="257"/>
        <v/>
      </c>
      <c r="G1066" s="106" t="str">
        <f t="shared" si="258"/>
        <v/>
      </c>
      <c r="H1066" s="4" t="str">
        <f t="shared" si="259"/>
        <v/>
      </c>
      <c r="I1066" s="105" t="str">
        <f t="shared" si="260"/>
        <v/>
      </c>
      <c r="J1066" s="4" t="str">
        <f t="shared" si="261"/>
        <v/>
      </c>
      <c r="K1066" s="106" t="str">
        <f t="shared" si="262"/>
        <v/>
      </c>
      <c r="L1066" s="106" t="str">
        <f>IF(NOT(ISERROR(VLOOKUP(B1066,Deflatores!G$42:H$64,2,FALSE))),VLOOKUP(B1066,Deflatores!G$42:H$64,2,FALSE),IF(OR(ISBLANK(C1066),ISBLANK(B1066)),"",VLOOKUP(C1066,Deflatores!G$4:H$38,2,FALSE)*H1066+VLOOKUP(C1066,Deflatores!G$4:I$38,3,FALSE)))</f>
        <v/>
      </c>
      <c r="M1066" s="106"/>
      <c r="N1066" s="106"/>
      <c r="O1066" s="124"/>
    </row>
    <row r="1067" spans="1:15" x14ac:dyDescent="0.25">
      <c r="A1067" s="115" t="s">
        <v>886</v>
      </c>
      <c r="B1067" s="113"/>
      <c r="C1067" s="113"/>
      <c r="D1067" s="4"/>
      <c r="E1067" s="4"/>
      <c r="F1067" s="106" t="str">
        <f t="shared" si="257"/>
        <v/>
      </c>
      <c r="G1067" s="106" t="str">
        <f t="shared" si="258"/>
        <v/>
      </c>
      <c r="H1067" s="4" t="str">
        <f t="shared" si="259"/>
        <v/>
      </c>
      <c r="I1067" s="105" t="str">
        <f t="shared" si="260"/>
        <v/>
      </c>
      <c r="J1067" s="4" t="str">
        <f t="shared" si="261"/>
        <v/>
      </c>
      <c r="K1067" s="106" t="str">
        <f t="shared" si="262"/>
        <v/>
      </c>
      <c r="L1067" s="106" t="str">
        <f>IF(NOT(ISERROR(VLOOKUP(B1067,Deflatores!G$42:H$64,2,FALSE))),VLOOKUP(B1067,Deflatores!G$42:H$64,2,FALSE),IF(OR(ISBLANK(C1067),ISBLANK(B1067)),"",VLOOKUP(C1067,Deflatores!G$4:H$38,2,FALSE)*H1067+VLOOKUP(C1067,Deflatores!G$4:I$38,3,FALSE)))</f>
        <v/>
      </c>
      <c r="M1067" s="106"/>
      <c r="N1067" s="106"/>
      <c r="O1067" s="124"/>
    </row>
    <row r="1068" spans="1:15" x14ac:dyDescent="0.25">
      <c r="A1068" s="112" t="s">
        <v>887</v>
      </c>
      <c r="B1068" s="113" t="s">
        <v>44</v>
      </c>
      <c r="C1068" s="113" t="s">
        <v>45</v>
      </c>
      <c r="D1068" s="4">
        <v>12</v>
      </c>
      <c r="E1068" s="4">
        <v>2</v>
      </c>
      <c r="F1068" s="106" t="str">
        <f t="shared" si="257"/>
        <v>Baixa</v>
      </c>
      <c r="G1068" s="106" t="str">
        <f t="shared" si="258"/>
        <v>ALIL</v>
      </c>
      <c r="H1068" s="4">
        <f t="shared" si="259"/>
        <v>7</v>
      </c>
      <c r="I1068" s="105" t="str">
        <f t="shared" si="260"/>
        <v>L</v>
      </c>
      <c r="J1068" s="4" t="str">
        <f t="shared" si="261"/>
        <v>ALII</v>
      </c>
      <c r="K1068" s="106">
        <f t="shared" si="262"/>
        <v>7</v>
      </c>
      <c r="L1068" s="106">
        <f>IF(NOT(ISERROR(VLOOKUP(B1068,Deflatores!G$42:H$64,2,FALSE))),VLOOKUP(B1068,Deflatores!G$42:H$64,2,FALSE),IF(OR(ISBLANK(C1068),ISBLANK(B1068)),"",VLOOKUP(C1068,Deflatores!G$4:H$38,2,FALSE)*H1068+VLOOKUP(C1068,Deflatores!G$4:I$38,3,FALSE)))</f>
        <v>7</v>
      </c>
      <c r="M1068" s="106"/>
      <c r="N1068" s="106"/>
      <c r="O1068" s="124"/>
    </row>
    <row r="1069" spans="1:15" x14ac:dyDescent="0.25">
      <c r="A1069" s="112" t="s">
        <v>888</v>
      </c>
      <c r="B1069" s="113" t="s">
        <v>113</v>
      </c>
      <c r="C1069" s="113" t="s">
        <v>45</v>
      </c>
      <c r="D1069" s="4">
        <v>17</v>
      </c>
      <c r="E1069" s="4">
        <v>4</v>
      </c>
      <c r="F1069" s="106" t="str">
        <f t="shared" si="257"/>
        <v>Alta</v>
      </c>
      <c r="G1069" s="106" t="str">
        <f t="shared" si="258"/>
        <v>SEH</v>
      </c>
      <c r="H1069" s="4">
        <f t="shared" si="259"/>
        <v>7</v>
      </c>
      <c r="I1069" s="105" t="str">
        <f t="shared" si="260"/>
        <v>H</v>
      </c>
      <c r="J1069" s="4" t="str">
        <f t="shared" si="261"/>
        <v>SEI</v>
      </c>
      <c r="K1069" s="106">
        <f t="shared" si="262"/>
        <v>7</v>
      </c>
      <c r="L1069" s="106">
        <f>IF(NOT(ISERROR(VLOOKUP(B1069,Deflatores!G$42:H$64,2,FALSE))),VLOOKUP(B1069,Deflatores!G$42:H$64,2,FALSE),IF(OR(ISBLANK(C1069),ISBLANK(B1069)),"",VLOOKUP(C1069,Deflatores!G$4:H$38,2,FALSE)*H1069+VLOOKUP(C1069,Deflatores!G$4:I$38,3,FALSE)))</f>
        <v>7</v>
      </c>
      <c r="M1069" s="106"/>
      <c r="N1069" s="106"/>
      <c r="O1069" s="124"/>
    </row>
    <row r="1070" spans="1:15" x14ac:dyDescent="0.25">
      <c r="A1070" s="112" t="s">
        <v>889</v>
      </c>
      <c r="B1070" s="113" t="s">
        <v>50</v>
      </c>
      <c r="C1070" s="113" t="s">
        <v>45</v>
      </c>
      <c r="D1070" s="4">
        <v>9</v>
      </c>
      <c r="E1070" s="4">
        <v>4</v>
      </c>
      <c r="F1070" s="106" t="str">
        <f t="shared" si="257"/>
        <v>Alta</v>
      </c>
      <c r="G1070" s="106" t="str">
        <f t="shared" si="258"/>
        <v>CEH</v>
      </c>
      <c r="H1070" s="4">
        <f t="shared" si="259"/>
        <v>6</v>
      </c>
      <c r="I1070" s="105" t="str">
        <f t="shared" si="260"/>
        <v>H</v>
      </c>
      <c r="J1070" s="4" t="str">
        <f t="shared" si="261"/>
        <v>CEI</v>
      </c>
      <c r="K1070" s="106">
        <f t="shared" si="262"/>
        <v>6</v>
      </c>
      <c r="L1070" s="106">
        <f>IF(NOT(ISERROR(VLOOKUP(B1070,Deflatores!G$42:H$64,2,FALSE))),VLOOKUP(B1070,Deflatores!G$42:H$64,2,FALSE),IF(OR(ISBLANK(C1070),ISBLANK(B1070)),"",VLOOKUP(C1070,Deflatores!G$4:H$38,2,FALSE)*H1070+VLOOKUP(C1070,Deflatores!G$4:I$38,3,FALSE)))</f>
        <v>6</v>
      </c>
      <c r="M1070" s="106"/>
      <c r="N1070" s="106"/>
      <c r="O1070" s="124"/>
    </row>
    <row r="1071" spans="1:15" x14ac:dyDescent="0.25">
      <c r="A1071" s="112" t="s">
        <v>890</v>
      </c>
      <c r="B1071" s="113" t="s">
        <v>48</v>
      </c>
      <c r="C1071" s="113" t="s">
        <v>45</v>
      </c>
      <c r="D1071" s="4">
        <v>7</v>
      </c>
      <c r="E1071" s="4">
        <v>4</v>
      </c>
      <c r="F1071" s="106" t="str">
        <f t="shared" si="257"/>
        <v>Alta</v>
      </c>
      <c r="G1071" s="106" t="str">
        <f t="shared" si="258"/>
        <v>EEH</v>
      </c>
      <c r="H1071" s="4">
        <f t="shared" si="259"/>
        <v>6</v>
      </c>
      <c r="I1071" s="105" t="str">
        <f t="shared" si="260"/>
        <v>H</v>
      </c>
      <c r="J1071" s="4" t="str">
        <f t="shared" si="261"/>
        <v>EEI</v>
      </c>
      <c r="K1071" s="106">
        <f t="shared" si="262"/>
        <v>6</v>
      </c>
      <c r="L1071" s="106">
        <f>IF(NOT(ISERROR(VLOOKUP(B1071,Deflatores!G$42:H$64,2,FALSE))),VLOOKUP(B1071,Deflatores!G$42:H$64,2,FALSE),IF(OR(ISBLANK(C1071),ISBLANK(B1071)),"",VLOOKUP(C1071,Deflatores!G$4:H$38,2,FALSE)*H1071+VLOOKUP(C1071,Deflatores!G$4:I$38,3,FALSE)))</f>
        <v>6</v>
      </c>
      <c r="M1071" s="106"/>
      <c r="N1071" s="106"/>
      <c r="O1071" s="124"/>
    </row>
    <row r="1072" spans="1:15" x14ac:dyDescent="0.25">
      <c r="A1072" s="114" t="s">
        <v>891</v>
      </c>
      <c r="B1072" s="113" t="s">
        <v>113</v>
      </c>
      <c r="C1072" s="113" t="s">
        <v>45</v>
      </c>
      <c r="D1072" s="4">
        <v>12</v>
      </c>
      <c r="E1072" s="4">
        <v>4</v>
      </c>
      <c r="F1072" s="106" t="str">
        <f>IF(ISBLANK(B1072),"",IF(I1072="L","Baixa",IF(I1072="A","Média",IF(I1072="","","Alta"))))</f>
        <v>Alta</v>
      </c>
      <c r="G1072" s="106" t="str">
        <f>CONCATENATE(B1072,I1072)</f>
        <v>SEH</v>
      </c>
      <c r="H1072" s="4">
        <f>IF(ISBLANK(B1072),"",IF(B1072="ALI",IF(I1072="L",7,IF(I1072="A",10,15)),IF(B1072="AIE",IF(I1072="L",5,IF(I1072="A",7,10)),IF(B1072="SE",IF(I1072="L",4,IF(I1072="A",5,7)),IF(OR(B1072="EE",B1072="CE"),IF(I1072="L",3,IF(I1072="A",4,6)),0)))))</f>
        <v>7</v>
      </c>
      <c r="I1072" s="105" t="str">
        <f>IF(OR(ISBLANK(D1072),ISBLANK(E1072)),IF(OR(B1072="ALI",B1072="AIE"),"L",IF(OR(B1072="EE",B1072="SE",B1072="CE"),"A","")),IF(B1072="EE",IF(E1072&gt;=3,IF(D1072&gt;=5,"H","A"),IF(E1072&gt;=2,IF(D1072&gt;=16,"H",IF(D1072&lt;=4,"L","A")),IF(D1072&lt;=15,"L","A"))),IF(OR(B1072="SE",B1072="CE"),IF(E1072&gt;=4,IF(D1072&gt;=6,"H","A"),IF(E1072&gt;=2,IF(D1072&gt;=20,"H",IF(D1072&lt;=5,"L","A")),IF(D1072&lt;=19,"L","A"))),IF(OR(B1072="ALI",B1072="AIE"),IF(E1072&gt;=6,IF(D1072&gt;=20,"H","A"),IF(E1072&gt;=2,IF(D1072&gt;=51,"H",IF(D1072&lt;=19,"L","A")),IF(D1072&lt;=50,"L","A"))),""))))</f>
        <v>H</v>
      </c>
      <c r="J1072" s="4" t="str">
        <f>CONCATENATE(B1072,C1072)</f>
        <v>SEI</v>
      </c>
      <c r="K1072" s="106">
        <f>IF(OR(H1072="",H1072=0),L1072,H1072)</f>
        <v>7</v>
      </c>
      <c r="L1072" s="106">
        <f>IF(NOT(ISERROR(VLOOKUP(B1072,Deflatores!G$42:H$64,2,FALSE))),VLOOKUP(B1072,Deflatores!G$42:H$64,2,FALSE),IF(OR(ISBLANK(C1072),ISBLANK(B1072)),"",VLOOKUP(C1072,Deflatores!G$4:H$38,2,FALSE)*H1072+VLOOKUP(C1072,Deflatores!G$4:I$38,3,FALSE)))</f>
        <v>7</v>
      </c>
      <c r="M1072" s="106"/>
      <c r="N1072" s="106"/>
      <c r="O1072" s="124"/>
    </row>
    <row r="1073" spans="1:15" x14ac:dyDescent="0.25">
      <c r="A1073" s="112" t="s">
        <v>892</v>
      </c>
      <c r="B1073" s="113" t="s">
        <v>113</v>
      </c>
      <c r="C1073" s="113" t="s">
        <v>45</v>
      </c>
      <c r="D1073" s="4">
        <v>14</v>
      </c>
      <c r="E1073" s="4">
        <v>4</v>
      </c>
      <c r="F1073" s="106" t="str">
        <f t="shared" si="257"/>
        <v>Alta</v>
      </c>
      <c r="G1073" s="106" t="str">
        <f t="shared" si="258"/>
        <v>SEH</v>
      </c>
      <c r="H1073" s="4">
        <f t="shared" si="259"/>
        <v>7</v>
      </c>
      <c r="I1073" s="105" t="str">
        <f t="shared" si="260"/>
        <v>H</v>
      </c>
      <c r="J1073" s="4" t="str">
        <f t="shared" si="261"/>
        <v>SEI</v>
      </c>
      <c r="K1073" s="106">
        <f t="shared" si="262"/>
        <v>7</v>
      </c>
      <c r="L1073" s="106">
        <f>IF(NOT(ISERROR(VLOOKUP(B1073,Deflatores!G$42:H$64,2,FALSE))),VLOOKUP(B1073,Deflatores!G$42:H$64,2,FALSE),IF(OR(ISBLANK(C1073),ISBLANK(B1073)),"",VLOOKUP(C1073,Deflatores!G$4:H$38,2,FALSE)*H1073+VLOOKUP(C1073,Deflatores!G$4:I$38,3,FALSE)))</f>
        <v>7</v>
      </c>
      <c r="M1073" s="106"/>
      <c r="N1073" s="106"/>
      <c r="O1073" s="124"/>
    </row>
    <row r="1074" spans="1:15" x14ac:dyDescent="0.25">
      <c r="A1074" s="112" t="s">
        <v>893</v>
      </c>
      <c r="B1074" s="113" t="s">
        <v>48</v>
      </c>
      <c r="C1074" s="113" t="s">
        <v>45</v>
      </c>
      <c r="D1074" s="4">
        <v>3</v>
      </c>
      <c r="E1074" s="4">
        <v>1</v>
      </c>
      <c r="F1074" s="106" t="str">
        <f t="shared" si="257"/>
        <v>Baixa</v>
      </c>
      <c r="G1074" s="106" t="str">
        <f t="shared" si="258"/>
        <v>EEL</v>
      </c>
      <c r="H1074" s="4">
        <f t="shared" si="259"/>
        <v>3</v>
      </c>
      <c r="I1074" s="105" t="str">
        <f t="shared" si="260"/>
        <v>L</v>
      </c>
      <c r="J1074" s="4" t="str">
        <f t="shared" si="261"/>
        <v>EEI</v>
      </c>
      <c r="K1074" s="106">
        <f t="shared" si="262"/>
        <v>3</v>
      </c>
      <c r="L1074" s="106">
        <f>IF(NOT(ISERROR(VLOOKUP(B1074,Deflatores!G$42:H$64,2,FALSE))),VLOOKUP(B1074,Deflatores!G$42:H$64,2,FALSE),IF(OR(ISBLANK(C1074),ISBLANK(B1074)),"",VLOOKUP(C1074,Deflatores!G$4:H$38,2,FALSE)*H1074+VLOOKUP(C1074,Deflatores!G$4:I$38,3,FALSE)))</f>
        <v>3</v>
      </c>
      <c r="M1074" s="106"/>
      <c r="N1074" s="106"/>
      <c r="O1074" s="124"/>
    </row>
    <row r="1075" spans="1:15" x14ac:dyDescent="0.25">
      <c r="A1075" s="112" t="s">
        <v>894</v>
      </c>
      <c r="B1075" s="113" t="s">
        <v>48</v>
      </c>
      <c r="C1075" s="113" t="s">
        <v>45</v>
      </c>
      <c r="D1075" s="4">
        <v>7</v>
      </c>
      <c r="E1075" s="4">
        <v>4</v>
      </c>
      <c r="F1075" s="106" t="str">
        <f t="shared" si="257"/>
        <v>Alta</v>
      </c>
      <c r="G1075" s="106" t="str">
        <f t="shared" si="258"/>
        <v>EEH</v>
      </c>
      <c r="H1075" s="4">
        <f t="shared" si="259"/>
        <v>6</v>
      </c>
      <c r="I1075" s="105" t="str">
        <f t="shared" si="260"/>
        <v>H</v>
      </c>
      <c r="J1075" s="4" t="str">
        <f t="shared" si="261"/>
        <v>EEI</v>
      </c>
      <c r="K1075" s="106">
        <f t="shared" si="262"/>
        <v>6</v>
      </c>
      <c r="L1075" s="106">
        <f>IF(NOT(ISERROR(VLOOKUP(B1075,Deflatores!G$42:H$64,2,FALSE))),VLOOKUP(B1075,Deflatores!G$42:H$64,2,FALSE),IF(OR(ISBLANK(C1075),ISBLANK(B1075)),"",VLOOKUP(C1075,Deflatores!G$4:H$38,2,FALSE)*H1075+VLOOKUP(C1075,Deflatores!G$4:I$38,3,FALSE)))</f>
        <v>6</v>
      </c>
      <c r="M1075" s="106"/>
      <c r="N1075" s="106"/>
      <c r="O1075" s="124"/>
    </row>
    <row r="1076" spans="1:15" x14ac:dyDescent="0.25">
      <c r="A1076" s="112" t="s">
        <v>895</v>
      </c>
      <c r="B1076" s="113" t="s">
        <v>50</v>
      </c>
      <c r="C1076" s="113" t="s">
        <v>45</v>
      </c>
      <c r="D1076" s="4">
        <v>8</v>
      </c>
      <c r="E1076" s="4">
        <v>3</v>
      </c>
      <c r="F1076" s="106" t="str">
        <f t="shared" si="257"/>
        <v>Média</v>
      </c>
      <c r="G1076" s="106" t="str">
        <f t="shared" si="258"/>
        <v>CEA</v>
      </c>
      <c r="H1076" s="4">
        <f t="shared" si="259"/>
        <v>4</v>
      </c>
      <c r="I1076" s="105" t="str">
        <f t="shared" si="260"/>
        <v>A</v>
      </c>
      <c r="J1076" s="4" t="str">
        <f t="shared" si="261"/>
        <v>CEI</v>
      </c>
      <c r="K1076" s="106">
        <f t="shared" si="262"/>
        <v>4</v>
      </c>
      <c r="L1076" s="106">
        <f>IF(NOT(ISERROR(VLOOKUP(B1076,Deflatores!G$42:H$64,2,FALSE))),VLOOKUP(B1076,Deflatores!G$42:H$64,2,FALSE),IF(OR(ISBLANK(C1076),ISBLANK(B1076)),"",VLOOKUP(C1076,Deflatores!G$4:H$38,2,FALSE)*H1076+VLOOKUP(C1076,Deflatores!G$4:I$38,3,FALSE)))</f>
        <v>4</v>
      </c>
      <c r="M1076" s="106"/>
      <c r="N1076" s="106"/>
      <c r="O1076" s="124"/>
    </row>
    <row r="1077" spans="1:15" x14ac:dyDescent="0.25">
      <c r="A1077" s="114" t="s">
        <v>896</v>
      </c>
      <c r="B1077" s="113" t="s">
        <v>50</v>
      </c>
      <c r="C1077" s="113" t="s">
        <v>45</v>
      </c>
      <c r="D1077" s="4">
        <v>3</v>
      </c>
      <c r="E1077" s="4">
        <v>1</v>
      </c>
      <c r="F1077" s="106" t="str">
        <f>IF(ISBLANK(B1077),"",IF(I1077="L","Baixa",IF(I1077="A","Média",IF(I1077="","","Alta"))))</f>
        <v>Baixa</v>
      </c>
      <c r="G1077" s="106" t="str">
        <f>CONCATENATE(B1077,I1077)</f>
        <v>CEL</v>
      </c>
      <c r="H1077" s="4">
        <f>IF(ISBLANK(B1077),"",IF(B1077="ALI",IF(I1077="L",7,IF(I1077="A",10,15)),IF(B1077="AIE",IF(I1077="L",5,IF(I1077="A",7,10)),IF(B1077="SE",IF(I1077="L",4,IF(I1077="A",5,7)),IF(OR(B1077="EE",B1077="CE"),IF(I1077="L",3,IF(I1077="A",4,6)),0)))))</f>
        <v>3</v>
      </c>
      <c r="I1077" s="105" t="str">
        <f>IF(OR(ISBLANK(D1077),ISBLANK(E1077)),IF(OR(B1077="ALI",B1077="AIE"),"L",IF(OR(B1077="EE",B1077="SE",B1077="CE"),"A","")),IF(B1077="EE",IF(E1077&gt;=3,IF(D1077&gt;=5,"H","A"),IF(E1077&gt;=2,IF(D1077&gt;=16,"H",IF(D1077&lt;=4,"L","A")),IF(D1077&lt;=15,"L","A"))),IF(OR(B1077="SE",B1077="CE"),IF(E1077&gt;=4,IF(D1077&gt;=6,"H","A"),IF(E1077&gt;=2,IF(D1077&gt;=20,"H",IF(D1077&lt;=5,"L","A")),IF(D1077&lt;=19,"L","A"))),IF(OR(B1077="ALI",B1077="AIE"),IF(E1077&gt;=6,IF(D1077&gt;=20,"H","A"),IF(E1077&gt;=2,IF(D1077&gt;=51,"H",IF(D1077&lt;=19,"L","A")),IF(D1077&lt;=50,"L","A"))),""))))</f>
        <v>L</v>
      </c>
      <c r="J1077" s="4" t="str">
        <f>CONCATENATE(B1077,C1077)</f>
        <v>CEI</v>
      </c>
      <c r="K1077" s="106">
        <f>IF(OR(H1077="",H1077=0),L1077,H1077)</f>
        <v>3</v>
      </c>
      <c r="L1077" s="106">
        <f>IF(NOT(ISERROR(VLOOKUP(B1077,Deflatores!G$42:H$64,2,FALSE))),VLOOKUP(B1077,Deflatores!G$42:H$64,2,FALSE),IF(OR(ISBLANK(C1077),ISBLANK(B1077)),"",VLOOKUP(C1077,Deflatores!G$4:H$38,2,FALSE)*H1077+VLOOKUP(C1077,Deflatores!G$4:I$38,3,FALSE)))</f>
        <v>3</v>
      </c>
      <c r="M1077" s="106"/>
      <c r="N1077" s="106"/>
      <c r="O1077" s="124"/>
    </row>
    <row r="1078" spans="1:15" x14ac:dyDescent="0.25">
      <c r="A1078" s="114" t="s">
        <v>897</v>
      </c>
      <c r="B1078" s="113" t="s">
        <v>50</v>
      </c>
      <c r="C1078" s="113" t="s">
        <v>45</v>
      </c>
      <c r="D1078" s="4">
        <v>3</v>
      </c>
      <c r="E1078" s="4">
        <v>1</v>
      </c>
      <c r="F1078" s="106" t="str">
        <f>IF(ISBLANK(B1078),"",IF(I1078="L","Baixa",IF(I1078="A","Média",IF(I1078="","","Alta"))))</f>
        <v>Baixa</v>
      </c>
      <c r="G1078" s="106" t="str">
        <f>CONCATENATE(B1078,I1078)</f>
        <v>CEL</v>
      </c>
      <c r="H1078" s="4">
        <f>IF(ISBLANK(B1078),"",IF(B1078="ALI",IF(I1078="L",7,IF(I1078="A",10,15)),IF(B1078="AIE",IF(I1078="L",5,IF(I1078="A",7,10)),IF(B1078="SE",IF(I1078="L",4,IF(I1078="A",5,7)),IF(OR(B1078="EE",B1078="CE"),IF(I1078="L",3,IF(I1078="A",4,6)),0)))))</f>
        <v>3</v>
      </c>
      <c r="I1078" s="105" t="str">
        <f>IF(OR(ISBLANK(D1078),ISBLANK(E1078)),IF(OR(B1078="ALI",B1078="AIE"),"L",IF(OR(B1078="EE",B1078="SE",B1078="CE"),"A","")),IF(B1078="EE",IF(E1078&gt;=3,IF(D1078&gt;=5,"H","A"),IF(E1078&gt;=2,IF(D1078&gt;=16,"H",IF(D1078&lt;=4,"L","A")),IF(D1078&lt;=15,"L","A"))),IF(OR(B1078="SE",B1078="CE"),IF(E1078&gt;=4,IF(D1078&gt;=6,"H","A"),IF(E1078&gt;=2,IF(D1078&gt;=20,"H",IF(D1078&lt;=5,"L","A")),IF(D1078&lt;=19,"L","A"))),IF(OR(B1078="ALI",B1078="AIE"),IF(E1078&gt;=6,IF(D1078&gt;=20,"H","A"),IF(E1078&gt;=2,IF(D1078&gt;=51,"H",IF(D1078&lt;=19,"L","A")),IF(D1078&lt;=50,"L","A"))),""))))</f>
        <v>L</v>
      </c>
      <c r="J1078" s="4" t="str">
        <f>CONCATENATE(B1078,C1078)</f>
        <v>CEI</v>
      </c>
      <c r="K1078" s="106">
        <f>IF(OR(H1078="",H1078=0),L1078,H1078)</f>
        <v>3</v>
      </c>
      <c r="L1078" s="106">
        <f>IF(NOT(ISERROR(VLOOKUP(B1078,Deflatores!G$42:H$64,2,FALSE))),VLOOKUP(B1078,Deflatores!G$42:H$64,2,FALSE),IF(OR(ISBLANK(C1078),ISBLANK(B1078)),"",VLOOKUP(C1078,Deflatores!G$4:H$38,2,FALSE)*H1078+VLOOKUP(C1078,Deflatores!G$4:I$38,3,FALSE)))</f>
        <v>3</v>
      </c>
      <c r="M1078" s="106"/>
      <c r="N1078" s="106"/>
      <c r="O1078" s="124"/>
    </row>
    <row r="1079" spans="1:15" x14ac:dyDescent="0.25">
      <c r="A1079" s="114" t="s">
        <v>898</v>
      </c>
      <c r="B1079" s="113" t="s">
        <v>50</v>
      </c>
      <c r="C1079" s="113" t="s">
        <v>45</v>
      </c>
      <c r="D1079" s="4">
        <v>3</v>
      </c>
      <c r="E1079" s="4">
        <v>1</v>
      </c>
      <c r="F1079" s="106" t="str">
        <f>IF(ISBLANK(B1079),"",IF(I1079="L","Baixa",IF(I1079="A","Média",IF(I1079="","","Alta"))))</f>
        <v>Baixa</v>
      </c>
      <c r="G1079" s="106" t="str">
        <f>CONCATENATE(B1079,I1079)</f>
        <v>CEL</v>
      </c>
      <c r="H1079" s="4">
        <f>IF(ISBLANK(B1079),"",IF(B1079="ALI",IF(I1079="L",7,IF(I1079="A",10,15)),IF(B1079="AIE",IF(I1079="L",5,IF(I1079="A",7,10)),IF(B1079="SE",IF(I1079="L",4,IF(I1079="A",5,7)),IF(OR(B1079="EE",B1079="CE"),IF(I1079="L",3,IF(I1079="A",4,6)),0)))))</f>
        <v>3</v>
      </c>
      <c r="I1079" s="105" t="str">
        <f>IF(OR(ISBLANK(D1079),ISBLANK(E1079)),IF(OR(B1079="ALI",B1079="AIE"),"L",IF(OR(B1079="EE",B1079="SE",B1079="CE"),"A","")),IF(B1079="EE",IF(E1079&gt;=3,IF(D1079&gt;=5,"H","A"),IF(E1079&gt;=2,IF(D1079&gt;=16,"H",IF(D1079&lt;=4,"L","A")),IF(D1079&lt;=15,"L","A"))),IF(OR(B1079="SE",B1079="CE"),IF(E1079&gt;=4,IF(D1079&gt;=6,"H","A"),IF(E1079&gt;=2,IF(D1079&gt;=20,"H",IF(D1079&lt;=5,"L","A")),IF(D1079&lt;=19,"L","A"))),IF(OR(B1079="ALI",B1079="AIE"),IF(E1079&gt;=6,IF(D1079&gt;=20,"H","A"),IF(E1079&gt;=2,IF(D1079&gt;=51,"H",IF(D1079&lt;=19,"L","A")),IF(D1079&lt;=50,"L","A"))),""))))</f>
        <v>L</v>
      </c>
      <c r="J1079" s="4" t="str">
        <f>CONCATENATE(B1079,C1079)</f>
        <v>CEI</v>
      </c>
      <c r="K1079" s="106">
        <f>IF(OR(H1079="",H1079=0),L1079,H1079)</f>
        <v>3</v>
      </c>
      <c r="L1079" s="106">
        <f>IF(NOT(ISERROR(VLOOKUP(B1079,Deflatores!G$42:H$64,2,FALSE))),VLOOKUP(B1079,Deflatores!G$42:H$64,2,FALSE),IF(OR(ISBLANK(C1079),ISBLANK(B1079)),"",VLOOKUP(C1079,Deflatores!G$4:H$38,2,FALSE)*H1079+VLOOKUP(C1079,Deflatores!G$4:I$38,3,FALSE)))</f>
        <v>3</v>
      </c>
      <c r="M1079" s="106"/>
      <c r="N1079" s="106"/>
      <c r="O1079" s="124"/>
    </row>
    <row r="1080" spans="1:15" x14ac:dyDescent="0.25">
      <c r="A1080" s="114" t="s">
        <v>899</v>
      </c>
      <c r="B1080" s="113" t="s">
        <v>50</v>
      </c>
      <c r="C1080" s="113" t="s">
        <v>45</v>
      </c>
      <c r="D1080" s="4">
        <v>3</v>
      </c>
      <c r="E1080" s="4">
        <v>1</v>
      </c>
      <c r="F1080" s="106" t="str">
        <f>IF(ISBLANK(B1080),"",IF(I1080="L","Baixa",IF(I1080="A","Média",IF(I1080="","","Alta"))))</f>
        <v>Baixa</v>
      </c>
      <c r="G1080" s="106" t="str">
        <f>CONCATENATE(B1080,I1080)</f>
        <v>CEL</v>
      </c>
      <c r="H1080" s="4">
        <f>IF(ISBLANK(B1080),"",IF(B1080="ALI",IF(I1080="L",7,IF(I1080="A",10,15)),IF(B1080="AIE",IF(I1080="L",5,IF(I1080="A",7,10)),IF(B1080="SE",IF(I1080="L",4,IF(I1080="A",5,7)),IF(OR(B1080="EE",B1080="CE"),IF(I1080="L",3,IF(I1080="A",4,6)),0)))))</f>
        <v>3</v>
      </c>
      <c r="I1080" s="105" t="str">
        <f>IF(OR(ISBLANK(D1080),ISBLANK(E1080)),IF(OR(B1080="ALI",B1080="AIE"),"L",IF(OR(B1080="EE",B1080="SE",B1080="CE"),"A","")),IF(B1080="EE",IF(E1080&gt;=3,IF(D1080&gt;=5,"H","A"),IF(E1080&gt;=2,IF(D1080&gt;=16,"H",IF(D1080&lt;=4,"L","A")),IF(D1080&lt;=15,"L","A"))),IF(OR(B1080="SE",B1080="CE"),IF(E1080&gt;=4,IF(D1080&gt;=6,"H","A"),IF(E1080&gt;=2,IF(D1080&gt;=20,"H",IF(D1080&lt;=5,"L","A")),IF(D1080&lt;=19,"L","A"))),IF(OR(B1080="ALI",B1080="AIE"),IF(E1080&gt;=6,IF(D1080&gt;=20,"H","A"),IF(E1080&gt;=2,IF(D1080&gt;=51,"H",IF(D1080&lt;=19,"L","A")),IF(D1080&lt;=50,"L","A"))),""))))</f>
        <v>L</v>
      </c>
      <c r="J1080" s="4" t="str">
        <f>CONCATENATE(B1080,C1080)</f>
        <v>CEI</v>
      </c>
      <c r="K1080" s="106">
        <f>IF(OR(H1080="",H1080=0),L1080,H1080)</f>
        <v>3</v>
      </c>
      <c r="L1080" s="106">
        <f>IF(NOT(ISERROR(VLOOKUP(B1080,Deflatores!G$42:H$64,2,FALSE))),VLOOKUP(B1080,Deflatores!G$42:H$64,2,FALSE),IF(OR(ISBLANK(C1080),ISBLANK(B1080)),"",VLOOKUP(C1080,Deflatores!G$4:H$38,2,FALSE)*H1080+VLOOKUP(C1080,Deflatores!G$4:I$38,3,FALSE)))</f>
        <v>3</v>
      </c>
      <c r="M1080" s="106"/>
      <c r="N1080" s="106"/>
      <c r="O1080" s="124"/>
    </row>
    <row r="1081" spans="1:15" x14ac:dyDescent="0.25">
      <c r="A1081" s="112" t="s">
        <v>900</v>
      </c>
      <c r="B1081" s="113" t="s">
        <v>113</v>
      </c>
      <c r="C1081" s="113" t="s">
        <v>45</v>
      </c>
      <c r="D1081" s="4">
        <v>9</v>
      </c>
      <c r="E1081" s="4">
        <v>1</v>
      </c>
      <c r="F1081" s="106" t="str">
        <f t="shared" si="257"/>
        <v>Baixa</v>
      </c>
      <c r="G1081" s="106" t="str">
        <f t="shared" si="258"/>
        <v>SEL</v>
      </c>
      <c r="H1081" s="4">
        <f t="shared" si="259"/>
        <v>4</v>
      </c>
      <c r="I1081" s="105" t="str">
        <f t="shared" si="260"/>
        <v>L</v>
      </c>
      <c r="J1081" s="4" t="str">
        <f t="shared" si="261"/>
        <v>SEI</v>
      </c>
      <c r="K1081" s="106">
        <f t="shared" si="262"/>
        <v>4</v>
      </c>
      <c r="L1081" s="106">
        <f>IF(NOT(ISERROR(VLOOKUP(B1081,Deflatores!G$42:H$64,2,FALSE))),VLOOKUP(B1081,Deflatores!G$42:H$64,2,FALSE),IF(OR(ISBLANK(C1081),ISBLANK(B1081)),"",VLOOKUP(C1081,Deflatores!G$4:H$38,2,FALSE)*H1081+VLOOKUP(C1081,Deflatores!G$4:I$38,3,FALSE)))</f>
        <v>4</v>
      </c>
      <c r="M1081" s="106"/>
      <c r="N1081" s="106"/>
      <c r="O1081" s="140"/>
    </row>
    <row r="1082" spans="1:15" x14ac:dyDescent="0.25">
      <c r="A1082" s="112" t="s">
        <v>901</v>
      </c>
      <c r="B1082" s="113" t="s">
        <v>48</v>
      </c>
      <c r="C1082" s="113" t="s">
        <v>45</v>
      </c>
      <c r="D1082" s="4">
        <v>4</v>
      </c>
      <c r="E1082" s="4">
        <v>2</v>
      </c>
      <c r="F1082" s="106" t="str">
        <f t="shared" si="257"/>
        <v>Baixa</v>
      </c>
      <c r="G1082" s="106" t="str">
        <f t="shared" si="258"/>
        <v>EEL</v>
      </c>
      <c r="H1082" s="4">
        <f t="shared" si="259"/>
        <v>3</v>
      </c>
      <c r="I1082" s="105" t="str">
        <f t="shared" si="260"/>
        <v>L</v>
      </c>
      <c r="J1082" s="4" t="str">
        <f t="shared" si="261"/>
        <v>EEI</v>
      </c>
      <c r="K1082" s="106">
        <f t="shared" si="262"/>
        <v>3</v>
      </c>
      <c r="L1082" s="106">
        <f>IF(NOT(ISERROR(VLOOKUP(B1082,Deflatores!G$42:H$64,2,FALSE))),VLOOKUP(B1082,Deflatores!G$42:H$64,2,FALSE),IF(OR(ISBLANK(C1082),ISBLANK(B1082)),"",VLOOKUP(C1082,Deflatores!G$4:H$38,2,FALSE)*H1082+VLOOKUP(C1082,Deflatores!G$4:I$38,3,FALSE)))</f>
        <v>3</v>
      </c>
      <c r="M1082" s="106"/>
      <c r="N1082" s="106"/>
      <c r="O1082" s="124"/>
    </row>
    <row r="1083" spans="1:15" x14ac:dyDescent="0.25">
      <c r="A1083" s="112" t="s">
        <v>902</v>
      </c>
      <c r="B1083" s="113" t="s">
        <v>48</v>
      </c>
      <c r="C1083" s="113" t="s">
        <v>45</v>
      </c>
      <c r="D1083" s="4">
        <v>4</v>
      </c>
      <c r="E1083" s="4">
        <v>2</v>
      </c>
      <c r="F1083" s="106" t="str">
        <f t="shared" si="257"/>
        <v>Baixa</v>
      </c>
      <c r="G1083" s="106" t="str">
        <f t="shared" si="258"/>
        <v>EEL</v>
      </c>
      <c r="H1083" s="4">
        <f t="shared" si="259"/>
        <v>3</v>
      </c>
      <c r="I1083" s="105" t="str">
        <f t="shared" si="260"/>
        <v>L</v>
      </c>
      <c r="J1083" s="4" t="str">
        <f t="shared" si="261"/>
        <v>EEI</v>
      </c>
      <c r="K1083" s="106">
        <f t="shared" si="262"/>
        <v>3</v>
      </c>
      <c r="L1083" s="106">
        <f>IF(NOT(ISERROR(VLOOKUP(B1083,Deflatores!G$42:H$64,2,FALSE))),VLOOKUP(B1083,Deflatores!G$42:H$64,2,FALSE),IF(OR(ISBLANK(C1083),ISBLANK(B1083)),"",VLOOKUP(C1083,Deflatores!G$4:H$38,2,FALSE)*H1083+VLOOKUP(C1083,Deflatores!G$4:I$38,3,FALSE)))</f>
        <v>3</v>
      </c>
      <c r="M1083" s="106"/>
      <c r="N1083" s="106"/>
      <c r="O1083" s="124"/>
    </row>
    <row r="1084" spans="1:15" x14ac:dyDescent="0.25">
      <c r="A1084" s="114" t="s">
        <v>903</v>
      </c>
      <c r="B1084" s="113" t="s">
        <v>113</v>
      </c>
      <c r="C1084" s="113" t="s">
        <v>45</v>
      </c>
      <c r="D1084" s="4">
        <v>6</v>
      </c>
      <c r="E1084" s="4">
        <v>2</v>
      </c>
      <c r="F1084" s="106" t="str">
        <f>IF(ISBLANK(B1084),"",IF(I1084="L","Baixa",IF(I1084="A","Média",IF(I1084="","","Alta"))))</f>
        <v>Média</v>
      </c>
      <c r="G1084" s="106" t="str">
        <f>CONCATENATE(B1084,I1084)</f>
        <v>SEA</v>
      </c>
      <c r="H1084" s="4">
        <f>IF(ISBLANK(B1084),"",IF(B1084="ALI",IF(I1084="L",7,IF(I1084="A",10,15)),IF(B1084="AIE",IF(I1084="L",5,IF(I1084="A",7,10)),IF(B1084="SE",IF(I1084="L",4,IF(I1084="A",5,7)),IF(OR(B1084="EE",B1084="CE"),IF(I1084="L",3,IF(I1084="A",4,6)),0)))))</f>
        <v>5</v>
      </c>
      <c r="I1084" s="105" t="str">
        <f>IF(OR(ISBLANK(D1084),ISBLANK(E1084)),IF(OR(B1084="ALI",B1084="AIE"),"L",IF(OR(B1084="EE",B1084="SE",B1084="CE"),"A","")),IF(B1084="EE",IF(E1084&gt;=3,IF(D1084&gt;=5,"H","A"),IF(E1084&gt;=2,IF(D1084&gt;=16,"H",IF(D1084&lt;=4,"L","A")),IF(D1084&lt;=15,"L","A"))),IF(OR(B1084="SE",B1084="CE"),IF(E1084&gt;=4,IF(D1084&gt;=6,"H","A"),IF(E1084&gt;=2,IF(D1084&gt;=20,"H",IF(D1084&lt;=5,"L","A")),IF(D1084&lt;=19,"L","A"))),IF(OR(B1084="ALI",B1084="AIE"),IF(E1084&gt;=6,IF(D1084&gt;=20,"H","A"),IF(E1084&gt;=2,IF(D1084&gt;=51,"H",IF(D1084&lt;=19,"L","A")),IF(D1084&lt;=50,"L","A"))),""))))</f>
        <v>A</v>
      </c>
      <c r="J1084" s="4" t="str">
        <f>CONCATENATE(B1084,C1084)</f>
        <v>SEI</v>
      </c>
      <c r="K1084" s="106">
        <f>IF(OR(H1084="",H1084=0),L1084,H1084)</f>
        <v>5</v>
      </c>
      <c r="L1084" s="106">
        <f>IF(NOT(ISERROR(VLOOKUP(B1084,Deflatores!G$42:H$64,2,FALSE))),VLOOKUP(B1084,Deflatores!G$42:H$64,2,FALSE),IF(OR(ISBLANK(C1084),ISBLANK(B1084)),"",VLOOKUP(C1084,Deflatores!G$4:H$38,2,FALSE)*H1084+VLOOKUP(C1084,Deflatores!G$4:I$38,3,FALSE)))</f>
        <v>5</v>
      </c>
      <c r="M1084" s="106"/>
      <c r="N1084" s="106"/>
      <c r="O1084" s="124"/>
    </row>
    <row r="1085" spans="1:15" x14ac:dyDescent="0.25">
      <c r="A1085" s="112" t="s">
        <v>904</v>
      </c>
      <c r="B1085" s="113" t="s">
        <v>113</v>
      </c>
      <c r="C1085" s="113" t="s">
        <v>45</v>
      </c>
      <c r="D1085" s="4">
        <v>8</v>
      </c>
      <c r="E1085" s="4">
        <v>2</v>
      </c>
      <c r="F1085" s="106" t="str">
        <f t="shared" si="257"/>
        <v>Média</v>
      </c>
      <c r="G1085" s="106" t="str">
        <f t="shared" si="258"/>
        <v>SEA</v>
      </c>
      <c r="H1085" s="4">
        <f t="shared" si="259"/>
        <v>5</v>
      </c>
      <c r="I1085" s="105" t="str">
        <f t="shared" si="260"/>
        <v>A</v>
      </c>
      <c r="J1085" s="4" t="str">
        <f t="shared" si="261"/>
        <v>SEI</v>
      </c>
      <c r="K1085" s="106">
        <f t="shared" si="262"/>
        <v>5</v>
      </c>
      <c r="L1085" s="106">
        <f>IF(NOT(ISERROR(VLOOKUP(B1085,Deflatores!G$42:H$64,2,FALSE))),VLOOKUP(B1085,Deflatores!G$42:H$64,2,FALSE),IF(OR(ISBLANK(C1085),ISBLANK(B1085)),"",VLOOKUP(C1085,Deflatores!G$4:H$38,2,FALSE)*H1085+VLOOKUP(C1085,Deflatores!G$4:I$38,3,FALSE)))</f>
        <v>5</v>
      </c>
      <c r="M1085" s="106"/>
      <c r="N1085" s="106"/>
      <c r="O1085" s="124"/>
    </row>
    <row r="1086" spans="1:15" x14ac:dyDescent="0.25">
      <c r="A1086" s="112" t="s">
        <v>905</v>
      </c>
      <c r="B1086" s="113" t="s">
        <v>48</v>
      </c>
      <c r="C1086" s="113" t="s">
        <v>45</v>
      </c>
      <c r="D1086" s="4">
        <v>3</v>
      </c>
      <c r="E1086" s="4">
        <v>1</v>
      </c>
      <c r="F1086" s="106" t="str">
        <f t="shared" si="257"/>
        <v>Baixa</v>
      </c>
      <c r="G1086" s="106" t="str">
        <f t="shared" si="258"/>
        <v>EEL</v>
      </c>
      <c r="H1086" s="4">
        <f t="shared" si="259"/>
        <v>3</v>
      </c>
      <c r="I1086" s="105" t="str">
        <f t="shared" si="260"/>
        <v>L</v>
      </c>
      <c r="J1086" s="4" t="str">
        <f t="shared" si="261"/>
        <v>EEI</v>
      </c>
      <c r="K1086" s="106">
        <f t="shared" si="262"/>
        <v>3</v>
      </c>
      <c r="L1086" s="106">
        <f>IF(NOT(ISERROR(VLOOKUP(B1086,Deflatores!G$42:H$64,2,FALSE))),VLOOKUP(B1086,Deflatores!G$42:H$64,2,FALSE),IF(OR(ISBLANK(C1086),ISBLANK(B1086)),"",VLOOKUP(C1086,Deflatores!G$4:H$38,2,FALSE)*H1086+VLOOKUP(C1086,Deflatores!G$4:I$38,3,FALSE)))</f>
        <v>3</v>
      </c>
      <c r="M1086" s="106"/>
      <c r="N1086" s="106"/>
      <c r="O1086" s="124"/>
    </row>
    <row r="1087" spans="1:15" x14ac:dyDescent="0.25">
      <c r="A1087" s="112" t="s">
        <v>906</v>
      </c>
      <c r="B1087" s="113" t="s">
        <v>113</v>
      </c>
      <c r="C1087" s="113" t="s">
        <v>45</v>
      </c>
      <c r="D1087" s="4">
        <v>7</v>
      </c>
      <c r="E1087" s="4">
        <v>1</v>
      </c>
      <c r="F1087" s="106" t="str">
        <f t="shared" si="257"/>
        <v>Baixa</v>
      </c>
      <c r="G1087" s="106" t="str">
        <f t="shared" si="258"/>
        <v>SEL</v>
      </c>
      <c r="H1087" s="4">
        <f t="shared" si="259"/>
        <v>4</v>
      </c>
      <c r="I1087" s="105" t="str">
        <f t="shared" si="260"/>
        <v>L</v>
      </c>
      <c r="J1087" s="4" t="str">
        <f t="shared" si="261"/>
        <v>SEI</v>
      </c>
      <c r="K1087" s="106">
        <f t="shared" si="262"/>
        <v>4</v>
      </c>
      <c r="L1087" s="106">
        <f>IF(NOT(ISERROR(VLOOKUP(B1087,Deflatores!G$42:H$64,2,FALSE))),VLOOKUP(B1087,Deflatores!G$42:H$64,2,FALSE),IF(OR(ISBLANK(C1087),ISBLANK(B1087)),"",VLOOKUP(C1087,Deflatores!G$4:H$38,2,FALSE)*H1087+VLOOKUP(C1087,Deflatores!G$4:I$38,3,FALSE)))</f>
        <v>4</v>
      </c>
      <c r="M1087" s="106"/>
      <c r="N1087" s="106"/>
      <c r="O1087" s="124"/>
    </row>
    <row r="1088" spans="1:15" x14ac:dyDescent="0.25">
      <c r="A1088" s="112" t="s">
        <v>907</v>
      </c>
      <c r="B1088" s="113" t="s">
        <v>113</v>
      </c>
      <c r="C1088" s="113" t="s">
        <v>45</v>
      </c>
      <c r="D1088" s="4">
        <v>7</v>
      </c>
      <c r="E1088" s="4">
        <v>1</v>
      </c>
      <c r="F1088" s="106" t="str">
        <f t="shared" si="257"/>
        <v>Baixa</v>
      </c>
      <c r="G1088" s="106" t="str">
        <f t="shared" si="258"/>
        <v>SEL</v>
      </c>
      <c r="H1088" s="4">
        <f t="shared" si="259"/>
        <v>4</v>
      </c>
      <c r="I1088" s="105" t="str">
        <f t="shared" si="260"/>
        <v>L</v>
      </c>
      <c r="J1088" s="4" t="str">
        <f t="shared" si="261"/>
        <v>SEI</v>
      </c>
      <c r="K1088" s="106">
        <f t="shared" si="262"/>
        <v>4</v>
      </c>
      <c r="L1088" s="106">
        <f>IF(NOT(ISERROR(VLOOKUP(B1088,Deflatores!G$42:H$64,2,FALSE))),VLOOKUP(B1088,Deflatores!G$42:H$64,2,FALSE),IF(OR(ISBLANK(C1088),ISBLANK(B1088)),"",VLOOKUP(C1088,Deflatores!G$4:H$38,2,FALSE)*H1088+VLOOKUP(C1088,Deflatores!G$4:I$38,3,FALSE)))</f>
        <v>4</v>
      </c>
      <c r="M1088" s="106"/>
      <c r="N1088" s="106"/>
      <c r="O1088" s="124"/>
    </row>
    <row r="1089" spans="1:15" x14ac:dyDescent="0.25">
      <c r="A1089" s="112" t="s">
        <v>908</v>
      </c>
      <c r="B1089" s="113" t="s">
        <v>48</v>
      </c>
      <c r="C1089" s="113" t="s">
        <v>45</v>
      </c>
      <c r="D1089" s="4">
        <v>3</v>
      </c>
      <c r="E1089" s="4">
        <v>3</v>
      </c>
      <c r="F1089" s="106" t="str">
        <f t="shared" si="257"/>
        <v>Média</v>
      </c>
      <c r="G1089" s="106" t="str">
        <f t="shared" si="258"/>
        <v>EEA</v>
      </c>
      <c r="H1089" s="4">
        <f t="shared" si="259"/>
        <v>4</v>
      </c>
      <c r="I1089" s="105" t="str">
        <f t="shared" si="260"/>
        <v>A</v>
      </c>
      <c r="J1089" s="4" t="str">
        <f t="shared" si="261"/>
        <v>EEI</v>
      </c>
      <c r="K1089" s="106">
        <f t="shared" si="262"/>
        <v>4</v>
      </c>
      <c r="L1089" s="106">
        <f>IF(NOT(ISERROR(VLOOKUP(B1089,Deflatores!G$42:H$64,2,FALSE))),VLOOKUP(B1089,Deflatores!G$42:H$64,2,FALSE),IF(OR(ISBLANK(C1089),ISBLANK(B1089)),"",VLOOKUP(C1089,Deflatores!G$4:H$38,2,FALSE)*H1089+VLOOKUP(C1089,Deflatores!G$4:I$38,3,FALSE)))</f>
        <v>4</v>
      </c>
      <c r="M1089" s="106"/>
      <c r="N1089" s="106"/>
      <c r="O1089" s="124"/>
    </row>
    <row r="1090" spans="1:15" x14ac:dyDescent="0.25">
      <c r="A1090" s="112"/>
      <c r="B1090" s="113"/>
      <c r="C1090" s="113"/>
      <c r="D1090" s="4"/>
      <c r="E1090" s="4"/>
      <c r="F1090" s="106" t="str">
        <f t="shared" si="257"/>
        <v/>
      </c>
      <c r="G1090" s="106" t="str">
        <f t="shared" si="258"/>
        <v/>
      </c>
      <c r="H1090" s="4" t="str">
        <f t="shared" si="259"/>
        <v/>
      </c>
      <c r="I1090" s="105" t="str">
        <f t="shared" si="260"/>
        <v/>
      </c>
      <c r="J1090" s="4" t="str">
        <f t="shared" si="261"/>
        <v/>
      </c>
      <c r="K1090" s="106" t="str">
        <f t="shared" si="262"/>
        <v/>
      </c>
      <c r="L1090" s="106" t="str">
        <f>IF(NOT(ISERROR(VLOOKUP(B1090,Deflatores!G$42:H$64,2,FALSE))),VLOOKUP(B1090,Deflatores!G$42:H$64,2,FALSE),IF(OR(ISBLANK(C1090),ISBLANK(B1090)),"",VLOOKUP(C1090,Deflatores!G$4:H$38,2,FALSE)*H1090+VLOOKUP(C1090,Deflatores!G$4:I$38,3,FALSE)))</f>
        <v/>
      </c>
      <c r="M1090" s="106"/>
      <c r="N1090" s="106"/>
      <c r="O1090" s="124"/>
    </row>
    <row r="1091" spans="1:15" x14ac:dyDescent="0.25">
      <c r="A1091" s="115" t="s">
        <v>909</v>
      </c>
      <c r="B1091" s="113"/>
      <c r="C1091" s="113"/>
      <c r="D1091" s="4"/>
      <c r="E1091" s="4"/>
      <c r="F1091" s="106" t="str">
        <f t="shared" si="257"/>
        <v/>
      </c>
      <c r="G1091" s="106" t="str">
        <f t="shared" si="258"/>
        <v/>
      </c>
      <c r="H1091" s="4" t="str">
        <f t="shared" si="259"/>
        <v/>
      </c>
      <c r="I1091" s="105" t="str">
        <f t="shared" si="260"/>
        <v/>
      </c>
      <c r="J1091" s="4" t="str">
        <f t="shared" si="261"/>
        <v/>
      </c>
      <c r="K1091" s="106" t="str">
        <f t="shared" si="262"/>
        <v/>
      </c>
      <c r="L1091" s="106" t="str">
        <f>IF(NOT(ISERROR(VLOOKUP(B1091,Deflatores!G$42:H$64,2,FALSE))),VLOOKUP(B1091,Deflatores!G$42:H$64,2,FALSE),IF(OR(ISBLANK(C1091),ISBLANK(B1091)),"",VLOOKUP(C1091,Deflatores!G$4:H$38,2,FALSE)*H1091+VLOOKUP(C1091,Deflatores!G$4:I$38,3,FALSE)))</f>
        <v/>
      </c>
      <c r="M1091" s="106"/>
      <c r="N1091" s="106"/>
      <c r="O1091" s="124"/>
    </row>
    <row r="1092" spans="1:15" x14ac:dyDescent="0.25">
      <c r="A1092" s="112" t="s">
        <v>910</v>
      </c>
      <c r="B1092" s="113" t="s">
        <v>44</v>
      </c>
      <c r="C1092" s="113" t="s">
        <v>45</v>
      </c>
      <c r="D1092" s="4">
        <v>19</v>
      </c>
      <c r="E1092" s="4">
        <v>2</v>
      </c>
      <c r="F1092" s="106" t="str">
        <f t="shared" si="257"/>
        <v>Baixa</v>
      </c>
      <c r="G1092" s="106" t="str">
        <f t="shared" si="258"/>
        <v>ALIL</v>
      </c>
      <c r="H1092" s="4">
        <f t="shared" si="259"/>
        <v>7</v>
      </c>
      <c r="I1092" s="105" t="str">
        <f t="shared" si="260"/>
        <v>L</v>
      </c>
      <c r="J1092" s="4" t="str">
        <f t="shared" si="261"/>
        <v>ALII</v>
      </c>
      <c r="K1092" s="106">
        <f t="shared" si="262"/>
        <v>7</v>
      </c>
      <c r="L1092" s="106">
        <f>IF(NOT(ISERROR(VLOOKUP(B1092,Deflatores!G$42:H$64,2,FALSE))),VLOOKUP(B1092,Deflatores!G$42:H$64,2,FALSE),IF(OR(ISBLANK(C1092),ISBLANK(B1092)),"",VLOOKUP(C1092,Deflatores!G$4:H$38,2,FALSE)*H1092+VLOOKUP(C1092,Deflatores!G$4:I$38,3,FALSE)))</f>
        <v>7</v>
      </c>
      <c r="M1092" s="106"/>
      <c r="N1092" s="106"/>
      <c r="O1092" s="124"/>
    </row>
    <row r="1093" spans="1:15" x14ac:dyDescent="0.25">
      <c r="A1093" s="112" t="s">
        <v>911</v>
      </c>
      <c r="B1093" s="113" t="s">
        <v>50</v>
      </c>
      <c r="C1093" s="113" t="s">
        <v>45</v>
      </c>
      <c r="D1093" s="4">
        <v>16</v>
      </c>
      <c r="E1093" s="4">
        <v>5</v>
      </c>
      <c r="F1093" s="106" t="str">
        <f t="shared" si="257"/>
        <v>Alta</v>
      </c>
      <c r="G1093" s="106" t="str">
        <f t="shared" si="258"/>
        <v>CEH</v>
      </c>
      <c r="H1093" s="4">
        <f t="shared" si="259"/>
        <v>6</v>
      </c>
      <c r="I1093" s="105" t="str">
        <f t="shared" si="260"/>
        <v>H</v>
      </c>
      <c r="J1093" s="4" t="str">
        <f t="shared" si="261"/>
        <v>CEI</v>
      </c>
      <c r="K1093" s="106">
        <f t="shared" si="262"/>
        <v>6</v>
      </c>
      <c r="L1093" s="106">
        <f>IF(NOT(ISERROR(VLOOKUP(B1093,Deflatores!G$42:H$64,2,FALSE))),VLOOKUP(B1093,Deflatores!G$42:H$64,2,FALSE),IF(OR(ISBLANK(C1093),ISBLANK(B1093)),"",VLOOKUP(C1093,Deflatores!G$4:H$38,2,FALSE)*H1093+VLOOKUP(C1093,Deflatores!G$4:I$38,3,FALSE)))</f>
        <v>6</v>
      </c>
      <c r="M1093" s="106"/>
      <c r="N1093" s="106"/>
      <c r="O1093" s="124"/>
    </row>
    <row r="1094" spans="1:15" x14ac:dyDescent="0.25">
      <c r="A1094" s="112" t="s">
        <v>912</v>
      </c>
      <c r="B1094" s="113" t="s">
        <v>50</v>
      </c>
      <c r="C1094" s="113" t="s">
        <v>45</v>
      </c>
      <c r="D1094" s="4">
        <v>16</v>
      </c>
      <c r="E1094" s="4">
        <v>5</v>
      </c>
      <c r="F1094" s="106" t="str">
        <f t="shared" si="257"/>
        <v>Alta</v>
      </c>
      <c r="G1094" s="106" t="str">
        <f t="shared" si="258"/>
        <v>CEH</v>
      </c>
      <c r="H1094" s="4">
        <f t="shared" si="259"/>
        <v>6</v>
      </c>
      <c r="I1094" s="105" t="str">
        <f t="shared" si="260"/>
        <v>H</v>
      </c>
      <c r="J1094" s="4" t="str">
        <f t="shared" si="261"/>
        <v>CEI</v>
      </c>
      <c r="K1094" s="106">
        <f t="shared" si="262"/>
        <v>6</v>
      </c>
      <c r="L1094" s="106">
        <f>IF(NOT(ISERROR(VLOOKUP(B1094,Deflatores!G$42:H$64,2,FALSE))),VLOOKUP(B1094,Deflatores!G$42:H$64,2,FALSE),IF(OR(ISBLANK(C1094),ISBLANK(B1094)),"",VLOOKUP(C1094,Deflatores!G$4:H$38,2,FALSE)*H1094+VLOOKUP(C1094,Deflatores!G$4:I$38,3,FALSE)))</f>
        <v>6</v>
      </c>
      <c r="M1094" s="106"/>
      <c r="N1094" s="106"/>
      <c r="O1094" s="124"/>
    </row>
    <row r="1095" spans="1:15" x14ac:dyDescent="0.25">
      <c r="A1095" s="112" t="s">
        <v>913</v>
      </c>
      <c r="B1095" s="113" t="s">
        <v>48</v>
      </c>
      <c r="C1095" s="113" t="s">
        <v>45</v>
      </c>
      <c r="D1095" s="4">
        <v>16</v>
      </c>
      <c r="E1095" s="4">
        <v>5</v>
      </c>
      <c r="F1095" s="106" t="str">
        <f t="shared" si="257"/>
        <v>Alta</v>
      </c>
      <c r="G1095" s="106" t="str">
        <f t="shared" si="258"/>
        <v>EEH</v>
      </c>
      <c r="H1095" s="4">
        <f t="shared" si="259"/>
        <v>6</v>
      </c>
      <c r="I1095" s="105" t="str">
        <f t="shared" si="260"/>
        <v>H</v>
      </c>
      <c r="J1095" s="4" t="str">
        <f t="shared" si="261"/>
        <v>EEI</v>
      </c>
      <c r="K1095" s="106">
        <f t="shared" si="262"/>
        <v>6</v>
      </c>
      <c r="L1095" s="106">
        <f>IF(NOT(ISERROR(VLOOKUP(B1095,Deflatores!G$42:H$64,2,FALSE))),VLOOKUP(B1095,Deflatores!G$42:H$64,2,FALSE),IF(OR(ISBLANK(C1095),ISBLANK(B1095)),"",VLOOKUP(C1095,Deflatores!G$4:H$38,2,FALSE)*H1095+VLOOKUP(C1095,Deflatores!G$4:I$38,3,FALSE)))</f>
        <v>6</v>
      </c>
      <c r="M1095" s="106"/>
      <c r="N1095" s="106"/>
      <c r="O1095" s="124"/>
    </row>
    <row r="1096" spans="1:15" x14ac:dyDescent="0.25">
      <c r="A1096" s="112" t="s">
        <v>914</v>
      </c>
      <c r="B1096" s="113" t="s">
        <v>48</v>
      </c>
      <c r="C1096" s="113" t="s">
        <v>45</v>
      </c>
      <c r="D1096" s="4">
        <v>15</v>
      </c>
      <c r="E1096" s="4">
        <v>5</v>
      </c>
      <c r="F1096" s="106" t="str">
        <f t="shared" si="257"/>
        <v>Alta</v>
      </c>
      <c r="G1096" s="106" t="str">
        <f t="shared" si="258"/>
        <v>EEH</v>
      </c>
      <c r="H1096" s="4">
        <f t="shared" si="259"/>
        <v>6</v>
      </c>
      <c r="I1096" s="105" t="str">
        <f t="shared" si="260"/>
        <v>H</v>
      </c>
      <c r="J1096" s="4" t="str">
        <f t="shared" si="261"/>
        <v>EEI</v>
      </c>
      <c r="K1096" s="106">
        <f t="shared" si="262"/>
        <v>6</v>
      </c>
      <c r="L1096" s="106">
        <f>IF(NOT(ISERROR(VLOOKUP(B1096,Deflatores!G$42:H$64,2,FALSE))),VLOOKUP(B1096,Deflatores!G$42:H$64,2,FALSE),IF(OR(ISBLANK(C1096),ISBLANK(B1096)),"",VLOOKUP(C1096,Deflatores!G$4:H$38,2,FALSE)*H1096+VLOOKUP(C1096,Deflatores!G$4:I$38,3,FALSE)))</f>
        <v>6</v>
      </c>
      <c r="M1096" s="106"/>
      <c r="N1096" s="106"/>
      <c r="O1096" s="124"/>
    </row>
    <row r="1097" spans="1:15" x14ac:dyDescent="0.25">
      <c r="A1097" s="114" t="s">
        <v>915</v>
      </c>
      <c r="B1097" s="113" t="s">
        <v>50</v>
      </c>
      <c r="C1097" s="113" t="s">
        <v>45</v>
      </c>
      <c r="D1097" s="4">
        <v>17</v>
      </c>
      <c r="E1097" s="4">
        <v>5</v>
      </c>
      <c r="F1097" s="106" t="str">
        <f>IF(ISBLANK(B1097),"",IF(I1097="L","Baixa",IF(I1097="A","Média",IF(I1097="","","Alta"))))</f>
        <v>Alta</v>
      </c>
      <c r="G1097" s="106" t="str">
        <f>CONCATENATE(B1097,I1097)</f>
        <v>CEH</v>
      </c>
      <c r="H1097" s="4">
        <f>IF(ISBLANK(B1097),"",IF(B1097="ALI",IF(I1097="L",7,IF(I1097="A",10,15)),IF(B1097="AIE",IF(I1097="L",5,IF(I1097="A",7,10)),IF(B1097="SE",IF(I1097="L",4,IF(I1097="A",5,7)),IF(OR(B1097="EE",B1097="CE"),IF(I1097="L",3,IF(I1097="A",4,6)),0)))))</f>
        <v>6</v>
      </c>
      <c r="I1097" s="105" t="str">
        <f>IF(OR(ISBLANK(D1097),ISBLANK(E1097)),IF(OR(B1097="ALI",B1097="AIE"),"L",IF(OR(B1097="EE",B1097="SE",B1097="CE"),"A","")),IF(B1097="EE",IF(E1097&gt;=3,IF(D1097&gt;=5,"H","A"),IF(E1097&gt;=2,IF(D1097&gt;=16,"H",IF(D1097&lt;=4,"L","A")),IF(D1097&lt;=15,"L","A"))),IF(OR(B1097="SE",B1097="CE"),IF(E1097&gt;=4,IF(D1097&gt;=6,"H","A"),IF(E1097&gt;=2,IF(D1097&gt;=20,"H",IF(D1097&lt;=5,"L","A")),IF(D1097&lt;=19,"L","A"))),IF(OR(B1097="ALI",B1097="AIE"),IF(E1097&gt;=6,IF(D1097&gt;=20,"H","A"),IF(E1097&gt;=2,IF(D1097&gt;=51,"H",IF(D1097&lt;=19,"L","A")),IF(D1097&lt;=50,"L","A"))),""))))</f>
        <v>H</v>
      </c>
      <c r="J1097" s="4" t="str">
        <f>CONCATENATE(B1097,C1097)</f>
        <v>CEI</v>
      </c>
      <c r="K1097" s="106">
        <f>IF(OR(H1097="",H1097=0),L1097,H1097)</f>
        <v>6</v>
      </c>
      <c r="L1097" s="106">
        <f>IF(NOT(ISERROR(VLOOKUP(B1097,Deflatores!G$42:H$64,2,FALSE))),VLOOKUP(B1097,Deflatores!G$42:H$64,2,FALSE),IF(OR(ISBLANK(C1097),ISBLANK(B1097)),"",VLOOKUP(C1097,Deflatores!G$4:H$38,2,FALSE)*H1097+VLOOKUP(C1097,Deflatores!G$4:I$38,3,FALSE)))</f>
        <v>6</v>
      </c>
      <c r="M1097" s="106"/>
      <c r="N1097" s="106"/>
      <c r="O1097" s="124"/>
    </row>
    <row r="1098" spans="1:15" x14ac:dyDescent="0.25">
      <c r="A1098" s="112" t="s">
        <v>916</v>
      </c>
      <c r="B1098" s="113" t="s">
        <v>48</v>
      </c>
      <c r="C1098" s="113" t="s">
        <v>45</v>
      </c>
      <c r="D1098" s="4">
        <v>3</v>
      </c>
      <c r="E1098" s="4">
        <v>1</v>
      </c>
      <c r="F1098" s="106" t="str">
        <f t="shared" si="257"/>
        <v>Baixa</v>
      </c>
      <c r="G1098" s="106" t="str">
        <f t="shared" si="258"/>
        <v>EEL</v>
      </c>
      <c r="H1098" s="4">
        <f t="shared" si="259"/>
        <v>3</v>
      </c>
      <c r="I1098" s="105" t="str">
        <f t="shared" si="260"/>
        <v>L</v>
      </c>
      <c r="J1098" s="4" t="str">
        <f t="shared" si="261"/>
        <v>EEI</v>
      </c>
      <c r="K1098" s="106">
        <f t="shared" si="262"/>
        <v>3</v>
      </c>
      <c r="L1098" s="106">
        <f>IF(NOT(ISERROR(VLOOKUP(B1098,Deflatores!G$42:H$64,2,FALSE))),VLOOKUP(B1098,Deflatores!G$42:H$64,2,FALSE),IF(OR(ISBLANK(C1098),ISBLANK(B1098)),"",VLOOKUP(C1098,Deflatores!G$4:H$38,2,FALSE)*H1098+VLOOKUP(C1098,Deflatores!G$4:I$38,3,FALSE)))</f>
        <v>3</v>
      </c>
      <c r="M1098" s="106"/>
      <c r="N1098" s="106"/>
      <c r="O1098" s="124"/>
    </row>
    <row r="1099" spans="1:15" x14ac:dyDescent="0.25">
      <c r="A1099" s="112" t="s">
        <v>917</v>
      </c>
      <c r="B1099" s="113" t="s">
        <v>50</v>
      </c>
      <c r="C1099" s="113" t="s">
        <v>45</v>
      </c>
      <c r="D1099" s="4">
        <v>19</v>
      </c>
      <c r="E1099" s="4">
        <v>5</v>
      </c>
      <c r="F1099" s="106" t="str">
        <f t="shared" si="257"/>
        <v>Alta</v>
      </c>
      <c r="G1099" s="106" t="str">
        <f t="shared" si="258"/>
        <v>CEH</v>
      </c>
      <c r="H1099" s="4">
        <f t="shared" si="259"/>
        <v>6</v>
      </c>
      <c r="I1099" s="105" t="str">
        <f t="shared" si="260"/>
        <v>H</v>
      </c>
      <c r="J1099" s="4" t="str">
        <f t="shared" si="261"/>
        <v>CEI</v>
      </c>
      <c r="K1099" s="106">
        <f t="shared" si="262"/>
        <v>6</v>
      </c>
      <c r="L1099" s="106">
        <f>IF(NOT(ISERROR(VLOOKUP(B1099,Deflatores!G$42:H$64,2,FALSE))),VLOOKUP(B1099,Deflatores!G$42:H$64,2,FALSE),IF(OR(ISBLANK(C1099),ISBLANK(B1099)),"",VLOOKUP(C1099,Deflatores!G$4:H$38,2,FALSE)*H1099+VLOOKUP(C1099,Deflatores!G$4:I$38,3,FALSE)))</f>
        <v>6</v>
      </c>
      <c r="M1099" s="106"/>
      <c r="N1099" s="106"/>
      <c r="O1099" s="124"/>
    </row>
    <row r="1100" spans="1:15" x14ac:dyDescent="0.25">
      <c r="A1100" s="112" t="s">
        <v>918</v>
      </c>
      <c r="B1100" s="113" t="s">
        <v>48</v>
      </c>
      <c r="C1100" s="113" t="s">
        <v>45</v>
      </c>
      <c r="D1100" s="4">
        <v>3</v>
      </c>
      <c r="E1100" s="4">
        <v>1</v>
      </c>
      <c r="F1100" s="106" t="str">
        <f t="shared" si="257"/>
        <v>Baixa</v>
      </c>
      <c r="G1100" s="106" t="str">
        <f t="shared" si="258"/>
        <v>EEL</v>
      </c>
      <c r="H1100" s="4">
        <f t="shared" si="259"/>
        <v>3</v>
      </c>
      <c r="I1100" s="105" t="str">
        <f t="shared" si="260"/>
        <v>L</v>
      </c>
      <c r="J1100" s="4" t="str">
        <f t="shared" si="261"/>
        <v>EEI</v>
      </c>
      <c r="K1100" s="106">
        <f t="shared" si="262"/>
        <v>3</v>
      </c>
      <c r="L1100" s="106">
        <f>IF(NOT(ISERROR(VLOOKUP(B1100,Deflatores!G$42:H$64,2,FALSE))),VLOOKUP(B1100,Deflatores!G$42:H$64,2,FALSE),IF(OR(ISBLANK(C1100),ISBLANK(B1100)),"",VLOOKUP(C1100,Deflatores!G$4:H$38,2,FALSE)*H1100+VLOOKUP(C1100,Deflatores!G$4:I$38,3,FALSE)))</f>
        <v>3</v>
      </c>
      <c r="M1100" s="106"/>
      <c r="N1100" s="106"/>
      <c r="O1100" s="124"/>
    </row>
    <row r="1101" spans="1:15" x14ac:dyDescent="0.25">
      <c r="A1101" s="112" t="s">
        <v>919</v>
      </c>
      <c r="B1101" s="113" t="s">
        <v>48</v>
      </c>
      <c r="C1101" s="113" t="s">
        <v>45</v>
      </c>
      <c r="D1101" s="4">
        <v>14</v>
      </c>
      <c r="E1101" s="4">
        <v>5</v>
      </c>
      <c r="F1101" s="106" t="str">
        <f t="shared" si="257"/>
        <v>Alta</v>
      </c>
      <c r="G1101" s="106" t="str">
        <f t="shared" si="258"/>
        <v>EEH</v>
      </c>
      <c r="H1101" s="4">
        <f t="shared" si="259"/>
        <v>6</v>
      </c>
      <c r="I1101" s="105" t="str">
        <f t="shared" si="260"/>
        <v>H</v>
      </c>
      <c r="J1101" s="4" t="str">
        <f t="shared" si="261"/>
        <v>EEI</v>
      </c>
      <c r="K1101" s="106">
        <f t="shared" si="262"/>
        <v>6</v>
      </c>
      <c r="L1101" s="106">
        <f>IF(NOT(ISERROR(VLOOKUP(B1101,Deflatores!G$42:H$64,2,FALSE))),VLOOKUP(B1101,Deflatores!G$42:H$64,2,FALSE),IF(OR(ISBLANK(C1101),ISBLANK(B1101)),"",VLOOKUP(C1101,Deflatores!G$4:H$38,2,FALSE)*H1101+VLOOKUP(C1101,Deflatores!G$4:I$38,3,FALSE)))</f>
        <v>6</v>
      </c>
      <c r="M1101" s="106"/>
      <c r="N1101" s="106"/>
      <c r="O1101" s="124"/>
    </row>
    <row r="1102" spans="1:15" x14ac:dyDescent="0.25">
      <c r="A1102" s="112" t="s">
        <v>920</v>
      </c>
      <c r="B1102" s="113" t="s">
        <v>48</v>
      </c>
      <c r="C1102" s="113" t="s">
        <v>45</v>
      </c>
      <c r="D1102" s="4">
        <v>5</v>
      </c>
      <c r="E1102" s="4">
        <v>2</v>
      </c>
      <c r="F1102" s="106" t="str">
        <f t="shared" si="257"/>
        <v>Média</v>
      </c>
      <c r="G1102" s="106" t="str">
        <f t="shared" si="258"/>
        <v>EEA</v>
      </c>
      <c r="H1102" s="4">
        <f t="shared" si="259"/>
        <v>4</v>
      </c>
      <c r="I1102" s="105" t="str">
        <f t="shared" si="260"/>
        <v>A</v>
      </c>
      <c r="J1102" s="4" t="str">
        <f t="shared" si="261"/>
        <v>EEI</v>
      </c>
      <c r="K1102" s="106">
        <f t="shared" si="262"/>
        <v>4</v>
      </c>
      <c r="L1102" s="106">
        <f>IF(NOT(ISERROR(VLOOKUP(B1102,Deflatores!G$42:H$64,2,FALSE))),VLOOKUP(B1102,Deflatores!G$42:H$64,2,FALSE),IF(OR(ISBLANK(C1102),ISBLANK(B1102)),"",VLOOKUP(C1102,Deflatores!G$4:H$38,2,FALSE)*H1102+VLOOKUP(C1102,Deflatores!G$4:I$38,3,FALSE)))</f>
        <v>4</v>
      </c>
      <c r="M1102" s="106"/>
      <c r="N1102" s="106"/>
      <c r="O1102" s="124"/>
    </row>
    <row r="1103" spans="1:15" x14ac:dyDescent="0.25">
      <c r="A1103" s="112" t="s">
        <v>921</v>
      </c>
      <c r="B1103" s="113" t="s">
        <v>48</v>
      </c>
      <c r="C1103" s="113" t="s">
        <v>45</v>
      </c>
      <c r="D1103" s="4">
        <v>3</v>
      </c>
      <c r="E1103" s="4">
        <v>1</v>
      </c>
      <c r="F1103" s="106" t="str">
        <f t="shared" si="257"/>
        <v>Baixa</v>
      </c>
      <c r="G1103" s="106" t="str">
        <f t="shared" si="258"/>
        <v>EEL</v>
      </c>
      <c r="H1103" s="4">
        <f t="shared" si="259"/>
        <v>3</v>
      </c>
      <c r="I1103" s="105" t="str">
        <f t="shared" si="260"/>
        <v>L</v>
      </c>
      <c r="J1103" s="4" t="str">
        <f t="shared" si="261"/>
        <v>EEI</v>
      </c>
      <c r="K1103" s="106">
        <f t="shared" si="262"/>
        <v>3</v>
      </c>
      <c r="L1103" s="106">
        <f>IF(NOT(ISERROR(VLOOKUP(B1103,Deflatores!G$42:H$64,2,FALSE))),VLOOKUP(B1103,Deflatores!G$42:H$64,2,FALSE),IF(OR(ISBLANK(C1103),ISBLANK(B1103)),"",VLOOKUP(C1103,Deflatores!G$4:H$38,2,FALSE)*H1103+VLOOKUP(C1103,Deflatores!G$4:I$38,3,FALSE)))</f>
        <v>3</v>
      </c>
      <c r="M1103" s="106"/>
      <c r="N1103" s="106"/>
      <c r="O1103" s="124"/>
    </row>
    <row r="1104" spans="1:15" x14ac:dyDescent="0.25">
      <c r="A1104" s="112" t="s">
        <v>922</v>
      </c>
      <c r="B1104" s="113" t="s">
        <v>113</v>
      </c>
      <c r="C1104" s="113" t="s">
        <v>45</v>
      </c>
      <c r="D1104" s="4">
        <v>8</v>
      </c>
      <c r="E1104" s="4">
        <v>5</v>
      </c>
      <c r="F1104" s="106" t="str">
        <f t="shared" si="257"/>
        <v>Alta</v>
      </c>
      <c r="G1104" s="106" t="str">
        <f t="shared" si="258"/>
        <v>SEH</v>
      </c>
      <c r="H1104" s="4">
        <f t="shared" si="259"/>
        <v>7</v>
      </c>
      <c r="I1104" s="105" t="str">
        <f t="shared" si="260"/>
        <v>H</v>
      </c>
      <c r="J1104" s="4" t="str">
        <f t="shared" si="261"/>
        <v>SEI</v>
      </c>
      <c r="K1104" s="106">
        <f t="shared" si="262"/>
        <v>7</v>
      </c>
      <c r="L1104" s="106">
        <f>IF(NOT(ISERROR(VLOOKUP(B1104,Deflatores!G$42:H$64,2,FALSE))),VLOOKUP(B1104,Deflatores!G$42:H$64,2,FALSE),IF(OR(ISBLANK(C1104),ISBLANK(B1104)),"",VLOOKUP(C1104,Deflatores!G$4:H$38,2,FALSE)*H1104+VLOOKUP(C1104,Deflatores!G$4:I$38,3,FALSE)))</f>
        <v>7</v>
      </c>
      <c r="M1104" s="106"/>
      <c r="N1104" s="106"/>
      <c r="O1104" s="140"/>
    </row>
    <row r="1105" spans="1:15" x14ac:dyDescent="0.25">
      <c r="A1105" s="112" t="s">
        <v>923</v>
      </c>
      <c r="B1105" s="113" t="s">
        <v>113</v>
      </c>
      <c r="C1105" s="113" t="s">
        <v>45</v>
      </c>
      <c r="D1105" s="4">
        <v>9</v>
      </c>
      <c r="E1105" s="4">
        <v>5</v>
      </c>
      <c r="F1105" s="106" t="str">
        <f t="shared" si="257"/>
        <v>Alta</v>
      </c>
      <c r="G1105" s="106" t="str">
        <f t="shared" si="258"/>
        <v>SEH</v>
      </c>
      <c r="H1105" s="4">
        <f t="shared" si="259"/>
        <v>7</v>
      </c>
      <c r="I1105" s="105" t="str">
        <f t="shared" si="260"/>
        <v>H</v>
      </c>
      <c r="J1105" s="4" t="str">
        <f t="shared" si="261"/>
        <v>SEI</v>
      </c>
      <c r="K1105" s="106">
        <f t="shared" si="262"/>
        <v>7</v>
      </c>
      <c r="L1105" s="106">
        <f>IF(NOT(ISERROR(VLOOKUP(B1105,Deflatores!G$42:H$64,2,FALSE))),VLOOKUP(B1105,Deflatores!G$42:H$64,2,FALSE),IF(OR(ISBLANK(C1105),ISBLANK(B1105)),"",VLOOKUP(C1105,Deflatores!G$4:H$38,2,FALSE)*H1105+VLOOKUP(C1105,Deflatores!G$4:I$38,3,FALSE)))</f>
        <v>7</v>
      </c>
      <c r="M1105" s="106"/>
      <c r="N1105" s="106"/>
      <c r="O1105" s="140"/>
    </row>
    <row r="1106" spans="1:15" x14ac:dyDescent="0.25">
      <c r="A1106" s="112" t="s">
        <v>924</v>
      </c>
      <c r="B1106" s="113" t="s">
        <v>48</v>
      </c>
      <c r="C1106" s="113" t="s">
        <v>45</v>
      </c>
      <c r="D1106" s="4">
        <v>5</v>
      </c>
      <c r="E1106" s="4">
        <v>5</v>
      </c>
      <c r="F1106" s="106" t="str">
        <f t="shared" si="257"/>
        <v>Alta</v>
      </c>
      <c r="G1106" s="106" t="str">
        <f t="shared" si="258"/>
        <v>EEH</v>
      </c>
      <c r="H1106" s="4">
        <f t="shared" si="259"/>
        <v>6</v>
      </c>
      <c r="I1106" s="105" t="str">
        <f t="shared" si="260"/>
        <v>H</v>
      </c>
      <c r="J1106" s="4" t="str">
        <f t="shared" si="261"/>
        <v>EEI</v>
      </c>
      <c r="K1106" s="106">
        <f t="shared" si="262"/>
        <v>6</v>
      </c>
      <c r="L1106" s="106">
        <f>IF(NOT(ISERROR(VLOOKUP(B1106,Deflatores!G$42:H$64,2,FALSE))),VLOOKUP(B1106,Deflatores!G$42:H$64,2,FALSE),IF(OR(ISBLANK(C1106),ISBLANK(B1106)),"",VLOOKUP(C1106,Deflatores!G$4:H$38,2,FALSE)*H1106+VLOOKUP(C1106,Deflatores!G$4:I$38,3,FALSE)))</f>
        <v>6</v>
      </c>
      <c r="M1106" s="106"/>
      <c r="N1106" s="106"/>
      <c r="O1106" s="124"/>
    </row>
    <row r="1107" spans="1:15" x14ac:dyDescent="0.25">
      <c r="A1107" s="112" t="s">
        <v>925</v>
      </c>
      <c r="B1107" s="113" t="s">
        <v>48</v>
      </c>
      <c r="C1107" s="113" t="s">
        <v>45</v>
      </c>
      <c r="D1107" s="4">
        <v>5</v>
      </c>
      <c r="E1107" s="4">
        <v>5</v>
      </c>
      <c r="F1107" s="106" t="str">
        <f t="shared" si="257"/>
        <v>Alta</v>
      </c>
      <c r="G1107" s="106" t="str">
        <f t="shared" si="258"/>
        <v>EEH</v>
      </c>
      <c r="H1107" s="4">
        <f t="shared" si="259"/>
        <v>6</v>
      </c>
      <c r="I1107" s="105" t="str">
        <f t="shared" si="260"/>
        <v>H</v>
      </c>
      <c r="J1107" s="4" t="str">
        <f t="shared" si="261"/>
        <v>EEI</v>
      </c>
      <c r="K1107" s="106">
        <f t="shared" si="262"/>
        <v>6</v>
      </c>
      <c r="L1107" s="106">
        <f>IF(NOT(ISERROR(VLOOKUP(B1107,Deflatores!G$42:H$64,2,FALSE))),VLOOKUP(B1107,Deflatores!G$42:H$64,2,FALSE),IF(OR(ISBLANK(C1107),ISBLANK(B1107)),"",VLOOKUP(C1107,Deflatores!G$4:H$38,2,FALSE)*H1107+VLOOKUP(C1107,Deflatores!G$4:I$38,3,FALSE)))</f>
        <v>6</v>
      </c>
      <c r="M1107" s="106"/>
      <c r="N1107" s="106"/>
      <c r="O1107" s="124"/>
    </row>
    <row r="1108" spans="1:15" x14ac:dyDescent="0.25">
      <c r="A1108" s="114" t="s">
        <v>915</v>
      </c>
      <c r="B1108" s="113" t="s">
        <v>50</v>
      </c>
      <c r="C1108" s="113" t="s">
        <v>45</v>
      </c>
      <c r="D1108" s="4">
        <v>5</v>
      </c>
      <c r="E1108" s="4">
        <v>5</v>
      </c>
      <c r="F1108" s="106" t="str">
        <f>IF(ISBLANK(B1108),"",IF(I1108="L","Baixa",IF(I1108="A","Média",IF(I1108="","","Alta"))))</f>
        <v>Média</v>
      </c>
      <c r="G1108" s="106" t="str">
        <f>CONCATENATE(B1108,I1108)</f>
        <v>CEA</v>
      </c>
      <c r="H1108" s="4">
        <f>IF(ISBLANK(B1108),"",IF(B1108="ALI",IF(I1108="L",7,IF(I1108="A",10,15)),IF(B1108="AIE",IF(I1108="L",5,IF(I1108="A",7,10)),IF(B1108="SE",IF(I1108="L",4,IF(I1108="A",5,7)),IF(OR(B1108="EE",B1108="CE"),IF(I1108="L",3,IF(I1108="A",4,6)),0)))))</f>
        <v>4</v>
      </c>
      <c r="I1108" s="105" t="str">
        <f>IF(OR(ISBLANK(D1108),ISBLANK(E1108)),IF(OR(B1108="ALI",B1108="AIE"),"L",IF(OR(B1108="EE",B1108="SE",B1108="CE"),"A","")),IF(B1108="EE",IF(E1108&gt;=3,IF(D1108&gt;=5,"H","A"),IF(E1108&gt;=2,IF(D1108&gt;=16,"H",IF(D1108&lt;=4,"L","A")),IF(D1108&lt;=15,"L","A"))),IF(OR(B1108="SE",B1108="CE"),IF(E1108&gt;=4,IF(D1108&gt;=6,"H","A"),IF(E1108&gt;=2,IF(D1108&gt;=20,"H",IF(D1108&lt;=5,"L","A")),IF(D1108&lt;=19,"L","A"))),IF(OR(B1108="ALI",B1108="AIE"),IF(E1108&gt;=6,IF(D1108&gt;=20,"H","A"),IF(E1108&gt;=2,IF(D1108&gt;=51,"H",IF(D1108&lt;=19,"L","A")),IF(D1108&lt;=50,"L","A"))),""))))</f>
        <v>A</v>
      </c>
      <c r="J1108" s="4" t="str">
        <f>CONCATENATE(B1108,C1108)</f>
        <v>CEI</v>
      </c>
      <c r="K1108" s="106">
        <f>IF(OR(H1108="",H1108=0),L1108,H1108)</f>
        <v>4</v>
      </c>
      <c r="L1108" s="106">
        <f>IF(NOT(ISERROR(VLOOKUP(B1108,Deflatores!G$42:H$64,2,FALSE))),VLOOKUP(B1108,Deflatores!G$42:H$64,2,FALSE),IF(OR(ISBLANK(C1108),ISBLANK(B1108)),"",VLOOKUP(C1108,Deflatores!G$4:H$38,2,FALSE)*H1108+VLOOKUP(C1108,Deflatores!G$4:I$38,3,FALSE)))</f>
        <v>4</v>
      </c>
      <c r="M1108" s="106"/>
      <c r="N1108" s="106"/>
      <c r="O1108" s="124"/>
    </row>
    <row r="1109" spans="1:15" x14ac:dyDescent="0.25">
      <c r="A1109" s="112" t="s">
        <v>926</v>
      </c>
      <c r="B1109" s="113" t="s">
        <v>50</v>
      </c>
      <c r="C1109" s="113" t="s">
        <v>45</v>
      </c>
      <c r="D1109" s="4">
        <v>5</v>
      </c>
      <c r="E1109" s="4">
        <v>5</v>
      </c>
      <c r="F1109" s="106" t="str">
        <f t="shared" si="257"/>
        <v>Média</v>
      </c>
      <c r="G1109" s="106" t="str">
        <f t="shared" si="258"/>
        <v>CEA</v>
      </c>
      <c r="H1109" s="4">
        <f t="shared" si="259"/>
        <v>4</v>
      </c>
      <c r="I1109" s="105" t="str">
        <f t="shared" si="260"/>
        <v>A</v>
      </c>
      <c r="J1109" s="4" t="str">
        <f t="shared" si="261"/>
        <v>CEI</v>
      </c>
      <c r="K1109" s="106">
        <f t="shared" si="262"/>
        <v>4</v>
      </c>
      <c r="L1109" s="106">
        <f>IF(NOT(ISERROR(VLOOKUP(B1109,Deflatores!G$42:H$64,2,FALSE))),VLOOKUP(B1109,Deflatores!G$42:H$64,2,FALSE),IF(OR(ISBLANK(C1109),ISBLANK(B1109)),"",VLOOKUP(C1109,Deflatores!G$4:H$38,2,FALSE)*H1109+VLOOKUP(C1109,Deflatores!G$4:I$38,3,FALSE)))</f>
        <v>4</v>
      </c>
      <c r="M1109" s="106"/>
      <c r="N1109" s="106"/>
      <c r="O1109" s="124"/>
    </row>
    <row r="1110" spans="1:15" x14ac:dyDescent="0.25">
      <c r="A1110" s="112"/>
      <c r="B1110" s="113"/>
      <c r="C1110" s="113"/>
      <c r="D1110" s="4"/>
      <c r="E1110" s="4"/>
      <c r="F1110" s="106" t="str">
        <f t="shared" si="257"/>
        <v/>
      </c>
      <c r="G1110" s="106" t="str">
        <f t="shared" si="258"/>
        <v/>
      </c>
      <c r="H1110" s="4" t="str">
        <f t="shared" si="259"/>
        <v/>
      </c>
      <c r="I1110" s="105" t="str">
        <f t="shared" si="260"/>
        <v/>
      </c>
      <c r="J1110" s="4" t="str">
        <f t="shared" si="261"/>
        <v/>
      </c>
      <c r="K1110" s="106" t="str">
        <f t="shared" si="262"/>
        <v/>
      </c>
      <c r="L1110" s="106" t="str">
        <f>IF(NOT(ISERROR(VLOOKUP(B1110,Deflatores!G$42:H$64,2,FALSE))),VLOOKUP(B1110,Deflatores!G$42:H$64,2,FALSE),IF(OR(ISBLANK(C1110),ISBLANK(B1110)),"",VLOOKUP(C1110,Deflatores!G$4:H$38,2,FALSE)*H1110+VLOOKUP(C1110,Deflatores!G$4:I$38,3,FALSE)))</f>
        <v/>
      </c>
      <c r="M1110" s="106"/>
      <c r="N1110" s="106"/>
      <c r="O1110" s="124"/>
    </row>
    <row r="1111" spans="1:15" x14ac:dyDescent="0.25">
      <c r="A1111" s="115" t="s">
        <v>927</v>
      </c>
      <c r="B1111" s="113"/>
      <c r="C1111" s="113"/>
      <c r="D1111" s="4"/>
      <c r="E1111" s="4"/>
      <c r="F1111" s="106" t="str">
        <f t="shared" si="257"/>
        <v/>
      </c>
      <c r="G1111" s="106" t="str">
        <f t="shared" si="258"/>
        <v/>
      </c>
      <c r="H1111" s="4" t="str">
        <f t="shared" si="259"/>
        <v/>
      </c>
      <c r="I1111" s="105" t="str">
        <f t="shared" si="260"/>
        <v/>
      </c>
      <c r="J1111" s="4" t="str">
        <f t="shared" si="261"/>
        <v/>
      </c>
      <c r="K1111" s="106" t="str">
        <f t="shared" si="262"/>
        <v/>
      </c>
      <c r="L1111" s="106" t="str">
        <f>IF(NOT(ISERROR(VLOOKUP(B1111,Deflatores!G$42:H$64,2,FALSE))),VLOOKUP(B1111,Deflatores!G$42:H$64,2,FALSE),IF(OR(ISBLANK(C1111),ISBLANK(B1111)),"",VLOOKUP(C1111,Deflatores!G$4:H$38,2,FALSE)*H1111+VLOOKUP(C1111,Deflatores!G$4:I$38,3,FALSE)))</f>
        <v/>
      </c>
      <c r="M1111" s="106"/>
      <c r="N1111" s="106"/>
      <c r="O1111" s="124"/>
    </row>
    <row r="1112" spans="1:15" x14ac:dyDescent="0.25">
      <c r="A1112" s="112" t="s">
        <v>928</v>
      </c>
      <c r="B1112" s="113" t="s">
        <v>44</v>
      </c>
      <c r="C1112" s="113" t="s">
        <v>45</v>
      </c>
      <c r="D1112" s="4">
        <v>12</v>
      </c>
      <c r="E1112" s="4">
        <v>1</v>
      </c>
      <c r="F1112" s="106" t="str">
        <f t="shared" si="257"/>
        <v>Baixa</v>
      </c>
      <c r="G1112" s="106" t="str">
        <f t="shared" si="258"/>
        <v>ALIL</v>
      </c>
      <c r="H1112" s="4">
        <f t="shared" si="259"/>
        <v>7</v>
      </c>
      <c r="I1112" s="105" t="str">
        <f t="shared" si="260"/>
        <v>L</v>
      </c>
      <c r="J1112" s="4" t="str">
        <f t="shared" si="261"/>
        <v>ALII</v>
      </c>
      <c r="K1112" s="106">
        <f t="shared" si="262"/>
        <v>7</v>
      </c>
      <c r="L1112" s="106">
        <f>IF(NOT(ISERROR(VLOOKUP(B1112,Deflatores!G$42:H$64,2,FALSE))),VLOOKUP(B1112,Deflatores!G$42:H$64,2,FALSE),IF(OR(ISBLANK(C1112),ISBLANK(B1112)),"",VLOOKUP(C1112,Deflatores!G$4:H$38,2,FALSE)*H1112+VLOOKUP(C1112,Deflatores!G$4:I$38,3,FALSE)))</f>
        <v>7</v>
      </c>
      <c r="M1112" s="106"/>
      <c r="N1112" s="106"/>
      <c r="O1112" s="124"/>
    </row>
    <row r="1113" spans="1:15" x14ac:dyDescent="0.25">
      <c r="A1113" s="112" t="s">
        <v>929</v>
      </c>
      <c r="B1113" s="113" t="s">
        <v>50</v>
      </c>
      <c r="C1113" s="113" t="s">
        <v>45</v>
      </c>
      <c r="D1113" s="4">
        <v>9</v>
      </c>
      <c r="E1113" s="4">
        <v>2</v>
      </c>
      <c r="F1113" s="106" t="str">
        <f t="shared" si="257"/>
        <v>Média</v>
      </c>
      <c r="G1113" s="106" t="str">
        <f t="shared" si="258"/>
        <v>CEA</v>
      </c>
      <c r="H1113" s="4">
        <f t="shared" si="259"/>
        <v>4</v>
      </c>
      <c r="I1113" s="105" t="str">
        <f t="shared" si="260"/>
        <v>A</v>
      </c>
      <c r="J1113" s="4" t="str">
        <f t="shared" si="261"/>
        <v>CEI</v>
      </c>
      <c r="K1113" s="106">
        <f t="shared" si="262"/>
        <v>4</v>
      </c>
      <c r="L1113" s="106">
        <f>IF(NOT(ISERROR(VLOOKUP(B1113,Deflatores!G$42:H$64,2,FALSE))),VLOOKUP(B1113,Deflatores!G$42:H$64,2,FALSE),IF(OR(ISBLANK(C1113),ISBLANK(B1113)),"",VLOOKUP(C1113,Deflatores!G$4:H$38,2,FALSE)*H1113+VLOOKUP(C1113,Deflatores!G$4:I$38,3,FALSE)))</f>
        <v>4</v>
      </c>
      <c r="M1113" s="106"/>
      <c r="N1113" s="106"/>
      <c r="O1113" s="124"/>
    </row>
    <row r="1114" spans="1:15" x14ac:dyDescent="0.25">
      <c r="A1114" s="112" t="s">
        <v>930</v>
      </c>
      <c r="B1114" s="113" t="s">
        <v>48</v>
      </c>
      <c r="C1114" s="113" t="s">
        <v>45</v>
      </c>
      <c r="D1114" s="4">
        <v>12</v>
      </c>
      <c r="E1114" s="4">
        <v>2</v>
      </c>
      <c r="F1114" s="106" t="str">
        <f t="shared" si="257"/>
        <v>Média</v>
      </c>
      <c r="G1114" s="106" t="str">
        <f t="shared" si="258"/>
        <v>EEA</v>
      </c>
      <c r="H1114" s="4">
        <f t="shared" si="259"/>
        <v>4</v>
      </c>
      <c r="I1114" s="105" t="str">
        <f t="shared" si="260"/>
        <v>A</v>
      </c>
      <c r="J1114" s="4" t="str">
        <f t="shared" si="261"/>
        <v>EEI</v>
      </c>
      <c r="K1114" s="106">
        <f t="shared" si="262"/>
        <v>4</v>
      </c>
      <c r="L1114" s="106">
        <f>IF(NOT(ISERROR(VLOOKUP(B1114,Deflatores!G$42:H$64,2,FALSE))),VLOOKUP(B1114,Deflatores!G$42:H$64,2,FALSE),IF(OR(ISBLANK(C1114),ISBLANK(B1114)),"",VLOOKUP(C1114,Deflatores!G$4:H$38,2,FALSE)*H1114+VLOOKUP(C1114,Deflatores!G$4:I$38,3,FALSE)))</f>
        <v>4</v>
      </c>
      <c r="M1114" s="106"/>
      <c r="N1114" s="106"/>
      <c r="O1114" s="124"/>
    </row>
    <row r="1115" spans="1:15" x14ac:dyDescent="0.25">
      <c r="A1115" s="112" t="s">
        <v>931</v>
      </c>
      <c r="B1115" s="113" t="s">
        <v>48</v>
      </c>
      <c r="C1115" s="113" t="s">
        <v>45</v>
      </c>
      <c r="D1115" s="4">
        <v>3</v>
      </c>
      <c r="E1115" s="4">
        <v>1</v>
      </c>
      <c r="F1115" s="106" t="str">
        <f t="shared" si="257"/>
        <v>Baixa</v>
      </c>
      <c r="G1115" s="106" t="str">
        <f t="shared" si="258"/>
        <v>EEL</v>
      </c>
      <c r="H1115" s="4">
        <f t="shared" si="259"/>
        <v>3</v>
      </c>
      <c r="I1115" s="105" t="str">
        <f t="shared" si="260"/>
        <v>L</v>
      </c>
      <c r="J1115" s="4" t="str">
        <f t="shared" si="261"/>
        <v>EEI</v>
      </c>
      <c r="K1115" s="106">
        <f t="shared" si="262"/>
        <v>3</v>
      </c>
      <c r="L1115" s="106">
        <f>IF(NOT(ISERROR(VLOOKUP(B1115,Deflatores!G$42:H$64,2,FALSE))),VLOOKUP(B1115,Deflatores!G$42:H$64,2,FALSE),IF(OR(ISBLANK(C1115),ISBLANK(B1115)),"",VLOOKUP(C1115,Deflatores!G$4:H$38,2,FALSE)*H1115+VLOOKUP(C1115,Deflatores!G$4:I$38,3,FALSE)))</f>
        <v>3</v>
      </c>
      <c r="M1115" s="106"/>
      <c r="N1115" s="106"/>
      <c r="O1115" s="124"/>
    </row>
    <row r="1116" spans="1:15" x14ac:dyDescent="0.25">
      <c r="A1116" s="112" t="s">
        <v>932</v>
      </c>
      <c r="B1116" s="113" t="s">
        <v>48</v>
      </c>
      <c r="C1116" s="113" t="s">
        <v>45</v>
      </c>
      <c r="D1116" s="4">
        <v>12</v>
      </c>
      <c r="E1116" s="4">
        <v>2</v>
      </c>
      <c r="F1116" s="106" t="str">
        <f t="shared" si="257"/>
        <v>Média</v>
      </c>
      <c r="G1116" s="106" t="str">
        <f t="shared" si="258"/>
        <v>EEA</v>
      </c>
      <c r="H1116" s="4">
        <f t="shared" si="259"/>
        <v>4</v>
      </c>
      <c r="I1116" s="105" t="str">
        <f t="shared" si="260"/>
        <v>A</v>
      </c>
      <c r="J1116" s="4" t="str">
        <f t="shared" si="261"/>
        <v>EEI</v>
      </c>
      <c r="K1116" s="106">
        <f t="shared" si="262"/>
        <v>4</v>
      </c>
      <c r="L1116" s="106">
        <f>IF(NOT(ISERROR(VLOOKUP(B1116,Deflatores!G$42:H$64,2,FALSE))),VLOOKUP(B1116,Deflatores!G$42:H$64,2,FALSE),IF(OR(ISBLANK(C1116),ISBLANK(B1116)),"",VLOOKUP(C1116,Deflatores!G$4:H$38,2,FALSE)*H1116+VLOOKUP(C1116,Deflatores!G$4:I$38,3,FALSE)))</f>
        <v>4</v>
      </c>
      <c r="M1116" s="106"/>
      <c r="N1116" s="106"/>
      <c r="O1116" s="124"/>
    </row>
    <row r="1117" spans="1:15" x14ac:dyDescent="0.25">
      <c r="A1117" s="114" t="s">
        <v>933</v>
      </c>
      <c r="B1117" s="113" t="s">
        <v>50</v>
      </c>
      <c r="C1117" s="113" t="s">
        <v>45</v>
      </c>
      <c r="D1117" s="4">
        <v>10</v>
      </c>
      <c r="E1117" s="4">
        <v>2</v>
      </c>
      <c r="F1117" s="106" t="str">
        <f>IF(ISBLANK(B1117),"",IF(I1117="L","Baixa",IF(I1117="A","Média",IF(I1117="","","Alta"))))</f>
        <v>Média</v>
      </c>
      <c r="G1117" s="106" t="str">
        <f>CONCATENATE(B1117,I1117)</f>
        <v>CEA</v>
      </c>
      <c r="H1117" s="4">
        <f>IF(ISBLANK(B1117),"",IF(B1117="ALI",IF(I1117="L",7,IF(I1117="A",10,15)),IF(B1117="AIE",IF(I1117="L",5,IF(I1117="A",7,10)),IF(B1117="SE",IF(I1117="L",4,IF(I1117="A",5,7)),IF(OR(B1117="EE",B1117="CE"),IF(I1117="L",3,IF(I1117="A",4,6)),0)))))</f>
        <v>4</v>
      </c>
      <c r="I1117" s="105" t="str">
        <f>IF(OR(ISBLANK(D1117),ISBLANK(E1117)),IF(OR(B1117="ALI",B1117="AIE"),"L",IF(OR(B1117="EE",B1117="SE",B1117="CE"),"A","")),IF(B1117="EE",IF(E1117&gt;=3,IF(D1117&gt;=5,"H","A"),IF(E1117&gt;=2,IF(D1117&gt;=16,"H",IF(D1117&lt;=4,"L","A")),IF(D1117&lt;=15,"L","A"))),IF(OR(B1117="SE",B1117="CE"),IF(E1117&gt;=4,IF(D1117&gt;=6,"H","A"),IF(E1117&gt;=2,IF(D1117&gt;=20,"H",IF(D1117&lt;=5,"L","A")),IF(D1117&lt;=19,"L","A"))),IF(OR(B1117="ALI",B1117="AIE"),IF(E1117&gt;=6,IF(D1117&gt;=20,"H","A"),IF(E1117&gt;=2,IF(D1117&gt;=51,"H",IF(D1117&lt;=19,"L","A")),IF(D1117&lt;=50,"L","A"))),""))))</f>
        <v>A</v>
      </c>
      <c r="J1117" s="4" t="str">
        <f>CONCATENATE(B1117,C1117)</f>
        <v>CEI</v>
      </c>
      <c r="K1117" s="106">
        <f>IF(OR(H1117="",H1117=0),L1117,H1117)</f>
        <v>4</v>
      </c>
      <c r="L1117" s="106">
        <f>IF(NOT(ISERROR(VLOOKUP(B1117,Deflatores!G$42:H$64,2,FALSE))),VLOOKUP(B1117,Deflatores!G$42:H$64,2,FALSE),IF(OR(ISBLANK(C1117),ISBLANK(B1117)),"",VLOOKUP(C1117,Deflatores!G$4:H$38,2,FALSE)*H1117+VLOOKUP(C1117,Deflatores!G$4:I$38,3,FALSE)))</f>
        <v>4</v>
      </c>
      <c r="M1117" s="106"/>
      <c r="N1117" s="106"/>
      <c r="O1117" s="124"/>
    </row>
    <row r="1118" spans="1:15" x14ac:dyDescent="0.25">
      <c r="A1118" s="112" t="s">
        <v>934</v>
      </c>
      <c r="B1118" s="113" t="s">
        <v>50</v>
      </c>
      <c r="C1118" s="113" t="s">
        <v>45</v>
      </c>
      <c r="D1118" s="4">
        <v>12</v>
      </c>
      <c r="E1118" s="4">
        <v>2</v>
      </c>
      <c r="F1118" s="106" t="str">
        <f t="shared" si="257"/>
        <v>Média</v>
      </c>
      <c r="G1118" s="106" t="str">
        <f t="shared" si="258"/>
        <v>CEA</v>
      </c>
      <c r="H1118" s="4">
        <f t="shared" si="259"/>
        <v>4</v>
      </c>
      <c r="I1118" s="105" t="str">
        <f t="shared" si="260"/>
        <v>A</v>
      </c>
      <c r="J1118" s="4" t="str">
        <f t="shared" si="261"/>
        <v>CEI</v>
      </c>
      <c r="K1118" s="106">
        <f t="shared" si="262"/>
        <v>4</v>
      </c>
      <c r="L1118" s="106">
        <f>IF(NOT(ISERROR(VLOOKUP(B1118,Deflatores!G$42:H$64,2,FALSE))),VLOOKUP(B1118,Deflatores!G$42:H$64,2,FALSE),IF(OR(ISBLANK(C1118),ISBLANK(B1118)),"",VLOOKUP(C1118,Deflatores!G$4:H$38,2,FALSE)*H1118+VLOOKUP(C1118,Deflatores!G$4:I$38,3,FALSE)))</f>
        <v>4</v>
      </c>
      <c r="M1118" s="106"/>
      <c r="N1118" s="106"/>
      <c r="O1118" s="124"/>
    </row>
    <row r="1119" spans="1:15" x14ac:dyDescent="0.25">
      <c r="A1119" s="112"/>
      <c r="B1119" s="113"/>
      <c r="C1119" s="113"/>
      <c r="D1119" s="4"/>
      <c r="E1119" s="4"/>
      <c r="F1119" s="106" t="str">
        <f t="shared" si="257"/>
        <v/>
      </c>
      <c r="G1119" s="106" t="str">
        <f t="shared" si="258"/>
        <v/>
      </c>
      <c r="H1119" s="4" t="str">
        <f t="shared" si="259"/>
        <v/>
      </c>
      <c r="I1119" s="105" t="str">
        <f t="shared" si="260"/>
        <v/>
      </c>
      <c r="J1119" s="4" t="str">
        <f t="shared" si="261"/>
        <v/>
      </c>
      <c r="K1119" s="106" t="str">
        <f t="shared" si="262"/>
        <v/>
      </c>
      <c r="L1119" s="106" t="str">
        <f>IF(NOT(ISERROR(VLOOKUP(B1119,Deflatores!G$42:H$64,2,FALSE))),VLOOKUP(B1119,Deflatores!G$42:H$64,2,FALSE),IF(OR(ISBLANK(C1119),ISBLANK(B1119)),"",VLOOKUP(C1119,Deflatores!G$4:H$38,2,FALSE)*H1119+VLOOKUP(C1119,Deflatores!G$4:I$38,3,FALSE)))</f>
        <v/>
      </c>
      <c r="M1119" s="106"/>
      <c r="N1119" s="106"/>
      <c r="O1119" s="124"/>
    </row>
    <row r="1120" spans="1:15" x14ac:dyDescent="0.25">
      <c r="A1120" s="115" t="s">
        <v>935</v>
      </c>
      <c r="B1120" s="113"/>
      <c r="C1120" s="113"/>
      <c r="D1120" s="4"/>
      <c r="E1120" s="4"/>
      <c r="F1120" s="106" t="str">
        <f t="shared" si="257"/>
        <v/>
      </c>
      <c r="G1120" s="106" t="str">
        <f t="shared" si="258"/>
        <v/>
      </c>
      <c r="H1120" s="4" t="str">
        <f t="shared" si="259"/>
        <v/>
      </c>
      <c r="I1120" s="105" t="str">
        <f t="shared" si="260"/>
        <v/>
      </c>
      <c r="J1120" s="4" t="str">
        <f t="shared" si="261"/>
        <v/>
      </c>
      <c r="K1120" s="106" t="str">
        <f t="shared" si="262"/>
        <v/>
      </c>
      <c r="L1120" s="106" t="str">
        <f>IF(NOT(ISERROR(VLOOKUP(B1120,Deflatores!G$42:H$64,2,FALSE))),VLOOKUP(B1120,Deflatores!G$42:H$64,2,FALSE),IF(OR(ISBLANK(C1120),ISBLANK(B1120)),"",VLOOKUP(C1120,Deflatores!G$4:H$38,2,FALSE)*H1120+VLOOKUP(C1120,Deflatores!G$4:I$38,3,FALSE)))</f>
        <v/>
      </c>
      <c r="M1120" s="106"/>
      <c r="N1120" s="106"/>
      <c r="O1120" s="124"/>
    </row>
    <row r="1121" spans="1:15" x14ac:dyDescent="0.25">
      <c r="A1121" s="112" t="s">
        <v>936</v>
      </c>
      <c r="B1121" s="113" t="s">
        <v>50</v>
      </c>
      <c r="C1121" s="113" t="s">
        <v>45</v>
      </c>
      <c r="D1121" s="4">
        <v>14</v>
      </c>
      <c r="E1121" s="4">
        <v>5</v>
      </c>
      <c r="F1121" s="106" t="str">
        <f t="shared" si="257"/>
        <v>Alta</v>
      </c>
      <c r="G1121" s="106" t="str">
        <f t="shared" si="258"/>
        <v>CEH</v>
      </c>
      <c r="H1121" s="4">
        <f t="shared" si="259"/>
        <v>6</v>
      </c>
      <c r="I1121" s="105" t="str">
        <f t="shared" si="260"/>
        <v>H</v>
      </c>
      <c r="J1121" s="4" t="str">
        <f t="shared" si="261"/>
        <v>CEI</v>
      </c>
      <c r="K1121" s="106">
        <f t="shared" si="262"/>
        <v>6</v>
      </c>
      <c r="L1121" s="106">
        <f>IF(NOT(ISERROR(VLOOKUP(B1121,Deflatores!G$42:H$64,2,FALSE))),VLOOKUP(B1121,Deflatores!G$42:H$64,2,FALSE),IF(OR(ISBLANK(C1121),ISBLANK(B1121)),"",VLOOKUP(C1121,Deflatores!G$4:H$38,2,FALSE)*H1121+VLOOKUP(C1121,Deflatores!G$4:I$38,3,FALSE)))</f>
        <v>6</v>
      </c>
      <c r="M1121" s="106"/>
      <c r="N1121" s="106"/>
      <c r="O1121" s="124"/>
    </row>
    <row r="1122" spans="1:15" x14ac:dyDescent="0.25">
      <c r="A1122" s="112" t="s">
        <v>937</v>
      </c>
      <c r="B1122" s="113" t="s">
        <v>113</v>
      </c>
      <c r="C1122" s="113" t="s">
        <v>45</v>
      </c>
      <c r="D1122" s="4">
        <v>16</v>
      </c>
      <c r="E1122" s="4">
        <v>4</v>
      </c>
      <c r="F1122" s="106" t="str">
        <f t="shared" si="257"/>
        <v>Alta</v>
      </c>
      <c r="G1122" s="106" t="str">
        <f t="shared" si="258"/>
        <v>SEH</v>
      </c>
      <c r="H1122" s="4">
        <f t="shared" si="259"/>
        <v>7</v>
      </c>
      <c r="I1122" s="105" t="str">
        <f t="shared" si="260"/>
        <v>H</v>
      </c>
      <c r="J1122" s="4" t="str">
        <f t="shared" si="261"/>
        <v>SEI</v>
      </c>
      <c r="K1122" s="106">
        <f t="shared" si="262"/>
        <v>7</v>
      </c>
      <c r="L1122" s="106">
        <f>IF(NOT(ISERROR(VLOOKUP(B1122,Deflatores!G$42:H$64,2,FALSE))),VLOOKUP(B1122,Deflatores!G$42:H$64,2,FALSE),IF(OR(ISBLANK(C1122),ISBLANK(B1122)),"",VLOOKUP(C1122,Deflatores!G$4:H$38,2,FALSE)*H1122+VLOOKUP(C1122,Deflatores!G$4:I$38,3,FALSE)))</f>
        <v>7</v>
      </c>
      <c r="M1122" s="106"/>
      <c r="N1122" s="106"/>
      <c r="O1122" s="124"/>
    </row>
    <row r="1123" spans="1:15" x14ac:dyDescent="0.25">
      <c r="A1123" s="112" t="s">
        <v>938</v>
      </c>
      <c r="B1123" s="113" t="s">
        <v>113</v>
      </c>
      <c r="C1123" s="113" t="s">
        <v>45</v>
      </c>
      <c r="D1123" s="4">
        <v>10</v>
      </c>
      <c r="E1123" s="4">
        <v>4</v>
      </c>
      <c r="F1123" s="106" t="str">
        <f t="shared" si="257"/>
        <v>Alta</v>
      </c>
      <c r="G1123" s="106" t="str">
        <f t="shared" si="258"/>
        <v>SEH</v>
      </c>
      <c r="H1123" s="4">
        <f t="shared" si="259"/>
        <v>7</v>
      </c>
      <c r="I1123" s="105" t="str">
        <f t="shared" si="260"/>
        <v>H</v>
      </c>
      <c r="J1123" s="4" t="str">
        <f t="shared" si="261"/>
        <v>SEI</v>
      </c>
      <c r="K1123" s="106">
        <f t="shared" si="262"/>
        <v>7</v>
      </c>
      <c r="L1123" s="106">
        <f>IF(NOT(ISERROR(VLOOKUP(B1123,Deflatores!G$42:H$64,2,FALSE))),VLOOKUP(B1123,Deflatores!G$42:H$64,2,FALSE),IF(OR(ISBLANK(C1123),ISBLANK(B1123)),"",VLOOKUP(C1123,Deflatores!G$4:H$38,2,FALSE)*H1123+VLOOKUP(C1123,Deflatores!G$4:I$38,3,FALSE)))</f>
        <v>7</v>
      </c>
      <c r="M1123" s="106"/>
      <c r="N1123" s="106"/>
      <c r="O1123" s="124"/>
    </row>
    <row r="1124" spans="1:15" x14ac:dyDescent="0.25">
      <c r="A1124" s="112" t="s">
        <v>939</v>
      </c>
      <c r="B1124" s="113" t="s">
        <v>113</v>
      </c>
      <c r="C1124" s="113" t="s">
        <v>45</v>
      </c>
      <c r="D1124" s="4">
        <v>10</v>
      </c>
      <c r="E1124" s="4">
        <v>4</v>
      </c>
      <c r="F1124" s="106" t="str">
        <f t="shared" si="257"/>
        <v>Alta</v>
      </c>
      <c r="G1124" s="106" t="str">
        <f t="shared" si="258"/>
        <v>SEH</v>
      </c>
      <c r="H1124" s="4">
        <f t="shared" si="259"/>
        <v>7</v>
      </c>
      <c r="I1124" s="105" t="str">
        <f t="shared" si="260"/>
        <v>H</v>
      </c>
      <c r="J1124" s="4" t="str">
        <f t="shared" si="261"/>
        <v>SEI</v>
      </c>
      <c r="K1124" s="106">
        <f t="shared" si="262"/>
        <v>7</v>
      </c>
      <c r="L1124" s="106">
        <f>IF(NOT(ISERROR(VLOOKUP(B1124,Deflatores!G$42:H$64,2,FALSE))),VLOOKUP(B1124,Deflatores!G$42:H$64,2,FALSE),IF(OR(ISBLANK(C1124),ISBLANK(B1124)),"",VLOOKUP(C1124,Deflatores!G$4:H$38,2,FALSE)*H1124+VLOOKUP(C1124,Deflatores!G$4:I$38,3,FALSE)))</f>
        <v>7</v>
      </c>
      <c r="M1124" s="106"/>
      <c r="N1124" s="106"/>
      <c r="O1124" s="124"/>
    </row>
    <row r="1125" spans="1:15" x14ac:dyDescent="0.25">
      <c r="A1125" s="112" t="s">
        <v>940</v>
      </c>
      <c r="B1125" s="113" t="s">
        <v>113</v>
      </c>
      <c r="C1125" s="113" t="s">
        <v>45</v>
      </c>
      <c r="D1125" s="4">
        <v>7</v>
      </c>
      <c r="E1125" s="4">
        <v>2</v>
      </c>
      <c r="F1125" s="106" t="str">
        <f t="shared" si="257"/>
        <v>Média</v>
      </c>
      <c r="G1125" s="106" t="str">
        <f t="shared" si="258"/>
        <v>SEA</v>
      </c>
      <c r="H1125" s="4">
        <f t="shared" si="259"/>
        <v>5</v>
      </c>
      <c r="I1125" s="105" t="str">
        <f t="shared" si="260"/>
        <v>A</v>
      </c>
      <c r="J1125" s="4" t="str">
        <f t="shared" si="261"/>
        <v>SEI</v>
      </c>
      <c r="K1125" s="106">
        <f t="shared" si="262"/>
        <v>5</v>
      </c>
      <c r="L1125" s="106">
        <f>IF(NOT(ISERROR(VLOOKUP(B1125,Deflatores!G$42:H$64,2,FALSE))),VLOOKUP(B1125,Deflatores!G$42:H$64,2,FALSE),IF(OR(ISBLANK(C1125),ISBLANK(B1125)),"",VLOOKUP(C1125,Deflatores!G$4:H$38,2,FALSE)*H1125+VLOOKUP(C1125,Deflatores!G$4:I$38,3,FALSE)))</f>
        <v>5</v>
      </c>
      <c r="M1125" s="106"/>
      <c r="N1125" s="106"/>
      <c r="O1125" s="124"/>
    </row>
    <row r="1126" spans="1:15" x14ac:dyDescent="0.25">
      <c r="A1126" s="112" t="s">
        <v>941</v>
      </c>
      <c r="B1126" s="113" t="s">
        <v>48</v>
      </c>
      <c r="C1126" s="113" t="s">
        <v>45</v>
      </c>
      <c r="D1126" s="4">
        <v>4</v>
      </c>
      <c r="E1126" s="4">
        <v>2</v>
      </c>
      <c r="F1126" s="106" t="str">
        <f>IF(ISBLANK(B1126),"",IF(I1126="L","Baixa",IF(I1126="A","Média",IF(I1126="","","Alta"))))</f>
        <v>Baixa</v>
      </c>
      <c r="G1126" s="106" t="str">
        <f>CONCATENATE(B1126,I1126)</f>
        <v>EEL</v>
      </c>
      <c r="H1126" s="4">
        <f>IF(ISBLANK(B1126),"",IF(B1126="ALI",IF(I1126="L",7,IF(I1126="A",10,15)),IF(B1126="AIE",IF(I1126="L",5,IF(I1126="A",7,10)),IF(B1126="SE",IF(I1126="L",4,IF(I1126="A",5,7)),IF(OR(B1126="EE",B1126="CE"),IF(I1126="L",3,IF(I1126="A",4,6)),0)))))</f>
        <v>3</v>
      </c>
      <c r="I1126" s="105" t="str">
        <f>IF(OR(ISBLANK(D1126),ISBLANK(E1126)),IF(OR(B1126="ALI",B1126="AIE"),"L",IF(OR(B1126="EE",B1126="SE",B1126="CE"),"A","")),IF(B1126="EE",IF(E1126&gt;=3,IF(D1126&gt;=5,"H","A"),IF(E1126&gt;=2,IF(D1126&gt;=16,"H",IF(D1126&lt;=4,"L","A")),IF(D1126&lt;=15,"L","A"))),IF(OR(B1126="SE",B1126="CE"),IF(E1126&gt;=4,IF(D1126&gt;=6,"H","A"),IF(E1126&gt;=2,IF(D1126&gt;=20,"H",IF(D1126&lt;=5,"L","A")),IF(D1126&lt;=19,"L","A"))),IF(OR(B1126="ALI",B1126="AIE"),IF(E1126&gt;=6,IF(D1126&gt;=20,"H","A"),IF(E1126&gt;=2,IF(D1126&gt;=51,"H",IF(D1126&lt;=19,"L","A")),IF(D1126&lt;=50,"L","A"))),""))))</f>
        <v>L</v>
      </c>
      <c r="J1126" s="4" t="str">
        <f>CONCATENATE(B1126,C1126)</f>
        <v>EEI</v>
      </c>
      <c r="K1126" s="106">
        <f>IF(OR(H1126="",H1126=0),L1126,H1126)</f>
        <v>3</v>
      </c>
      <c r="L1126" s="106">
        <f>IF(NOT(ISERROR(VLOOKUP(B1126,Deflatores!G$42:H$64,2,FALSE))),VLOOKUP(B1126,Deflatores!G$42:H$64,2,FALSE),IF(OR(ISBLANK(C1126),ISBLANK(B1126)),"",VLOOKUP(C1126,Deflatores!G$4:H$38,2,FALSE)*H1126+VLOOKUP(C1126,Deflatores!G$4:I$38,3,FALSE)))</f>
        <v>3</v>
      </c>
      <c r="M1126" s="106"/>
      <c r="N1126" s="106"/>
      <c r="O1126" s="124"/>
    </row>
    <row r="1127" spans="1:15" x14ac:dyDescent="0.25">
      <c r="A1127" s="112" t="s">
        <v>942</v>
      </c>
      <c r="B1127" s="113" t="s">
        <v>50</v>
      </c>
      <c r="C1127" s="113" t="s">
        <v>45</v>
      </c>
      <c r="D1127" s="4">
        <v>7</v>
      </c>
      <c r="E1127" s="4">
        <v>4</v>
      </c>
      <c r="F1127" s="106" t="str">
        <f t="shared" si="257"/>
        <v>Alta</v>
      </c>
      <c r="G1127" s="106" t="str">
        <f t="shared" si="258"/>
        <v>CEH</v>
      </c>
      <c r="H1127" s="4">
        <f t="shared" si="259"/>
        <v>6</v>
      </c>
      <c r="I1127" s="105" t="str">
        <f t="shared" si="260"/>
        <v>H</v>
      </c>
      <c r="J1127" s="4" t="str">
        <f t="shared" si="261"/>
        <v>CEI</v>
      </c>
      <c r="K1127" s="106">
        <f t="shared" si="262"/>
        <v>6</v>
      </c>
      <c r="L1127" s="106">
        <f>IF(NOT(ISERROR(VLOOKUP(B1127,Deflatores!G$42:H$64,2,FALSE))),VLOOKUP(B1127,Deflatores!G$42:H$64,2,FALSE),IF(OR(ISBLANK(C1127),ISBLANK(B1127)),"",VLOOKUP(C1127,Deflatores!G$4:H$38,2,FALSE)*H1127+VLOOKUP(C1127,Deflatores!G$4:I$38,3,FALSE)))</f>
        <v>6</v>
      </c>
      <c r="M1127" s="106"/>
      <c r="N1127" s="106"/>
      <c r="O1127" s="124"/>
    </row>
    <row r="1128" spans="1:15" x14ac:dyDescent="0.25">
      <c r="A1128" s="112" t="s">
        <v>943</v>
      </c>
      <c r="B1128" s="113" t="s">
        <v>50</v>
      </c>
      <c r="C1128" s="113" t="s">
        <v>45</v>
      </c>
      <c r="D1128" s="4">
        <v>8</v>
      </c>
      <c r="E1128" s="4">
        <v>4</v>
      </c>
      <c r="F1128" s="106" t="str">
        <f t="shared" si="257"/>
        <v>Alta</v>
      </c>
      <c r="G1128" s="106" t="str">
        <f t="shared" si="258"/>
        <v>CEH</v>
      </c>
      <c r="H1128" s="4">
        <f t="shared" si="259"/>
        <v>6</v>
      </c>
      <c r="I1128" s="105" t="str">
        <f t="shared" si="260"/>
        <v>H</v>
      </c>
      <c r="J1128" s="4" t="str">
        <f t="shared" si="261"/>
        <v>CEI</v>
      </c>
      <c r="K1128" s="106">
        <f t="shared" si="262"/>
        <v>6</v>
      </c>
      <c r="L1128" s="106">
        <f>IF(NOT(ISERROR(VLOOKUP(B1128,Deflatores!G$42:H$64,2,FALSE))),VLOOKUP(B1128,Deflatores!G$42:H$64,2,FALSE),IF(OR(ISBLANK(C1128),ISBLANK(B1128)),"",VLOOKUP(C1128,Deflatores!G$4:H$38,2,FALSE)*H1128+VLOOKUP(C1128,Deflatores!G$4:I$38,3,FALSE)))</f>
        <v>6</v>
      </c>
      <c r="M1128" s="106"/>
      <c r="N1128" s="106"/>
      <c r="O1128" s="124"/>
    </row>
    <row r="1129" spans="1:15" x14ac:dyDescent="0.25">
      <c r="A1129" s="112" t="s">
        <v>944</v>
      </c>
      <c r="B1129" s="113" t="s">
        <v>113</v>
      </c>
      <c r="C1129" s="113" t="s">
        <v>45</v>
      </c>
      <c r="D1129" s="4">
        <v>11</v>
      </c>
      <c r="E1129" s="4">
        <v>5</v>
      </c>
      <c r="F1129" s="106" t="str">
        <f t="shared" si="257"/>
        <v>Alta</v>
      </c>
      <c r="G1129" s="106" t="str">
        <f t="shared" si="258"/>
        <v>SEH</v>
      </c>
      <c r="H1129" s="4">
        <f t="shared" si="259"/>
        <v>7</v>
      </c>
      <c r="I1129" s="105" t="str">
        <f t="shared" si="260"/>
        <v>H</v>
      </c>
      <c r="J1129" s="4" t="str">
        <f t="shared" si="261"/>
        <v>SEI</v>
      </c>
      <c r="K1129" s="106">
        <f t="shared" si="262"/>
        <v>7</v>
      </c>
      <c r="L1129" s="106">
        <f>IF(NOT(ISERROR(VLOOKUP(B1129,Deflatores!G$42:H$64,2,FALSE))),VLOOKUP(B1129,Deflatores!G$42:H$64,2,FALSE),IF(OR(ISBLANK(C1129),ISBLANK(B1129)),"",VLOOKUP(C1129,Deflatores!G$4:H$38,2,FALSE)*H1129+VLOOKUP(C1129,Deflatores!G$4:I$38,3,FALSE)))</f>
        <v>7</v>
      </c>
      <c r="M1129" s="106"/>
      <c r="N1129" s="106"/>
      <c r="O1129" s="124"/>
    </row>
    <row r="1130" spans="1:15" x14ac:dyDescent="0.25">
      <c r="A1130" s="112" t="s">
        <v>945</v>
      </c>
      <c r="B1130" s="113" t="s">
        <v>113</v>
      </c>
      <c r="C1130" s="113" t="s">
        <v>45</v>
      </c>
      <c r="D1130" s="4">
        <v>11</v>
      </c>
      <c r="E1130" s="4">
        <v>5</v>
      </c>
      <c r="F1130" s="106" t="str">
        <f t="shared" si="257"/>
        <v>Alta</v>
      </c>
      <c r="G1130" s="106" t="str">
        <f t="shared" si="258"/>
        <v>SEH</v>
      </c>
      <c r="H1130" s="4">
        <f t="shared" si="259"/>
        <v>7</v>
      </c>
      <c r="I1130" s="105" t="str">
        <f t="shared" si="260"/>
        <v>H</v>
      </c>
      <c r="J1130" s="4" t="str">
        <f t="shared" si="261"/>
        <v>SEI</v>
      </c>
      <c r="K1130" s="106">
        <f t="shared" si="262"/>
        <v>7</v>
      </c>
      <c r="L1130" s="106">
        <f>IF(NOT(ISERROR(VLOOKUP(B1130,Deflatores!G$42:H$64,2,FALSE))),VLOOKUP(B1130,Deflatores!G$42:H$64,2,FALSE),IF(OR(ISBLANK(C1130),ISBLANK(B1130)),"",VLOOKUP(C1130,Deflatores!G$4:H$38,2,FALSE)*H1130+VLOOKUP(C1130,Deflatores!G$4:I$38,3,FALSE)))</f>
        <v>7</v>
      </c>
      <c r="M1130" s="106"/>
      <c r="N1130" s="106"/>
      <c r="O1130" s="124"/>
    </row>
    <row r="1131" spans="1:15" x14ac:dyDescent="0.25">
      <c r="A1131" s="112" t="s">
        <v>946</v>
      </c>
      <c r="B1131" s="113" t="s">
        <v>50</v>
      </c>
      <c r="C1131" s="113" t="s">
        <v>45</v>
      </c>
      <c r="D1131" s="4">
        <v>10</v>
      </c>
      <c r="E1131" s="4">
        <v>5</v>
      </c>
      <c r="F1131" s="106" t="str">
        <f t="shared" si="257"/>
        <v>Alta</v>
      </c>
      <c r="G1131" s="106" t="str">
        <f t="shared" si="258"/>
        <v>CEH</v>
      </c>
      <c r="H1131" s="4">
        <f t="shared" si="259"/>
        <v>6</v>
      </c>
      <c r="I1131" s="105" t="str">
        <f t="shared" si="260"/>
        <v>H</v>
      </c>
      <c r="J1131" s="4" t="str">
        <f t="shared" si="261"/>
        <v>CEI</v>
      </c>
      <c r="K1131" s="106">
        <f t="shared" si="262"/>
        <v>6</v>
      </c>
      <c r="L1131" s="106">
        <f>IF(NOT(ISERROR(VLOOKUP(B1131,Deflatores!G$42:H$64,2,FALSE))),VLOOKUP(B1131,Deflatores!G$42:H$64,2,FALSE),IF(OR(ISBLANK(C1131),ISBLANK(B1131)),"",VLOOKUP(C1131,Deflatores!G$4:H$38,2,FALSE)*H1131+VLOOKUP(C1131,Deflatores!G$4:I$38,3,FALSE)))</f>
        <v>6</v>
      </c>
      <c r="M1131" s="106"/>
      <c r="N1131" s="106"/>
      <c r="O1131" s="124"/>
    </row>
    <row r="1132" spans="1:15" x14ac:dyDescent="0.25">
      <c r="A1132" s="112" t="s">
        <v>947</v>
      </c>
      <c r="B1132" s="113" t="s">
        <v>50</v>
      </c>
      <c r="C1132" s="113" t="s">
        <v>45</v>
      </c>
      <c r="D1132" s="4">
        <v>10</v>
      </c>
      <c r="E1132" s="4">
        <v>5</v>
      </c>
      <c r="F1132" s="106" t="str">
        <f t="shared" si="257"/>
        <v>Alta</v>
      </c>
      <c r="G1132" s="106" t="str">
        <f t="shared" si="258"/>
        <v>CEH</v>
      </c>
      <c r="H1132" s="4">
        <f t="shared" si="259"/>
        <v>6</v>
      </c>
      <c r="I1132" s="105" t="str">
        <f t="shared" si="260"/>
        <v>H</v>
      </c>
      <c r="J1132" s="4" t="str">
        <f t="shared" si="261"/>
        <v>CEI</v>
      </c>
      <c r="K1132" s="106">
        <f t="shared" si="262"/>
        <v>6</v>
      </c>
      <c r="L1132" s="106">
        <f>IF(NOT(ISERROR(VLOOKUP(B1132,Deflatores!G$42:H$64,2,FALSE))),VLOOKUP(B1132,Deflatores!G$42:H$64,2,FALSE),IF(OR(ISBLANK(C1132),ISBLANK(B1132)),"",VLOOKUP(C1132,Deflatores!G$4:H$38,2,FALSE)*H1132+VLOOKUP(C1132,Deflatores!G$4:I$38,3,FALSE)))</f>
        <v>6</v>
      </c>
      <c r="M1132" s="106"/>
      <c r="N1132" s="106"/>
      <c r="O1132" s="124"/>
    </row>
    <row r="1133" spans="1:15" x14ac:dyDescent="0.25">
      <c r="A1133" s="112" t="s">
        <v>948</v>
      </c>
      <c r="B1133" s="113" t="s">
        <v>50</v>
      </c>
      <c r="C1133" s="113" t="s">
        <v>45</v>
      </c>
      <c r="D1133" s="4">
        <v>11</v>
      </c>
      <c r="E1133" s="4">
        <v>4</v>
      </c>
      <c r="F1133" s="106" t="str">
        <f t="shared" si="257"/>
        <v>Alta</v>
      </c>
      <c r="G1133" s="106" t="str">
        <f t="shared" si="258"/>
        <v>CEH</v>
      </c>
      <c r="H1133" s="4">
        <f t="shared" si="259"/>
        <v>6</v>
      </c>
      <c r="I1133" s="105" t="str">
        <f t="shared" si="260"/>
        <v>H</v>
      </c>
      <c r="J1133" s="4" t="str">
        <f t="shared" si="261"/>
        <v>CEI</v>
      </c>
      <c r="K1133" s="106">
        <f t="shared" si="262"/>
        <v>6</v>
      </c>
      <c r="L1133" s="106">
        <f>IF(NOT(ISERROR(VLOOKUP(B1133,Deflatores!G$42:H$64,2,FALSE))),VLOOKUP(B1133,Deflatores!G$42:H$64,2,FALSE),IF(OR(ISBLANK(C1133),ISBLANK(B1133)),"",VLOOKUP(C1133,Deflatores!G$4:H$38,2,FALSE)*H1133+VLOOKUP(C1133,Deflatores!G$4:I$38,3,FALSE)))</f>
        <v>6</v>
      </c>
      <c r="M1133" s="106"/>
      <c r="N1133" s="106"/>
      <c r="O1133" s="124"/>
    </row>
    <row r="1134" spans="1:15" x14ac:dyDescent="0.25">
      <c r="A1134" s="112" t="s">
        <v>949</v>
      </c>
      <c r="B1134" s="113" t="s">
        <v>50</v>
      </c>
      <c r="C1134" s="113" t="s">
        <v>45</v>
      </c>
      <c r="D1134" s="4">
        <v>11</v>
      </c>
      <c r="E1134" s="4">
        <v>4</v>
      </c>
      <c r="F1134" s="106" t="str">
        <f t="shared" si="257"/>
        <v>Alta</v>
      </c>
      <c r="G1134" s="106" t="str">
        <f t="shared" si="258"/>
        <v>CEH</v>
      </c>
      <c r="H1134" s="4">
        <f t="shared" si="259"/>
        <v>6</v>
      </c>
      <c r="I1134" s="105" t="str">
        <f t="shared" si="260"/>
        <v>H</v>
      </c>
      <c r="J1134" s="4" t="str">
        <f t="shared" si="261"/>
        <v>CEI</v>
      </c>
      <c r="K1134" s="106">
        <f t="shared" si="262"/>
        <v>6</v>
      </c>
      <c r="L1134" s="106">
        <f>IF(NOT(ISERROR(VLOOKUP(B1134,Deflatores!G$42:H$64,2,FALSE))),VLOOKUP(B1134,Deflatores!G$42:H$64,2,FALSE),IF(OR(ISBLANK(C1134),ISBLANK(B1134)),"",VLOOKUP(C1134,Deflatores!G$4:H$38,2,FALSE)*H1134+VLOOKUP(C1134,Deflatores!G$4:I$38,3,FALSE)))</f>
        <v>6</v>
      </c>
      <c r="M1134" s="106"/>
      <c r="N1134" s="106"/>
      <c r="O1134" s="124"/>
    </row>
    <row r="1135" spans="1:15" x14ac:dyDescent="0.25">
      <c r="A1135" s="112" t="s">
        <v>950</v>
      </c>
      <c r="B1135" s="113" t="s">
        <v>113</v>
      </c>
      <c r="C1135" s="113" t="s">
        <v>45</v>
      </c>
      <c r="D1135" s="4">
        <v>11</v>
      </c>
      <c r="E1135" s="4">
        <v>5</v>
      </c>
      <c r="F1135" s="106" t="str">
        <f t="shared" si="257"/>
        <v>Alta</v>
      </c>
      <c r="G1135" s="106" t="str">
        <f t="shared" si="258"/>
        <v>SEH</v>
      </c>
      <c r="H1135" s="4">
        <f t="shared" si="259"/>
        <v>7</v>
      </c>
      <c r="I1135" s="105" t="str">
        <f t="shared" si="260"/>
        <v>H</v>
      </c>
      <c r="J1135" s="4" t="str">
        <f t="shared" si="261"/>
        <v>SEI</v>
      </c>
      <c r="K1135" s="106">
        <f t="shared" si="262"/>
        <v>7</v>
      </c>
      <c r="L1135" s="106">
        <f>IF(NOT(ISERROR(VLOOKUP(B1135,Deflatores!G$42:H$64,2,FALSE))),VLOOKUP(B1135,Deflatores!G$42:H$64,2,FALSE),IF(OR(ISBLANK(C1135),ISBLANK(B1135)),"",VLOOKUP(C1135,Deflatores!G$4:H$38,2,FALSE)*H1135+VLOOKUP(C1135,Deflatores!G$4:I$38,3,FALSE)))</f>
        <v>7</v>
      </c>
      <c r="M1135" s="106"/>
      <c r="N1135" s="106"/>
      <c r="O1135" s="140"/>
    </row>
    <row r="1136" spans="1:15" x14ac:dyDescent="0.25">
      <c r="A1136" s="112" t="s">
        <v>951</v>
      </c>
      <c r="B1136" s="113" t="s">
        <v>50</v>
      </c>
      <c r="C1136" s="113" t="s">
        <v>45</v>
      </c>
      <c r="D1136" s="4">
        <v>12</v>
      </c>
      <c r="E1136" s="4">
        <v>5</v>
      </c>
      <c r="F1136" s="106" t="str">
        <f t="shared" si="257"/>
        <v>Alta</v>
      </c>
      <c r="G1136" s="106" t="str">
        <f t="shared" si="258"/>
        <v>CEH</v>
      </c>
      <c r="H1136" s="4">
        <f t="shared" si="259"/>
        <v>6</v>
      </c>
      <c r="I1136" s="105" t="str">
        <f t="shared" si="260"/>
        <v>H</v>
      </c>
      <c r="J1136" s="4" t="str">
        <f t="shared" si="261"/>
        <v>CEI</v>
      </c>
      <c r="K1136" s="106">
        <f t="shared" si="262"/>
        <v>6</v>
      </c>
      <c r="L1136" s="106">
        <f>IF(NOT(ISERROR(VLOOKUP(B1136,Deflatores!G$42:H$64,2,FALSE))),VLOOKUP(B1136,Deflatores!G$42:H$64,2,FALSE),IF(OR(ISBLANK(C1136),ISBLANK(B1136)),"",VLOOKUP(C1136,Deflatores!G$4:H$38,2,FALSE)*H1136+VLOOKUP(C1136,Deflatores!G$4:I$38,3,FALSE)))</f>
        <v>6</v>
      </c>
      <c r="M1136" s="106"/>
      <c r="N1136" s="106"/>
      <c r="O1136" s="140"/>
    </row>
    <row r="1137" spans="1:15" x14ac:dyDescent="0.25">
      <c r="A1137" s="112"/>
      <c r="B1137" s="113"/>
      <c r="C1137" s="113"/>
      <c r="D1137" s="4"/>
      <c r="E1137" s="4"/>
      <c r="F1137" s="106" t="str">
        <f t="shared" si="257"/>
        <v/>
      </c>
      <c r="G1137" s="106" t="str">
        <f t="shared" si="258"/>
        <v/>
      </c>
      <c r="H1137" s="4" t="str">
        <f t="shared" si="259"/>
        <v/>
      </c>
      <c r="I1137" s="105" t="str">
        <f t="shared" si="260"/>
        <v/>
      </c>
      <c r="J1137" s="4" t="str">
        <f t="shared" si="261"/>
        <v/>
      </c>
      <c r="K1137" s="106" t="str">
        <f t="shared" si="262"/>
        <v/>
      </c>
      <c r="L1137" s="106" t="str">
        <f>IF(NOT(ISERROR(VLOOKUP(B1137,Deflatores!G$42:H$64,2,FALSE))),VLOOKUP(B1137,Deflatores!G$42:H$64,2,FALSE),IF(OR(ISBLANK(C1137),ISBLANK(B1137)),"",VLOOKUP(C1137,Deflatores!G$4:H$38,2,FALSE)*H1137+VLOOKUP(C1137,Deflatores!G$4:I$38,3,FALSE)))</f>
        <v/>
      </c>
      <c r="M1137" s="106"/>
      <c r="N1137" s="106"/>
      <c r="O1137" s="124"/>
    </row>
    <row r="1138" spans="1:15" x14ac:dyDescent="0.25">
      <c r="A1138" s="143" t="s">
        <v>952</v>
      </c>
      <c r="B1138" s="113"/>
      <c r="C1138" s="113"/>
      <c r="D1138" s="4"/>
      <c r="E1138" s="4"/>
      <c r="F1138" s="105" t="str">
        <f>IF(ISBLANK(B1138),"",IF(I1138="L","Baixa",IF(I1138="A","Média",IF(I1138="","","Alta"))))</f>
        <v/>
      </c>
      <c r="G1138" s="4" t="str">
        <f>CONCATENATE(B1138,I1138)</f>
        <v/>
      </c>
      <c r="H1138" s="4" t="str">
        <f>IF(ISBLANK(B1138),"",IF(B1138="ALI",IF(I1138="L",7,IF(I1138="A",10,15)),IF(B1138="AIE",IF(I1138="L",5,IF(I1138="A",7,10)),IF(B1138="SE",IF(I1138="L",4,IF(I1138="A",5,7)),IF(OR(B1138="EE",B1138="CE"),IF(I1138="L",3,IF(I1138="A",4,6)),0)))))</f>
        <v/>
      </c>
      <c r="I1138" s="105" t="str">
        <f>IF(OR(ISBLANK(D1138),ISBLANK(E1138)),IF(OR(B1138="ALI",B1138="AIE"),"L",IF(OR(B1138="EE",B1138="SE",B1138="CE"),"A","")),IF(B1138="EE",IF(E1138&gt;=3,IF(D1138&gt;=5,"H","A"),IF(E1138&gt;=2,IF(D1138&gt;=16,"H",IF(D1138&lt;=4,"L","A")),IF(D1138&lt;=15,"L","A"))),IF(OR(B1138="SE",B1138="CE"),IF(E1138&gt;=4,IF(D1138&gt;=6,"H","A"),IF(E1138&gt;=2,IF(D1138&gt;=20,"H",IF(D1138&lt;=5,"L","A")),IF(D1138&lt;=19,"L","A"))),IF(OR(B1138="ALI",B1138="AIE"),IF(E1138&gt;=6,IF(D1138&gt;=20,"H","A"),IF(E1138&gt;=2,IF(D1138&gt;=51,"H",IF(D1138&lt;=19,"L","A")),IF(D1138&lt;=50,"L","A"))),""))))</f>
        <v/>
      </c>
      <c r="J1138" s="4" t="str">
        <f>CONCATENATE(B1138,C1138)</f>
        <v/>
      </c>
      <c r="K1138" s="106" t="str">
        <f>IF(OR(H1138="",H1138=0),L1138,H1138)</f>
        <v/>
      </c>
      <c r="L1138" s="106" t="str">
        <f>IF(NOT(ISERROR(VLOOKUP(B1138,Deflatores!G$42:H$64,2,FALSE))),VLOOKUP(B1138,Deflatores!G$42:H$64,2,FALSE),IF(OR(ISBLANK(C1138),ISBLANK(B1138)),"",VLOOKUP(C1138,Deflatores!G$4:H$38,2,FALSE)*H1138+VLOOKUP(C1138,Deflatores!G$4:I$38,3,FALSE)))</f>
        <v/>
      </c>
      <c r="M1138" s="6"/>
      <c r="N1138" s="6"/>
      <c r="O1138" s="144"/>
    </row>
    <row r="1139" spans="1:15" x14ac:dyDescent="0.25">
      <c r="A1139" s="112" t="s">
        <v>953</v>
      </c>
      <c r="B1139" s="113" t="s">
        <v>44</v>
      </c>
      <c r="C1139" s="113" t="s">
        <v>45</v>
      </c>
      <c r="D1139" s="4">
        <v>12</v>
      </c>
      <c r="E1139" s="4">
        <v>1</v>
      </c>
      <c r="F1139" s="106" t="str">
        <f t="shared" ref="F1139:F1149" si="263">IF(ISBLANK(B1139),"",IF(I1139="L","Baixa",IF(I1139="A","Média",IF(I1139="","","Alta"))))</f>
        <v>Baixa</v>
      </c>
      <c r="G1139" s="106" t="str">
        <f t="shared" ref="G1139:G1149" si="264">CONCATENATE(B1139,I1139)</f>
        <v>ALIL</v>
      </c>
      <c r="H1139" s="4">
        <f t="shared" ref="H1139:H1149" si="265">IF(ISBLANK(B1139),"",IF(B1139="ALI",IF(I1139="L",7,IF(I1139="A",10,15)),IF(B1139="AIE",IF(I1139="L",5,IF(I1139="A",7,10)),IF(B1139="SE",IF(I1139="L",4,IF(I1139="A",5,7)),IF(OR(B1139="EE",B1139="CE"),IF(I1139="L",3,IF(I1139="A",4,6)),0)))))</f>
        <v>7</v>
      </c>
      <c r="I1139" s="105" t="str">
        <f t="shared" ref="I1139:I1149" si="266">IF(OR(ISBLANK(D1139),ISBLANK(E1139)),IF(OR(B1139="ALI",B1139="AIE"),"L",IF(OR(B1139="EE",B1139="SE",B1139="CE"),"A","")),IF(B1139="EE",IF(E1139&gt;=3,IF(D1139&gt;=5,"H","A"),IF(E1139&gt;=2,IF(D1139&gt;=16,"H",IF(D1139&lt;=4,"L","A")),IF(D1139&lt;=15,"L","A"))),IF(OR(B1139="SE",B1139="CE"),IF(E1139&gt;=4,IF(D1139&gt;=6,"H","A"),IF(E1139&gt;=2,IF(D1139&gt;=20,"H",IF(D1139&lt;=5,"L","A")),IF(D1139&lt;=19,"L","A"))),IF(OR(B1139="ALI",B1139="AIE"),IF(E1139&gt;=6,IF(D1139&gt;=20,"H","A"),IF(E1139&gt;=2,IF(D1139&gt;=51,"H",IF(D1139&lt;=19,"L","A")),IF(D1139&lt;=50,"L","A"))),""))))</f>
        <v>L</v>
      </c>
      <c r="J1139" s="4" t="str">
        <f t="shared" ref="J1139:J1149" si="267">CONCATENATE(B1139,C1139)</f>
        <v>ALII</v>
      </c>
      <c r="K1139" s="106">
        <f t="shared" ref="K1139:K1148" si="268">IF(OR(H1139="",H1139=0),L1139,H1139)</f>
        <v>7</v>
      </c>
      <c r="L1139" s="106">
        <f>IF(NOT(ISERROR(VLOOKUP(B1139,Deflatores!G$42:H$64,2,FALSE))),VLOOKUP(B1139,Deflatores!G$42:H$64,2,FALSE),IF(OR(ISBLANK(C1139),ISBLANK(B1139)),"",VLOOKUP(C1139,Deflatores!G$4:H$38,2,FALSE)*H1139+VLOOKUP(C1139,Deflatores!G$4:I$38,3,FALSE)))</f>
        <v>7</v>
      </c>
      <c r="M1139" s="106"/>
      <c r="N1139" s="106"/>
      <c r="O1139" s="124"/>
    </row>
    <row r="1140" spans="1:15" x14ac:dyDescent="0.25">
      <c r="A1140" s="146" t="s">
        <v>954</v>
      </c>
      <c r="B1140" s="113" t="s">
        <v>50</v>
      </c>
      <c r="C1140" s="113" t="s">
        <v>45</v>
      </c>
      <c r="D1140" s="4">
        <v>10</v>
      </c>
      <c r="E1140" s="4">
        <v>3</v>
      </c>
      <c r="F1140" s="105" t="str">
        <f t="shared" si="263"/>
        <v>Média</v>
      </c>
      <c r="G1140" s="4" t="str">
        <f t="shared" si="264"/>
        <v>CEA</v>
      </c>
      <c r="H1140" s="4">
        <f t="shared" si="265"/>
        <v>4</v>
      </c>
      <c r="I1140" s="105" t="str">
        <f t="shared" si="266"/>
        <v>A</v>
      </c>
      <c r="J1140" s="4" t="str">
        <f t="shared" si="267"/>
        <v>CEI</v>
      </c>
      <c r="K1140" s="106">
        <f t="shared" si="268"/>
        <v>4</v>
      </c>
      <c r="L1140" s="106">
        <f>IF(NOT(ISERROR(VLOOKUP(B1140,Deflatores!G$42:H$64,2,FALSE))),VLOOKUP(B1140,Deflatores!G$42:H$64,2,FALSE),IF(OR(ISBLANK(C1140),ISBLANK(B1140)),"",VLOOKUP(C1140,Deflatores!G$4:H$38,2,FALSE)*H1140+VLOOKUP(C1140,Deflatores!G$4:I$38,3,FALSE)))</f>
        <v>4</v>
      </c>
      <c r="M1140" s="6"/>
      <c r="N1140" s="6"/>
      <c r="O1140" s="144"/>
    </row>
    <row r="1141" spans="1:15" x14ac:dyDescent="0.25">
      <c r="A1141" s="146" t="s">
        <v>955</v>
      </c>
      <c r="B1141" s="113" t="s">
        <v>50</v>
      </c>
      <c r="C1141" s="113" t="s">
        <v>45</v>
      </c>
      <c r="D1141" s="4">
        <v>8</v>
      </c>
      <c r="E1141" s="4">
        <v>1</v>
      </c>
      <c r="F1141" s="105" t="str">
        <f>IF(ISBLANK(B1141),"",IF(I1141="L","Baixa",IF(I1141="A","Média",IF(I1141="","","Alta"))))</f>
        <v>Baixa</v>
      </c>
      <c r="G1141" s="4" t="str">
        <f>CONCATENATE(B1141,I1141)</f>
        <v>CEL</v>
      </c>
      <c r="H1141" s="4">
        <f>IF(ISBLANK(B1141),"",IF(B1141="ALI",IF(I1141="L",7,IF(I1141="A",10,15)),IF(B1141="AIE",IF(I1141="L",5,IF(I1141="A",7,10)),IF(B1141="SE",IF(I1141="L",4,IF(I1141="A",5,7)),IF(OR(B1141="EE",B1141="CE"),IF(I1141="L",3,IF(I1141="A",4,6)),0)))))</f>
        <v>3</v>
      </c>
      <c r="I1141" s="105" t="str">
        <f>IF(OR(ISBLANK(D1141),ISBLANK(E1141)),IF(OR(B1141="ALI",B1141="AIE"),"L",IF(OR(B1141="EE",B1141="SE",B1141="CE"),"A","")),IF(B1141="EE",IF(E1141&gt;=3,IF(D1141&gt;=5,"H","A"),IF(E1141&gt;=2,IF(D1141&gt;=16,"H",IF(D1141&lt;=4,"L","A")),IF(D1141&lt;=15,"L","A"))),IF(OR(B1141="SE",B1141="CE"),IF(E1141&gt;=4,IF(D1141&gt;=6,"H","A"),IF(E1141&gt;=2,IF(D1141&gt;=20,"H",IF(D1141&lt;=5,"L","A")),IF(D1141&lt;=19,"L","A"))),IF(OR(B1141="ALI",B1141="AIE"),IF(E1141&gt;=6,IF(D1141&gt;=20,"H","A"),IF(E1141&gt;=2,IF(D1141&gt;=51,"H",IF(D1141&lt;=19,"L","A")),IF(D1141&lt;=50,"L","A"))),""))))</f>
        <v>L</v>
      </c>
      <c r="J1141" s="4" t="str">
        <f>CONCATENATE(B1141,C1141)</f>
        <v>CEI</v>
      </c>
      <c r="K1141" s="106">
        <f>IF(OR(H1141="",H1141=0),L1141,H1141)</f>
        <v>3</v>
      </c>
      <c r="L1141" s="106">
        <f>IF(NOT(ISERROR(VLOOKUP(B1141,Deflatores!G$42:H$64,2,FALSE))),VLOOKUP(B1141,Deflatores!G$42:H$64,2,FALSE),IF(OR(ISBLANK(C1141),ISBLANK(B1141)),"",VLOOKUP(C1141,Deflatores!G$4:H$38,2,FALSE)*H1141+VLOOKUP(C1141,Deflatores!G$4:I$38,3,FALSE)))</f>
        <v>3</v>
      </c>
      <c r="M1141" s="6"/>
      <c r="N1141" s="6"/>
      <c r="O1141" s="144"/>
    </row>
    <row r="1142" spans="1:15" x14ac:dyDescent="0.25">
      <c r="A1142" s="146" t="s">
        <v>956</v>
      </c>
      <c r="B1142" s="113" t="s">
        <v>50</v>
      </c>
      <c r="C1142" s="113" t="s">
        <v>45</v>
      </c>
      <c r="D1142" s="4">
        <v>10</v>
      </c>
      <c r="E1142" s="4">
        <v>3</v>
      </c>
      <c r="F1142" s="105" t="str">
        <f>IF(ISBLANK(B1142),"",IF(I1142="L","Baixa",IF(I1142="A","Média",IF(I1142="","","Alta"))))</f>
        <v>Média</v>
      </c>
      <c r="G1142" s="4" t="str">
        <f>CONCATENATE(B1142,I1142)</f>
        <v>CEA</v>
      </c>
      <c r="H1142" s="4">
        <f>IF(ISBLANK(B1142),"",IF(B1142="ALI",IF(I1142="L",7,IF(I1142="A",10,15)),IF(B1142="AIE",IF(I1142="L",5,IF(I1142="A",7,10)),IF(B1142="SE",IF(I1142="L",4,IF(I1142="A",5,7)),IF(OR(B1142="EE",B1142="CE"),IF(I1142="L",3,IF(I1142="A",4,6)),0)))))</f>
        <v>4</v>
      </c>
      <c r="I1142" s="105" t="str">
        <f>IF(OR(ISBLANK(D1142),ISBLANK(E1142)),IF(OR(B1142="ALI",B1142="AIE"),"L",IF(OR(B1142="EE",B1142="SE",B1142="CE"),"A","")),IF(B1142="EE",IF(E1142&gt;=3,IF(D1142&gt;=5,"H","A"),IF(E1142&gt;=2,IF(D1142&gt;=16,"H",IF(D1142&lt;=4,"L","A")),IF(D1142&lt;=15,"L","A"))),IF(OR(B1142="SE",B1142="CE"),IF(E1142&gt;=4,IF(D1142&gt;=6,"H","A"),IF(E1142&gt;=2,IF(D1142&gt;=20,"H",IF(D1142&lt;=5,"L","A")),IF(D1142&lt;=19,"L","A"))),IF(OR(B1142="ALI",B1142="AIE"),IF(E1142&gt;=6,IF(D1142&gt;=20,"H","A"),IF(E1142&gt;=2,IF(D1142&gt;=51,"H",IF(D1142&lt;=19,"L","A")),IF(D1142&lt;=50,"L","A"))),""))))</f>
        <v>A</v>
      </c>
      <c r="J1142" s="4" t="str">
        <f>CONCATENATE(B1142,C1142)</f>
        <v>CEI</v>
      </c>
      <c r="K1142" s="106">
        <f>IF(OR(H1142="",H1142=0),L1142,H1142)</f>
        <v>4</v>
      </c>
      <c r="L1142" s="106">
        <f>IF(NOT(ISERROR(VLOOKUP(B1142,Deflatores!G$42:H$64,2,FALSE))),VLOOKUP(B1142,Deflatores!G$42:H$64,2,FALSE),IF(OR(ISBLANK(C1142),ISBLANK(B1142)),"",VLOOKUP(C1142,Deflatores!G$4:H$38,2,FALSE)*H1142+VLOOKUP(C1142,Deflatores!G$4:I$38,3,FALSE)))</f>
        <v>4</v>
      </c>
      <c r="M1142" s="6"/>
      <c r="N1142" s="6"/>
      <c r="O1142" s="144"/>
    </row>
    <row r="1143" spans="1:15" x14ac:dyDescent="0.25">
      <c r="A1143" s="146" t="s">
        <v>957</v>
      </c>
      <c r="B1143" s="113" t="s">
        <v>48</v>
      </c>
      <c r="C1143" s="113" t="s">
        <v>45</v>
      </c>
      <c r="D1143" s="4">
        <v>3</v>
      </c>
      <c r="E1143" s="4">
        <v>2</v>
      </c>
      <c r="F1143" s="105" t="str">
        <f t="shared" si="263"/>
        <v>Baixa</v>
      </c>
      <c r="G1143" s="4" t="str">
        <f t="shared" si="264"/>
        <v>EEL</v>
      </c>
      <c r="H1143" s="4">
        <f t="shared" si="265"/>
        <v>3</v>
      </c>
      <c r="I1143" s="105" t="str">
        <f t="shared" si="266"/>
        <v>L</v>
      </c>
      <c r="J1143" s="4" t="str">
        <f t="shared" si="267"/>
        <v>EEI</v>
      </c>
      <c r="K1143" s="106">
        <f t="shared" si="268"/>
        <v>3</v>
      </c>
      <c r="L1143" s="106">
        <f>IF(NOT(ISERROR(VLOOKUP(B1143,Deflatores!G$42:H$64,2,FALSE))),VLOOKUP(B1143,Deflatores!G$42:H$64,2,FALSE),IF(OR(ISBLANK(C1143),ISBLANK(B1143)),"",VLOOKUP(C1143,Deflatores!G$4:H$38,2,FALSE)*H1143+VLOOKUP(C1143,Deflatores!G$4:I$38,3,FALSE)))</f>
        <v>3</v>
      </c>
      <c r="M1143" s="6"/>
      <c r="N1143" s="6"/>
      <c r="O1143" s="144"/>
    </row>
    <row r="1144" spans="1:15" x14ac:dyDescent="0.25">
      <c r="A1144" s="146" t="s">
        <v>958</v>
      </c>
      <c r="B1144" s="113" t="s">
        <v>48</v>
      </c>
      <c r="C1144" s="113" t="s">
        <v>45</v>
      </c>
      <c r="D1144" s="4">
        <v>5</v>
      </c>
      <c r="E1144" s="4">
        <v>2</v>
      </c>
      <c r="F1144" s="105" t="str">
        <f t="shared" si="263"/>
        <v>Média</v>
      </c>
      <c r="G1144" s="4" t="str">
        <f t="shared" si="264"/>
        <v>EEA</v>
      </c>
      <c r="H1144" s="4">
        <f t="shared" si="265"/>
        <v>4</v>
      </c>
      <c r="I1144" s="105" t="str">
        <f t="shared" si="266"/>
        <v>A</v>
      </c>
      <c r="J1144" s="4" t="str">
        <f t="shared" si="267"/>
        <v>EEI</v>
      </c>
      <c r="K1144" s="106">
        <f t="shared" si="268"/>
        <v>4</v>
      </c>
      <c r="L1144" s="106">
        <f>IF(NOT(ISERROR(VLOOKUP(B1144,Deflatores!G$42:H$64,2,FALSE))),VLOOKUP(B1144,Deflatores!G$42:H$64,2,FALSE),IF(OR(ISBLANK(C1144),ISBLANK(B1144)),"",VLOOKUP(C1144,Deflatores!G$4:H$38,2,FALSE)*H1144+VLOOKUP(C1144,Deflatores!G$4:I$38,3,FALSE)))</f>
        <v>4</v>
      </c>
      <c r="M1144" s="6"/>
      <c r="N1144" s="6"/>
      <c r="O1144" s="144"/>
    </row>
    <row r="1145" spans="1:15" x14ac:dyDescent="0.25">
      <c r="A1145" s="147" t="s">
        <v>959</v>
      </c>
      <c r="B1145" s="113" t="s">
        <v>50</v>
      </c>
      <c r="C1145" s="113" t="s">
        <v>45</v>
      </c>
      <c r="D1145" s="4">
        <v>7</v>
      </c>
      <c r="E1145" s="4">
        <v>2</v>
      </c>
      <c r="F1145" s="105" t="str">
        <f t="shared" si="263"/>
        <v>Média</v>
      </c>
      <c r="G1145" s="4" t="str">
        <f t="shared" si="264"/>
        <v>CEA</v>
      </c>
      <c r="H1145" s="4">
        <f t="shared" si="265"/>
        <v>4</v>
      </c>
      <c r="I1145" s="105" t="str">
        <f t="shared" si="266"/>
        <v>A</v>
      </c>
      <c r="J1145" s="4" t="str">
        <f t="shared" si="267"/>
        <v>CEI</v>
      </c>
      <c r="K1145" s="106">
        <f t="shared" si="268"/>
        <v>4</v>
      </c>
      <c r="L1145" s="106">
        <f>IF(NOT(ISERROR(VLOOKUP(B1145,Deflatores!G$42:H$64,2,FALSE))),VLOOKUP(B1145,Deflatores!G$42:H$64,2,FALSE),IF(OR(ISBLANK(C1145),ISBLANK(B1145)),"",VLOOKUP(C1145,Deflatores!G$4:H$38,2,FALSE)*H1145+VLOOKUP(C1145,Deflatores!G$4:I$38,3,FALSE)))</f>
        <v>4</v>
      </c>
      <c r="M1145" s="6"/>
      <c r="N1145" s="6"/>
      <c r="O1145" s="144"/>
    </row>
    <row r="1146" spans="1:15" x14ac:dyDescent="0.25">
      <c r="A1146" s="146" t="s">
        <v>960</v>
      </c>
      <c r="B1146" s="113" t="s">
        <v>50</v>
      </c>
      <c r="C1146" s="113" t="s">
        <v>45</v>
      </c>
      <c r="D1146" s="4">
        <v>11</v>
      </c>
      <c r="E1146" s="4">
        <v>3</v>
      </c>
      <c r="F1146" s="105" t="str">
        <f t="shared" si="263"/>
        <v>Média</v>
      </c>
      <c r="G1146" s="4" t="str">
        <f t="shared" si="264"/>
        <v>CEA</v>
      </c>
      <c r="H1146" s="4">
        <f t="shared" si="265"/>
        <v>4</v>
      </c>
      <c r="I1146" s="105" t="str">
        <f t="shared" si="266"/>
        <v>A</v>
      </c>
      <c r="J1146" s="4" t="str">
        <f t="shared" si="267"/>
        <v>CEI</v>
      </c>
      <c r="K1146" s="106">
        <f t="shared" si="268"/>
        <v>4</v>
      </c>
      <c r="L1146" s="106">
        <f>IF(NOT(ISERROR(VLOOKUP(B1146,Deflatores!G$42:H$64,2,FALSE))),VLOOKUP(B1146,Deflatores!G$42:H$64,2,FALSE),IF(OR(ISBLANK(C1146),ISBLANK(B1146)),"",VLOOKUP(C1146,Deflatores!G$4:H$38,2,FALSE)*H1146+VLOOKUP(C1146,Deflatores!G$4:I$38,3,FALSE)))</f>
        <v>4</v>
      </c>
      <c r="M1146" s="6"/>
      <c r="N1146" s="6"/>
      <c r="O1146" s="144"/>
    </row>
    <row r="1147" spans="1:15" x14ac:dyDescent="0.25">
      <c r="A1147" s="146" t="s">
        <v>961</v>
      </c>
      <c r="B1147" s="113" t="s">
        <v>48</v>
      </c>
      <c r="C1147" s="113" t="s">
        <v>45</v>
      </c>
      <c r="D1147" s="4">
        <v>6</v>
      </c>
      <c r="E1147" s="4">
        <v>2</v>
      </c>
      <c r="F1147" s="105" t="str">
        <f t="shared" si="263"/>
        <v>Média</v>
      </c>
      <c r="G1147" s="4" t="str">
        <f t="shared" si="264"/>
        <v>EEA</v>
      </c>
      <c r="H1147" s="4">
        <f t="shared" si="265"/>
        <v>4</v>
      </c>
      <c r="I1147" s="105" t="str">
        <f t="shared" si="266"/>
        <v>A</v>
      </c>
      <c r="J1147" s="4" t="str">
        <f t="shared" si="267"/>
        <v>EEI</v>
      </c>
      <c r="K1147" s="106">
        <f t="shared" si="268"/>
        <v>4</v>
      </c>
      <c r="L1147" s="106">
        <f>IF(NOT(ISERROR(VLOOKUP(B1147,Deflatores!G$42:H$64,2,FALSE))),VLOOKUP(B1147,Deflatores!G$42:H$64,2,FALSE),IF(OR(ISBLANK(C1147),ISBLANK(B1147)),"",VLOOKUP(C1147,Deflatores!G$4:H$38,2,FALSE)*H1147+VLOOKUP(C1147,Deflatores!G$4:I$38,3,FALSE)))</f>
        <v>4</v>
      </c>
      <c r="M1147" s="6"/>
      <c r="N1147" s="6"/>
      <c r="O1147" s="144"/>
    </row>
    <row r="1148" spans="1:15" x14ac:dyDescent="0.25">
      <c r="A1148" s="146" t="s">
        <v>962</v>
      </c>
      <c r="B1148" s="113" t="s">
        <v>48</v>
      </c>
      <c r="C1148" s="113" t="s">
        <v>45</v>
      </c>
      <c r="D1148" s="4">
        <v>6</v>
      </c>
      <c r="E1148" s="4">
        <v>2</v>
      </c>
      <c r="F1148" s="105" t="str">
        <f t="shared" si="263"/>
        <v>Média</v>
      </c>
      <c r="G1148" s="4" t="str">
        <f t="shared" si="264"/>
        <v>EEA</v>
      </c>
      <c r="H1148" s="4">
        <f t="shared" si="265"/>
        <v>4</v>
      </c>
      <c r="I1148" s="105" t="str">
        <f t="shared" si="266"/>
        <v>A</v>
      </c>
      <c r="J1148" s="4" t="str">
        <f t="shared" si="267"/>
        <v>EEI</v>
      </c>
      <c r="K1148" s="106">
        <f t="shared" si="268"/>
        <v>4</v>
      </c>
      <c r="L1148" s="106">
        <f>IF(NOT(ISERROR(VLOOKUP(B1148,Deflatores!G$42:H$64,2,FALSE))),VLOOKUP(B1148,Deflatores!G$42:H$64,2,FALSE),IF(OR(ISBLANK(C1148),ISBLANK(B1148)),"",VLOOKUP(C1148,Deflatores!G$4:H$38,2,FALSE)*H1148+VLOOKUP(C1148,Deflatores!G$4:I$38,3,FALSE)))</f>
        <v>4</v>
      </c>
      <c r="M1148" s="6"/>
      <c r="N1148" s="6"/>
      <c r="O1148" s="144"/>
    </row>
    <row r="1149" spans="1:15" x14ac:dyDescent="0.25">
      <c r="A1149" s="143"/>
      <c r="B1149" s="113"/>
      <c r="C1149" s="113"/>
      <c r="D1149" s="4"/>
      <c r="E1149" s="4"/>
      <c r="F1149" s="105" t="str">
        <f t="shared" si="263"/>
        <v/>
      </c>
      <c r="G1149" s="4" t="str">
        <f t="shared" si="264"/>
        <v/>
      </c>
      <c r="H1149" s="4" t="str">
        <f t="shared" si="265"/>
        <v/>
      </c>
      <c r="I1149" s="105" t="str">
        <f t="shared" si="266"/>
        <v/>
      </c>
      <c r="J1149" s="4" t="str">
        <f t="shared" si="267"/>
        <v/>
      </c>
      <c r="K1149" s="106"/>
      <c r="L1149" s="106"/>
      <c r="M1149" s="6"/>
      <c r="N1149" s="6"/>
      <c r="O1149" s="144"/>
    </row>
    <row r="1150" spans="1:15" ht="13.5" customHeight="1" x14ac:dyDescent="0.25">
      <c r="A1150" s="119" t="s">
        <v>963</v>
      </c>
      <c r="B1150" s="120"/>
      <c r="C1150" s="120"/>
      <c r="D1150" s="120"/>
      <c r="E1150" s="120"/>
      <c r="F1150" s="121" t="str">
        <f t="shared" si="257"/>
        <v/>
      </c>
      <c r="G1150" s="121" t="str">
        <f t="shared" si="258"/>
        <v/>
      </c>
      <c r="H1150" s="121" t="str">
        <f t="shared" si="259"/>
        <v/>
      </c>
      <c r="I1150" s="121" t="str">
        <f t="shared" si="260"/>
        <v/>
      </c>
      <c r="J1150" s="121" t="str">
        <f t="shared" si="261"/>
        <v/>
      </c>
      <c r="K1150" s="121"/>
      <c r="L1150" s="121"/>
      <c r="M1150" s="121"/>
      <c r="N1150" s="121"/>
      <c r="O1150" s="122"/>
    </row>
    <row r="1151" spans="1:15" x14ac:dyDescent="0.25">
      <c r="A1151" s="217" t="s">
        <v>964</v>
      </c>
      <c r="B1151" s="113"/>
      <c r="C1151" s="113"/>
      <c r="D1151" s="4"/>
      <c r="E1151" s="4"/>
      <c r="F1151" s="106" t="str">
        <f t="shared" si="257"/>
        <v/>
      </c>
      <c r="G1151" s="106" t="str">
        <f t="shared" si="258"/>
        <v/>
      </c>
      <c r="H1151" s="4" t="str">
        <f t="shared" si="259"/>
        <v/>
      </c>
      <c r="I1151" s="105" t="str">
        <f t="shared" si="260"/>
        <v/>
      </c>
      <c r="J1151" s="4" t="str">
        <f t="shared" si="261"/>
        <v/>
      </c>
      <c r="K1151" s="106" t="str">
        <f t="shared" si="262"/>
        <v/>
      </c>
      <c r="L1151" s="106" t="str">
        <f>IF(NOT(ISERROR(VLOOKUP(B1151,Deflatores!G$42:H$64,2,FALSE))),VLOOKUP(B1151,Deflatores!G$42:H$64,2,FALSE),IF(OR(ISBLANK(C1151),ISBLANK(B1151)),"",VLOOKUP(C1151,Deflatores!G$4:H$38,2,FALSE)*H1151+VLOOKUP(C1151,Deflatores!G$4:I$38,3,FALSE)))</f>
        <v/>
      </c>
      <c r="M1151" s="106"/>
      <c r="N1151" s="106"/>
      <c r="O1151" s="130"/>
    </row>
    <row r="1152" spans="1:15" x14ac:dyDescent="0.25">
      <c r="A1152" s="218" t="s">
        <v>965</v>
      </c>
      <c r="B1152" s="113" t="s">
        <v>44</v>
      </c>
      <c r="C1152" s="113" t="s">
        <v>45</v>
      </c>
      <c r="D1152" s="4">
        <v>53</v>
      </c>
      <c r="E1152" s="4">
        <v>2</v>
      </c>
      <c r="F1152" s="106" t="str">
        <f t="shared" ref="F1152:F1229" si="269">IF(ISBLANK(B1152),"",IF(I1152="L","Baixa",IF(I1152="A","Média",IF(I1152="","","Alta"))))</f>
        <v>Alta</v>
      </c>
      <c r="G1152" s="106" t="str">
        <f t="shared" ref="G1152:G1229" si="270">CONCATENATE(B1152,I1152)</f>
        <v>ALIH</v>
      </c>
      <c r="H1152" s="4">
        <f t="shared" ref="H1152:H1229" si="271">IF(ISBLANK(B1152),"",IF(B1152="ALI",IF(I1152="L",7,IF(I1152="A",10,15)),IF(B1152="AIE",IF(I1152="L",5,IF(I1152="A",7,10)),IF(B1152="SE",IF(I1152="L",4,IF(I1152="A",5,7)),IF(OR(B1152="EE",B1152="CE"),IF(I1152="L",3,IF(I1152="A",4,6)),0)))))</f>
        <v>15</v>
      </c>
      <c r="I1152" s="105" t="str">
        <f t="shared" ref="I1152:I1229" si="272">IF(OR(ISBLANK(D1152),ISBLANK(E1152)),IF(OR(B1152="ALI",B1152="AIE"),"L",IF(OR(B1152="EE",B1152="SE",B1152="CE"),"A","")),IF(B1152="EE",IF(E1152&gt;=3,IF(D1152&gt;=5,"H","A"),IF(E1152&gt;=2,IF(D1152&gt;=16,"H",IF(D1152&lt;=4,"L","A")),IF(D1152&lt;=15,"L","A"))),IF(OR(B1152="SE",B1152="CE"),IF(E1152&gt;=4,IF(D1152&gt;=6,"H","A"),IF(E1152&gt;=2,IF(D1152&gt;=20,"H",IF(D1152&lt;=5,"L","A")),IF(D1152&lt;=19,"L","A"))),IF(OR(B1152="ALI",B1152="AIE"),IF(E1152&gt;=6,IF(D1152&gt;=20,"H","A"),IF(E1152&gt;=2,IF(D1152&gt;=51,"H",IF(D1152&lt;=19,"L","A")),IF(D1152&lt;=50,"L","A"))),""))))</f>
        <v>H</v>
      </c>
      <c r="J1152" s="4" t="str">
        <f t="shared" ref="J1152:J1229" si="273">CONCATENATE(B1152,C1152)</f>
        <v>ALII</v>
      </c>
      <c r="K1152" s="106">
        <f t="shared" ref="K1152:K1229" si="274">IF(OR(H1152="",H1152=0),L1152,H1152)</f>
        <v>15</v>
      </c>
      <c r="L1152" s="106">
        <f>IF(NOT(ISERROR(VLOOKUP(B1152,Deflatores!G$42:H$64,2,FALSE))),VLOOKUP(B1152,Deflatores!G$42:H$64,2,FALSE),IF(OR(ISBLANK(C1152),ISBLANK(B1152)),"",VLOOKUP(C1152,Deflatores!G$4:H$38,2,FALSE)*H1152+VLOOKUP(C1152,Deflatores!G$4:I$38,3,FALSE)))</f>
        <v>15</v>
      </c>
      <c r="M1152" s="106"/>
      <c r="N1152" s="106"/>
      <c r="O1152" s="124"/>
    </row>
    <row r="1153" spans="1:15" x14ac:dyDescent="0.25">
      <c r="A1153" s="218" t="s">
        <v>966</v>
      </c>
      <c r="B1153" s="113" t="s">
        <v>67</v>
      </c>
      <c r="C1153" s="113" t="s">
        <v>45</v>
      </c>
      <c r="D1153" s="4">
        <v>53</v>
      </c>
      <c r="E1153" s="4">
        <v>1</v>
      </c>
      <c r="F1153" s="106" t="str">
        <f t="shared" ref="F1153" si="275">IF(ISBLANK(B1153),"",IF(I1153="L","Baixa",IF(I1153="A","Média",IF(I1153="","","Alta"))))</f>
        <v>Média</v>
      </c>
      <c r="G1153" s="106" t="str">
        <f t="shared" ref="G1153" si="276">CONCATENATE(B1153,I1153)</f>
        <v>AIEA</v>
      </c>
      <c r="H1153" s="4">
        <f t="shared" ref="H1153" si="277">IF(ISBLANK(B1153),"",IF(B1153="ALI",IF(I1153="L",7,IF(I1153="A",10,15)),IF(B1153="AIE",IF(I1153="L",5,IF(I1153="A",7,10)),IF(B1153="SE",IF(I1153="L",4,IF(I1153="A",5,7)),IF(OR(B1153="EE",B1153="CE"),IF(I1153="L",3,IF(I1153="A",4,6)),0)))))</f>
        <v>7</v>
      </c>
      <c r="I1153" s="105" t="str">
        <f t="shared" ref="I1153" si="278">IF(OR(ISBLANK(D1153),ISBLANK(E1153)),IF(OR(B1153="ALI",B1153="AIE"),"L",IF(OR(B1153="EE",B1153="SE",B1153="CE"),"A","")),IF(B1153="EE",IF(E1153&gt;=3,IF(D1153&gt;=5,"H","A"),IF(E1153&gt;=2,IF(D1153&gt;=16,"H",IF(D1153&lt;=4,"L","A")),IF(D1153&lt;=15,"L","A"))),IF(OR(B1153="SE",B1153="CE"),IF(E1153&gt;=4,IF(D1153&gt;=6,"H","A"),IF(E1153&gt;=2,IF(D1153&gt;=20,"H",IF(D1153&lt;=5,"L","A")),IF(D1153&lt;=19,"L","A"))),IF(OR(B1153="ALI",B1153="AIE"),IF(E1153&gt;=6,IF(D1153&gt;=20,"H","A"),IF(E1153&gt;=2,IF(D1153&gt;=51,"H",IF(D1153&lt;=19,"L","A")),IF(D1153&lt;=50,"L","A"))),""))))</f>
        <v>A</v>
      </c>
      <c r="J1153" s="4" t="str">
        <f t="shared" ref="J1153" si="279">CONCATENATE(B1153,C1153)</f>
        <v>AIEI</v>
      </c>
      <c r="K1153" s="106">
        <f t="shared" ref="K1153" si="280">IF(OR(H1153="",H1153=0),L1153,H1153)</f>
        <v>7</v>
      </c>
      <c r="L1153" s="106">
        <f>IF(NOT(ISERROR(VLOOKUP(B1153,Deflatores!G$42:H$64,2,FALSE))),VLOOKUP(B1153,Deflatores!G$42:H$64,2,FALSE),IF(OR(ISBLANK(C1153),ISBLANK(B1153)),"",VLOOKUP(C1153,Deflatores!G$4:H$38,2,FALSE)*H1153+VLOOKUP(C1153,Deflatores!G$4:I$38,3,FALSE)))</f>
        <v>7</v>
      </c>
      <c r="M1153" s="106"/>
      <c r="N1153" s="106"/>
      <c r="O1153" s="124"/>
    </row>
    <row r="1154" spans="1:15" x14ac:dyDescent="0.25">
      <c r="A1154" s="218" t="s">
        <v>967</v>
      </c>
      <c r="B1154" s="113" t="s">
        <v>50</v>
      </c>
      <c r="C1154" s="113" t="s">
        <v>45</v>
      </c>
      <c r="D1154" s="4">
        <v>20</v>
      </c>
      <c r="E1154" s="4">
        <v>6</v>
      </c>
      <c r="F1154" s="106" t="str">
        <f t="shared" si="269"/>
        <v>Alta</v>
      </c>
      <c r="G1154" s="106" t="str">
        <f t="shared" si="270"/>
        <v>CEH</v>
      </c>
      <c r="H1154" s="4">
        <f t="shared" si="271"/>
        <v>6</v>
      </c>
      <c r="I1154" s="105" t="str">
        <f t="shared" si="272"/>
        <v>H</v>
      </c>
      <c r="J1154" s="4" t="str">
        <f t="shared" si="273"/>
        <v>CEI</v>
      </c>
      <c r="K1154" s="106">
        <f t="shared" si="274"/>
        <v>6</v>
      </c>
      <c r="L1154" s="106">
        <f>IF(NOT(ISERROR(VLOOKUP(B1154,Deflatores!G$42:H$64,2,FALSE))),VLOOKUP(B1154,Deflatores!G$42:H$64,2,FALSE),IF(OR(ISBLANK(C1154),ISBLANK(B1154)),"",VLOOKUP(C1154,Deflatores!G$4:H$38,2,FALSE)*H1154+VLOOKUP(C1154,Deflatores!G$4:I$38,3,FALSE)))</f>
        <v>6</v>
      </c>
      <c r="M1154" s="106"/>
      <c r="N1154" s="106"/>
      <c r="O1154" s="124"/>
    </row>
    <row r="1155" spans="1:15" x14ac:dyDescent="0.25">
      <c r="A1155" s="219" t="s">
        <v>968</v>
      </c>
      <c r="B1155" s="113" t="s">
        <v>50</v>
      </c>
      <c r="C1155" s="113" t="s">
        <v>45</v>
      </c>
      <c r="D1155" s="4">
        <v>3</v>
      </c>
      <c r="E1155" s="4">
        <v>1</v>
      </c>
      <c r="F1155" s="106" t="str">
        <f>IF(ISBLANK(B1155),"",IF(I1155="L","Baixa",IF(I1155="A","Média",IF(I1155="","","Alta"))))</f>
        <v>Baixa</v>
      </c>
      <c r="G1155" s="106" t="str">
        <f>CONCATENATE(B1155,I1155)</f>
        <v>CEL</v>
      </c>
      <c r="H1155" s="4">
        <f>IF(ISBLANK(B1155),"",IF(B1155="ALI",IF(I1155="L",7,IF(I1155="A",10,15)),IF(B1155="AIE",IF(I1155="L",5,IF(I1155="A",7,10)),IF(B1155="SE",IF(I1155="L",4,IF(I1155="A",5,7)),IF(OR(B1155="EE",B1155="CE"),IF(I1155="L",3,IF(I1155="A",4,6)),0)))))</f>
        <v>3</v>
      </c>
      <c r="I1155" s="105" t="str">
        <f>IF(OR(ISBLANK(D1155),ISBLANK(E1155)),IF(OR(B1155="ALI",B1155="AIE"),"L",IF(OR(B1155="EE",B1155="SE",B1155="CE"),"A","")),IF(B1155="EE",IF(E1155&gt;=3,IF(D1155&gt;=5,"H","A"),IF(E1155&gt;=2,IF(D1155&gt;=16,"H",IF(D1155&lt;=4,"L","A")),IF(D1155&lt;=15,"L","A"))),IF(OR(B1155="SE",B1155="CE"),IF(E1155&gt;=4,IF(D1155&gt;=6,"H","A"),IF(E1155&gt;=2,IF(D1155&gt;=20,"H",IF(D1155&lt;=5,"L","A")),IF(D1155&lt;=19,"L","A"))),IF(OR(B1155="ALI",B1155="AIE"),IF(E1155&gt;=6,IF(D1155&gt;=20,"H","A"),IF(E1155&gt;=2,IF(D1155&gt;=51,"H",IF(D1155&lt;=19,"L","A")),IF(D1155&lt;=50,"L","A"))),""))))</f>
        <v>L</v>
      </c>
      <c r="J1155" s="4" t="str">
        <f>CONCATENATE(B1155,C1155)</f>
        <v>CEI</v>
      </c>
      <c r="K1155" s="106">
        <f>IF(OR(H1155="",H1155=0),L1155,H1155)</f>
        <v>3</v>
      </c>
      <c r="L1155" s="106">
        <f>IF(NOT(ISERROR(VLOOKUP(B1155,Deflatores!G$42:H$64,2,FALSE))),VLOOKUP(B1155,Deflatores!G$42:H$64,2,FALSE),IF(OR(ISBLANK(C1155),ISBLANK(B1155)),"",VLOOKUP(C1155,Deflatores!G$4:H$38,2,FALSE)*H1155+VLOOKUP(C1155,Deflatores!G$4:I$38,3,FALSE)))</f>
        <v>3</v>
      </c>
      <c r="M1155" s="106"/>
      <c r="N1155" s="106"/>
      <c r="O1155" s="124"/>
    </row>
    <row r="1156" spans="1:15" x14ac:dyDescent="0.25">
      <c r="A1156" s="219" t="s">
        <v>969</v>
      </c>
      <c r="B1156" s="113" t="s">
        <v>50</v>
      </c>
      <c r="C1156" s="113" t="s">
        <v>45</v>
      </c>
      <c r="D1156" s="4">
        <v>3</v>
      </c>
      <c r="E1156" s="4">
        <v>1</v>
      </c>
      <c r="F1156" s="106" t="str">
        <f>IF(ISBLANK(B1156),"",IF(I1156="L","Baixa",IF(I1156="A","Média",IF(I1156="","","Alta"))))</f>
        <v>Baixa</v>
      </c>
      <c r="G1156" s="106" t="str">
        <f>CONCATENATE(B1156,I1156)</f>
        <v>CEL</v>
      </c>
      <c r="H1156" s="4">
        <f>IF(ISBLANK(B1156),"",IF(B1156="ALI",IF(I1156="L",7,IF(I1156="A",10,15)),IF(B1156="AIE",IF(I1156="L",5,IF(I1156="A",7,10)),IF(B1156="SE",IF(I1156="L",4,IF(I1156="A",5,7)),IF(OR(B1156="EE",B1156="CE"),IF(I1156="L",3,IF(I1156="A",4,6)),0)))))</f>
        <v>3</v>
      </c>
      <c r="I1156" s="105" t="str">
        <f>IF(OR(ISBLANK(D1156),ISBLANK(E1156)),IF(OR(B1156="ALI",B1156="AIE"),"L",IF(OR(B1156="EE",B1156="SE",B1156="CE"),"A","")),IF(B1156="EE",IF(E1156&gt;=3,IF(D1156&gt;=5,"H","A"),IF(E1156&gt;=2,IF(D1156&gt;=16,"H",IF(D1156&lt;=4,"L","A")),IF(D1156&lt;=15,"L","A"))),IF(OR(B1156="SE",B1156="CE"),IF(E1156&gt;=4,IF(D1156&gt;=6,"H","A"),IF(E1156&gt;=2,IF(D1156&gt;=20,"H",IF(D1156&lt;=5,"L","A")),IF(D1156&lt;=19,"L","A"))),IF(OR(B1156="ALI",B1156="AIE"),IF(E1156&gt;=6,IF(D1156&gt;=20,"H","A"),IF(E1156&gt;=2,IF(D1156&gt;=51,"H",IF(D1156&lt;=19,"L","A")),IF(D1156&lt;=50,"L","A"))),""))))</f>
        <v>L</v>
      </c>
      <c r="J1156" s="4" t="str">
        <f>CONCATENATE(B1156,C1156)</f>
        <v>CEI</v>
      </c>
      <c r="K1156" s="106">
        <f>IF(OR(H1156="",H1156=0),L1156,H1156)</f>
        <v>3</v>
      </c>
      <c r="L1156" s="106">
        <f>IF(NOT(ISERROR(VLOOKUP(B1156,Deflatores!G$42:H$64,2,FALSE))),VLOOKUP(B1156,Deflatores!G$42:H$64,2,FALSE),IF(OR(ISBLANK(C1156),ISBLANK(B1156)),"",VLOOKUP(C1156,Deflatores!G$4:H$38,2,FALSE)*H1156+VLOOKUP(C1156,Deflatores!G$4:I$38,3,FALSE)))</f>
        <v>3</v>
      </c>
      <c r="M1156" s="106"/>
      <c r="N1156" s="106"/>
      <c r="O1156" s="124"/>
    </row>
    <row r="1157" spans="1:15" x14ac:dyDescent="0.25">
      <c r="A1157" s="219" t="s">
        <v>970</v>
      </c>
      <c r="B1157" s="113" t="s">
        <v>50</v>
      </c>
      <c r="C1157" s="113" t="s">
        <v>45</v>
      </c>
      <c r="D1157" s="4">
        <v>3</v>
      </c>
      <c r="E1157" s="4">
        <v>1</v>
      </c>
      <c r="F1157" s="106" t="str">
        <f>IF(ISBLANK(B1157),"",IF(I1157="L","Baixa",IF(I1157="A","Média",IF(I1157="","","Alta"))))</f>
        <v>Baixa</v>
      </c>
      <c r="G1157" s="106" t="str">
        <f>CONCATENATE(B1157,I1157)</f>
        <v>CEL</v>
      </c>
      <c r="H1157" s="4">
        <f>IF(ISBLANK(B1157),"",IF(B1157="ALI",IF(I1157="L",7,IF(I1157="A",10,15)),IF(B1157="AIE",IF(I1157="L",5,IF(I1157="A",7,10)),IF(B1157="SE",IF(I1157="L",4,IF(I1157="A",5,7)),IF(OR(B1157="EE",B1157="CE"),IF(I1157="L",3,IF(I1157="A",4,6)),0)))))</f>
        <v>3</v>
      </c>
      <c r="I1157" s="105" t="str">
        <f>IF(OR(ISBLANK(D1157),ISBLANK(E1157)),IF(OR(B1157="ALI",B1157="AIE"),"L",IF(OR(B1157="EE",B1157="SE",B1157="CE"),"A","")),IF(B1157="EE",IF(E1157&gt;=3,IF(D1157&gt;=5,"H","A"),IF(E1157&gt;=2,IF(D1157&gt;=16,"H",IF(D1157&lt;=4,"L","A")),IF(D1157&lt;=15,"L","A"))),IF(OR(B1157="SE",B1157="CE"),IF(E1157&gt;=4,IF(D1157&gt;=6,"H","A"),IF(E1157&gt;=2,IF(D1157&gt;=20,"H",IF(D1157&lt;=5,"L","A")),IF(D1157&lt;=19,"L","A"))),IF(OR(B1157="ALI",B1157="AIE"),IF(E1157&gt;=6,IF(D1157&gt;=20,"H","A"),IF(E1157&gt;=2,IF(D1157&gt;=51,"H",IF(D1157&lt;=19,"L","A")),IF(D1157&lt;=50,"L","A"))),""))))</f>
        <v>L</v>
      </c>
      <c r="J1157" s="4" t="str">
        <f>CONCATENATE(B1157,C1157)</f>
        <v>CEI</v>
      </c>
      <c r="K1157" s="106">
        <f>IF(OR(H1157="",H1157=0),L1157,H1157)</f>
        <v>3</v>
      </c>
      <c r="L1157" s="106">
        <f>IF(NOT(ISERROR(VLOOKUP(B1157,Deflatores!G$42:H$64,2,FALSE))),VLOOKUP(B1157,Deflatores!G$42:H$64,2,FALSE),IF(OR(ISBLANK(C1157),ISBLANK(B1157)),"",VLOOKUP(C1157,Deflatores!G$4:H$38,2,FALSE)*H1157+VLOOKUP(C1157,Deflatores!G$4:I$38,3,FALSE)))</f>
        <v>3</v>
      </c>
      <c r="M1157" s="106"/>
      <c r="N1157" s="106"/>
      <c r="O1157" s="124"/>
    </row>
    <row r="1158" spans="1:15" x14ac:dyDescent="0.25">
      <c r="A1158" s="219" t="s">
        <v>971</v>
      </c>
      <c r="B1158" s="113" t="s">
        <v>50</v>
      </c>
      <c r="C1158" s="113" t="s">
        <v>45</v>
      </c>
      <c r="D1158" s="4">
        <v>4</v>
      </c>
      <c r="E1158" s="4">
        <v>1</v>
      </c>
      <c r="F1158" s="106" t="str">
        <f>IF(ISBLANK(B1158),"",IF(I1158="L","Baixa",IF(I1158="A","Média",IF(I1158="","","Alta"))))</f>
        <v>Baixa</v>
      </c>
      <c r="G1158" s="106" t="str">
        <f>CONCATENATE(B1158,I1158)</f>
        <v>CEL</v>
      </c>
      <c r="H1158" s="4">
        <f>IF(ISBLANK(B1158),"",IF(B1158="ALI",IF(I1158="L",7,IF(I1158="A",10,15)),IF(B1158="AIE",IF(I1158="L",5,IF(I1158="A",7,10)),IF(B1158="SE",IF(I1158="L",4,IF(I1158="A",5,7)),IF(OR(B1158="EE",B1158="CE"),IF(I1158="L",3,IF(I1158="A",4,6)),0)))))</f>
        <v>3</v>
      </c>
      <c r="I1158" s="105" t="str">
        <f>IF(OR(ISBLANK(D1158),ISBLANK(E1158)),IF(OR(B1158="ALI",B1158="AIE"),"L",IF(OR(B1158="EE",B1158="SE",B1158="CE"),"A","")),IF(B1158="EE",IF(E1158&gt;=3,IF(D1158&gt;=5,"H","A"),IF(E1158&gt;=2,IF(D1158&gt;=16,"H",IF(D1158&lt;=4,"L","A")),IF(D1158&lt;=15,"L","A"))),IF(OR(B1158="SE",B1158="CE"),IF(E1158&gt;=4,IF(D1158&gt;=6,"H","A"),IF(E1158&gt;=2,IF(D1158&gt;=20,"H",IF(D1158&lt;=5,"L","A")),IF(D1158&lt;=19,"L","A"))),IF(OR(B1158="ALI",B1158="AIE"),IF(E1158&gt;=6,IF(D1158&gt;=20,"H","A"),IF(E1158&gt;=2,IF(D1158&gt;=51,"H",IF(D1158&lt;=19,"L","A")),IF(D1158&lt;=50,"L","A"))),""))))</f>
        <v>L</v>
      </c>
      <c r="J1158" s="4" t="str">
        <f>CONCATENATE(B1158,C1158)</f>
        <v>CEI</v>
      </c>
      <c r="K1158" s="106">
        <f>IF(OR(H1158="",H1158=0),L1158,H1158)</f>
        <v>3</v>
      </c>
      <c r="L1158" s="106">
        <f>IF(NOT(ISERROR(VLOOKUP(B1158,Deflatores!G$42:H$64,2,FALSE))),VLOOKUP(B1158,Deflatores!G$42:H$64,2,FALSE),IF(OR(ISBLANK(C1158),ISBLANK(B1158)),"",VLOOKUP(C1158,Deflatores!G$4:H$38,2,FALSE)*H1158+VLOOKUP(C1158,Deflatores!G$4:I$38,3,FALSE)))</f>
        <v>3</v>
      </c>
      <c r="M1158" s="106"/>
      <c r="N1158" s="106"/>
      <c r="O1158" s="124"/>
    </row>
    <row r="1159" spans="1:15" x14ac:dyDescent="0.25">
      <c r="A1159" s="218" t="s">
        <v>972</v>
      </c>
      <c r="B1159" s="113" t="s">
        <v>48</v>
      </c>
      <c r="C1159" s="113" t="s">
        <v>45</v>
      </c>
      <c r="D1159" s="4">
        <v>10</v>
      </c>
      <c r="E1159" s="4">
        <v>4</v>
      </c>
      <c r="F1159" s="106" t="str">
        <f t="shared" si="269"/>
        <v>Alta</v>
      </c>
      <c r="G1159" s="106" t="str">
        <f t="shared" si="270"/>
        <v>EEH</v>
      </c>
      <c r="H1159" s="4">
        <f t="shared" si="271"/>
        <v>6</v>
      </c>
      <c r="I1159" s="105" t="str">
        <f t="shared" si="272"/>
        <v>H</v>
      </c>
      <c r="J1159" s="4" t="str">
        <f t="shared" si="273"/>
        <v>EEI</v>
      </c>
      <c r="K1159" s="106">
        <f t="shared" si="274"/>
        <v>6</v>
      </c>
      <c r="L1159" s="106">
        <f>IF(NOT(ISERROR(VLOOKUP(B1159,Deflatores!G$42:H$64,2,FALSE))),VLOOKUP(B1159,Deflatores!G$42:H$64,2,FALSE),IF(OR(ISBLANK(C1159),ISBLANK(B1159)),"",VLOOKUP(C1159,Deflatores!G$4:H$38,2,FALSE)*H1159+VLOOKUP(C1159,Deflatores!G$4:I$38,3,FALSE)))</f>
        <v>6</v>
      </c>
      <c r="M1159" s="106"/>
      <c r="N1159" s="106"/>
      <c r="O1159" s="124"/>
    </row>
    <row r="1160" spans="1:15" x14ac:dyDescent="0.25">
      <c r="A1160" s="112" t="s">
        <v>973</v>
      </c>
      <c r="B1160" s="113" t="s">
        <v>48</v>
      </c>
      <c r="C1160" s="113" t="s">
        <v>45</v>
      </c>
      <c r="D1160" s="4">
        <v>29</v>
      </c>
      <c r="E1160" s="4">
        <v>4</v>
      </c>
      <c r="F1160" s="106" t="str">
        <f t="shared" si="269"/>
        <v>Alta</v>
      </c>
      <c r="G1160" s="106" t="str">
        <f t="shared" si="270"/>
        <v>EEH</v>
      </c>
      <c r="H1160" s="4">
        <f t="shared" si="271"/>
        <v>6</v>
      </c>
      <c r="I1160" s="105" t="str">
        <f t="shared" si="272"/>
        <v>H</v>
      </c>
      <c r="J1160" s="4" t="str">
        <f t="shared" si="273"/>
        <v>EEI</v>
      </c>
      <c r="K1160" s="106">
        <f t="shared" si="274"/>
        <v>6</v>
      </c>
      <c r="L1160" s="106">
        <f>IF(NOT(ISERROR(VLOOKUP(B1160,Deflatores!G$42:H$64,2,FALSE))),VLOOKUP(B1160,Deflatores!G$42:H$64,2,FALSE),IF(OR(ISBLANK(C1160),ISBLANK(B1160)),"",VLOOKUP(C1160,Deflatores!G$4:H$38,2,FALSE)*H1160+VLOOKUP(C1160,Deflatores!G$4:I$38,3,FALSE)))</f>
        <v>6</v>
      </c>
      <c r="M1160" s="106"/>
      <c r="N1160" s="106"/>
      <c r="O1160" s="124"/>
    </row>
    <row r="1161" spans="1:15" x14ac:dyDescent="0.25">
      <c r="A1161" s="114" t="s">
        <v>974</v>
      </c>
      <c r="B1161" s="113" t="s">
        <v>50</v>
      </c>
      <c r="C1161" s="113" t="s">
        <v>45</v>
      </c>
      <c r="D1161" s="4">
        <v>3</v>
      </c>
      <c r="E1161" s="4">
        <v>1</v>
      </c>
      <c r="F1161" s="106" t="str">
        <f t="shared" si="269"/>
        <v>Baixa</v>
      </c>
      <c r="G1161" s="106" t="str">
        <f t="shared" si="270"/>
        <v>CEL</v>
      </c>
      <c r="H1161" s="4">
        <f t="shared" si="271"/>
        <v>3</v>
      </c>
      <c r="I1161" s="105" t="str">
        <f t="shared" si="272"/>
        <v>L</v>
      </c>
      <c r="J1161" s="4" t="str">
        <f t="shared" si="273"/>
        <v>CEI</v>
      </c>
      <c r="K1161" s="106">
        <f t="shared" si="274"/>
        <v>3</v>
      </c>
      <c r="L1161" s="106">
        <f>IF(NOT(ISERROR(VLOOKUP(B1161,Deflatores!G$42:H$64,2,FALSE))),VLOOKUP(B1161,Deflatores!G$42:H$64,2,FALSE),IF(OR(ISBLANK(C1161),ISBLANK(B1161)),"",VLOOKUP(C1161,Deflatores!G$4:H$38,2,FALSE)*H1161+VLOOKUP(C1161,Deflatores!G$4:I$38,3,FALSE)))</f>
        <v>3</v>
      </c>
      <c r="M1161" s="106"/>
      <c r="N1161" s="106"/>
      <c r="O1161" s="124"/>
    </row>
    <row r="1162" spans="1:15" x14ac:dyDescent="0.25">
      <c r="A1162" s="114" t="s">
        <v>975</v>
      </c>
      <c r="B1162" s="113" t="s">
        <v>50</v>
      </c>
      <c r="C1162" s="113" t="s">
        <v>45</v>
      </c>
      <c r="D1162" s="4">
        <v>4</v>
      </c>
      <c r="E1162" s="4">
        <v>1</v>
      </c>
      <c r="F1162" s="106" t="str">
        <f t="shared" si="269"/>
        <v>Baixa</v>
      </c>
      <c r="G1162" s="106" t="str">
        <f t="shared" si="270"/>
        <v>CEL</v>
      </c>
      <c r="H1162" s="4">
        <f t="shared" si="271"/>
        <v>3</v>
      </c>
      <c r="I1162" s="105" t="str">
        <f t="shared" si="272"/>
        <v>L</v>
      </c>
      <c r="J1162" s="4" t="str">
        <f t="shared" si="273"/>
        <v>CEI</v>
      </c>
      <c r="K1162" s="106">
        <f t="shared" si="274"/>
        <v>3</v>
      </c>
      <c r="L1162" s="106">
        <f>IF(NOT(ISERROR(VLOOKUP(B1162,Deflatores!G$42:H$64,2,FALSE))),VLOOKUP(B1162,Deflatores!G$42:H$64,2,FALSE),IF(OR(ISBLANK(C1162),ISBLANK(B1162)),"",VLOOKUP(C1162,Deflatores!G$4:H$38,2,FALSE)*H1162+VLOOKUP(C1162,Deflatores!G$4:I$38,3,FALSE)))</f>
        <v>3</v>
      </c>
      <c r="M1162" s="106"/>
      <c r="N1162" s="106"/>
      <c r="O1162" s="124"/>
    </row>
    <row r="1163" spans="1:15" x14ac:dyDescent="0.25">
      <c r="A1163" s="114" t="s">
        <v>976</v>
      </c>
      <c r="B1163" s="113" t="s">
        <v>50</v>
      </c>
      <c r="C1163" s="113" t="s">
        <v>45</v>
      </c>
      <c r="D1163" s="4">
        <v>4</v>
      </c>
      <c r="E1163" s="4">
        <v>1</v>
      </c>
      <c r="F1163" s="106" t="str">
        <f t="shared" si="269"/>
        <v>Baixa</v>
      </c>
      <c r="G1163" s="106" t="str">
        <f t="shared" si="270"/>
        <v>CEL</v>
      </c>
      <c r="H1163" s="4">
        <f t="shared" si="271"/>
        <v>3</v>
      </c>
      <c r="I1163" s="105" t="str">
        <f t="shared" si="272"/>
        <v>L</v>
      </c>
      <c r="J1163" s="4" t="str">
        <f t="shared" si="273"/>
        <v>CEI</v>
      </c>
      <c r="K1163" s="106">
        <f t="shared" si="274"/>
        <v>3</v>
      </c>
      <c r="L1163" s="106">
        <f>IF(NOT(ISERROR(VLOOKUP(B1163,Deflatores!G$42:H$64,2,FALSE))),VLOOKUP(B1163,Deflatores!G$42:H$64,2,FALSE),IF(OR(ISBLANK(C1163),ISBLANK(B1163)),"",VLOOKUP(C1163,Deflatores!G$4:H$38,2,FALSE)*H1163+VLOOKUP(C1163,Deflatores!G$4:I$38,3,FALSE)))</f>
        <v>3</v>
      </c>
      <c r="M1163" s="106"/>
      <c r="N1163" s="106"/>
      <c r="O1163" s="124"/>
    </row>
    <row r="1164" spans="1:15" x14ac:dyDescent="0.25">
      <c r="A1164" s="114" t="s">
        <v>977</v>
      </c>
      <c r="B1164" s="113" t="s">
        <v>50</v>
      </c>
      <c r="C1164" s="113" t="s">
        <v>45</v>
      </c>
      <c r="D1164" s="4">
        <v>4</v>
      </c>
      <c r="E1164" s="4">
        <v>1</v>
      </c>
      <c r="F1164" s="106" t="str">
        <f t="shared" si="269"/>
        <v>Baixa</v>
      </c>
      <c r="G1164" s="106" t="str">
        <f t="shared" si="270"/>
        <v>CEL</v>
      </c>
      <c r="H1164" s="4">
        <f t="shared" si="271"/>
        <v>3</v>
      </c>
      <c r="I1164" s="105" t="str">
        <f t="shared" si="272"/>
        <v>L</v>
      </c>
      <c r="J1164" s="4" t="str">
        <f t="shared" si="273"/>
        <v>CEI</v>
      </c>
      <c r="K1164" s="106">
        <f t="shared" si="274"/>
        <v>3</v>
      </c>
      <c r="L1164" s="106">
        <f>IF(NOT(ISERROR(VLOOKUP(B1164,Deflatores!G$42:H$64,2,FALSE))),VLOOKUP(B1164,Deflatores!G$42:H$64,2,FALSE),IF(OR(ISBLANK(C1164),ISBLANK(B1164)),"",VLOOKUP(C1164,Deflatores!G$4:H$38,2,FALSE)*H1164+VLOOKUP(C1164,Deflatores!G$4:I$38,3,FALSE)))</f>
        <v>3</v>
      </c>
      <c r="M1164" s="106"/>
      <c r="N1164" s="106"/>
      <c r="O1164" s="124"/>
    </row>
    <row r="1165" spans="1:15" x14ac:dyDescent="0.25">
      <c r="A1165" s="112" t="s">
        <v>978</v>
      </c>
      <c r="B1165" s="113" t="s">
        <v>50</v>
      </c>
      <c r="C1165" s="113" t="s">
        <v>45</v>
      </c>
      <c r="D1165" s="4">
        <v>17</v>
      </c>
      <c r="E1165" s="4">
        <v>2</v>
      </c>
      <c r="F1165" s="106" t="str">
        <f t="shared" si="269"/>
        <v>Média</v>
      </c>
      <c r="G1165" s="106" t="str">
        <f t="shared" si="270"/>
        <v>CEA</v>
      </c>
      <c r="H1165" s="4">
        <f t="shared" si="271"/>
        <v>4</v>
      </c>
      <c r="I1165" s="105" t="str">
        <f t="shared" si="272"/>
        <v>A</v>
      </c>
      <c r="J1165" s="4" t="str">
        <f t="shared" si="273"/>
        <v>CEI</v>
      </c>
      <c r="K1165" s="106">
        <f t="shared" si="274"/>
        <v>4</v>
      </c>
      <c r="L1165" s="106">
        <f>IF(NOT(ISERROR(VLOOKUP(B1165,Deflatores!G$42:H$64,2,FALSE))),VLOOKUP(B1165,Deflatores!G$42:H$64,2,FALSE),IF(OR(ISBLANK(C1165),ISBLANK(B1165)),"",VLOOKUP(C1165,Deflatores!G$4:H$38,2,FALSE)*H1165+VLOOKUP(C1165,Deflatores!G$4:I$38,3,FALSE)))</f>
        <v>4</v>
      </c>
      <c r="M1165" s="106"/>
      <c r="N1165" s="106"/>
      <c r="O1165" s="124"/>
    </row>
    <row r="1166" spans="1:15" x14ac:dyDescent="0.25">
      <c r="A1166" s="112" t="s">
        <v>979</v>
      </c>
      <c r="B1166" s="113" t="s">
        <v>48</v>
      </c>
      <c r="C1166" s="113" t="s">
        <v>45</v>
      </c>
      <c r="D1166" s="4">
        <v>31</v>
      </c>
      <c r="E1166" s="4">
        <v>5</v>
      </c>
      <c r="F1166" s="106" t="str">
        <f t="shared" si="269"/>
        <v>Alta</v>
      </c>
      <c r="G1166" s="106" t="str">
        <f t="shared" si="270"/>
        <v>EEH</v>
      </c>
      <c r="H1166" s="4">
        <f t="shared" si="271"/>
        <v>6</v>
      </c>
      <c r="I1166" s="105" t="str">
        <f t="shared" si="272"/>
        <v>H</v>
      </c>
      <c r="J1166" s="4" t="str">
        <f t="shared" si="273"/>
        <v>EEI</v>
      </c>
      <c r="K1166" s="106">
        <f t="shared" si="274"/>
        <v>6</v>
      </c>
      <c r="L1166" s="106">
        <f>IF(NOT(ISERROR(VLOOKUP(B1166,Deflatores!G$42:H$64,2,FALSE))),VLOOKUP(B1166,Deflatores!G$42:H$64,2,FALSE),IF(OR(ISBLANK(C1166),ISBLANK(B1166)),"",VLOOKUP(C1166,Deflatores!G$4:H$38,2,FALSE)*H1166+VLOOKUP(C1166,Deflatores!G$4:I$38,3,FALSE)))</f>
        <v>6</v>
      </c>
      <c r="M1166" s="106"/>
      <c r="N1166" s="106"/>
      <c r="O1166" s="124"/>
    </row>
    <row r="1167" spans="1:15" x14ac:dyDescent="0.25">
      <c r="A1167" s="114" t="s">
        <v>980</v>
      </c>
      <c r="B1167" s="113" t="s">
        <v>50</v>
      </c>
      <c r="C1167" s="113" t="s">
        <v>45</v>
      </c>
      <c r="D1167" s="4">
        <v>29</v>
      </c>
      <c r="E1167" s="4">
        <v>5</v>
      </c>
      <c r="F1167" s="106" t="str">
        <f t="shared" si="269"/>
        <v>Alta</v>
      </c>
      <c r="G1167" s="106" t="str">
        <f t="shared" si="270"/>
        <v>CEH</v>
      </c>
      <c r="H1167" s="4">
        <f t="shared" si="271"/>
        <v>6</v>
      </c>
      <c r="I1167" s="105" t="str">
        <f t="shared" si="272"/>
        <v>H</v>
      </c>
      <c r="J1167" s="4" t="str">
        <f t="shared" si="273"/>
        <v>CEI</v>
      </c>
      <c r="K1167" s="106">
        <f t="shared" si="274"/>
        <v>6</v>
      </c>
      <c r="L1167" s="106">
        <f>IF(NOT(ISERROR(VLOOKUP(B1167,Deflatores!G$42:H$64,2,FALSE))),VLOOKUP(B1167,Deflatores!G$42:H$64,2,FALSE),IF(OR(ISBLANK(C1167),ISBLANK(B1167)),"",VLOOKUP(C1167,Deflatores!G$4:H$38,2,FALSE)*H1167+VLOOKUP(C1167,Deflatores!G$4:I$38,3,FALSE)))</f>
        <v>6</v>
      </c>
      <c r="M1167" s="106"/>
      <c r="N1167" s="106"/>
      <c r="O1167" s="124"/>
    </row>
    <row r="1168" spans="1:15" x14ac:dyDescent="0.25">
      <c r="A1168" s="112" t="s">
        <v>981</v>
      </c>
      <c r="B1168" s="113" t="s">
        <v>50</v>
      </c>
      <c r="C1168" s="113" t="s">
        <v>45</v>
      </c>
      <c r="D1168" s="4">
        <v>31</v>
      </c>
      <c r="E1168" s="4">
        <v>5</v>
      </c>
      <c r="F1168" s="106" t="str">
        <f t="shared" si="269"/>
        <v>Alta</v>
      </c>
      <c r="G1168" s="106" t="str">
        <f t="shared" si="270"/>
        <v>CEH</v>
      </c>
      <c r="H1168" s="4">
        <f t="shared" si="271"/>
        <v>6</v>
      </c>
      <c r="I1168" s="105" t="str">
        <f t="shared" si="272"/>
        <v>H</v>
      </c>
      <c r="J1168" s="4" t="str">
        <f t="shared" si="273"/>
        <v>CEI</v>
      </c>
      <c r="K1168" s="106">
        <f t="shared" si="274"/>
        <v>6</v>
      </c>
      <c r="L1168" s="106">
        <f>IF(NOT(ISERROR(VLOOKUP(B1168,Deflatores!G$42:H$64,2,FALSE))),VLOOKUP(B1168,Deflatores!G$42:H$64,2,FALSE),IF(OR(ISBLANK(C1168),ISBLANK(B1168)),"",VLOOKUP(C1168,Deflatores!G$4:H$38,2,FALSE)*H1168+VLOOKUP(C1168,Deflatores!G$4:I$38,3,FALSE)))</f>
        <v>6</v>
      </c>
      <c r="M1168" s="106"/>
      <c r="N1168" s="106"/>
      <c r="O1168" s="124"/>
    </row>
    <row r="1169" spans="1:15" x14ac:dyDescent="0.25">
      <c r="A1169" s="112" t="s">
        <v>982</v>
      </c>
      <c r="B1169" s="113" t="s">
        <v>48</v>
      </c>
      <c r="C1169" s="113" t="s">
        <v>45</v>
      </c>
      <c r="D1169" s="4">
        <v>9</v>
      </c>
      <c r="E1169" s="4">
        <v>4</v>
      </c>
      <c r="F1169" s="106" t="str">
        <f t="shared" si="269"/>
        <v>Alta</v>
      </c>
      <c r="G1169" s="106" t="str">
        <f t="shared" si="270"/>
        <v>EEH</v>
      </c>
      <c r="H1169" s="4">
        <f t="shared" si="271"/>
        <v>6</v>
      </c>
      <c r="I1169" s="105" t="str">
        <f t="shared" si="272"/>
        <v>H</v>
      </c>
      <c r="J1169" s="4" t="str">
        <f t="shared" si="273"/>
        <v>EEI</v>
      </c>
      <c r="K1169" s="106">
        <f t="shared" si="274"/>
        <v>6</v>
      </c>
      <c r="L1169" s="106">
        <f>IF(NOT(ISERROR(VLOOKUP(B1169,Deflatores!G$42:H$64,2,FALSE))),VLOOKUP(B1169,Deflatores!G$42:H$64,2,FALSE),IF(OR(ISBLANK(C1169),ISBLANK(B1169)),"",VLOOKUP(C1169,Deflatores!G$4:H$38,2,FALSE)*H1169+VLOOKUP(C1169,Deflatores!G$4:I$38,3,FALSE)))</f>
        <v>6</v>
      </c>
      <c r="M1169" s="106"/>
      <c r="N1169" s="106"/>
      <c r="O1169" s="124"/>
    </row>
    <row r="1170" spans="1:15" x14ac:dyDescent="0.25">
      <c r="A1170" s="112" t="s">
        <v>983</v>
      </c>
      <c r="B1170" s="113" t="s">
        <v>50</v>
      </c>
      <c r="C1170" s="113" t="s">
        <v>45</v>
      </c>
      <c r="D1170" s="4">
        <v>10</v>
      </c>
      <c r="E1170" s="4">
        <v>2</v>
      </c>
      <c r="F1170" s="106" t="str">
        <f t="shared" ref="F1170:F1175" si="281">IF(ISBLANK(B1170),"",IF(I1170="L","Baixa",IF(I1170="A","Média",IF(I1170="","","Alta"))))</f>
        <v>Média</v>
      </c>
      <c r="G1170" s="106" t="str">
        <f t="shared" ref="G1170:G1175" si="282">CONCATENATE(B1170,I1170)</f>
        <v>CEA</v>
      </c>
      <c r="H1170" s="4">
        <f t="shared" ref="H1170:H1175" si="283">IF(ISBLANK(B1170),"",IF(B1170="ALI",IF(I1170="L",7,IF(I1170="A",10,15)),IF(B1170="AIE",IF(I1170="L",5,IF(I1170="A",7,10)),IF(B1170="SE",IF(I1170="L",4,IF(I1170="A",5,7)),IF(OR(B1170="EE",B1170="CE"),IF(I1170="L",3,IF(I1170="A",4,6)),0)))))</f>
        <v>4</v>
      </c>
      <c r="I1170" s="105" t="str">
        <f t="shared" ref="I1170:I1175" si="284">IF(OR(ISBLANK(D1170),ISBLANK(E1170)),IF(OR(B1170="ALI",B1170="AIE"),"L",IF(OR(B1170="EE",B1170="SE",B1170="CE"),"A","")),IF(B1170="EE",IF(E1170&gt;=3,IF(D1170&gt;=5,"H","A"),IF(E1170&gt;=2,IF(D1170&gt;=16,"H",IF(D1170&lt;=4,"L","A")),IF(D1170&lt;=15,"L","A"))),IF(OR(B1170="SE",B1170="CE"),IF(E1170&gt;=4,IF(D1170&gt;=6,"H","A"),IF(E1170&gt;=2,IF(D1170&gt;=20,"H",IF(D1170&lt;=5,"L","A")),IF(D1170&lt;=19,"L","A"))),IF(OR(B1170="ALI",B1170="AIE"),IF(E1170&gt;=6,IF(D1170&gt;=20,"H","A"),IF(E1170&gt;=2,IF(D1170&gt;=51,"H",IF(D1170&lt;=19,"L","A")),IF(D1170&lt;=50,"L","A"))),""))))</f>
        <v>A</v>
      </c>
      <c r="J1170" s="4" t="str">
        <f t="shared" ref="J1170:J1175" si="285">CONCATENATE(B1170,C1170)</f>
        <v>CEI</v>
      </c>
      <c r="K1170" s="106">
        <f t="shared" ref="K1170:K1175" si="286">IF(OR(H1170="",H1170=0),L1170,H1170)</f>
        <v>4</v>
      </c>
      <c r="L1170" s="106">
        <f>IF(NOT(ISERROR(VLOOKUP(B1170,Deflatores!G$42:H$64,2,FALSE))),VLOOKUP(B1170,Deflatores!G$42:H$64,2,FALSE),IF(OR(ISBLANK(C1170),ISBLANK(B1170)),"",VLOOKUP(C1170,Deflatores!G$4:H$38,2,FALSE)*H1170+VLOOKUP(C1170,Deflatores!G$4:I$38,3,FALSE)))</f>
        <v>4</v>
      </c>
      <c r="M1170" s="106"/>
      <c r="N1170" s="106"/>
      <c r="O1170" s="124"/>
    </row>
    <row r="1171" spans="1:15" x14ac:dyDescent="0.25">
      <c r="A1171" s="112" t="s">
        <v>984</v>
      </c>
      <c r="B1171" s="113" t="s">
        <v>48</v>
      </c>
      <c r="C1171" s="113" t="s">
        <v>45</v>
      </c>
      <c r="D1171" s="4">
        <v>9</v>
      </c>
      <c r="E1171" s="4">
        <v>2</v>
      </c>
      <c r="F1171" s="106" t="str">
        <f t="shared" si="281"/>
        <v>Média</v>
      </c>
      <c r="G1171" s="106" t="str">
        <f t="shared" si="282"/>
        <v>EEA</v>
      </c>
      <c r="H1171" s="4">
        <f t="shared" si="283"/>
        <v>4</v>
      </c>
      <c r="I1171" s="105" t="str">
        <f t="shared" si="284"/>
        <v>A</v>
      </c>
      <c r="J1171" s="4" t="str">
        <f t="shared" si="285"/>
        <v>EEI</v>
      </c>
      <c r="K1171" s="106">
        <f t="shared" si="286"/>
        <v>4</v>
      </c>
      <c r="L1171" s="106">
        <f>IF(NOT(ISERROR(VLOOKUP(B1171,Deflatores!G$42:H$64,2,FALSE))),VLOOKUP(B1171,Deflatores!G$42:H$64,2,FALSE),IF(OR(ISBLANK(C1171),ISBLANK(B1171)),"",VLOOKUP(C1171,Deflatores!G$4:H$38,2,FALSE)*H1171+VLOOKUP(C1171,Deflatores!G$4:I$38,3,FALSE)))</f>
        <v>4</v>
      </c>
      <c r="M1171" s="106"/>
      <c r="N1171" s="106"/>
      <c r="O1171" s="124"/>
    </row>
    <row r="1172" spans="1:15" x14ac:dyDescent="0.25">
      <c r="A1172" s="112" t="s">
        <v>985</v>
      </c>
      <c r="B1172" s="113" t="s">
        <v>48</v>
      </c>
      <c r="C1172" s="113" t="s">
        <v>45</v>
      </c>
      <c r="D1172" s="4">
        <v>11</v>
      </c>
      <c r="E1172" s="4">
        <v>2</v>
      </c>
      <c r="F1172" s="106" t="str">
        <f t="shared" si="281"/>
        <v>Média</v>
      </c>
      <c r="G1172" s="106" t="str">
        <f t="shared" si="282"/>
        <v>EEA</v>
      </c>
      <c r="H1172" s="4">
        <f t="shared" si="283"/>
        <v>4</v>
      </c>
      <c r="I1172" s="105" t="str">
        <f t="shared" si="284"/>
        <v>A</v>
      </c>
      <c r="J1172" s="4" t="str">
        <f t="shared" si="285"/>
        <v>EEI</v>
      </c>
      <c r="K1172" s="106">
        <f t="shared" si="286"/>
        <v>4</v>
      </c>
      <c r="L1172" s="106">
        <f>IF(NOT(ISERROR(VLOOKUP(B1172,Deflatores!G$42:H$64,2,FALSE))),VLOOKUP(B1172,Deflatores!G$42:H$64,2,FALSE),IF(OR(ISBLANK(C1172),ISBLANK(B1172)),"",VLOOKUP(C1172,Deflatores!G$4:H$38,2,FALSE)*H1172+VLOOKUP(C1172,Deflatores!G$4:I$38,3,FALSE)))</f>
        <v>4</v>
      </c>
      <c r="M1172" s="106"/>
      <c r="N1172" s="106"/>
      <c r="O1172" s="124"/>
    </row>
    <row r="1173" spans="1:15" x14ac:dyDescent="0.25">
      <c r="A1173" s="114" t="s">
        <v>986</v>
      </c>
      <c r="B1173" s="113" t="s">
        <v>50</v>
      </c>
      <c r="C1173" s="113" t="s">
        <v>45</v>
      </c>
      <c r="D1173" s="4">
        <v>11</v>
      </c>
      <c r="E1173" s="4">
        <v>2</v>
      </c>
      <c r="F1173" s="106" t="str">
        <f t="shared" si="281"/>
        <v>Média</v>
      </c>
      <c r="G1173" s="106" t="str">
        <f t="shared" si="282"/>
        <v>CEA</v>
      </c>
      <c r="H1173" s="4">
        <f t="shared" si="283"/>
        <v>4</v>
      </c>
      <c r="I1173" s="105" t="str">
        <f t="shared" si="284"/>
        <v>A</v>
      </c>
      <c r="J1173" s="4" t="str">
        <f t="shared" si="285"/>
        <v>CEI</v>
      </c>
      <c r="K1173" s="106">
        <f t="shared" si="286"/>
        <v>4</v>
      </c>
      <c r="L1173" s="106">
        <f>IF(NOT(ISERROR(VLOOKUP(B1173,Deflatores!G$42:H$64,2,FALSE))),VLOOKUP(B1173,Deflatores!G$42:H$64,2,FALSE),IF(OR(ISBLANK(C1173),ISBLANK(B1173)),"",VLOOKUP(C1173,Deflatores!G$4:H$38,2,FALSE)*H1173+VLOOKUP(C1173,Deflatores!G$4:I$38,3,FALSE)))</f>
        <v>4</v>
      </c>
      <c r="M1173" s="106"/>
      <c r="N1173" s="106"/>
      <c r="O1173" s="124"/>
    </row>
    <row r="1174" spans="1:15" x14ac:dyDescent="0.25">
      <c r="A1174" s="112" t="s">
        <v>987</v>
      </c>
      <c r="B1174" s="113" t="s">
        <v>50</v>
      </c>
      <c r="C1174" s="113" t="s">
        <v>45</v>
      </c>
      <c r="D1174" s="4">
        <v>11</v>
      </c>
      <c r="E1174" s="4">
        <v>2</v>
      </c>
      <c r="F1174" s="106" t="str">
        <f t="shared" si="281"/>
        <v>Média</v>
      </c>
      <c r="G1174" s="106" t="str">
        <f t="shared" si="282"/>
        <v>CEA</v>
      </c>
      <c r="H1174" s="4">
        <f t="shared" si="283"/>
        <v>4</v>
      </c>
      <c r="I1174" s="105" t="str">
        <f t="shared" si="284"/>
        <v>A</v>
      </c>
      <c r="J1174" s="4" t="str">
        <f t="shared" si="285"/>
        <v>CEI</v>
      </c>
      <c r="K1174" s="106">
        <f t="shared" si="286"/>
        <v>4</v>
      </c>
      <c r="L1174" s="106">
        <f>IF(NOT(ISERROR(VLOOKUP(B1174,Deflatores!G$42:H$64,2,FALSE))),VLOOKUP(B1174,Deflatores!G$42:H$64,2,FALSE),IF(OR(ISBLANK(C1174),ISBLANK(B1174)),"",VLOOKUP(C1174,Deflatores!G$4:H$38,2,FALSE)*H1174+VLOOKUP(C1174,Deflatores!G$4:I$38,3,FALSE)))</f>
        <v>4</v>
      </c>
      <c r="M1174" s="106"/>
      <c r="N1174" s="106"/>
      <c r="O1174" s="124"/>
    </row>
    <row r="1175" spans="1:15" x14ac:dyDescent="0.25">
      <c r="A1175" s="112" t="s">
        <v>988</v>
      </c>
      <c r="B1175" s="113" t="s">
        <v>48</v>
      </c>
      <c r="C1175" s="113" t="s">
        <v>45</v>
      </c>
      <c r="D1175" s="4">
        <v>4</v>
      </c>
      <c r="E1175" s="4">
        <v>2</v>
      </c>
      <c r="F1175" s="106" t="str">
        <f t="shared" si="281"/>
        <v>Baixa</v>
      </c>
      <c r="G1175" s="106" t="str">
        <f t="shared" si="282"/>
        <v>EEL</v>
      </c>
      <c r="H1175" s="4">
        <f t="shared" si="283"/>
        <v>3</v>
      </c>
      <c r="I1175" s="105" t="str">
        <f t="shared" si="284"/>
        <v>L</v>
      </c>
      <c r="J1175" s="4" t="str">
        <f t="shared" si="285"/>
        <v>EEI</v>
      </c>
      <c r="K1175" s="106">
        <f t="shared" si="286"/>
        <v>3</v>
      </c>
      <c r="L1175" s="106">
        <f>IF(NOT(ISERROR(VLOOKUP(B1175,Deflatores!G$42:H$64,2,FALSE))),VLOOKUP(B1175,Deflatores!G$42:H$64,2,FALSE),IF(OR(ISBLANK(C1175),ISBLANK(B1175)),"",VLOOKUP(C1175,Deflatores!G$4:H$38,2,FALSE)*H1175+VLOOKUP(C1175,Deflatores!G$4:I$38,3,FALSE)))</f>
        <v>3</v>
      </c>
      <c r="M1175" s="106"/>
      <c r="N1175" s="106"/>
      <c r="O1175" s="124"/>
    </row>
    <row r="1176" spans="1:15" x14ac:dyDescent="0.25">
      <c r="A1176" s="112" t="s">
        <v>989</v>
      </c>
      <c r="B1176" s="113" t="s">
        <v>48</v>
      </c>
      <c r="C1176" s="113" t="s">
        <v>45</v>
      </c>
      <c r="D1176" s="4">
        <v>6</v>
      </c>
      <c r="E1176" s="4">
        <v>1</v>
      </c>
      <c r="F1176" s="106" t="str">
        <f t="shared" ref="F1176:F1179" si="287">IF(ISBLANK(B1176),"",IF(I1176="L","Baixa",IF(I1176="A","Média",IF(I1176="","","Alta"))))</f>
        <v>Baixa</v>
      </c>
      <c r="G1176" s="106" t="str">
        <f t="shared" ref="G1176:G1179" si="288">CONCATENATE(B1176,I1176)</f>
        <v>EEL</v>
      </c>
      <c r="H1176" s="4">
        <f t="shared" ref="H1176:H1179" si="289">IF(ISBLANK(B1176),"",IF(B1176="ALI",IF(I1176="L",7,IF(I1176="A",10,15)),IF(B1176="AIE",IF(I1176="L",5,IF(I1176="A",7,10)),IF(B1176="SE",IF(I1176="L",4,IF(I1176="A",5,7)),IF(OR(B1176="EE",B1176="CE"),IF(I1176="L",3,IF(I1176="A",4,6)),0)))))</f>
        <v>3</v>
      </c>
      <c r="I1176" s="105" t="str">
        <f t="shared" ref="I1176:I1179" si="290">IF(OR(ISBLANK(D1176),ISBLANK(E1176)),IF(OR(B1176="ALI",B1176="AIE"),"L",IF(OR(B1176="EE",B1176="SE",B1176="CE"),"A","")),IF(B1176="EE",IF(E1176&gt;=3,IF(D1176&gt;=5,"H","A"),IF(E1176&gt;=2,IF(D1176&gt;=16,"H",IF(D1176&lt;=4,"L","A")),IF(D1176&lt;=15,"L","A"))),IF(OR(B1176="SE",B1176="CE"),IF(E1176&gt;=4,IF(D1176&gt;=6,"H","A"),IF(E1176&gt;=2,IF(D1176&gt;=20,"H",IF(D1176&lt;=5,"L","A")),IF(D1176&lt;=19,"L","A"))),IF(OR(B1176="ALI",B1176="AIE"),IF(E1176&gt;=6,IF(D1176&gt;=20,"H","A"),IF(E1176&gt;=2,IF(D1176&gt;=51,"H",IF(D1176&lt;=19,"L","A")),IF(D1176&lt;=50,"L","A"))),""))))</f>
        <v>L</v>
      </c>
      <c r="J1176" s="4" t="str">
        <f t="shared" ref="J1176:J1179" si="291">CONCATENATE(B1176,C1176)</f>
        <v>EEI</v>
      </c>
      <c r="K1176" s="106">
        <f t="shared" ref="K1176:K1179" si="292">IF(OR(H1176="",H1176=0),L1176,H1176)</f>
        <v>3</v>
      </c>
      <c r="L1176" s="106">
        <f>IF(NOT(ISERROR(VLOOKUP(B1176,Deflatores!G$42:H$64,2,FALSE))),VLOOKUP(B1176,Deflatores!G$42:H$64,2,FALSE),IF(OR(ISBLANK(C1176),ISBLANK(B1176)),"",VLOOKUP(C1176,Deflatores!G$4:H$38,2,FALSE)*H1176+VLOOKUP(C1176,Deflatores!G$4:I$38,3,FALSE)))</f>
        <v>3</v>
      </c>
      <c r="M1176" s="106"/>
      <c r="N1176" s="106"/>
      <c r="O1176" s="124"/>
    </row>
    <row r="1177" spans="1:15" x14ac:dyDescent="0.25">
      <c r="A1177" s="112" t="s">
        <v>990</v>
      </c>
      <c r="B1177" s="113" t="s">
        <v>48</v>
      </c>
      <c r="C1177" s="113" t="s">
        <v>45</v>
      </c>
      <c r="D1177" s="4">
        <v>3</v>
      </c>
      <c r="E1177" s="4">
        <v>1</v>
      </c>
      <c r="F1177" s="106" t="str">
        <f t="shared" si="287"/>
        <v>Baixa</v>
      </c>
      <c r="G1177" s="106" t="str">
        <f t="shared" si="288"/>
        <v>EEL</v>
      </c>
      <c r="H1177" s="4">
        <f t="shared" si="289"/>
        <v>3</v>
      </c>
      <c r="I1177" s="105" t="str">
        <f t="shared" si="290"/>
        <v>L</v>
      </c>
      <c r="J1177" s="4" t="str">
        <f t="shared" si="291"/>
        <v>EEI</v>
      </c>
      <c r="K1177" s="106">
        <f t="shared" si="292"/>
        <v>3</v>
      </c>
      <c r="L1177" s="106">
        <f>IF(NOT(ISERROR(VLOOKUP(B1177,Deflatores!G$42:H$64,2,FALSE))),VLOOKUP(B1177,Deflatores!G$42:H$64,2,FALSE),IF(OR(ISBLANK(C1177),ISBLANK(B1177)),"",VLOOKUP(C1177,Deflatores!G$4:H$38,2,FALSE)*H1177+VLOOKUP(C1177,Deflatores!G$4:I$38,3,FALSE)))</f>
        <v>3</v>
      </c>
      <c r="M1177" s="106"/>
      <c r="N1177" s="106"/>
      <c r="O1177" s="124"/>
    </row>
    <row r="1178" spans="1:15" x14ac:dyDescent="0.25">
      <c r="A1178" s="112" t="s">
        <v>991</v>
      </c>
      <c r="B1178" s="113" t="s">
        <v>48</v>
      </c>
      <c r="C1178" s="113" t="s">
        <v>45</v>
      </c>
      <c r="D1178" s="4">
        <v>3</v>
      </c>
      <c r="E1178" s="4">
        <v>1</v>
      </c>
      <c r="F1178" s="106" t="str">
        <f t="shared" si="287"/>
        <v>Baixa</v>
      </c>
      <c r="G1178" s="106" t="str">
        <f t="shared" si="288"/>
        <v>EEL</v>
      </c>
      <c r="H1178" s="4">
        <f t="shared" si="289"/>
        <v>3</v>
      </c>
      <c r="I1178" s="105" t="str">
        <f t="shared" si="290"/>
        <v>L</v>
      </c>
      <c r="J1178" s="4" t="str">
        <f t="shared" si="291"/>
        <v>EEI</v>
      </c>
      <c r="K1178" s="106">
        <f t="shared" si="292"/>
        <v>3</v>
      </c>
      <c r="L1178" s="106">
        <f>IF(NOT(ISERROR(VLOOKUP(B1178,Deflatores!G$42:H$64,2,FALSE))),VLOOKUP(B1178,Deflatores!G$42:H$64,2,FALSE),IF(OR(ISBLANK(C1178),ISBLANK(B1178)),"",VLOOKUP(C1178,Deflatores!G$4:H$38,2,FALSE)*H1178+VLOOKUP(C1178,Deflatores!G$4:I$38,3,FALSE)))</f>
        <v>3</v>
      </c>
      <c r="M1178" s="106"/>
      <c r="N1178" s="106"/>
      <c r="O1178" s="124"/>
    </row>
    <row r="1179" spans="1:15" x14ac:dyDescent="0.25">
      <c r="A1179" s="112" t="s">
        <v>992</v>
      </c>
      <c r="B1179" s="113" t="s">
        <v>48</v>
      </c>
      <c r="C1179" s="113" t="s">
        <v>45</v>
      </c>
      <c r="D1179" s="4">
        <v>3</v>
      </c>
      <c r="E1179" s="4">
        <v>1</v>
      </c>
      <c r="F1179" s="106" t="str">
        <f t="shared" si="287"/>
        <v>Baixa</v>
      </c>
      <c r="G1179" s="106" t="str">
        <f t="shared" si="288"/>
        <v>EEL</v>
      </c>
      <c r="H1179" s="4">
        <f t="shared" si="289"/>
        <v>3</v>
      </c>
      <c r="I1179" s="105" t="str">
        <f t="shared" si="290"/>
        <v>L</v>
      </c>
      <c r="J1179" s="4" t="str">
        <f t="shared" si="291"/>
        <v>EEI</v>
      </c>
      <c r="K1179" s="106">
        <f t="shared" si="292"/>
        <v>3</v>
      </c>
      <c r="L1179" s="106">
        <f>IF(NOT(ISERROR(VLOOKUP(B1179,Deflatores!G$42:H$64,2,FALSE))),VLOOKUP(B1179,Deflatores!G$42:H$64,2,FALSE),IF(OR(ISBLANK(C1179),ISBLANK(B1179)),"",VLOOKUP(C1179,Deflatores!G$4:H$38,2,FALSE)*H1179+VLOOKUP(C1179,Deflatores!G$4:I$38,3,FALSE)))</f>
        <v>3</v>
      </c>
      <c r="M1179" s="106"/>
      <c r="N1179" s="106"/>
      <c r="O1179" s="124"/>
    </row>
    <row r="1180" spans="1:15" x14ac:dyDescent="0.25">
      <c r="A1180" s="112"/>
      <c r="B1180" s="113"/>
      <c r="C1180" s="113"/>
      <c r="D1180" s="4"/>
      <c r="E1180" s="4"/>
      <c r="F1180" s="106"/>
      <c r="G1180" s="106"/>
      <c r="H1180" s="4"/>
      <c r="I1180" s="105"/>
      <c r="J1180" s="4"/>
      <c r="K1180" s="106"/>
      <c r="L1180" s="106"/>
      <c r="M1180" s="106"/>
      <c r="N1180" s="106"/>
      <c r="O1180" s="124"/>
    </row>
    <row r="1181" spans="1:15" x14ac:dyDescent="0.25">
      <c r="A1181" s="112"/>
      <c r="B1181" s="113"/>
      <c r="C1181" s="113"/>
      <c r="D1181" s="4"/>
      <c r="E1181" s="4"/>
      <c r="F1181" s="106" t="str">
        <f t="shared" si="269"/>
        <v/>
      </c>
      <c r="G1181" s="106" t="str">
        <f t="shared" si="270"/>
        <v/>
      </c>
      <c r="H1181" s="4" t="str">
        <f t="shared" si="271"/>
        <v/>
      </c>
      <c r="I1181" s="105" t="str">
        <f t="shared" si="272"/>
        <v/>
      </c>
      <c r="J1181" s="4" t="str">
        <f t="shared" si="273"/>
        <v/>
      </c>
      <c r="K1181" s="106" t="str">
        <f t="shared" si="274"/>
        <v/>
      </c>
      <c r="L1181" s="106" t="str">
        <f>IF(NOT(ISERROR(VLOOKUP(B1181,Deflatores!G$42:H$64,2,FALSE))),VLOOKUP(B1181,Deflatores!G$42:H$64,2,FALSE),IF(OR(ISBLANK(C1181),ISBLANK(B1181)),"",VLOOKUP(C1181,Deflatores!G$4:H$38,2,FALSE)*H1181+VLOOKUP(C1181,Deflatores!G$4:I$38,3,FALSE)))</f>
        <v/>
      </c>
      <c r="M1181" s="106"/>
      <c r="N1181" s="106"/>
      <c r="O1181" s="124"/>
    </row>
    <row r="1182" spans="1:15" x14ac:dyDescent="0.25">
      <c r="A1182" s="115" t="s">
        <v>993</v>
      </c>
      <c r="B1182" s="113"/>
      <c r="C1182" s="113"/>
      <c r="D1182" s="4"/>
      <c r="E1182" s="4"/>
      <c r="F1182" s="106" t="str">
        <f t="shared" si="269"/>
        <v/>
      </c>
      <c r="G1182" s="106" t="str">
        <f t="shared" si="270"/>
        <v/>
      </c>
      <c r="H1182" s="4" t="str">
        <f t="shared" si="271"/>
        <v/>
      </c>
      <c r="I1182" s="105" t="str">
        <f t="shared" si="272"/>
        <v/>
      </c>
      <c r="J1182" s="4" t="str">
        <f t="shared" si="273"/>
        <v/>
      </c>
      <c r="K1182" s="106" t="str">
        <f t="shared" si="274"/>
        <v/>
      </c>
      <c r="L1182" s="106" t="str">
        <f>IF(NOT(ISERROR(VLOOKUP(B1182,Deflatores!G$42:H$64,2,FALSE))),VLOOKUP(B1182,Deflatores!G$42:H$64,2,FALSE),IF(OR(ISBLANK(C1182),ISBLANK(B1182)),"",VLOOKUP(C1182,Deflatores!G$4:H$38,2,FALSE)*H1182+VLOOKUP(C1182,Deflatores!G$4:I$38,3,FALSE)))</f>
        <v/>
      </c>
      <c r="M1182" s="106"/>
      <c r="N1182" s="106"/>
      <c r="O1182" s="130"/>
    </row>
    <row r="1183" spans="1:15" x14ac:dyDescent="0.25">
      <c r="A1183" s="112" t="s">
        <v>994</v>
      </c>
      <c r="B1183" s="113" t="s">
        <v>50</v>
      </c>
      <c r="C1183" s="113" t="s">
        <v>45</v>
      </c>
      <c r="D1183" s="4">
        <v>8</v>
      </c>
      <c r="E1183" s="4">
        <v>2</v>
      </c>
      <c r="F1183" s="106" t="str">
        <f t="shared" si="269"/>
        <v>Média</v>
      </c>
      <c r="G1183" s="106" t="str">
        <f t="shared" si="270"/>
        <v>CEA</v>
      </c>
      <c r="H1183" s="4">
        <f t="shared" si="271"/>
        <v>4</v>
      </c>
      <c r="I1183" s="105" t="str">
        <f t="shared" si="272"/>
        <v>A</v>
      </c>
      <c r="J1183" s="4" t="str">
        <f t="shared" si="273"/>
        <v>CEI</v>
      </c>
      <c r="K1183" s="106">
        <f t="shared" si="274"/>
        <v>4</v>
      </c>
      <c r="L1183" s="106">
        <f>IF(NOT(ISERROR(VLOOKUP(B1183,Deflatores!G$42:H$64,2,FALSE))),VLOOKUP(B1183,Deflatores!G$42:H$64,2,FALSE),IF(OR(ISBLANK(C1183),ISBLANK(B1183)),"",VLOOKUP(C1183,Deflatores!G$4:H$38,2,FALSE)*H1183+VLOOKUP(C1183,Deflatores!G$4:I$38,3,FALSE)))</f>
        <v>4</v>
      </c>
      <c r="M1183" s="106"/>
      <c r="N1183" s="106"/>
      <c r="O1183" s="124"/>
    </row>
    <row r="1184" spans="1:15" x14ac:dyDescent="0.25">
      <c r="A1184" s="112" t="s">
        <v>995</v>
      </c>
      <c r="B1184" s="113" t="s">
        <v>48</v>
      </c>
      <c r="C1184" s="113" t="s">
        <v>45</v>
      </c>
      <c r="D1184" s="4">
        <v>11</v>
      </c>
      <c r="E1184" s="4">
        <v>2</v>
      </c>
      <c r="F1184" s="106" t="str">
        <f t="shared" si="269"/>
        <v>Média</v>
      </c>
      <c r="G1184" s="106" t="str">
        <f t="shared" si="270"/>
        <v>EEA</v>
      </c>
      <c r="H1184" s="4">
        <f t="shared" si="271"/>
        <v>4</v>
      </c>
      <c r="I1184" s="105" t="str">
        <f t="shared" si="272"/>
        <v>A</v>
      </c>
      <c r="J1184" s="4" t="str">
        <f t="shared" si="273"/>
        <v>EEI</v>
      </c>
      <c r="K1184" s="106">
        <f t="shared" si="274"/>
        <v>4</v>
      </c>
      <c r="L1184" s="106">
        <f>IF(NOT(ISERROR(VLOOKUP(B1184,Deflatores!G$42:H$64,2,FALSE))),VLOOKUP(B1184,Deflatores!G$42:H$64,2,FALSE),IF(OR(ISBLANK(C1184),ISBLANK(B1184)),"",VLOOKUP(C1184,Deflatores!G$4:H$38,2,FALSE)*H1184+VLOOKUP(C1184,Deflatores!G$4:I$38,3,FALSE)))</f>
        <v>4</v>
      </c>
      <c r="M1184" s="106"/>
      <c r="N1184" s="106"/>
      <c r="O1184" s="124"/>
    </row>
    <row r="1185" spans="1:15" x14ac:dyDescent="0.25">
      <c r="A1185" s="112" t="s">
        <v>996</v>
      </c>
      <c r="B1185" s="113" t="s">
        <v>48</v>
      </c>
      <c r="C1185" s="113" t="s">
        <v>45</v>
      </c>
      <c r="D1185" s="4">
        <v>11</v>
      </c>
      <c r="E1185" s="4">
        <v>2</v>
      </c>
      <c r="F1185" s="106" t="str">
        <f t="shared" si="269"/>
        <v>Média</v>
      </c>
      <c r="G1185" s="106" t="str">
        <f t="shared" si="270"/>
        <v>EEA</v>
      </c>
      <c r="H1185" s="4">
        <f t="shared" si="271"/>
        <v>4</v>
      </c>
      <c r="I1185" s="105" t="str">
        <f t="shared" si="272"/>
        <v>A</v>
      </c>
      <c r="J1185" s="4" t="str">
        <f t="shared" si="273"/>
        <v>EEI</v>
      </c>
      <c r="K1185" s="106">
        <f t="shared" si="274"/>
        <v>4</v>
      </c>
      <c r="L1185" s="106">
        <f>IF(NOT(ISERROR(VLOOKUP(B1185,Deflatores!G$42:H$64,2,FALSE))),VLOOKUP(B1185,Deflatores!G$42:H$64,2,FALSE),IF(OR(ISBLANK(C1185),ISBLANK(B1185)),"",VLOOKUP(C1185,Deflatores!G$4:H$38,2,FALSE)*H1185+VLOOKUP(C1185,Deflatores!G$4:I$38,3,FALSE)))</f>
        <v>4</v>
      </c>
      <c r="M1185" s="106"/>
      <c r="N1185" s="106"/>
      <c r="O1185" s="124"/>
    </row>
    <row r="1186" spans="1:15" x14ac:dyDescent="0.25">
      <c r="A1186" s="114" t="s">
        <v>997</v>
      </c>
      <c r="B1186" s="113" t="s">
        <v>50</v>
      </c>
      <c r="C1186" s="113" t="s">
        <v>45</v>
      </c>
      <c r="D1186" s="4">
        <v>11</v>
      </c>
      <c r="E1186" s="4">
        <v>2</v>
      </c>
      <c r="F1186" s="106" t="str">
        <f t="shared" si="269"/>
        <v>Média</v>
      </c>
      <c r="G1186" s="106" t="str">
        <f t="shared" si="270"/>
        <v>CEA</v>
      </c>
      <c r="H1186" s="4">
        <f t="shared" si="271"/>
        <v>4</v>
      </c>
      <c r="I1186" s="105" t="str">
        <f t="shared" si="272"/>
        <v>A</v>
      </c>
      <c r="J1186" s="4" t="str">
        <f t="shared" si="273"/>
        <v>CEI</v>
      </c>
      <c r="K1186" s="106">
        <f t="shared" si="274"/>
        <v>4</v>
      </c>
      <c r="L1186" s="106">
        <f>IF(NOT(ISERROR(VLOOKUP(B1186,Deflatores!G$42:H$64,2,FALSE))),VLOOKUP(B1186,Deflatores!G$42:H$64,2,FALSE),IF(OR(ISBLANK(C1186),ISBLANK(B1186)),"",VLOOKUP(C1186,Deflatores!G$4:H$38,2,FALSE)*H1186+VLOOKUP(C1186,Deflatores!G$4:I$38,3,FALSE)))</f>
        <v>4</v>
      </c>
      <c r="M1186" s="106"/>
      <c r="N1186" s="106"/>
      <c r="O1186" s="124"/>
    </row>
    <row r="1187" spans="1:15" x14ac:dyDescent="0.25">
      <c r="A1187" s="112" t="s">
        <v>998</v>
      </c>
      <c r="B1187" s="113" t="s">
        <v>50</v>
      </c>
      <c r="C1187" s="113" t="s">
        <v>45</v>
      </c>
      <c r="D1187" s="4">
        <v>11</v>
      </c>
      <c r="E1187" s="4">
        <v>2</v>
      </c>
      <c r="F1187" s="106" t="str">
        <f t="shared" si="269"/>
        <v>Média</v>
      </c>
      <c r="G1187" s="106" t="str">
        <f t="shared" si="270"/>
        <v>CEA</v>
      </c>
      <c r="H1187" s="4">
        <f t="shared" si="271"/>
        <v>4</v>
      </c>
      <c r="I1187" s="105" t="str">
        <f t="shared" si="272"/>
        <v>A</v>
      </c>
      <c r="J1187" s="4" t="str">
        <f t="shared" si="273"/>
        <v>CEI</v>
      </c>
      <c r="K1187" s="106">
        <f t="shared" si="274"/>
        <v>4</v>
      </c>
      <c r="L1187" s="106">
        <f>IF(NOT(ISERROR(VLOOKUP(B1187,Deflatores!G$42:H$64,2,FALSE))),VLOOKUP(B1187,Deflatores!G$42:H$64,2,FALSE),IF(OR(ISBLANK(C1187),ISBLANK(B1187)),"",VLOOKUP(C1187,Deflatores!G$4:H$38,2,FALSE)*H1187+VLOOKUP(C1187,Deflatores!G$4:I$38,3,FALSE)))</f>
        <v>4</v>
      </c>
      <c r="M1187" s="106"/>
      <c r="N1187" s="106"/>
      <c r="O1187" s="124"/>
    </row>
    <row r="1188" spans="1:15" x14ac:dyDescent="0.25">
      <c r="A1188" s="112" t="s">
        <v>999</v>
      </c>
      <c r="B1188" s="113" t="s">
        <v>48</v>
      </c>
      <c r="C1188" s="113" t="s">
        <v>45</v>
      </c>
      <c r="D1188" s="4">
        <v>3</v>
      </c>
      <c r="E1188" s="4">
        <v>1</v>
      </c>
      <c r="F1188" s="106" t="str">
        <f t="shared" si="269"/>
        <v>Baixa</v>
      </c>
      <c r="G1188" s="106" t="str">
        <f t="shared" si="270"/>
        <v>EEL</v>
      </c>
      <c r="H1188" s="4">
        <f t="shared" si="271"/>
        <v>3</v>
      </c>
      <c r="I1188" s="105" t="str">
        <f t="shared" si="272"/>
        <v>L</v>
      </c>
      <c r="J1188" s="4" t="str">
        <f t="shared" si="273"/>
        <v>EEI</v>
      </c>
      <c r="K1188" s="106">
        <f t="shared" si="274"/>
        <v>3</v>
      </c>
      <c r="L1188" s="106">
        <f>IF(NOT(ISERROR(VLOOKUP(B1188,Deflatores!G$42:H$64,2,FALSE))),VLOOKUP(B1188,Deflatores!G$42:H$64,2,FALSE),IF(OR(ISBLANK(C1188),ISBLANK(B1188)),"",VLOOKUP(C1188,Deflatores!G$4:H$38,2,FALSE)*H1188+VLOOKUP(C1188,Deflatores!G$4:I$38,3,FALSE)))</f>
        <v>3</v>
      </c>
      <c r="M1188" s="106"/>
      <c r="N1188" s="106"/>
      <c r="O1188" s="124"/>
    </row>
    <row r="1189" spans="1:15" x14ac:dyDescent="0.25">
      <c r="A1189" s="112"/>
      <c r="B1189" s="113"/>
      <c r="C1189" s="113"/>
      <c r="D1189" s="4"/>
      <c r="E1189" s="4"/>
      <c r="F1189" s="106" t="str">
        <f t="shared" si="269"/>
        <v/>
      </c>
      <c r="G1189" s="106" t="str">
        <f t="shared" si="270"/>
        <v/>
      </c>
      <c r="H1189" s="4" t="str">
        <f t="shared" si="271"/>
        <v/>
      </c>
      <c r="I1189" s="105" t="str">
        <f t="shared" si="272"/>
        <v/>
      </c>
      <c r="J1189" s="4" t="str">
        <f t="shared" si="273"/>
        <v/>
      </c>
      <c r="K1189" s="106" t="str">
        <f t="shared" si="274"/>
        <v/>
      </c>
      <c r="L1189" s="106" t="str">
        <f>IF(NOT(ISERROR(VLOOKUP(B1189,Deflatores!G$42:H$64,2,FALSE))),VLOOKUP(B1189,Deflatores!G$42:H$64,2,FALSE),IF(OR(ISBLANK(C1189),ISBLANK(B1189)),"",VLOOKUP(C1189,Deflatores!G$4:H$38,2,FALSE)*H1189+VLOOKUP(C1189,Deflatores!G$4:I$38,3,FALSE)))</f>
        <v/>
      </c>
      <c r="M1189" s="106"/>
      <c r="N1189" s="106"/>
      <c r="O1189" s="124"/>
    </row>
    <row r="1190" spans="1:15" x14ac:dyDescent="0.25">
      <c r="A1190" s="115" t="s">
        <v>1000</v>
      </c>
      <c r="B1190" s="113"/>
      <c r="C1190" s="113"/>
      <c r="D1190" s="4"/>
      <c r="E1190" s="4"/>
      <c r="F1190" s="106" t="str">
        <f t="shared" si="269"/>
        <v/>
      </c>
      <c r="G1190" s="106" t="str">
        <f t="shared" si="270"/>
        <v/>
      </c>
      <c r="H1190" s="4" t="str">
        <f t="shared" si="271"/>
        <v/>
      </c>
      <c r="I1190" s="105" t="str">
        <f t="shared" si="272"/>
        <v/>
      </c>
      <c r="J1190" s="4" t="str">
        <f t="shared" si="273"/>
        <v/>
      </c>
      <c r="K1190" s="106" t="str">
        <f t="shared" si="274"/>
        <v/>
      </c>
      <c r="L1190" s="106" t="str">
        <f>IF(NOT(ISERROR(VLOOKUP(B1190,Deflatores!G$42:H$64,2,FALSE))),VLOOKUP(B1190,Deflatores!G$42:H$64,2,FALSE),IF(OR(ISBLANK(C1190),ISBLANK(B1190)),"",VLOOKUP(C1190,Deflatores!G$4:H$38,2,FALSE)*H1190+VLOOKUP(C1190,Deflatores!G$4:I$38,3,FALSE)))</f>
        <v/>
      </c>
      <c r="M1190" s="106"/>
      <c r="N1190" s="106"/>
      <c r="O1190" s="130"/>
    </row>
    <row r="1191" spans="1:15" x14ac:dyDescent="0.25">
      <c r="A1191" s="112" t="s">
        <v>1001</v>
      </c>
      <c r="B1191" s="113" t="s">
        <v>44</v>
      </c>
      <c r="C1191" s="113" t="s">
        <v>45</v>
      </c>
      <c r="D1191" s="4">
        <v>29</v>
      </c>
      <c r="E1191" s="4">
        <v>1</v>
      </c>
      <c r="F1191" s="106" t="str">
        <f t="shared" si="269"/>
        <v>Baixa</v>
      </c>
      <c r="G1191" s="106" t="str">
        <f t="shared" si="270"/>
        <v>ALIL</v>
      </c>
      <c r="H1191" s="4">
        <f t="shared" si="271"/>
        <v>7</v>
      </c>
      <c r="I1191" s="105" t="str">
        <f t="shared" si="272"/>
        <v>L</v>
      </c>
      <c r="J1191" s="4" t="str">
        <f t="shared" si="273"/>
        <v>ALII</v>
      </c>
      <c r="K1191" s="106">
        <f t="shared" si="274"/>
        <v>7</v>
      </c>
      <c r="L1191" s="106">
        <f>IF(NOT(ISERROR(VLOOKUP(B1191,Deflatores!G$42:H$64,2,FALSE))),VLOOKUP(B1191,Deflatores!G$42:H$64,2,FALSE),IF(OR(ISBLANK(C1191),ISBLANK(B1191)),"",VLOOKUP(C1191,Deflatores!G$4:H$38,2,FALSE)*H1191+VLOOKUP(C1191,Deflatores!G$4:I$38,3,FALSE)))</f>
        <v>7</v>
      </c>
      <c r="M1191" s="106"/>
      <c r="N1191" s="106"/>
      <c r="O1191" s="124"/>
    </row>
    <row r="1192" spans="1:15" x14ac:dyDescent="0.25">
      <c r="A1192" s="112" t="s">
        <v>1002</v>
      </c>
      <c r="B1192" s="113" t="s">
        <v>50</v>
      </c>
      <c r="C1192" s="113" t="s">
        <v>45</v>
      </c>
      <c r="D1192" s="4">
        <v>11</v>
      </c>
      <c r="E1192" s="4">
        <v>4</v>
      </c>
      <c r="F1192" s="106" t="str">
        <f t="shared" si="269"/>
        <v>Alta</v>
      </c>
      <c r="G1192" s="106" t="str">
        <f t="shared" si="270"/>
        <v>CEH</v>
      </c>
      <c r="H1192" s="4">
        <f t="shared" si="271"/>
        <v>6</v>
      </c>
      <c r="I1192" s="105" t="str">
        <f t="shared" si="272"/>
        <v>H</v>
      </c>
      <c r="J1192" s="4" t="str">
        <f t="shared" si="273"/>
        <v>CEI</v>
      </c>
      <c r="K1192" s="106">
        <f t="shared" si="274"/>
        <v>6</v>
      </c>
      <c r="L1192" s="106">
        <f>IF(NOT(ISERROR(VLOOKUP(B1192,Deflatores!G$42:H$64,2,FALSE))),VLOOKUP(B1192,Deflatores!G$42:H$64,2,FALSE),IF(OR(ISBLANK(C1192),ISBLANK(B1192)),"",VLOOKUP(C1192,Deflatores!G$4:H$38,2,FALSE)*H1192+VLOOKUP(C1192,Deflatores!G$4:I$38,3,FALSE)))</f>
        <v>6</v>
      </c>
      <c r="M1192" s="106"/>
      <c r="N1192" s="106"/>
      <c r="O1192" s="124"/>
    </row>
    <row r="1193" spans="1:15" x14ac:dyDescent="0.25">
      <c r="A1193" s="112" t="s">
        <v>1003</v>
      </c>
      <c r="B1193" s="113" t="s">
        <v>48</v>
      </c>
      <c r="C1193" s="113" t="s">
        <v>45</v>
      </c>
      <c r="D1193" s="4">
        <v>14</v>
      </c>
      <c r="E1193" s="4">
        <v>4</v>
      </c>
      <c r="F1193" s="106" t="str">
        <f t="shared" si="269"/>
        <v>Alta</v>
      </c>
      <c r="G1193" s="106" t="str">
        <f t="shared" si="270"/>
        <v>EEH</v>
      </c>
      <c r="H1193" s="4">
        <f t="shared" si="271"/>
        <v>6</v>
      </c>
      <c r="I1193" s="105" t="str">
        <f t="shared" si="272"/>
        <v>H</v>
      </c>
      <c r="J1193" s="4" t="str">
        <f t="shared" si="273"/>
        <v>EEI</v>
      </c>
      <c r="K1193" s="106">
        <f t="shared" si="274"/>
        <v>6</v>
      </c>
      <c r="L1193" s="106">
        <f>IF(NOT(ISERROR(VLOOKUP(B1193,Deflatores!G$42:H$64,2,FALSE))),VLOOKUP(B1193,Deflatores!G$42:H$64,2,FALSE),IF(OR(ISBLANK(C1193),ISBLANK(B1193)),"",VLOOKUP(C1193,Deflatores!G$4:H$38,2,FALSE)*H1193+VLOOKUP(C1193,Deflatores!G$4:I$38,3,FALSE)))</f>
        <v>6</v>
      </c>
      <c r="M1193" s="106"/>
      <c r="N1193" s="106"/>
      <c r="O1193" s="124"/>
    </row>
    <row r="1194" spans="1:15" x14ac:dyDescent="0.25">
      <c r="A1194" s="112" t="s">
        <v>1004</v>
      </c>
      <c r="B1194" s="113" t="s">
        <v>48</v>
      </c>
      <c r="C1194" s="113" t="s">
        <v>45</v>
      </c>
      <c r="D1194" s="4">
        <v>14</v>
      </c>
      <c r="E1194" s="4">
        <v>4</v>
      </c>
      <c r="F1194" s="106" t="str">
        <f t="shared" si="269"/>
        <v>Alta</v>
      </c>
      <c r="G1194" s="106" t="str">
        <f t="shared" si="270"/>
        <v>EEH</v>
      </c>
      <c r="H1194" s="4">
        <f t="shared" si="271"/>
        <v>6</v>
      </c>
      <c r="I1194" s="105" t="str">
        <f t="shared" si="272"/>
        <v>H</v>
      </c>
      <c r="J1194" s="4" t="str">
        <f t="shared" si="273"/>
        <v>EEI</v>
      </c>
      <c r="K1194" s="106">
        <f t="shared" si="274"/>
        <v>6</v>
      </c>
      <c r="L1194" s="106">
        <f>IF(NOT(ISERROR(VLOOKUP(B1194,Deflatores!G$42:H$64,2,FALSE))),VLOOKUP(B1194,Deflatores!G$42:H$64,2,FALSE),IF(OR(ISBLANK(C1194),ISBLANK(B1194)),"",VLOOKUP(C1194,Deflatores!G$4:H$38,2,FALSE)*H1194+VLOOKUP(C1194,Deflatores!G$4:I$38,3,FALSE)))</f>
        <v>6</v>
      </c>
      <c r="M1194" s="106"/>
      <c r="N1194" s="106"/>
      <c r="O1194" s="124"/>
    </row>
    <row r="1195" spans="1:15" x14ac:dyDescent="0.25">
      <c r="A1195" s="114" t="s">
        <v>1005</v>
      </c>
      <c r="B1195" s="113" t="s">
        <v>50</v>
      </c>
      <c r="C1195" s="113" t="s">
        <v>45</v>
      </c>
      <c r="D1195" s="4">
        <v>12</v>
      </c>
      <c r="E1195" s="4">
        <v>4</v>
      </c>
      <c r="F1195" s="106" t="str">
        <f t="shared" si="269"/>
        <v>Alta</v>
      </c>
      <c r="G1195" s="106" t="str">
        <f t="shared" si="270"/>
        <v>CEH</v>
      </c>
      <c r="H1195" s="4">
        <f t="shared" si="271"/>
        <v>6</v>
      </c>
      <c r="I1195" s="105" t="str">
        <f t="shared" si="272"/>
        <v>H</v>
      </c>
      <c r="J1195" s="4" t="str">
        <f t="shared" si="273"/>
        <v>CEI</v>
      </c>
      <c r="K1195" s="106">
        <f t="shared" si="274"/>
        <v>6</v>
      </c>
      <c r="L1195" s="106">
        <f>IF(NOT(ISERROR(VLOOKUP(B1195,Deflatores!G$42:H$64,2,FALSE))),VLOOKUP(B1195,Deflatores!G$42:H$64,2,FALSE),IF(OR(ISBLANK(C1195),ISBLANK(B1195)),"",VLOOKUP(C1195,Deflatores!G$4:H$38,2,FALSE)*H1195+VLOOKUP(C1195,Deflatores!G$4:I$38,3,FALSE)))</f>
        <v>6</v>
      </c>
      <c r="M1195" s="106"/>
      <c r="N1195" s="106"/>
      <c r="O1195" s="124"/>
    </row>
    <row r="1196" spans="1:15" x14ac:dyDescent="0.25">
      <c r="A1196" s="112" t="s">
        <v>1006</v>
      </c>
      <c r="B1196" s="113" t="s">
        <v>50</v>
      </c>
      <c r="C1196" s="113" t="s">
        <v>45</v>
      </c>
      <c r="D1196" s="4">
        <v>14</v>
      </c>
      <c r="E1196" s="4">
        <v>4</v>
      </c>
      <c r="F1196" s="106" t="str">
        <f t="shared" si="269"/>
        <v>Alta</v>
      </c>
      <c r="G1196" s="106" t="str">
        <f t="shared" si="270"/>
        <v>CEH</v>
      </c>
      <c r="H1196" s="4">
        <f t="shared" si="271"/>
        <v>6</v>
      </c>
      <c r="I1196" s="105" t="str">
        <f t="shared" si="272"/>
        <v>H</v>
      </c>
      <c r="J1196" s="4" t="str">
        <f t="shared" si="273"/>
        <v>CEI</v>
      </c>
      <c r="K1196" s="106">
        <f t="shared" si="274"/>
        <v>6</v>
      </c>
      <c r="L1196" s="106">
        <f>IF(NOT(ISERROR(VLOOKUP(B1196,Deflatores!G$42:H$64,2,FALSE))),VLOOKUP(B1196,Deflatores!G$42:H$64,2,FALSE),IF(OR(ISBLANK(C1196),ISBLANK(B1196)),"",VLOOKUP(C1196,Deflatores!G$4:H$38,2,FALSE)*H1196+VLOOKUP(C1196,Deflatores!G$4:I$38,3,FALSE)))</f>
        <v>6</v>
      </c>
      <c r="M1196" s="106"/>
      <c r="N1196" s="106"/>
      <c r="O1196" s="124"/>
    </row>
    <row r="1197" spans="1:15" x14ac:dyDescent="0.25">
      <c r="A1197" s="112" t="s">
        <v>1007</v>
      </c>
      <c r="B1197" s="113" t="s">
        <v>48</v>
      </c>
      <c r="C1197" s="113" t="s">
        <v>45</v>
      </c>
      <c r="D1197" s="4">
        <v>3</v>
      </c>
      <c r="E1197" s="4">
        <v>1</v>
      </c>
      <c r="F1197" s="106" t="str">
        <f t="shared" si="269"/>
        <v>Baixa</v>
      </c>
      <c r="G1197" s="106" t="str">
        <f t="shared" si="270"/>
        <v>EEL</v>
      </c>
      <c r="H1197" s="4">
        <f t="shared" si="271"/>
        <v>3</v>
      </c>
      <c r="I1197" s="105" t="str">
        <f t="shared" si="272"/>
        <v>L</v>
      </c>
      <c r="J1197" s="4" t="str">
        <f t="shared" si="273"/>
        <v>EEI</v>
      </c>
      <c r="K1197" s="106">
        <f t="shared" si="274"/>
        <v>3</v>
      </c>
      <c r="L1197" s="106">
        <f>IF(NOT(ISERROR(VLOOKUP(B1197,Deflatores!G$42:H$64,2,FALSE))),VLOOKUP(B1197,Deflatores!G$42:H$64,2,FALSE),IF(OR(ISBLANK(C1197),ISBLANK(B1197)),"",VLOOKUP(C1197,Deflatores!G$4:H$38,2,FALSE)*H1197+VLOOKUP(C1197,Deflatores!G$4:I$38,3,FALSE)))</f>
        <v>3</v>
      </c>
      <c r="M1197" s="106"/>
      <c r="N1197" s="106"/>
      <c r="O1197" s="124"/>
    </row>
    <row r="1198" spans="1:15" x14ac:dyDescent="0.25">
      <c r="A1198" s="112" t="s">
        <v>1008</v>
      </c>
      <c r="B1198" s="113" t="s">
        <v>48</v>
      </c>
      <c r="C1198" s="113" t="s">
        <v>45</v>
      </c>
      <c r="D1198" s="4">
        <v>5</v>
      </c>
      <c r="E1198" s="4">
        <v>1</v>
      </c>
      <c r="F1198" s="106" t="str">
        <f t="shared" si="269"/>
        <v>Baixa</v>
      </c>
      <c r="G1198" s="106" t="str">
        <f t="shared" si="270"/>
        <v>EEL</v>
      </c>
      <c r="H1198" s="4">
        <f t="shared" si="271"/>
        <v>3</v>
      </c>
      <c r="I1198" s="105" t="str">
        <f t="shared" si="272"/>
        <v>L</v>
      </c>
      <c r="J1198" s="4" t="str">
        <f t="shared" si="273"/>
        <v>EEI</v>
      </c>
      <c r="K1198" s="106">
        <f t="shared" si="274"/>
        <v>3</v>
      </c>
      <c r="L1198" s="106">
        <f>IF(NOT(ISERROR(VLOOKUP(B1198,Deflatores!G$42:H$64,2,FALSE))),VLOOKUP(B1198,Deflatores!G$42:H$64,2,FALSE),IF(OR(ISBLANK(C1198),ISBLANK(B1198)),"",VLOOKUP(C1198,Deflatores!G$4:H$38,2,FALSE)*H1198+VLOOKUP(C1198,Deflatores!G$4:I$38,3,FALSE)))</f>
        <v>3</v>
      </c>
      <c r="M1198" s="106"/>
      <c r="N1198" s="106"/>
      <c r="O1198" s="124"/>
    </row>
    <row r="1199" spans="1:15" x14ac:dyDescent="0.25">
      <c r="A1199" s="112"/>
      <c r="B1199" s="113"/>
      <c r="C1199" s="113"/>
      <c r="D1199" s="4"/>
      <c r="E1199" s="4"/>
      <c r="F1199" s="106" t="str">
        <f t="shared" si="269"/>
        <v/>
      </c>
      <c r="G1199" s="106" t="str">
        <f t="shared" si="270"/>
        <v/>
      </c>
      <c r="H1199" s="4" t="str">
        <f t="shared" si="271"/>
        <v/>
      </c>
      <c r="I1199" s="105" t="str">
        <f t="shared" si="272"/>
        <v/>
      </c>
      <c r="J1199" s="4" t="str">
        <f t="shared" si="273"/>
        <v/>
      </c>
      <c r="K1199" s="106" t="str">
        <f t="shared" si="274"/>
        <v/>
      </c>
      <c r="L1199" s="106" t="str">
        <f>IF(NOT(ISERROR(VLOOKUP(B1199,Deflatores!G$42:H$64,2,FALSE))),VLOOKUP(B1199,Deflatores!G$42:H$64,2,FALSE),IF(OR(ISBLANK(C1199),ISBLANK(B1199)),"",VLOOKUP(C1199,Deflatores!G$4:H$38,2,FALSE)*H1199+VLOOKUP(C1199,Deflatores!G$4:I$38,3,FALSE)))</f>
        <v/>
      </c>
      <c r="M1199" s="106"/>
      <c r="N1199" s="106"/>
      <c r="O1199" s="124"/>
    </row>
    <row r="1200" spans="1:15" x14ac:dyDescent="0.25">
      <c r="A1200" s="115" t="s">
        <v>1009</v>
      </c>
      <c r="B1200" s="113"/>
      <c r="C1200" s="113"/>
      <c r="D1200" s="4"/>
      <c r="E1200" s="4"/>
      <c r="F1200" s="106" t="str">
        <f t="shared" si="269"/>
        <v/>
      </c>
      <c r="G1200" s="106" t="str">
        <f t="shared" si="270"/>
        <v/>
      </c>
      <c r="H1200" s="4" t="str">
        <f t="shared" si="271"/>
        <v/>
      </c>
      <c r="I1200" s="105" t="str">
        <f t="shared" si="272"/>
        <v/>
      </c>
      <c r="J1200" s="4" t="str">
        <f t="shared" si="273"/>
        <v/>
      </c>
      <c r="K1200" s="106" t="str">
        <f t="shared" si="274"/>
        <v/>
      </c>
      <c r="L1200" s="106" t="str">
        <f>IF(NOT(ISERROR(VLOOKUP(B1200,Deflatores!G$42:H$64,2,FALSE))),VLOOKUP(B1200,Deflatores!G$42:H$64,2,FALSE),IF(OR(ISBLANK(C1200),ISBLANK(B1200)),"",VLOOKUP(C1200,Deflatores!G$4:H$38,2,FALSE)*H1200+VLOOKUP(C1200,Deflatores!G$4:I$38,3,FALSE)))</f>
        <v/>
      </c>
      <c r="M1200" s="106"/>
      <c r="N1200" s="106"/>
      <c r="O1200" s="124"/>
    </row>
    <row r="1201" spans="1:15" x14ac:dyDescent="0.25">
      <c r="A1201" s="112" t="s">
        <v>1010</v>
      </c>
      <c r="B1201" s="113" t="s">
        <v>113</v>
      </c>
      <c r="C1201" s="113" t="s">
        <v>45</v>
      </c>
      <c r="D1201" s="4">
        <v>16</v>
      </c>
      <c r="E1201" s="4">
        <v>2</v>
      </c>
      <c r="F1201" s="106" t="str">
        <f t="shared" si="269"/>
        <v>Média</v>
      </c>
      <c r="G1201" s="106" t="str">
        <f t="shared" si="270"/>
        <v>SEA</v>
      </c>
      <c r="H1201" s="4">
        <f t="shared" si="271"/>
        <v>5</v>
      </c>
      <c r="I1201" s="105" t="str">
        <f t="shared" si="272"/>
        <v>A</v>
      </c>
      <c r="J1201" s="4" t="str">
        <f t="shared" si="273"/>
        <v>SEI</v>
      </c>
      <c r="K1201" s="106">
        <f t="shared" si="274"/>
        <v>5</v>
      </c>
      <c r="L1201" s="106">
        <f>IF(NOT(ISERROR(VLOOKUP(B1201,Deflatores!G$42:H$64,2,FALSE))),VLOOKUP(B1201,Deflatores!G$42:H$64,2,FALSE),IF(OR(ISBLANK(C1201),ISBLANK(B1201)),"",VLOOKUP(C1201,Deflatores!G$4:H$38,2,FALSE)*H1201+VLOOKUP(C1201,Deflatores!G$4:I$38,3,FALSE)))</f>
        <v>5</v>
      </c>
      <c r="M1201" s="106"/>
      <c r="N1201" s="106"/>
      <c r="O1201" s="124"/>
    </row>
    <row r="1202" spans="1:15" x14ac:dyDescent="0.25">
      <c r="A1202" s="112"/>
      <c r="B1202" s="113"/>
      <c r="C1202" s="113"/>
      <c r="D1202" s="4"/>
      <c r="E1202" s="4"/>
      <c r="F1202" s="106" t="str">
        <f t="shared" si="269"/>
        <v/>
      </c>
      <c r="G1202" s="106" t="str">
        <f t="shared" si="270"/>
        <v/>
      </c>
      <c r="H1202" s="4" t="str">
        <f t="shared" si="271"/>
        <v/>
      </c>
      <c r="I1202" s="105" t="str">
        <f t="shared" si="272"/>
        <v/>
      </c>
      <c r="J1202" s="4" t="str">
        <f t="shared" si="273"/>
        <v/>
      </c>
      <c r="K1202" s="106" t="str">
        <f t="shared" si="274"/>
        <v/>
      </c>
      <c r="L1202" s="106" t="str">
        <f>IF(NOT(ISERROR(VLOOKUP(B1202,Deflatores!G$42:H$64,2,FALSE))),VLOOKUP(B1202,Deflatores!G$42:H$64,2,FALSE),IF(OR(ISBLANK(C1202),ISBLANK(B1202)),"",VLOOKUP(C1202,Deflatores!G$4:H$38,2,FALSE)*H1202+VLOOKUP(C1202,Deflatores!G$4:I$38,3,FALSE)))</f>
        <v/>
      </c>
      <c r="M1202" s="106"/>
      <c r="N1202" s="106"/>
      <c r="O1202" s="124"/>
    </row>
    <row r="1203" spans="1:15" x14ac:dyDescent="0.25">
      <c r="A1203" s="115" t="s">
        <v>1011</v>
      </c>
      <c r="B1203" s="113"/>
      <c r="C1203" s="113"/>
      <c r="D1203" s="4"/>
      <c r="E1203" s="4"/>
      <c r="F1203" s="106" t="str">
        <f t="shared" si="269"/>
        <v/>
      </c>
      <c r="G1203" s="106" t="str">
        <f t="shared" si="270"/>
        <v/>
      </c>
      <c r="H1203" s="4" t="str">
        <f t="shared" si="271"/>
        <v/>
      </c>
      <c r="I1203" s="105" t="str">
        <f t="shared" si="272"/>
        <v/>
      </c>
      <c r="J1203" s="4" t="str">
        <f t="shared" si="273"/>
        <v/>
      </c>
      <c r="K1203" s="106" t="str">
        <f t="shared" si="274"/>
        <v/>
      </c>
      <c r="L1203" s="106" t="str">
        <f>IF(NOT(ISERROR(VLOOKUP(B1203,Deflatores!G$42:H$64,2,FALSE))),VLOOKUP(B1203,Deflatores!G$42:H$64,2,FALSE),IF(OR(ISBLANK(C1203),ISBLANK(B1203)),"",VLOOKUP(C1203,Deflatores!G$4:H$38,2,FALSE)*H1203+VLOOKUP(C1203,Deflatores!G$4:I$38,3,FALSE)))</f>
        <v/>
      </c>
      <c r="M1203" s="106"/>
      <c r="N1203" s="106"/>
      <c r="O1203" s="124"/>
    </row>
    <row r="1204" spans="1:15" x14ac:dyDescent="0.25">
      <c r="A1204" s="112" t="s">
        <v>1012</v>
      </c>
      <c r="B1204" s="113" t="s">
        <v>44</v>
      </c>
      <c r="C1204" s="113" t="s">
        <v>45</v>
      </c>
      <c r="D1204" s="4">
        <v>15</v>
      </c>
      <c r="E1204" s="4">
        <v>2</v>
      </c>
      <c r="F1204" s="106" t="str">
        <f t="shared" si="269"/>
        <v>Baixa</v>
      </c>
      <c r="G1204" s="106" t="str">
        <f t="shared" si="270"/>
        <v>ALIL</v>
      </c>
      <c r="H1204" s="4">
        <f t="shared" si="271"/>
        <v>7</v>
      </c>
      <c r="I1204" s="105" t="str">
        <f t="shared" si="272"/>
        <v>L</v>
      </c>
      <c r="J1204" s="4" t="str">
        <f t="shared" si="273"/>
        <v>ALII</v>
      </c>
      <c r="K1204" s="106">
        <f t="shared" si="274"/>
        <v>7</v>
      </c>
      <c r="L1204" s="106">
        <f>IF(NOT(ISERROR(VLOOKUP(B1204,Deflatores!G$42:H$64,2,FALSE))),VLOOKUP(B1204,Deflatores!G$42:H$64,2,FALSE),IF(OR(ISBLANK(C1204),ISBLANK(B1204)),"",VLOOKUP(C1204,Deflatores!G$4:H$38,2,FALSE)*H1204+VLOOKUP(C1204,Deflatores!G$4:I$38,3,FALSE)))</f>
        <v>7</v>
      </c>
      <c r="M1204" s="106"/>
      <c r="N1204" s="106"/>
      <c r="O1204" s="124"/>
    </row>
    <row r="1205" spans="1:15" x14ac:dyDescent="0.25">
      <c r="A1205" s="112" t="s">
        <v>1013</v>
      </c>
      <c r="B1205" s="113" t="s">
        <v>50</v>
      </c>
      <c r="C1205" s="113" t="s">
        <v>45</v>
      </c>
      <c r="D1205" s="4">
        <v>11</v>
      </c>
      <c r="E1205" s="4">
        <v>2</v>
      </c>
      <c r="F1205" s="106" t="str">
        <f t="shared" si="269"/>
        <v>Média</v>
      </c>
      <c r="G1205" s="106" t="str">
        <f t="shared" si="270"/>
        <v>CEA</v>
      </c>
      <c r="H1205" s="4">
        <f t="shared" si="271"/>
        <v>4</v>
      </c>
      <c r="I1205" s="105" t="str">
        <f t="shared" si="272"/>
        <v>A</v>
      </c>
      <c r="J1205" s="4" t="str">
        <f t="shared" si="273"/>
        <v>CEI</v>
      </c>
      <c r="K1205" s="106">
        <f t="shared" si="274"/>
        <v>4</v>
      </c>
      <c r="L1205" s="106">
        <f>IF(NOT(ISERROR(VLOOKUP(B1205,Deflatores!G$42:H$64,2,FALSE))),VLOOKUP(B1205,Deflatores!G$42:H$64,2,FALSE),IF(OR(ISBLANK(C1205),ISBLANK(B1205)),"",VLOOKUP(C1205,Deflatores!G$4:H$38,2,FALSE)*H1205+VLOOKUP(C1205,Deflatores!G$4:I$38,3,FALSE)))</f>
        <v>4</v>
      </c>
      <c r="M1205" s="106"/>
      <c r="N1205" s="106"/>
      <c r="O1205" s="124"/>
    </row>
    <row r="1206" spans="1:15" x14ac:dyDescent="0.25">
      <c r="A1206" s="112" t="s">
        <v>1014</v>
      </c>
      <c r="B1206" s="113" t="s">
        <v>48</v>
      </c>
      <c r="C1206" s="113" t="s">
        <v>45</v>
      </c>
      <c r="D1206" s="4">
        <v>14</v>
      </c>
      <c r="E1206" s="4">
        <v>3</v>
      </c>
      <c r="F1206" s="106" t="str">
        <f t="shared" si="269"/>
        <v>Alta</v>
      </c>
      <c r="G1206" s="106" t="str">
        <f t="shared" si="270"/>
        <v>EEH</v>
      </c>
      <c r="H1206" s="4">
        <f t="shared" si="271"/>
        <v>6</v>
      </c>
      <c r="I1206" s="105" t="str">
        <f t="shared" si="272"/>
        <v>H</v>
      </c>
      <c r="J1206" s="4" t="str">
        <f t="shared" si="273"/>
        <v>EEI</v>
      </c>
      <c r="K1206" s="106">
        <f t="shared" si="274"/>
        <v>6</v>
      </c>
      <c r="L1206" s="106">
        <f>IF(NOT(ISERROR(VLOOKUP(B1206,Deflatores!G$42:H$64,2,FALSE))),VLOOKUP(B1206,Deflatores!G$42:H$64,2,FALSE),IF(OR(ISBLANK(C1206),ISBLANK(B1206)),"",VLOOKUP(C1206,Deflatores!G$4:H$38,2,FALSE)*H1206+VLOOKUP(C1206,Deflatores!G$4:I$38,3,FALSE)))</f>
        <v>6</v>
      </c>
      <c r="M1206" s="106"/>
      <c r="N1206" s="106"/>
      <c r="O1206" s="124"/>
    </row>
    <row r="1207" spans="1:15" x14ac:dyDescent="0.25">
      <c r="A1207" s="112" t="s">
        <v>1015</v>
      </c>
      <c r="B1207" s="113" t="s">
        <v>48</v>
      </c>
      <c r="C1207" s="113" t="s">
        <v>45</v>
      </c>
      <c r="D1207" s="4">
        <v>14</v>
      </c>
      <c r="E1207" s="4">
        <v>3</v>
      </c>
      <c r="F1207" s="106" t="str">
        <f t="shared" si="269"/>
        <v>Alta</v>
      </c>
      <c r="G1207" s="106" t="str">
        <f t="shared" si="270"/>
        <v>EEH</v>
      </c>
      <c r="H1207" s="4">
        <f t="shared" si="271"/>
        <v>6</v>
      </c>
      <c r="I1207" s="105" t="str">
        <f t="shared" si="272"/>
        <v>H</v>
      </c>
      <c r="J1207" s="4" t="str">
        <f t="shared" si="273"/>
        <v>EEI</v>
      </c>
      <c r="K1207" s="106">
        <f t="shared" si="274"/>
        <v>6</v>
      </c>
      <c r="L1207" s="106">
        <f>IF(NOT(ISERROR(VLOOKUP(B1207,Deflatores!G$42:H$64,2,FALSE))),VLOOKUP(B1207,Deflatores!G$42:H$64,2,FALSE),IF(OR(ISBLANK(C1207),ISBLANK(B1207)),"",VLOOKUP(C1207,Deflatores!G$4:H$38,2,FALSE)*H1207+VLOOKUP(C1207,Deflatores!G$4:I$38,3,FALSE)))</f>
        <v>6</v>
      </c>
      <c r="M1207" s="106"/>
      <c r="N1207" s="106"/>
      <c r="O1207" s="124"/>
    </row>
    <row r="1208" spans="1:15" x14ac:dyDescent="0.25">
      <c r="A1208" s="114" t="s">
        <v>1016</v>
      </c>
      <c r="B1208" s="113" t="s">
        <v>50</v>
      </c>
      <c r="C1208" s="113" t="s">
        <v>45</v>
      </c>
      <c r="D1208" s="4">
        <v>12</v>
      </c>
      <c r="E1208" s="4">
        <v>2</v>
      </c>
      <c r="F1208" s="106" t="str">
        <f t="shared" si="269"/>
        <v>Média</v>
      </c>
      <c r="G1208" s="106" t="str">
        <f t="shared" si="270"/>
        <v>CEA</v>
      </c>
      <c r="H1208" s="4">
        <f t="shared" si="271"/>
        <v>4</v>
      </c>
      <c r="I1208" s="105" t="str">
        <f t="shared" si="272"/>
        <v>A</v>
      </c>
      <c r="J1208" s="4" t="str">
        <f t="shared" si="273"/>
        <v>CEI</v>
      </c>
      <c r="K1208" s="106">
        <f t="shared" si="274"/>
        <v>4</v>
      </c>
      <c r="L1208" s="106">
        <f>IF(NOT(ISERROR(VLOOKUP(B1208,Deflatores!G$42:H$64,2,FALSE))),VLOOKUP(B1208,Deflatores!G$42:H$64,2,FALSE),IF(OR(ISBLANK(C1208),ISBLANK(B1208)),"",VLOOKUP(C1208,Deflatores!G$4:H$38,2,FALSE)*H1208+VLOOKUP(C1208,Deflatores!G$4:I$38,3,FALSE)))</f>
        <v>4</v>
      </c>
      <c r="M1208" s="106"/>
      <c r="N1208" s="106"/>
      <c r="O1208" s="124"/>
    </row>
    <row r="1209" spans="1:15" x14ac:dyDescent="0.25">
      <c r="A1209" s="112" t="s">
        <v>1017</v>
      </c>
      <c r="B1209" s="113" t="s">
        <v>50</v>
      </c>
      <c r="C1209" s="113" t="s">
        <v>45</v>
      </c>
      <c r="D1209" s="4">
        <v>14</v>
      </c>
      <c r="E1209" s="4">
        <v>2</v>
      </c>
      <c r="F1209" s="106" t="str">
        <f t="shared" si="269"/>
        <v>Média</v>
      </c>
      <c r="G1209" s="106" t="str">
        <f t="shared" si="270"/>
        <v>CEA</v>
      </c>
      <c r="H1209" s="4">
        <f t="shared" si="271"/>
        <v>4</v>
      </c>
      <c r="I1209" s="105" t="str">
        <f t="shared" si="272"/>
        <v>A</v>
      </c>
      <c r="J1209" s="4" t="str">
        <f t="shared" si="273"/>
        <v>CEI</v>
      </c>
      <c r="K1209" s="106">
        <f t="shared" si="274"/>
        <v>4</v>
      </c>
      <c r="L1209" s="106">
        <f>IF(NOT(ISERROR(VLOOKUP(B1209,Deflatores!G$42:H$64,2,FALSE))),VLOOKUP(B1209,Deflatores!G$42:H$64,2,FALSE),IF(OR(ISBLANK(C1209),ISBLANK(B1209)),"",VLOOKUP(C1209,Deflatores!G$4:H$38,2,FALSE)*H1209+VLOOKUP(C1209,Deflatores!G$4:I$38,3,FALSE)))</f>
        <v>4</v>
      </c>
      <c r="M1209" s="106"/>
      <c r="N1209" s="106"/>
      <c r="O1209" s="124"/>
    </row>
    <row r="1210" spans="1:15" x14ac:dyDescent="0.25">
      <c r="A1210" s="112" t="s">
        <v>1018</v>
      </c>
      <c r="B1210" s="113" t="s">
        <v>48</v>
      </c>
      <c r="C1210" s="113" t="s">
        <v>45</v>
      </c>
      <c r="D1210" s="4">
        <v>3</v>
      </c>
      <c r="E1210" s="4">
        <v>1</v>
      </c>
      <c r="F1210" s="106" t="str">
        <f t="shared" si="269"/>
        <v>Baixa</v>
      </c>
      <c r="G1210" s="106" t="str">
        <f t="shared" si="270"/>
        <v>EEL</v>
      </c>
      <c r="H1210" s="4">
        <f t="shared" si="271"/>
        <v>3</v>
      </c>
      <c r="I1210" s="105" t="str">
        <f t="shared" si="272"/>
        <v>L</v>
      </c>
      <c r="J1210" s="4" t="str">
        <f t="shared" si="273"/>
        <v>EEI</v>
      </c>
      <c r="K1210" s="106">
        <f t="shared" si="274"/>
        <v>3</v>
      </c>
      <c r="L1210" s="106">
        <f>IF(NOT(ISERROR(VLOOKUP(B1210,Deflatores!G$42:H$64,2,FALSE))),VLOOKUP(B1210,Deflatores!G$42:H$64,2,FALSE),IF(OR(ISBLANK(C1210),ISBLANK(B1210)),"",VLOOKUP(C1210,Deflatores!G$4:H$38,2,FALSE)*H1210+VLOOKUP(C1210,Deflatores!G$4:I$38,3,FALSE)))</f>
        <v>3</v>
      </c>
      <c r="M1210" s="106"/>
      <c r="N1210" s="106"/>
      <c r="O1210" s="124"/>
    </row>
    <row r="1211" spans="1:15" x14ac:dyDescent="0.25">
      <c r="A1211" s="112"/>
      <c r="B1211" s="113"/>
      <c r="C1211" s="113"/>
      <c r="D1211" s="4"/>
      <c r="E1211" s="4"/>
      <c r="F1211" s="106" t="str">
        <f t="shared" si="269"/>
        <v/>
      </c>
      <c r="G1211" s="106" t="str">
        <f t="shared" si="270"/>
        <v/>
      </c>
      <c r="H1211" s="4" t="str">
        <f t="shared" si="271"/>
        <v/>
      </c>
      <c r="I1211" s="105" t="str">
        <f t="shared" si="272"/>
        <v/>
      </c>
      <c r="J1211" s="4" t="str">
        <f t="shared" si="273"/>
        <v/>
      </c>
      <c r="K1211" s="106" t="str">
        <f t="shared" si="274"/>
        <v/>
      </c>
      <c r="L1211" s="106" t="str">
        <f>IF(NOT(ISERROR(VLOOKUP(B1211,Deflatores!G$42:H$64,2,FALSE))),VLOOKUP(B1211,Deflatores!G$42:H$64,2,FALSE),IF(OR(ISBLANK(C1211),ISBLANK(B1211)),"",VLOOKUP(C1211,Deflatores!G$4:H$38,2,FALSE)*H1211+VLOOKUP(C1211,Deflatores!G$4:I$38,3,FALSE)))</f>
        <v/>
      </c>
      <c r="M1211" s="106"/>
      <c r="N1211" s="106"/>
      <c r="O1211" s="124"/>
    </row>
    <row r="1212" spans="1:15" x14ac:dyDescent="0.25">
      <c r="A1212" s="115" t="s">
        <v>1019</v>
      </c>
      <c r="B1212" s="113"/>
      <c r="C1212" s="113"/>
      <c r="D1212" s="4"/>
      <c r="E1212" s="4"/>
      <c r="F1212" s="106" t="str">
        <f t="shared" si="269"/>
        <v/>
      </c>
      <c r="G1212" s="106" t="str">
        <f t="shared" si="270"/>
        <v/>
      </c>
      <c r="H1212" s="4" t="str">
        <f t="shared" si="271"/>
        <v/>
      </c>
      <c r="I1212" s="105" t="str">
        <f t="shared" si="272"/>
        <v/>
      </c>
      <c r="J1212" s="4" t="str">
        <f t="shared" si="273"/>
        <v/>
      </c>
      <c r="K1212" s="106" t="str">
        <f t="shared" si="274"/>
        <v/>
      </c>
      <c r="L1212" s="106" t="str">
        <f>IF(NOT(ISERROR(VLOOKUP(B1212,Deflatores!G$42:H$64,2,FALSE))),VLOOKUP(B1212,Deflatores!G$42:H$64,2,FALSE),IF(OR(ISBLANK(C1212),ISBLANK(B1212)),"",VLOOKUP(C1212,Deflatores!G$4:H$38,2,FALSE)*H1212+VLOOKUP(C1212,Deflatores!G$4:I$38,3,FALSE)))</f>
        <v/>
      </c>
      <c r="M1212" s="106"/>
      <c r="N1212" s="106"/>
      <c r="O1212" s="124"/>
    </row>
    <row r="1213" spans="1:15" x14ac:dyDescent="0.25">
      <c r="A1213" s="112" t="s">
        <v>1020</v>
      </c>
      <c r="B1213" s="113" t="s">
        <v>48</v>
      </c>
      <c r="C1213" s="113" t="s">
        <v>45</v>
      </c>
      <c r="D1213" s="4">
        <v>23</v>
      </c>
      <c r="E1213" s="4">
        <v>5</v>
      </c>
      <c r="F1213" s="106" t="str">
        <f t="shared" si="269"/>
        <v>Alta</v>
      </c>
      <c r="G1213" s="106" t="str">
        <f t="shared" si="270"/>
        <v>EEH</v>
      </c>
      <c r="H1213" s="4">
        <f t="shared" si="271"/>
        <v>6</v>
      </c>
      <c r="I1213" s="105" t="str">
        <f t="shared" si="272"/>
        <v>H</v>
      </c>
      <c r="J1213" s="4" t="str">
        <f t="shared" si="273"/>
        <v>EEI</v>
      </c>
      <c r="K1213" s="106">
        <f t="shared" si="274"/>
        <v>6</v>
      </c>
      <c r="L1213" s="106">
        <f>IF(NOT(ISERROR(VLOOKUP(B1213,Deflatores!G$42:H$64,2,FALSE))),VLOOKUP(B1213,Deflatores!G$42:H$64,2,FALSE),IF(OR(ISBLANK(C1213),ISBLANK(B1213)),"",VLOOKUP(C1213,Deflatores!G$4:H$38,2,FALSE)*H1213+VLOOKUP(C1213,Deflatores!G$4:I$38,3,FALSE)))</f>
        <v>6</v>
      </c>
      <c r="M1213" s="106"/>
      <c r="N1213" s="106"/>
      <c r="O1213" s="124"/>
    </row>
    <row r="1214" spans="1:15" x14ac:dyDescent="0.25">
      <c r="A1214" s="112" t="s">
        <v>1021</v>
      </c>
      <c r="B1214" s="113" t="s">
        <v>50</v>
      </c>
      <c r="C1214" s="113" t="s">
        <v>45</v>
      </c>
      <c r="D1214" s="4">
        <v>23</v>
      </c>
      <c r="E1214" s="4">
        <v>5</v>
      </c>
      <c r="F1214" s="106" t="str">
        <f t="shared" si="269"/>
        <v>Alta</v>
      </c>
      <c r="G1214" s="106" t="str">
        <f t="shared" si="270"/>
        <v>CEH</v>
      </c>
      <c r="H1214" s="4">
        <f t="shared" si="271"/>
        <v>6</v>
      </c>
      <c r="I1214" s="105" t="str">
        <f t="shared" si="272"/>
        <v>H</v>
      </c>
      <c r="J1214" s="4" t="str">
        <f t="shared" si="273"/>
        <v>CEI</v>
      </c>
      <c r="K1214" s="106">
        <f t="shared" si="274"/>
        <v>6</v>
      </c>
      <c r="L1214" s="106">
        <f>IF(NOT(ISERROR(VLOOKUP(B1214,Deflatores!G$42:H$64,2,FALSE))),VLOOKUP(B1214,Deflatores!G$42:H$64,2,FALSE),IF(OR(ISBLANK(C1214),ISBLANK(B1214)),"",VLOOKUP(C1214,Deflatores!G$4:H$38,2,FALSE)*H1214+VLOOKUP(C1214,Deflatores!G$4:I$38,3,FALSE)))</f>
        <v>6</v>
      </c>
      <c r="M1214" s="106"/>
      <c r="N1214" s="106"/>
      <c r="O1214" s="124"/>
    </row>
    <row r="1215" spans="1:15" x14ac:dyDescent="0.25">
      <c r="A1215" s="112"/>
      <c r="B1215" s="113"/>
      <c r="C1215" s="113"/>
      <c r="D1215" s="4"/>
      <c r="E1215" s="4"/>
      <c r="F1215" s="106" t="str">
        <f t="shared" si="269"/>
        <v/>
      </c>
      <c r="G1215" s="106" t="str">
        <f t="shared" si="270"/>
        <v/>
      </c>
      <c r="H1215" s="4" t="str">
        <f t="shared" si="271"/>
        <v/>
      </c>
      <c r="I1215" s="105" t="str">
        <f t="shared" si="272"/>
        <v/>
      </c>
      <c r="J1215" s="4" t="str">
        <f t="shared" si="273"/>
        <v/>
      </c>
      <c r="K1215" s="106" t="str">
        <f t="shared" si="274"/>
        <v/>
      </c>
      <c r="L1215" s="106" t="str">
        <f>IF(NOT(ISERROR(VLOOKUP(B1215,Deflatores!G$42:H$64,2,FALSE))),VLOOKUP(B1215,Deflatores!G$42:H$64,2,FALSE),IF(OR(ISBLANK(C1215),ISBLANK(B1215)),"",VLOOKUP(C1215,Deflatores!G$4:H$38,2,FALSE)*H1215+VLOOKUP(C1215,Deflatores!G$4:I$38,3,FALSE)))</f>
        <v/>
      </c>
      <c r="M1215" s="106"/>
      <c r="N1215" s="106"/>
      <c r="O1215" s="124"/>
    </row>
    <row r="1216" spans="1:15" x14ac:dyDescent="0.25">
      <c r="A1216" s="115" t="s">
        <v>1022</v>
      </c>
      <c r="B1216" s="113"/>
      <c r="C1216" s="113"/>
      <c r="D1216" s="4"/>
      <c r="E1216" s="4"/>
      <c r="F1216" s="106" t="str">
        <f t="shared" si="269"/>
        <v/>
      </c>
      <c r="G1216" s="106" t="str">
        <f t="shared" si="270"/>
        <v/>
      </c>
      <c r="H1216" s="4" t="str">
        <f t="shared" si="271"/>
        <v/>
      </c>
      <c r="I1216" s="105" t="str">
        <f t="shared" si="272"/>
        <v/>
      </c>
      <c r="J1216" s="4" t="str">
        <f t="shared" si="273"/>
        <v/>
      </c>
      <c r="K1216" s="106" t="str">
        <f t="shared" si="274"/>
        <v/>
      </c>
      <c r="L1216" s="106" t="str">
        <f>IF(NOT(ISERROR(VLOOKUP(B1216,Deflatores!G$42:H$64,2,FALSE))),VLOOKUP(B1216,Deflatores!G$42:H$64,2,FALSE),IF(OR(ISBLANK(C1216),ISBLANK(B1216)),"",VLOOKUP(C1216,Deflatores!G$4:H$38,2,FALSE)*H1216+VLOOKUP(C1216,Deflatores!G$4:I$38,3,FALSE)))</f>
        <v/>
      </c>
      <c r="M1216" s="106"/>
      <c r="N1216" s="106"/>
      <c r="O1216" s="124"/>
    </row>
    <row r="1217" spans="1:15" x14ac:dyDescent="0.25">
      <c r="A1217" s="112" t="s">
        <v>1023</v>
      </c>
      <c r="B1217" s="113" t="s">
        <v>44</v>
      </c>
      <c r="C1217" s="113" t="s">
        <v>45</v>
      </c>
      <c r="D1217" s="4">
        <v>8</v>
      </c>
      <c r="E1217" s="4">
        <v>1</v>
      </c>
      <c r="F1217" s="106" t="str">
        <f t="shared" si="269"/>
        <v>Baixa</v>
      </c>
      <c r="G1217" s="106" t="str">
        <f t="shared" si="270"/>
        <v>ALIL</v>
      </c>
      <c r="H1217" s="4">
        <f t="shared" si="271"/>
        <v>7</v>
      </c>
      <c r="I1217" s="105" t="str">
        <f t="shared" si="272"/>
        <v>L</v>
      </c>
      <c r="J1217" s="4" t="str">
        <f t="shared" si="273"/>
        <v>ALII</v>
      </c>
      <c r="K1217" s="106">
        <f t="shared" si="274"/>
        <v>7</v>
      </c>
      <c r="L1217" s="106">
        <f>IF(NOT(ISERROR(VLOOKUP(B1217,Deflatores!G$42:H$64,2,FALSE))),VLOOKUP(B1217,Deflatores!G$42:H$64,2,FALSE),IF(OR(ISBLANK(C1217),ISBLANK(B1217)),"",VLOOKUP(C1217,Deflatores!G$4:H$38,2,FALSE)*H1217+VLOOKUP(C1217,Deflatores!G$4:I$38,3,FALSE)))</f>
        <v>7</v>
      </c>
      <c r="M1217" s="106"/>
      <c r="N1217" s="106"/>
      <c r="O1217" s="124"/>
    </row>
    <row r="1218" spans="1:15" x14ac:dyDescent="0.25">
      <c r="A1218" s="112" t="s">
        <v>1024</v>
      </c>
      <c r="B1218" s="113" t="s">
        <v>50</v>
      </c>
      <c r="C1218" s="113" t="s">
        <v>45</v>
      </c>
      <c r="D1218" s="4">
        <v>29</v>
      </c>
      <c r="E1218" s="4">
        <v>3</v>
      </c>
      <c r="F1218" s="106" t="str">
        <f t="shared" si="269"/>
        <v>Alta</v>
      </c>
      <c r="G1218" s="106" t="str">
        <f t="shared" si="270"/>
        <v>CEH</v>
      </c>
      <c r="H1218" s="4">
        <f t="shared" si="271"/>
        <v>6</v>
      </c>
      <c r="I1218" s="105" t="str">
        <f t="shared" si="272"/>
        <v>H</v>
      </c>
      <c r="J1218" s="4" t="str">
        <f t="shared" si="273"/>
        <v>CEI</v>
      </c>
      <c r="K1218" s="106">
        <f t="shared" si="274"/>
        <v>6</v>
      </c>
      <c r="L1218" s="106">
        <f>IF(NOT(ISERROR(VLOOKUP(B1218,Deflatores!G$42:H$64,2,FALSE))),VLOOKUP(B1218,Deflatores!G$42:H$64,2,FALSE),IF(OR(ISBLANK(C1218),ISBLANK(B1218)),"",VLOOKUP(C1218,Deflatores!G$4:H$38,2,FALSE)*H1218+VLOOKUP(C1218,Deflatores!G$4:I$38,3,FALSE)))</f>
        <v>6</v>
      </c>
      <c r="M1218" s="106"/>
      <c r="N1218" s="106"/>
      <c r="O1218" s="124"/>
    </row>
    <row r="1219" spans="1:15" x14ac:dyDescent="0.25">
      <c r="A1219" s="112" t="s">
        <v>1025</v>
      </c>
      <c r="B1219" s="113" t="s">
        <v>48</v>
      </c>
      <c r="C1219" s="113" t="s">
        <v>45</v>
      </c>
      <c r="D1219" s="4">
        <v>43</v>
      </c>
      <c r="E1219" s="4">
        <v>8</v>
      </c>
      <c r="F1219" s="106" t="str">
        <f t="shared" si="269"/>
        <v>Alta</v>
      </c>
      <c r="G1219" s="106" t="str">
        <f t="shared" si="270"/>
        <v>EEH</v>
      </c>
      <c r="H1219" s="4">
        <f t="shared" si="271"/>
        <v>6</v>
      </c>
      <c r="I1219" s="105" t="str">
        <f t="shared" si="272"/>
        <v>H</v>
      </c>
      <c r="J1219" s="4" t="str">
        <f t="shared" si="273"/>
        <v>EEI</v>
      </c>
      <c r="K1219" s="106">
        <f t="shared" si="274"/>
        <v>6</v>
      </c>
      <c r="L1219" s="106">
        <f>IF(NOT(ISERROR(VLOOKUP(B1219,Deflatores!G$42:H$64,2,FALSE))),VLOOKUP(B1219,Deflatores!G$42:H$64,2,FALSE),IF(OR(ISBLANK(C1219),ISBLANK(B1219)),"",VLOOKUP(C1219,Deflatores!G$4:H$38,2,FALSE)*H1219+VLOOKUP(C1219,Deflatores!G$4:I$38,3,FALSE)))</f>
        <v>6</v>
      </c>
      <c r="M1219" s="106"/>
      <c r="N1219" s="106"/>
      <c r="O1219" s="124"/>
    </row>
    <row r="1220" spans="1:15" x14ac:dyDescent="0.25">
      <c r="A1220" s="112" t="s">
        <v>1026</v>
      </c>
      <c r="B1220" s="113" t="s">
        <v>50</v>
      </c>
      <c r="C1220" s="113" t="s">
        <v>45</v>
      </c>
      <c r="D1220" s="4">
        <v>8</v>
      </c>
      <c r="E1220" s="4">
        <v>2</v>
      </c>
      <c r="F1220" s="106" t="str">
        <f t="shared" si="269"/>
        <v>Média</v>
      </c>
      <c r="G1220" s="106" t="str">
        <f t="shared" si="270"/>
        <v>CEA</v>
      </c>
      <c r="H1220" s="4">
        <f t="shared" si="271"/>
        <v>4</v>
      </c>
      <c r="I1220" s="105" t="str">
        <f t="shared" si="272"/>
        <v>A</v>
      </c>
      <c r="J1220" s="4" t="str">
        <f t="shared" si="273"/>
        <v>CEI</v>
      </c>
      <c r="K1220" s="106">
        <f t="shared" si="274"/>
        <v>4</v>
      </c>
      <c r="L1220" s="106">
        <f>IF(NOT(ISERROR(VLOOKUP(B1220,Deflatores!G$42:H$64,2,FALSE))),VLOOKUP(B1220,Deflatores!G$42:H$64,2,FALSE),IF(OR(ISBLANK(C1220),ISBLANK(B1220)),"",VLOOKUP(C1220,Deflatores!G$4:H$38,2,FALSE)*H1220+VLOOKUP(C1220,Deflatores!G$4:I$38,3,FALSE)))</f>
        <v>4</v>
      </c>
      <c r="M1220" s="106"/>
      <c r="N1220" s="106"/>
      <c r="O1220" s="124"/>
    </row>
    <row r="1221" spans="1:15" x14ac:dyDescent="0.25">
      <c r="A1221" s="112" t="s">
        <v>1027</v>
      </c>
      <c r="B1221" s="113" t="s">
        <v>48</v>
      </c>
      <c r="C1221" s="113" t="s">
        <v>45</v>
      </c>
      <c r="D1221" s="4">
        <v>9</v>
      </c>
      <c r="E1221" s="4">
        <v>3</v>
      </c>
      <c r="F1221" s="106" t="str">
        <f t="shared" si="269"/>
        <v>Alta</v>
      </c>
      <c r="G1221" s="106" t="str">
        <f t="shared" si="270"/>
        <v>EEH</v>
      </c>
      <c r="H1221" s="4">
        <f t="shared" si="271"/>
        <v>6</v>
      </c>
      <c r="I1221" s="105" t="str">
        <f t="shared" si="272"/>
        <v>H</v>
      </c>
      <c r="J1221" s="4" t="str">
        <f t="shared" si="273"/>
        <v>EEI</v>
      </c>
      <c r="K1221" s="106">
        <f t="shared" si="274"/>
        <v>6</v>
      </c>
      <c r="L1221" s="106">
        <f>IF(NOT(ISERROR(VLOOKUP(B1221,Deflatores!G$42:H$64,2,FALSE))),VLOOKUP(B1221,Deflatores!G$42:H$64,2,FALSE),IF(OR(ISBLANK(C1221),ISBLANK(B1221)),"",VLOOKUP(C1221,Deflatores!G$4:H$38,2,FALSE)*H1221+VLOOKUP(C1221,Deflatores!G$4:I$38,3,FALSE)))</f>
        <v>6</v>
      </c>
      <c r="M1221" s="106"/>
      <c r="N1221" s="106"/>
      <c r="O1221" s="124"/>
    </row>
    <row r="1222" spans="1:15" x14ac:dyDescent="0.25">
      <c r="A1222" s="112" t="s">
        <v>1028</v>
      </c>
      <c r="B1222" s="113" t="s">
        <v>48</v>
      </c>
      <c r="C1222" s="113" t="s">
        <v>45</v>
      </c>
      <c r="D1222" s="4">
        <v>9</v>
      </c>
      <c r="E1222" s="4">
        <v>2</v>
      </c>
      <c r="F1222" s="106" t="str">
        <f t="shared" si="269"/>
        <v>Média</v>
      </c>
      <c r="G1222" s="106" t="str">
        <f t="shared" si="270"/>
        <v>EEA</v>
      </c>
      <c r="H1222" s="4">
        <f t="shared" si="271"/>
        <v>4</v>
      </c>
      <c r="I1222" s="105" t="str">
        <f t="shared" si="272"/>
        <v>A</v>
      </c>
      <c r="J1222" s="4" t="str">
        <f t="shared" si="273"/>
        <v>EEI</v>
      </c>
      <c r="K1222" s="106">
        <f t="shared" si="274"/>
        <v>4</v>
      </c>
      <c r="L1222" s="106">
        <f>IF(NOT(ISERROR(VLOOKUP(B1222,Deflatores!G$42:H$64,2,FALSE))),VLOOKUP(B1222,Deflatores!G$42:H$64,2,FALSE),IF(OR(ISBLANK(C1222),ISBLANK(B1222)),"",VLOOKUP(C1222,Deflatores!G$4:H$38,2,FALSE)*H1222+VLOOKUP(C1222,Deflatores!G$4:I$38,3,FALSE)))</f>
        <v>4</v>
      </c>
      <c r="M1222" s="106"/>
      <c r="N1222" s="106"/>
      <c r="O1222" s="124"/>
    </row>
    <row r="1223" spans="1:15" ht="22" x14ac:dyDescent="0.25">
      <c r="A1223" s="114" t="s">
        <v>1029</v>
      </c>
      <c r="B1223" s="113" t="s">
        <v>50</v>
      </c>
      <c r="C1223" s="113" t="s">
        <v>45</v>
      </c>
      <c r="D1223" s="4">
        <v>7</v>
      </c>
      <c r="E1223" s="4">
        <v>2</v>
      </c>
      <c r="F1223" s="106" t="str">
        <f t="shared" si="269"/>
        <v>Média</v>
      </c>
      <c r="G1223" s="106" t="str">
        <f t="shared" si="270"/>
        <v>CEA</v>
      </c>
      <c r="H1223" s="4">
        <f t="shared" si="271"/>
        <v>4</v>
      </c>
      <c r="I1223" s="105" t="str">
        <f t="shared" si="272"/>
        <v>A</v>
      </c>
      <c r="J1223" s="4" t="str">
        <f t="shared" si="273"/>
        <v>CEI</v>
      </c>
      <c r="K1223" s="106">
        <f t="shared" si="274"/>
        <v>4</v>
      </c>
      <c r="L1223" s="106">
        <f>IF(NOT(ISERROR(VLOOKUP(B1223,Deflatores!G$42:H$64,2,FALSE))),VLOOKUP(B1223,Deflatores!G$42:H$64,2,FALSE),IF(OR(ISBLANK(C1223),ISBLANK(B1223)),"",VLOOKUP(C1223,Deflatores!G$4:H$38,2,FALSE)*H1223+VLOOKUP(C1223,Deflatores!G$4:I$38,3,FALSE)))</f>
        <v>4</v>
      </c>
      <c r="M1223" s="106"/>
      <c r="N1223" s="106"/>
      <c r="O1223" s="124"/>
    </row>
    <row r="1224" spans="1:15" x14ac:dyDescent="0.25">
      <c r="A1224" s="112" t="s">
        <v>1030</v>
      </c>
      <c r="B1224" s="113" t="s">
        <v>50</v>
      </c>
      <c r="C1224" s="113" t="s">
        <v>45</v>
      </c>
      <c r="D1224" s="4">
        <v>9</v>
      </c>
      <c r="E1224" s="4">
        <v>2</v>
      </c>
      <c r="F1224" s="106" t="str">
        <f t="shared" si="269"/>
        <v>Média</v>
      </c>
      <c r="G1224" s="106" t="str">
        <f t="shared" si="270"/>
        <v>CEA</v>
      </c>
      <c r="H1224" s="4">
        <f t="shared" si="271"/>
        <v>4</v>
      </c>
      <c r="I1224" s="105" t="str">
        <f t="shared" si="272"/>
        <v>A</v>
      </c>
      <c r="J1224" s="4" t="str">
        <f t="shared" si="273"/>
        <v>CEI</v>
      </c>
      <c r="K1224" s="106">
        <f t="shared" si="274"/>
        <v>4</v>
      </c>
      <c r="L1224" s="106">
        <f>IF(NOT(ISERROR(VLOOKUP(B1224,Deflatores!G$42:H$64,2,FALSE))),VLOOKUP(B1224,Deflatores!G$42:H$64,2,FALSE),IF(OR(ISBLANK(C1224),ISBLANK(B1224)),"",VLOOKUP(C1224,Deflatores!G$4:H$38,2,FALSE)*H1224+VLOOKUP(C1224,Deflatores!G$4:I$38,3,FALSE)))</f>
        <v>4</v>
      </c>
      <c r="M1224" s="106"/>
      <c r="N1224" s="106"/>
      <c r="O1224" s="124"/>
    </row>
    <row r="1225" spans="1:15" x14ac:dyDescent="0.25">
      <c r="A1225" s="112" t="s">
        <v>1031</v>
      </c>
      <c r="B1225" s="113" t="s">
        <v>48</v>
      </c>
      <c r="C1225" s="113" t="s">
        <v>45</v>
      </c>
      <c r="D1225" s="4">
        <v>3</v>
      </c>
      <c r="E1225" s="4">
        <v>1</v>
      </c>
      <c r="F1225" s="106" t="str">
        <f t="shared" si="269"/>
        <v>Baixa</v>
      </c>
      <c r="G1225" s="106" t="str">
        <f t="shared" si="270"/>
        <v>EEL</v>
      </c>
      <c r="H1225" s="4">
        <f t="shared" si="271"/>
        <v>3</v>
      </c>
      <c r="I1225" s="105" t="str">
        <f t="shared" si="272"/>
        <v>L</v>
      </c>
      <c r="J1225" s="4" t="str">
        <f t="shared" si="273"/>
        <v>EEI</v>
      </c>
      <c r="K1225" s="106">
        <f t="shared" si="274"/>
        <v>3</v>
      </c>
      <c r="L1225" s="106">
        <f>IF(NOT(ISERROR(VLOOKUP(B1225,Deflatores!G$42:H$64,2,FALSE))),VLOOKUP(B1225,Deflatores!G$42:H$64,2,FALSE),IF(OR(ISBLANK(C1225),ISBLANK(B1225)),"",VLOOKUP(C1225,Deflatores!G$4:H$38,2,FALSE)*H1225+VLOOKUP(C1225,Deflatores!G$4:I$38,3,FALSE)))</f>
        <v>3</v>
      </c>
      <c r="M1225" s="106"/>
      <c r="N1225" s="106"/>
      <c r="O1225" s="124"/>
    </row>
    <row r="1226" spans="1:15" x14ac:dyDescent="0.25">
      <c r="A1226" s="112" t="s">
        <v>1032</v>
      </c>
      <c r="B1226" s="113" t="s">
        <v>50</v>
      </c>
      <c r="C1226" s="113" t="s">
        <v>45</v>
      </c>
      <c r="D1226" s="4">
        <v>15</v>
      </c>
      <c r="E1226" s="4">
        <v>1</v>
      </c>
      <c r="F1226" s="106" t="str">
        <f t="shared" si="269"/>
        <v>Baixa</v>
      </c>
      <c r="G1226" s="106" t="str">
        <f t="shared" si="270"/>
        <v>CEL</v>
      </c>
      <c r="H1226" s="4">
        <f t="shared" si="271"/>
        <v>3</v>
      </c>
      <c r="I1226" s="105" t="str">
        <f t="shared" si="272"/>
        <v>L</v>
      </c>
      <c r="J1226" s="4" t="str">
        <f t="shared" si="273"/>
        <v>CEI</v>
      </c>
      <c r="K1226" s="106">
        <f t="shared" si="274"/>
        <v>3</v>
      </c>
      <c r="L1226" s="106">
        <f>IF(NOT(ISERROR(VLOOKUP(B1226,Deflatores!G$42:H$64,2,FALSE))),VLOOKUP(B1226,Deflatores!G$42:H$64,2,FALSE),IF(OR(ISBLANK(C1226),ISBLANK(B1226)),"",VLOOKUP(C1226,Deflatores!G$4:H$38,2,FALSE)*H1226+VLOOKUP(C1226,Deflatores!G$4:I$38,3,FALSE)))</f>
        <v>3</v>
      </c>
      <c r="M1226" s="106"/>
      <c r="N1226" s="106"/>
      <c r="O1226" s="124"/>
    </row>
    <row r="1227" spans="1:15" x14ac:dyDescent="0.25">
      <c r="A1227" s="112"/>
      <c r="B1227" s="113"/>
      <c r="C1227" s="113"/>
      <c r="D1227" s="4"/>
      <c r="E1227" s="4"/>
      <c r="F1227" s="106" t="str">
        <f t="shared" si="269"/>
        <v/>
      </c>
      <c r="G1227" s="106" t="str">
        <f t="shared" si="270"/>
        <v/>
      </c>
      <c r="H1227" s="4" t="str">
        <f t="shared" si="271"/>
        <v/>
      </c>
      <c r="I1227" s="105" t="str">
        <f t="shared" si="272"/>
        <v/>
      </c>
      <c r="J1227" s="4" t="str">
        <f t="shared" si="273"/>
        <v/>
      </c>
      <c r="K1227" s="106" t="str">
        <f t="shared" si="274"/>
        <v/>
      </c>
      <c r="L1227" s="106" t="str">
        <f>IF(NOT(ISERROR(VLOOKUP(B1227,Deflatores!G$42:H$64,2,FALSE))),VLOOKUP(B1227,Deflatores!G$42:H$64,2,FALSE),IF(OR(ISBLANK(C1227),ISBLANK(B1227)),"",VLOOKUP(C1227,Deflatores!G$4:H$38,2,FALSE)*H1227+VLOOKUP(C1227,Deflatores!G$4:I$38,3,FALSE)))</f>
        <v/>
      </c>
      <c r="M1227" s="106"/>
      <c r="N1227" s="106"/>
      <c r="O1227" s="124"/>
    </row>
    <row r="1228" spans="1:15" x14ac:dyDescent="0.25">
      <c r="A1228" s="115" t="s">
        <v>1033</v>
      </c>
      <c r="B1228" s="113"/>
      <c r="C1228" s="113"/>
      <c r="D1228" s="4"/>
      <c r="E1228" s="4"/>
      <c r="F1228" s="106" t="str">
        <f t="shared" si="269"/>
        <v/>
      </c>
      <c r="G1228" s="106" t="str">
        <f t="shared" si="270"/>
        <v/>
      </c>
      <c r="H1228" s="4" t="str">
        <f t="shared" si="271"/>
        <v/>
      </c>
      <c r="I1228" s="105" t="str">
        <f t="shared" si="272"/>
        <v/>
      </c>
      <c r="J1228" s="4" t="str">
        <f t="shared" si="273"/>
        <v/>
      </c>
      <c r="K1228" s="106" t="str">
        <f t="shared" si="274"/>
        <v/>
      </c>
      <c r="L1228" s="106" t="str">
        <f>IF(NOT(ISERROR(VLOOKUP(B1228,Deflatores!G$42:H$64,2,FALSE))),VLOOKUP(B1228,Deflatores!G$42:H$64,2,FALSE),IF(OR(ISBLANK(C1228),ISBLANK(B1228)),"",VLOOKUP(C1228,Deflatores!G$4:H$38,2,FALSE)*H1228+VLOOKUP(C1228,Deflatores!G$4:I$38,3,FALSE)))</f>
        <v/>
      </c>
      <c r="M1228" s="106"/>
      <c r="N1228" s="106"/>
      <c r="O1228" s="124"/>
    </row>
    <row r="1229" spans="1:15" x14ac:dyDescent="0.25">
      <c r="A1229" s="112" t="s">
        <v>1034</v>
      </c>
      <c r="B1229" s="113" t="s">
        <v>44</v>
      </c>
      <c r="C1229" s="113" t="s">
        <v>45</v>
      </c>
      <c r="D1229" s="4">
        <v>27</v>
      </c>
      <c r="E1229" s="4">
        <v>2</v>
      </c>
      <c r="F1229" s="106" t="str">
        <f t="shared" si="269"/>
        <v>Média</v>
      </c>
      <c r="G1229" s="106" t="str">
        <f t="shared" si="270"/>
        <v>ALIA</v>
      </c>
      <c r="H1229" s="4">
        <f t="shared" si="271"/>
        <v>10</v>
      </c>
      <c r="I1229" s="105" t="str">
        <f t="shared" si="272"/>
        <v>A</v>
      </c>
      <c r="J1229" s="4" t="str">
        <f t="shared" si="273"/>
        <v>ALII</v>
      </c>
      <c r="K1229" s="106">
        <f t="shared" si="274"/>
        <v>10</v>
      </c>
      <c r="L1229" s="106">
        <f>IF(NOT(ISERROR(VLOOKUP(B1229,Deflatores!G$42:H$64,2,FALSE))),VLOOKUP(B1229,Deflatores!G$42:H$64,2,FALSE),IF(OR(ISBLANK(C1229),ISBLANK(B1229)),"",VLOOKUP(C1229,Deflatores!G$4:H$38,2,FALSE)*H1229+VLOOKUP(C1229,Deflatores!G$4:I$38,3,FALSE)))</f>
        <v>10</v>
      </c>
      <c r="M1229" s="106"/>
      <c r="N1229" s="106"/>
      <c r="O1229" s="124"/>
    </row>
    <row r="1230" spans="1:15" x14ac:dyDescent="0.25">
      <c r="A1230" s="112" t="s">
        <v>1035</v>
      </c>
      <c r="B1230" s="113" t="s">
        <v>50</v>
      </c>
      <c r="C1230" s="113" t="s">
        <v>45</v>
      </c>
      <c r="D1230" s="4">
        <v>15</v>
      </c>
      <c r="E1230" s="4">
        <v>4</v>
      </c>
      <c r="F1230" s="106" t="str">
        <f t="shared" ref="F1230:F1265" si="293">IF(ISBLANK(B1230),"",IF(I1230="L","Baixa",IF(I1230="A","Média",IF(I1230="","","Alta"))))</f>
        <v>Alta</v>
      </c>
      <c r="G1230" s="106" t="str">
        <f t="shared" ref="G1230:G1265" si="294">CONCATENATE(B1230,I1230)</f>
        <v>CEH</v>
      </c>
      <c r="H1230" s="4">
        <f t="shared" ref="H1230:H1265" si="295">IF(ISBLANK(B1230),"",IF(B1230="ALI",IF(I1230="L",7,IF(I1230="A",10,15)),IF(B1230="AIE",IF(I1230="L",5,IF(I1230="A",7,10)),IF(B1230="SE",IF(I1230="L",4,IF(I1230="A",5,7)),IF(OR(B1230="EE",B1230="CE"),IF(I1230="L",3,IF(I1230="A",4,6)),0)))))</f>
        <v>6</v>
      </c>
      <c r="I1230" s="105" t="str">
        <f t="shared" ref="I1230:I1265" si="296">IF(OR(ISBLANK(D1230),ISBLANK(E1230)),IF(OR(B1230="ALI",B1230="AIE"),"L",IF(OR(B1230="EE",B1230="SE",B1230="CE"),"A","")),IF(B1230="EE",IF(E1230&gt;=3,IF(D1230&gt;=5,"H","A"),IF(E1230&gt;=2,IF(D1230&gt;=16,"H",IF(D1230&lt;=4,"L","A")),IF(D1230&lt;=15,"L","A"))),IF(OR(B1230="SE",B1230="CE"),IF(E1230&gt;=4,IF(D1230&gt;=6,"H","A"),IF(E1230&gt;=2,IF(D1230&gt;=20,"H",IF(D1230&lt;=5,"L","A")),IF(D1230&lt;=19,"L","A"))),IF(OR(B1230="ALI",B1230="AIE"),IF(E1230&gt;=6,IF(D1230&gt;=20,"H","A"),IF(E1230&gt;=2,IF(D1230&gt;=51,"H",IF(D1230&lt;=19,"L","A")),IF(D1230&lt;=50,"L","A"))),""))))</f>
        <v>H</v>
      </c>
      <c r="J1230" s="4" t="str">
        <f t="shared" ref="J1230:J1265" si="297">CONCATENATE(B1230,C1230)</f>
        <v>CEI</v>
      </c>
      <c r="K1230" s="106">
        <f t="shared" ref="K1230:K1265" si="298">IF(OR(H1230="",H1230=0),L1230,H1230)</f>
        <v>6</v>
      </c>
      <c r="L1230" s="106">
        <f>IF(NOT(ISERROR(VLOOKUP(B1230,Deflatores!G$42:H$64,2,FALSE))),VLOOKUP(B1230,Deflatores!G$42:H$64,2,FALSE),IF(OR(ISBLANK(C1230),ISBLANK(B1230)),"",VLOOKUP(C1230,Deflatores!G$4:H$38,2,FALSE)*H1230+VLOOKUP(C1230,Deflatores!G$4:I$38,3,FALSE)))</f>
        <v>6</v>
      </c>
      <c r="M1230" s="106"/>
      <c r="N1230" s="106"/>
      <c r="O1230" s="124"/>
    </row>
    <row r="1231" spans="1:15" x14ac:dyDescent="0.25">
      <c r="A1231" s="112" t="s">
        <v>1036</v>
      </c>
      <c r="B1231" s="113" t="s">
        <v>50</v>
      </c>
      <c r="C1231" s="113" t="s">
        <v>45</v>
      </c>
      <c r="D1231" s="4">
        <v>15</v>
      </c>
      <c r="E1231" s="4">
        <v>4</v>
      </c>
      <c r="F1231" s="106" t="str">
        <f t="shared" si="293"/>
        <v>Alta</v>
      </c>
      <c r="G1231" s="106" t="str">
        <f t="shared" si="294"/>
        <v>CEH</v>
      </c>
      <c r="H1231" s="4">
        <f t="shared" si="295"/>
        <v>6</v>
      </c>
      <c r="I1231" s="105" t="str">
        <f t="shared" si="296"/>
        <v>H</v>
      </c>
      <c r="J1231" s="4" t="str">
        <f t="shared" si="297"/>
        <v>CEI</v>
      </c>
      <c r="K1231" s="106">
        <f t="shared" si="298"/>
        <v>6</v>
      </c>
      <c r="L1231" s="106">
        <f>IF(NOT(ISERROR(VLOOKUP(B1231,Deflatores!G$42:H$64,2,FALSE))),VLOOKUP(B1231,Deflatores!G$42:H$64,2,FALSE),IF(OR(ISBLANK(C1231),ISBLANK(B1231)),"",VLOOKUP(C1231,Deflatores!G$4:H$38,2,FALSE)*H1231+VLOOKUP(C1231,Deflatores!G$4:I$38,3,FALSE)))</f>
        <v>6</v>
      </c>
      <c r="M1231" s="106"/>
      <c r="N1231" s="106"/>
      <c r="O1231" s="124"/>
    </row>
    <row r="1232" spans="1:15" x14ac:dyDescent="0.25">
      <c r="A1232" s="114" t="s">
        <v>1037</v>
      </c>
      <c r="B1232" s="113" t="s">
        <v>50</v>
      </c>
      <c r="C1232" s="113" t="s">
        <v>45</v>
      </c>
      <c r="D1232" s="4">
        <v>3</v>
      </c>
      <c r="E1232" s="4">
        <v>1</v>
      </c>
      <c r="F1232" s="106" t="str">
        <f t="shared" si="293"/>
        <v>Baixa</v>
      </c>
      <c r="G1232" s="106" t="str">
        <f t="shared" si="294"/>
        <v>CEL</v>
      </c>
      <c r="H1232" s="4">
        <f t="shared" si="295"/>
        <v>3</v>
      </c>
      <c r="I1232" s="105" t="str">
        <f t="shared" si="296"/>
        <v>L</v>
      </c>
      <c r="J1232" s="4" t="str">
        <f t="shared" si="297"/>
        <v>CEI</v>
      </c>
      <c r="K1232" s="106">
        <f t="shared" si="298"/>
        <v>3</v>
      </c>
      <c r="L1232" s="106">
        <f>IF(NOT(ISERROR(VLOOKUP(B1232,Deflatores!G$42:H$64,2,FALSE))),VLOOKUP(B1232,Deflatores!G$42:H$64,2,FALSE),IF(OR(ISBLANK(C1232),ISBLANK(B1232)),"",VLOOKUP(C1232,Deflatores!G$4:H$38,2,FALSE)*H1232+VLOOKUP(C1232,Deflatores!G$4:I$38,3,FALSE)))</f>
        <v>3</v>
      </c>
      <c r="M1232" s="106"/>
      <c r="N1232" s="106"/>
      <c r="O1232" s="124"/>
    </row>
    <row r="1233" spans="1:15" x14ac:dyDescent="0.25">
      <c r="A1233" s="114" t="s">
        <v>1038</v>
      </c>
      <c r="B1233" s="113" t="s">
        <v>50</v>
      </c>
      <c r="C1233" s="113" t="s">
        <v>45</v>
      </c>
      <c r="D1233" s="4">
        <v>5</v>
      </c>
      <c r="E1233" s="4">
        <v>1</v>
      </c>
      <c r="F1233" s="106" t="str">
        <f t="shared" si="293"/>
        <v>Baixa</v>
      </c>
      <c r="G1233" s="106" t="str">
        <f t="shared" si="294"/>
        <v>CEL</v>
      </c>
      <c r="H1233" s="4">
        <f t="shared" si="295"/>
        <v>3</v>
      </c>
      <c r="I1233" s="105" t="str">
        <f t="shared" si="296"/>
        <v>L</v>
      </c>
      <c r="J1233" s="4" t="str">
        <f t="shared" si="297"/>
        <v>CEI</v>
      </c>
      <c r="K1233" s="106">
        <f t="shared" si="298"/>
        <v>3</v>
      </c>
      <c r="L1233" s="106">
        <f>IF(NOT(ISERROR(VLOOKUP(B1233,Deflatores!G$42:H$64,2,FALSE))),VLOOKUP(B1233,Deflatores!G$42:H$64,2,FALSE),IF(OR(ISBLANK(C1233),ISBLANK(B1233)),"",VLOOKUP(C1233,Deflatores!G$4:H$38,2,FALSE)*H1233+VLOOKUP(C1233,Deflatores!G$4:I$38,3,FALSE)))</f>
        <v>3</v>
      </c>
      <c r="M1233" s="106"/>
      <c r="N1233" s="106"/>
      <c r="O1233" s="124"/>
    </row>
    <row r="1234" spans="1:15" x14ac:dyDescent="0.25">
      <c r="A1234" s="112" t="s">
        <v>1039</v>
      </c>
      <c r="B1234" s="113" t="s">
        <v>48</v>
      </c>
      <c r="C1234" s="113" t="s">
        <v>45</v>
      </c>
      <c r="D1234" s="4">
        <v>33</v>
      </c>
      <c r="E1234" s="4">
        <v>4</v>
      </c>
      <c r="F1234" s="106" t="str">
        <f t="shared" si="293"/>
        <v>Alta</v>
      </c>
      <c r="G1234" s="106" t="str">
        <f t="shared" si="294"/>
        <v>EEH</v>
      </c>
      <c r="H1234" s="4">
        <f t="shared" si="295"/>
        <v>6</v>
      </c>
      <c r="I1234" s="105" t="str">
        <f t="shared" si="296"/>
        <v>H</v>
      </c>
      <c r="J1234" s="4" t="str">
        <f t="shared" si="297"/>
        <v>EEI</v>
      </c>
      <c r="K1234" s="106">
        <f t="shared" si="298"/>
        <v>6</v>
      </c>
      <c r="L1234" s="106">
        <f>IF(NOT(ISERROR(VLOOKUP(B1234,Deflatores!G$42:H$64,2,FALSE))),VLOOKUP(B1234,Deflatores!G$42:H$64,2,FALSE),IF(OR(ISBLANK(C1234),ISBLANK(B1234)),"",VLOOKUP(C1234,Deflatores!G$4:H$38,2,FALSE)*H1234+VLOOKUP(C1234,Deflatores!G$4:I$38,3,FALSE)))</f>
        <v>6</v>
      </c>
      <c r="M1234" s="106"/>
      <c r="N1234" s="106"/>
      <c r="O1234" s="124"/>
    </row>
    <row r="1235" spans="1:15" x14ac:dyDescent="0.25">
      <c r="A1235" s="114" t="s">
        <v>1040</v>
      </c>
      <c r="B1235" s="113" t="s">
        <v>50</v>
      </c>
      <c r="C1235" s="113" t="s">
        <v>45</v>
      </c>
      <c r="D1235" s="4">
        <v>3</v>
      </c>
      <c r="E1235" s="4">
        <v>1</v>
      </c>
      <c r="F1235" s="106" t="str">
        <f t="shared" si="293"/>
        <v>Baixa</v>
      </c>
      <c r="G1235" s="106" t="str">
        <f t="shared" si="294"/>
        <v>CEL</v>
      </c>
      <c r="H1235" s="4">
        <f t="shared" si="295"/>
        <v>3</v>
      </c>
      <c r="I1235" s="105" t="str">
        <f t="shared" si="296"/>
        <v>L</v>
      </c>
      <c r="J1235" s="4" t="str">
        <f t="shared" si="297"/>
        <v>CEI</v>
      </c>
      <c r="K1235" s="106">
        <f t="shared" si="298"/>
        <v>3</v>
      </c>
      <c r="L1235" s="106">
        <f>IF(NOT(ISERROR(VLOOKUP(B1235,Deflatores!G$42:H$64,2,FALSE))),VLOOKUP(B1235,Deflatores!G$42:H$64,2,FALSE),IF(OR(ISBLANK(C1235),ISBLANK(B1235)),"",VLOOKUP(C1235,Deflatores!G$4:H$38,2,FALSE)*H1235+VLOOKUP(C1235,Deflatores!G$4:I$38,3,FALSE)))</f>
        <v>3</v>
      </c>
      <c r="M1235" s="106"/>
      <c r="N1235" s="106"/>
      <c r="O1235" s="124"/>
    </row>
    <row r="1236" spans="1:15" x14ac:dyDescent="0.25">
      <c r="A1236" s="112" t="s">
        <v>1041</v>
      </c>
      <c r="B1236" s="113" t="s">
        <v>48</v>
      </c>
      <c r="C1236" s="113" t="s">
        <v>45</v>
      </c>
      <c r="D1236" s="4">
        <v>33</v>
      </c>
      <c r="E1236" s="4">
        <v>4</v>
      </c>
      <c r="F1236" s="106" t="str">
        <f t="shared" si="293"/>
        <v>Alta</v>
      </c>
      <c r="G1236" s="106" t="str">
        <f t="shared" si="294"/>
        <v>EEH</v>
      </c>
      <c r="H1236" s="4">
        <f t="shared" si="295"/>
        <v>6</v>
      </c>
      <c r="I1236" s="105" t="str">
        <f t="shared" si="296"/>
        <v>H</v>
      </c>
      <c r="J1236" s="4" t="str">
        <f t="shared" si="297"/>
        <v>EEI</v>
      </c>
      <c r="K1236" s="106">
        <f t="shared" si="298"/>
        <v>6</v>
      </c>
      <c r="L1236" s="106">
        <f>IF(NOT(ISERROR(VLOOKUP(B1236,Deflatores!G$42:H$64,2,FALSE))),VLOOKUP(B1236,Deflatores!G$42:H$64,2,FALSE),IF(OR(ISBLANK(C1236),ISBLANK(B1236)),"",VLOOKUP(C1236,Deflatores!G$4:H$38,2,FALSE)*H1236+VLOOKUP(C1236,Deflatores!G$4:I$38,3,FALSE)))</f>
        <v>6</v>
      </c>
      <c r="M1236" s="106"/>
      <c r="N1236" s="106"/>
      <c r="O1236" s="124"/>
    </row>
    <row r="1237" spans="1:15" x14ac:dyDescent="0.25">
      <c r="A1237" s="114" t="s">
        <v>1042</v>
      </c>
      <c r="B1237" s="113" t="s">
        <v>50</v>
      </c>
      <c r="C1237" s="113" t="s">
        <v>45</v>
      </c>
      <c r="D1237" s="4">
        <v>31</v>
      </c>
      <c r="E1237" s="4">
        <v>3</v>
      </c>
      <c r="F1237" s="106" t="str">
        <f t="shared" si="293"/>
        <v>Alta</v>
      </c>
      <c r="G1237" s="106" t="str">
        <f t="shared" si="294"/>
        <v>CEH</v>
      </c>
      <c r="H1237" s="4">
        <f t="shared" si="295"/>
        <v>6</v>
      </c>
      <c r="I1237" s="105" t="str">
        <f t="shared" si="296"/>
        <v>H</v>
      </c>
      <c r="J1237" s="4" t="str">
        <f t="shared" si="297"/>
        <v>CEI</v>
      </c>
      <c r="K1237" s="106">
        <f t="shared" si="298"/>
        <v>6</v>
      </c>
      <c r="L1237" s="106">
        <f>IF(NOT(ISERROR(VLOOKUP(B1237,Deflatores!G$42:H$64,2,FALSE))),VLOOKUP(B1237,Deflatores!G$42:H$64,2,FALSE),IF(OR(ISBLANK(C1237),ISBLANK(B1237)),"",VLOOKUP(C1237,Deflatores!G$4:H$38,2,FALSE)*H1237+VLOOKUP(C1237,Deflatores!G$4:I$38,3,FALSE)))</f>
        <v>6</v>
      </c>
      <c r="M1237" s="106"/>
      <c r="N1237" s="106"/>
      <c r="O1237" s="124"/>
    </row>
    <row r="1238" spans="1:15" x14ac:dyDescent="0.25">
      <c r="A1238" s="112" t="s">
        <v>1043</v>
      </c>
      <c r="B1238" s="113" t="s">
        <v>50</v>
      </c>
      <c r="C1238" s="113" t="s">
        <v>45</v>
      </c>
      <c r="D1238" s="4">
        <v>33</v>
      </c>
      <c r="E1238" s="4">
        <v>3</v>
      </c>
      <c r="F1238" s="106" t="str">
        <f t="shared" si="293"/>
        <v>Alta</v>
      </c>
      <c r="G1238" s="106" t="str">
        <f t="shared" si="294"/>
        <v>CEH</v>
      </c>
      <c r="H1238" s="4">
        <f t="shared" si="295"/>
        <v>6</v>
      </c>
      <c r="I1238" s="105" t="str">
        <f t="shared" si="296"/>
        <v>H</v>
      </c>
      <c r="J1238" s="4" t="str">
        <f t="shared" si="297"/>
        <v>CEI</v>
      </c>
      <c r="K1238" s="106">
        <f t="shared" si="298"/>
        <v>6</v>
      </c>
      <c r="L1238" s="106">
        <f>IF(NOT(ISERROR(VLOOKUP(B1238,Deflatores!G$42:H$64,2,FALSE))),VLOOKUP(B1238,Deflatores!G$42:H$64,2,FALSE),IF(OR(ISBLANK(C1238),ISBLANK(B1238)),"",VLOOKUP(C1238,Deflatores!G$4:H$38,2,FALSE)*H1238+VLOOKUP(C1238,Deflatores!G$4:I$38,3,FALSE)))</f>
        <v>6</v>
      </c>
      <c r="M1238" s="106"/>
      <c r="N1238" s="106"/>
      <c r="O1238" s="124"/>
    </row>
    <row r="1239" spans="1:15" x14ac:dyDescent="0.25">
      <c r="A1239" s="112" t="s">
        <v>1044</v>
      </c>
      <c r="B1239" s="113" t="s">
        <v>48</v>
      </c>
      <c r="C1239" s="113" t="s">
        <v>45</v>
      </c>
      <c r="D1239" s="4">
        <v>3</v>
      </c>
      <c r="E1239" s="4">
        <v>1</v>
      </c>
      <c r="F1239" s="106" t="str">
        <f t="shared" si="293"/>
        <v>Baixa</v>
      </c>
      <c r="G1239" s="106" t="str">
        <f t="shared" si="294"/>
        <v>EEL</v>
      </c>
      <c r="H1239" s="4">
        <f t="shared" si="295"/>
        <v>3</v>
      </c>
      <c r="I1239" s="105" t="str">
        <f t="shared" si="296"/>
        <v>L</v>
      </c>
      <c r="J1239" s="4" t="str">
        <f t="shared" si="297"/>
        <v>EEI</v>
      </c>
      <c r="K1239" s="106">
        <f t="shared" si="298"/>
        <v>3</v>
      </c>
      <c r="L1239" s="106">
        <f>IF(NOT(ISERROR(VLOOKUP(B1239,Deflatores!G$42:H$64,2,FALSE))),VLOOKUP(B1239,Deflatores!G$42:H$64,2,FALSE),IF(OR(ISBLANK(C1239),ISBLANK(B1239)),"",VLOOKUP(C1239,Deflatores!G$4:H$38,2,FALSE)*H1239+VLOOKUP(C1239,Deflatores!G$4:I$38,3,FALSE)))</f>
        <v>3</v>
      </c>
      <c r="M1239" s="106"/>
      <c r="N1239" s="106"/>
      <c r="O1239" s="124"/>
    </row>
    <row r="1240" spans="1:15" x14ac:dyDescent="0.25">
      <c r="A1240" s="112" t="s">
        <v>1045</v>
      </c>
      <c r="B1240" s="113" t="s">
        <v>48</v>
      </c>
      <c r="C1240" s="113" t="s">
        <v>45</v>
      </c>
      <c r="D1240" s="4">
        <v>3</v>
      </c>
      <c r="E1240" s="4">
        <v>1</v>
      </c>
      <c r="F1240" s="106" t="str">
        <f t="shared" si="293"/>
        <v>Baixa</v>
      </c>
      <c r="G1240" s="106" t="str">
        <f t="shared" si="294"/>
        <v>EEL</v>
      </c>
      <c r="H1240" s="4">
        <f t="shared" si="295"/>
        <v>3</v>
      </c>
      <c r="I1240" s="105" t="str">
        <f t="shared" si="296"/>
        <v>L</v>
      </c>
      <c r="J1240" s="4" t="str">
        <f t="shared" si="297"/>
        <v>EEI</v>
      </c>
      <c r="K1240" s="106">
        <f t="shared" si="298"/>
        <v>3</v>
      </c>
      <c r="L1240" s="106">
        <f>IF(NOT(ISERROR(VLOOKUP(B1240,Deflatores!G$42:H$64,2,FALSE))),VLOOKUP(B1240,Deflatores!G$42:H$64,2,FALSE),IF(OR(ISBLANK(C1240),ISBLANK(B1240)),"",VLOOKUP(C1240,Deflatores!G$4:H$38,2,FALSE)*H1240+VLOOKUP(C1240,Deflatores!G$4:I$38,3,FALSE)))</f>
        <v>3</v>
      </c>
      <c r="M1240" s="106"/>
      <c r="N1240" s="106"/>
      <c r="O1240" s="124"/>
    </row>
    <row r="1241" spans="1:15" x14ac:dyDescent="0.25">
      <c r="A1241" s="112"/>
      <c r="B1241" s="113"/>
      <c r="C1241" s="113"/>
      <c r="D1241" s="4"/>
      <c r="E1241" s="4"/>
      <c r="F1241" s="106" t="str">
        <f t="shared" si="293"/>
        <v/>
      </c>
      <c r="G1241" s="106" t="str">
        <f t="shared" si="294"/>
        <v/>
      </c>
      <c r="H1241" s="4" t="str">
        <f t="shared" si="295"/>
        <v/>
      </c>
      <c r="I1241" s="105" t="str">
        <f t="shared" si="296"/>
        <v/>
      </c>
      <c r="J1241" s="4" t="str">
        <f t="shared" si="297"/>
        <v/>
      </c>
      <c r="K1241" s="106" t="str">
        <f t="shared" si="298"/>
        <v/>
      </c>
      <c r="L1241" s="106" t="str">
        <f>IF(NOT(ISERROR(VLOOKUP(B1241,Deflatores!G$42:H$64,2,FALSE))),VLOOKUP(B1241,Deflatores!G$42:H$64,2,FALSE),IF(OR(ISBLANK(C1241),ISBLANK(B1241)),"",VLOOKUP(C1241,Deflatores!G$4:H$38,2,FALSE)*H1241+VLOOKUP(C1241,Deflatores!G$4:I$38,3,FALSE)))</f>
        <v/>
      </c>
      <c r="M1241" s="106"/>
      <c r="N1241" s="106"/>
      <c r="O1241" s="124"/>
    </row>
    <row r="1242" spans="1:15" x14ac:dyDescent="0.25">
      <c r="A1242" s="143" t="s">
        <v>1046</v>
      </c>
      <c r="B1242" s="113"/>
      <c r="C1242" s="113"/>
      <c r="D1242" s="4"/>
      <c r="E1242" s="4"/>
      <c r="F1242" s="105" t="str">
        <f t="shared" si="293"/>
        <v/>
      </c>
      <c r="G1242" s="4" t="str">
        <f t="shared" si="294"/>
        <v/>
      </c>
      <c r="H1242" s="4" t="str">
        <f t="shared" si="295"/>
        <v/>
      </c>
      <c r="I1242" s="105" t="str">
        <f t="shared" si="296"/>
        <v/>
      </c>
      <c r="J1242" s="4" t="str">
        <f t="shared" si="297"/>
        <v/>
      </c>
      <c r="K1242" s="106" t="str">
        <f t="shared" si="298"/>
        <v/>
      </c>
      <c r="L1242" s="106" t="str">
        <f>IF(NOT(ISERROR(VLOOKUP(B1242,Deflatores!G$42:H$64,2,FALSE))),VLOOKUP(B1242,Deflatores!G$42:H$64,2,FALSE),IF(OR(ISBLANK(C1242),ISBLANK(B1242)),"",VLOOKUP(C1242,Deflatores!G$4:H$38,2,FALSE)*H1242+VLOOKUP(C1242,Deflatores!G$4:I$38,3,FALSE)))</f>
        <v/>
      </c>
      <c r="M1242" s="6"/>
      <c r="N1242" s="6"/>
      <c r="O1242" s="144"/>
    </row>
    <row r="1243" spans="1:15" x14ac:dyDescent="0.25">
      <c r="A1243" s="146" t="s">
        <v>1047</v>
      </c>
      <c r="B1243" s="113" t="s">
        <v>50</v>
      </c>
      <c r="C1243" s="113" t="s">
        <v>45</v>
      </c>
      <c r="D1243" s="4">
        <v>9</v>
      </c>
      <c r="E1243" s="4">
        <v>3</v>
      </c>
      <c r="F1243" s="105" t="str">
        <f t="shared" si="293"/>
        <v>Média</v>
      </c>
      <c r="G1243" s="4" t="str">
        <f t="shared" si="294"/>
        <v>CEA</v>
      </c>
      <c r="H1243" s="4">
        <f t="shared" si="295"/>
        <v>4</v>
      </c>
      <c r="I1243" s="105" t="str">
        <f t="shared" si="296"/>
        <v>A</v>
      </c>
      <c r="J1243" s="4" t="str">
        <f t="shared" si="297"/>
        <v>CEI</v>
      </c>
      <c r="K1243" s="106">
        <f t="shared" si="298"/>
        <v>4</v>
      </c>
      <c r="L1243" s="106">
        <f>IF(NOT(ISERROR(VLOOKUP(B1243,Deflatores!G$42:H$64,2,FALSE))),VLOOKUP(B1243,Deflatores!G$42:H$64,2,FALSE),IF(OR(ISBLANK(C1243),ISBLANK(B1243)),"",VLOOKUP(C1243,Deflatores!G$4:H$38,2,FALSE)*H1243+VLOOKUP(C1243,Deflatores!G$4:I$38,3,FALSE)))</f>
        <v>4</v>
      </c>
      <c r="M1243" s="6"/>
      <c r="N1243" s="6"/>
      <c r="O1243" s="144"/>
    </row>
    <row r="1244" spans="1:15" x14ac:dyDescent="0.25">
      <c r="A1244" s="114" t="s">
        <v>1048</v>
      </c>
      <c r="B1244" s="113" t="s">
        <v>50</v>
      </c>
      <c r="C1244" s="113" t="s">
        <v>45</v>
      </c>
      <c r="D1244" s="4">
        <v>3</v>
      </c>
      <c r="E1244" s="4">
        <v>1</v>
      </c>
      <c r="F1244" s="106" t="str">
        <f t="shared" si="293"/>
        <v>Baixa</v>
      </c>
      <c r="G1244" s="106" t="str">
        <f t="shared" si="294"/>
        <v>CEL</v>
      </c>
      <c r="H1244" s="4">
        <f t="shared" si="295"/>
        <v>3</v>
      </c>
      <c r="I1244" s="105" t="str">
        <f t="shared" si="296"/>
        <v>L</v>
      </c>
      <c r="J1244" s="4" t="str">
        <f t="shared" si="297"/>
        <v>CEI</v>
      </c>
      <c r="K1244" s="106">
        <f t="shared" si="298"/>
        <v>3</v>
      </c>
      <c r="L1244" s="106">
        <f>IF(NOT(ISERROR(VLOOKUP(B1244,Deflatores!G$42:H$64,2,FALSE))),VLOOKUP(B1244,Deflatores!G$42:H$64,2,FALSE),IF(OR(ISBLANK(C1244),ISBLANK(B1244)),"",VLOOKUP(C1244,Deflatores!G$4:H$38,2,FALSE)*H1244+VLOOKUP(C1244,Deflatores!G$4:I$38,3,FALSE)))</f>
        <v>3</v>
      </c>
      <c r="M1244" s="106"/>
      <c r="N1244" s="106"/>
      <c r="O1244" s="124"/>
    </row>
    <row r="1245" spans="1:15" x14ac:dyDescent="0.25">
      <c r="A1245" s="146" t="s">
        <v>1049</v>
      </c>
      <c r="B1245" s="113" t="s">
        <v>48</v>
      </c>
      <c r="C1245" s="113" t="s">
        <v>45</v>
      </c>
      <c r="D1245" s="4">
        <v>11</v>
      </c>
      <c r="E1245" s="4">
        <v>2</v>
      </c>
      <c r="F1245" s="105" t="str">
        <f t="shared" si="293"/>
        <v>Média</v>
      </c>
      <c r="G1245" s="4" t="str">
        <f t="shared" si="294"/>
        <v>EEA</v>
      </c>
      <c r="H1245" s="4">
        <f t="shared" si="295"/>
        <v>4</v>
      </c>
      <c r="I1245" s="105" t="str">
        <f t="shared" si="296"/>
        <v>A</v>
      </c>
      <c r="J1245" s="4" t="str">
        <f t="shared" si="297"/>
        <v>EEI</v>
      </c>
      <c r="K1245" s="106">
        <f t="shared" si="298"/>
        <v>4</v>
      </c>
      <c r="L1245" s="106">
        <f>IF(NOT(ISERROR(VLOOKUP(B1245,Deflatores!G$42:H$64,2,FALSE))),VLOOKUP(B1245,Deflatores!G$42:H$64,2,FALSE),IF(OR(ISBLANK(C1245),ISBLANK(B1245)),"",VLOOKUP(C1245,Deflatores!G$4:H$38,2,FALSE)*H1245+VLOOKUP(C1245,Deflatores!G$4:I$38,3,FALSE)))</f>
        <v>4</v>
      </c>
      <c r="M1245" s="6"/>
      <c r="N1245" s="6"/>
      <c r="O1245" s="144"/>
    </row>
    <row r="1246" spans="1:15" x14ac:dyDescent="0.25">
      <c r="A1246" s="146" t="s">
        <v>1050</v>
      </c>
      <c r="B1246" s="113" t="s">
        <v>48</v>
      </c>
      <c r="C1246" s="113" t="s">
        <v>45</v>
      </c>
      <c r="D1246" s="4">
        <v>10</v>
      </c>
      <c r="E1246" s="4">
        <v>2</v>
      </c>
      <c r="F1246" s="105" t="str">
        <f t="shared" si="293"/>
        <v>Média</v>
      </c>
      <c r="G1246" s="4" t="str">
        <f t="shared" si="294"/>
        <v>EEA</v>
      </c>
      <c r="H1246" s="4">
        <f t="shared" si="295"/>
        <v>4</v>
      </c>
      <c r="I1246" s="105" t="str">
        <f t="shared" si="296"/>
        <v>A</v>
      </c>
      <c r="J1246" s="4" t="str">
        <f t="shared" si="297"/>
        <v>EEI</v>
      </c>
      <c r="K1246" s="106">
        <f t="shared" si="298"/>
        <v>4</v>
      </c>
      <c r="L1246" s="106">
        <f>IF(NOT(ISERROR(VLOOKUP(B1246,Deflatores!G$42:H$64,2,FALSE))),VLOOKUP(B1246,Deflatores!G$42:H$64,2,FALSE),IF(OR(ISBLANK(C1246),ISBLANK(B1246)),"",VLOOKUP(C1246,Deflatores!G$4:H$38,2,FALSE)*H1246+VLOOKUP(C1246,Deflatores!G$4:I$38,3,FALSE)))</f>
        <v>4</v>
      </c>
      <c r="M1246" s="6"/>
      <c r="N1246" s="6"/>
      <c r="O1246" s="144"/>
    </row>
    <row r="1247" spans="1:15" ht="22" x14ac:dyDescent="0.25">
      <c r="A1247" s="146" t="s">
        <v>1051</v>
      </c>
      <c r="B1247" s="113" t="s">
        <v>113</v>
      </c>
      <c r="C1247" s="113" t="s">
        <v>45</v>
      </c>
      <c r="D1247" s="4">
        <v>22</v>
      </c>
      <c r="E1247" s="4">
        <v>3</v>
      </c>
      <c r="F1247" s="105" t="str">
        <f t="shared" si="293"/>
        <v>Alta</v>
      </c>
      <c r="G1247" s="4" t="str">
        <f t="shared" si="294"/>
        <v>SEH</v>
      </c>
      <c r="H1247" s="4">
        <f t="shared" si="295"/>
        <v>7</v>
      </c>
      <c r="I1247" s="105" t="str">
        <f t="shared" si="296"/>
        <v>H</v>
      </c>
      <c r="J1247" s="4" t="str">
        <f t="shared" si="297"/>
        <v>SEI</v>
      </c>
      <c r="K1247" s="106">
        <f t="shared" si="298"/>
        <v>7</v>
      </c>
      <c r="L1247" s="106">
        <f>IF(NOT(ISERROR(VLOOKUP(B1247,Deflatores!G$42:H$64,2,FALSE))),VLOOKUP(B1247,Deflatores!G$42:H$64,2,FALSE),IF(OR(ISBLANK(C1247),ISBLANK(B1247)),"",VLOOKUP(C1247,Deflatores!G$4:H$38,2,FALSE)*H1247+VLOOKUP(C1247,Deflatores!G$4:I$38,3,FALSE)))</f>
        <v>7</v>
      </c>
      <c r="M1247" s="6"/>
      <c r="N1247" s="6"/>
      <c r="O1247" s="144" t="s">
        <v>1052</v>
      </c>
    </row>
    <row r="1248" spans="1:15" x14ac:dyDescent="0.25">
      <c r="A1248" s="146" t="s">
        <v>1053</v>
      </c>
      <c r="B1248" s="113" t="s">
        <v>50</v>
      </c>
      <c r="C1248" s="113" t="s">
        <v>45</v>
      </c>
      <c r="D1248" s="4">
        <v>11</v>
      </c>
      <c r="E1248" s="4">
        <v>3</v>
      </c>
      <c r="F1248" s="105" t="str">
        <f t="shared" si="293"/>
        <v>Média</v>
      </c>
      <c r="G1248" s="4" t="str">
        <f t="shared" si="294"/>
        <v>CEA</v>
      </c>
      <c r="H1248" s="4">
        <f t="shared" si="295"/>
        <v>4</v>
      </c>
      <c r="I1248" s="105" t="str">
        <f t="shared" si="296"/>
        <v>A</v>
      </c>
      <c r="J1248" s="4" t="str">
        <f t="shared" si="297"/>
        <v>CEI</v>
      </c>
      <c r="K1248" s="106">
        <f t="shared" si="298"/>
        <v>4</v>
      </c>
      <c r="L1248" s="106">
        <f>IF(NOT(ISERROR(VLOOKUP(B1248,Deflatores!G$42:H$64,2,FALSE))),VLOOKUP(B1248,Deflatores!G$42:H$64,2,FALSE),IF(OR(ISBLANK(C1248),ISBLANK(B1248)),"",VLOOKUP(C1248,Deflatores!G$4:H$38,2,FALSE)*H1248+VLOOKUP(C1248,Deflatores!G$4:I$38,3,FALSE)))</f>
        <v>4</v>
      </c>
      <c r="M1248" s="6"/>
      <c r="N1248" s="6"/>
      <c r="O1248" s="144"/>
    </row>
    <row r="1249" spans="1:15" x14ac:dyDescent="0.25">
      <c r="A1249" s="146" t="s">
        <v>1054</v>
      </c>
      <c r="B1249" s="113" t="s">
        <v>48</v>
      </c>
      <c r="C1249" s="113" t="s">
        <v>45</v>
      </c>
      <c r="D1249" s="4">
        <v>5</v>
      </c>
      <c r="E1249" s="4">
        <v>3</v>
      </c>
      <c r="F1249" s="105" t="str">
        <f t="shared" si="293"/>
        <v>Alta</v>
      </c>
      <c r="G1249" s="4" t="str">
        <f t="shared" si="294"/>
        <v>EEH</v>
      </c>
      <c r="H1249" s="4">
        <f t="shared" si="295"/>
        <v>6</v>
      </c>
      <c r="I1249" s="105" t="str">
        <f t="shared" si="296"/>
        <v>H</v>
      </c>
      <c r="J1249" s="4" t="str">
        <f t="shared" si="297"/>
        <v>EEI</v>
      </c>
      <c r="K1249" s="106">
        <f t="shared" si="298"/>
        <v>6</v>
      </c>
      <c r="L1249" s="106">
        <f>IF(NOT(ISERROR(VLOOKUP(B1249,Deflatores!G$42:H$64,2,FALSE))),VLOOKUP(B1249,Deflatores!G$42:H$64,2,FALSE),IF(OR(ISBLANK(C1249),ISBLANK(B1249)),"",VLOOKUP(C1249,Deflatores!G$4:H$38,2,FALSE)*H1249+VLOOKUP(C1249,Deflatores!G$4:I$38,3,FALSE)))</f>
        <v>6</v>
      </c>
      <c r="M1249" s="6"/>
      <c r="N1249" s="6"/>
      <c r="O1249" s="144"/>
    </row>
    <row r="1250" spans="1:15" x14ac:dyDescent="0.25">
      <c r="A1250" s="143"/>
      <c r="B1250" s="113"/>
      <c r="C1250" s="113"/>
      <c r="D1250" s="4"/>
      <c r="E1250" s="4"/>
      <c r="F1250" s="105" t="str">
        <f t="shared" si="293"/>
        <v/>
      </c>
      <c r="G1250" s="4" t="str">
        <f t="shared" si="294"/>
        <v/>
      </c>
      <c r="H1250" s="4" t="str">
        <f t="shared" si="295"/>
        <v/>
      </c>
      <c r="I1250" s="105" t="str">
        <f t="shared" si="296"/>
        <v/>
      </c>
      <c r="J1250" s="4" t="str">
        <f t="shared" si="297"/>
        <v/>
      </c>
      <c r="K1250" s="106" t="str">
        <f t="shared" si="298"/>
        <v/>
      </c>
      <c r="L1250" s="106" t="str">
        <f>IF(NOT(ISERROR(VLOOKUP(B1250,Deflatores!G$42:H$64,2,FALSE))),VLOOKUP(B1250,Deflatores!G$42:H$64,2,FALSE),IF(OR(ISBLANK(C1250),ISBLANK(B1250)),"",VLOOKUP(C1250,Deflatores!G$4:H$38,2,FALSE)*H1250+VLOOKUP(C1250,Deflatores!G$4:I$38,3,FALSE)))</f>
        <v/>
      </c>
      <c r="M1250" s="6"/>
      <c r="N1250" s="6"/>
      <c r="O1250" s="144"/>
    </row>
    <row r="1251" spans="1:15" x14ac:dyDescent="0.25">
      <c r="A1251" s="143" t="s">
        <v>1055</v>
      </c>
      <c r="B1251" s="113"/>
      <c r="C1251" s="113"/>
      <c r="D1251" s="4"/>
      <c r="E1251" s="4"/>
      <c r="F1251" s="105" t="str">
        <f t="shared" si="293"/>
        <v/>
      </c>
      <c r="G1251" s="4" t="str">
        <f t="shared" si="294"/>
        <v/>
      </c>
      <c r="H1251" s="4" t="str">
        <f t="shared" si="295"/>
        <v/>
      </c>
      <c r="I1251" s="105" t="str">
        <f t="shared" si="296"/>
        <v/>
      </c>
      <c r="J1251" s="4" t="str">
        <f t="shared" si="297"/>
        <v/>
      </c>
      <c r="K1251" s="106" t="str">
        <f t="shared" si="298"/>
        <v/>
      </c>
      <c r="L1251" s="106" t="str">
        <f>IF(NOT(ISERROR(VLOOKUP(B1251,Deflatores!G$42:H$64,2,FALSE))),VLOOKUP(B1251,Deflatores!G$42:H$64,2,FALSE),IF(OR(ISBLANK(C1251),ISBLANK(B1251)),"",VLOOKUP(C1251,Deflatores!G$4:H$38,2,FALSE)*H1251+VLOOKUP(C1251,Deflatores!G$4:I$38,3,FALSE)))</f>
        <v/>
      </c>
      <c r="M1251" s="6"/>
      <c r="N1251" s="6"/>
      <c r="O1251" s="144"/>
    </row>
    <row r="1252" spans="1:15" x14ac:dyDescent="0.25">
      <c r="A1252" s="146" t="s">
        <v>1056</v>
      </c>
      <c r="B1252" s="113" t="s">
        <v>48</v>
      </c>
      <c r="C1252" s="113" t="s">
        <v>45</v>
      </c>
      <c r="D1252" s="4">
        <v>10</v>
      </c>
      <c r="E1252" s="4">
        <v>2</v>
      </c>
      <c r="F1252" s="105" t="str">
        <f t="shared" si="293"/>
        <v>Média</v>
      </c>
      <c r="G1252" s="4" t="str">
        <f t="shared" si="294"/>
        <v>EEA</v>
      </c>
      <c r="H1252" s="4">
        <f t="shared" si="295"/>
        <v>4</v>
      </c>
      <c r="I1252" s="105" t="str">
        <f t="shared" si="296"/>
        <v>A</v>
      </c>
      <c r="J1252" s="4" t="str">
        <f t="shared" si="297"/>
        <v>EEI</v>
      </c>
      <c r="K1252" s="106">
        <f t="shared" si="298"/>
        <v>4</v>
      </c>
      <c r="L1252" s="106">
        <f>IF(NOT(ISERROR(VLOOKUP(B1252,Deflatores!G$42:H$64,2,FALSE))),VLOOKUP(B1252,Deflatores!G$42:H$64,2,FALSE),IF(OR(ISBLANK(C1252),ISBLANK(B1252)),"",VLOOKUP(C1252,Deflatores!G$4:H$38,2,FALSE)*H1252+VLOOKUP(C1252,Deflatores!G$4:I$38,3,FALSE)))</f>
        <v>4</v>
      </c>
      <c r="M1252" s="6"/>
      <c r="N1252" s="6"/>
      <c r="O1252" s="144"/>
    </row>
    <row r="1253" spans="1:15" x14ac:dyDescent="0.25">
      <c r="A1253" s="146" t="s">
        <v>1057</v>
      </c>
      <c r="B1253" s="113" t="s">
        <v>48</v>
      </c>
      <c r="C1253" s="113" t="s">
        <v>45</v>
      </c>
      <c r="D1253" s="4">
        <v>10</v>
      </c>
      <c r="E1253" s="4">
        <v>2</v>
      </c>
      <c r="F1253" s="105" t="str">
        <f t="shared" si="293"/>
        <v>Média</v>
      </c>
      <c r="G1253" s="4" t="str">
        <f t="shared" si="294"/>
        <v>EEA</v>
      </c>
      <c r="H1253" s="4">
        <f t="shared" si="295"/>
        <v>4</v>
      </c>
      <c r="I1253" s="105" t="str">
        <f t="shared" si="296"/>
        <v>A</v>
      </c>
      <c r="J1253" s="4" t="str">
        <f t="shared" si="297"/>
        <v>EEI</v>
      </c>
      <c r="K1253" s="106">
        <f t="shared" si="298"/>
        <v>4</v>
      </c>
      <c r="L1253" s="106">
        <f>IF(NOT(ISERROR(VLOOKUP(B1253,Deflatores!G$42:H$64,2,FALSE))),VLOOKUP(B1253,Deflatores!G$42:H$64,2,FALSE),IF(OR(ISBLANK(C1253),ISBLANK(B1253)),"",VLOOKUP(C1253,Deflatores!G$4:H$38,2,FALSE)*H1253+VLOOKUP(C1253,Deflatores!G$4:I$38,3,FALSE)))</f>
        <v>4</v>
      </c>
      <c r="M1253" s="6"/>
      <c r="N1253" s="6"/>
      <c r="O1253" s="144"/>
    </row>
    <row r="1254" spans="1:15" x14ac:dyDescent="0.25">
      <c r="A1254" s="145"/>
      <c r="B1254" s="113"/>
      <c r="C1254" s="113"/>
      <c r="D1254" s="4"/>
      <c r="E1254" s="4"/>
      <c r="F1254" s="105" t="str">
        <f t="shared" si="293"/>
        <v/>
      </c>
      <c r="G1254" s="4" t="str">
        <f t="shared" si="294"/>
        <v/>
      </c>
      <c r="H1254" s="4" t="str">
        <f t="shared" si="295"/>
        <v/>
      </c>
      <c r="I1254" s="105" t="str">
        <f t="shared" si="296"/>
        <v/>
      </c>
      <c r="J1254" s="4" t="str">
        <f t="shared" si="297"/>
        <v/>
      </c>
      <c r="K1254" s="106" t="str">
        <f t="shared" si="298"/>
        <v/>
      </c>
      <c r="L1254" s="106" t="str">
        <f>IF(NOT(ISERROR(VLOOKUP(B1254,Deflatores!G$42:H$64,2,FALSE))),VLOOKUP(B1254,Deflatores!G$42:H$64,2,FALSE),IF(OR(ISBLANK(C1254),ISBLANK(B1254)),"",VLOOKUP(C1254,Deflatores!G$4:H$38,2,FALSE)*H1254+VLOOKUP(C1254,Deflatores!G$4:I$38,3,FALSE)))</f>
        <v/>
      </c>
      <c r="M1254" s="6"/>
      <c r="N1254" s="6"/>
      <c r="O1254" s="144"/>
    </row>
    <row r="1255" spans="1:15" x14ac:dyDescent="0.25">
      <c r="A1255" s="143" t="s">
        <v>1058</v>
      </c>
      <c r="B1255" s="113"/>
      <c r="C1255" s="113"/>
      <c r="D1255" s="4"/>
      <c r="E1255" s="4"/>
      <c r="F1255" s="105" t="str">
        <f t="shared" si="293"/>
        <v/>
      </c>
      <c r="G1255" s="4" t="str">
        <f t="shared" si="294"/>
        <v/>
      </c>
      <c r="H1255" s="4" t="str">
        <f t="shared" si="295"/>
        <v/>
      </c>
      <c r="I1255" s="105" t="str">
        <f t="shared" si="296"/>
        <v/>
      </c>
      <c r="J1255" s="4" t="str">
        <f t="shared" si="297"/>
        <v/>
      </c>
      <c r="K1255" s="106" t="str">
        <f t="shared" si="298"/>
        <v/>
      </c>
      <c r="L1255" s="106" t="str">
        <f>IF(NOT(ISERROR(VLOOKUP(B1255,Deflatores!G$42:H$64,2,FALSE))),VLOOKUP(B1255,Deflatores!G$42:H$64,2,FALSE),IF(OR(ISBLANK(C1255),ISBLANK(B1255)),"",VLOOKUP(C1255,Deflatores!G$4:H$38,2,FALSE)*H1255+VLOOKUP(C1255,Deflatores!G$4:I$38,3,FALSE)))</f>
        <v/>
      </c>
      <c r="M1255" s="6"/>
      <c r="N1255" s="6"/>
      <c r="O1255" s="144"/>
    </row>
    <row r="1256" spans="1:15" x14ac:dyDescent="0.25">
      <c r="A1256" s="146" t="s">
        <v>1059</v>
      </c>
      <c r="B1256" s="113" t="s">
        <v>50</v>
      </c>
      <c r="C1256" s="113" t="s">
        <v>45</v>
      </c>
      <c r="D1256" s="4">
        <v>21</v>
      </c>
      <c r="E1256" s="4">
        <v>7</v>
      </c>
      <c r="F1256" s="105" t="str">
        <f t="shared" si="293"/>
        <v>Alta</v>
      </c>
      <c r="G1256" s="4" t="str">
        <f t="shared" si="294"/>
        <v>CEH</v>
      </c>
      <c r="H1256" s="4">
        <f t="shared" si="295"/>
        <v>6</v>
      </c>
      <c r="I1256" s="105" t="str">
        <f t="shared" si="296"/>
        <v>H</v>
      </c>
      <c r="J1256" s="4" t="str">
        <f t="shared" si="297"/>
        <v>CEI</v>
      </c>
      <c r="K1256" s="106">
        <f t="shared" si="298"/>
        <v>6</v>
      </c>
      <c r="L1256" s="106">
        <f>IF(NOT(ISERROR(VLOOKUP(B1256,Deflatores!G$42:H$64,2,FALSE))),VLOOKUP(B1256,Deflatores!G$42:H$64,2,FALSE),IF(OR(ISBLANK(C1256),ISBLANK(B1256)),"",VLOOKUP(C1256,Deflatores!G$4:H$38,2,FALSE)*H1256+VLOOKUP(C1256,Deflatores!G$4:I$38,3,FALSE)))</f>
        <v>6</v>
      </c>
      <c r="M1256" s="6"/>
      <c r="N1256" s="6"/>
      <c r="O1256" s="144"/>
    </row>
    <row r="1257" spans="1:15" x14ac:dyDescent="0.25">
      <c r="A1257" s="114" t="s">
        <v>1060</v>
      </c>
      <c r="B1257" s="113" t="s">
        <v>50</v>
      </c>
      <c r="C1257" s="113" t="s">
        <v>45</v>
      </c>
      <c r="D1257" s="4">
        <v>3</v>
      </c>
      <c r="E1257" s="4">
        <v>1</v>
      </c>
      <c r="F1257" s="106" t="str">
        <f t="shared" si="293"/>
        <v>Baixa</v>
      </c>
      <c r="G1257" s="106" t="str">
        <f t="shared" si="294"/>
        <v>CEL</v>
      </c>
      <c r="H1257" s="4">
        <f t="shared" si="295"/>
        <v>3</v>
      </c>
      <c r="I1257" s="105" t="str">
        <f t="shared" si="296"/>
        <v>L</v>
      </c>
      <c r="J1257" s="4" t="str">
        <f t="shared" si="297"/>
        <v>CEI</v>
      </c>
      <c r="K1257" s="106">
        <f t="shared" si="298"/>
        <v>3</v>
      </c>
      <c r="L1257" s="106">
        <f>IF(NOT(ISERROR(VLOOKUP(B1257,Deflatores!G$42:H$64,2,FALSE))),VLOOKUP(B1257,Deflatores!G$42:H$64,2,FALSE),IF(OR(ISBLANK(C1257),ISBLANK(B1257)),"",VLOOKUP(C1257,Deflatores!G$4:H$38,2,FALSE)*H1257+VLOOKUP(C1257,Deflatores!G$4:I$38,3,FALSE)))</f>
        <v>3</v>
      </c>
      <c r="M1257" s="106"/>
      <c r="N1257" s="106"/>
      <c r="O1257" s="124"/>
    </row>
    <row r="1258" spans="1:15" x14ac:dyDescent="0.25">
      <c r="A1258" s="146" t="s">
        <v>1061</v>
      </c>
      <c r="B1258" s="113" t="s">
        <v>50</v>
      </c>
      <c r="C1258" s="113" t="s">
        <v>45</v>
      </c>
      <c r="D1258" s="4">
        <v>20</v>
      </c>
      <c r="E1258" s="4">
        <v>6</v>
      </c>
      <c r="F1258" s="105" t="str">
        <f t="shared" si="293"/>
        <v>Alta</v>
      </c>
      <c r="G1258" s="4" t="str">
        <f t="shared" si="294"/>
        <v>CEH</v>
      </c>
      <c r="H1258" s="4">
        <f t="shared" si="295"/>
        <v>6</v>
      </c>
      <c r="I1258" s="105" t="str">
        <f t="shared" si="296"/>
        <v>H</v>
      </c>
      <c r="J1258" s="4" t="str">
        <f t="shared" si="297"/>
        <v>CEI</v>
      </c>
      <c r="K1258" s="106">
        <f t="shared" si="298"/>
        <v>6</v>
      </c>
      <c r="L1258" s="106">
        <f>IF(NOT(ISERROR(VLOOKUP(B1258,Deflatores!G$42:H$64,2,FALSE))),VLOOKUP(B1258,Deflatores!G$42:H$64,2,FALSE),IF(OR(ISBLANK(C1258),ISBLANK(B1258)),"",VLOOKUP(C1258,Deflatores!G$4:H$38,2,FALSE)*H1258+VLOOKUP(C1258,Deflatores!G$4:I$38,3,FALSE)))</f>
        <v>6</v>
      </c>
      <c r="M1258" s="6"/>
      <c r="N1258" s="6"/>
      <c r="O1258" s="144"/>
    </row>
    <row r="1259" spans="1:15" x14ac:dyDescent="0.25">
      <c r="A1259" s="147" t="s">
        <v>1062</v>
      </c>
      <c r="B1259" s="113" t="s">
        <v>50</v>
      </c>
      <c r="C1259" s="113" t="s">
        <v>45</v>
      </c>
      <c r="D1259" s="4">
        <v>3</v>
      </c>
      <c r="E1259" s="4">
        <v>1</v>
      </c>
      <c r="F1259" s="105" t="str">
        <f t="shared" si="293"/>
        <v>Baixa</v>
      </c>
      <c r="G1259" s="4" t="str">
        <f t="shared" si="294"/>
        <v>CEL</v>
      </c>
      <c r="H1259" s="4">
        <f t="shared" si="295"/>
        <v>3</v>
      </c>
      <c r="I1259" s="105" t="str">
        <f t="shared" si="296"/>
        <v>L</v>
      </c>
      <c r="J1259" s="4" t="str">
        <f t="shared" si="297"/>
        <v>CEI</v>
      </c>
      <c r="K1259" s="106">
        <f t="shared" si="298"/>
        <v>3</v>
      </c>
      <c r="L1259" s="106">
        <f>IF(NOT(ISERROR(VLOOKUP(B1259,Deflatores!G$42:H$64,2,FALSE))),VLOOKUP(B1259,Deflatores!G$42:H$64,2,FALSE),IF(OR(ISBLANK(C1259),ISBLANK(B1259)),"",VLOOKUP(C1259,Deflatores!G$4:H$38,2,FALSE)*H1259+VLOOKUP(C1259,Deflatores!G$4:I$38,3,FALSE)))</f>
        <v>3</v>
      </c>
      <c r="M1259" s="6"/>
      <c r="N1259" s="6"/>
      <c r="O1259" s="144"/>
    </row>
    <row r="1260" spans="1:15" x14ac:dyDescent="0.25">
      <c r="A1260" s="146" t="s">
        <v>1063</v>
      </c>
      <c r="B1260" s="113" t="s">
        <v>48</v>
      </c>
      <c r="C1260" s="113" t="s">
        <v>72</v>
      </c>
      <c r="D1260" s="4">
        <v>13</v>
      </c>
      <c r="E1260" s="4">
        <v>3</v>
      </c>
      <c r="F1260" s="105" t="str">
        <f t="shared" si="293"/>
        <v>Alta</v>
      </c>
      <c r="G1260" s="4" t="str">
        <f t="shared" si="294"/>
        <v>EEH</v>
      </c>
      <c r="H1260" s="4">
        <f t="shared" si="295"/>
        <v>6</v>
      </c>
      <c r="I1260" s="105" t="str">
        <f t="shared" si="296"/>
        <v>H</v>
      </c>
      <c r="J1260" s="4" t="str">
        <f t="shared" si="297"/>
        <v>EEE</v>
      </c>
      <c r="K1260" s="106">
        <f t="shared" si="298"/>
        <v>6</v>
      </c>
      <c r="L1260" s="106">
        <f>IF(NOT(ISERROR(VLOOKUP(B1260,Deflatores!G$42:H$64,2,FALSE))),VLOOKUP(B1260,Deflatores!G$42:H$64,2,FALSE),IF(OR(ISBLANK(C1260),ISBLANK(B1260)),"",VLOOKUP(C1260,Deflatores!G$4:H$38,2,FALSE)*H1260+VLOOKUP(C1260,Deflatores!G$4:I$38,3,FALSE)))</f>
        <v>2.4000000000000004</v>
      </c>
      <c r="M1260" s="6"/>
      <c r="N1260" s="6"/>
      <c r="O1260" s="144"/>
    </row>
    <row r="1261" spans="1:15" x14ac:dyDescent="0.25">
      <c r="A1261" s="145"/>
      <c r="B1261" s="113"/>
      <c r="C1261" s="113"/>
      <c r="D1261" s="4"/>
      <c r="E1261" s="4"/>
      <c r="F1261" s="105" t="str">
        <f t="shared" si="293"/>
        <v/>
      </c>
      <c r="G1261" s="4" t="str">
        <f t="shared" si="294"/>
        <v/>
      </c>
      <c r="H1261" s="4" t="str">
        <f t="shared" si="295"/>
        <v/>
      </c>
      <c r="I1261" s="105" t="str">
        <f t="shared" si="296"/>
        <v/>
      </c>
      <c r="J1261" s="4" t="str">
        <f t="shared" si="297"/>
        <v/>
      </c>
      <c r="K1261" s="106" t="str">
        <f t="shared" si="298"/>
        <v/>
      </c>
      <c r="L1261" s="106" t="str">
        <f>IF(NOT(ISERROR(VLOOKUP(B1261,Deflatores!G$42:H$64,2,FALSE))),VLOOKUP(B1261,Deflatores!G$42:H$64,2,FALSE),IF(OR(ISBLANK(C1261),ISBLANK(B1261)),"",VLOOKUP(C1261,Deflatores!G$4:H$38,2,FALSE)*H1261+VLOOKUP(C1261,Deflatores!G$4:I$38,3,FALSE)))</f>
        <v/>
      </c>
      <c r="M1261" s="6"/>
      <c r="N1261" s="6"/>
      <c r="O1261" s="144"/>
    </row>
    <row r="1262" spans="1:15" x14ac:dyDescent="0.25">
      <c r="A1262" s="143" t="s">
        <v>1064</v>
      </c>
      <c r="B1262" s="113"/>
      <c r="C1262" s="113"/>
      <c r="D1262" s="4"/>
      <c r="E1262" s="4"/>
      <c r="F1262" s="105" t="str">
        <f t="shared" si="293"/>
        <v/>
      </c>
      <c r="G1262" s="4" t="str">
        <f t="shared" si="294"/>
        <v/>
      </c>
      <c r="H1262" s="4" t="str">
        <f t="shared" si="295"/>
        <v/>
      </c>
      <c r="I1262" s="105" t="str">
        <f t="shared" si="296"/>
        <v/>
      </c>
      <c r="J1262" s="4" t="str">
        <f t="shared" si="297"/>
        <v/>
      </c>
      <c r="K1262" s="106" t="str">
        <f t="shared" si="298"/>
        <v/>
      </c>
      <c r="L1262" s="106" t="str">
        <f>IF(NOT(ISERROR(VLOOKUP(B1262,Deflatores!G$42:H$64,2,FALSE))),VLOOKUP(B1262,Deflatores!G$42:H$64,2,FALSE),IF(OR(ISBLANK(C1262),ISBLANK(B1262)),"",VLOOKUP(C1262,Deflatores!G$4:H$38,2,FALSE)*H1262+VLOOKUP(C1262,Deflatores!G$4:I$38,3,FALSE)))</f>
        <v/>
      </c>
      <c r="M1262" s="6"/>
      <c r="N1262" s="6"/>
      <c r="O1262" s="144"/>
    </row>
    <row r="1263" spans="1:15" ht="24.65" customHeight="1" x14ac:dyDescent="0.25">
      <c r="A1263" s="146" t="s">
        <v>1065</v>
      </c>
      <c r="B1263" s="113" t="s">
        <v>50</v>
      </c>
      <c r="C1263" s="113" t="s">
        <v>45</v>
      </c>
      <c r="D1263" s="4">
        <v>7</v>
      </c>
      <c r="E1263" s="4">
        <v>2</v>
      </c>
      <c r="F1263" s="105" t="str">
        <f t="shared" si="293"/>
        <v>Média</v>
      </c>
      <c r="G1263" s="4" t="str">
        <f t="shared" si="294"/>
        <v>CEA</v>
      </c>
      <c r="H1263" s="4">
        <f t="shared" si="295"/>
        <v>4</v>
      </c>
      <c r="I1263" s="105" t="str">
        <f t="shared" si="296"/>
        <v>A</v>
      </c>
      <c r="J1263" s="4" t="str">
        <f t="shared" si="297"/>
        <v>CEI</v>
      </c>
      <c r="K1263" s="106">
        <f t="shared" si="298"/>
        <v>4</v>
      </c>
      <c r="L1263" s="106">
        <f>IF(NOT(ISERROR(VLOOKUP(B1263,Deflatores!G$42:H$64,2,FALSE))),VLOOKUP(B1263,Deflatores!G$42:H$64,2,FALSE),IF(OR(ISBLANK(C1263),ISBLANK(B1263)),"",VLOOKUP(C1263,Deflatores!G$4:H$38,2,FALSE)*H1263+VLOOKUP(C1263,Deflatores!G$4:I$38,3,FALSE)))</f>
        <v>4</v>
      </c>
      <c r="M1263" s="6"/>
      <c r="N1263" s="6"/>
      <c r="O1263" s="144"/>
    </row>
    <row r="1264" spans="1:15" x14ac:dyDescent="0.25">
      <c r="A1264" s="145"/>
      <c r="B1264" s="113"/>
      <c r="C1264" s="113"/>
      <c r="D1264" s="4"/>
      <c r="E1264" s="4"/>
      <c r="F1264" s="105" t="str">
        <f t="shared" si="293"/>
        <v/>
      </c>
      <c r="G1264" s="4" t="str">
        <f t="shared" si="294"/>
        <v/>
      </c>
      <c r="H1264" s="4" t="str">
        <f t="shared" si="295"/>
        <v/>
      </c>
      <c r="I1264" s="105" t="str">
        <f t="shared" si="296"/>
        <v/>
      </c>
      <c r="J1264" s="4" t="str">
        <f t="shared" si="297"/>
        <v/>
      </c>
      <c r="K1264" s="106" t="str">
        <f t="shared" si="298"/>
        <v/>
      </c>
      <c r="L1264" s="106" t="str">
        <f>IF(NOT(ISERROR(VLOOKUP(B1264,Deflatores!G$42:H$64,2,FALSE))),VLOOKUP(B1264,Deflatores!G$42:H$64,2,FALSE),IF(OR(ISBLANK(C1264),ISBLANK(B1264)),"",VLOOKUP(C1264,Deflatores!G$4:H$38,2,FALSE)*H1264+VLOOKUP(C1264,Deflatores!G$4:I$38,3,FALSE)))</f>
        <v/>
      </c>
      <c r="M1264" s="6"/>
      <c r="N1264" s="6"/>
      <c r="O1264" s="144"/>
    </row>
    <row r="1265" spans="1:15" x14ac:dyDescent="0.25">
      <c r="A1265" s="158" t="s">
        <v>1066</v>
      </c>
      <c r="B1265" s="113"/>
      <c r="C1265" s="113"/>
      <c r="D1265" s="4"/>
      <c r="E1265" s="4"/>
      <c r="F1265" s="105" t="str">
        <f t="shared" si="293"/>
        <v/>
      </c>
      <c r="G1265" s="4" t="str">
        <f t="shared" si="294"/>
        <v/>
      </c>
      <c r="H1265" s="4" t="str">
        <f t="shared" si="295"/>
        <v/>
      </c>
      <c r="I1265" s="105" t="str">
        <f t="shared" si="296"/>
        <v/>
      </c>
      <c r="J1265" s="4" t="str">
        <f t="shared" si="297"/>
        <v/>
      </c>
      <c r="K1265" s="106" t="str">
        <f t="shared" si="298"/>
        <v/>
      </c>
      <c r="L1265" s="106" t="str">
        <f>IF(NOT(ISERROR(VLOOKUP(B1265,Deflatores!G$42:H$64,2,FALSE))),VLOOKUP(B1265,Deflatores!G$42:H$64,2,FALSE),IF(OR(ISBLANK(C1265),ISBLANK(B1265)),"",VLOOKUP(C1265,Deflatores!G$4:H$38,2,FALSE)*H1265+VLOOKUP(C1265,Deflatores!G$4:I$38,3,FALSE)))</f>
        <v/>
      </c>
      <c r="M1265" s="6"/>
      <c r="N1265" s="6"/>
      <c r="O1265" s="144"/>
    </row>
    <row r="1266" spans="1:15" x14ac:dyDescent="0.25">
      <c r="A1266" s="145" t="s">
        <v>1067</v>
      </c>
      <c r="B1266" s="113" t="s">
        <v>50</v>
      </c>
      <c r="C1266" s="113" t="s">
        <v>45</v>
      </c>
      <c r="D1266" s="4">
        <v>29</v>
      </c>
      <c r="E1266" s="4">
        <v>4</v>
      </c>
      <c r="F1266" s="105" t="str">
        <f t="shared" ref="F1266:F1287" si="299">IF(ISBLANK(B1266),"",IF(I1266="L","Baixa",IF(I1266="A","Média",IF(I1266="","","Alta"))))</f>
        <v>Alta</v>
      </c>
      <c r="G1266" s="4" t="str">
        <f t="shared" ref="G1266:G1287" si="300">CONCATENATE(B1266,I1266)</f>
        <v>CEH</v>
      </c>
      <c r="H1266" s="4">
        <f t="shared" ref="H1266:H1287" si="301">IF(ISBLANK(B1266),"",IF(B1266="ALI",IF(I1266="L",7,IF(I1266="A",10,15)),IF(B1266="AIE",IF(I1266="L",5,IF(I1266="A",7,10)),IF(B1266="SE",IF(I1266="L",4,IF(I1266="A",5,7)),IF(OR(B1266="EE",B1266="CE"),IF(I1266="L",3,IF(I1266="A",4,6)),0)))))</f>
        <v>6</v>
      </c>
      <c r="I1266" s="105" t="str">
        <f t="shared" ref="I1266:I1287" si="302">IF(OR(ISBLANK(D1266),ISBLANK(E1266)),IF(OR(B1266="ALI",B1266="AIE"),"L",IF(OR(B1266="EE",B1266="SE",B1266="CE"),"A","")),IF(B1266="EE",IF(E1266&gt;=3,IF(D1266&gt;=5,"H","A"),IF(E1266&gt;=2,IF(D1266&gt;=16,"H",IF(D1266&lt;=4,"L","A")),IF(D1266&lt;=15,"L","A"))),IF(OR(B1266="SE",B1266="CE"),IF(E1266&gt;=4,IF(D1266&gt;=6,"H","A"),IF(E1266&gt;=2,IF(D1266&gt;=20,"H",IF(D1266&lt;=5,"L","A")),IF(D1266&lt;=19,"L","A"))),IF(OR(B1266="ALI",B1266="AIE"),IF(E1266&gt;=6,IF(D1266&gt;=20,"H","A"),IF(E1266&gt;=2,IF(D1266&gt;=51,"H",IF(D1266&lt;=19,"L","A")),IF(D1266&lt;=50,"L","A"))),""))))</f>
        <v>H</v>
      </c>
      <c r="J1266" s="4" t="str">
        <f t="shared" ref="J1266:J1287" si="303">CONCATENATE(B1266,C1266)</f>
        <v>CEI</v>
      </c>
      <c r="K1266" s="106">
        <f t="shared" ref="K1266:K1287" si="304">IF(OR(H1266="",H1266=0),L1266,H1266)</f>
        <v>6</v>
      </c>
      <c r="L1266" s="106">
        <f>IF(NOT(ISERROR(VLOOKUP(B1266,Deflatores!G$42:H$64,2,FALSE))),VLOOKUP(B1266,Deflatores!G$42:H$64,2,FALSE),IF(OR(ISBLANK(C1266),ISBLANK(B1266)),"",VLOOKUP(C1266,Deflatores!G$4:H$38,2,FALSE)*H1266+VLOOKUP(C1266,Deflatores!G$4:I$38,3,FALSE)))</f>
        <v>6</v>
      </c>
      <c r="M1266" s="6"/>
      <c r="N1266" s="6"/>
      <c r="O1266" s="144"/>
    </row>
    <row r="1267" spans="1:15" x14ac:dyDescent="0.25">
      <c r="A1267" s="145" t="s">
        <v>1068</v>
      </c>
      <c r="B1267" s="113" t="s">
        <v>50</v>
      </c>
      <c r="C1267" s="113" t="s">
        <v>45</v>
      </c>
      <c r="D1267" s="4">
        <v>5</v>
      </c>
      <c r="E1267" s="4">
        <v>2</v>
      </c>
      <c r="F1267" s="105" t="str">
        <f t="shared" si="299"/>
        <v>Baixa</v>
      </c>
      <c r="G1267" s="4" t="str">
        <f t="shared" si="300"/>
        <v>CEL</v>
      </c>
      <c r="H1267" s="4">
        <f t="shared" si="301"/>
        <v>3</v>
      </c>
      <c r="I1267" s="105" t="str">
        <f t="shared" si="302"/>
        <v>L</v>
      </c>
      <c r="J1267" s="4" t="str">
        <f t="shared" si="303"/>
        <v>CEI</v>
      </c>
      <c r="K1267" s="106">
        <f t="shared" si="304"/>
        <v>3</v>
      </c>
      <c r="L1267" s="106">
        <f>IF(NOT(ISERROR(VLOOKUP(B1267,Deflatores!G$42:H$64,2,FALSE))),VLOOKUP(B1267,Deflatores!G$42:H$64,2,FALSE),IF(OR(ISBLANK(C1267),ISBLANK(B1267)),"",VLOOKUP(C1267,Deflatores!G$4:H$38,2,FALSE)*H1267+VLOOKUP(C1267,Deflatores!G$4:I$38,3,FALSE)))</f>
        <v>3</v>
      </c>
      <c r="M1267" s="6"/>
      <c r="N1267" s="6"/>
      <c r="O1267" s="144"/>
    </row>
    <row r="1268" spans="1:15" x14ac:dyDescent="0.25">
      <c r="A1268" s="145" t="s">
        <v>1069</v>
      </c>
      <c r="B1268" s="113" t="s">
        <v>48</v>
      </c>
      <c r="C1268" s="113" t="s">
        <v>45</v>
      </c>
      <c r="D1268" s="4">
        <v>4</v>
      </c>
      <c r="E1268" s="4">
        <v>2</v>
      </c>
      <c r="F1268" s="105" t="str">
        <f>IF(ISBLANK(B1268),"",IF(I1268="L","Baixa",IF(I1268="A","Média",IF(I1268="","","Alta"))))</f>
        <v>Baixa</v>
      </c>
      <c r="G1268" s="4" t="str">
        <f>CONCATENATE(B1268,I1268)</f>
        <v>EEL</v>
      </c>
      <c r="H1268" s="4">
        <f>IF(ISBLANK(B1268),"",IF(B1268="ALI",IF(I1268="L",7,IF(I1268="A",10,15)),IF(B1268="AIE",IF(I1268="L",5,IF(I1268="A",7,10)),IF(B1268="SE",IF(I1268="L",4,IF(I1268="A",5,7)),IF(OR(B1268="EE",B1268="CE"),IF(I1268="L",3,IF(I1268="A",4,6)),0)))))</f>
        <v>3</v>
      </c>
      <c r="I1268" s="105" t="str">
        <f>IF(OR(ISBLANK(D1268),ISBLANK(E1268)),IF(OR(B1268="ALI",B1268="AIE"),"L",IF(OR(B1268="EE",B1268="SE",B1268="CE"),"A","")),IF(B1268="EE",IF(E1268&gt;=3,IF(D1268&gt;=5,"H","A"),IF(E1268&gt;=2,IF(D1268&gt;=16,"H",IF(D1268&lt;=4,"L","A")),IF(D1268&lt;=15,"L","A"))),IF(OR(B1268="SE",B1268="CE"),IF(E1268&gt;=4,IF(D1268&gt;=6,"H","A"),IF(E1268&gt;=2,IF(D1268&gt;=20,"H",IF(D1268&lt;=5,"L","A")),IF(D1268&lt;=19,"L","A"))),IF(OR(B1268="ALI",B1268="AIE"),IF(E1268&gt;=6,IF(D1268&gt;=20,"H","A"),IF(E1268&gt;=2,IF(D1268&gt;=51,"H",IF(D1268&lt;=19,"L","A")),IF(D1268&lt;=50,"L","A"))),""))))</f>
        <v>L</v>
      </c>
      <c r="J1268" s="4" t="str">
        <f>CONCATENATE(B1268,C1268)</f>
        <v>EEI</v>
      </c>
      <c r="K1268" s="106">
        <f>IF(OR(H1268="",H1268=0),L1268,H1268)</f>
        <v>3</v>
      </c>
      <c r="L1268" s="106">
        <f>IF(NOT(ISERROR(VLOOKUP(B1268,Deflatores!G$42:H$64,2,FALSE))),VLOOKUP(B1268,Deflatores!G$42:H$64,2,FALSE),IF(OR(ISBLANK(C1268),ISBLANK(B1268)),"",VLOOKUP(C1268,Deflatores!G$4:H$38,2,FALSE)*H1268+VLOOKUP(C1268,Deflatores!G$4:I$38,3,FALSE)))</f>
        <v>3</v>
      </c>
      <c r="M1268" s="6"/>
      <c r="N1268" s="6"/>
      <c r="O1268" s="144"/>
    </row>
    <row r="1269" spans="1:15" x14ac:dyDescent="0.25">
      <c r="A1269" s="145"/>
      <c r="B1269" s="113"/>
      <c r="C1269" s="113"/>
      <c r="D1269" s="4"/>
      <c r="E1269" s="4"/>
      <c r="F1269" s="105" t="str">
        <f t="shared" si="299"/>
        <v/>
      </c>
      <c r="G1269" s="4" t="str">
        <f t="shared" si="300"/>
        <v/>
      </c>
      <c r="H1269" s="4" t="str">
        <f t="shared" si="301"/>
        <v/>
      </c>
      <c r="I1269" s="105" t="str">
        <f t="shared" si="302"/>
        <v/>
      </c>
      <c r="J1269" s="4" t="str">
        <f t="shared" si="303"/>
        <v/>
      </c>
      <c r="K1269" s="106" t="str">
        <f t="shared" si="304"/>
        <v/>
      </c>
      <c r="L1269" s="106" t="str">
        <f>IF(NOT(ISERROR(VLOOKUP(B1269,Deflatores!G$42:H$64,2,FALSE))),VLOOKUP(B1269,Deflatores!G$42:H$64,2,FALSE),IF(OR(ISBLANK(C1269),ISBLANK(B1269)),"",VLOOKUP(C1269,Deflatores!G$4:H$38,2,FALSE)*H1269+VLOOKUP(C1269,Deflatores!G$4:I$38,3,FALSE)))</f>
        <v/>
      </c>
      <c r="M1269" s="6"/>
      <c r="N1269" s="6"/>
      <c r="O1269" s="144"/>
    </row>
    <row r="1270" spans="1:15" x14ac:dyDescent="0.25">
      <c r="A1270" s="143" t="s">
        <v>1070</v>
      </c>
      <c r="B1270" s="113"/>
      <c r="C1270" s="113"/>
      <c r="D1270" s="4"/>
      <c r="E1270" s="4"/>
      <c r="F1270" s="105" t="str">
        <f t="shared" si="299"/>
        <v/>
      </c>
      <c r="G1270" s="4" t="str">
        <f t="shared" si="300"/>
        <v/>
      </c>
      <c r="H1270" s="4" t="str">
        <f t="shared" si="301"/>
        <v/>
      </c>
      <c r="I1270" s="105" t="str">
        <f t="shared" si="302"/>
        <v/>
      </c>
      <c r="J1270" s="4" t="str">
        <f t="shared" si="303"/>
        <v/>
      </c>
      <c r="K1270" s="106" t="str">
        <f t="shared" si="304"/>
        <v/>
      </c>
      <c r="L1270" s="106" t="str">
        <f>IF(NOT(ISERROR(VLOOKUP(B1270,Deflatores!G$42:H$64,2,FALSE))),VLOOKUP(B1270,Deflatores!G$42:H$64,2,FALSE),IF(OR(ISBLANK(C1270),ISBLANK(B1270)),"",VLOOKUP(C1270,Deflatores!G$4:H$38,2,FALSE)*H1270+VLOOKUP(C1270,Deflatores!G$4:I$38,3,FALSE)))</f>
        <v/>
      </c>
      <c r="M1270" s="6"/>
      <c r="N1270" s="6"/>
      <c r="O1270" s="144"/>
    </row>
    <row r="1271" spans="1:15" x14ac:dyDescent="0.25">
      <c r="A1271" s="145" t="s">
        <v>1071</v>
      </c>
      <c r="B1271" s="113" t="s">
        <v>44</v>
      </c>
      <c r="C1271" s="113" t="s">
        <v>45</v>
      </c>
      <c r="D1271" s="4">
        <v>9</v>
      </c>
      <c r="E1271" s="4">
        <v>1</v>
      </c>
      <c r="F1271" s="105" t="str">
        <f t="shared" si="299"/>
        <v>Baixa</v>
      </c>
      <c r="G1271" s="4" t="str">
        <f t="shared" si="300"/>
        <v>ALIL</v>
      </c>
      <c r="H1271" s="4">
        <f t="shared" si="301"/>
        <v>7</v>
      </c>
      <c r="I1271" s="105" t="str">
        <f t="shared" si="302"/>
        <v>L</v>
      </c>
      <c r="J1271" s="4" t="str">
        <f t="shared" si="303"/>
        <v>ALII</v>
      </c>
      <c r="K1271" s="106">
        <f t="shared" si="304"/>
        <v>7</v>
      </c>
      <c r="L1271" s="106">
        <f>IF(NOT(ISERROR(VLOOKUP(B1271,Deflatores!G$42:H$64,2,FALSE))),VLOOKUP(B1271,Deflatores!G$42:H$64,2,FALSE),IF(OR(ISBLANK(C1271),ISBLANK(B1271)),"",VLOOKUP(C1271,Deflatores!G$4:H$38,2,FALSE)*H1271+VLOOKUP(C1271,Deflatores!G$4:I$38,3,FALSE)))</f>
        <v>7</v>
      </c>
      <c r="M1271" s="6"/>
      <c r="N1271" s="6"/>
      <c r="O1271" s="144"/>
    </row>
    <row r="1272" spans="1:15" x14ac:dyDescent="0.25">
      <c r="A1272" s="145" t="s">
        <v>1072</v>
      </c>
      <c r="B1272" s="113" t="s">
        <v>48</v>
      </c>
      <c r="C1272" s="113" t="s">
        <v>45</v>
      </c>
      <c r="D1272" s="4">
        <v>10</v>
      </c>
      <c r="E1272" s="4">
        <v>3</v>
      </c>
      <c r="F1272" s="105" t="str">
        <f t="shared" si="299"/>
        <v>Alta</v>
      </c>
      <c r="G1272" s="4" t="str">
        <f t="shared" si="300"/>
        <v>EEH</v>
      </c>
      <c r="H1272" s="4">
        <f t="shared" si="301"/>
        <v>6</v>
      </c>
      <c r="I1272" s="105" t="str">
        <f t="shared" si="302"/>
        <v>H</v>
      </c>
      <c r="J1272" s="4" t="str">
        <f t="shared" si="303"/>
        <v>EEI</v>
      </c>
      <c r="K1272" s="106">
        <f t="shared" si="304"/>
        <v>6</v>
      </c>
      <c r="L1272" s="106">
        <f>IF(NOT(ISERROR(VLOOKUP(B1272,Deflatores!G$42:H$64,2,FALSE))),VLOOKUP(B1272,Deflatores!G$42:H$64,2,FALSE),IF(OR(ISBLANK(C1272),ISBLANK(B1272)),"",VLOOKUP(C1272,Deflatores!G$4:H$38,2,FALSE)*H1272+VLOOKUP(C1272,Deflatores!G$4:I$38,3,FALSE)))</f>
        <v>6</v>
      </c>
      <c r="M1272" s="6"/>
      <c r="N1272" s="6"/>
      <c r="O1272" s="144"/>
    </row>
    <row r="1273" spans="1:15" x14ac:dyDescent="0.25">
      <c r="A1273" s="145" t="s">
        <v>1073</v>
      </c>
      <c r="B1273" s="113" t="s">
        <v>48</v>
      </c>
      <c r="C1273" s="113" t="s">
        <v>45</v>
      </c>
      <c r="D1273" s="4">
        <v>10</v>
      </c>
      <c r="E1273" s="4">
        <v>3</v>
      </c>
      <c r="F1273" s="105" t="str">
        <f t="shared" si="299"/>
        <v>Alta</v>
      </c>
      <c r="G1273" s="4" t="str">
        <f t="shared" si="300"/>
        <v>EEH</v>
      </c>
      <c r="H1273" s="4">
        <f t="shared" si="301"/>
        <v>6</v>
      </c>
      <c r="I1273" s="105" t="str">
        <f t="shared" si="302"/>
        <v>H</v>
      </c>
      <c r="J1273" s="4" t="str">
        <f t="shared" si="303"/>
        <v>EEI</v>
      </c>
      <c r="K1273" s="106">
        <f t="shared" si="304"/>
        <v>6</v>
      </c>
      <c r="L1273" s="106">
        <f>IF(NOT(ISERROR(VLOOKUP(B1273,Deflatores!G$42:H$64,2,FALSE))),VLOOKUP(B1273,Deflatores!G$42:H$64,2,FALSE),IF(OR(ISBLANK(C1273),ISBLANK(B1273)),"",VLOOKUP(C1273,Deflatores!G$4:H$38,2,FALSE)*H1273+VLOOKUP(C1273,Deflatores!G$4:I$38,3,FALSE)))</f>
        <v>6</v>
      </c>
      <c r="M1273" s="6"/>
      <c r="N1273" s="6"/>
      <c r="O1273" s="144"/>
    </row>
    <row r="1274" spans="1:15" x14ac:dyDescent="0.25">
      <c r="A1274" s="146" t="s">
        <v>1074</v>
      </c>
      <c r="B1274" s="113" t="s">
        <v>50</v>
      </c>
      <c r="C1274" s="113" t="s">
        <v>45</v>
      </c>
      <c r="D1274" s="4">
        <v>12</v>
      </c>
      <c r="E1274" s="4">
        <v>3</v>
      </c>
      <c r="F1274" s="105" t="str">
        <f>IF(ISBLANK(B1274),"",IF(I1274="L","Baixa",IF(I1274="A","Média",IF(I1274="","","Alta"))))</f>
        <v>Média</v>
      </c>
      <c r="G1274" s="4" t="str">
        <f>CONCATENATE(B1274,I1274)</f>
        <v>CEA</v>
      </c>
      <c r="H1274" s="4">
        <f>IF(ISBLANK(B1274),"",IF(B1274="ALI",IF(I1274="L",7,IF(I1274="A",10,15)),IF(B1274="AIE",IF(I1274="L",5,IF(I1274="A",7,10)),IF(B1274="SE",IF(I1274="L",4,IF(I1274="A",5,7)),IF(OR(B1274="EE",B1274="CE"),IF(I1274="L",3,IF(I1274="A",4,6)),0)))))</f>
        <v>4</v>
      </c>
      <c r="I1274" s="105" t="str">
        <f>IF(OR(ISBLANK(D1274),ISBLANK(E1274)),IF(OR(B1274="ALI",B1274="AIE"),"L",IF(OR(B1274="EE",B1274="SE",B1274="CE"),"A","")),IF(B1274="EE",IF(E1274&gt;=3,IF(D1274&gt;=5,"H","A"),IF(E1274&gt;=2,IF(D1274&gt;=16,"H",IF(D1274&lt;=4,"L","A")),IF(D1274&lt;=15,"L","A"))),IF(OR(B1274="SE",B1274="CE"),IF(E1274&gt;=4,IF(D1274&gt;=6,"H","A"),IF(E1274&gt;=2,IF(D1274&gt;=20,"H",IF(D1274&lt;=5,"L","A")),IF(D1274&lt;=19,"L","A"))),IF(OR(B1274="ALI",B1274="AIE"),IF(E1274&gt;=6,IF(D1274&gt;=20,"H","A"),IF(E1274&gt;=2,IF(D1274&gt;=51,"H",IF(D1274&lt;=19,"L","A")),IF(D1274&lt;=50,"L","A"))),""))))</f>
        <v>A</v>
      </c>
      <c r="J1274" s="4" t="str">
        <f>CONCATENATE(B1274,C1274)</f>
        <v>CEI</v>
      </c>
      <c r="K1274" s="106">
        <f>IF(OR(H1274="",H1274=0),L1274,H1274)</f>
        <v>4</v>
      </c>
      <c r="L1274" s="106">
        <f>IF(NOT(ISERROR(VLOOKUP(B1274,Deflatores!G$42:H$64,2,FALSE))),VLOOKUP(B1274,Deflatores!G$42:H$64,2,FALSE),IF(OR(ISBLANK(C1274),ISBLANK(B1274)),"",VLOOKUP(C1274,Deflatores!G$4:H$38,2,FALSE)*H1274+VLOOKUP(C1274,Deflatores!G$4:I$38,3,FALSE)))</f>
        <v>4</v>
      </c>
      <c r="M1274" s="6"/>
      <c r="N1274" s="6"/>
      <c r="O1274" s="144"/>
    </row>
    <row r="1275" spans="1:15" x14ac:dyDescent="0.25">
      <c r="A1275" s="145" t="s">
        <v>1075</v>
      </c>
      <c r="B1275" s="113" t="s">
        <v>50</v>
      </c>
      <c r="C1275" s="113" t="s">
        <v>45</v>
      </c>
      <c r="D1275" s="4">
        <v>14</v>
      </c>
      <c r="E1275" s="4">
        <v>3</v>
      </c>
      <c r="F1275" s="105" t="str">
        <f>IF(ISBLANK(B1275),"",IF(I1275="L","Baixa",IF(I1275="A","Média",IF(I1275="","","Alta"))))</f>
        <v>Média</v>
      </c>
      <c r="G1275" s="4" t="str">
        <f>CONCATENATE(B1275,I1275)</f>
        <v>CEA</v>
      </c>
      <c r="H1275" s="4">
        <f>IF(ISBLANK(B1275),"",IF(B1275="ALI",IF(I1275="L",7,IF(I1275="A",10,15)),IF(B1275="AIE",IF(I1275="L",5,IF(I1275="A",7,10)),IF(B1275="SE",IF(I1275="L",4,IF(I1275="A",5,7)),IF(OR(B1275="EE",B1275="CE"),IF(I1275="L",3,IF(I1275="A",4,6)),0)))))</f>
        <v>4</v>
      </c>
      <c r="I1275" s="105" t="str">
        <f>IF(OR(ISBLANK(D1275),ISBLANK(E1275)),IF(OR(B1275="ALI",B1275="AIE"),"L",IF(OR(B1275="EE",B1275="SE",B1275="CE"),"A","")),IF(B1275="EE",IF(E1275&gt;=3,IF(D1275&gt;=5,"H","A"),IF(E1275&gt;=2,IF(D1275&gt;=16,"H",IF(D1275&lt;=4,"L","A")),IF(D1275&lt;=15,"L","A"))),IF(OR(B1275="SE",B1275="CE"),IF(E1275&gt;=4,IF(D1275&gt;=6,"H","A"),IF(E1275&gt;=2,IF(D1275&gt;=20,"H",IF(D1275&lt;=5,"L","A")),IF(D1275&lt;=19,"L","A"))),IF(OR(B1275="ALI",B1275="AIE"),IF(E1275&gt;=6,IF(D1275&gt;=20,"H","A"),IF(E1275&gt;=2,IF(D1275&gt;=51,"H",IF(D1275&lt;=19,"L","A")),IF(D1275&lt;=50,"L","A"))),""))))</f>
        <v>A</v>
      </c>
      <c r="J1275" s="4" t="str">
        <f>CONCATENATE(B1275,C1275)</f>
        <v>CEI</v>
      </c>
      <c r="K1275" s="106">
        <f>IF(OR(H1275="",H1275=0),L1275,H1275)</f>
        <v>4</v>
      </c>
      <c r="L1275" s="106">
        <f>IF(NOT(ISERROR(VLOOKUP(B1275,Deflatores!G$42:H$64,2,FALSE))),VLOOKUP(B1275,Deflatores!G$42:H$64,2,FALSE),IF(OR(ISBLANK(C1275),ISBLANK(B1275)),"",VLOOKUP(C1275,Deflatores!G$4:H$38,2,FALSE)*H1275+VLOOKUP(C1275,Deflatores!G$4:I$38,3,FALSE)))</f>
        <v>4</v>
      </c>
      <c r="M1275" s="6"/>
      <c r="N1275" s="6"/>
      <c r="O1275" s="144"/>
    </row>
    <row r="1276" spans="1:15" x14ac:dyDescent="0.25">
      <c r="A1276" s="145" t="s">
        <v>1076</v>
      </c>
      <c r="B1276" s="113" t="s">
        <v>48</v>
      </c>
      <c r="C1276" s="113" t="s">
        <v>45</v>
      </c>
      <c r="D1276" s="4">
        <v>3</v>
      </c>
      <c r="E1276" s="4">
        <v>1</v>
      </c>
      <c r="F1276" s="105" t="str">
        <f t="shared" si="299"/>
        <v>Baixa</v>
      </c>
      <c r="G1276" s="4" t="str">
        <f t="shared" si="300"/>
        <v>EEL</v>
      </c>
      <c r="H1276" s="4">
        <f t="shared" si="301"/>
        <v>3</v>
      </c>
      <c r="I1276" s="105" t="str">
        <f t="shared" si="302"/>
        <v>L</v>
      </c>
      <c r="J1276" s="4" t="str">
        <f t="shared" si="303"/>
        <v>EEI</v>
      </c>
      <c r="K1276" s="106">
        <f t="shared" si="304"/>
        <v>3</v>
      </c>
      <c r="L1276" s="106">
        <f>IF(NOT(ISERROR(VLOOKUP(B1276,Deflatores!G$42:H$64,2,FALSE))),VLOOKUP(B1276,Deflatores!G$42:H$64,2,FALSE),IF(OR(ISBLANK(C1276),ISBLANK(B1276)),"",VLOOKUP(C1276,Deflatores!G$4:H$38,2,FALSE)*H1276+VLOOKUP(C1276,Deflatores!G$4:I$38,3,FALSE)))</f>
        <v>3</v>
      </c>
      <c r="M1276" s="6"/>
      <c r="N1276" s="6"/>
      <c r="O1276" s="144"/>
    </row>
    <row r="1277" spans="1:15" x14ac:dyDescent="0.25">
      <c r="A1277" s="145"/>
      <c r="B1277" s="113"/>
      <c r="C1277" s="113"/>
      <c r="D1277" s="4"/>
      <c r="E1277" s="4"/>
      <c r="F1277" s="105" t="str">
        <f t="shared" si="299"/>
        <v/>
      </c>
      <c r="G1277" s="4" t="str">
        <f t="shared" si="300"/>
        <v/>
      </c>
      <c r="H1277" s="4" t="str">
        <f t="shared" si="301"/>
        <v/>
      </c>
      <c r="I1277" s="105" t="str">
        <f t="shared" si="302"/>
        <v/>
      </c>
      <c r="J1277" s="4" t="str">
        <f t="shared" si="303"/>
        <v/>
      </c>
      <c r="K1277" s="106" t="str">
        <f t="shared" si="304"/>
        <v/>
      </c>
      <c r="L1277" s="106" t="str">
        <f>IF(NOT(ISERROR(VLOOKUP(B1277,Deflatores!G$42:H$64,2,FALSE))),VLOOKUP(B1277,Deflatores!G$42:H$64,2,FALSE),IF(OR(ISBLANK(C1277),ISBLANK(B1277)),"",VLOOKUP(C1277,Deflatores!G$4:H$38,2,FALSE)*H1277+VLOOKUP(C1277,Deflatores!G$4:I$38,3,FALSE)))</f>
        <v/>
      </c>
      <c r="M1277" s="6"/>
      <c r="N1277" s="6"/>
      <c r="O1277" s="144"/>
    </row>
    <row r="1278" spans="1:15" x14ac:dyDescent="0.25">
      <c r="A1278" s="143" t="s">
        <v>1077</v>
      </c>
      <c r="B1278" s="113"/>
      <c r="C1278" s="113"/>
      <c r="D1278" s="4"/>
      <c r="E1278" s="4"/>
      <c r="F1278" s="105" t="str">
        <f t="shared" si="299"/>
        <v/>
      </c>
      <c r="G1278" s="4" t="str">
        <f t="shared" si="300"/>
        <v/>
      </c>
      <c r="H1278" s="4" t="str">
        <f t="shared" si="301"/>
        <v/>
      </c>
      <c r="I1278" s="105" t="str">
        <f t="shared" si="302"/>
        <v/>
      </c>
      <c r="J1278" s="4" t="str">
        <f t="shared" si="303"/>
        <v/>
      </c>
      <c r="K1278" s="106" t="str">
        <f t="shared" si="304"/>
        <v/>
      </c>
      <c r="L1278" s="106" t="str">
        <f>IF(NOT(ISERROR(VLOOKUP(B1278,Deflatores!G$42:H$64,2,FALSE))),VLOOKUP(B1278,Deflatores!G$42:H$64,2,FALSE),IF(OR(ISBLANK(C1278),ISBLANK(B1278)),"",VLOOKUP(C1278,Deflatores!G$4:H$38,2,FALSE)*H1278+VLOOKUP(C1278,Deflatores!G$4:I$38,3,FALSE)))</f>
        <v/>
      </c>
      <c r="M1278" s="6"/>
      <c r="N1278" s="6"/>
      <c r="O1278" s="144"/>
    </row>
    <row r="1279" spans="1:15" x14ac:dyDescent="0.25">
      <c r="A1279" s="145" t="s">
        <v>1078</v>
      </c>
      <c r="B1279" s="113" t="s">
        <v>44</v>
      </c>
      <c r="C1279" s="113" t="s">
        <v>45</v>
      </c>
      <c r="D1279" s="4">
        <v>11</v>
      </c>
      <c r="E1279" s="4">
        <v>2</v>
      </c>
      <c r="F1279" s="105" t="str">
        <f t="shared" si="299"/>
        <v>Baixa</v>
      </c>
      <c r="G1279" s="4" t="str">
        <f t="shared" si="300"/>
        <v>ALIL</v>
      </c>
      <c r="H1279" s="4">
        <f t="shared" si="301"/>
        <v>7</v>
      </c>
      <c r="I1279" s="105" t="str">
        <f t="shared" si="302"/>
        <v>L</v>
      </c>
      <c r="J1279" s="4" t="str">
        <f t="shared" si="303"/>
        <v>ALII</v>
      </c>
      <c r="K1279" s="106">
        <f t="shared" si="304"/>
        <v>7</v>
      </c>
      <c r="L1279" s="106">
        <f>IF(NOT(ISERROR(VLOOKUP(B1279,Deflatores!G$42:H$64,2,FALSE))),VLOOKUP(B1279,Deflatores!G$42:H$64,2,FALSE),IF(OR(ISBLANK(C1279),ISBLANK(B1279)),"",VLOOKUP(C1279,Deflatores!G$4:H$38,2,FALSE)*H1279+VLOOKUP(C1279,Deflatores!G$4:I$38,3,FALSE)))</f>
        <v>7</v>
      </c>
      <c r="M1279" s="6"/>
      <c r="N1279" s="6"/>
      <c r="O1279" s="144"/>
    </row>
    <row r="1280" spans="1:15" x14ac:dyDescent="0.25">
      <c r="A1280" s="145" t="s">
        <v>1079</v>
      </c>
      <c r="B1280" s="113" t="s">
        <v>50</v>
      </c>
      <c r="C1280" s="113" t="s">
        <v>45</v>
      </c>
      <c r="D1280" s="4">
        <v>15</v>
      </c>
      <c r="E1280" s="4">
        <v>5</v>
      </c>
      <c r="F1280" s="105" t="str">
        <f t="shared" si="299"/>
        <v>Alta</v>
      </c>
      <c r="G1280" s="4" t="str">
        <f t="shared" si="300"/>
        <v>CEH</v>
      </c>
      <c r="H1280" s="4">
        <f t="shared" si="301"/>
        <v>6</v>
      </c>
      <c r="I1280" s="105" t="str">
        <f t="shared" si="302"/>
        <v>H</v>
      </c>
      <c r="J1280" s="4" t="str">
        <f t="shared" si="303"/>
        <v>CEI</v>
      </c>
      <c r="K1280" s="106">
        <f t="shared" si="304"/>
        <v>6</v>
      </c>
      <c r="L1280" s="106">
        <f>IF(NOT(ISERROR(VLOOKUP(B1280,Deflatores!G$42:H$64,2,FALSE))),VLOOKUP(B1280,Deflatores!G$42:H$64,2,FALSE),IF(OR(ISBLANK(C1280),ISBLANK(B1280)),"",VLOOKUP(C1280,Deflatores!G$4:H$38,2,FALSE)*H1280+VLOOKUP(C1280,Deflatores!G$4:I$38,3,FALSE)))</f>
        <v>6</v>
      </c>
      <c r="M1280" s="6"/>
      <c r="N1280" s="6"/>
      <c r="O1280" s="144"/>
    </row>
    <row r="1281" spans="1:15" x14ac:dyDescent="0.25">
      <c r="A1281" s="145" t="s">
        <v>1080</v>
      </c>
      <c r="B1281" s="113" t="s">
        <v>48</v>
      </c>
      <c r="C1281" s="113" t="s">
        <v>45</v>
      </c>
      <c r="D1281" s="4">
        <v>8</v>
      </c>
      <c r="E1281" s="4">
        <v>3</v>
      </c>
      <c r="F1281" s="105" t="str">
        <f t="shared" si="299"/>
        <v>Alta</v>
      </c>
      <c r="G1281" s="4" t="str">
        <f t="shared" si="300"/>
        <v>EEH</v>
      </c>
      <c r="H1281" s="4">
        <f t="shared" si="301"/>
        <v>6</v>
      </c>
      <c r="I1281" s="105" t="str">
        <f t="shared" si="302"/>
        <v>H</v>
      </c>
      <c r="J1281" s="4" t="str">
        <f t="shared" si="303"/>
        <v>EEI</v>
      </c>
      <c r="K1281" s="106">
        <f t="shared" si="304"/>
        <v>6</v>
      </c>
      <c r="L1281" s="106">
        <f>IF(NOT(ISERROR(VLOOKUP(B1281,Deflatores!G$42:H$64,2,FALSE))),VLOOKUP(B1281,Deflatores!G$42:H$64,2,FALSE),IF(OR(ISBLANK(C1281),ISBLANK(B1281)),"",VLOOKUP(C1281,Deflatores!G$4:H$38,2,FALSE)*H1281+VLOOKUP(C1281,Deflatores!G$4:I$38,3,FALSE)))</f>
        <v>6</v>
      </c>
      <c r="M1281" s="6"/>
      <c r="N1281" s="6"/>
      <c r="O1281" s="144"/>
    </row>
    <row r="1282" spans="1:15" x14ac:dyDescent="0.25">
      <c r="A1282" s="146" t="s">
        <v>1081</v>
      </c>
      <c r="B1282" s="113" t="s">
        <v>50</v>
      </c>
      <c r="C1282" s="113" t="s">
        <v>45</v>
      </c>
      <c r="D1282" s="4">
        <v>3</v>
      </c>
      <c r="E1282" s="4">
        <v>1</v>
      </c>
      <c r="F1282" s="105" t="str">
        <f t="shared" si="299"/>
        <v>Baixa</v>
      </c>
      <c r="G1282" s="4" t="str">
        <f t="shared" si="300"/>
        <v>CEL</v>
      </c>
      <c r="H1282" s="4">
        <f t="shared" si="301"/>
        <v>3</v>
      </c>
      <c r="I1282" s="105" t="str">
        <f t="shared" si="302"/>
        <v>L</v>
      </c>
      <c r="J1282" s="4" t="str">
        <f t="shared" si="303"/>
        <v>CEI</v>
      </c>
      <c r="K1282" s="106">
        <f t="shared" si="304"/>
        <v>3</v>
      </c>
      <c r="L1282" s="106">
        <f>IF(NOT(ISERROR(VLOOKUP(B1282,Deflatores!G$42:H$64,2,FALSE))),VLOOKUP(B1282,Deflatores!G$42:H$64,2,FALSE),IF(OR(ISBLANK(C1282),ISBLANK(B1282)),"",VLOOKUP(C1282,Deflatores!G$4:H$38,2,FALSE)*H1282+VLOOKUP(C1282,Deflatores!G$4:I$38,3,FALSE)))</f>
        <v>3</v>
      </c>
      <c r="M1282" s="6"/>
      <c r="N1282" s="6"/>
      <c r="O1282" s="144"/>
    </row>
    <row r="1283" spans="1:15" x14ac:dyDescent="0.25">
      <c r="A1283" s="145" t="s">
        <v>1082</v>
      </c>
      <c r="B1283" s="113" t="s">
        <v>48</v>
      </c>
      <c r="C1283" s="113" t="s">
        <v>45</v>
      </c>
      <c r="D1283" s="4">
        <v>8</v>
      </c>
      <c r="E1283" s="4">
        <v>3</v>
      </c>
      <c r="F1283" s="105" t="str">
        <f t="shared" si="299"/>
        <v>Alta</v>
      </c>
      <c r="G1283" s="4" t="str">
        <f t="shared" si="300"/>
        <v>EEH</v>
      </c>
      <c r="H1283" s="4">
        <f t="shared" si="301"/>
        <v>6</v>
      </c>
      <c r="I1283" s="105" t="str">
        <f t="shared" si="302"/>
        <v>H</v>
      </c>
      <c r="J1283" s="4" t="str">
        <f t="shared" si="303"/>
        <v>EEI</v>
      </c>
      <c r="K1283" s="106">
        <f t="shared" si="304"/>
        <v>6</v>
      </c>
      <c r="L1283" s="106">
        <f>IF(NOT(ISERROR(VLOOKUP(B1283,Deflatores!G$42:H$64,2,FALSE))),VLOOKUP(B1283,Deflatores!G$42:H$64,2,FALSE),IF(OR(ISBLANK(C1283),ISBLANK(B1283)),"",VLOOKUP(C1283,Deflatores!G$4:H$38,2,FALSE)*H1283+VLOOKUP(C1283,Deflatores!G$4:I$38,3,FALSE)))</f>
        <v>6</v>
      </c>
      <c r="M1283" s="6"/>
      <c r="N1283" s="6"/>
      <c r="O1283" s="144"/>
    </row>
    <row r="1284" spans="1:15" x14ac:dyDescent="0.25">
      <c r="A1284" s="146" t="s">
        <v>1083</v>
      </c>
      <c r="B1284" s="113" t="s">
        <v>50</v>
      </c>
      <c r="C1284" s="113" t="s">
        <v>45</v>
      </c>
      <c r="D1284" s="4">
        <v>10</v>
      </c>
      <c r="E1284" s="4">
        <v>4</v>
      </c>
      <c r="F1284" s="105" t="str">
        <f t="shared" si="299"/>
        <v>Alta</v>
      </c>
      <c r="G1284" s="4" t="str">
        <f t="shared" si="300"/>
        <v>CEH</v>
      </c>
      <c r="H1284" s="4">
        <f t="shared" si="301"/>
        <v>6</v>
      </c>
      <c r="I1284" s="105" t="str">
        <f t="shared" si="302"/>
        <v>H</v>
      </c>
      <c r="J1284" s="4" t="str">
        <f t="shared" si="303"/>
        <v>CEI</v>
      </c>
      <c r="K1284" s="106">
        <f t="shared" si="304"/>
        <v>6</v>
      </c>
      <c r="L1284" s="106">
        <f>IF(NOT(ISERROR(VLOOKUP(B1284,Deflatores!G$42:H$64,2,FALSE))),VLOOKUP(B1284,Deflatores!G$42:H$64,2,FALSE),IF(OR(ISBLANK(C1284),ISBLANK(B1284)),"",VLOOKUP(C1284,Deflatores!G$4:H$38,2,FALSE)*H1284+VLOOKUP(C1284,Deflatores!G$4:I$38,3,FALSE)))</f>
        <v>6</v>
      </c>
      <c r="M1284" s="6"/>
      <c r="N1284" s="6"/>
      <c r="O1284" s="144"/>
    </row>
    <row r="1285" spans="1:15" x14ac:dyDescent="0.25">
      <c r="A1285" s="145" t="s">
        <v>1084</v>
      </c>
      <c r="B1285" s="113" t="s">
        <v>50</v>
      </c>
      <c r="C1285" s="113" t="s">
        <v>45</v>
      </c>
      <c r="D1285" s="4">
        <v>12</v>
      </c>
      <c r="E1285" s="4">
        <v>4</v>
      </c>
      <c r="F1285" s="105" t="str">
        <f t="shared" si="299"/>
        <v>Alta</v>
      </c>
      <c r="G1285" s="4" t="str">
        <f t="shared" si="300"/>
        <v>CEH</v>
      </c>
      <c r="H1285" s="4">
        <f t="shared" si="301"/>
        <v>6</v>
      </c>
      <c r="I1285" s="105" t="str">
        <f t="shared" si="302"/>
        <v>H</v>
      </c>
      <c r="J1285" s="4" t="str">
        <f t="shared" si="303"/>
        <v>CEI</v>
      </c>
      <c r="K1285" s="106">
        <f t="shared" si="304"/>
        <v>6</v>
      </c>
      <c r="L1285" s="106">
        <f>IF(NOT(ISERROR(VLOOKUP(B1285,Deflatores!G$42:H$64,2,FALSE))),VLOOKUP(B1285,Deflatores!G$42:H$64,2,FALSE),IF(OR(ISBLANK(C1285),ISBLANK(B1285)),"",VLOOKUP(C1285,Deflatores!G$4:H$38,2,FALSE)*H1285+VLOOKUP(C1285,Deflatores!G$4:I$38,3,FALSE)))</f>
        <v>6</v>
      </c>
      <c r="M1285" s="6"/>
      <c r="N1285" s="6"/>
      <c r="O1285" s="144"/>
    </row>
    <row r="1286" spans="1:15" x14ac:dyDescent="0.25">
      <c r="A1286" s="145" t="s">
        <v>1085</v>
      </c>
      <c r="B1286" s="113" t="s">
        <v>48</v>
      </c>
      <c r="C1286" s="113" t="s">
        <v>45</v>
      </c>
      <c r="D1286" s="4">
        <v>3</v>
      </c>
      <c r="E1286" s="4">
        <v>1</v>
      </c>
      <c r="F1286" s="105" t="str">
        <f t="shared" si="299"/>
        <v>Baixa</v>
      </c>
      <c r="G1286" s="4" t="str">
        <f t="shared" si="300"/>
        <v>EEL</v>
      </c>
      <c r="H1286" s="4">
        <f t="shared" si="301"/>
        <v>3</v>
      </c>
      <c r="I1286" s="105" t="str">
        <f t="shared" si="302"/>
        <v>L</v>
      </c>
      <c r="J1286" s="4" t="str">
        <f t="shared" si="303"/>
        <v>EEI</v>
      </c>
      <c r="K1286" s="106">
        <f t="shared" si="304"/>
        <v>3</v>
      </c>
      <c r="L1286" s="106">
        <f>IF(NOT(ISERROR(VLOOKUP(B1286,Deflatores!G$42:H$64,2,FALSE))),VLOOKUP(B1286,Deflatores!G$42:H$64,2,FALSE),IF(OR(ISBLANK(C1286),ISBLANK(B1286)),"",VLOOKUP(C1286,Deflatores!G$4:H$38,2,FALSE)*H1286+VLOOKUP(C1286,Deflatores!G$4:I$38,3,FALSE)))</f>
        <v>3</v>
      </c>
      <c r="M1286" s="6"/>
      <c r="N1286" s="6"/>
      <c r="O1286" s="144"/>
    </row>
    <row r="1287" spans="1:15" ht="19.5" customHeight="1" x14ac:dyDescent="0.25">
      <c r="A1287" s="145"/>
      <c r="B1287" s="113"/>
      <c r="C1287" s="113"/>
      <c r="D1287" s="4"/>
      <c r="E1287" s="4"/>
      <c r="F1287" s="105" t="str">
        <f t="shared" si="299"/>
        <v/>
      </c>
      <c r="G1287" s="4" t="str">
        <f t="shared" si="300"/>
        <v/>
      </c>
      <c r="H1287" s="4" t="str">
        <f t="shared" si="301"/>
        <v/>
      </c>
      <c r="I1287" s="105" t="str">
        <f t="shared" si="302"/>
        <v/>
      </c>
      <c r="J1287" s="4" t="str">
        <f t="shared" si="303"/>
        <v/>
      </c>
      <c r="K1287" s="106" t="str">
        <f t="shared" si="304"/>
        <v/>
      </c>
      <c r="L1287" s="106" t="str">
        <f>IF(NOT(ISERROR(VLOOKUP(B1287,Deflatores!G$42:H$64,2,FALSE))),VLOOKUP(B1287,Deflatores!G$42:H$64,2,FALSE),IF(OR(ISBLANK(C1287),ISBLANK(B1287)),"",VLOOKUP(C1287,Deflatores!G$4:H$38,2,FALSE)*H1287+VLOOKUP(C1287,Deflatores!G$4:I$38,3,FALSE)))</f>
        <v/>
      </c>
      <c r="M1287" s="6"/>
      <c r="N1287" s="6"/>
      <c r="O1287" s="144"/>
    </row>
    <row r="1288" spans="1:15" x14ac:dyDescent="0.25">
      <c r="A1288" s="158" t="s">
        <v>1086</v>
      </c>
      <c r="B1288" s="113"/>
      <c r="C1288" s="113"/>
      <c r="D1288" s="4"/>
      <c r="E1288" s="4"/>
      <c r="F1288" s="105" t="str">
        <f>IF(ISBLANK(B1288),"",IF(I1288="L","Baixa",IF(I1288="A","Média",IF(I1288="","","Alta"))))</f>
        <v/>
      </c>
      <c r="G1288" s="4" t="str">
        <f>CONCATENATE(B1288,I1288)</f>
        <v/>
      </c>
      <c r="H1288" s="4" t="str">
        <f>IF(ISBLANK(B1288),"",IF(B1288="ALI",IF(I1288="L",7,IF(I1288="A",10,15)),IF(B1288="AIE",IF(I1288="L",5,IF(I1288="A",7,10)),IF(B1288="SE",IF(I1288="L",4,IF(I1288="A",5,7)),IF(OR(B1288="EE",B1288="CE"),IF(I1288="L",3,IF(I1288="A",4,6)),0)))))</f>
        <v/>
      </c>
      <c r="I1288" s="105" t="str">
        <f>IF(OR(ISBLANK(D1288),ISBLANK(E1288)),IF(OR(B1288="ALI",B1288="AIE"),"L",IF(OR(B1288="EE",B1288="SE",B1288="CE"),"A","")),IF(B1288="EE",IF(E1288&gt;=3,IF(D1288&gt;=5,"H","A"),IF(E1288&gt;=2,IF(D1288&gt;=16,"H",IF(D1288&lt;=4,"L","A")),IF(D1288&lt;=15,"L","A"))),IF(OR(B1288="SE",B1288="CE"),IF(E1288&gt;=4,IF(D1288&gt;=6,"H","A"),IF(E1288&gt;=2,IF(D1288&gt;=20,"H",IF(D1288&lt;=5,"L","A")),IF(D1288&lt;=19,"L","A"))),IF(OR(B1288="ALI",B1288="AIE"),IF(E1288&gt;=6,IF(D1288&gt;=20,"H","A"),IF(E1288&gt;=2,IF(D1288&gt;=51,"H",IF(D1288&lt;=19,"L","A")),IF(D1288&lt;=50,"L","A"))),""))))</f>
        <v/>
      </c>
      <c r="J1288" s="4" t="str">
        <f>CONCATENATE(B1288,C1288)</f>
        <v/>
      </c>
      <c r="K1288" s="106" t="str">
        <f>IF(OR(H1288="",H1288=0),L1288,H1288)</f>
        <v/>
      </c>
      <c r="L1288" s="106" t="str">
        <f>IF(NOT(ISERROR(VLOOKUP(B1288,Deflatores!G$42:H$64,2,FALSE))),VLOOKUP(B1288,Deflatores!G$42:H$64,2,FALSE),IF(OR(ISBLANK(C1288),ISBLANK(B1288)),"",VLOOKUP(C1288,Deflatores!G$4:H$38,2,FALSE)*H1288+VLOOKUP(C1288,Deflatores!G$4:I$38,3,FALSE)))</f>
        <v/>
      </c>
      <c r="M1288" s="6"/>
      <c r="N1288" s="6"/>
      <c r="O1288" s="144"/>
    </row>
    <row r="1289" spans="1:15" x14ac:dyDescent="0.25">
      <c r="A1289" s="145" t="s">
        <v>1087</v>
      </c>
      <c r="B1289" s="113" t="s">
        <v>50</v>
      </c>
      <c r="C1289" s="113" t="s">
        <v>45</v>
      </c>
      <c r="D1289" s="4">
        <v>21</v>
      </c>
      <c r="E1289" s="4">
        <v>5</v>
      </c>
      <c r="F1289" s="105" t="str">
        <f t="shared" ref="F1289:F1302" si="305">IF(ISBLANK(B1289),"",IF(I1289="L","Baixa",IF(I1289="A","Média",IF(I1289="","","Alta"))))</f>
        <v>Alta</v>
      </c>
      <c r="G1289" s="4" t="str">
        <f t="shared" ref="G1289:G1302" si="306">CONCATENATE(B1289,I1289)</f>
        <v>CEH</v>
      </c>
      <c r="H1289" s="4">
        <f t="shared" ref="H1289:H1302" si="307">IF(ISBLANK(B1289),"",IF(B1289="ALI",IF(I1289="L",7,IF(I1289="A",10,15)),IF(B1289="AIE",IF(I1289="L",5,IF(I1289="A",7,10)),IF(B1289="SE",IF(I1289="L",4,IF(I1289="A",5,7)),IF(OR(B1289="EE",B1289="CE"),IF(I1289="L",3,IF(I1289="A",4,6)),0)))))</f>
        <v>6</v>
      </c>
      <c r="I1289" s="105" t="str">
        <f t="shared" ref="I1289:I1302" si="308">IF(OR(ISBLANK(D1289),ISBLANK(E1289)),IF(OR(B1289="ALI",B1289="AIE"),"L",IF(OR(B1289="EE",B1289="SE",B1289="CE"),"A","")),IF(B1289="EE",IF(E1289&gt;=3,IF(D1289&gt;=5,"H","A"),IF(E1289&gt;=2,IF(D1289&gt;=16,"H",IF(D1289&lt;=4,"L","A")),IF(D1289&lt;=15,"L","A"))),IF(OR(B1289="SE",B1289="CE"),IF(E1289&gt;=4,IF(D1289&gt;=6,"H","A"),IF(E1289&gt;=2,IF(D1289&gt;=20,"H",IF(D1289&lt;=5,"L","A")),IF(D1289&lt;=19,"L","A"))),IF(OR(B1289="ALI",B1289="AIE"),IF(E1289&gt;=6,IF(D1289&gt;=20,"H","A"),IF(E1289&gt;=2,IF(D1289&gt;=51,"H",IF(D1289&lt;=19,"L","A")),IF(D1289&lt;=50,"L","A"))),""))))</f>
        <v>H</v>
      </c>
      <c r="J1289" s="4" t="str">
        <f t="shared" ref="J1289:J1302" si="309">CONCATENATE(B1289,C1289)</f>
        <v>CEI</v>
      </c>
      <c r="K1289" s="106">
        <f t="shared" ref="K1289:K1358" si="310">IF(OR(H1289="",H1289=0),L1289,H1289)</f>
        <v>6</v>
      </c>
      <c r="L1289" s="106">
        <f>IF(NOT(ISERROR(VLOOKUP(B1289,Deflatores!G$42:H$64,2,FALSE))),VLOOKUP(B1289,Deflatores!G$42:H$64,2,FALSE),IF(OR(ISBLANK(C1289),ISBLANK(B1289)),"",VLOOKUP(C1289,Deflatores!G$4:H$38,2,FALSE)*H1289+VLOOKUP(C1289,Deflatores!G$4:I$38,3,FALSE)))</f>
        <v>6</v>
      </c>
      <c r="M1289" s="6"/>
      <c r="N1289" s="6"/>
      <c r="O1289" s="144"/>
    </row>
    <row r="1290" spans="1:15" x14ac:dyDescent="0.25">
      <c r="A1290" s="145"/>
      <c r="B1290" s="113"/>
      <c r="C1290" s="113"/>
      <c r="D1290" s="4"/>
      <c r="E1290" s="4"/>
      <c r="F1290" s="105" t="str">
        <f t="shared" si="305"/>
        <v/>
      </c>
      <c r="G1290" s="4" t="str">
        <f t="shared" si="306"/>
        <v/>
      </c>
      <c r="H1290" s="4" t="str">
        <f t="shared" si="307"/>
        <v/>
      </c>
      <c r="I1290" s="105" t="str">
        <f t="shared" si="308"/>
        <v/>
      </c>
      <c r="J1290" s="4" t="str">
        <f t="shared" si="309"/>
        <v/>
      </c>
      <c r="K1290" s="106" t="str">
        <f t="shared" si="310"/>
        <v/>
      </c>
      <c r="L1290" s="106" t="str">
        <f>IF(NOT(ISERROR(VLOOKUP(B1290,Deflatores!G$42:H$64,2,FALSE))),VLOOKUP(B1290,Deflatores!G$42:H$64,2,FALSE),IF(OR(ISBLANK(C1290),ISBLANK(B1290)),"",VLOOKUP(C1290,Deflatores!G$4:H$38,2,FALSE)*H1290+VLOOKUP(C1290,Deflatores!G$4:I$38,3,FALSE)))</f>
        <v/>
      </c>
      <c r="M1290" s="6"/>
      <c r="N1290" s="6"/>
      <c r="O1290" s="144"/>
    </row>
    <row r="1291" spans="1:15" x14ac:dyDescent="0.25">
      <c r="A1291" s="143" t="s">
        <v>1088</v>
      </c>
      <c r="B1291" s="113"/>
      <c r="C1291" s="113"/>
      <c r="D1291" s="4"/>
      <c r="E1291" s="4"/>
      <c r="F1291" s="105" t="str">
        <f t="shared" si="305"/>
        <v/>
      </c>
      <c r="G1291" s="4" t="str">
        <f t="shared" si="306"/>
        <v/>
      </c>
      <c r="H1291" s="4" t="str">
        <f t="shared" si="307"/>
        <v/>
      </c>
      <c r="I1291" s="105" t="str">
        <f t="shared" si="308"/>
        <v/>
      </c>
      <c r="J1291" s="4" t="str">
        <f t="shared" si="309"/>
        <v/>
      </c>
      <c r="K1291" s="106" t="str">
        <f t="shared" si="310"/>
        <v/>
      </c>
      <c r="L1291" s="106" t="s">
        <v>423</v>
      </c>
      <c r="M1291" s="6"/>
      <c r="N1291" s="6"/>
      <c r="O1291" s="144"/>
    </row>
    <row r="1292" spans="1:15" x14ac:dyDescent="0.25">
      <c r="A1292" s="145" t="s">
        <v>1089</v>
      </c>
      <c r="B1292" s="113" t="s">
        <v>44</v>
      </c>
      <c r="C1292" s="113" t="s">
        <v>45</v>
      </c>
      <c r="D1292" s="4">
        <v>18</v>
      </c>
      <c r="E1292" s="4">
        <v>4</v>
      </c>
      <c r="F1292" s="105" t="str">
        <f t="shared" si="305"/>
        <v>Baixa</v>
      </c>
      <c r="G1292" s="4" t="str">
        <f t="shared" si="306"/>
        <v>ALIL</v>
      </c>
      <c r="H1292" s="4">
        <f t="shared" si="307"/>
        <v>7</v>
      </c>
      <c r="I1292" s="105" t="str">
        <f t="shared" si="308"/>
        <v>L</v>
      </c>
      <c r="J1292" s="4" t="str">
        <f t="shared" si="309"/>
        <v>ALII</v>
      </c>
      <c r="K1292" s="106">
        <f t="shared" si="310"/>
        <v>7</v>
      </c>
      <c r="L1292" s="106">
        <f>IF(NOT(ISERROR(VLOOKUP(B1292,Deflatores!G$42:H$64,2,FALSE))),VLOOKUP(B1292,Deflatores!G$42:H$64,2,FALSE),IF(OR(ISBLANK(C1292),ISBLANK(B1292)),"",VLOOKUP(C1292,Deflatores!G$4:H$38,2,FALSE)*H1292+VLOOKUP(C1292,Deflatores!G$4:I$38,3,FALSE)))</f>
        <v>7</v>
      </c>
      <c r="M1292" s="6"/>
      <c r="N1292" s="6"/>
      <c r="O1292" s="144"/>
    </row>
    <row r="1293" spans="1:15" x14ac:dyDescent="0.25">
      <c r="A1293" s="145" t="s">
        <v>1090</v>
      </c>
      <c r="B1293" s="113" t="s">
        <v>50</v>
      </c>
      <c r="C1293" s="113" t="s">
        <v>45</v>
      </c>
      <c r="D1293" s="4">
        <v>14</v>
      </c>
      <c r="E1293" s="4">
        <v>4</v>
      </c>
      <c r="F1293" s="105" t="str">
        <f t="shared" si="305"/>
        <v>Alta</v>
      </c>
      <c r="G1293" s="4" t="str">
        <f t="shared" si="306"/>
        <v>CEH</v>
      </c>
      <c r="H1293" s="4">
        <f t="shared" si="307"/>
        <v>6</v>
      </c>
      <c r="I1293" s="105" t="str">
        <f t="shared" si="308"/>
        <v>H</v>
      </c>
      <c r="J1293" s="4" t="str">
        <f t="shared" si="309"/>
        <v>CEI</v>
      </c>
      <c r="K1293" s="106">
        <f t="shared" si="310"/>
        <v>6</v>
      </c>
      <c r="L1293" s="106">
        <f>IF(NOT(ISERROR(VLOOKUP(B1293,Deflatores!G$42:H$64,2,FALSE))),VLOOKUP(B1293,Deflatores!G$42:H$64,2,FALSE),IF(OR(ISBLANK(C1293),ISBLANK(B1293)),"",VLOOKUP(C1293,Deflatores!G$4:H$38,2,FALSE)*H1293+VLOOKUP(C1293,Deflatores!G$4:I$38,3,FALSE)))</f>
        <v>6</v>
      </c>
      <c r="M1293" s="6"/>
      <c r="N1293" s="6"/>
      <c r="O1293" s="144"/>
    </row>
    <row r="1294" spans="1:15" x14ac:dyDescent="0.25">
      <c r="A1294" s="146" t="s">
        <v>1091</v>
      </c>
      <c r="B1294" s="113" t="s">
        <v>50</v>
      </c>
      <c r="C1294" s="113" t="s">
        <v>45</v>
      </c>
      <c r="D1294" s="4">
        <v>3</v>
      </c>
      <c r="E1294" s="4">
        <v>1</v>
      </c>
      <c r="F1294" s="105" t="str">
        <f t="shared" si="305"/>
        <v>Baixa</v>
      </c>
      <c r="G1294" s="4" t="str">
        <f t="shared" si="306"/>
        <v>CEL</v>
      </c>
      <c r="H1294" s="4">
        <f t="shared" si="307"/>
        <v>3</v>
      </c>
      <c r="I1294" s="105" t="str">
        <f t="shared" si="308"/>
        <v>L</v>
      </c>
      <c r="J1294" s="4" t="str">
        <f t="shared" si="309"/>
        <v>CEI</v>
      </c>
      <c r="K1294" s="106">
        <f t="shared" si="310"/>
        <v>3</v>
      </c>
      <c r="L1294" s="106">
        <f>IF(NOT(ISERROR(VLOOKUP(B1294,Deflatores!G$42:H$64,2,FALSE))),VLOOKUP(B1294,Deflatores!G$42:H$64,2,FALSE),IF(OR(ISBLANK(C1294),ISBLANK(B1294)),"",VLOOKUP(C1294,Deflatores!G$4:H$38,2,FALSE)*H1294+VLOOKUP(C1294,Deflatores!G$4:I$38,3,FALSE)))</f>
        <v>3</v>
      </c>
      <c r="M1294" s="6"/>
      <c r="N1294" s="6"/>
      <c r="O1294" s="144"/>
    </row>
    <row r="1295" spans="1:15" x14ac:dyDescent="0.25">
      <c r="A1295" s="146" t="s">
        <v>1092</v>
      </c>
      <c r="B1295" s="113" t="s">
        <v>50</v>
      </c>
      <c r="C1295" s="113" t="s">
        <v>45</v>
      </c>
      <c r="D1295" s="4">
        <v>3</v>
      </c>
      <c r="E1295" s="4">
        <v>1</v>
      </c>
      <c r="F1295" s="105" t="str">
        <f t="shared" si="305"/>
        <v>Baixa</v>
      </c>
      <c r="G1295" s="4" t="str">
        <f t="shared" si="306"/>
        <v>CEL</v>
      </c>
      <c r="H1295" s="4">
        <f t="shared" si="307"/>
        <v>3</v>
      </c>
      <c r="I1295" s="105" t="str">
        <f t="shared" si="308"/>
        <v>L</v>
      </c>
      <c r="J1295" s="4" t="str">
        <f t="shared" si="309"/>
        <v>CEI</v>
      </c>
      <c r="K1295" s="106">
        <f t="shared" si="310"/>
        <v>3</v>
      </c>
      <c r="L1295" s="106">
        <f>IF(NOT(ISERROR(VLOOKUP(B1295,Deflatores!G$42:H$64,2,FALSE))),VLOOKUP(B1295,Deflatores!G$42:H$64,2,FALSE),IF(OR(ISBLANK(C1295),ISBLANK(B1295)),"",VLOOKUP(C1295,Deflatores!G$4:H$38,2,FALSE)*H1295+VLOOKUP(C1295,Deflatores!G$4:I$38,3,FALSE)))</f>
        <v>3</v>
      </c>
      <c r="M1295" s="6"/>
      <c r="N1295" s="6"/>
      <c r="O1295" s="144"/>
    </row>
    <row r="1296" spans="1:15" x14ac:dyDescent="0.25">
      <c r="A1296" s="145" t="s">
        <v>1093</v>
      </c>
      <c r="B1296" s="113" t="s">
        <v>50</v>
      </c>
      <c r="C1296" s="113" t="s">
        <v>45</v>
      </c>
      <c r="D1296" s="4">
        <v>4</v>
      </c>
      <c r="E1296" s="4">
        <v>2</v>
      </c>
      <c r="F1296" s="105" t="str">
        <f t="shared" ref="F1296" si="311">IF(ISBLANK(B1296),"",IF(I1296="L","Baixa",IF(I1296="A","Média",IF(I1296="","","Alta"))))</f>
        <v>Baixa</v>
      </c>
      <c r="G1296" s="4" t="str">
        <f t="shared" ref="G1296" si="312">CONCATENATE(B1296,I1296)</f>
        <v>CEL</v>
      </c>
      <c r="H1296" s="4">
        <f t="shared" ref="H1296" si="313">IF(ISBLANK(B1296),"",IF(B1296="ALI",IF(I1296="L",7,IF(I1296="A",10,15)),IF(B1296="AIE",IF(I1296="L",5,IF(I1296="A",7,10)),IF(B1296="SE",IF(I1296="L",4,IF(I1296="A",5,7)),IF(OR(B1296="EE",B1296="CE"),IF(I1296="L",3,IF(I1296="A",4,6)),0)))))</f>
        <v>3</v>
      </c>
      <c r="I1296" s="105" t="str">
        <f t="shared" ref="I1296" si="314">IF(OR(ISBLANK(D1296),ISBLANK(E1296)),IF(OR(B1296="ALI",B1296="AIE"),"L",IF(OR(B1296="EE",B1296="SE",B1296="CE"),"A","")),IF(B1296="EE",IF(E1296&gt;=3,IF(D1296&gt;=5,"H","A"),IF(E1296&gt;=2,IF(D1296&gt;=16,"H",IF(D1296&lt;=4,"L","A")),IF(D1296&lt;=15,"L","A"))),IF(OR(B1296="SE",B1296="CE"),IF(E1296&gt;=4,IF(D1296&gt;=6,"H","A"),IF(E1296&gt;=2,IF(D1296&gt;=20,"H",IF(D1296&lt;=5,"L","A")),IF(D1296&lt;=19,"L","A"))),IF(OR(B1296="ALI",B1296="AIE"),IF(E1296&gt;=6,IF(D1296&gt;=20,"H","A"),IF(E1296&gt;=2,IF(D1296&gt;=51,"H",IF(D1296&lt;=19,"L","A")),IF(D1296&lt;=50,"L","A"))),""))))</f>
        <v>L</v>
      </c>
      <c r="J1296" s="4" t="str">
        <f t="shared" ref="J1296" si="315">CONCATENATE(B1296,C1296)</f>
        <v>CEI</v>
      </c>
      <c r="K1296" s="106">
        <f t="shared" ref="K1296" si="316">IF(OR(H1296="",H1296=0),L1296,H1296)</f>
        <v>3</v>
      </c>
      <c r="L1296" s="106">
        <f>IF(NOT(ISERROR(VLOOKUP(B1296,Deflatores!G$42:H$64,2,FALSE))),VLOOKUP(B1296,Deflatores!G$42:H$64,2,FALSE),IF(OR(ISBLANK(C1296),ISBLANK(B1296)),"",VLOOKUP(C1296,Deflatores!G$4:H$38,2,FALSE)*H1296+VLOOKUP(C1296,Deflatores!G$4:I$38,3,FALSE)))</f>
        <v>3</v>
      </c>
      <c r="M1296" s="6"/>
      <c r="N1296" s="6"/>
      <c r="O1296" s="144"/>
    </row>
    <row r="1297" spans="1:15" x14ac:dyDescent="0.25">
      <c r="A1297" s="145" t="s">
        <v>1094</v>
      </c>
      <c r="B1297" s="113" t="s">
        <v>48</v>
      </c>
      <c r="C1297" s="113" t="s">
        <v>45</v>
      </c>
      <c r="D1297" s="4">
        <v>16</v>
      </c>
      <c r="E1297" s="4">
        <v>5</v>
      </c>
      <c r="F1297" s="105" t="str">
        <f t="shared" si="305"/>
        <v>Alta</v>
      </c>
      <c r="G1297" s="4" t="str">
        <f t="shared" si="306"/>
        <v>EEH</v>
      </c>
      <c r="H1297" s="4">
        <f t="shared" si="307"/>
        <v>6</v>
      </c>
      <c r="I1297" s="105" t="str">
        <f t="shared" si="308"/>
        <v>H</v>
      </c>
      <c r="J1297" s="4" t="str">
        <f t="shared" si="309"/>
        <v>EEI</v>
      </c>
      <c r="K1297" s="106">
        <f t="shared" si="310"/>
        <v>6</v>
      </c>
      <c r="L1297" s="106">
        <f>IF(NOT(ISERROR(VLOOKUP(B1297,Deflatores!G$42:H$64,2,FALSE))),VLOOKUP(B1297,Deflatores!G$42:H$64,2,FALSE),IF(OR(ISBLANK(C1297),ISBLANK(B1297)),"",VLOOKUP(C1297,Deflatores!G$4:H$38,2,FALSE)*H1297+VLOOKUP(C1297,Deflatores!G$4:I$38,3,FALSE)))</f>
        <v>6</v>
      </c>
      <c r="M1297" s="6"/>
      <c r="N1297" s="6"/>
      <c r="O1297" s="144"/>
    </row>
    <row r="1298" spans="1:15" x14ac:dyDescent="0.25">
      <c r="A1298" s="145" t="s">
        <v>1095</v>
      </c>
      <c r="B1298" s="113" t="s">
        <v>48</v>
      </c>
      <c r="C1298" s="113" t="s">
        <v>45</v>
      </c>
      <c r="D1298" s="4">
        <v>15</v>
      </c>
      <c r="E1298" s="4">
        <v>5</v>
      </c>
      <c r="F1298" s="105" t="str">
        <f t="shared" si="305"/>
        <v>Alta</v>
      </c>
      <c r="G1298" s="4" t="str">
        <f t="shared" si="306"/>
        <v>EEH</v>
      </c>
      <c r="H1298" s="4">
        <f t="shared" si="307"/>
        <v>6</v>
      </c>
      <c r="I1298" s="105" t="str">
        <f t="shared" si="308"/>
        <v>H</v>
      </c>
      <c r="J1298" s="4" t="str">
        <f t="shared" si="309"/>
        <v>EEI</v>
      </c>
      <c r="K1298" s="106">
        <f t="shared" si="310"/>
        <v>6</v>
      </c>
      <c r="L1298" s="106">
        <f>IF(NOT(ISERROR(VLOOKUP(B1298,Deflatores!G$42:H$64,2,FALSE))),VLOOKUP(B1298,Deflatores!G$42:H$64,2,FALSE),IF(OR(ISBLANK(C1298),ISBLANK(B1298)),"",VLOOKUP(C1298,Deflatores!G$4:H$38,2,FALSE)*H1298+VLOOKUP(C1298,Deflatores!G$4:I$38,3,FALSE)))</f>
        <v>6</v>
      </c>
      <c r="M1298" s="6"/>
      <c r="N1298" s="6"/>
      <c r="O1298" s="144"/>
    </row>
    <row r="1299" spans="1:15" x14ac:dyDescent="0.25">
      <c r="A1299" s="146" t="s">
        <v>1096</v>
      </c>
      <c r="B1299" s="113" t="s">
        <v>50</v>
      </c>
      <c r="C1299" s="113" t="s">
        <v>45</v>
      </c>
      <c r="D1299" s="4">
        <v>24</v>
      </c>
      <c r="E1299" s="4">
        <v>5</v>
      </c>
      <c r="F1299" s="105" t="str">
        <f t="shared" si="305"/>
        <v>Alta</v>
      </c>
      <c r="G1299" s="4" t="str">
        <f t="shared" si="306"/>
        <v>CEH</v>
      </c>
      <c r="H1299" s="4">
        <f t="shared" si="307"/>
        <v>6</v>
      </c>
      <c r="I1299" s="105" t="str">
        <f t="shared" si="308"/>
        <v>H</v>
      </c>
      <c r="J1299" s="4" t="str">
        <f t="shared" si="309"/>
        <v>CEI</v>
      </c>
      <c r="K1299" s="106">
        <f t="shared" si="310"/>
        <v>6</v>
      </c>
      <c r="L1299" s="106">
        <f>IF(NOT(ISERROR(VLOOKUP(B1299,Deflatores!G$42:H$64,2,FALSE))),VLOOKUP(B1299,Deflatores!G$42:H$64,2,FALSE),IF(OR(ISBLANK(C1299),ISBLANK(B1299)),"",VLOOKUP(C1299,Deflatores!G$4:H$38,2,FALSE)*H1299+VLOOKUP(C1299,Deflatores!G$4:I$38,3,FALSE)))</f>
        <v>6</v>
      </c>
      <c r="M1299" s="6"/>
      <c r="N1299" s="6"/>
      <c r="O1299" s="144"/>
    </row>
    <row r="1300" spans="1:15" x14ac:dyDescent="0.25">
      <c r="A1300" s="145" t="s">
        <v>1097</v>
      </c>
      <c r="B1300" s="113" t="s">
        <v>50</v>
      </c>
      <c r="C1300" s="113" t="s">
        <v>45</v>
      </c>
      <c r="D1300" s="4">
        <v>26</v>
      </c>
      <c r="E1300" s="4">
        <v>5</v>
      </c>
      <c r="F1300" s="105" t="str">
        <f t="shared" si="305"/>
        <v>Alta</v>
      </c>
      <c r="G1300" s="4" t="str">
        <f t="shared" si="306"/>
        <v>CEH</v>
      </c>
      <c r="H1300" s="4">
        <f t="shared" si="307"/>
        <v>6</v>
      </c>
      <c r="I1300" s="105" t="str">
        <f t="shared" si="308"/>
        <v>H</v>
      </c>
      <c r="J1300" s="4" t="str">
        <f t="shared" si="309"/>
        <v>CEI</v>
      </c>
      <c r="K1300" s="106">
        <f t="shared" si="310"/>
        <v>6</v>
      </c>
      <c r="L1300" s="106">
        <f>IF(NOT(ISERROR(VLOOKUP(B1300,Deflatores!G$42:H$64,2,FALSE))),VLOOKUP(B1300,Deflatores!G$42:H$64,2,FALSE),IF(OR(ISBLANK(C1300),ISBLANK(B1300)),"",VLOOKUP(C1300,Deflatores!G$4:H$38,2,FALSE)*H1300+VLOOKUP(C1300,Deflatores!G$4:I$38,3,FALSE)))</f>
        <v>6</v>
      </c>
      <c r="M1300" s="6"/>
      <c r="N1300" s="6"/>
      <c r="O1300" s="144"/>
    </row>
    <row r="1301" spans="1:15" x14ac:dyDescent="0.25">
      <c r="A1301" s="145" t="s">
        <v>1098</v>
      </c>
      <c r="B1301" s="113" t="s">
        <v>48</v>
      </c>
      <c r="C1301" s="113" t="s">
        <v>45</v>
      </c>
      <c r="D1301" s="4">
        <v>4</v>
      </c>
      <c r="E1301" s="4">
        <v>2</v>
      </c>
      <c r="F1301" s="105" t="str">
        <f t="shared" si="305"/>
        <v>Baixa</v>
      </c>
      <c r="G1301" s="4" t="str">
        <f t="shared" si="306"/>
        <v>EEL</v>
      </c>
      <c r="H1301" s="4">
        <f t="shared" si="307"/>
        <v>3</v>
      </c>
      <c r="I1301" s="105" t="str">
        <f t="shared" si="308"/>
        <v>L</v>
      </c>
      <c r="J1301" s="4" t="str">
        <f t="shared" si="309"/>
        <v>EEI</v>
      </c>
      <c r="K1301" s="106">
        <f t="shared" si="310"/>
        <v>3</v>
      </c>
      <c r="L1301" s="106">
        <f>IF(NOT(ISERROR(VLOOKUP(B1301,Deflatores!G$42:H$64,2,FALSE))),VLOOKUP(B1301,Deflatores!G$42:H$64,2,FALSE),IF(OR(ISBLANK(C1301),ISBLANK(B1301)),"",VLOOKUP(C1301,Deflatores!G$4:H$38,2,FALSE)*H1301+VLOOKUP(C1301,Deflatores!G$4:I$38,3,FALSE)))</f>
        <v>3</v>
      </c>
      <c r="M1301" s="6"/>
      <c r="N1301" s="6"/>
      <c r="O1301" s="144"/>
    </row>
    <row r="1302" spans="1:15" x14ac:dyDescent="0.25">
      <c r="A1302" s="145" t="s">
        <v>1099</v>
      </c>
      <c r="B1302" s="113" t="s">
        <v>48</v>
      </c>
      <c r="C1302" s="113" t="s">
        <v>45</v>
      </c>
      <c r="D1302" s="4">
        <v>10</v>
      </c>
      <c r="E1302" s="4">
        <v>2</v>
      </c>
      <c r="F1302" s="105" t="str">
        <f t="shared" si="305"/>
        <v>Média</v>
      </c>
      <c r="G1302" s="4" t="str">
        <f t="shared" si="306"/>
        <v>EEA</v>
      </c>
      <c r="H1302" s="4">
        <f t="shared" si="307"/>
        <v>4</v>
      </c>
      <c r="I1302" s="105" t="str">
        <f t="shared" si="308"/>
        <v>A</v>
      </c>
      <c r="J1302" s="4" t="str">
        <f t="shared" si="309"/>
        <v>EEI</v>
      </c>
      <c r="K1302" s="106">
        <f t="shared" si="310"/>
        <v>4</v>
      </c>
      <c r="L1302" s="106">
        <f>IF(NOT(ISERROR(VLOOKUP(B1302,Deflatores!G$42:H$64,2,FALSE))),VLOOKUP(B1302,Deflatores!G$42:H$64,2,FALSE),IF(OR(ISBLANK(C1302),ISBLANK(B1302)),"",VLOOKUP(C1302,Deflatores!G$4:H$38,2,FALSE)*H1302+VLOOKUP(C1302,Deflatores!G$4:I$38,3,FALSE)))</f>
        <v>4</v>
      </c>
      <c r="M1302" s="6"/>
      <c r="N1302" s="6"/>
      <c r="O1302" s="144"/>
    </row>
    <row r="1303" spans="1:15" x14ac:dyDescent="0.25">
      <c r="A1303" s="146" t="s">
        <v>1100</v>
      </c>
      <c r="B1303" s="113" t="s">
        <v>50</v>
      </c>
      <c r="C1303" s="113" t="s">
        <v>45</v>
      </c>
      <c r="D1303" s="4">
        <v>8</v>
      </c>
      <c r="E1303" s="4">
        <v>2</v>
      </c>
      <c r="F1303" s="105" t="str">
        <f>IF(ISBLANK(B1303),"",IF(I1303="L","Baixa",IF(I1303="A","Média",IF(I1303="","","Alta"))))</f>
        <v>Média</v>
      </c>
      <c r="G1303" s="4" t="str">
        <f>CONCATENATE(B1303,I1303)</f>
        <v>CEA</v>
      </c>
      <c r="H1303" s="4">
        <f>IF(ISBLANK(B1303),"",IF(B1303="ALI",IF(I1303="L",7,IF(I1303="A",10,15)),IF(B1303="AIE",IF(I1303="L",5,IF(I1303="A",7,10)),IF(B1303="SE",IF(I1303="L",4,IF(I1303="A",5,7)),IF(OR(B1303="EE",B1303="CE"),IF(I1303="L",3,IF(I1303="A",4,6)),0)))))</f>
        <v>4</v>
      </c>
      <c r="I1303" s="105" t="str">
        <f>IF(OR(ISBLANK(D1303),ISBLANK(E1303)),IF(OR(B1303="ALI",B1303="AIE"),"L",IF(OR(B1303="EE",B1303="SE",B1303="CE"),"A","")),IF(B1303="EE",IF(E1303&gt;=3,IF(D1303&gt;=5,"H","A"),IF(E1303&gt;=2,IF(D1303&gt;=16,"H",IF(D1303&lt;=4,"L","A")),IF(D1303&lt;=15,"L","A"))),IF(OR(B1303="SE",B1303="CE"),IF(E1303&gt;=4,IF(D1303&gt;=6,"H","A"),IF(E1303&gt;=2,IF(D1303&gt;=20,"H",IF(D1303&lt;=5,"L","A")),IF(D1303&lt;=19,"L","A"))),IF(OR(B1303="ALI",B1303="AIE"),IF(E1303&gt;=6,IF(D1303&gt;=20,"H","A"),IF(E1303&gt;=2,IF(D1303&gt;=51,"H",IF(D1303&lt;=19,"L","A")),IF(D1303&lt;=50,"L","A"))),""))))</f>
        <v>A</v>
      </c>
      <c r="J1303" s="4" t="str">
        <f>CONCATENATE(B1303,C1303)</f>
        <v>CEI</v>
      </c>
      <c r="K1303" s="106">
        <f>IF(OR(H1303="",H1303=0),L1303,H1303)</f>
        <v>4</v>
      </c>
      <c r="L1303" s="106">
        <f>IF(NOT(ISERROR(VLOOKUP(B1303,Deflatores!G$42:H$64,2,FALSE))),VLOOKUP(B1303,Deflatores!G$42:H$64,2,FALSE),IF(OR(ISBLANK(C1303),ISBLANK(B1303)),"",VLOOKUP(C1303,Deflatores!G$4:H$38,2,FALSE)*H1303+VLOOKUP(C1303,Deflatores!G$4:I$38,3,FALSE)))</f>
        <v>4</v>
      </c>
      <c r="M1303" s="6"/>
      <c r="N1303" s="6"/>
      <c r="O1303" s="144"/>
    </row>
    <row r="1304" spans="1:15" x14ac:dyDescent="0.25">
      <c r="A1304" s="145" t="s">
        <v>1101</v>
      </c>
      <c r="B1304" s="113" t="s">
        <v>48</v>
      </c>
      <c r="C1304" s="113" t="s">
        <v>45</v>
      </c>
      <c r="D1304" s="4">
        <v>13</v>
      </c>
      <c r="E1304" s="4">
        <v>3</v>
      </c>
      <c r="F1304" s="105" t="str">
        <f>IF(ISBLANK(B1304),"",IF(I1304="L","Baixa",IF(I1304="A","Média",IF(I1304="","","Alta"))))</f>
        <v>Alta</v>
      </c>
      <c r="G1304" s="4" t="str">
        <f>CONCATENATE(B1304,I1304)</f>
        <v>EEH</v>
      </c>
      <c r="H1304" s="4">
        <f>IF(ISBLANK(B1304),"",IF(B1304="ALI",IF(I1304="L",7,IF(I1304="A",10,15)),IF(B1304="AIE",IF(I1304="L",5,IF(I1304="A",7,10)),IF(B1304="SE",IF(I1304="L",4,IF(I1304="A",5,7)),IF(OR(B1304="EE",B1304="CE"),IF(I1304="L",3,IF(I1304="A",4,6)),0)))))</f>
        <v>6</v>
      </c>
      <c r="I1304" s="105" t="str">
        <f>IF(OR(ISBLANK(D1304),ISBLANK(E1304)),IF(OR(B1304="ALI",B1304="AIE"),"L",IF(OR(B1304="EE",B1304="SE",B1304="CE"),"A","")),IF(B1304="EE",IF(E1304&gt;=3,IF(D1304&gt;=5,"H","A"),IF(E1304&gt;=2,IF(D1304&gt;=16,"H",IF(D1304&lt;=4,"L","A")),IF(D1304&lt;=15,"L","A"))),IF(OR(B1304="SE",B1304="CE"),IF(E1304&gt;=4,IF(D1304&gt;=6,"H","A"),IF(E1304&gt;=2,IF(D1304&gt;=20,"H",IF(D1304&lt;=5,"L","A")),IF(D1304&lt;=19,"L","A"))),IF(OR(B1304="ALI",B1304="AIE"),IF(E1304&gt;=6,IF(D1304&gt;=20,"H","A"),IF(E1304&gt;=2,IF(D1304&gt;=51,"H",IF(D1304&lt;=19,"L","A")),IF(D1304&lt;=50,"L","A"))),""))))</f>
        <v>H</v>
      </c>
      <c r="J1304" s="4" t="str">
        <f>CONCATENATE(B1304,C1304)</f>
        <v>EEI</v>
      </c>
      <c r="K1304" s="106">
        <f>IF(OR(H1304="",H1304=0),L1304,H1304)</f>
        <v>6</v>
      </c>
      <c r="L1304" s="106">
        <f>IF(NOT(ISERROR(VLOOKUP(B1304,Deflatores!G$42:H$64,2,FALSE))),VLOOKUP(B1304,Deflatores!G$42:H$64,2,FALSE),IF(OR(ISBLANK(C1304),ISBLANK(B1304)),"",VLOOKUP(C1304,Deflatores!G$4:H$38,2,FALSE)*H1304+VLOOKUP(C1304,Deflatores!G$4:I$38,3,FALSE)))</f>
        <v>6</v>
      </c>
      <c r="M1304" s="6"/>
      <c r="N1304" s="6"/>
      <c r="O1304" s="144"/>
    </row>
    <row r="1305" spans="1:15" x14ac:dyDescent="0.25">
      <c r="A1305" s="145" t="s">
        <v>1102</v>
      </c>
      <c r="B1305" s="113" t="s">
        <v>48</v>
      </c>
      <c r="C1305" s="113" t="s">
        <v>45</v>
      </c>
      <c r="D1305" s="4">
        <v>13</v>
      </c>
      <c r="E1305" s="4">
        <v>2</v>
      </c>
      <c r="F1305" s="105" t="str">
        <f t="shared" ref="F1305:F1372" si="317">IF(ISBLANK(B1305),"",IF(I1305="L","Baixa",IF(I1305="A","Média",IF(I1305="","","Alta"))))</f>
        <v>Média</v>
      </c>
      <c r="G1305" s="4" t="str">
        <f t="shared" ref="G1305:G1372" si="318">CONCATENATE(B1305,I1305)</f>
        <v>EEA</v>
      </c>
      <c r="H1305" s="4">
        <f t="shared" ref="H1305:H1372" si="319">IF(ISBLANK(B1305),"",IF(B1305="ALI",IF(I1305="L",7,IF(I1305="A",10,15)),IF(B1305="AIE",IF(I1305="L",5,IF(I1305="A",7,10)),IF(B1305="SE",IF(I1305="L",4,IF(I1305="A",5,7)),IF(OR(B1305="EE",B1305="CE"),IF(I1305="L",3,IF(I1305="A",4,6)),0)))))</f>
        <v>4</v>
      </c>
      <c r="I1305" s="105" t="str">
        <f t="shared" ref="I1305:I1372" si="320">IF(OR(ISBLANK(D1305),ISBLANK(E1305)),IF(OR(B1305="ALI",B1305="AIE"),"L",IF(OR(B1305="EE",B1305="SE",B1305="CE"),"A","")),IF(B1305="EE",IF(E1305&gt;=3,IF(D1305&gt;=5,"H","A"),IF(E1305&gt;=2,IF(D1305&gt;=16,"H",IF(D1305&lt;=4,"L","A")),IF(D1305&lt;=15,"L","A"))),IF(OR(B1305="SE",B1305="CE"),IF(E1305&gt;=4,IF(D1305&gt;=6,"H","A"),IF(E1305&gt;=2,IF(D1305&gt;=20,"H",IF(D1305&lt;=5,"L","A")),IF(D1305&lt;=19,"L","A"))),IF(OR(B1305="ALI",B1305="AIE"),IF(E1305&gt;=6,IF(D1305&gt;=20,"H","A"),IF(E1305&gt;=2,IF(D1305&gt;=51,"H",IF(D1305&lt;=19,"L","A")),IF(D1305&lt;=50,"L","A"))),""))))</f>
        <v>A</v>
      </c>
      <c r="J1305" s="4" t="str">
        <f t="shared" ref="J1305:J1372" si="321">CONCATENATE(B1305,C1305)</f>
        <v>EEI</v>
      </c>
      <c r="K1305" s="106">
        <f t="shared" si="310"/>
        <v>4</v>
      </c>
      <c r="L1305" s="106">
        <f>IF(NOT(ISERROR(VLOOKUP(B1305,Deflatores!G$42:H$64,2,FALSE))),VLOOKUP(B1305,Deflatores!G$42:H$64,2,FALSE),IF(OR(ISBLANK(C1305),ISBLANK(B1305)),"",VLOOKUP(C1305,Deflatores!G$4:H$38,2,FALSE)*H1305+VLOOKUP(C1305,Deflatores!G$4:I$38,3,FALSE)))</f>
        <v>4</v>
      </c>
      <c r="M1305" s="6"/>
      <c r="N1305" s="6"/>
      <c r="O1305" s="144"/>
    </row>
    <row r="1306" spans="1:15" x14ac:dyDescent="0.25">
      <c r="A1306" s="114" t="s">
        <v>1103</v>
      </c>
      <c r="B1306" s="113" t="s">
        <v>50</v>
      </c>
      <c r="C1306" s="113" t="s">
        <v>45</v>
      </c>
      <c r="D1306" s="4">
        <v>6</v>
      </c>
      <c r="E1306" s="4">
        <v>1</v>
      </c>
      <c r="F1306" s="105" t="str">
        <f t="shared" si="317"/>
        <v>Baixa</v>
      </c>
      <c r="G1306" s="4" t="str">
        <f t="shared" si="318"/>
        <v>CEL</v>
      </c>
      <c r="H1306" s="4">
        <f t="shared" si="319"/>
        <v>3</v>
      </c>
      <c r="I1306" s="105" t="str">
        <f t="shared" si="320"/>
        <v>L</v>
      </c>
      <c r="J1306" s="4" t="str">
        <f t="shared" si="321"/>
        <v>CEI</v>
      </c>
      <c r="K1306" s="106">
        <f t="shared" si="310"/>
        <v>3</v>
      </c>
      <c r="L1306" s="106">
        <f>IF(NOT(ISERROR(VLOOKUP(B1306,[1]Deflatores!G$42:H$64,2,FALSE))),VLOOKUP(B1306,[1]Deflatores!G$42:H$64,2,FALSE),IF(OR(ISBLANK(C1306),ISBLANK(B1306)),"",VLOOKUP(C1306,[1]Deflatores!G$4:H$38,2,FALSE)*H1306+VLOOKUP(C1306,[1]Deflatores!G$4:I$38,3,FALSE)))</f>
        <v>3</v>
      </c>
      <c r="M1306" s="6"/>
      <c r="N1306" s="6"/>
      <c r="O1306" s="144" t="s">
        <v>1104</v>
      </c>
    </row>
    <row r="1307" spans="1:15" x14ac:dyDescent="0.25">
      <c r="A1307" s="114" t="s">
        <v>1105</v>
      </c>
      <c r="B1307" s="113" t="s">
        <v>50</v>
      </c>
      <c r="C1307" s="113" t="s">
        <v>45</v>
      </c>
      <c r="D1307" s="4">
        <v>4</v>
      </c>
      <c r="E1307" s="4">
        <v>1</v>
      </c>
      <c r="F1307" s="105" t="str">
        <f t="shared" si="317"/>
        <v>Baixa</v>
      </c>
      <c r="G1307" s="4" t="str">
        <f t="shared" si="318"/>
        <v>CEL</v>
      </c>
      <c r="H1307" s="4">
        <f t="shared" si="319"/>
        <v>3</v>
      </c>
      <c r="I1307" s="105" t="str">
        <f t="shared" si="320"/>
        <v>L</v>
      </c>
      <c r="J1307" s="4" t="str">
        <f t="shared" si="321"/>
        <v>CEI</v>
      </c>
      <c r="K1307" s="106">
        <f t="shared" si="310"/>
        <v>3</v>
      </c>
      <c r="L1307" s="106">
        <f>IF(NOT(ISERROR(VLOOKUP(B1307,[1]Deflatores!G$42:H$64,2,FALSE))),VLOOKUP(B1307,[1]Deflatores!G$42:H$64,2,FALSE),IF(OR(ISBLANK(C1307),ISBLANK(B1307)),"",VLOOKUP(C1307,[1]Deflatores!G$4:H$38,2,FALSE)*H1307+VLOOKUP(C1307,[1]Deflatores!G$4:I$38,3,FALSE)))</f>
        <v>3</v>
      </c>
      <c r="M1307" s="6"/>
      <c r="N1307" s="6"/>
      <c r="O1307" s="144" t="s">
        <v>1104</v>
      </c>
    </row>
    <row r="1308" spans="1:15" x14ac:dyDescent="0.25">
      <c r="A1308" s="145" t="s">
        <v>1106</v>
      </c>
      <c r="B1308" s="113" t="s">
        <v>48</v>
      </c>
      <c r="C1308" s="113" t="s">
        <v>45</v>
      </c>
      <c r="D1308" s="4">
        <v>14</v>
      </c>
      <c r="E1308" s="4">
        <v>4</v>
      </c>
      <c r="F1308" s="105" t="str">
        <f t="shared" si="317"/>
        <v>Alta</v>
      </c>
      <c r="G1308" s="4" t="str">
        <f t="shared" si="318"/>
        <v>EEH</v>
      </c>
      <c r="H1308" s="4">
        <f t="shared" si="319"/>
        <v>6</v>
      </c>
      <c r="I1308" s="105" t="str">
        <f t="shared" si="320"/>
        <v>H</v>
      </c>
      <c r="J1308" s="4" t="str">
        <f t="shared" si="321"/>
        <v>EEI</v>
      </c>
      <c r="K1308" s="106">
        <f t="shared" si="310"/>
        <v>6</v>
      </c>
      <c r="L1308" s="106">
        <f>IF(NOT(ISERROR(VLOOKUP(B1308,Deflatores!G$42:H$64,2,FALSE))),VLOOKUP(B1308,Deflatores!G$42:H$64,2,FALSE),IF(OR(ISBLANK(C1308),ISBLANK(B1308)),"",VLOOKUP(C1308,Deflatores!G$4:H$38,2,FALSE)*H1308+VLOOKUP(C1308,Deflatores!G$4:I$38,3,FALSE)))</f>
        <v>6</v>
      </c>
      <c r="M1308" s="6"/>
      <c r="N1308" s="6"/>
      <c r="O1308" s="144"/>
    </row>
    <row r="1309" spans="1:15" x14ac:dyDescent="0.25">
      <c r="A1309" s="145"/>
      <c r="B1309" s="113"/>
      <c r="C1309" s="113"/>
      <c r="D1309" s="4"/>
      <c r="E1309" s="4"/>
      <c r="F1309" s="105" t="str">
        <f t="shared" si="317"/>
        <v/>
      </c>
      <c r="G1309" s="4" t="str">
        <f t="shared" si="318"/>
        <v/>
      </c>
      <c r="H1309" s="4" t="str">
        <f t="shared" si="319"/>
        <v/>
      </c>
      <c r="I1309" s="105" t="str">
        <f t="shared" si="320"/>
        <v/>
      </c>
      <c r="J1309" s="4" t="str">
        <f t="shared" si="321"/>
        <v/>
      </c>
      <c r="K1309" s="106" t="str">
        <f t="shared" si="310"/>
        <v/>
      </c>
      <c r="L1309" s="106" t="str">
        <f>IF(NOT(ISERROR(VLOOKUP(B1309,Deflatores!G$42:H$64,2,FALSE))),VLOOKUP(B1309,Deflatores!G$42:H$64,2,FALSE),IF(OR(ISBLANK(C1309),ISBLANK(B1309)),"",VLOOKUP(C1309,Deflatores!G$4:H$38,2,FALSE)*H1309+VLOOKUP(C1309,Deflatores!G$4:I$38,3,FALSE)))</f>
        <v/>
      </c>
      <c r="M1309" s="6"/>
      <c r="N1309" s="6"/>
      <c r="O1309" s="144"/>
    </row>
    <row r="1310" spans="1:15" x14ac:dyDescent="0.25">
      <c r="A1310" s="143" t="s">
        <v>1107</v>
      </c>
      <c r="B1310" s="113"/>
      <c r="C1310" s="113"/>
      <c r="D1310" s="4"/>
      <c r="E1310" s="4"/>
      <c r="F1310" s="105" t="str">
        <f>IF(ISBLANK(B1310),"",IF(I1310="L","Baixa",IF(I1310="A","Média",IF(I1310="","","Alta"))))</f>
        <v/>
      </c>
      <c r="G1310" s="4" t="str">
        <f>CONCATENATE(B1310,I1310)</f>
        <v/>
      </c>
      <c r="H1310" s="4" t="str">
        <f>IF(ISBLANK(B1310),"",IF(B1310="ALI",IF(I1310="L",7,IF(I1310="A",10,15)),IF(B1310="AIE",IF(I1310="L",5,IF(I1310="A",7,10)),IF(B1310="SE",IF(I1310="L",4,IF(I1310="A",5,7)),IF(OR(B1310="EE",B1310="CE"),IF(I1310="L",3,IF(I1310="A",4,6)),0)))))</f>
        <v/>
      </c>
      <c r="I1310" s="105" t="str">
        <f>IF(OR(ISBLANK(D1310),ISBLANK(E1310)),IF(OR(B1310="ALI",B1310="AIE"),"L",IF(OR(B1310="EE",B1310="SE",B1310="CE"),"A","")),IF(B1310="EE",IF(E1310&gt;=3,IF(D1310&gt;=5,"H","A"),IF(E1310&gt;=2,IF(D1310&gt;=16,"H",IF(D1310&lt;=4,"L","A")),IF(D1310&lt;=15,"L","A"))),IF(OR(B1310="SE",B1310="CE"),IF(E1310&gt;=4,IF(D1310&gt;=6,"H","A"),IF(E1310&gt;=2,IF(D1310&gt;=20,"H",IF(D1310&lt;=5,"L","A")),IF(D1310&lt;=19,"L","A"))),IF(OR(B1310="ALI",B1310="AIE"),IF(E1310&gt;=6,IF(D1310&gt;=20,"H","A"),IF(E1310&gt;=2,IF(D1310&gt;=51,"H",IF(D1310&lt;=19,"L","A")),IF(D1310&lt;=50,"L","A"))),""))))</f>
        <v/>
      </c>
      <c r="J1310" s="4" t="str">
        <f>CONCATENATE(B1310,C1310)</f>
        <v/>
      </c>
      <c r="K1310" s="106" t="str">
        <f>IF(OR(H1310="",H1310=0),L1310,H1310)</f>
        <v/>
      </c>
      <c r="L1310" s="106" t="str">
        <f>IF(NOT(ISERROR(VLOOKUP(B1310,Deflatores!G$42:H$64,2,FALSE))),VLOOKUP(B1310,Deflatores!G$42:H$64,2,FALSE),IF(OR(ISBLANK(C1310),ISBLANK(B1310)),"",VLOOKUP(C1310,Deflatores!G$4:H$38,2,FALSE)*H1310+VLOOKUP(C1310,Deflatores!G$4:I$38,3,FALSE)))</f>
        <v/>
      </c>
      <c r="M1310" s="6"/>
      <c r="N1310" s="6"/>
      <c r="O1310" s="144"/>
    </row>
    <row r="1311" spans="1:15" x14ac:dyDescent="0.25">
      <c r="A1311" s="145" t="s">
        <v>1108</v>
      </c>
      <c r="B1311" s="113" t="s">
        <v>44</v>
      </c>
      <c r="C1311" s="113" t="s">
        <v>45</v>
      </c>
      <c r="D1311" s="4">
        <v>18</v>
      </c>
      <c r="E1311" s="4">
        <v>3</v>
      </c>
      <c r="F1311" s="105" t="str">
        <f t="shared" si="317"/>
        <v>Baixa</v>
      </c>
      <c r="G1311" s="4" t="str">
        <f t="shared" si="318"/>
        <v>ALIL</v>
      </c>
      <c r="H1311" s="4">
        <f t="shared" si="319"/>
        <v>7</v>
      </c>
      <c r="I1311" s="105" t="str">
        <f t="shared" si="320"/>
        <v>L</v>
      </c>
      <c r="J1311" s="4" t="str">
        <f t="shared" si="321"/>
        <v>ALII</v>
      </c>
      <c r="K1311" s="106">
        <f t="shared" si="310"/>
        <v>7</v>
      </c>
      <c r="L1311" s="106">
        <f>IF(NOT(ISERROR(VLOOKUP(B1311,Deflatores!G$42:H$64,2,FALSE))),VLOOKUP(B1311,Deflatores!G$42:H$64,2,FALSE),IF(OR(ISBLANK(C1311),ISBLANK(B1311)),"",VLOOKUP(C1311,Deflatores!G$4:H$38,2,FALSE)*H1311+VLOOKUP(C1311,Deflatores!G$4:I$38,3,FALSE)))</f>
        <v>7</v>
      </c>
      <c r="M1311" s="6"/>
      <c r="N1311" s="6"/>
      <c r="O1311" s="150"/>
    </row>
    <row r="1312" spans="1:15" x14ac:dyDescent="0.25">
      <c r="A1312" s="145" t="s">
        <v>1109</v>
      </c>
      <c r="B1312" s="113" t="s">
        <v>50</v>
      </c>
      <c r="C1312" s="113" t="s">
        <v>45</v>
      </c>
      <c r="D1312" s="4">
        <v>14</v>
      </c>
      <c r="E1312" s="4">
        <v>4</v>
      </c>
      <c r="F1312" s="105" t="str">
        <f t="shared" si="317"/>
        <v>Alta</v>
      </c>
      <c r="G1312" s="4" t="str">
        <f t="shared" si="318"/>
        <v>CEH</v>
      </c>
      <c r="H1312" s="4">
        <f t="shared" si="319"/>
        <v>6</v>
      </c>
      <c r="I1312" s="105" t="str">
        <f t="shared" si="320"/>
        <v>H</v>
      </c>
      <c r="J1312" s="4" t="str">
        <f t="shared" si="321"/>
        <v>CEI</v>
      </c>
      <c r="K1312" s="106">
        <f t="shared" si="310"/>
        <v>6</v>
      </c>
      <c r="L1312" s="106">
        <f>IF(NOT(ISERROR(VLOOKUP(B1312,Deflatores!G$42:H$64,2,FALSE))),VLOOKUP(B1312,Deflatores!G$42:H$64,2,FALSE),IF(OR(ISBLANK(C1312),ISBLANK(B1312)),"",VLOOKUP(C1312,Deflatores!G$4:H$38,2,FALSE)*H1312+VLOOKUP(C1312,Deflatores!G$4:I$38,3,FALSE)))</f>
        <v>6</v>
      </c>
      <c r="M1312" s="6"/>
      <c r="N1312" s="6"/>
      <c r="O1312" s="144"/>
    </row>
    <row r="1313" spans="1:15" x14ac:dyDescent="0.25">
      <c r="A1313" s="146" t="s">
        <v>1110</v>
      </c>
      <c r="B1313" s="113" t="s">
        <v>50</v>
      </c>
      <c r="C1313" s="113" t="s">
        <v>45</v>
      </c>
      <c r="D1313" s="4">
        <v>3</v>
      </c>
      <c r="E1313" s="4">
        <v>1</v>
      </c>
      <c r="F1313" s="105" t="str">
        <f t="shared" si="317"/>
        <v>Baixa</v>
      </c>
      <c r="G1313" s="4" t="str">
        <f t="shared" si="318"/>
        <v>CEL</v>
      </c>
      <c r="H1313" s="4">
        <f t="shared" si="319"/>
        <v>3</v>
      </c>
      <c r="I1313" s="105" t="str">
        <f t="shared" si="320"/>
        <v>L</v>
      </c>
      <c r="J1313" s="4" t="str">
        <f t="shared" si="321"/>
        <v>CEI</v>
      </c>
      <c r="K1313" s="106">
        <f t="shared" si="310"/>
        <v>3</v>
      </c>
      <c r="L1313" s="106">
        <f>IF(NOT(ISERROR(VLOOKUP(B1313,Deflatores!G$42:H$64,2,FALSE))),VLOOKUP(B1313,Deflatores!G$42:H$64,2,FALSE),IF(OR(ISBLANK(C1313),ISBLANK(B1313)),"",VLOOKUP(C1313,Deflatores!G$4:H$38,2,FALSE)*H1313+VLOOKUP(C1313,Deflatores!G$4:I$38,3,FALSE)))</f>
        <v>3</v>
      </c>
      <c r="M1313" s="6"/>
      <c r="N1313" s="6"/>
      <c r="O1313" s="144"/>
    </row>
    <row r="1314" spans="1:15" x14ac:dyDescent="0.25">
      <c r="A1314" s="145" t="s">
        <v>1111</v>
      </c>
      <c r="B1314" s="113" t="s">
        <v>48</v>
      </c>
      <c r="C1314" s="113" t="s">
        <v>45</v>
      </c>
      <c r="D1314" s="4">
        <v>16</v>
      </c>
      <c r="E1314" s="4">
        <v>5</v>
      </c>
      <c r="F1314" s="105" t="str">
        <f t="shared" si="317"/>
        <v>Alta</v>
      </c>
      <c r="G1314" s="4" t="str">
        <f t="shared" si="318"/>
        <v>EEH</v>
      </c>
      <c r="H1314" s="4">
        <f t="shared" si="319"/>
        <v>6</v>
      </c>
      <c r="I1314" s="105" t="str">
        <f t="shared" si="320"/>
        <v>H</v>
      </c>
      <c r="J1314" s="4" t="str">
        <f t="shared" si="321"/>
        <v>EEI</v>
      </c>
      <c r="K1314" s="106">
        <f t="shared" si="310"/>
        <v>6</v>
      </c>
      <c r="L1314" s="106">
        <f>IF(NOT(ISERROR(VLOOKUP(B1314,Deflatores!G$42:H$64,2,FALSE))),VLOOKUP(B1314,Deflatores!G$42:H$64,2,FALSE),IF(OR(ISBLANK(C1314),ISBLANK(B1314)),"",VLOOKUP(C1314,Deflatores!G$4:H$38,2,FALSE)*H1314+VLOOKUP(C1314,Deflatores!G$4:I$38,3,FALSE)))</f>
        <v>6</v>
      </c>
      <c r="M1314" s="6"/>
      <c r="N1314" s="6"/>
      <c r="O1314" s="144"/>
    </row>
    <row r="1315" spans="1:15" x14ac:dyDescent="0.25">
      <c r="A1315" s="145" t="s">
        <v>1112</v>
      </c>
      <c r="B1315" s="113" t="s">
        <v>48</v>
      </c>
      <c r="C1315" s="113" t="s">
        <v>45</v>
      </c>
      <c r="D1315" s="4">
        <v>16</v>
      </c>
      <c r="E1315" s="4">
        <v>5</v>
      </c>
      <c r="F1315" s="105" t="str">
        <f t="shared" si="317"/>
        <v>Alta</v>
      </c>
      <c r="G1315" s="4" t="str">
        <f t="shared" si="318"/>
        <v>EEH</v>
      </c>
      <c r="H1315" s="4">
        <f t="shared" si="319"/>
        <v>6</v>
      </c>
      <c r="I1315" s="105" t="str">
        <f t="shared" si="320"/>
        <v>H</v>
      </c>
      <c r="J1315" s="4" t="str">
        <f t="shared" si="321"/>
        <v>EEI</v>
      </c>
      <c r="K1315" s="106">
        <f t="shared" si="310"/>
        <v>6</v>
      </c>
      <c r="L1315" s="106">
        <f>IF(NOT(ISERROR(VLOOKUP(B1315,Deflatores!G$42:H$64,2,FALSE))),VLOOKUP(B1315,Deflatores!G$42:H$64,2,FALSE),IF(OR(ISBLANK(C1315),ISBLANK(B1315)),"",VLOOKUP(C1315,Deflatores!G$4:H$38,2,FALSE)*H1315+VLOOKUP(C1315,Deflatores!G$4:I$38,3,FALSE)))</f>
        <v>6</v>
      </c>
      <c r="M1315" s="6"/>
      <c r="N1315" s="6"/>
      <c r="O1315" s="144"/>
    </row>
    <row r="1316" spans="1:15" x14ac:dyDescent="0.25">
      <c r="A1316" s="146" t="s">
        <v>1113</v>
      </c>
      <c r="B1316" s="113" t="s">
        <v>50</v>
      </c>
      <c r="C1316" s="113" t="s">
        <v>45</v>
      </c>
      <c r="D1316" s="4">
        <v>20</v>
      </c>
      <c r="E1316" s="4">
        <v>5</v>
      </c>
      <c r="F1316" s="105" t="str">
        <f t="shared" si="317"/>
        <v>Alta</v>
      </c>
      <c r="G1316" s="4" t="str">
        <f t="shared" si="318"/>
        <v>CEH</v>
      </c>
      <c r="H1316" s="4">
        <f t="shared" si="319"/>
        <v>6</v>
      </c>
      <c r="I1316" s="105" t="str">
        <f t="shared" si="320"/>
        <v>H</v>
      </c>
      <c r="J1316" s="4" t="str">
        <f t="shared" si="321"/>
        <v>CEI</v>
      </c>
      <c r="K1316" s="106">
        <f t="shared" si="310"/>
        <v>6</v>
      </c>
      <c r="L1316" s="106">
        <f>IF(NOT(ISERROR(VLOOKUP(B1316,Deflatores!G$42:H$64,2,FALSE))),VLOOKUP(B1316,Deflatores!G$42:H$64,2,FALSE),IF(OR(ISBLANK(C1316),ISBLANK(B1316)),"",VLOOKUP(C1316,Deflatores!G$4:H$38,2,FALSE)*H1316+VLOOKUP(C1316,Deflatores!G$4:I$38,3,FALSE)))</f>
        <v>6</v>
      </c>
      <c r="M1316" s="6"/>
      <c r="N1316" s="6"/>
      <c r="O1316" s="144"/>
    </row>
    <row r="1317" spans="1:15" x14ac:dyDescent="0.25">
      <c r="A1317" s="145" t="s">
        <v>1114</v>
      </c>
      <c r="B1317" s="113" t="s">
        <v>50</v>
      </c>
      <c r="C1317" s="113" t="s">
        <v>45</v>
      </c>
      <c r="D1317" s="4">
        <v>22</v>
      </c>
      <c r="E1317" s="4">
        <v>5</v>
      </c>
      <c r="F1317" s="105" t="str">
        <f t="shared" si="317"/>
        <v>Alta</v>
      </c>
      <c r="G1317" s="4" t="str">
        <f t="shared" si="318"/>
        <v>CEH</v>
      </c>
      <c r="H1317" s="4">
        <f t="shared" si="319"/>
        <v>6</v>
      </c>
      <c r="I1317" s="105" t="str">
        <f t="shared" si="320"/>
        <v>H</v>
      </c>
      <c r="J1317" s="4" t="str">
        <f t="shared" si="321"/>
        <v>CEI</v>
      </c>
      <c r="K1317" s="106">
        <f t="shared" si="310"/>
        <v>6</v>
      </c>
      <c r="L1317" s="106">
        <f>IF(NOT(ISERROR(VLOOKUP(B1317,Deflatores!G$42:H$64,2,FALSE))),VLOOKUP(B1317,Deflatores!G$42:H$64,2,FALSE),IF(OR(ISBLANK(C1317),ISBLANK(B1317)),"",VLOOKUP(C1317,Deflatores!G$4:H$38,2,FALSE)*H1317+VLOOKUP(C1317,Deflatores!G$4:I$38,3,FALSE)))</f>
        <v>6</v>
      </c>
      <c r="M1317" s="6"/>
      <c r="N1317" s="6"/>
      <c r="O1317" s="144"/>
    </row>
    <row r="1318" spans="1:15" x14ac:dyDescent="0.25">
      <c r="A1318" s="145" t="s">
        <v>1115</v>
      </c>
      <c r="B1318" s="113" t="s">
        <v>48</v>
      </c>
      <c r="C1318" s="113" t="s">
        <v>45</v>
      </c>
      <c r="D1318" s="4">
        <v>4</v>
      </c>
      <c r="E1318" s="4">
        <v>2</v>
      </c>
      <c r="F1318" s="105" t="str">
        <f t="shared" si="317"/>
        <v>Baixa</v>
      </c>
      <c r="G1318" s="4" t="str">
        <f t="shared" si="318"/>
        <v>EEL</v>
      </c>
      <c r="H1318" s="4">
        <f t="shared" si="319"/>
        <v>3</v>
      </c>
      <c r="I1318" s="105" t="str">
        <f t="shared" si="320"/>
        <v>L</v>
      </c>
      <c r="J1318" s="4" t="str">
        <f t="shared" si="321"/>
        <v>EEI</v>
      </c>
      <c r="K1318" s="106">
        <f t="shared" si="310"/>
        <v>3</v>
      </c>
      <c r="L1318" s="106">
        <f>IF(NOT(ISERROR(VLOOKUP(B1318,Deflatores!G$42:H$64,2,FALSE))),VLOOKUP(B1318,Deflatores!G$42:H$64,2,FALSE),IF(OR(ISBLANK(C1318),ISBLANK(B1318)),"",VLOOKUP(C1318,Deflatores!G$4:H$38,2,FALSE)*H1318+VLOOKUP(C1318,Deflatores!G$4:I$38,3,FALSE)))</f>
        <v>3</v>
      </c>
      <c r="M1318" s="6"/>
      <c r="N1318" s="6"/>
      <c r="O1318" s="144"/>
    </row>
    <row r="1319" spans="1:15" x14ac:dyDescent="0.25">
      <c r="A1319" s="145" t="s">
        <v>1116</v>
      </c>
      <c r="B1319" s="113" t="s">
        <v>48</v>
      </c>
      <c r="C1319" s="113" t="s">
        <v>45</v>
      </c>
      <c r="D1319" s="4">
        <v>10</v>
      </c>
      <c r="E1319" s="4">
        <v>2</v>
      </c>
      <c r="F1319" s="105" t="str">
        <f t="shared" si="317"/>
        <v>Média</v>
      </c>
      <c r="G1319" s="4" t="str">
        <f t="shared" si="318"/>
        <v>EEA</v>
      </c>
      <c r="H1319" s="4">
        <f t="shared" si="319"/>
        <v>4</v>
      </c>
      <c r="I1319" s="105" t="str">
        <f t="shared" si="320"/>
        <v>A</v>
      </c>
      <c r="J1319" s="4" t="str">
        <f t="shared" si="321"/>
        <v>EEI</v>
      </c>
      <c r="K1319" s="106">
        <f t="shared" si="310"/>
        <v>4</v>
      </c>
      <c r="L1319" s="106">
        <f>IF(NOT(ISERROR(VLOOKUP(B1319,Deflatores!G$42:H$64,2,FALSE))),VLOOKUP(B1319,Deflatores!G$42:H$64,2,FALSE),IF(OR(ISBLANK(C1319),ISBLANK(B1319)),"",VLOOKUP(C1319,Deflatores!G$4:H$38,2,FALSE)*H1319+VLOOKUP(C1319,Deflatores!G$4:I$38,3,FALSE)))</f>
        <v>4</v>
      </c>
      <c r="M1319" s="6"/>
      <c r="N1319" s="6"/>
      <c r="O1319" s="144"/>
    </row>
    <row r="1320" spans="1:15" x14ac:dyDescent="0.25">
      <c r="A1320" s="145" t="s">
        <v>1117</v>
      </c>
      <c r="B1320" s="113" t="s">
        <v>48</v>
      </c>
      <c r="C1320" s="113" t="s">
        <v>45</v>
      </c>
      <c r="D1320" s="4">
        <v>13</v>
      </c>
      <c r="E1320" s="4">
        <v>5</v>
      </c>
      <c r="F1320" s="105" t="str">
        <f t="shared" si="317"/>
        <v>Alta</v>
      </c>
      <c r="G1320" s="4" t="str">
        <f t="shared" si="318"/>
        <v>EEH</v>
      </c>
      <c r="H1320" s="4">
        <f t="shared" si="319"/>
        <v>6</v>
      </c>
      <c r="I1320" s="105" t="str">
        <f t="shared" si="320"/>
        <v>H</v>
      </c>
      <c r="J1320" s="4" t="str">
        <f t="shared" si="321"/>
        <v>EEI</v>
      </c>
      <c r="K1320" s="106">
        <f t="shared" si="310"/>
        <v>6</v>
      </c>
      <c r="L1320" s="106">
        <f>IF(NOT(ISERROR(VLOOKUP(B1320,Deflatores!G$42:H$64,2,FALSE))),VLOOKUP(B1320,Deflatores!G$42:H$64,2,FALSE),IF(OR(ISBLANK(C1320),ISBLANK(B1320)),"",VLOOKUP(C1320,Deflatores!G$4:H$38,2,FALSE)*H1320+VLOOKUP(C1320,Deflatores!G$4:I$38,3,FALSE)))</f>
        <v>6</v>
      </c>
      <c r="M1320" s="6"/>
      <c r="N1320" s="6"/>
      <c r="O1320" s="144"/>
    </row>
    <row r="1321" spans="1:15" x14ac:dyDescent="0.25">
      <c r="A1321" s="145" t="s">
        <v>1118</v>
      </c>
      <c r="B1321" s="113" t="s">
        <v>48</v>
      </c>
      <c r="C1321" s="113" t="s">
        <v>45</v>
      </c>
      <c r="D1321" s="4">
        <v>14</v>
      </c>
      <c r="E1321" s="4">
        <v>4</v>
      </c>
      <c r="F1321" s="105" t="str">
        <f t="shared" si="317"/>
        <v>Alta</v>
      </c>
      <c r="G1321" s="4" t="str">
        <f t="shared" si="318"/>
        <v>EEH</v>
      </c>
      <c r="H1321" s="4">
        <f t="shared" si="319"/>
        <v>6</v>
      </c>
      <c r="I1321" s="105" t="str">
        <f t="shared" si="320"/>
        <v>H</v>
      </c>
      <c r="J1321" s="4" t="str">
        <f t="shared" si="321"/>
        <v>EEI</v>
      </c>
      <c r="K1321" s="106">
        <f t="shared" si="310"/>
        <v>6</v>
      </c>
      <c r="L1321" s="106">
        <f>IF(NOT(ISERROR(VLOOKUP(B1321,Deflatores!G$42:H$64,2,FALSE))),VLOOKUP(B1321,Deflatores!G$42:H$64,2,FALSE),IF(OR(ISBLANK(C1321),ISBLANK(B1321)),"",VLOOKUP(C1321,Deflatores!G$4:H$38,2,FALSE)*H1321+VLOOKUP(C1321,Deflatores!G$4:I$38,3,FALSE)))</f>
        <v>6</v>
      </c>
      <c r="M1321" s="6"/>
      <c r="N1321" s="6"/>
      <c r="O1321" s="144" t="s">
        <v>1119</v>
      </c>
    </row>
    <row r="1322" spans="1:15" x14ac:dyDescent="0.25">
      <c r="A1322" s="145"/>
      <c r="B1322" s="113"/>
      <c r="C1322" s="113"/>
      <c r="D1322" s="4"/>
      <c r="E1322" s="4"/>
      <c r="F1322" s="105" t="str">
        <f t="shared" si="317"/>
        <v/>
      </c>
      <c r="G1322" s="4" t="str">
        <f t="shared" si="318"/>
        <v/>
      </c>
      <c r="H1322" s="4" t="str">
        <f t="shared" si="319"/>
        <v/>
      </c>
      <c r="I1322" s="105" t="str">
        <f t="shared" si="320"/>
        <v/>
      </c>
      <c r="J1322" s="4" t="str">
        <f t="shared" si="321"/>
        <v/>
      </c>
      <c r="K1322" s="106" t="str">
        <f t="shared" si="310"/>
        <v/>
      </c>
      <c r="L1322" s="106" t="str">
        <f>IF(NOT(ISERROR(VLOOKUP(B1322,Deflatores!G$42:H$64,2,FALSE))),VLOOKUP(B1322,Deflatores!G$42:H$64,2,FALSE),IF(OR(ISBLANK(C1322),ISBLANK(B1322)),"",VLOOKUP(C1322,Deflatores!G$4:H$38,2,FALSE)*H1322+VLOOKUP(C1322,Deflatores!G$4:I$38,3,FALSE)))</f>
        <v/>
      </c>
      <c r="M1322" s="6"/>
      <c r="N1322" s="6"/>
      <c r="O1322" s="144"/>
    </row>
    <row r="1323" spans="1:15" x14ac:dyDescent="0.25">
      <c r="A1323" s="143" t="s">
        <v>1120</v>
      </c>
      <c r="B1323" s="113"/>
      <c r="C1323" s="113"/>
      <c r="D1323" s="4"/>
      <c r="E1323" s="4"/>
      <c r="F1323" s="105" t="str">
        <f t="shared" si="317"/>
        <v/>
      </c>
      <c r="G1323" s="4" t="str">
        <f t="shared" si="318"/>
        <v/>
      </c>
      <c r="H1323" s="4" t="str">
        <f t="shared" si="319"/>
        <v/>
      </c>
      <c r="I1323" s="105" t="str">
        <f t="shared" si="320"/>
        <v/>
      </c>
      <c r="J1323" s="4" t="str">
        <f t="shared" si="321"/>
        <v/>
      </c>
      <c r="K1323" s="106" t="str">
        <f t="shared" si="310"/>
        <v/>
      </c>
      <c r="L1323" s="106" t="str">
        <f>IF(NOT(ISERROR(VLOOKUP(B1323,Deflatores!G$42:H$64,2,FALSE))),VLOOKUP(B1323,Deflatores!G$42:H$64,2,FALSE),IF(OR(ISBLANK(C1323),ISBLANK(B1323)),"",VLOOKUP(C1323,Deflatores!G$4:H$38,2,FALSE)*H1323+VLOOKUP(C1323,Deflatores!G$4:I$38,3,FALSE)))</f>
        <v/>
      </c>
      <c r="M1323" s="6"/>
      <c r="N1323" s="6"/>
      <c r="O1323" s="144"/>
    </row>
    <row r="1324" spans="1:15" x14ac:dyDescent="0.25">
      <c r="A1324" s="145" t="s">
        <v>1121</v>
      </c>
      <c r="B1324" s="113" t="s">
        <v>113</v>
      </c>
      <c r="C1324" s="113" t="s">
        <v>45</v>
      </c>
      <c r="D1324" s="4">
        <v>23</v>
      </c>
      <c r="E1324" s="4">
        <v>5</v>
      </c>
      <c r="F1324" s="105" t="str">
        <f t="shared" si="317"/>
        <v>Alta</v>
      </c>
      <c r="G1324" s="4" t="str">
        <f t="shared" si="318"/>
        <v>SEH</v>
      </c>
      <c r="H1324" s="4">
        <f t="shared" si="319"/>
        <v>7</v>
      </c>
      <c r="I1324" s="105" t="str">
        <f t="shared" si="320"/>
        <v>H</v>
      </c>
      <c r="J1324" s="4" t="str">
        <f t="shared" si="321"/>
        <v>SEI</v>
      </c>
      <c r="K1324" s="106">
        <f t="shared" si="310"/>
        <v>7</v>
      </c>
      <c r="L1324" s="106">
        <f>IF(NOT(ISERROR(VLOOKUP(B1324,Deflatores!G$42:H$64,2,FALSE))),VLOOKUP(B1324,Deflatores!G$42:H$64,2,FALSE),IF(OR(ISBLANK(C1324),ISBLANK(B1324)),"",VLOOKUP(C1324,Deflatores!G$4:H$38,2,FALSE)*H1324+VLOOKUP(C1324,Deflatores!G$4:I$38,3,FALSE)))</f>
        <v>7</v>
      </c>
      <c r="M1324" s="6"/>
      <c r="N1324" s="6"/>
      <c r="O1324" s="144"/>
    </row>
    <row r="1325" spans="1:15" x14ac:dyDescent="0.25">
      <c r="A1325" s="145"/>
      <c r="B1325" s="113"/>
      <c r="C1325" s="113"/>
      <c r="D1325" s="4"/>
      <c r="E1325" s="4"/>
      <c r="F1325" s="105" t="str">
        <f t="shared" si="317"/>
        <v/>
      </c>
      <c r="G1325" s="4" t="str">
        <f t="shared" si="318"/>
        <v/>
      </c>
      <c r="H1325" s="4" t="str">
        <f t="shared" si="319"/>
        <v/>
      </c>
      <c r="I1325" s="105" t="str">
        <f t="shared" si="320"/>
        <v/>
      </c>
      <c r="J1325" s="4" t="str">
        <f t="shared" si="321"/>
        <v/>
      </c>
      <c r="K1325" s="106" t="str">
        <f t="shared" si="310"/>
        <v/>
      </c>
      <c r="L1325" s="106" t="str">
        <f>IF(NOT(ISERROR(VLOOKUP(B1325,Deflatores!G$42:H$64,2,FALSE))),VLOOKUP(B1325,Deflatores!G$42:H$64,2,FALSE),IF(OR(ISBLANK(C1325),ISBLANK(B1325)),"",VLOOKUP(C1325,Deflatores!G$4:H$38,2,FALSE)*H1325+VLOOKUP(C1325,Deflatores!G$4:I$38,3,FALSE)))</f>
        <v/>
      </c>
      <c r="M1325" s="6"/>
      <c r="N1325" s="6"/>
      <c r="O1325" s="144"/>
    </row>
    <row r="1326" spans="1:15" x14ac:dyDescent="0.25">
      <c r="A1326" s="143" t="s">
        <v>1122</v>
      </c>
      <c r="B1326" s="113"/>
      <c r="C1326" s="113"/>
      <c r="D1326" s="4"/>
      <c r="E1326" s="4"/>
      <c r="F1326" s="105" t="str">
        <f t="shared" si="317"/>
        <v/>
      </c>
      <c r="G1326" s="4" t="str">
        <f t="shared" si="318"/>
        <v/>
      </c>
      <c r="H1326" s="4" t="str">
        <f t="shared" si="319"/>
        <v/>
      </c>
      <c r="I1326" s="105" t="str">
        <f t="shared" si="320"/>
        <v/>
      </c>
      <c r="J1326" s="4" t="str">
        <f t="shared" si="321"/>
        <v/>
      </c>
      <c r="K1326" s="106" t="str">
        <f t="shared" si="310"/>
        <v/>
      </c>
      <c r="L1326" s="106" t="str">
        <f>IF(NOT(ISERROR(VLOOKUP(B1326,Deflatores!G$42:H$64,2,FALSE))),VLOOKUP(B1326,Deflatores!G$42:H$64,2,FALSE),IF(OR(ISBLANK(C1326),ISBLANK(B1326)),"",VLOOKUP(C1326,Deflatores!G$4:H$38,2,FALSE)*H1326+VLOOKUP(C1326,Deflatores!G$4:I$38,3,FALSE)))</f>
        <v/>
      </c>
      <c r="M1326" s="6"/>
      <c r="N1326" s="6"/>
      <c r="O1326" s="144"/>
    </row>
    <row r="1327" spans="1:15" x14ac:dyDescent="0.25">
      <c r="A1327" s="145" t="s">
        <v>1123</v>
      </c>
      <c r="B1327" s="113" t="s">
        <v>113</v>
      </c>
      <c r="C1327" s="113" t="s">
        <v>45</v>
      </c>
      <c r="D1327" s="4">
        <v>27</v>
      </c>
      <c r="E1327" s="4">
        <v>5</v>
      </c>
      <c r="F1327" s="105" t="str">
        <f t="shared" si="317"/>
        <v>Alta</v>
      </c>
      <c r="G1327" s="4" t="str">
        <f t="shared" si="318"/>
        <v>SEH</v>
      </c>
      <c r="H1327" s="4">
        <f t="shared" si="319"/>
        <v>7</v>
      </c>
      <c r="I1327" s="105" t="str">
        <f t="shared" si="320"/>
        <v>H</v>
      </c>
      <c r="J1327" s="4" t="str">
        <f t="shared" si="321"/>
        <v>SEI</v>
      </c>
      <c r="K1327" s="106">
        <f t="shared" si="310"/>
        <v>7</v>
      </c>
      <c r="L1327" s="106">
        <f>IF(NOT(ISERROR(VLOOKUP(B1327,Deflatores!G$42:H$64,2,FALSE))),VLOOKUP(B1327,Deflatores!G$42:H$64,2,FALSE),IF(OR(ISBLANK(C1327),ISBLANK(B1327)),"",VLOOKUP(C1327,Deflatores!G$4:H$38,2,FALSE)*H1327+VLOOKUP(C1327,Deflatores!G$4:I$38,3,FALSE)))</f>
        <v>7</v>
      </c>
      <c r="M1327" s="6"/>
      <c r="N1327" s="6"/>
      <c r="O1327" s="144"/>
    </row>
    <row r="1328" spans="1:15" x14ac:dyDescent="0.25">
      <c r="A1328" s="145"/>
      <c r="B1328" s="113"/>
      <c r="C1328" s="113"/>
      <c r="D1328" s="4"/>
      <c r="E1328" s="4"/>
      <c r="F1328" s="105" t="str">
        <f t="shared" si="317"/>
        <v/>
      </c>
      <c r="G1328" s="4" t="str">
        <f t="shared" si="318"/>
        <v/>
      </c>
      <c r="H1328" s="4" t="str">
        <f t="shared" si="319"/>
        <v/>
      </c>
      <c r="I1328" s="105" t="str">
        <f t="shared" si="320"/>
        <v/>
      </c>
      <c r="J1328" s="4" t="str">
        <f t="shared" si="321"/>
        <v/>
      </c>
      <c r="K1328" s="106" t="str">
        <f t="shared" si="310"/>
        <v/>
      </c>
      <c r="L1328" s="106" t="str">
        <f>IF(NOT(ISERROR(VLOOKUP(B1328,Deflatores!G$42:H$64,2,FALSE))),VLOOKUP(B1328,Deflatores!G$42:H$64,2,FALSE),IF(OR(ISBLANK(C1328),ISBLANK(B1328)),"",VLOOKUP(C1328,Deflatores!G$4:H$38,2,FALSE)*H1328+VLOOKUP(C1328,Deflatores!G$4:I$38,3,FALSE)))</f>
        <v/>
      </c>
      <c r="M1328" s="6"/>
      <c r="N1328" s="6"/>
      <c r="O1328" s="144"/>
    </row>
    <row r="1329" spans="1:15" x14ac:dyDescent="0.25">
      <c r="A1329" s="143" t="s">
        <v>1124</v>
      </c>
      <c r="B1329" s="113"/>
      <c r="C1329" s="113"/>
      <c r="D1329" s="4"/>
      <c r="E1329" s="4"/>
      <c r="F1329" s="105" t="str">
        <f t="shared" si="317"/>
        <v/>
      </c>
      <c r="G1329" s="4" t="str">
        <f t="shared" si="318"/>
        <v/>
      </c>
      <c r="H1329" s="4" t="str">
        <f t="shared" si="319"/>
        <v/>
      </c>
      <c r="I1329" s="105" t="str">
        <f t="shared" si="320"/>
        <v/>
      </c>
      <c r="J1329" s="4" t="str">
        <f t="shared" si="321"/>
        <v/>
      </c>
      <c r="K1329" s="106" t="str">
        <f t="shared" si="310"/>
        <v/>
      </c>
      <c r="L1329" s="106" t="str">
        <f>IF(NOT(ISERROR(VLOOKUP(B1329,Deflatores!G$42:H$64,2,FALSE))),VLOOKUP(B1329,Deflatores!G$42:H$64,2,FALSE),IF(OR(ISBLANK(C1329),ISBLANK(B1329)),"",VLOOKUP(C1329,Deflatores!G$4:H$38,2,FALSE)*H1329+VLOOKUP(C1329,Deflatores!G$4:I$38,3,FALSE)))</f>
        <v/>
      </c>
      <c r="M1329" s="6"/>
      <c r="N1329" s="6"/>
      <c r="O1329" s="144"/>
    </row>
    <row r="1330" spans="1:15" x14ac:dyDescent="0.25">
      <c r="A1330" s="145" t="s">
        <v>1125</v>
      </c>
      <c r="B1330" s="113" t="s">
        <v>113</v>
      </c>
      <c r="C1330" s="113" t="s">
        <v>45</v>
      </c>
      <c r="D1330" s="4">
        <v>29</v>
      </c>
      <c r="E1330" s="4">
        <v>6</v>
      </c>
      <c r="F1330" s="105" t="str">
        <f t="shared" si="317"/>
        <v>Alta</v>
      </c>
      <c r="G1330" s="4" t="str">
        <f t="shared" si="318"/>
        <v>SEH</v>
      </c>
      <c r="H1330" s="4">
        <f t="shared" si="319"/>
        <v>7</v>
      </c>
      <c r="I1330" s="105" t="str">
        <f t="shared" si="320"/>
        <v>H</v>
      </c>
      <c r="J1330" s="4" t="str">
        <f t="shared" si="321"/>
        <v>SEI</v>
      </c>
      <c r="K1330" s="106">
        <f t="shared" si="310"/>
        <v>7</v>
      </c>
      <c r="L1330" s="106">
        <f>IF(NOT(ISERROR(VLOOKUP(B1330,Deflatores!G$42:H$64,2,FALSE))),VLOOKUP(B1330,Deflatores!G$42:H$64,2,FALSE),IF(OR(ISBLANK(C1330),ISBLANK(B1330)),"",VLOOKUP(C1330,Deflatores!G$4:H$38,2,FALSE)*H1330+VLOOKUP(C1330,Deflatores!G$4:I$38,3,FALSE)))</f>
        <v>7</v>
      </c>
      <c r="M1330" s="6"/>
      <c r="N1330" s="6"/>
      <c r="O1330" s="150"/>
    </row>
    <row r="1331" spans="1:15" x14ac:dyDescent="0.25">
      <c r="A1331" s="145" t="s">
        <v>1126</v>
      </c>
      <c r="B1331" s="113" t="s">
        <v>50</v>
      </c>
      <c r="C1331" s="113" t="s">
        <v>45</v>
      </c>
      <c r="D1331" s="4">
        <v>21</v>
      </c>
      <c r="E1331" s="4">
        <v>5</v>
      </c>
      <c r="F1331" s="105" t="str">
        <f t="shared" si="317"/>
        <v>Alta</v>
      </c>
      <c r="G1331" s="4" t="str">
        <f t="shared" si="318"/>
        <v>CEH</v>
      </c>
      <c r="H1331" s="4">
        <f t="shared" si="319"/>
        <v>6</v>
      </c>
      <c r="I1331" s="105" t="str">
        <f t="shared" si="320"/>
        <v>H</v>
      </c>
      <c r="J1331" s="4" t="str">
        <f t="shared" si="321"/>
        <v>CEI</v>
      </c>
      <c r="K1331" s="106">
        <f t="shared" si="310"/>
        <v>6</v>
      </c>
      <c r="L1331" s="106">
        <f>IF(NOT(ISERROR(VLOOKUP(B1331,Deflatores!G$42:H$64,2,FALSE))),VLOOKUP(B1331,Deflatores!G$42:H$64,2,FALSE),IF(OR(ISBLANK(C1331),ISBLANK(B1331)),"",VLOOKUP(C1331,Deflatores!G$4:H$38,2,FALSE)*H1331+VLOOKUP(C1331,Deflatores!G$4:I$38,3,FALSE)))</f>
        <v>6</v>
      </c>
      <c r="M1331" s="6"/>
      <c r="N1331" s="6"/>
      <c r="O1331" s="150"/>
    </row>
    <row r="1332" spans="1:15" x14ac:dyDescent="0.25">
      <c r="A1332" s="145" t="s">
        <v>1127</v>
      </c>
      <c r="B1332" s="113" t="s">
        <v>50</v>
      </c>
      <c r="C1332" s="113" t="s">
        <v>45</v>
      </c>
      <c r="D1332" s="4">
        <v>21</v>
      </c>
      <c r="E1332" s="4">
        <v>5</v>
      </c>
      <c r="F1332" s="105" t="str">
        <f t="shared" si="317"/>
        <v>Alta</v>
      </c>
      <c r="G1332" s="4" t="str">
        <f t="shared" si="318"/>
        <v>CEH</v>
      </c>
      <c r="H1332" s="4">
        <f t="shared" si="319"/>
        <v>6</v>
      </c>
      <c r="I1332" s="105" t="str">
        <f t="shared" si="320"/>
        <v>H</v>
      </c>
      <c r="J1332" s="4" t="str">
        <f t="shared" si="321"/>
        <v>CEI</v>
      </c>
      <c r="K1332" s="106">
        <f t="shared" si="310"/>
        <v>6</v>
      </c>
      <c r="L1332" s="106">
        <f>IF(NOT(ISERROR(VLOOKUP(B1332,Deflatores!G$42:H$64,2,FALSE))),VLOOKUP(B1332,Deflatores!G$42:H$64,2,FALSE),IF(OR(ISBLANK(C1332),ISBLANK(B1332)),"",VLOOKUP(C1332,Deflatores!G$4:H$38,2,FALSE)*H1332+VLOOKUP(C1332,Deflatores!G$4:I$38,3,FALSE)))</f>
        <v>6</v>
      </c>
      <c r="M1332" s="6"/>
      <c r="N1332" s="6"/>
      <c r="O1332" s="150"/>
    </row>
    <row r="1333" spans="1:15" x14ac:dyDescent="0.25">
      <c r="A1333" s="145"/>
      <c r="B1333" s="113"/>
      <c r="C1333" s="113"/>
      <c r="D1333" s="4"/>
      <c r="E1333" s="4"/>
      <c r="F1333" s="105" t="str">
        <f t="shared" si="317"/>
        <v/>
      </c>
      <c r="G1333" s="4" t="str">
        <f t="shared" si="318"/>
        <v/>
      </c>
      <c r="H1333" s="4" t="str">
        <f t="shared" si="319"/>
        <v/>
      </c>
      <c r="I1333" s="105" t="str">
        <f t="shared" si="320"/>
        <v/>
      </c>
      <c r="J1333" s="4" t="str">
        <f t="shared" si="321"/>
        <v/>
      </c>
      <c r="K1333" s="106" t="str">
        <f t="shared" si="310"/>
        <v/>
      </c>
      <c r="L1333" s="106" t="str">
        <f>IF(NOT(ISERROR(VLOOKUP(B1333,Deflatores!G$42:H$64,2,FALSE))),VLOOKUP(B1333,Deflatores!G$42:H$64,2,FALSE),IF(OR(ISBLANK(C1333),ISBLANK(B1333)),"",VLOOKUP(C1333,Deflatores!G$4:H$38,2,FALSE)*H1333+VLOOKUP(C1333,Deflatores!G$4:I$38,3,FALSE)))</f>
        <v/>
      </c>
      <c r="M1333" s="6"/>
      <c r="N1333" s="6"/>
      <c r="O1333" s="144"/>
    </row>
    <row r="1334" spans="1:15" x14ac:dyDescent="0.25">
      <c r="A1334" s="143" t="s">
        <v>1128</v>
      </c>
      <c r="B1334" s="113"/>
      <c r="C1334" s="113"/>
      <c r="D1334" s="4"/>
      <c r="E1334" s="4"/>
      <c r="F1334" s="105" t="str">
        <f t="shared" si="317"/>
        <v/>
      </c>
      <c r="G1334" s="4" t="str">
        <f t="shared" si="318"/>
        <v/>
      </c>
      <c r="H1334" s="4" t="str">
        <f t="shared" si="319"/>
        <v/>
      </c>
      <c r="I1334" s="105" t="str">
        <f t="shared" si="320"/>
        <v/>
      </c>
      <c r="J1334" s="4" t="str">
        <f t="shared" si="321"/>
        <v/>
      </c>
      <c r="K1334" s="106" t="str">
        <f t="shared" si="310"/>
        <v/>
      </c>
      <c r="L1334" s="106" t="str">
        <f>IF(NOT(ISERROR(VLOOKUP(B1334,Deflatores!G$42:H$64,2,FALSE))),VLOOKUP(B1334,Deflatores!G$42:H$64,2,FALSE),IF(OR(ISBLANK(C1334),ISBLANK(B1334)),"",VLOOKUP(C1334,Deflatores!G$4:H$38,2,FALSE)*H1334+VLOOKUP(C1334,Deflatores!G$4:I$38,3,FALSE)))</f>
        <v/>
      </c>
      <c r="M1334" s="6"/>
      <c r="N1334" s="6"/>
      <c r="O1334" s="144"/>
    </row>
    <row r="1335" spans="1:15" x14ac:dyDescent="0.25">
      <c r="A1335" s="145" t="s">
        <v>1129</v>
      </c>
      <c r="B1335" s="113" t="s">
        <v>50</v>
      </c>
      <c r="C1335" s="113" t="s">
        <v>45</v>
      </c>
      <c r="D1335" s="4">
        <v>24</v>
      </c>
      <c r="E1335" s="4">
        <v>4</v>
      </c>
      <c r="F1335" s="105" t="str">
        <f t="shared" si="317"/>
        <v>Alta</v>
      </c>
      <c r="G1335" s="4" t="str">
        <f t="shared" si="318"/>
        <v>CEH</v>
      </c>
      <c r="H1335" s="4">
        <f t="shared" si="319"/>
        <v>6</v>
      </c>
      <c r="I1335" s="105" t="str">
        <f t="shared" si="320"/>
        <v>H</v>
      </c>
      <c r="J1335" s="4" t="str">
        <f t="shared" si="321"/>
        <v>CEI</v>
      </c>
      <c r="K1335" s="106">
        <f t="shared" si="310"/>
        <v>6</v>
      </c>
      <c r="L1335" s="106">
        <f>IF(NOT(ISERROR(VLOOKUP(B1335,Deflatores!G$42:H$64,2,FALSE))),VLOOKUP(B1335,Deflatores!G$42:H$64,2,FALSE),IF(OR(ISBLANK(C1335),ISBLANK(B1335)),"",VLOOKUP(C1335,Deflatores!G$4:H$38,2,FALSE)*H1335+VLOOKUP(C1335,Deflatores!G$4:I$38,3,FALSE)))</f>
        <v>6</v>
      </c>
      <c r="M1335" s="6"/>
      <c r="N1335" s="6"/>
      <c r="O1335" s="144"/>
    </row>
    <row r="1336" spans="1:15" x14ac:dyDescent="0.25">
      <c r="A1336" s="145" t="s">
        <v>1130</v>
      </c>
      <c r="B1336" s="113" t="s">
        <v>48</v>
      </c>
      <c r="C1336" s="113" t="s">
        <v>45</v>
      </c>
      <c r="D1336" s="4">
        <v>14</v>
      </c>
      <c r="E1336" s="4">
        <v>5</v>
      </c>
      <c r="F1336" s="105" t="str">
        <f t="shared" si="317"/>
        <v>Alta</v>
      </c>
      <c r="G1336" s="4" t="str">
        <f t="shared" si="318"/>
        <v>EEH</v>
      </c>
      <c r="H1336" s="4">
        <f t="shared" si="319"/>
        <v>6</v>
      </c>
      <c r="I1336" s="105" t="str">
        <f t="shared" si="320"/>
        <v>H</v>
      </c>
      <c r="J1336" s="4" t="str">
        <f t="shared" si="321"/>
        <v>EEI</v>
      </c>
      <c r="K1336" s="106">
        <f t="shared" si="310"/>
        <v>6</v>
      </c>
      <c r="L1336" s="106">
        <f>IF(NOT(ISERROR(VLOOKUP(B1336,Deflatores!G$42:H$64,2,FALSE))),VLOOKUP(B1336,Deflatores!G$42:H$64,2,FALSE),IF(OR(ISBLANK(C1336),ISBLANK(B1336)),"",VLOOKUP(C1336,Deflatores!G$4:H$38,2,FALSE)*H1336+VLOOKUP(C1336,Deflatores!G$4:I$38,3,FALSE)))</f>
        <v>6</v>
      </c>
      <c r="M1336" s="6"/>
      <c r="N1336" s="6"/>
      <c r="O1336" s="144"/>
    </row>
    <row r="1337" spans="1:15" ht="14.25" customHeight="1" x14ac:dyDescent="0.25">
      <c r="A1337" s="145" t="s">
        <v>1131</v>
      </c>
      <c r="B1337" s="113" t="s">
        <v>48</v>
      </c>
      <c r="C1337" s="113" t="s">
        <v>45</v>
      </c>
      <c r="D1337" s="4">
        <v>3</v>
      </c>
      <c r="E1337" s="4">
        <v>2</v>
      </c>
      <c r="F1337" s="105" t="str">
        <f t="shared" si="317"/>
        <v>Baixa</v>
      </c>
      <c r="G1337" s="4" t="str">
        <f t="shared" si="318"/>
        <v>EEL</v>
      </c>
      <c r="H1337" s="4">
        <f t="shared" si="319"/>
        <v>3</v>
      </c>
      <c r="I1337" s="105" t="str">
        <f t="shared" si="320"/>
        <v>L</v>
      </c>
      <c r="J1337" s="4" t="str">
        <f t="shared" si="321"/>
        <v>EEI</v>
      </c>
      <c r="K1337" s="106">
        <f t="shared" si="310"/>
        <v>3</v>
      </c>
      <c r="L1337" s="106">
        <f>IF(NOT(ISERROR(VLOOKUP(B1337,Deflatores!G$42:H$64,2,FALSE))),VLOOKUP(B1337,Deflatores!G$42:H$64,2,FALSE),IF(OR(ISBLANK(C1337),ISBLANK(B1337)),"",VLOOKUP(C1337,Deflatores!G$4:H$38,2,FALSE)*H1337+VLOOKUP(C1337,Deflatores!G$4:I$38,3,FALSE)))</f>
        <v>3</v>
      </c>
      <c r="M1337" s="6"/>
      <c r="N1337" s="6"/>
      <c r="O1337" s="144"/>
    </row>
    <row r="1338" spans="1:15" x14ac:dyDescent="0.25">
      <c r="A1338" s="145" t="s">
        <v>1132</v>
      </c>
      <c r="B1338" s="113" t="s">
        <v>48</v>
      </c>
      <c r="C1338" s="113" t="s">
        <v>45</v>
      </c>
      <c r="D1338" s="4">
        <v>14</v>
      </c>
      <c r="E1338" s="4">
        <v>5</v>
      </c>
      <c r="F1338" s="105" t="str">
        <f t="shared" si="317"/>
        <v>Alta</v>
      </c>
      <c r="G1338" s="4" t="str">
        <f t="shared" si="318"/>
        <v>EEH</v>
      </c>
      <c r="H1338" s="4">
        <f t="shared" si="319"/>
        <v>6</v>
      </c>
      <c r="I1338" s="105" t="str">
        <f t="shared" si="320"/>
        <v>H</v>
      </c>
      <c r="J1338" s="4" t="str">
        <f t="shared" si="321"/>
        <v>EEI</v>
      </c>
      <c r="K1338" s="106">
        <f t="shared" si="310"/>
        <v>6</v>
      </c>
      <c r="L1338" s="106">
        <f>IF(NOT(ISERROR(VLOOKUP(B1338,Deflatores!G$42:H$64,2,FALSE))),VLOOKUP(B1338,Deflatores!G$42:H$64,2,FALSE),IF(OR(ISBLANK(C1338),ISBLANK(B1338)),"",VLOOKUP(C1338,Deflatores!G$4:H$38,2,FALSE)*H1338+VLOOKUP(C1338,Deflatores!G$4:I$38,3,FALSE)))</f>
        <v>6</v>
      </c>
      <c r="M1338" s="6"/>
      <c r="N1338" s="6"/>
      <c r="O1338" s="144"/>
    </row>
    <row r="1339" spans="1:15" x14ac:dyDescent="0.25">
      <c r="A1339" s="145" t="s">
        <v>1133</v>
      </c>
      <c r="B1339" s="113" t="s">
        <v>48</v>
      </c>
      <c r="C1339" s="113" t="s">
        <v>45</v>
      </c>
      <c r="D1339" s="4">
        <v>3</v>
      </c>
      <c r="E1339" s="4">
        <v>2</v>
      </c>
      <c r="F1339" s="105" t="str">
        <f t="shared" si="317"/>
        <v>Baixa</v>
      </c>
      <c r="G1339" s="4" t="str">
        <f t="shared" si="318"/>
        <v>EEL</v>
      </c>
      <c r="H1339" s="4">
        <f t="shared" si="319"/>
        <v>3</v>
      </c>
      <c r="I1339" s="105" t="str">
        <f t="shared" si="320"/>
        <v>L</v>
      </c>
      <c r="J1339" s="4" t="str">
        <f t="shared" si="321"/>
        <v>EEI</v>
      </c>
      <c r="K1339" s="106">
        <f t="shared" si="310"/>
        <v>3</v>
      </c>
      <c r="L1339" s="106">
        <f>IF(NOT(ISERROR(VLOOKUP(B1339,Deflatores!G$42:H$64,2,FALSE))),VLOOKUP(B1339,Deflatores!G$42:H$64,2,FALSE),IF(OR(ISBLANK(C1339),ISBLANK(B1339)),"",VLOOKUP(C1339,Deflatores!G$4:H$38,2,FALSE)*H1339+VLOOKUP(C1339,Deflatores!G$4:I$38,3,FALSE)))</f>
        <v>3</v>
      </c>
      <c r="M1339" s="6"/>
      <c r="N1339" s="6"/>
      <c r="O1339" s="144"/>
    </row>
    <row r="1340" spans="1:15" x14ac:dyDescent="0.25">
      <c r="A1340" s="145"/>
      <c r="B1340" s="113"/>
      <c r="C1340" s="113"/>
      <c r="D1340" s="4"/>
      <c r="E1340" s="4"/>
      <c r="F1340" s="105" t="str">
        <f t="shared" si="317"/>
        <v/>
      </c>
      <c r="G1340" s="4" t="str">
        <f t="shared" si="318"/>
        <v/>
      </c>
      <c r="H1340" s="4" t="str">
        <f t="shared" si="319"/>
        <v/>
      </c>
      <c r="I1340" s="105" t="str">
        <f t="shared" si="320"/>
        <v/>
      </c>
      <c r="J1340" s="4" t="str">
        <f t="shared" si="321"/>
        <v/>
      </c>
      <c r="K1340" s="106" t="str">
        <f t="shared" si="310"/>
        <v/>
      </c>
      <c r="L1340" s="106" t="str">
        <f>IF(NOT(ISERROR(VLOOKUP(B1340,Deflatores!G$42:H$64,2,FALSE))),VLOOKUP(B1340,Deflatores!G$42:H$64,2,FALSE),IF(OR(ISBLANK(C1340),ISBLANK(B1340)),"",VLOOKUP(C1340,Deflatores!G$4:H$38,2,FALSE)*H1340+VLOOKUP(C1340,Deflatores!G$4:I$38,3,FALSE)))</f>
        <v/>
      </c>
      <c r="M1340" s="6"/>
      <c r="N1340" s="6"/>
      <c r="O1340" s="144"/>
    </row>
    <row r="1341" spans="1:15" x14ac:dyDescent="0.25">
      <c r="A1341" s="143" t="s">
        <v>1134</v>
      </c>
      <c r="B1341" s="113"/>
      <c r="C1341" s="113"/>
      <c r="D1341" s="4"/>
      <c r="E1341" s="4"/>
      <c r="F1341" s="105" t="str">
        <f t="shared" si="317"/>
        <v/>
      </c>
      <c r="G1341" s="4" t="str">
        <f t="shared" si="318"/>
        <v/>
      </c>
      <c r="H1341" s="4" t="str">
        <f t="shared" si="319"/>
        <v/>
      </c>
      <c r="I1341" s="105" t="str">
        <f t="shared" si="320"/>
        <v/>
      </c>
      <c r="J1341" s="4" t="str">
        <f t="shared" si="321"/>
        <v/>
      </c>
      <c r="K1341" s="106" t="str">
        <f t="shared" si="310"/>
        <v/>
      </c>
      <c r="L1341" s="106" t="str">
        <f>IF(NOT(ISERROR(VLOOKUP(B1341,Deflatores!G$42:H$64,2,FALSE))),VLOOKUP(B1341,Deflatores!G$42:H$64,2,FALSE),IF(OR(ISBLANK(C1341),ISBLANK(B1341)),"",VLOOKUP(C1341,Deflatores!G$4:H$38,2,FALSE)*H1341+VLOOKUP(C1341,Deflatores!G$4:I$38,3,FALSE)))</f>
        <v/>
      </c>
      <c r="M1341" s="6"/>
      <c r="N1341" s="6"/>
      <c r="O1341" s="144"/>
    </row>
    <row r="1342" spans="1:15" x14ac:dyDescent="0.25">
      <c r="A1342" s="145" t="s">
        <v>1135</v>
      </c>
      <c r="B1342" s="113" t="s">
        <v>44</v>
      </c>
      <c r="C1342" s="113" t="s">
        <v>45</v>
      </c>
      <c r="D1342" s="4">
        <v>26</v>
      </c>
      <c r="E1342" s="4">
        <v>3</v>
      </c>
      <c r="F1342" s="105" t="str">
        <f t="shared" si="317"/>
        <v>Média</v>
      </c>
      <c r="G1342" s="4" t="str">
        <f t="shared" si="318"/>
        <v>ALIA</v>
      </c>
      <c r="H1342" s="4">
        <f t="shared" si="319"/>
        <v>10</v>
      </c>
      <c r="I1342" s="105" t="str">
        <f t="shared" si="320"/>
        <v>A</v>
      </c>
      <c r="J1342" s="4" t="str">
        <f t="shared" si="321"/>
        <v>ALII</v>
      </c>
      <c r="K1342" s="106">
        <f t="shared" si="310"/>
        <v>10</v>
      </c>
      <c r="L1342" s="106">
        <f>IF(NOT(ISERROR(VLOOKUP(B1342,Deflatores!G$42:H$64,2,FALSE))),VLOOKUP(B1342,Deflatores!G$42:H$64,2,FALSE),IF(OR(ISBLANK(C1342),ISBLANK(B1342)),"",VLOOKUP(C1342,Deflatores!G$4:H$38,2,FALSE)*H1342+VLOOKUP(C1342,Deflatores!G$4:I$38,3,FALSE)))</f>
        <v>10</v>
      </c>
      <c r="M1342" s="6"/>
      <c r="N1342" s="6"/>
      <c r="O1342" s="144"/>
    </row>
    <row r="1343" spans="1:15" x14ac:dyDescent="0.25">
      <c r="A1343" s="145" t="s">
        <v>1136</v>
      </c>
      <c r="B1343" s="113" t="s">
        <v>50</v>
      </c>
      <c r="C1343" s="113" t="s">
        <v>45</v>
      </c>
      <c r="D1343" s="4">
        <v>12</v>
      </c>
      <c r="E1343" s="4">
        <v>3</v>
      </c>
      <c r="F1343" s="105" t="str">
        <f t="shared" si="317"/>
        <v>Média</v>
      </c>
      <c r="G1343" s="4" t="str">
        <f t="shared" si="318"/>
        <v>CEA</v>
      </c>
      <c r="H1343" s="4">
        <f t="shared" si="319"/>
        <v>4</v>
      </c>
      <c r="I1343" s="105" t="str">
        <f t="shared" si="320"/>
        <v>A</v>
      </c>
      <c r="J1343" s="4" t="str">
        <f t="shared" si="321"/>
        <v>CEI</v>
      </c>
      <c r="K1343" s="106">
        <f t="shared" si="310"/>
        <v>4</v>
      </c>
      <c r="L1343" s="106">
        <f>IF(NOT(ISERROR(VLOOKUP(B1343,Deflatores!G$42:H$64,2,FALSE))),VLOOKUP(B1343,Deflatores!G$42:H$64,2,FALSE),IF(OR(ISBLANK(C1343),ISBLANK(B1343)),"",VLOOKUP(C1343,Deflatores!G$4:H$38,2,FALSE)*H1343+VLOOKUP(C1343,Deflatores!G$4:I$38,3,FALSE)))</f>
        <v>4</v>
      </c>
      <c r="M1343" s="6"/>
      <c r="N1343" s="6"/>
      <c r="O1343" s="144"/>
    </row>
    <row r="1344" spans="1:15" x14ac:dyDescent="0.25">
      <c r="A1344" s="146" t="s">
        <v>1137</v>
      </c>
      <c r="B1344" s="113" t="s">
        <v>50</v>
      </c>
      <c r="C1344" s="113" t="s">
        <v>45</v>
      </c>
      <c r="D1344" s="4">
        <v>3</v>
      </c>
      <c r="E1344" s="4">
        <v>1</v>
      </c>
      <c r="F1344" s="105" t="str">
        <f>IF(ISBLANK(B1344),"",IF(I1344="L","Baixa",IF(I1344="A","Média",IF(I1344="","","Alta"))))</f>
        <v>Baixa</v>
      </c>
      <c r="G1344" s="4" t="str">
        <f>CONCATENATE(B1344,I1344)</f>
        <v>CEL</v>
      </c>
      <c r="H1344" s="4">
        <f>IF(ISBLANK(B1344),"",IF(B1344="ALI",IF(I1344="L",7,IF(I1344="A",10,15)),IF(B1344="AIE",IF(I1344="L",5,IF(I1344="A",7,10)),IF(B1344="SE",IF(I1344="L",4,IF(I1344="A",5,7)),IF(OR(B1344="EE",B1344="CE"),IF(I1344="L",3,IF(I1344="A",4,6)),0)))))</f>
        <v>3</v>
      </c>
      <c r="I1344" s="105" t="str">
        <f>IF(OR(ISBLANK(D1344),ISBLANK(E1344)),IF(OR(B1344="ALI",B1344="AIE"),"L",IF(OR(B1344="EE",B1344="SE",B1344="CE"),"A","")),IF(B1344="EE",IF(E1344&gt;=3,IF(D1344&gt;=5,"H","A"),IF(E1344&gt;=2,IF(D1344&gt;=16,"H",IF(D1344&lt;=4,"L","A")),IF(D1344&lt;=15,"L","A"))),IF(OR(B1344="SE",B1344="CE"),IF(E1344&gt;=4,IF(D1344&gt;=6,"H","A"),IF(E1344&gt;=2,IF(D1344&gt;=20,"H",IF(D1344&lt;=5,"L","A")),IF(D1344&lt;=19,"L","A"))),IF(OR(B1344="ALI",B1344="AIE"),IF(E1344&gt;=6,IF(D1344&gt;=20,"H","A"),IF(E1344&gt;=2,IF(D1344&gt;=51,"H",IF(D1344&lt;=19,"L","A")),IF(D1344&lt;=50,"L","A"))),""))))</f>
        <v>L</v>
      </c>
      <c r="J1344" s="4" t="str">
        <f>CONCATENATE(B1344,C1344)</f>
        <v>CEI</v>
      </c>
      <c r="K1344" s="106">
        <f>IF(OR(H1344="",H1344=0),L1344,H1344)</f>
        <v>3</v>
      </c>
      <c r="L1344" s="106">
        <f>IF(NOT(ISERROR(VLOOKUP(B1344,Deflatores!G$42:H$64,2,FALSE))),VLOOKUP(B1344,Deflatores!G$42:H$64,2,FALSE),IF(OR(ISBLANK(C1344),ISBLANK(B1344)),"",VLOOKUP(C1344,Deflatores!G$4:H$38,2,FALSE)*H1344+VLOOKUP(C1344,Deflatores!G$4:I$38,3,FALSE)))</f>
        <v>3</v>
      </c>
      <c r="M1344" s="6"/>
      <c r="N1344" s="6"/>
      <c r="O1344" s="144"/>
    </row>
    <row r="1345" spans="1:15" x14ac:dyDescent="0.25">
      <c r="A1345" s="145" t="s">
        <v>1138</v>
      </c>
      <c r="B1345" s="113" t="s">
        <v>48</v>
      </c>
      <c r="C1345" s="113" t="s">
        <v>45</v>
      </c>
      <c r="D1345" s="4">
        <v>14</v>
      </c>
      <c r="E1345" s="4">
        <v>5</v>
      </c>
      <c r="F1345" s="105" t="str">
        <f t="shared" si="317"/>
        <v>Alta</v>
      </c>
      <c r="G1345" s="4" t="str">
        <f t="shared" si="318"/>
        <v>EEH</v>
      </c>
      <c r="H1345" s="4">
        <f t="shared" si="319"/>
        <v>6</v>
      </c>
      <c r="I1345" s="105" t="str">
        <f t="shared" si="320"/>
        <v>H</v>
      </c>
      <c r="J1345" s="4" t="str">
        <f t="shared" si="321"/>
        <v>EEI</v>
      </c>
      <c r="K1345" s="106">
        <f t="shared" si="310"/>
        <v>6</v>
      </c>
      <c r="L1345" s="106">
        <f>IF(NOT(ISERROR(VLOOKUP(B1345,Deflatores!G$42:H$64,2,FALSE))),VLOOKUP(B1345,Deflatores!G$42:H$64,2,FALSE),IF(OR(ISBLANK(C1345),ISBLANK(B1345)),"",VLOOKUP(C1345,Deflatores!G$4:H$38,2,FALSE)*H1345+VLOOKUP(C1345,Deflatores!G$4:I$38,3,FALSE)))</f>
        <v>6</v>
      </c>
      <c r="M1345" s="6"/>
      <c r="N1345" s="6"/>
      <c r="O1345" s="144"/>
    </row>
    <row r="1346" spans="1:15" x14ac:dyDescent="0.25">
      <c r="A1346" s="145" t="s">
        <v>1139</v>
      </c>
      <c r="B1346" s="113" t="s">
        <v>48</v>
      </c>
      <c r="C1346" s="113" t="s">
        <v>45</v>
      </c>
      <c r="D1346" s="4">
        <v>14</v>
      </c>
      <c r="E1346" s="4">
        <v>5</v>
      </c>
      <c r="F1346" s="105" t="str">
        <f t="shared" si="317"/>
        <v>Alta</v>
      </c>
      <c r="G1346" s="4" t="str">
        <f t="shared" si="318"/>
        <v>EEH</v>
      </c>
      <c r="H1346" s="4">
        <f t="shared" si="319"/>
        <v>6</v>
      </c>
      <c r="I1346" s="105" t="str">
        <f t="shared" si="320"/>
        <v>H</v>
      </c>
      <c r="J1346" s="4" t="str">
        <f t="shared" si="321"/>
        <v>EEI</v>
      </c>
      <c r="K1346" s="106">
        <f t="shared" si="310"/>
        <v>6</v>
      </c>
      <c r="L1346" s="106">
        <f>IF(NOT(ISERROR(VLOOKUP(B1346,Deflatores!G$42:H$64,2,FALSE))),VLOOKUP(B1346,Deflatores!G$42:H$64,2,FALSE),IF(OR(ISBLANK(C1346),ISBLANK(B1346)),"",VLOOKUP(C1346,Deflatores!G$4:H$38,2,FALSE)*H1346+VLOOKUP(C1346,Deflatores!G$4:I$38,3,FALSE)))</f>
        <v>6</v>
      </c>
      <c r="M1346" s="6"/>
      <c r="N1346" s="6"/>
      <c r="O1346" s="144"/>
    </row>
    <row r="1347" spans="1:15" x14ac:dyDescent="0.25">
      <c r="A1347" s="146" t="s">
        <v>1140</v>
      </c>
      <c r="B1347" s="113" t="s">
        <v>50</v>
      </c>
      <c r="C1347" s="113" t="s">
        <v>45</v>
      </c>
      <c r="D1347" s="4">
        <v>27</v>
      </c>
      <c r="E1347" s="4">
        <v>5</v>
      </c>
      <c r="F1347" s="105" t="str">
        <f t="shared" si="317"/>
        <v>Alta</v>
      </c>
      <c r="G1347" s="4" t="str">
        <f t="shared" si="318"/>
        <v>CEH</v>
      </c>
      <c r="H1347" s="4">
        <f t="shared" si="319"/>
        <v>6</v>
      </c>
      <c r="I1347" s="105" t="str">
        <f t="shared" si="320"/>
        <v>H</v>
      </c>
      <c r="J1347" s="4" t="str">
        <f t="shared" si="321"/>
        <v>CEI</v>
      </c>
      <c r="K1347" s="106">
        <f t="shared" si="310"/>
        <v>6</v>
      </c>
      <c r="L1347" s="106">
        <f>IF(NOT(ISERROR(VLOOKUP(B1347,Deflatores!G$42:H$64,2,FALSE))),VLOOKUP(B1347,Deflatores!G$42:H$64,2,FALSE),IF(OR(ISBLANK(C1347),ISBLANK(B1347)),"",VLOOKUP(C1347,Deflatores!G$4:H$38,2,FALSE)*H1347+VLOOKUP(C1347,Deflatores!G$4:I$38,3,FALSE)))</f>
        <v>6</v>
      </c>
      <c r="M1347" s="6"/>
      <c r="N1347" s="6"/>
      <c r="O1347" s="144"/>
    </row>
    <row r="1348" spans="1:15" x14ac:dyDescent="0.25">
      <c r="A1348" s="145" t="s">
        <v>1141</v>
      </c>
      <c r="B1348" s="113" t="s">
        <v>50</v>
      </c>
      <c r="C1348" s="113" t="s">
        <v>45</v>
      </c>
      <c r="D1348" s="4">
        <v>27</v>
      </c>
      <c r="E1348" s="4">
        <v>5</v>
      </c>
      <c r="F1348" s="105" t="str">
        <f t="shared" si="317"/>
        <v>Alta</v>
      </c>
      <c r="G1348" s="4" t="str">
        <f t="shared" si="318"/>
        <v>CEH</v>
      </c>
      <c r="H1348" s="4">
        <f t="shared" si="319"/>
        <v>6</v>
      </c>
      <c r="I1348" s="105" t="str">
        <f t="shared" si="320"/>
        <v>H</v>
      </c>
      <c r="J1348" s="4" t="str">
        <f t="shared" si="321"/>
        <v>CEI</v>
      </c>
      <c r="K1348" s="106">
        <f t="shared" si="310"/>
        <v>6</v>
      </c>
      <c r="L1348" s="106">
        <f>IF(NOT(ISERROR(VLOOKUP(B1348,Deflatores!G$42:H$64,2,FALSE))),VLOOKUP(B1348,Deflatores!G$42:H$64,2,FALSE),IF(OR(ISBLANK(C1348),ISBLANK(B1348)),"",VLOOKUP(C1348,Deflatores!G$4:H$38,2,FALSE)*H1348+VLOOKUP(C1348,Deflatores!G$4:I$38,3,FALSE)))</f>
        <v>6</v>
      </c>
      <c r="M1348" s="6"/>
      <c r="N1348" s="6"/>
      <c r="O1348" s="144"/>
    </row>
    <row r="1349" spans="1:15" x14ac:dyDescent="0.25">
      <c r="A1349" s="145" t="s">
        <v>1142</v>
      </c>
      <c r="B1349" s="113" t="s">
        <v>48</v>
      </c>
      <c r="C1349" s="113" t="s">
        <v>45</v>
      </c>
      <c r="D1349" s="4">
        <v>3</v>
      </c>
      <c r="E1349" s="4">
        <v>1</v>
      </c>
      <c r="F1349" s="105" t="str">
        <f t="shared" si="317"/>
        <v>Baixa</v>
      </c>
      <c r="G1349" s="4" t="str">
        <f t="shared" si="318"/>
        <v>EEL</v>
      </c>
      <c r="H1349" s="4">
        <f t="shared" si="319"/>
        <v>3</v>
      </c>
      <c r="I1349" s="105" t="str">
        <f t="shared" si="320"/>
        <v>L</v>
      </c>
      <c r="J1349" s="4" t="str">
        <f t="shared" si="321"/>
        <v>EEI</v>
      </c>
      <c r="K1349" s="106">
        <f t="shared" si="310"/>
        <v>3</v>
      </c>
      <c r="L1349" s="106">
        <f>IF(NOT(ISERROR(VLOOKUP(B1349,Deflatores!G$42:H$64,2,FALSE))),VLOOKUP(B1349,Deflatores!G$42:H$64,2,FALSE),IF(OR(ISBLANK(C1349),ISBLANK(B1349)),"",VLOOKUP(C1349,Deflatores!G$4:H$38,2,FALSE)*H1349+VLOOKUP(C1349,Deflatores!G$4:I$38,3,FALSE)))</f>
        <v>3</v>
      </c>
      <c r="M1349" s="6"/>
      <c r="N1349" s="6"/>
      <c r="O1349" s="144"/>
    </row>
    <row r="1350" spans="1:15" x14ac:dyDescent="0.25">
      <c r="A1350" s="145" t="s">
        <v>1143</v>
      </c>
      <c r="B1350" s="113" t="s">
        <v>48</v>
      </c>
      <c r="C1350" s="113" t="s">
        <v>45</v>
      </c>
      <c r="D1350" s="4">
        <v>9</v>
      </c>
      <c r="E1350" s="4">
        <v>2</v>
      </c>
      <c r="F1350" s="105" t="str">
        <f t="shared" si="317"/>
        <v>Média</v>
      </c>
      <c r="G1350" s="4" t="str">
        <f t="shared" si="318"/>
        <v>EEA</v>
      </c>
      <c r="H1350" s="4">
        <f t="shared" si="319"/>
        <v>4</v>
      </c>
      <c r="I1350" s="105" t="str">
        <f t="shared" si="320"/>
        <v>A</v>
      </c>
      <c r="J1350" s="4" t="str">
        <f t="shared" si="321"/>
        <v>EEI</v>
      </c>
      <c r="K1350" s="106">
        <f t="shared" si="310"/>
        <v>4</v>
      </c>
      <c r="L1350" s="106">
        <f>IF(NOT(ISERROR(VLOOKUP(B1350,Deflatores!G$42:H$64,2,FALSE))),VLOOKUP(B1350,Deflatores!G$42:H$64,2,FALSE),IF(OR(ISBLANK(C1350),ISBLANK(B1350)),"",VLOOKUP(C1350,Deflatores!G$4:H$38,2,FALSE)*H1350+VLOOKUP(C1350,Deflatores!G$4:I$38,3,FALSE)))</f>
        <v>4</v>
      </c>
      <c r="M1350" s="6"/>
      <c r="N1350" s="6"/>
      <c r="O1350" s="144"/>
    </row>
    <row r="1351" spans="1:15" x14ac:dyDescent="0.25">
      <c r="A1351" s="145" t="s">
        <v>1144</v>
      </c>
      <c r="B1351" s="113" t="s">
        <v>48</v>
      </c>
      <c r="C1351" s="113" t="s">
        <v>45</v>
      </c>
      <c r="D1351" s="4">
        <v>3</v>
      </c>
      <c r="E1351" s="4">
        <v>1</v>
      </c>
      <c r="F1351" s="105" t="str">
        <f t="shared" si="317"/>
        <v>Baixa</v>
      </c>
      <c r="G1351" s="4" t="str">
        <f t="shared" si="318"/>
        <v>EEL</v>
      </c>
      <c r="H1351" s="4">
        <f t="shared" si="319"/>
        <v>3</v>
      </c>
      <c r="I1351" s="105" t="str">
        <f t="shared" si="320"/>
        <v>L</v>
      </c>
      <c r="J1351" s="4" t="str">
        <f t="shared" si="321"/>
        <v>EEI</v>
      </c>
      <c r="K1351" s="106">
        <f t="shared" si="310"/>
        <v>3</v>
      </c>
      <c r="L1351" s="106">
        <f>IF(NOT(ISERROR(VLOOKUP(B1351,Deflatores!G$42:H$64,2,FALSE))),VLOOKUP(B1351,Deflatores!G$42:H$64,2,FALSE),IF(OR(ISBLANK(C1351),ISBLANK(B1351)),"",VLOOKUP(C1351,Deflatores!G$4:H$38,2,FALSE)*H1351+VLOOKUP(C1351,Deflatores!G$4:I$38,3,FALSE)))</f>
        <v>3</v>
      </c>
      <c r="M1351" s="6"/>
      <c r="N1351" s="6"/>
      <c r="O1351" s="144"/>
    </row>
    <row r="1352" spans="1:15" x14ac:dyDescent="0.25">
      <c r="A1352" s="145" t="s">
        <v>1145</v>
      </c>
      <c r="B1352" s="113" t="s">
        <v>48</v>
      </c>
      <c r="C1352" s="113" t="s">
        <v>45</v>
      </c>
      <c r="D1352" s="4">
        <v>10</v>
      </c>
      <c r="E1352" s="4">
        <v>4</v>
      </c>
      <c r="F1352" s="105" t="str">
        <f t="shared" si="317"/>
        <v>Alta</v>
      </c>
      <c r="G1352" s="4" t="str">
        <f t="shared" si="318"/>
        <v>EEH</v>
      </c>
      <c r="H1352" s="4">
        <f t="shared" si="319"/>
        <v>6</v>
      </c>
      <c r="I1352" s="105" t="str">
        <f t="shared" si="320"/>
        <v>H</v>
      </c>
      <c r="J1352" s="4" t="str">
        <f t="shared" si="321"/>
        <v>EEI</v>
      </c>
      <c r="K1352" s="106">
        <f t="shared" si="310"/>
        <v>6</v>
      </c>
      <c r="L1352" s="106">
        <f>IF(NOT(ISERROR(VLOOKUP(B1352,Deflatores!G$42:H$64,2,FALSE))),VLOOKUP(B1352,Deflatores!G$42:H$64,2,FALSE),IF(OR(ISBLANK(C1352),ISBLANK(B1352)),"",VLOOKUP(C1352,Deflatores!G$4:H$38,2,FALSE)*H1352+VLOOKUP(C1352,Deflatores!G$4:I$38,3,FALSE)))</f>
        <v>6</v>
      </c>
      <c r="M1352" s="6"/>
      <c r="N1352" s="6"/>
      <c r="O1352" s="144"/>
    </row>
    <row r="1353" spans="1:15" x14ac:dyDescent="0.25">
      <c r="A1353" s="145"/>
      <c r="B1353" s="113"/>
      <c r="C1353" s="113"/>
      <c r="D1353" s="4"/>
      <c r="E1353" s="4"/>
      <c r="F1353" s="105" t="str">
        <f t="shared" si="317"/>
        <v/>
      </c>
      <c r="G1353" s="4" t="str">
        <f t="shared" si="318"/>
        <v/>
      </c>
      <c r="H1353" s="4" t="str">
        <f t="shared" si="319"/>
        <v/>
      </c>
      <c r="I1353" s="105" t="str">
        <f t="shared" si="320"/>
        <v/>
      </c>
      <c r="J1353" s="4" t="str">
        <f t="shared" si="321"/>
        <v/>
      </c>
      <c r="K1353" s="106" t="str">
        <f t="shared" si="310"/>
        <v/>
      </c>
      <c r="L1353" s="106" t="str">
        <f>IF(NOT(ISERROR(VLOOKUP(B1353,Deflatores!G$42:H$64,2,FALSE))),VLOOKUP(B1353,Deflatores!G$42:H$64,2,FALSE),IF(OR(ISBLANK(C1353),ISBLANK(B1353)),"",VLOOKUP(C1353,Deflatores!G$4:H$38,2,FALSE)*H1353+VLOOKUP(C1353,Deflatores!G$4:I$38,3,FALSE)))</f>
        <v/>
      </c>
      <c r="M1353" s="6"/>
      <c r="N1353" s="6"/>
      <c r="O1353" s="144"/>
    </row>
    <row r="1354" spans="1:15" x14ac:dyDescent="0.25">
      <c r="A1354" s="143" t="s">
        <v>1146</v>
      </c>
      <c r="B1354" s="113"/>
      <c r="C1354" s="113"/>
      <c r="D1354" s="4"/>
      <c r="E1354" s="4"/>
      <c r="F1354" s="105" t="str">
        <f>IF(ISBLANK(B1354),"",IF(I1354="L","Baixa",IF(I1354="A","Média",IF(I1354="","","Alta"))))</f>
        <v/>
      </c>
      <c r="G1354" s="4" t="str">
        <f>CONCATENATE(B1354,I1354)</f>
        <v/>
      </c>
      <c r="H1354" s="4" t="str">
        <f>IF(ISBLANK(B1354),"",IF(B1354="ALI",IF(I1354="L",7,IF(I1354="A",10,15)),IF(B1354="AIE",IF(I1354="L",5,IF(I1354="A",7,10)),IF(B1354="SE",IF(I1354="L",4,IF(I1354="A",5,7)),IF(OR(B1354="EE",B1354="CE"),IF(I1354="L",3,IF(I1354="A",4,6)),0)))))</f>
        <v/>
      </c>
      <c r="I1354" s="105" t="str">
        <f>IF(OR(ISBLANK(D1354),ISBLANK(E1354)),IF(OR(B1354="ALI",B1354="AIE"),"L",IF(OR(B1354="EE",B1354="SE",B1354="CE"),"A","")),IF(B1354="EE",IF(E1354&gt;=3,IF(D1354&gt;=5,"H","A"),IF(E1354&gt;=2,IF(D1354&gt;=16,"H",IF(D1354&lt;=4,"L","A")),IF(D1354&lt;=15,"L","A"))),IF(OR(B1354="SE",B1354="CE"),IF(E1354&gt;=4,IF(D1354&gt;=6,"H","A"),IF(E1354&gt;=2,IF(D1354&gt;=20,"H",IF(D1354&lt;=5,"L","A")),IF(D1354&lt;=19,"L","A"))),IF(OR(B1354="ALI",B1354="AIE"),IF(E1354&gt;=6,IF(D1354&gt;=20,"H","A"),IF(E1354&gt;=2,IF(D1354&gt;=51,"H",IF(D1354&lt;=19,"L","A")),IF(D1354&lt;=50,"L","A"))),""))))</f>
        <v/>
      </c>
      <c r="J1354" s="4" t="str">
        <f>CONCATENATE(B1354,C1354)</f>
        <v/>
      </c>
      <c r="K1354" s="106" t="str">
        <f>IF(OR(H1354="",H1354=0),L1354,H1354)</f>
        <v/>
      </c>
      <c r="L1354" s="106" t="str">
        <f>IF(NOT(ISERROR(VLOOKUP(B1354,Deflatores!G$42:H$64,2,FALSE))),VLOOKUP(B1354,Deflatores!G$42:H$64,2,FALSE),IF(OR(ISBLANK(C1354),ISBLANK(B1354)),"",VLOOKUP(C1354,Deflatores!G$4:H$38,2,FALSE)*H1354+VLOOKUP(C1354,Deflatores!G$4:I$38,3,FALSE)))</f>
        <v/>
      </c>
      <c r="M1354" s="6"/>
      <c r="N1354" s="6"/>
      <c r="O1354" s="144"/>
    </row>
    <row r="1355" spans="1:15" x14ac:dyDescent="0.25">
      <c r="A1355" s="145" t="s">
        <v>1147</v>
      </c>
      <c r="B1355" s="113" t="s">
        <v>113</v>
      </c>
      <c r="C1355" s="113" t="s">
        <v>45</v>
      </c>
      <c r="D1355" s="4">
        <v>20</v>
      </c>
      <c r="E1355" s="4">
        <v>5</v>
      </c>
      <c r="F1355" s="105" t="str">
        <f t="shared" si="317"/>
        <v>Alta</v>
      </c>
      <c r="G1355" s="4" t="str">
        <f t="shared" si="318"/>
        <v>SEH</v>
      </c>
      <c r="H1355" s="4">
        <f t="shared" si="319"/>
        <v>7</v>
      </c>
      <c r="I1355" s="105" t="str">
        <f t="shared" si="320"/>
        <v>H</v>
      </c>
      <c r="J1355" s="4" t="str">
        <f t="shared" si="321"/>
        <v>SEI</v>
      </c>
      <c r="K1355" s="106">
        <f t="shared" si="310"/>
        <v>7</v>
      </c>
      <c r="L1355" s="106">
        <f>IF(NOT(ISERROR(VLOOKUP(B1355,Deflatores!G$42:H$64,2,FALSE))),VLOOKUP(B1355,Deflatores!G$42:H$64,2,FALSE),IF(OR(ISBLANK(C1355),ISBLANK(B1355)),"",VLOOKUP(C1355,Deflatores!G$4:H$38,2,FALSE)*H1355+VLOOKUP(C1355,Deflatores!G$4:I$38,3,FALSE)))</f>
        <v>7</v>
      </c>
      <c r="M1355" s="6"/>
      <c r="N1355" s="6"/>
      <c r="O1355" s="144"/>
    </row>
    <row r="1356" spans="1:15" x14ac:dyDescent="0.25">
      <c r="A1356" s="145"/>
      <c r="B1356" s="113"/>
      <c r="C1356" s="113"/>
      <c r="D1356" s="4"/>
      <c r="E1356" s="4"/>
      <c r="F1356" s="105" t="str">
        <f t="shared" si="317"/>
        <v/>
      </c>
      <c r="G1356" s="4" t="str">
        <f t="shared" si="318"/>
        <v/>
      </c>
      <c r="H1356" s="4" t="str">
        <f t="shared" si="319"/>
        <v/>
      </c>
      <c r="I1356" s="105" t="str">
        <f t="shared" si="320"/>
        <v/>
      </c>
      <c r="J1356" s="4" t="str">
        <f t="shared" si="321"/>
        <v/>
      </c>
      <c r="K1356" s="106" t="str">
        <f t="shared" si="310"/>
        <v/>
      </c>
      <c r="L1356" s="106" t="str">
        <f>IF(NOT(ISERROR(VLOOKUP(B1356,Deflatores!G$42:H$64,2,FALSE))),VLOOKUP(B1356,Deflatores!G$42:H$64,2,FALSE),IF(OR(ISBLANK(C1356),ISBLANK(B1356)),"",VLOOKUP(C1356,Deflatores!G$4:H$38,2,FALSE)*H1356+VLOOKUP(C1356,Deflatores!G$4:I$38,3,FALSE)))</f>
        <v/>
      </c>
      <c r="M1356" s="6"/>
      <c r="N1356" s="6"/>
      <c r="O1356" s="144"/>
    </row>
    <row r="1357" spans="1:15" ht="33" x14ac:dyDescent="0.25">
      <c r="A1357" s="143" t="s">
        <v>1148</v>
      </c>
      <c r="B1357" s="113"/>
      <c r="C1357" s="113"/>
      <c r="D1357" s="4"/>
      <c r="E1357" s="4"/>
      <c r="F1357" s="105" t="str">
        <f t="shared" si="317"/>
        <v/>
      </c>
      <c r="G1357" s="4" t="str">
        <f t="shared" si="318"/>
        <v/>
      </c>
      <c r="H1357" s="4" t="str">
        <f t="shared" si="319"/>
        <v/>
      </c>
      <c r="I1357" s="105" t="str">
        <f t="shared" si="320"/>
        <v/>
      </c>
      <c r="J1357" s="4" t="str">
        <f t="shared" si="321"/>
        <v/>
      </c>
      <c r="K1357" s="106" t="str">
        <f t="shared" si="310"/>
        <v/>
      </c>
      <c r="L1357" s="106" t="str">
        <f>IF(NOT(ISERROR(VLOOKUP(B1357,Deflatores!G$42:H$64,2,FALSE))),VLOOKUP(B1357,Deflatores!G$42:H$64,2,FALSE),IF(OR(ISBLANK(C1357),ISBLANK(B1357)),"",VLOOKUP(C1357,Deflatores!G$4:H$38,2,FALSE)*H1357+VLOOKUP(C1357,Deflatores!G$4:I$38,3,FALSE)))</f>
        <v/>
      </c>
      <c r="M1357" s="6"/>
      <c r="N1357" s="6"/>
      <c r="O1357" s="144" t="s">
        <v>1149</v>
      </c>
    </row>
    <row r="1358" spans="1:15" x14ac:dyDescent="0.25">
      <c r="A1358" s="145" t="s">
        <v>1150</v>
      </c>
      <c r="B1358" s="113" t="s">
        <v>44</v>
      </c>
      <c r="C1358" s="113" t="s">
        <v>45</v>
      </c>
      <c r="D1358" s="4">
        <v>8</v>
      </c>
      <c r="E1358" s="4">
        <v>1</v>
      </c>
      <c r="F1358" s="105" t="str">
        <f t="shared" si="317"/>
        <v>Baixa</v>
      </c>
      <c r="G1358" s="4" t="str">
        <f t="shared" si="318"/>
        <v>ALIL</v>
      </c>
      <c r="H1358" s="4">
        <f t="shared" si="319"/>
        <v>7</v>
      </c>
      <c r="I1358" s="105" t="str">
        <f t="shared" si="320"/>
        <v>L</v>
      </c>
      <c r="J1358" s="4" t="str">
        <f t="shared" si="321"/>
        <v>ALII</v>
      </c>
      <c r="K1358" s="106">
        <f t="shared" si="310"/>
        <v>7</v>
      </c>
      <c r="L1358" s="106">
        <f>IF(NOT(ISERROR(VLOOKUP(B1358,Deflatores!G$42:H$64,2,FALSE))),VLOOKUP(B1358,Deflatores!G$42:H$64,2,FALSE),IF(OR(ISBLANK(C1358),ISBLANK(B1358)),"",VLOOKUP(C1358,Deflatores!G$4:H$38,2,FALSE)*H1358+VLOOKUP(C1358,Deflatores!G$4:I$38,3,FALSE)))</f>
        <v>7</v>
      </c>
      <c r="M1358" s="6"/>
      <c r="N1358" s="6"/>
      <c r="O1358" s="150"/>
    </row>
    <row r="1359" spans="1:15" x14ac:dyDescent="0.25">
      <c r="A1359" s="145" t="s">
        <v>1151</v>
      </c>
      <c r="B1359" s="113" t="s">
        <v>50</v>
      </c>
      <c r="C1359" s="113" t="s">
        <v>45</v>
      </c>
      <c r="D1359" s="4">
        <v>10</v>
      </c>
      <c r="E1359" s="4">
        <v>1</v>
      </c>
      <c r="F1359" s="105" t="str">
        <f t="shared" si="317"/>
        <v>Baixa</v>
      </c>
      <c r="G1359" s="4" t="str">
        <f t="shared" si="318"/>
        <v>CEL</v>
      </c>
      <c r="H1359" s="4">
        <f t="shared" si="319"/>
        <v>3</v>
      </c>
      <c r="I1359" s="105" t="str">
        <f t="shared" si="320"/>
        <v>L</v>
      </c>
      <c r="J1359" s="4" t="str">
        <f t="shared" si="321"/>
        <v>CEI</v>
      </c>
      <c r="K1359" s="106">
        <f t="shared" ref="K1359:K1371" si="322">IF(OR(H1359="",H1359=0),L1359,H1359)</f>
        <v>3</v>
      </c>
      <c r="L1359" s="106">
        <f>IF(NOT(ISERROR(VLOOKUP(B1359,Deflatores!G$42:H$64,2,FALSE))),VLOOKUP(B1359,Deflatores!G$42:H$64,2,FALSE),IF(OR(ISBLANK(C1359),ISBLANK(B1359)),"",VLOOKUP(C1359,Deflatores!G$4:H$38,2,FALSE)*H1359+VLOOKUP(C1359,Deflatores!G$4:I$38,3,FALSE)))</f>
        <v>3</v>
      </c>
      <c r="M1359" s="6"/>
      <c r="N1359" s="6"/>
      <c r="O1359" s="144"/>
    </row>
    <row r="1360" spans="1:15" x14ac:dyDescent="0.25">
      <c r="A1360" s="145" t="s">
        <v>1152</v>
      </c>
      <c r="B1360" s="113" t="s">
        <v>50</v>
      </c>
      <c r="C1360" s="113" t="s">
        <v>45</v>
      </c>
      <c r="D1360" s="4">
        <v>8</v>
      </c>
      <c r="E1360" s="4">
        <v>1</v>
      </c>
      <c r="F1360" s="105" t="str">
        <f t="shared" si="317"/>
        <v>Baixa</v>
      </c>
      <c r="G1360" s="4" t="str">
        <f t="shared" si="318"/>
        <v>CEL</v>
      </c>
      <c r="H1360" s="4">
        <f t="shared" si="319"/>
        <v>3</v>
      </c>
      <c r="I1360" s="105" t="str">
        <f t="shared" si="320"/>
        <v>L</v>
      </c>
      <c r="J1360" s="4" t="str">
        <f t="shared" si="321"/>
        <v>CEI</v>
      </c>
      <c r="K1360" s="106">
        <f t="shared" si="322"/>
        <v>3</v>
      </c>
      <c r="L1360" s="106">
        <f>IF(NOT(ISERROR(VLOOKUP(B1360,Deflatores!G$42:H$64,2,FALSE))),VLOOKUP(B1360,Deflatores!G$42:H$64,2,FALSE),IF(OR(ISBLANK(C1360),ISBLANK(B1360)),"",VLOOKUP(C1360,Deflatores!G$4:H$38,2,FALSE)*H1360+VLOOKUP(C1360,Deflatores!G$4:I$38,3,FALSE)))</f>
        <v>3</v>
      </c>
      <c r="M1360" s="6"/>
      <c r="N1360" s="6"/>
      <c r="O1360" s="144"/>
    </row>
    <row r="1361" spans="1:15" x14ac:dyDescent="0.25">
      <c r="A1361" s="145" t="s">
        <v>1153</v>
      </c>
      <c r="B1361" s="113" t="s">
        <v>48</v>
      </c>
      <c r="C1361" s="113" t="s">
        <v>45</v>
      </c>
      <c r="D1361" s="4">
        <v>14</v>
      </c>
      <c r="E1361" s="4">
        <v>3</v>
      </c>
      <c r="F1361" s="105" t="str">
        <f t="shared" si="317"/>
        <v>Alta</v>
      </c>
      <c r="G1361" s="4" t="str">
        <f t="shared" si="318"/>
        <v>EEH</v>
      </c>
      <c r="H1361" s="4">
        <f t="shared" si="319"/>
        <v>6</v>
      </c>
      <c r="I1361" s="105" t="str">
        <f t="shared" si="320"/>
        <v>H</v>
      </c>
      <c r="J1361" s="4" t="str">
        <f t="shared" si="321"/>
        <v>EEI</v>
      </c>
      <c r="K1361" s="106">
        <f t="shared" si="322"/>
        <v>6</v>
      </c>
      <c r="L1361" s="106">
        <f>IF(NOT(ISERROR(VLOOKUP(B1361,Deflatores!G$42:H$64,2,FALSE))),VLOOKUP(B1361,Deflatores!G$42:H$64,2,FALSE),IF(OR(ISBLANK(C1361),ISBLANK(B1361)),"",VLOOKUP(C1361,Deflatores!G$4:H$38,2,FALSE)*H1361+VLOOKUP(C1361,Deflatores!G$4:I$38,3,FALSE)))</f>
        <v>6</v>
      </c>
      <c r="M1361" s="6"/>
      <c r="N1361" s="6"/>
      <c r="O1361" s="144"/>
    </row>
    <row r="1362" spans="1:15" x14ac:dyDescent="0.25">
      <c r="A1362" s="145"/>
      <c r="B1362" s="113"/>
      <c r="C1362" s="113"/>
      <c r="D1362" s="4"/>
      <c r="E1362" s="4"/>
      <c r="F1362" s="105" t="str">
        <f t="shared" si="317"/>
        <v/>
      </c>
      <c r="G1362" s="4" t="str">
        <f t="shared" si="318"/>
        <v/>
      </c>
      <c r="H1362" s="4" t="str">
        <f t="shared" si="319"/>
        <v/>
      </c>
      <c r="I1362" s="105" t="str">
        <f t="shared" si="320"/>
        <v/>
      </c>
      <c r="J1362" s="4" t="str">
        <f t="shared" si="321"/>
        <v/>
      </c>
      <c r="K1362" s="106" t="str">
        <f t="shared" si="322"/>
        <v/>
      </c>
      <c r="L1362" s="106" t="str">
        <f>IF(NOT(ISERROR(VLOOKUP(B1362,Deflatores!G$42:H$64,2,FALSE))),VLOOKUP(B1362,Deflatores!G$42:H$64,2,FALSE),IF(OR(ISBLANK(C1362),ISBLANK(B1362)),"",VLOOKUP(C1362,Deflatores!G$4:H$38,2,FALSE)*H1362+VLOOKUP(C1362,Deflatores!G$4:I$38,3,FALSE)))</f>
        <v/>
      </c>
      <c r="M1362" s="6"/>
      <c r="N1362" s="6"/>
      <c r="O1362" s="144"/>
    </row>
    <row r="1363" spans="1:15" x14ac:dyDescent="0.25">
      <c r="A1363" s="143" t="s">
        <v>1154</v>
      </c>
      <c r="B1363" s="113"/>
      <c r="C1363" s="113"/>
      <c r="D1363" s="4"/>
      <c r="E1363" s="4"/>
      <c r="F1363" s="105" t="str">
        <f t="shared" si="317"/>
        <v/>
      </c>
      <c r="G1363" s="4" t="str">
        <f t="shared" si="318"/>
        <v/>
      </c>
      <c r="H1363" s="4" t="str">
        <f t="shared" si="319"/>
        <v/>
      </c>
      <c r="I1363" s="105" t="str">
        <f t="shared" si="320"/>
        <v/>
      </c>
      <c r="J1363" s="4" t="str">
        <f t="shared" si="321"/>
        <v/>
      </c>
      <c r="K1363" s="106" t="str">
        <f t="shared" si="322"/>
        <v/>
      </c>
      <c r="L1363" s="106" t="str">
        <f>IF(NOT(ISERROR(VLOOKUP(B1363,Deflatores!G$42:H$64,2,FALSE))),VLOOKUP(B1363,Deflatores!G$42:H$64,2,FALSE),IF(OR(ISBLANK(C1363),ISBLANK(B1363)),"",VLOOKUP(C1363,Deflatores!G$4:H$38,2,FALSE)*H1363+VLOOKUP(C1363,Deflatores!G$4:I$38,3,FALSE)))</f>
        <v/>
      </c>
      <c r="M1363" s="6"/>
      <c r="N1363" s="6"/>
      <c r="O1363" s="144"/>
    </row>
    <row r="1364" spans="1:15" x14ac:dyDescent="0.25">
      <c r="A1364" s="145" t="s">
        <v>1155</v>
      </c>
      <c r="B1364" s="113" t="s">
        <v>44</v>
      </c>
      <c r="C1364" s="113" t="s">
        <v>45</v>
      </c>
      <c r="D1364" s="4">
        <v>9</v>
      </c>
      <c r="E1364" s="4">
        <v>2</v>
      </c>
      <c r="F1364" s="105" t="str">
        <f t="shared" si="317"/>
        <v>Baixa</v>
      </c>
      <c r="G1364" s="4" t="str">
        <f t="shared" si="318"/>
        <v>ALIL</v>
      </c>
      <c r="H1364" s="4">
        <f t="shared" si="319"/>
        <v>7</v>
      </c>
      <c r="I1364" s="105" t="str">
        <f t="shared" si="320"/>
        <v>L</v>
      </c>
      <c r="J1364" s="4" t="str">
        <f t="shared" si="321"/>
        <v>ALII</v>
      </c>
      <c r="K1364" s="106">
        <f t="shared" si="322"/>
        <v>7</v>
      </c>
      <c r="L1364" s="106">
        <f>IF(NOT(ISERROR(VLOOKUP(B1364,Deflatores!G$42:H$64,2,FALSE))),VLOOKUP(B1364,Deflatores!G$42:H$64,2,FALSE),IF(OR(ISBLANK(C1364),ISBLANK(B1364)),"",VLOOKUP(C1364,Deflatores!G$4:H$38,2,FALSE)*H1364+VLOOKUP(C1364,Deflatores!G$4:I$38,3,FALSE)))</f>
        <v>7</v>
      </c>
      <c r="M1364" s="6"/>
      <c r="N1364" s="6"/>
      <c r="O1364" s="144"/>
    </row>
    <row r="1365" spans="1:15" x14ac:dyDescent="0.25">
      <c r="A1365" s="145" t="s">
        <v>1156</v>
      </c>
      <c r="B1365" s="113" t="s">
        <v>50</v>
      </c>
      <c r="C1365" s="113" t="s">
        <v>45</v>
      </c>
      <c r="D1365" s="4">
        <v>13</v>
      </c>
      <c r="E1365" s="4">
        <v>4</v>
      </c>
      <c r="F1365" s="105" t="str">
        <f t="shared" si="317"/>
        <v>Alta</v>
      </c>
      <c r="G1365" s="4" t="str">
        <f t="shared" si="318"/>
        <v>CEH</v>
      </c>
      <c r="H1365" s="4">
        <f t="shared" si="319"/>
        <v>6</v>
      </c>
      <c r="I1365" s="105" t="str">
        <f t="shared" si="320"/>
        <v>H</v>
      </c>
      <c r="J1365" s="4" t="str">
        <f t="shared" si="321"/>
        <v>CEI</v>
      </c>
      <c r="K1365" s="106">
        <f t="shared" si="322"/>
        <v>6</v>
      </c>
      <c r="L1365" s="106">
        <f>IF(NOT(ISERROR(VLOOKUP(B1365,Deflatores!G$42:H$64,2,FALSE))),VLOOKUP(B1365,Deflatores!G$42:H$64,2,FALSE),IF(OR(ISBLANK(C1365),ISBLANK(B1365)),"",VLOOKUP(C1365,Deflatores!G$4:H$38,2,FALSE)*H1365+VLOOKUP(C1365,Deflatores!G$4:I$38,3,FALSE)))</f>
        <v>6</v>
      </c>
      <c r="M1365" s="6"/>
      <c r="N1365" s="6"/>
      <c r="O1365" s="144"/>
    </row>
    <row r="1366" spans="1:15" x14ac:dyDescent="0.25">
      <c r="A1366" s="146" t="s">
        <v>1157</v>
      </c>
      <c r="B1366" s="113" t="s">
        <v>50</v>
      </c>
      <c r="C1366" s="113" t="s">
        <v>45</v>
      </c>
      <c r="D1366" s="4">
        <v>3</v>
      </c>
      <c r="E1366" s="4">
        <v>1</v>
      </c>
      <c r="F1366" s="105" t="str">
        <f>IF(ISBLANK(B1366),"",IF(I1366="L","Baixa",IF(I1366="A","Média",IF(I1366="","","Alta"))))</f>
        <v>Baixa</v>
      </c>
      <c r="G1366" s="4" t="str">
        <f>CONCATENATE(B1366,I1366)</f>
        <v>CEL</v>
      </c>
      <c r="H1366" s="4">
        <f>IF(ISBLANK(B1366),"",IF(B1366="ALI",IF(I1366="L",7,IF(I1366="A",10,15)),IF(B1366="AIE",IF(I1366="L",5,IF(I1366="A",7,10)),IF(B1366="SE",IF(I1366="L",4,IF(I1366="A",5,7)),IF(OR(B1366="EE",B1366="CE"),IF(I1366="L",3,IF(I1366="A",4,6)),0)))))</f>
        <v>3</v>
      </c>
      <c r="I1366" s="105" t="str">
        <f>IF(OR(ISBLANK(D1366),ISBLANK(E1366)),IF(OR(B1366="ALI",B1366="AIE"),"L",IF(OR(B1366="EE",B1366="SE",B1366="CE"),"A","")),IF(B1366="EE",IF(E1366&gt;=3,IF(D1366&gt;=5,"H","A"),IF(E1366&gt;=2,IF(D1366&gt;=16,"H",IF(D1366&lt;=4,"L","A")),IF(D1366&lt;=15,"L","A"))),IF(OR(B1366="SE",B1366="CE"),IF(E1366&gt;=4,IF(D1366&gt;=6,"H","A"),IF(E1366&gt;=2,IF(D1366&gt;=20,"H",IF(D1366&lt;=5,"L","A")),IF(D1366&lt;=19,"L","A"))),IF(OR(B1366="ALI",B1366="AIE"),IF(E1366&gt;=6,IF(D1366&gt;=20,"H","A"),IF(E1366&gt;=2,IF(D1366&gt;=51,"H",IF(D1366&lt;=19,"L","A")),IF(D1366&lt;=50,"L","A"))),""))))</f>
        <v>L</v>
      </c>
      <c r="J1366" s="4" t="str">
        <f>CONCATENATE(B1366,C1366)</f>
        <v>CEI</v>
      </c>
      <c r="K1366" s="106">
        <f>IF(OR(H1366="",H1366=0),L1366,H1366)</f>
        <v>3</v>
      </c>
      <c r="L1366" s="106">
        <f>IF(NOT(ISERROR(VLOOKUP(B1366,Deflatores!G$42:H$64,2,FALSE))),VLOOKUP(B1366,Deflatores!G$42:H$64,2,FALSE),IF(OR(ISBLANK(C1366),ISBLANK(B1366)),"",VLOOKUP(C1366,Deflatores!G$4:H$38,2,FALSE)*H1366+VLOOKUP(C1366,Deflatores!G$4:I$38,3,FALSE)))</f>
        <v>3</v>
      </c>
      <c r="M1366" s="6"/>
      <c r="N1366" s="6"/>
      <c r="O1366" s="144"/>
    </row>
    <row r="1367" spans="1:15" x14ac:dyDescent="0.25">
      <c r="A1367" s="145" t="s">
        <v>1158</v>
      </c>
      <c r="B1367" s="113" t="s">
        <v>48</v>
      </c>
      <c r="C1367" s="113" t="s">
        <v>72</v>
      </c>
      <c r="D1367" s="4">
        <v>11</v>
      </c>
      <c r="E1367" s="4">
        <v>3</v>
      </c>
      <c r="F1367" s="105" t="str">
        <f t="shared" si="317"/>
        <v>Alta</v>
      </c>
      <c r="G1367" s="4" t="str">
        <f t="shared" si="318"/>
        <v>EEH</v>
      </c>
      <c r="H1367" s="4">
        <f t="shared" si="319"/>
        <v>6</v>
      </c>
      <c r="I1367" s="105" t="str">
        <f t="shared" si="320"/>
        <v>H</v>
      </c>
      <c r="J1367" s="4" t="str">
        <f t="shared" si="321"/>
        <v>EEE</v>
      </c>
      <c r="K1367" s="106">
        <f t="shared" si="322"/>
        <v>6</v>
      </c>
      <c r="L1367" s="106">
        <f>IF(NOT(ISERROR(VLOOKUP(B1367,Deflatores!G$42:H$64,2,FALSE))),VLOOKUP(B1367,Deflatores!G$42:H$64,2,FALSE),IF(OR(ISBLANK(C1367),ISBLANK(B1367)),"",VLOOKUP(C1367,Deflatores!G$4:H$38,2,FALSE)*H1367+VLOOKUP(C1367,Deflatores!G$4:I$38,3,FALSE)))</f>
        <v>2.4000000000000004</v>
      </c>
      <c r="M1367" s="6"/>
      <c r="N1367" s="6"/>
      <c r="O1367" s="144"/>
    </row>
    <row r="1368" spans="1:15" x14ac:dyDescent="0.25">
      <c r="A1368" s="145" t="s">
        <v>1159</v>
      </c>
      <c r="B1368" s="113" t="s">
        <v>48</v>
      </c>
      <c r="C1368" s="113" t="s">
        <v>72</v>
      </c>
      <c r="D1368" s="4">
        <v>11</v>
      </c>
      <c r="E1368" s="4">
        <v>3</v>
      </c>
      <c r="F1368" s="105" t="str">
        <f t="shared" si="317"/>
        <v>Alta</v>
      </c>
      <c r="G1368" s="4" t="str">
        <f t="shared" si="318"/>
        <v>EEH</v>
      </c>
      <c r="H1368" s="4">
        <f t="shared" si="319"/>
        <v>6</v>
      </c>
      <c r="I1368" s="105" t="str">
        <f t="shared" si="320"/>
        <v>H</v>
      </c>
      <c r="J1368" s="4" t="str">
        <f t="shared" si="321"/>
        <v>EEE</v>
      </c>
      <c r="K1368" s="106">
        <f t="shared" si="322"/>
        <v>6</v>
      </c>
      <c r="L1368" s="106">
        <f>IF(NOT(ISERROR(VLOOKUP(B1368,Deflatores!G$42:H$64,2,FALSE))),VLOOKUP(B1368,Deflatores!G$42:H$64,2,FALSE),IF(OR(ISBLANK(C1368),ISBLANK(B1368)),"",VLOOKUP(C1368,Deflatores!G$4:H$38,2,FALSE)*H1368+VLOOKUP(C1368,Deflatores!G$4:I$38,3,FALSE)))</f>
        <v>2.4000000000000004</v>
      </c>
      <c r="M1368" s="6"/>
      <c r="N1368" s="6"/>
      <c r="O1368" s="144"/>
    </row>
    <row r="1369" spans="1:15" x14ac:dyDescent="0.25">
      <c r="A1369" s="146" t="s">
        <v>1160</v>
      </c>
      <c r="B1369" s="113" t="s">
        <v>50</v>
      </c>
      <c r="C1369" s="113" t="s">
        <v>72</v>
      </c>
      <c r="D1369" s="4">
        <v>9</v>
      </c>
      <c r="E1369" s="4">
        <v>3</v>
      </c>
      <c r="F1369" s="105" t="str">
        <f t="shared" si="317"/>
        <v>Média</v>
      </c>
      <c r="G1369" s="4" t="str">
        <f t="shared" si="318"/>
        <v>CEA</v>
      </c>
      <c r="H1369" s="4">
        <f t="shared" si="319"/>
        <v>4</v>
      </c>
      <c r="I1369" s="105" t="str">
        <f t="shared" si="320"/>
        <v>A</v>
      </c>
      <c r="J1369" s="4" t="str">
        <f t="shared" si="321"/>
        <v>CEE</v>
      </c>
      <c r="K1369" s="106">
        <f t="shared" si="322"/>
        <v>4</v>
      </c>
      <c r="L1369" s="106">
        <f>IF(NOT(ISERROR(VLOOKUP(B1369,Deflatores!G$42:H$64,2,FALSE))),VLOOKUP(B1369,Deflatores!G$42:H$64,2,FALSE),IF(OR(ISBLANK(C1369),ISBLANK(B1369)),"",VLOOKUP(C1369,Deflatores!G$4:H$38,2,FALSE)*H1369+VLOOKUP(C1369,Deflatores!G$4:I$38,3,FALSE)))</f>
        <v>1.6</v>
      </c>
      <c r="M1369" s="6"/>
      <c r="N1369" s="6"/>
      <c r="O1369" s="144"/>
    </row>
    <row r="1370" spans="1:15" x14ac:dyDescent="0.25">
      <c r="A1370" s="145" t="s">
        <v>1161</v>
      </c>
      <c r="B1370" s="113" t="s">
        <v>50</v>
      </c>
      <c r="C1370" s="113" t="s">
        <v>72</v>
      </c>
      <c r="D1370" s="4">
        <v>11</v>
      </c>
      <c r="E1370" s="4">
        <v>3</v>
      </c>
      <c r="F1370" s="105" t="str">
        <f t="shared" si="317"/>
        <v>Média</v>
      </c>
      <c r="G1370" s="4" t="str">
        <f t="shared" si="318"/>
        <v>CEA</v>
      </c>
      <c r="H1370" s="4">
        <f t="shared" si="319"/>
        <v>4</v>
      </c>
      <c r="I1370" s="105" t="str">
        <f t="shared" si="320"/>
        <v>A</v>
      </c>
      <c r="J1370" s="4" t="str">
        <f t="shared" si="321"/>
        <v>CEE</v>
      </c>
      <c r="K1370" s="106">
        <f t="shared" si="322"/>
        <v>4</v>
      </c>
      <c r="L1370" s="106">
        <f>IF(NOT(ISERROR(VLOOKUP(B1370,Deflatores!G$42:H$64,2,FALSE))),VLOOKUP(B1370,Deflatores!G$42:H$64,2,FALSE),IF(OR(ISBLANK(C1370),ISBLANK(B1370)),"",VLOOKUP(C1370,Deflatores!G$4:H$38,2,FALSE)*H1370+VLOOKUP(C1370,Deflatores!G$4:I$38,3,FALSE)))</f>
        <v>1.6</v>
      </c>
      <c r="M1370" s="6"/>
      <c r="N1370" s="6"/>
      <c r="O1370" s="144"/>
    </row>
    <row r="1371" spans="1:15" x14ac:dyDescent="0.25">
      <c r="A1371" s="145" t="s">
        <v>1162</v>
      </c>
      <c r="B1371" s="113" t="s">
        <v>48</v>
      </c>
      <c r="C1371" s="113" t="s">
        <v>72</v>
      </c>
      <c r="D1371" s="4">
        <v>5</v>
      </c>
      <c r="E1371" s="4">
        <v>1</v>
      </c>
      <c r="F1371" s="105" t="str">
        <f t="shared" si="317"/>
        <v>Baixa</v>
      </c>
      <c r="G1371" s="4" t="str">
        <f t="shared" si="318"/>
        <v>EEL</v>
      </c>
      <c r="H1371" s="4">
        <f t="shared" si="319"/>
        <v>3</v>
      </c>
      <c r="I1371" s="105" t="str">
        <f t="shared" si="320"/>
        <v>L</v>
      </c>
      <c r="J1371" s="4" t="str">
        <f t="shared" si="321"/>
        <v>EEE</v>
      </c>
      <c r="K1371" s="106">
        <f t="shared" si="322"/>
        <v>3</v>
      </c>
      <c r="L1371" s="106">
        <f>IF(NOT(ISERROR(VLOOKUP(B1371,Deflatores!G$42:H$64,2,FALSE))),VLOOKUP(B1371,Deflatores!G$42:H$64,2,FALSE),IF(OR(ISBLANK(C1371),ISBLANK(B1371)),"",VLOOKUP(C1371,Deflatores!G$4:H$38,2,FALSE)*H1371+VLOOKUP(C1371,Deflatores!G$4:I$38,3,FALSE)))</f>
        <v>1.2000000000000002</v>
      </c>
      <c r="M1371" s="6"/>
      <c r="N1371" s="6"/>
      <c r="O1371" s="144"/>
    </row>
    <row r="1372" spans="1:15" x14ac:dyDescent="0.25">
      <c r="A1372" s="145"/>
      <c r="B1372" s="113"/>
      <c r="C1372" s="113"/>
      <c r="D1372" s="4"/>
      <c r="E1372" s="4"/>
      <c r="F1372" s="105" t="str">
        <f t="shared" si="317"/>
        <v/>
      </c>
      <c r="G1372" s="4" t="str">
        <f t="shared" si="318"/>
        <v/>
      </c>
      <c r="H1372" s="4" t="str">
        <f t="shared" si="319"/>
        <v/>
      </c>
      <c r="I1372" s="105" t="str">
        <f t="shared" si="320"/>
        <v/>
      </c>
      <c r="J1372" s="4" t="str">
        <f t="shared" si="321"/>
        <v/>
      </c>
      <c r="K1372" s="106"/>
      <c r="L1372" s="106" t="str">
        <f>IF(NOT(ISERROR(VLOOKUP(B1372,Deflatores!G$42:H$64,2,FALSE))),VLOOKUP(B1372,Deflatores!G$42:H$64,2,FALSE),IF(OR(ISBLANK(C1372),ISBLANK(B1372)),"",VLOOKUP(C1372,Deflatores!G$4:H$38,2,FALSE)*H1372+VLOOKUP(C1372,Deflatores!G$4:I$38,3,FALSE)))</f>
        <v/>
      </c>
      <c r="M1372" s="6"/>
      <c r="N1372" s="6"/>
      <c r="O1372" s="144"/>
    </row>
    <row r="1373" spans="1:15" x14ac:dyDescent="0.25">
      <c r="A1373" s="143" t="s">
        <v>1163</v>
      </c>
      <c r="B1373" s="113"/>
      <c r="C1373" s="113"/>
      <c r="D1373" s="4"/>
      <c r="E1373" s="4"/>
      <c r="F1373" s="5" t="str">
        <f t="shared" ref="F1373:F1428" si="323">IF(ISBLANK(B1373),"",IF(I1373="L","Baixa",IF(I1373="A","Média",IF(I1373="","","Alta"))))</f>
        <v/>
      </c>
      <c r="G1373" s="4" t="str">
        <f t="shared" ref="G1373:G1428" si="324">CONCATENATE(B1373,I1373)</f>
        <v/>
      </c>
      <c r="H1373" s="151" t="str">
        <f t="shared" ref="H1373:H1428" si="325">IF(ISBLANK(B1373),"",IF(B1373="ALI",IF(I1373="L",7,IF(I1373="A",10,15)),IF(B1373="AIE",IF(I1373="L",5,IF(I1373="A",7,10)),IF(B1373="SE",IF(I1373="L",4,IF(I1373="A",5,7)),IF(OR(B1373="EE",B1373="CE"),IF(I1373="L",3,IF(I1373="A",4,6)),0)))))</f>
        <v/>
      </c>
      <c r="I1373" s="105" t="str">
        <f t="shared" ref="I1373:I1428" si="326">IF(OR(ISBLANK(D1373),ISBLANK(E1373)),IF(OR(B1373="ALI",B1373="AIE"),"L",IF(OR(B1373="EE",B1373="SE",B1373="CE"),"A","")),IF(B1373="EE",IF(E1373&gt;=3,IF(D1373&gt;=5,"H","A"),IF(E1373&gt;=2,IF(D1373&gt;=16,"H",IF(D1373&lt;=4,"L","A")),IF(D1373&lt;=15,"L","A"))),IF(OR(B1373="SE",B1373="CE"),IF(E1373&gt;=4,IF(D1373&gt;=6,"H","A"),IF(E1373&gt;=2,IF(D1373&gt;=20,"H",IF(D1373&lt;=5,"L","A")),IF(D1373&lt;=19,"L","A"))),IF(OR(B1373="ALI",B1373="AIE"),IF(E1373&gt;=6,IF(D1373&gt;=20,"H","A"),IF(E1373&gt;=2,IF(D1373&gt;=51,"H",IF(D1373&lt;=19,"L","A")),IF(D1373&lt;=50,"L","A"))),""))))</f>
        <v/>
      </c>
      <c r="J1373" s="4" t="str">
        <f t="shared" ref="J1373:J1428" si="327">CONCATENATE(B1373,C1373)</f>
        <v/>
      </c>
      <c r="K1373" s="152" t="str">
        <f t="shared" ref="K1373:K1428" si="328">IF(OR(H1373="",H1373=0),L1373,H1373)</f>
        <v/>
      </c>
      <c r="L1373" s="106" t="str">
        <f>IF(NOT(ISERROR(VLOOKUP(B1373,Deflatores!G$42:H$64,2,FALSE))),VLOOKUP(B1373,Deflatores!G$42:H$64,2,FALSE),IF(OR(ISBLANK(C1373),ISBLANK(B1373)),"",VLOOKUP(C1373,Deflatores!G$4:H$38,2,FALSE)*H1373+VLOOKUP(C1373,Deflatores!G$4:I$38,3,FALSE)))</f>
        <v/>
      </c>
      <c r="M1373" s="6"/>
      <c r="N1373" s="6"/>
      <c r="O1373" s="144"/>
    </row>
    <row r="1374" spans="1:15" x14ac:dyDescent="0.25">
      <c r="A1374" s="145" t="s">
        <v>1164</v>
      </c>
      <c r="B1374" s="113" t="s">
        <v>50</v>
      </c>
      <c r="C1374" s="113" t="s">
        <v>45</v>
      </c>
      <c r="D1374" s="4">
        <v>10</v>
      </c>
      <c r="E1374" s="4">
        <v>2</v>
      </c>
      <c r="F1374" s="5" t="str">
        <f t="shared" si="323"/>
        <v>Média</v>
      </c>
      <c r="G1374" s="4" t="str">
        <f t="shared" si="324"/>
        <v>CEA</v>
      </c>
      <c r="H1374" s="151">
        <f t="shared" si="325"/>
        <v>4</v>
      </c>
      <c r="I1374" s="105" t="str">
        <f t="shared" si="326"/>
        <v>A</v>
      </c>
      <c r="J1374" s="4" t="str">
        <f t="shared" si="327"/>
        <v>CEI</v>
      </c>
      <c r="K1374" s="152">
        <f t="shared" si="328"/>
        <v>4</v>
      </c>
      <c r="L1374" s="106">
        <f>IF(NOT(ISERROR(VLOOKUP(B1374,Deflatores!G$42:H$64,2,FALSE))),VLOOKUP(B1374,Deflatores!G$42:H$64,2,FALSE),IF(OR(ISBLANK(C1374),ISBLANK(B1374)),"",VLOOKUP(C1374,Deflatores!G$4:H$38,2,FALSE)*H1374+VLOOKUP(C1374,Deflatores!G$4:I$38,3,FALSE)))</f>
        <v>4</v>
      </c>
      <c r="M1374" s="6"/>
      <c r="N1374" s="6"/>
      <c r="O1374" s="144"/>
    </row>
    <row r="1375" spans="1:15" x14ac:dyDescent="0.25">
      <c r="A1375" s="146" t="s">
        <v>1165</v>
      </c>
      <c r="B1375" s="113" t="s">
        <v>50</v>
      </c>
      <c r="C1375" s="113" t="s">
        <v>45</v>
      </c>
      <c r="D1375" s="4">
        <v>3</v>
      </c>
      <c r="E1375" s="4">
        <v>1</v>
      </c>
      <c r="F1375" s="5" t="str">
        <f t="shared" si="323"/>
        <v>Baixa</v>
      </c>
      <c r="G1375" s="4" t="str">
        <f t="shared" si="324"/>
        <v>CEL</v>
      </c>
      <c r="H1375" s="151">
        <f t="shared" si="325"/>
        <v>3</v>
      </c>
      <c r="I1375" s="105" t="str">
        <f t="shared" si="326"/>
        <v>L</v>
      </c>
      <c r="J1375" s="4" t="str">
        <f t="shared" si="327"/>
        <v>CEI</v>
      </c>
      <c r="K1375" s="152">
        <f t="shared" si="328"/>
        <v>3</v>
      </c>
      <c r="L1375" s="106">
        <f>IF(NOT(ISERROR(VLOOKUP(B1375,Deflatores!G$42:H$64,2,FALSE))),VLOOKUP(B1375,Deflatores!G$42:H$64,2,FALSE),IF(OR(ISBLANK(C1375),ISBLANK(B1375)),"",VLOOKUP(C1375,Deflatores!G$4:H$38,2,FALSE)*H1375+VLOOKUP(C1375,Deflatores!G$4:I$38,3,FALSE)))</f>
        <v>3</v>
      </c>
      <c r="M1375" s="6"/>
      <c r="N1375" s="6"/>
      <c r="O1375" s="144"/>
    </row>
    <row r="1376" spans="1:15" x14ac:dyDescent="0.25">
      <c r="A1376" s="145" t="s">
        <v>1166</v>
      </c>
      <c r="B1376" s="113" t="s">
        <v>48</v>
      </c>
      <c r="C1376" s="113" t="s">
        <v>45</v>
      </c>
      <c r="D1376" s="4">
        <v>3</v>
      </c>
      <c r="E1376" s="4">
        <v>1</v>
      </c>
      <c r="F1376" s="5" t="str">
        <f>IF(ISBLANK(B1376),"",IF(I1376="L","Baixa",IF(I1376="A","Média",IF(I1376="","","Alta"))))</f>
        <v>Baixa</v>
      </c>
      <c r="G1376" s="4" t="str">
        <f>CONCATENATE(B1376,I1376)</f>
        <v>EEL</v>
      </c>
      <c r="H1376" s="151">
        <f>IF(ISBLANK(B1376),"",IF(B1376="ALI",IF(I1376="L",7,IF(I1376="A",10,15)),IF(B1376="AIE",IF(I1376="L",5,IF(I1376="A",7,10)),IF(B1376="SE",IF(I1376="L",4,IF(I1376="A",5,7)),IF(OR(B1376="EE",B1376="CE"),IF(I1376="L",3,IF(I1376="A",4,6)),0)))))</f>
        <v>3</v>
      </c>
      <c r="I1376" s="105" t="str">
        <f>IF(OR(ISBLANK(D1376),ISBLANK(E1376)),IF(OR(B1376="ALI",B1376="AIE"),"L",IF(OR(B1376="EE",B1376="SE",B1376="CE"),"A","")),IF(B1376="EE",IF(E1376&gt;=3,IF(D1376&gt;=5,"H","A"),IF(E1376&gt;=2,IF(D1376&gt;=16,"H",IF(D1376&lt;=4,"L","A")),IF(D1376&lt;=15,"L","A"))),IF(OR(B1376="SE",B1376="CE"),IF(E1376&gt;=4,IF(D1376&gt;=6,"H","A"),IF(E1376&gt;=2,IF(D1376&gt;=20,"H",IF(D1376&lt;=5,"L","A")),IF(D1376&lt;=19,"L","A"))),IF(OR(B1376="ALI",B1376="AIE"),IF(E1376&gt;=6,IF(D1376&gt;=20,"H","A"),IF(E1376&gt;=2,IF(D1376&gt;=51,"H",IF(D1376&lt;=19,"L","A")),IF(D1376&lt;=50,"L","A"))),""))))</f>
        <v>L</v>
      </c>
      <c r="J1376" s="4" t="str">
        <f>CONCATENATE(B1376,C1376)</f>
        <v>EEI</v>
      </c>
      <c r="K1376" s="152">
        <f>IF(OR(H1376="",H1376=0),L1376,H1376)</f>
        <v>3</v>
      </c>
      <c r="L1376" s="106">
        <f>IF(NOT(ISERROR(VLOOKUP(B1376,Deflatores!G$42:H$64,2,FALSE))),VLOOKUP(B1376,Deflatores!G$42:H$64,2,FALSE),IF(OR(ISBLANK(C1376),ISBLANK(B1376)),"",VLOOKUP(C1376,Deflatores!G$4:H$38,2,FALSE)*H1376+VLOOKUP(C1376,Deflatores!G$4:I$38,3,FALSE)))</f>
        <v>3</v>
      </c>
      <c r="M1376" s="6"/>
      <c r="N1376" s="6"/>
      <c r="O1376" s="144"/>
    </row>
    <row r="1377" spans="1:15" x14ac:dyDescent="0.25">
      <c r="A1377" s="145"/>
      <c r="B1377" s="113"/>
      <c r="C1377" s="113"/>
      <c r="D1377" s="4"/>
      <c r="E1377" s="4"/>
      <c r="F1377" s="5" t="str">
        <f t="shared" si="323"/>
        <v/>
      </c>
      <c r="G1377" s="4" t="str">
        <f t="shared" si="324"/>
        <v/>
      </c>
      <c r="H1377" s="151" t="str">
        <f t="shared" si="325"/>
        <v/>
      </c>
      <c r="I1377" s="105" t="str">
        <f t="shared" si="326"/>
        <v/>
      </c>
      <c r="J1377" s="4" t="str">
        <f t="shared" si="327"/>
        <v/>
      </c>
      <c r="K1377" s="152" t="str">
        <f t="shared" si="328"/>
        <v/>
      </c>
      <c r="L1377" s="106" t="str">
        <f>IF(NOT(ISERROR(VLOOKUP(B1377,Deflatores!G$42:H$64,2,FALSE))),VLOOKUP(B1377,Deflatores!G$42:H$64,2,FALSE),IF(OR(ISBLANK(C1377),ISBLANK(B1377)),"",VLOOKUP(C1377,Deflatores!G$4:H$38,2,FALSE)*H1377+VLOOKUP(C1377,Deflatores!G$4:I$38,3,FALSE)))</f>
        <v/>
      </c>
      <c r="M1377" s="6"/>
      <c r="N1377" s="6"/>
      <c r="O1377" s="144"/>
    </row>
    <row r="1378" spans="1:15" x14ac:dyDescent="0.25">
      <c r="A1378" s="143" t="s">
        <v>1167</v>
      </c>
      <c r="B1378" s="113"/>
      <c r="C1378" s="113"/>
      <c r="D1378" s="4"/>
      <c r="E1378" s="4"/>
      <c r="F1378" s="5" t="str">
        <f t="shared" si="323"/>
        <v/>
      </c>
      <c r="G1378" s="4" t="str">
        <f t="shared" si="324"/>
        <v/>
      </c>
      <c r="H1378" s="151" t="str">
        <f t="shared" si="325"/>
        <v/>
      </c>
      <c r="I1378" s="105" t="str">
        <f t="shared" si="326"/>
        <v/>
      </c>
      <c r="J1378" s="4" t="str">
        <f t="shared" si="327"/>
        <v/>
      </c>
      <c r="K1378" s="152" t="str">
        <f t="shared" si="328"/>
        <v/>
      </c>
      <c r="L1378" s="106" t="str">
        <f>IF(NOT(ISERROR(VLOOKUP(B1378,Deflatores!G$42:H$64,2,FALSE))),VLOOKUP(B1378,Deflatores!G$42:H$64,2,FALSE),IF(OR(ISBLANK(C1378),ISBLANK(B1378)),"",VLOOKUP(C1378,Deflatores!G$4:H$38,2,FALSE)*H1378+VLOOKUP(C1378,Deflatores!G$4:I$38,3,FALSE)))</f>
        <v/>
      </c>
      <c r="M1378" s="6"/>
      <c r="N1378" s="6"/>
      <c r="O1378" s="144"/>
    </row>
    <row r="1379" spans="1:15" x14ac:dyDescent="0.25">
      <c r="A1379" s="145" t="s">
        <v>1168</v>
      </c>
      <c r="B1379" s="113" t="s">
        <v>44</v>
      </c>
      <c r="C1379" s="113" t="s">
        <v>45</v>
      </c>
      <c r="D1379" s="4">
        <v>6</v>
      </c>
      <c r="E1379" s="4">
        <v>2</v>
      </c>
      <c r="F1379" s="5" t="str">
        <f t="shared" si="323"/>
        <v>Baixa</v>
      </c>
      <c r="G1379" s="4" t="str">
        <f t="shared" si="324"/>
        <v>ALIL</v>
      </c>
      <c r="H1379" s="151">
        <f t="shared" si="325"/>
        <v>7</v>
      </c>
      <c r="I1379" s="105" t="str">
        <f t="shared" si="326"/>
        <v>L</v>
      </c>
      <c r="J1379" s="4" t="str">
        <f t="shared" si="327"/>
        <v>ALII</v>
      </c>
      <c r="K1379" s="152">
        <f t="shared" si="328"/>
        <v>7</v>
      </c>
      <c r="L1379" s="106">
        <f>IF(NOT(ISERROR(VLOOKUP(B1379,Deflatores!G$42:H$64,2,FALSE))),VLOOKUP(B1379,Deflatores!G$42:H$64,2,FALSE),IF(OR(ISBLANK(C1379),ISBLANK(B1379)),"",VLOOKUP(C1379,Deflatores!G$4:H$38,2,FALSE)*H1379+VLOOKUP(C1379,Deflatores!G$4:I$38,3,FALSE)))</f>
        <v>7</v>
      </c>
      <c r="M1379" s="6"/>
      <c r="N1379" s="6"/>
      <c r="O1379" s="144"/>
    </row>
    <row r="1380" spans="1:15" x14ac:dyDescent="0.25">
      <c r="A1380" s="145" t="s">
        <v>1169</v>
      </c>
      <c r="B1380" s="113" t="s">
        <v>48</v>
      </c>
      <c r="C1380" s="113" t="s">
        <v>45</v>
      </c>
      <c r="D1380" s="4">
        <v>8</v>
      </c>
      <c r="E1380" s="4">
        <v>2</v>
      </c>
      <c r="F1380" s="5" t="str">
        <f t="shared" si="323"/>
        <v>Média</v>
      </c>
      <c r="G1380" s="4" t="str">
        <f t="shared" si="324"/>
        <v>EEA</v>
      </c>
      <c r="H1380" s="151">
        <f t="shared" si="325"/>
        <v>4</v>
      </c>
      <c r="I1380" s="105" t="str">
        <f t="shared" si="326"/>
        <v>A</v>
      </c>
      <c r="J1380" s="4" t="str">
        <f t="shared" si="327"/>
        <v>EEI</v>
      </c>
      <c r="K1380" s="152">
        <f t="shared" si="328"/>
        <v>4</v>
      </c>
      <c r="L1380" s="106">
        <f>IF(NOT(ISERROR(VLOOKUP(B1380,Deflatores!G$42:H$64,2,FALSE))),VLOOKUP(B1380,Deflatores!G$42:H$64,2,FALSE),IF(OR(ISBLANK(C1380),ISBLANK(B1380)),"",VLOOKUP(C1380,Deflatores!G$4:H$38,2,FALSE)*H1380+VLOOKUP(C1380,Deflatores!G$4:I$38,3,FALSE)))</f>
        <v>4</v>
      </c>
      <c r="M1380" s="6"/>
      <c r="N1380" s="6"/>
      <c r="O1380" s="144"/>
    </row>
    <row r="1381" spans="1:15" x14ac:dyDescent="0.25">
      <c r="A1381" s="145" t="s">
        <v>1170</v>
      </c>
      <c r="B1381" s="113" t="s">
        <v>48</v>
      </c>
      <c r="C1381" s="113" t="s">
        <v>45</v>
      </c>
      <c r="D1381" s="4">
        <v>3</v>
      </c>
      <c r="E1381" s="4">
        <v>2</v>
      </c>
      <c r="F1381" s="5" t="str">
        <f t="shared" si="323"/>
        <v>Baixa</v>
      </c>
      <c r="G1381" s="4" t="str">
        <f t="shared" si="324"/>
        <v>EEL</v>
      </c>
      <c r="H1381" s="151">
        <f t="shared" si="325"/>
        <v>3</v>
      </c>
      <c r="I1381" s="105" t="str">
        <f t="shared" si="326"/>
        <v>L</v>
      </c>
      <c r="J1381" s="4" t="str">
        <f t="shared" si="327"/>
        <v>EEI</v>
      </c>
      <c r="K1381" s="152">
        <f t="shared" si="328"/>
        <v>3</v>
      </c>
      <c r="L1381" s="106">
        <f>IF(NOT(ISERROR(VLOOKUP(B1381,Deflatores!G$42:H$64,2,FALSE))),VLOOKUP(B1381,Deflatores!G$42:H$64,2,FALSE),IF(OR(ISBLANK(C1381),ISBLANK(B1381)),"",VLOOKUP(C1381,Deflatores!G$4:H$38,2,FALSE)*H1381+VLOOKUP(C1381,Deflatores!G$4:I$38,3,FALSE)))</f>
        <v>3</v>
      </c>
      <c r="M1381" s="6"/>
      <c r="N1381" s="6"/>
      <c r="O1381" s="144"/>
    </row>
    <row r="1382" spans="1:15" x14ac:dyDescent="0.25">
      <c r="A1382" s="145" t="s">
        <v>1171</v>
      </c>
      <c r="B1382" s="113" t="s">
        <v>50</v>
      </c>
      <c r="C1382" s="113" t="s">
        <v>45</v>
      </c>
      <c r="D1382" s="4">
        <v>16</v>
      </c>
      <c r="E1382" s="4">
        <v>2</v>
      </c>
      <c r="F1382" s="5" t="str">
        <f t="shared" si="323"/>
        <v>Média</v>
      </c>
      <c r="G1382" s="4" t="str">
        <f t="shared" si="324"/>
        <v>CEA</v>
      </c>
      <c r="H1382" s="151">
        <f t="shared" si="325"/>
        <v>4</v>
      </c>
      <c r="I1382" s="105" t="str">
        <f t="shared" si="326"/>
        <v>A</v>
      </c>
      <c r="J1382" s="4" t="str">
        <f t="shared" si="327"/>
        <v>CEI</v>
      </c>
      <c r="K1382" s="152">
        <f t="shared" si="328"/>
        <v>4</v>
      </c>
      <c r="L1382" s="106">
        <f>IF(NOT(ISERROR(VLOOKUP(B1382,Deflatores!G$42:H$64,2,FALSE))),VLOOKUP(B1382,Deflatores!G$42:H$64,2,FALSE),IF(OR(ISBLANK(C1382),ISBLANK(B1382)),"",VLOOKUP(C1382,Deflatores!G$4:H$38,2,FALSE)*H1382+VLOOKUP(C1382,Deflatores!G$4:I$38,3,FALSE)))</f>
        <v>4</v>
      </c>
      <c r="M1382" s="6"/>
      <c r="N1382" s="6"/>
      <c r="O1382" s="144" t="s">
        <v>1172</v>
      </c>
    </row>
    <row r="1383" spans="1:15" x14ac:dyDescent="0.25">
      <c r="A1383" s="145" t="s">
        <v>1173</v>
      </c>
      <c r="B1383" s="113" t="s">
        <v>48</v>
      </c>
      <c r="C1383" s="113" t="s">
        <v>45</v>
      </c>
      <c r="D1383" s="4">
        <v>8</v>
      </c>
      <c r="E1383" s="4">
        <v>2</v>
      </c>
      <c r="F1383" s="5" t="str">
        <f>IF(ISBLANK(B1383),"",IF(I1383="L","Baixa",IF(I1383="A","Média",IF(I1383="","","Alta"))))</f>
        <v>Média</v>
      </c>
      <c r="G1383" s="4" t="str">
        <f>CONCATENATE(B1383,I1383)</f>
        <v>EEA</v>
      </c>
      <c r="H1383" s="151">
        <f>IF(ISBLANK(B1383),"",IF(B1383="ALI",IF(I1383="L",7,IF(I1383="A",10,15)),IF(B1383="AIE",IF(I1383="L",5,IF(I1383="A",7,10)),IF(B1383="SE",IF(I1383="L",4,IF(I1383="A",5,7)),IF(OR(B1383="EE",B1383="CE"),IF(I1383="L",3,IF(I1383="A",4,6)),0)))))</f>
        <v>4</v>
      </c>
      <c r="I1383" s="105" t="str">
        <f>IF(OR(ISBLANK(D1383),ISBLANK(E1383)),IF(OR(B1383="ALI",B1383="AIE"),"L",IF(OR(B1383="EE",B1383="SE",B1383="CE"),"A","")),IF(B1383="EE",IF(E1383&gt;=3,IF(D1383&gt;=5,"H","A"),IF(E1383&gt;=2,IF(D1383&gt;=16,"H",IF(D1383&lt;=4,"L","A")),IF(D1383&lt;=15,"L","A"))),IF(OR(B1383="SE",B1383="CE"),IF(E1383&gt;=4,IF(D1383&gt;=6,"H","A"),IF(E1383&gt;=2,IF(D1383&gt;=20,"H",IF(D1383&lt;=5,"L","A")),IF(D1383&lt;=19,"L","A"))),IF(OR(B1383="ALI",B1383="AIE"),IF(E1383&gt;=6,IF(D1383&gt;=20,"H","A"),IF(E1383&gt;=2,IF(D1383&gt;=51,"H",IF(D1383&lt;=19,"L","A")),IF(D1383&lt;=50,"L","A"))),""))))</f>
        <v>A</v>
      </c>
      <c r="J1383" s="4" t="str">
        <f>CONCATENATE(B1383,C1383)</f>
        <v>EEI</v>
      </c>
      <c r="K1383" s="152">
        <f>IF(OR(H1383="",H1383=0),L1383,H1383)</f>
        <v>4</v>
      </c>
      <c r="L1383" s="106">
        <f>IF(NOT(ISERROR(VLOOKUP(B1383,Deflatores!G$42:H$64,2,FALSE))),VLOOKUP(B1383,Deflatores!G$42:H$64,2,FALSE),IF(OR(ISBLANK(C1383),ISBLANK(B1383)),"",VLOOKUP(C1383,Deflatores!G$4:H$38,2,FALSE)*H1383+VLOOKUP(C1383,Deflatores!G$4:I$38,3,FALSE)))</f>
        <v>4</v>
      </c>
      <c r="M1383" s="6"/>
      <c r="N1383" s="6"/>
      <c r="O1383" s="144" t="s">
        <v>1172</v>
      </c>
    </row>
    <row r="1384" spans="1:15" x14ac:dyDescent="0.25">
      <c r="A1384" s="146" t="s">
        <v>136</v>
      </c>
      <c r="B1384" s="113" t="s">
        <v>50</v>
      </c>
      <c r="C1384" s="113" t="s">
        <v>45</v>
      </c>
      <c r="D1384" s="4">
        <v>14</v>
      </c>
      <c r="E1384" s="4">
        <v>2</v>
      </c>
      <c r="F1384" s="5" t="str">
        <f>IF(ISBLANK(B1384),"",IF(I1384="L","Baixa",IF(I1384="A","Média",IF(I1384="","","Alta"))))</f>
        <v>Média</v>
      </c>
      <c r="G1384" s="4" t="str">
        <f>CONCATENATE(B1384,I1384)</f>
        <v>CEA</v>
      </c>
      <c r="H1384" s="151">
        <f>IF(ISBLANK(B1384),"",IF(B1384="ALI",IF(I1384="L",7,IF(I1384="A",10,15)),IF(B1384="AIE",IF(I1384="L",5,IF(I1384="A",7,10)),IF(B1384="SE",IF(I1384="L",4,IF(I1384="A",5,7)),IF(OR(B1384="EE",B1384="CE"),IF(I1384="L",3,IF(I1384="A",4,6)),0)))))</f>
        <v>4</v>
      </c>
      <c r="I1384" s="105" t="str">
        <f>IF(OR(ISBLANK(D1384),ISBLANK(E1384)),IF(OR(B1384="ALI",B1384="AIE"),"L",IF(OR(B1384="EE",B1384="SE",B1384="CE"),"A","")),IF(B1384="EE",IF(E1384&gt;=3,IF(D1384&gt;=5,"H","A"),IF(E1384&gt;=2,IF(D1384&gt;=16,"H",IF(D1384&lt;=4,"L","A")),IF(D1384&lt;=15,"L","A"))),IF(OR(B1384="SE",B1384="CE"),IF(E1384&gt;=4,IF(D1384&gt;=6,"H","A"),IF(E1384&gt;=2,IF(D1384&gt;=20,"H",IF(D1384&lt;=5,"L","A")),IF(D1384&lt;=19,"L","A"))),IF(OR(B1384="ALI",B1384="AIE"),IF(E1384&gt;=6,IF(D1384&gt;=20,"H","A"),IF(E1384&gt;=2,IF(D1384&gt;=51,"H",IF(D1384&lt;=19,"L","A")),IF(D1384&lt;=50,"L","A"))),""))))</f>
        <v>A</v>
      </c>
      <c r="J1384" s="4" t="str">
        <f>CONCATENATE(B1384,C1384)</f>
        <v>CEI</v>
      </c>
      <c r="K1384" s="152">
        <f>IF(OR(H1384="",H1384=0),L1384,H1384)</f>
        <v>4</v>
      </c>
      <c r="L1384" s="106">
        <f>IF(NOT(ISERROR(VLOOKUP(B1384,Deflatores!G$42:H$64,2,FALSE))),VLOOKUP(B1384,Deflatores!G$42:H$64,2,FALSE),IF(OR(ISBLANK(C1384),ISBLANK(B1384)),"",VLOOKUP(C1384,Deflatores!G$4:H$38,2,FALSE)*H1384+VLOOKUP(C1384,Deflatores!G$4:I$38,3,FALSE)))</f>
        <v>4</v>
      </c>
      <c r="M1384" s="6"/>
      <c r="N1384" s="6"/>
      <c r="O1384" s="144" t="s">
        <v>1172</v>
      </c>
    </row>
    <row r="1385" spans="1:15" x14ac:dyDescent="0.25">
      <c r="A1385" s="143"/>
      <c r="B1385" s="113"/>
      <c r="C1385" s="113"/>
      <c r="D1385" s="4"/>
      <c r="E1385" s="4"/>
      <c r="F1385" s="5" t="str">
        <f>IF(ISBLANK(B1385),"",IF(I1385="L","Baixa",IF(I1385="A","Média",IF(I1385="","","Alta"))))</f>
        <v/>
      </c>
      <c r="G1385" s="4" t="str">
        <f>CONCATENATE(B1385,I1385)</f>
        <v/>
      </c>
      <c r="H1385" s="151" t="str">
        <f>IF(ISBLANK(B1385),"",IF(B1385="ALI",IF(I1385="L",7,IF(I1385="A",10,15)),IF(B1385="AIE",IF(I1385="L",5,IF(I1385="A",7,10)),IF(B1385="SE",IF(I1385="L",4,IF(I1385="A",5,7)),IF(OR(B1385="EE",B1385="CE"),IF(I1385="L",3,IF(I1385="A",4,6)),0)))))</f>
        <v/>
      </c>
      <c r="I1385" s="105" t="str">
        <f>IF(OR(ISBLANK(D1385),ISBLANK(E1385)),IF(OR(B1385="ALI",B1385="AIE"),"L",IF(OR(B1385="EE",B1385="SE",B1385="CE"),"A","")),IF(B1385="EE",IF(E1385&gt;=3,IF(D1385&gt;=5,"H","A"),IF(E1385&gt;=2,IF(D1385&gt;=16,"H",IF(D1385&lt;=4,"L","A")),IF(D1385&lt;=15,"L","A"))),IF(OR(B1385="SE",B1385="CE"),IF(E1385&gt;=4,IF(D1385&gt;=6,"H","A"),IF(E1385&gt;=2,IF(D1385&gt;=20,"H",IF(D1385&lt;=5,"L","A")),IF(D1385&lt;=19,"L","A"))),IF(OR(B1385="ALI",B1385="AIE"),IF(E1385&gt;=6,IF(D1385&gt;=20,"H","A"),IF(E1385&gt;=2,IF(D1385&gt;=51,"H",IF(D1385&lt;=19,"L","A")),IF(D1385&lt;=50,"L","A"))),""))))</f>
        <v/>
      </c>
      <c r="J1385" s="4" t="str">
        <f>CONCATENATE(B1385,C1385)</f>
        <v/>
      </c>
      <c r="K1385" s="152" t="str">
        <f>IF(OR(H1385="",H1385=0),L1385,H1385)</f>
        <v/>
      </c>
      <c r="L1385" s="106" t="str">
        <f>IF(NOT(ISERROR(VLOOKUP(B1385,Deflatores!G$42:H$64,2,FALSE))),VLOOKUP(B1385,Deflatores!G$42:H$64,2,FALSE),IF(OR(ISBLANK(C1385),ISBLANK(B1385)),"",VLOOKUP(C1385,Deflatores!G$4:H$38,2,FALSE)*H1385+VLOOKUP(C1385,Deflatores!G$4:I$38,3,FALSE)))</f>
        <v/>
      </c>
      <c r="M1385" s="6"/>
      <c r="N1385" s="6"/>
      <c r="O1385" s="144"/>
    </row>
    <row r="1386" spans="1:15" x14ac:dyDescent="0.25">
      <c r="A1386" s="143" t="s">
        <v>1174</v>
      </c>
      <c r="B1386" s="113"/>
      <c r="C1386" s="113"/>
      <c r="D1386" s="4"/>
      <c r="E1386" s="4"/>
      <c r="F1386" s="5" t="str">
        <f t="shared" si="323"/>
        <v/>
      </c>
      <c r="G1386" s="4" t="str">
        <f t="shared" si="324"/>
        <v/>
      </c>
      <c r="H1386" s="151" t="str">
        <f t="shared" si="325"/>
        <v/>
      </c>
      <c r="I1386" s="105" t="str">
        <f t="shared" si="326"/>
        <v/>
      </c>
      <c r="J1386" s="4" t="str">
        <f t="shared" si="327"/>
        <v/>
      </c>
      <c r="K1386" s="152" t="str">
        <f t="shared" si="328"/>
        <v/>
      </c>
      <c r="L1386" s="106" t="str">
        <f>IF(NOT(ISERROR(VLOOKUP(B1386,Deflatores!G$42:H$64,2,FALSE))),VLOOKUP(B1386,Deflatores!G$42:H$64,2,FALSE),IF(OR(ISBLANK(C1386),ISBLANK(B1386)),"",VLOOKUP(C1386,Deflatores!G$4:H$38,2,FALSE)*H1386+VLOOKUP(C1386,Deflatores!G$4:I$38,3,FALSE)))</f>
        <v/>
      </c>
      <c r="M1386" s="6"/>
      <c r="N1386" s="6"/>
      <c r="O1386" s="144"/>
    </row>
    <row r="1387" spans="1:15" x14ac:dyDescent="0.25">
      <c r="A1387" s="145" t="s">
        <v>1175</v>
      </c>
      <c r="B1387" s="113" t="s">
        <v>48</v>
      </c>
      <c r="C1387" s="113" t="s">
        <v>45</v>
      </c>
      <c r="D1387" s="4">
        <v>3</v>
      </c>
      <c r="E1387" s="4">
        <v>2</v>
      </c>
      <c r="F1387" s="5" t="str">
        <f t="shared" si="323"/>
        <v>Baixa</v>
      </c>
      <c r="G1387" s="4" t="str">
        <f t="shared" si="324"/>
        <v>EEL</v>
      </c>
      <c r="H1387" s="151">
        <f t="shared" si="325"/>
        <v>3</v>
      </c>
      <c r="I1387" s="105" t="str">
        <f t="shared" si="326"/>
        <v>L</v>
      </c>
      <c r="J1387" s="4" t="str">
        <f t="shared" si="327"/>
        <v>EEI</v>
      </c>
      <c r="K1387" s="152">
        <f t="shared" si="328"/>
        <v>3</v>
      </c>
      <c r="L1387" s="106">
        <f>IF(NOT(ISERROR(VLOOKUP(B1387,Deflatores!G$42:H$64,2,FALSE))),VLOOKUP(B1387,Deflatores!G$42:H$64,2,FALSE),IF(OR(ISBLANK(C1387),ISBLANK(B1387)),"",VLOOKUP(C1387,Deflatores!G$4:H$38,2,FALSE)*H1387+VLOOKUP(C1387,Deflatores!G$4:I$38,3,FALSE)))</f>
        <v>3</v>
      </c>
      <c r="M1387" s="6"/>
      <c r="N1387" s="6"/>
      <c r="O1387" s="144"/>
    </row>
    <row r="1388" spans="1:15" x14ac:dyDescent="0.25">
      <c r="A1388" s="145" t="s">
        <v>1176</v>
      </c>
      <c r="B1388" s="113" t="s">
        <v>48</v>
      </c>
      <c r="C1388" s="113" t="s">
        <v>45</v>
      </c>
      <c r="D1388" s="4">
        <v>3</v>
      </c>
      <c r="E1388" s="4">
        <v>2</v>
      </c>
      <c r="F1388" s="5" t="str">
        <f t="shared" si="323"/>
        <v>Baixa</v>
      </c>
      <c r="G1388" s="4" t="str">
        <f t="shared" si="324"/>
        <v>EEL</v>
      </c>
      <c r="H1388" s="151">
        <f t="shared" si="325"/>
        <v>3</v>
      </c>
      <c r="I1388" s="105" t="str">
        <f t="shared" si="326"/>
        <v>L</v>
      </c>
      <c r="J1388" s="4" t="str">
        <f t="shared" si="327"/>
        <v>EEI</v>
      </c>
      <c r="K1388" s="152">
        <f t="shared" si="328"/>
        <v>3</v>
      </c>
      <c r="L1388" s="106">
        <f>IF(NOT(ISERROR(VLOOKUP(B1388,Deflatores!G$42:H$64,2,FALSE))),VLOOKUP(B1388,Deflatores!G$42:H$64,2,FALSE),IF(OR(ISBLANK(C1388),ISBLANK(B1388)),"",VLOOKUP(C1388,Deflatores!G$4:H$38,2,FALSE)*H1388+VLOOKUP(C1388,Deflatores!G$4:I$38,3,FALSE)))</f>
        <v>3</v>
      </c>
      <c r="M1388" s="6"/>
      <c r="N1388" s="6"/>
      <c r="O1388" s="144"/>
    </row>
    <row r="1389" spans="1:15" x14ac:dyDescent="0.25">
      <c r="A1389" s="145"/>
      <c r="B1389" s="113"/>
      <c r="C1389" s="113"/>
      <c r="D1389" s="4"/>
      <c r="E1389" s="4"/>
      <c r="F1389" s="5" t="str">
        <f t="shared" si="323"/>
        <v/>
      </c>
      <c r="G1389" s="4" t="str">
        <f t="shared" si="324"/>
        <v/>
      </c>
      <c r="H1389" s="151" t="str">
        <f t="shared" si="325"/>
        <v/>
      </c>
      <c r="I1389" s="105" t="str">
        <f t="shared" si="326"/>
        <v/>
      </c>
      <c r="J1389" s="4" t="str">
        <f t="shared" si="327"/>
        <v/>
      </c>
      <c r="K1389" s="152" t="str">
        <f t="shared" si="328"/>
        <v/>
      </c>
      <c r="L1389" s="106" t="str">
        <f>IF(NOT(ISERROR(VLOOKUP(B1389,Deflatores!G$42:H$64,2,FALSE))),VLOOKUP(B1389,Deflatores!G$42:H$64,2,FALSE),IF(OR(ISBLANK(C1389),ISBLANK(B1389)),"",VLOOKUP(C1389,Deflatores!G$4:H$38,2,FALSE)*H1389+VLOOKUP(C1389,Deflatores!G$4:I$38,3,FALSE)))</f>
        <v/>
      </c>
      <c r="M1389" s="6"/>
      <c r="N1389" s="6"/>
      <c r="O1389" s="144"/>
    </row>
    <row r="1390" spans="1:15" x14ac:dyDescent="0.25">
      <c r="A1390" s="143" t="s">
        <v>1177</v>
      </c>
      <c r="B1390" s="113"/>
      <c r="C1390" s="113"/>
      <c r="D1390" s="4"/>
      <c r="E1390" s="4"/>
      <c r="F1390" s="5" t="str">
        <f t="shared" si="323"/>
        <v/>
      </c>
      <c r="G1390" s="4" t="str">
        <f t="shared" si="324"/>
        <v/>
      </c>
      <c r="H1390" s="151" t="str">
        <f t="shared" si="325"/>
        <v/>
      </c>
      <c r="I1390" s="105" t="str">
        <f t="shared" si="326"/>
        <v/>
      </c>
      <c r="J1390" s="4" t="str">
        <f t="shared" si="327"/>
        <v/>
      </c>
      <c r="K1390" s="152" t="str">
        <f t="shared" si="328"/>
        <v/>
      </c>
      <c r="L1390" s="106" t="str">
        <f>IF(NOT(ISERROR(VLOOKUP(B1390,Deflatores!G$42:H$64,2,FALSE))),VLOOKUP(B1390,Deflatores!G$42:H$64,2,FALSE),IF(OR(ISBLANK(C1390),ISBLANK(B1390)),"",VLOOKUP(C1390,Deflatores!G$4:H$38,2,FALSE)*H1390+VLOOKUP(C1390,Deflatores!G$4:I$38,3,FALSE)))</f>
        <v/>
      </c>
      <c r="M1390" s="6"/>
      <c r="N1390" s="6"/>
      <c r="O1390" s="144"/>
    </row>
    <row r="1391" spans="1:15" x14ac:dyDescent="0.25">
      <c r="A1391" s="145" t="s">
        <v>1178</v>
      </c>
      <c r="B1391" s="113" t="s">
        <v>50</v>
      </c>
      <c r="C1391" s="113" t="s">
        <v>45</v>
      </c>
      <c r="D1391" s="4">
        <v>10</v>
      </c>
      <c r="E1391" s="4">
        <v>2</v>
      </c>
      <c r="F1391" s="5" t="str">
        <f t="shared" si="323"/>
        <v>Média</v>
      </c>
      <c r="G1391" s="4" t="str">
        <f t="shared" si="324"/>
        <v>CEA</v>
      </c>
      <c r="H1391" s="151">
        <f t="shared" si="325"/>
        <v>4</v>
      </c>
      <c r="I1391" s="105" t="str">
        <f t="shared" si="326"/>
        <v>A</v>
      </c>
      <c r="J1391" s="4" t="str">
        <f t="shared" si="327"/>
        <v>CEI</v>
      </c>
      <c r="K1391" s="152">
        <f t="shared" si="328"/>
        <v>4</v>
      </c>
      <c r="L1391" s="106">
        <f>IF(NOT(ISERROR(VLOOKUP(B1391,Deflatores!G$42:H$64,2,FALSE))),VLOOKUP(B1391,Deflatores!G$42:H$64,2,FALSE),IF(OR(ISBLANK(C1391),ISBLANK(B1391)),"",VLOOKUP(C1391,Deflatores!G$4:H$38,2,FALSE)*H1391+VLOOKUP(C1391,Deflatores!G$4:I$38,3,FALSE)))</f>
        <v>4</v>
      </c>
      <c r="M1391" s="6"/>
      <c r="N1391" s="6"/>
      <c r="O1391" s="144"/>
    </row>
    <row r="1392" spans="1:15" x14ac:dyDescent="0.25">
      <c r="A1392" s="146" t="s">
        <v>1179</v>
      </c>
      <c r="B1392" s="113" t="s">
        <v>50</v>
      </c>
      <c r="C1392" s="113" t="s">
        <v>45</v>
      </c>
      <c r="D1392" s="4">
        <v>3</v>
      </c>
      <c r="E1392" s="4">
        <v>1</v>
      </c>
      <c r="F1392" s="5" t="str">
        <f t="shared" si="323"/>
        <v>Baixa</v>
      </c>
      <c r="G1392" s="4" t="str">
        <f t="shared" si="324"/>
        <v>CEL</v>
      </c>
      <c r="H1392" s="151">
        <f t="shared" si="325"/>
        <v>3</v>
      </c>
      <c r="I1392" s="105" t="str">
        <f t="shared" si="326"/>
        <v>L</v>
      </c>
      <c r="J1392" s="4" t="str">
        <f t="shared" si="327"/>
        <v>CEI</v>
      </c>
      <c r="K1392" s="152">
        <f t="shared" si="328"/>
        <v>3</v>
      </c>
      <c r="L1392" s="106">
        <f>IF(NOT(ISERROR(VLOOKUP(B1392,Deflatores!G$42:H$64,2,FALSE))),VLOOKUP(B1392,Deflatores!G$42:H$64,2,FALSE),IF(OR(ISBLANK(C1392),ISBLANK(B1392)),"",VLOOKUP(C1392,Deflatores!G$4:H$38,2,FALSE)*H1392+VLOOKUP(C1392,Deflatores!G$4:I$38,3,FALSE)))</f>
        <v>3</v>
      </c>
      <c r="M1392" s="6"/>
      <c r="N1392" s="6"/>
      <c r="O1392" s="144" t="s">
        <v>1180</v>
      </c>
    </row>
    <row r="1393" spans="1:15" x14ac:dyDescent="0.25">
      <c r="A1393" s="145"/>
      <c r="B1393" s="113"/>
      <c r="C1393" s="113"/>
      <c r="D1393" s="4"/>
      <c r="E1393" s="4"/>
      <c r="F1393" s="5" t="str">
        <f t="shared" si="323"/>
        <v/>
      </c>
      <c r="G1393" s="4" t="str">
        <f t="shared" si="324"/>
        <v/>
      </c>
      <c r="H1393" s="151" t="str">
        <f t="shared" si="325"/>
        <v/>
      </c>
      <c r="I1393" s="105" t="str">
        <f t="shared" si="326"/>
        <v/>
      </c>
      <c r="J1393" s="4" t="str">
        <f t="shared" si="327"/>
        <v/>
      </c>
      <c r="K1393" s="152" t="str">
        <f t="shared" si="328"/>
        <v/>
      </c>
      <c r="L1393" s="106" t="str">
        <f>IF(NOT(ISERROR(VLOOKUP(B1393,Deflatores!G$42:H$64,2,FALSE))),VLOOKUP(B1393,Deflatores!G$42:H$64,2,FALSE),IF(OR(ISBLANK(C1393),ISBLANK(B1393)),"",VLOOKUP(C1393,Deflatores!G$4:H$38,2,FALSE)*H1393+VLOOKUP(C1393,Deflatores!G$4:I$38,3,FALSE)))</f>
        <v/>
      </c>
      <c r="M1393" s="6"/>
      <c r="N1393" s="6"/>
      <c r="O1393" s="144"/>
    </row>
    <row r="1394" spans="1:15" x14ac:dyDescent="0.25">
      <c r="A1394" s="143" t="s">
        <v>1181</v>
      </c>
      <c r="B1394" s="113"/>
      <c r="C1394" s="113"/>
      <c r="D1394" s="4"/>
      <c r="E1394" s="4"/>
      <c r="F1394" s="5" t="str">
        <f t="shared" si="323"/>
        <v/>
      </c>
      <c r="G1394" s="4" t="str">
        <f t="shared" si="324"/>
        <v/>
      </c>
      <c r="H1394" s="151" t="str">
        <f t="shared" si="325"/>
        <v/>
      </c>
      <c r="I1394" s="105" t="str">
        <f t="shared" si="326"/>
        <v/>
      </c>
      <c r="J1394" s="4" t="str">
        <f t="shared" si="327"/>
        <v/>
      </c>
      <c r="K1394" s="152" t="str">
        <f t="shared" si="328"/>
        <v/>
      </c>
      <c r="L1394" s="106" t="str">
        <f>IF(NOT(ISERROR(VLOOKUP(B1394,Deflatores!G$42:H$64,2,FALSE))),VLOOKUP(B1394,Deflatores!G$42:H$64,2,FALSE),IF(OR(ISBLANK(C1394),ISBLANK(B1394)),"",VLOOKUP(C1394,Deflatores!G$4:H$38,2,FALSE)*H1394+VLOOKUP(C1394,Deflatores!G$4:I$38,3,FALSE)))</f>
        <v/>
      </c>
      <c r="M1394" s="6"/>
      <c r="N1394" s="6"/>
      <c r="O1394" s="144"/>
    </row>
    <row r="1395" spans="1:15" x14ac:dyDescent="0.25">
      <c r="A1395" s="145" t="s">
        <v>1182</v>
      </c>
      <c r="B1395" s="113" t="s">
        <v>44</v>
      </c>
      <c r="C1395" s="113" t="s">
        <v>45</v>
      </c>
      <c r="D1395" s="4">
        <v>14</v>
      </c>
      <c r="E1395" s="4">
        <v>4</v>
      </c>
      <c r="F1395" s="5" t="str">
        <f t="shared" si="323"/>
        <v>Baixa</v>
      </c>
      <c r="G1395" s="4" t="str">
        <f t="shared" si="324"/>
        <v>ALIL</v>
      </c>
      <c r="H1395" s="151">
        <f t="shared" si="325"/>
        <v>7</v>
      </c>
      <c r="I1395" s="105" t="str">
        <f t="shared" si="326"/>
        <v>L</v>
      </c>
      <c r="J1395" s="4" t="str">
        <f t="shared" si="327"/>
        <v>ALII</v>
      </c>
      <c r="K1395" s="152">
        <f t="shared" si="328"/>
        <v>7</v>
      </c>
      <c r="L1395" s="106">
        <f>IF(NOT(ISERROR(VLOOKUP(B1395,Deflatores!G$42:H$64,2,FALSE))),VLOOKUP(B1395,Deflatores!G$42:H$64,2,FALSE),IF(OR(ISBLANK(C1395),ISBLANK(B1395)),"",VLOOKUP(C1395,Deflatores!G$4:H$38,2,FALSE)*H1395+VLOOKUP(C1395,Deflatores!G$4:I$38,3,FALSE)))</f>
        <v>7</v>
      </c>
      <c r="M1395" s="6"/>
      <c r="N1395" s="6"/>
      <c r="O1395" s="144"/>
    </row>
    <row r="1396" spans="1:15" x14ac:dyDescent="0.25">
      <c r="A1396" s="145" t="s">
        <v>1183</v>
      </c>
      <c r="B1396" s="113" t="s">
        <v>48</v>
      </c>
      <c r="C1396" s="113" t="s">
        <v>45</v>
      </c>
      <c r="D1396" s="4">
        <v>4</v>
      </c>
      <c r="E1396" s="4">
        <v>1</v>
      </c>
      <c r="F1396" s="5" t="str">
        <f t="shared" si="323"/>
        <v>Baixa</v>
      </c>
      <c r="G1396" s="4" t="str">
        <f t="shared" si="324"/>
        <v>EEL</v>
      </c>
      <c r="H1396" s="151">
        <f t="shared" si="325"/>
        <v>3</v>
      </c>
      <c r="I1396" s="105" t="str">
        <f t="shared" si="326"/>
        <v>L</v>
      </c>
      <c r="J1396" s="4" t="str">
        <f t="shared" si="327"/>
        <v>EEI</v>
      </c>
      <c r="K1396" s="152">
        <f t="shared" si="328"/>
        <v>3</v>
      </c>
      <c r="L1396" s="106">
        <f>IF(NOT(ISERROR(VLOOKUP(B1396,Deflatores!G$42:H$64,2,FALSE))),VLOOKUP(B1396,Deflatores!G$42:H$64,2,FALSE),IF(OR(ISBLANK(C1396),ISBLANK(B1396)),"",VLOOKUP(C1396,Deflatores!G$4:H$38,2,FALSE)*H1396+VLOOKUP(C1396,Deflatores!G$4:I$38,3,FALSE)))</f>
        <v>3</v>
      </c>
      <c r="M1396" s="6"/>
      <c r="N1396" s="6"/>
      <c r="O1396" s="144"/>
    </row>
    <row r="1397" spans="1:15" x14ac:dyDescent="0.25">
      <c r="A1397" s="145" t="s">
        <v>1184</v>
      </c>
      <c r="B1397" s="113" t="s">
        <v>48</v>
      </c>
      <c r="C1397" s="113" t="s">
        <v>45</v>
      </c>
      <c r="D1397" s="4">
        <v>8</v>
      </c>
      <c r="E1397" s="4">
        <v>2</v>
      </c>
      <c r="F1397" s="5" t="str">
        <f t="shared" si="323"/>
        <v>Média</v>
      </c>
      <c r="G1397" s="4" t="str">
        <f t="shared" si="324"/>
        <v>EEA</v>
      </c>
      <c r="H1397" s="151">
        <f t="shared" si="325"/>
        <v>4</v>
      </c>
      <c r="I1397" s="105" t="str">
        <f t="shared" si="326"/>
        <v>A</v>
      </c>
      <c r="J1397" s="4" t="str">
        <f t="shared" si="327"/>
        <v>EEI</v>
      </c>
      <c r="K1397" s="152">
        <f t="shared" si="328"/>
        <v>4</v>
      </c>
      <c r="L1397" s="106">
        <f>IF(NOT(ISERROR(VLOOKUP(B1397,Deflatores!G$42:H$64,2,FALSE))),VLOOKUP(B1397,Deflatores!G$42:H$64,2,FALSE),IF(OR(ISBLANK(C1397),ISBLANK(B1397)),"",VLOOKUP(C1397,Deflatores!G$4:H$38,2,FALSE)*H1397+VLOOKUP(C1397,Deflatores!G$4:I$38,3,FALSE)))</f>
        <v>4</v>
      </c>
      <c r="M1397" s="6"/>
      <c r="N1397" s="6"/>
      <c r="O1397" s="144"/>
    </row>
    <row r="1398" spans="1:15" x14ac:dyDescent="0.25">
      <c r="A1398" s="145" t="s">
        <v>1185</v>
      </c>
      <c r="B1398" s="113" t="s">
        <v>48</v>
      </c>
      <c r="C1398" s="113" t="s">
        <v>45</v>
      </c>
      <c r="D1398" s="4">
        <v>8</v>
      </c>
      <c r="E1398" s="4">
        <v>2</v>
      </c>
      <c r="F1398" s="5" t="str">
        <f t="shared" si="323"/>
        <v>Média</v>
      </c>
      <c r="G1398" s="4" t="str">
        <f t="shared" si="324"/>
        <v>EEA</v>
      </c>
      <c r="H1398" s="151">
        <f t="shared" si="325"/>
        <v>4</v>
      </c>
      <c r="I1398" s="105" t="str">
        <f t="shared" si="326"/>
        <v>A</v>
      </c>
      <c r="J1398" s="4" t="str">
        <f t="shared" si="327"/>
        <v>EEI</v>
      </c>
      <c r="K1398" s="152">
        <f t="shared" si="328"/>
        <v>4</v>
      </c>
      <c r="L1398" s="106">
        <f>IF(NOT(ISERROR(VLOOKUP(B1398,Deflatores!G$42:H$64,2,FALSE))),VLOOKUP(B1398,Deflatores!G$42:H$64,2,FALSE),IF(OR(ISBLANK(C1398),ISBLANK(B1398)),"",VLOOKUP(C1398,Deflatores!G$4:H$38,2,FALSE)*H1398+VLOOKUP(C1398,Deflatores!G$4:I$38,3,FALSE)))</f>
        <v>4</v>
      </c>
      <c r="M1398" s="6"/>
      <c r="N1398" s="6"/>
      <c r="O1398" s="144"/>
    </row>
    <row r="1399" spans="1:15" x14ac:dyDescent="0.25">
      <c r="A1399" s="146" t="s">
        <v>1186</v>
      </c>
      <c r="B1399" s="113" t="s">
        <v>50</v>
      </c>
      <c r="C1399" s="113" t="s">
        <v>45</v>
      </c>
      <c r="D1399" s="4">
        <v>3</v>
      </c>
      <c r="E1399" s="4">
        <v>1</v>
      </c>
      <c r="F1399" s="5" t="str">
        <f t="shared" si="323"/>
        <v>Baixa</v>
      </c>
      <c r="G1399" s="4" t="str">
        <f t="shared" si="324"/>
        <v>CEL</v>
      </c>
      <c r="H1399" s="151">
        <f t="shared" si="325"/>
        <v>3</v>
      </c>
      <c r="I1399" s="105" t="str">
        <f t="shared" si="326"/>
        <v>L</v>
      </c>
      <c r="J1399" s="4" t="str">
        <f t="shared" si="327"/>
        <v>CEI</v>
      </c>
      <c r="K1399" s="152">
        <f t="shared" si="328"/>
        <v>3</v>
      </c>
      <c r="L1399" s="106">
        <f>IF(NOT(ISERROR(VLOOKUP(B1399,Deflatores!G$42:H$64,2,FALSE))),VLOOKUP(B1399,Deflatores!G$42:H$64,2,FALSE),IF(OR(ISBLANK(C1399),ISBLANK(B1399)),"",VLOOKUP(C1399,Deflatores!G$4:H$38,2,FALSE)*H1399+VLOOKUP(C1399,Deflatores!G$4:I$38,3,FALSE)))</f>
        <v>3</v>
      </c>
      <c r="M1399" s="6"/>
      <c r="N1399" s="6"/>
      <c r="O1399" s="144" t="s">
        <v>1180</v>
      </c>
    </row>
    <row r="1400" spans="1:15" x14ac:dyDescent="0.25">
      <c r="A1400" s="145" t="s">
        <v>1187</v>
      </c>
      <c r="B1400" s="113" t="s">
        <v>48</v>
      </c>
      <c r="C1400" s="113" t="s">
        <v>45</v>
      </c>
      <c r="D1400" s="4">
        <v>3</v>
      </c>
      <c r="E1400" s="4">
        <v>1</v>
      </c>
      <c r="F1400" s="5" t="str">
        <f t="shared" si="323"/>
        <v>Baixa</v>
      </c>
      <c r="G1400" s="4" t="str">
        <f t="shared" si="324"/>
        <v>EEL</v>
      </c>
      <c r="H1400" s="151">
        <f t="shared" si="325"/>
        <v>3</v>
      </c>
      <c r="I1400" s="105" t="str">
        <f t="shared" si="326"/>
        <v>L</v>
      </c>
      <c r="J1400" s="4" t="str">
        <f t="shared" si="327"/>
        <v>EEI</v>
      </c>
      <c r="K1400" s="152">
        <f t="shared" si="328"/>
        <v>3</v>
      </c>
      <c r="L1400" s="106">
        <f>IF(NOT(ISERROR(VLOOKUP(B1400,Deflatores!G$42:H$64,2,FALSE))),VLOOKUP(B1400,Deflatores!G$42:H$64,2,FALSE),IF(OR(ISBLANK(C1400),ISBLANK(B1400)),"",VLOOKUP(C1400,Deflatores!G$4:H$38,2,FALSE)*H1400+VLOOKUP(C1400,Deflatores!G$4:I$38,3,FALSE)))</f>
        <v>3</v>
      </c>
      <c r="M1400" s="6"/>
      <c r="N1400" s="6"/>
      <c r="O1400" s="144"/>
    </row>
    <row r="1401" spans="1:15" x14ac:dyDescent="0.25">
      <c r="A1401" s="145" t="s">
        <v>1188</v>
      </c>
      <c r="B1401" s="113" t="s">
        <v>48</v>
      </c>
      <c r="C1401" s="113" t="s">
        <v>45</v>
      </c>
      <c r="D1401" s="4">
        <v>4</v>
      </c>
      <c r="E1401" s="4">
        <v>1</v>
      </c>
      <c r="F1401" s="5" t="str">
        <f t="shared" ref="F1401:F1408" si="329">IF(ISBLANK(B1401),"",IF(I1401="L","Baixa",IF(I1401="A","Média",IF(I1401="","","Alta"))))</f>
        <v>Baixa</v>
      </c>
      <c r="G1401" s="4" t="str">
        <f t="shared" ref="G1401:G1408" si="330">CONCATENATE(B1401,I1401)</f>
        <v>EEL</v>
      </c>
      <c r="H1401" s="151">
        <f t="shared" ref="H1401:H1408" si="331">IF(ISBLANK(B1401),"",IF(B1401="ALI",IF(I1401="L",7,IF(I1401="A",10,15)),IF(B1401="AIE",IF(I1401="L",5,IF(I1401="A",7,10)),IF(B1401="SE",IF(I1401="L",4,IF(I1401="A",5,7)),IF(OR(B1401="EE",B1401="CE"),IF(I1401="L",3,IF(I1401="A",4,6)),0)))))</f>
        <v>3</v>
      </c>
      <c r="I1401" s="105" t="str">
        <f t="shared" ref="I1401:I1408" si="332">IF(OR(ISBLANK(D1401),ISBLANK(E1401)),IF(OR(B1401="ALI",B1401="AIE"),"L",IF(OR(B1401="EE",B1401="SE",B1401="CE"),"A","")),IF(B1401="EE",IF(E1401&gt;=3,IF(D1401&gt;=5,"H","A"),IF(E1401&gt;=2,IF(D1401&gt;=16,"H",IF(D1401&lt;=4,"L","A")),IF(D1401&lt;=15,"L","A"))),IF(OR(B1401="SE",B1401="CE"),IF(E1401&gt;=4,IF(D1401&gt;=6,"H","A"),IF(E1401&gt;=2,IF(D1401&gt;=20,"H",IF(D1401&lt;=5,"L","A")),IF(D1401&lt;=19,"L","A"))),IF(OR(B1401="ALI",B1401="AIE"),IF(E1401&gt;=6,IF(D1401&gt;=20,"H","A"),IF(E1401&gt;=2,IF(D1401&gt;=51,"H",IF(D1401&lt;=19,"L","A")),IF(D1401&lt;=50,"L","A"))),""))))</f>
        <v>L</v>
      </c>
      <c r="J1401" s="4" t="str">
        <f t="shared" ref="J1401:J1408" si="333">CONCATENATE(B1401,C1401)</f>
        <v>EEI</v>
      </c>
      <c r="K1401" s="152">
        <f t="shared" ref="K1401:K1408" si="334">IF(OR(H1401="",H1401=0),L1401,H1401)</f>
        <v>3</v>
      </c>
      <c r="L1401" s="106">
        <f>IF(NOT(ISERROR(VLOOKUP(B1401,Deflatores!G$42:H$64,2,FALSE))),VLOOKUP(B1401,Deflatores!G$42:H$64,2,FALSE),IF(OR(ISBLANK(C1401),ISBLANK(B1401)),"",VLOOKUP(C1401,Deflatores!G$4:H$38,2,FALSE)*H1401+VLOOKUP(C1401,Deflatores!G$4:I$38,3,FALSE)))</f>
        <v>3</v>
      </c>
      <c r="M1401" s="6"/>
      <c r="N1401" s="6"/>
      <c r="O1401" s="144"/>
    </row>
    <row r="1402" spans="1:15" x14ac:dyDescent="0.25">
      <c r="A1402" s="146" t="s">
        <v>82</v>
      </c>
      <c r="B1402" s="113" t="s">
        <v>113</v>
      </c>
      <c r="C1402" s="113" t="s">
        <v>45</v>
      </c>
      <c r="D1402" s="4">
        <v>20</v>
      </c>
      <c r="E1402" s="4">
        <v>4</v>
      </c>
      <c r="F1402" s="5" t="str">
        <f t="shared" si="329"/>
        <v>Alta</v>
      </c>
      <c r="G1402" s="4" t="str">
        <f t="shared" si="330"/>
        <v>SEH</v>
      </c>
      <c r="H1402" s="151">
        <f t="shared" si="331"/>
        <v>7</v>
      </c>
      <c r="I1402" s="105" t="str">
        <f t="shared" si="332"/>
        <v>H</v>
      </c>
      <c r="J1402" s="4" t="str">
        <f t="shared" si="333"/>
        <v>SEI</v>
      </c>
      <c r="K1402" s="152">
        <f t="shared" si="334"/>
        <v>7</v>
      </c>
      <c r="L1402" s="106">
        <f>IF(NOT(ISERROR(VLOOKUP(B1402,Deflatores!G$42:H$64,2,FALSE))),VLOOKUP(B1402,Deflatores!G$42:H$64,2,FALSE),IF(OR(ISBLANK(C1402),ISBLANK(B1402)),"",VLOOKUP(C1402,Deflatores!G$4:H$38,2,FALSE)*H1402+VLOOKUP(C1402,Deflatores!G$4:I$38,3,FALSE)))</f>
        <v>7</v>
      </c>
      <c r="M1402" s="6"/>
      <c r="N1402" s="6"/>
      <c r="O1402" s="144" t="s">
        <v>1189</v>
      </c>
    </row>
    <row r="1403" spans="1:15" x14ac:dyDescent="0.25">
      <c r="A1403" s="145" t="s">
        <v>1190</v>
      </c>
      <c r="B1403" s="113" t="s">
        <v>48</v>
      </c>
      <c r="C1403" s="113" t="s">
        <v>45</v>
      </c>
      <c r="D1403" s="4">
        <v>8</v>
      </c>
      <c r="E1403" s="4">
        <v>2</v>
      </c>
      <c r="F1403" s="5" t="str">
        <f t="shared" si="329"/>
        <v>Média</v>
      </c>
      <c r="G1403" s="4" t="str">
        <f t="shared" si="330"/>
        <v>EEA</v>
      </c>
      <c r="H1403" s="151">
        <f t="shared" si="331"/>
        <v>4</v>
      </c>
      <c r="I1403" s="105" t="str">
        <f t="shared" si="332"/>
        <v>A</v>
      </c>
      <c r="J1403" s="4" t="str">
        <f t="shared" si="333"/>
        <v>EEI</v>
      </c>
      <c r="K1403" s="152">
        <f t="shared" si="334"/>
        <v>4</v>
      </c>
      <c r="L1403" s="106">
        <f>IF(NOT(ISERROR(VLOOKUP(B1403,Deflatores!G$42:H$64,2,FALSE))),VLOOKUP(B1403,Deflatores!G$42:H$64,2,FALSE),IF(OR(ISBLANK(C1403),ISBLANK(B1403)),"",VLOOKUP(C1403,Deflatores!G$4:H$38,2,FALSE)*H1403+VLOOKUP(C1403,Deflatores!G$4:I$38,3,FALSE)))</f>
        <v>4</v>
      </c>
      <c r="M1403" s="6"/>
      <c r="N1403" s="6"/>
      <c r="O1403" s="144"/>
    </row>
    <row r="1404" spans="1:15" x14ac:dyDescent="0.25">
      <c r="A1404" s="145" t="s">
        <v>1191</v>
      </c>
      <c r="B1404" s="113" t="s">
        <v>48</v>
      </c>
      <c r="C1404" s="113" t="s">
        <v>45</v>
      </c>
      <c r="D1404" s="4">
        <v>8</v>
      </c>
      <c r="E1404" s="4">
        <v>2</v>
      </c>
      <c r="F1404" s="5" t="str">
        <f t="shared" si="329"/>
        <v>Média</v>
      </c>
      <c r="G1404" s="4" t="str">
        <f t="shared" si="330"/>
        <v>EEA</v>
      </c>
      <c r="H1404" s="151">
        <f t="shared" si="331"/>
        <v>4</v>
      </c>
      <c r="I1404" s="105" t="str">
        <f t="shared" si="332"/>
        <v>A</v>
      </c>
      <c r="J1404" s="4" t="str">
        <f t="shared" si="333"/>
        <v>EEI</v>
      </c>
      <c r="K1404" s="152">
        <f t="shared" si="334"/>
        <v>4</v>
      </c>
      <c r="L1404" s="106">
        <f>IF(NOT(ISERROR(VLOOKUP(B1404,Deflatores!G$42:H$64,2,FALSE))),VLOOKUP(B1404,Deflatores!G$42:H$64,2,FALSE),IF(OR(ISBLANK(C1404),ISBLANK(B1404)),"",VLOOKUP(C1404,Deflatores!G$4:H$38,2,FALSE)*H1404+VLOOKUP(C1404,Deflatores!G$4:I$38,3,FALSE)))</f>
        <v>4</v>
      </c>
      <c r="M1404" s="6"/>
      <c r="N1404" s="6"/>
      <c r="O1404" s="144"/>
    </row>
    <row r="1405" spans="1:15" x14ac:dyDescent="0.25">
      <c r="A1405" s="145" t="s">
        <v>1192</v>
      </c>
      <c r="B1405" s="113" t="s">
        <v>113</v>
      </c>
      <c r="C1405" s="113" t="s">
        <v>45</v>
      </c>
      <c r="D1405" s="4">
        <v>22</v>
      </c>
      <c r="E1405" s="4">
        <v>4</v>
      </c>
      <c r="F1405" s="5" t="str">
        <f t="shared" si="329"/>
        <v>Alta</v>
      </c>
      <c r="G1405" s="4" t="str">
        <f t="shared" si="330"/>
        <v>SEH</v>
      </c>
      <c r="H1405" s="151">
        <f t="shared" si="331"/>
        <v>7</v>
      </c>
      <c r="I1405" s="105" t="str">
        <f t="shared" si="332"/>
        <v>H</v>
      </c>
      <c r="J1405" s="4" t="str">
        <f t="shared" si="333"/>
        <v>SEI</v>
      </c>
      <c r="K1405" s="152">
        <f t="shared" si="334"/>
        <v>7</v>
      </c>
      <c r="L1405" s="106">
        <f>IF(NOT(ISERROR(VLOOKUP(B1405,Deflatores!G$42:H$64,2,FALSE))),VLOOKUP(B1405,Deflatores!G$42:H$64,2,FALSE),IF(OR(ISBLANK(C1405),ISBLANK(B1405)),"",VLOOKUP(C1405,Deflatores!G$4:H$38,2,FALSE)*H1405+VLOOKUP(C1405,Deflatores!G$4:I$38,3,FALSE)))</f>
        <v>7</v>
      </c>
      <c r="M1405" s="6"/>
      <c r="N1405" s="6"/>
      <c r="O1405" s="144" t="s">
        <v>1189</v>
      </c>
    </row>
    <row r="1406" spans="1:15" x14ac:dyDescent="0.25">
      <c r="A1406" s="145" t="s">
        <v>1193</v>
      </c>
      <c r="B1406" s="113" t="s">
        <v>48</v>
      </c>
      <c r="C1406" s="113" t="s">
        <v>45</v>
      </c>
      <c r="D1406" s="4">
        <v>3</v>
      </c>
      <c r="E1406" s="4">
        <v>1</v>
      </c>
      <c r="F1406" s="5" t="str">
        <f t="shared" si="329"/>
        <v>Baixa</v>
      </c>
      <c r="G1406" s="4" t="str">
        <f t="shared" si="330"/>
        <v>EEL</v>
      </c>
      <c r="H1406" s="151">
        <f t="shared" si="331"/>
        <v>3</v>
      </c>
      <c r="I1406" s="105" t="str">
        <f t="shared" si="332"/>
        <v>L</v>
      </c>
      <c r="J1406" s="4" t="str">
        <f t="shared" si="333"/>
        <v>EEI</v>
      </c>
      <c r="K1406" s="152">
        <f t="shared" si="334"/>
        <v>3</v>
      </c>
      <c r="L1406" s="106">
        <f>IF(NOT(ISERROR(VLOOKUP(B1406,Deflatores!G$42:H$64,2,FALSE))),VLOOKUP(B1406,Deflatores!G$42:H$64,2,FALSE),IF(OR(ISBLANK(C1406),ISBLANK(B1406)),"",VLOOKUP(C1406,Deflatores!G$4:H$38,2,FALSE)*H1406+VLOOKUP(C1406,Deflatores!G$4:I$38,3,FALSE)))</f>
        <v>3</v>
      </c>
      <c r="M1406" s="6"/>
      <c r="N1406" s="6"/>
      <c r="O1406" s="144"/>
    </row>
    <row r="1407" spans="1:15" x14ac:dyDescent="0.25">
      <c r="A1407" s="145" t="s">
        <v>1194</v>
      </c>
      <c r="B1407" s="113" t="s">
        <v>48</v>
      </c>
      <c r="C1407" s="113" t="s">
        <v>45</v>
      </c>
      <c r="D1407" s="4">
        <v>3</v>
      </c>
      <c r="E1407" s="4">
        <v>1</v>
      </c>
      <c r="F1407" s="5" t="str">
        <f t="shared" si="329"/>
        <v>Baixa</v>
      </c>
      <c r="G1407" s="4" t="str">
        <f t="shared" si="330"/>
        <v>EEL</v>
      </c>
      <c r="H1407" s="151">
        <f t="shared" si="331"/>
        <v>3</v>
      </c>
      <c r="I1407" s="105" t="str">
        <f t="shared" si="332"/>
        <v>L</v>
      </c>
      <c r="J1407" s="4" t="str">
        <f t="shared" si="333"/>
        <v>EEI</v>
      </c>
      <c r="K1407" s="152">
        <f t="shared" si="334"/>
        <v>3</v>
      </c>
      <c r="L1407" s="106">
        <f>IF(NOT(ISERROR(VLOOKUP(B1407,Deflatores!G$42:H$64,2,FALSE))),VLOOKUP(B1407,Deflatores!G$42:H$64,2,FALSE),IF(OR(ISBLANK(C1407),ISBLANK(B1407)),"",VLOOKUP(C1407,Deflatores!G$4:H$38,2,FALSE)*H1407+VLOOKUP(C1407,Deflatores!G$4:I$38,3,FALSE)))</f>
        <v>3</v>
      </c>
      <c r="M1407" s="6"/>
      <c r="N1407" s="6"/>
      <c r="O1407" s="144"/>
    </row>
    <row r="1408" spans="1:15" x14ac:dyDescent="0.25">
      <c r="A1408" s="145" t="s">
        <v>1195</v>
      </c>
      <c r="B1408" s="113" t="s">
        <v>48</v>
      </c>
      <c r="C1408" s="113" t="s">
        <v>45</v>
      </c>
      <c r="D1408" s="4">
        <v>3</v>
      </c>
      <c r="E1408" s="4">
        <v>1</v>
      </c>
      <c r="F1408" s="5" t="str">
        <f t="shared" si="329"/>
        <v>Baixa</v>
      </c>
      <c r="G1408" s="4" t="str">
        <f t="shared" si="330"/>
        <v>EEL</v>
      </c>
      <c r="H1408" s="151">
        <f t="shared" si="331"/>
        <v>3</v>
      </c>
      <c r="I1408" s="105" t="str">
        <f t="shared" si="332"/>
        <v>L</v>
      </c>
      <c r="J1408" s="4" t="str">
        <f t="shared" si="333"/>
        <v>EEI</v>
      </c>
      <c r="K1408" s="152">
        <f t="shared" si="334"/>
        <v>3</v>
      </c>
      <c r="L1408" s="106">
        <f>IF(NOT(ISERROR(VLOOKUP(B1408,Deflatores!G$42:H$64,2,FALSE))),VLOOKUP(B1408,Deflatores!G$42:H$64,2,FALSE),IF(OR(ISBLANK(C1408),ISBLANK(B1408)),"",VLOOKUP(C1408,Deflatores!G$4:H$38,2,FALSE)*H1408+VLOOKUP(C1408,Deflatores!G$4:I$38,3,FALSE)))</f>
        <v>3</v>
      </c>
      <c r="M1408" s="6"/>
      <c r="N1408" s="6"/>
      <c r="O1408" s="144"/>
    </row>
    <row r="1409" spans="1:15" x14ac:dyDescent="0.25">
      <c r="A1409" s="145"/>
      <c r="B1409" s="113"/>
      <c r="C1409" s="113"/>
      <c r="D1409" s="4"/>
      <c r="E1409" s="4"/>
      <c r="F1409" s="5" t="str">
        <f t="shared" si="323"/>
        <v/>
      </c>
      <c r="G1409" s="4" t="str">
        <f t="shared" si="324"/>
        <v/>
      </c>
      <c r="H1409" s="151" t="str">
        <f t="shared" si="325"/>
        <v/>
      </c>
      <c r="I1409" s="105" t="str">
        <f t="shared" si="326"/>
        <v/>
      </c>
      <c r="J1409" s="4" t="str">
        <f t="shared" si="327"/>
        <v/>
      </c>
      <c r="K1409" s="152" t="str">
        <f t="shared" si="328"/>
        <v/>
      </c>
      <c r="L1409" s="106" t="str">
        <f>IF(NOT(ISERROR(VLOOKUP(B1409,Deflatores!G$42:H$64,2,FALSE))),VLOOKUP(B1409,Deflatores!G$42:H$64,2,FALSE),IF(OR(ISBLANK(C1409),ISBLANK(B1409)),"",VLOOKUP(C1409,Deflatores!G$4:H$38,2,FALSE)*H1409+VLOOKUP(C1409,Deflatores!G$4:I$38,3,FALSE)))</f>
        <v/>
      </c>
      <c r="M1409" s="6"/>
      <c r="N1409" s="6"/>
      <c r="O1409" s="144"/>
    </row>
    <row r="1410" spans="1:15" ht="22" x14ac:dyDescent="0.25">
      <c r="A1410" s="143" t="s">
        <v>1196</v>
      </c>
      <c r="B1410" s="113"/>
      <c r="C1410" s="113"/>
      <c r="D1410" s="4"/>
      <c r="E1410" s="4"/>
      <c r="F1410" s="5" t="str">
        <f t="shared" si="323"/>
        <v/>
      </c>
      <c r="G1410" s="4" t="str">
        <f t="shared" si="324"/>
        <v/>
      </c>
      <c r="H1410" s="151" t="str">
        <f t="shared" si="325"/>
        <v/>
      </c>
      <c r="I1410" s="105" t="str">
        <f t="shared" si="326"/>
        <v/>
      </c>
      <c r="J1410" s="4" t="str">
        <f t="shared" si="327"/>
        <v/>
      </c>
      <c r="K1410" s="152" t="str">
        <f t="shared" si="328"/>
        <v/>
      </c>
      <c r="L1410" s="106" t="str">
        <f>IF(NOT(ISERROR(VLOOKUP(B1410,Deflatores!G$42:H$64,2,FALSE))),VLOOKUP(B1410,Deflatores!G$42:H$64,2,FALSE),IF(OR(ISBLANK(C1410),ISBLANK(B1410)),"",VLOOKUP(C1410,Deflatores!G$4:H$38,2,FALSE)*H1410+VLOOKUP(C1410,Deflatores!G$4:I$38,3,FALSE)))</f>
        <v/>
      </c>
      <c r="M1410" s="6"/>
      <c r="N1410" s="6"/>
      <c r="O1410" s="144"/>
    </row>
    <row r="1411" spans="1:15" x14ac:dyDescent="0.25">
      <c r="A1411" s="145" t="s">
        <v>1183</v>
      </c>
      <c r="B1411" s="113" t="s">
        <v>48</v>
      </c>
      <c r="C1411" s="113" t="s">
        <v>45</v>
      </c>
      <c r="D1411" s="4">
        <v>4</v>
      </c>
      <c r="E1411" s="4">
        <v>1</v>
      </c>
      <c r="F1411" s="5" t="str">
        <f t="shared" si="323"/>
        <v>Baixa</v>
      </c>
      <c r="G1411" s="4" t="str">
        <f t="shared" si="324"/>
        <v>EEL</v>
      </c>
      <c r="H1411" s="151">
        <f t="shared" si="325"/>
        <v>3</v>
      </c>
      <c r="I1411" s="105" t="str">
        <f t="shared" si="326"/>
        <v>L</v>
      </c>
      <c r="J1411" s="4" t="str">
        <f t="shared" si="327"/>
        <v>EEI</v>
      </c>
      <c r="K1411" s="152">
        <f t="shared" si="328"/>
        <v>3</v>
      </c>
      <c r="L1411" s="106">
        <f>IF(NOT(ISERROR(VLOOKUP(B1411,Deflatores!G$42:H$64,2,FALSE))),VLOOKUP(B1411,Deflatores!G$42:H$64,2,FALSE),IF(OR(ISBLANK(C1411),ISBLANK(B1411)),"",VLOOKUP(C1411,Deflatores!G$4:H$38,2,FALSE)*H1411+VLOOKUP(C1411,Deflatores!G$4:I$38,3,FALSE)))</f>
        <v>3</v>
      </c>
      <c r="M1411" s="6"/>
      <c r="N1411" s="6"/>
      <c r="O1411" s="144"/>
    </row>
    <row r="1412" spans="1:15" x14ac:dyDescent="0.25">
      <c r="A1412" s="145" t="s">
        <v>1197</v>
      </c>
      <c r="B1412" s="113" t="s">
        <v>48</v>
      </c>
      <c r="C1412" s="113" t="s">
        <v>45</v>
      </c>
      <c r="D1412" s="4">
        <v>5</v>
      </c>
      <c r="E1412" s="4">
        <v>2</v>
      </c>
      <c r="F1412" s="5" t="str">
        <f t="shared" si="323"/>
        <v>Média</v>
      </c>
      <c r="G1412" s="4" t="str">
        <f t="shared" si="324"/>
        <v>EEA</v>
      </c>
      <c r="H1412" s="151">
        <f t="shared" si="325"/>
        <v>4</v>
      </c>
      <c r="I1412" s="105" t="str">
        <f t="shared" si="326"/>
        <v>A</v>
      </c>
      <c r="J1412" s="4" t="str">
        <f t="shared" si="327"/>
        <v>EEI</v>
      </c>
      <c r="K1412" s="152">
        <f t="shared" si="328"/>
        <v>4</v>
      </c>
      <c r="L1412" s="106">
        <f>IF(NOT(ISERROR(VLOOKUP(B1412,Deflatores!G$42:H$64,2,FALSE))),VLOOKUP(B1412,Deflatores!G$42:H$64,2,FALSE),IF(OR(ISBLANK(C1412),ISBLANK(B1412)),"",VLOOKUP(C1412,Deflatores!G$4:H$38,2,FALSE)*H1412+VLOOKUP(C1412,Deflatores!G$4:I$38,3,FALSE)))</f>
        <v>4</v>
      </c>
      <c r="M1412" s="6"/>
      <c r="N1412" s="6"/>
      <c r="O1412" s="144"/>
    </row>
    <row r="1413" spans="1:15" x14ac:dyDescent="0.25">
      <c r="A1413" s="146" t="s">
        <v>1198</v>
      </c>
      <c r="B1413" s="113" t="s">
        <v>50</v>
      </c>
      <c r="C1413" s="113" t="s">
        <v>45</v>
      </c>
      <c r="D1413" s="4">
        <v>3</v>
      </c>
      <c r="E1413" s="4">
        <v>1</v>
      </c>
      <c r="F1413" s="5" t="str">
        <f t="shared" si="323"/>
        <v>Baixa</v>
      </c>
      <c r="G1413" s="4" t="str">
        <f t="shared" si="324"/>
        <v>CEL</v>
      </c>
      <c r="H1413" s="151">
        <f t="shared" si="325"/>
        <v>3</v>
      </c>
      <c r="I1413" s="105" t="str">
        <f t="shared" si="326"/>
        <v>L</v>
      </c>
      <c r="J1413" s="4" t="str">
        <f t="shared" si="327"/>
        <v>CEI</v>
      </c>
      <c r="K1413" s="152">
        <f t="shared" si="328"/>
        <v>3</v>
      </c>
      <c r="L1413" s="106">
        <f>IF(NOT(ISERROR(VLOOKUP(B1413,Deflatores!G$42:H$64,2,FALSE))),VLOOKUP(B1413,Deflatores!G$42:H$64,2,FALSE),IF(OR(ISBLANK(C1413),ISBLANK(B1413)),"",VLOOKUP(C1413,Deflatores!G$4:H$38,2,FALSE)*H1413+VLOOKUP(C1413,Deflatores!G$4:I$38,3,FALSE)))</f>
        <v>3</v>
      </c>
      <c r="M1413" s="6"/>
      <c r="N1413" s="6"/>
      <c r="O1413" s="144"/>
    </row>
    <row r="1414" spans="1:15" x14ac:dyDescent="0.25">
      <c r="A1414" s="145" t="s">
        <v>1199</v>
      </c>
      <c r="B1414" s="113" t="s">
        <v>48</v>
      </c>
      <c r="C1414" s="113" t="s">
        <v>45</v>
      </c>
      <c r="D1414" s="4">
        <v>4</v>
      </c>
      <c r="E1414" s="4">
        <v>1</v>
      </c>
      <c r="F1414" s="5" t="str">
        <f t="shared" si="323"/>
        <v>Baixa</v>
      </c>
      <c r="G1414" s="4" t="str">
        <f t="shared" si="324"/>
        <v>EEL</v>
      </c>
      <c r="H1414" s="151">
        <f t="shared" si="325"/>
        <v>3</v>
      </c>
      <c r="I1414" s="105" t="str">
        <f t="shared" si="326"/>
        <v>L</v>
      </c>
      <c r="J1414" s="4" t="str">
        <f t="shared" si="327"/>
        <v>EEI</v>
      </c>
      <c r="K1414" s="152">
        <f t="shared" si="328"/>
        <v>3</v>
      </c>
      <c r="L1414" s="106">
        <f>IF(NOT(ISERROR(VLOOKUP(B1414,Deflatores!G$42:H$64,2,FALSE))),VLOOKUP(B1414,Deflatores!G$42:H$64,2,FALSE),IF(OR(ISBLANK(C1414),ISBLANK(B1414)),"",VLOOKUP(C1414,Deflatores!G$4:H$38,2,FALSE)*H1414+VLOOKUP(C1414,Deflatores!G$4:I$38,3,FALSE)))</f>
        <v>3</v>
      </c>
      <c r="M1414" s="6"/>
      <c r="N1414" s="6"/>
      <c r="O1414" s="144"/>
    </row>
    <row r="1415" spans="1:15" x14ac:dyDescent="0.25">
      <c r="A1415" s="146" t="s">
        <v>82</v>
      </c>
      <c r="B1415" s="113" t="s">
        <v>113</v>
      </c>
      <c r="C1415" s="113" t="s">
        <v>45</v>
      </c>
      <c r="D1415" s="4">
        <v>19</v>
      </c>
      <c r="E1415" s="4">
        <v>2</v>
      </c>
      <c r="F1415" s="5" t="str">
        <f t="shared" si="323"/>
        <v>Média</v>
      </c>
      <c r="G1415" s="4" t="str">
        <f t="shared" si="324"/>
        <v>SEA</v>
      </c>
      <c r="H1415" s="151">
        <f t="shared" si="325"/>
        <v>5</v>
      </c>
      <c r="I1415" s="105" t="str">
        <f t="shared" si="326"/>
        <v>A</v>
      </c>
      <c r="J1415" s="4" t="str">
        <f t="shared" si="327"/>
        <v>SEI</v>
      </c>
      <c r="K1415" s="152">
        <f t="shared" si="328"/>
        <v>5</v>
      </c>
      <c r="L1415" s="106">
        <f>IF(NOT(ISERROR(VLOOKUP(B1415,Deflatores!G$42:H$64,2,FALSE))),VLOOKUP(B1415,Deflatores!G$42:H$64,2,FALSE),IF(OR(ISBLANK(C1415),ISBLANK(B1415)),"",VLOOKUP(C1415,Deflatores!G$4:H$38,2,FALSE)*H1415+VLOOKUP(C1415,Deflatores!G$4:I$38,3,FALSE)))</f>
        <v>5</v>
      </c>
      <c r="M1415" s="6"/>
      <c r="N1415" s="6"/>
      <c r="O1415" s="144" t="s">
        <v>1189</v>
      </c>
    </row>
    <row r="1416" spans="1:15" x14ac:dyDescent="0.25">
      <c r="A1416" s="145" t="s">
        <v>1200</v>
      </c>
      <c r="B1416" s="113" t="s">
        <v>48</v>
      </c>
      <c r="C1416" s="113" t="s">
        <v>45</v>
      </c>
      <c r="D1416" s="4">
        <v>5</v>
      </c>
      <c r="E1416" s="4">
        <v>2</v>
      </c>
      <c r="F1416" s="5" t="str">
        <f t="shared" si="323"/>
        <v>Média</v>
      </c>
      <c r="G1416" s="4" t="str">
        <f t="shared" si="324"/>
        <v>EEA</v>
      </c>
      <c r="H1416" s="151">
        <f t="shared" si="325"/>
        <v>4</v>
      </c>
      <c r="I1416" s="105" t="str">
        <f t="shared" si="326"/>
        <v>A</v>
      </c>
      <c r="J1416" s="4" t="str">
        <f t="shared" si="327"/>
        <v>EEI</v>
      </c>
      <c r="K1416" s="152">
        <f t="shared" si="328"/>
        <v>4</v>
      </c>
      <c r="L1416" s="106">
        <f>IF(NOT(ISERROR(VLOOKUP(B1416,Deflatores!G$42:H$64,2,FALSE))),VLOOKUP(B1416,Deflatores!G$42:H$64,2,FALSE),IF(OR(ISBLANK(C1416),ISBLANK(B1416)),"",VLOOKUP(C1416,Deflatores!G$4:H$38,2,FALSE)*H1416+VLOOKUP(C1416,Deflatores!G$4:I$38,3,FALSE)))</f>
        <v>4</v>
      </c>
      <c r="M1416" s="6"/>
      <c r="N1416" s="6"/>
      <c r="O1416" s="144"/>
    </row>
    <row r="1417" spans="1:15" x14ac:dyDescent="0.25">
      <c r="A1417" s="145" t="s">
        <v>1201</v>
      </c>
      <c r="B1417" s="113" t="s">
        <v>113</v>
      </c>
      <c r="C1417" s="113" t="s">
        <v>45</v>
      </c>
      <c r="D1417" s="4">
        <v>21</v>
      </c>
      <c r="E1417" s="4">
        <v>2</v>
      </c>
      <c r="F1417" s="5" t="str">
        <f t="shared" si="323"/>
        <v>Alta</v>
      </c>
      <c r="G1417" s="4" t="str">
        <f t="shared" si="324"/>
        <v>SEH</v>
      </c>
      <c r="H1417" s="151">
        <f t="shared" si="325"/>
        <v>7</v>
      </c>
      <c r="I1417" s="105" t="str">
        <f t="shared" si="326"/>
        <v>H</v>
      </c>
      <c r="J1417" s="4" t="str">
        <f t="shared" si="327"/>
        <v>SEI</v>
      </c>
      <c r="K1417" s="152">
        <f t="shared" si="328"/>
        <v>7</v>
      </c>
      <c r="L1417" s="106">
        <f>IF(NOT(ISERROR(VLOOKUP(B1417,Deflatores!G$42:H$64,2,FALSE))),VLOOKUP(B1417,Deflatores!G$42:H$64,2,FALSE),IF(OR(ISBLANK(C1417),ISBLANK(B1417)),"",VLOOKUP(C1417,Deflatores!G$4:H$38,2,FALSE)*H1417+VLOOKUP(C1417,Deflatores!G$4:I$38,3,FALSE)))</f>
        <v>7</v>
      </c>
      <c r="M1417" s="6"/>
      <c r="N1417" s="6"/>
      <c r="O1417" s="144" t="s">
        <v>1189</v>
      </c>
    </row>
    <row r="1418" spans="1:15" x14ac:dyDescent="0.25">
      <c r="A1418" s="145" t="s">
        <v>1202</v>
      </c>
      <c r="B1418" s="113" t="s">
        <v>48</v>
      </c>
      <c r="C1418" s="113" t="s">
        <v>45</v>
      </c>
      <c r="D1418" s="4">
        <v>3</v>
      </c>
      <c r="E1418" s="4">
        <v>1</v>
      </c>
      <c r="F1418" s="5" t="str">
        <f>IF(ISBLANK(B1418),"",IF(I1418="L","Baixa",IF(I1418="A","Média",IF(I1418="","","Alta"))))</f>
        <v>Baixa</v>
      </c>
      <c r="G1418" s="4" t="str">
        <f>CONCATENATE(B1418,I1418)</f>
        <v>EEL</v>
      </c>
      <c r="H1418" s="151">
        <f>IF(ISBLANK(B1418),"",IF(B1418="ALI",IF(I1418="L",7,IF(I1418="A",10,15)),IF(B1418="AIE",IF(I1418="L",5,IF(I1418="A",7,10)),IF(B1418="SE",IF(I1418="L",4,IF(I1418="A",5,7)),IF(OR(B1418="EE",B1418="CE"),IF(I1418="L",3,IF(I1418="A",4,6)),0)))))</f>
        <v>3</v>
      </c>
      <c r="I1418" s="105" t="str">
        <f>IF(OR(ISBLANK(D1418),ISBLANK(E1418)),IF(OR(B1418="ALI",B1418="AIE"),"L",IF(OR(B1418="EE",B1418="SE",B1418="CE"),"A","")),IF(B1418="EE",IF(E1418&gt;=3,IF(D1418&gt;=5,"H","A"),IF(E1418&gt;=2,IF(D1418&gt;=16,"H",IF(D1418&lt;=4,"L","A")),IF(D1418&lt;=15,"L","A"))),IF(OR(B1418="SE",B1418="CE"),IF(E1418&gt;=4,IF(D1418&gt;=6,"H","A"),IF(E1418&gt;=2,IF(D1418&gt;=20,"H",IF(D1418&lt;=5,"L","A")),IF(D1418&lt;=19,"L","A"))),IF(OR(B1418="ALI",B1418="AIE"),IF(E1418&gt;=6,IF(D1418&gt;=20,"H","A"),IF(E1418&gt;=2,IF(D1418&gt;=51,"H",IF(D1418&lt;=19,"L","A")),IF(D1418&lt;=50,"L","A"))),""))))</f>
        <v>L</v>
      </c>
      <c r="J1418" s="4" t="str">
        <f>CONCATENATE(B1418,C1418)</f>
        <v>EEI</v>
      </c>
      <c r="K1418" s="152">
        <f>IF(OR(H1418="",H1418=0),L1418,H1418)</f>
        <v>3</v>
      </c>
      <c r="L1418" s="106">
        <f>IF(NOT(ISERROR(VLOOKUP(B1418,Deflatores!G$42:H$64,2,FALSE))),VLOOKUP(B1418,Deflatores!G$42:H$64,2,FALSE),IF(OR(ISBLANK(C1418),ISBLANK(B1418)),"",VLOOKUP(C1418,Deflatores!G$4:H$38,2,FALSE)*H1418+VLOOKUP(C1418,Deflatores!G$4:I$38,3,FALSE)))</f>
        <v>3</v>
      </c>
      <c r="M1418" s="6"/>
      <c r="N1418" s="6"/>
      <c r="O1418" s="144"/>
    </row>
    <row r="1419" spans="1:15" x14ac:dyDescent="0.25">
      <c r="A1419" s="145" t="s">
        <v>1203</v>
      </c>
      <c r="B1419" s="113" t="s">
        <v>48</v>
      </c>
      <c r="C1419" s="113" t="s">
        <v>45</v>
      </c>
      <c r="D1419" s="4">
        <v>3</v>
      </c>
      <c r="E1419" s="4">
        <v>1</v>
      </c>
      <c r="F1419" s="5" t="str">
        <f>IF(ISBLANK(B1419),"",IF(I1419="L","Baixa",IF(I1419="A","Média",IF(I1419="","","Alta"))))</f>
        <v>Baixa</v>
      </c>
      <c r="G1419" s="4" t="str">
        <f>CONCATENATE(B1419,I1419)</f>
        <v>EEL</v>
      </c>
      <c r="H1419" s="151">
        <f>IF(ISBLANK(B1419),"",IF(B1419="ALI",IF(I1419="L",7,IF(I1419="A",10,15)),IF(B1419="AIE",IF(I1419="L",5,IF(I1419="A",7,10)),IF(B1419="SE",IF(I1419="L",4,IF(I1419="A",5,7)),IF(OR(B1419="EE",B1419="CE"),IF(I1419="L",3,IF(I1419="A",4,6)),0)))))</f>
        <v>3</v>
      </c>
      <c r="I1419" s="105" t="str">
        <f>IF(OR(ISBLANK(D1419),ISBLANK(E1419)),IF(OR(B1419="ALI",B1419="AIE"),"L",IF(OR(B1419="EE",B1419="SE",B1419="CE"),"A","")),IF(B1419="EE",IF(E1419&gt;=3,IF(D1419&gt;=5,"H","A"),IF(E1419&gt;=2,IF(D1419&gt;=16,"H",IF(D1419&lt;=4,"L","A")),IF(D1419&lt;=15,"L","A"))),IF(OR(B1419="SE",B1419="CE"),IF(E1419&gt;=4,IF(D1419&gt;=6,"H","A"),IF(E1419&gt;=2,IF(D1419&gt;=20,"H",IF(D1419&lt;=5,"L","A")),IF(D1419&lt;=19,"L","A"))),IF(OR(B1419="ALI",B1419="AIE"),IF(E1419&gt;=6,IF(D1419&gt;=20,"H","A"),IF(E1419&gt;=2,IF(D1419&gt;=51,"H",IF(D1419&lt;=19,"L","A")),IF(D1419&lt;=50,"L","A"))),""))))</f>
        <v>L</v>
      </c>
      <c r="J1419" s="4" t="str">
        <f>CONCATENATE(B1419,C1419)</f>
        <v>EEI</v>
      </c>
      <c r="K1419" s="152">
        <f>IF(OR(H1419="",H1419=0),L1419,H1419)</f>
        <v>3</v>
      </c>
      <c r="L1419" s="106">
        <f>IF(NOT(ISERROR(VLOOKUP(B1419,Deflatores!G$42:H$64,2,FALSE))),VLOOKUP(B1419,Deflatores!G$42:H$64,2,FALSE),IF(OR(ISBLANK(C1419),ISBLANK(B1419)),"",VLOOKUP(C1419,Deflatores!G$4:H$38,2,FALSE)*H1419+VLOOKUP(C1419,Deflatores!G$4:I$38,3,FALSE)))</f>
        <v>3</v>
      </c>
      <c r="M1419" s="6"/>
      <c r="N1419" s="6"/>
      <c r="O1419" s="144"/>
    </row>
    <row r="1420" spans="1:15" x14ac:dyDescent="0.25">
      <c r="A1420" s="145"/>
      <c r="B1420" s="113"/>
      <c r="C1420" s="113"/>
      <c r="D1420" s="4"/>
      <c r="E1420" s="4"/>
      <c r="F1420" s="5" t="str">
        <f t="shared" si="323"/>
        <v/>
      </c>
      <c r="G1420" s="4" t="str">
        <f t="shared" si="324"/>
        <v/>
      </c>
      <c r="H1420" s="151" t="str">
        <f t="shared" si="325"/>
        <v/>
      </c>
      <c r="I1420" s="105" t="str">
        <f t="shared" si="326"/>
        <v/>
      </c>
      <c r="J1420" s="4" t="str">
        <f t="shared" si="327"/>
        <v/>
      </c>
      <c r="K1420" s="152" t="str">
        <f t="shared" si="328"/>
        <v/>
      </c>
      <c r="L1420" s="106" t="str">
        <f>IF(NOT(ISERROR(VLOOKUP(B1420,Deflatores!G$42:H$64,2,FALSE))),VLOOKUP(B1420,Deflatores!G$42:H$64,2,FALSE),IF(OR(ISBLANK(C1420),ISBLANK(B1420)),"",VLOOKUP(C1420,Deflatores!G$4:H$38,2,FALSE)*H1420+VLOOKUP(C1420,Deflatores!G$4:I$38,3,FALSE)))</f>
        <v/>
      </c>
      <c r="M1420" s="6"/>
      <c r="N1420" s="6"/>
      <c r="O1420" s="144"/>
    </row>
    <row r="1421" spans="1:15" x14ac:dyDescent="0.25">
      <c r="A1421" s="143" t="s">
        <v>1204</v>
      </c>
      <c r="B1421" s="113"/>
      <c r="C1421" s="113"/>
      <c r="D1421" s="4"/>
      <c r="E1421" s="4"/>
      <c r="F1421" s="5" t="str">
        <f t="shared" si="323"/>
        <v/>
      </c>
      <c r="G1421" s="4" t="str">
        <f t="shared" si="324"/>
        <v/>
      </c>
      <c r="H1421" s="151" t="str">
        <f t="shared" si="325"/>
        <v/>
      </c>
      <c r="I1421" s="105" t="str">
        <f t="shared" si="326"/>
        <v/>
      </c>
      <c r="J1421" s="4" t="str">
        <f t="shared" si="327"/>
        <v/>
      </c>
      <c r="K1421" s="152" t="str">
        <f t="shared" si="328"/>
        <v/>
      </c>
      <c r="L1421" s="106" t="str">
        <f>IF(NOT(ISERROR(VLOOKUP(B1421,Deflatores!G$42:H$64,2,FALSE))),VLOOKUP(B1421,Deflatores!G$42:H$64,2,FALSE),IF(OR(ISBLANK(C1421),ISBLANK(B1421)),"",VLOOKUP(C1421,Deflatores!G$4:H$38,2,FALSE)*H1421+VLOOKUP(C1421,Deflatores!G$4:I$38,3,FALSE)))</f>
        <v/>
      </c>
      <c r="M1421" s="6"/>
      <c r="N1421" s="6"/>
      <c r="O1421" s="144"/>
    </row>
    <row r="1422" spans="1:15" x14ac:dyDescent="0.25">
      <c r="A1422" s="145" t="s">
        <v>1205</v>
      </c>
      <c r="B1422" s="113" t="s">
        <v>50</v>
      </c>
      <c r="C1422" s="113" t="s">
        <v>45</v>
      </c>
      <c r="D1422" s="4">
        <v>6</v>
      </c>
      <c r="E1422" s="4">
        <v>1</v>
      </c>
      <c r="F1422" s="5" t="str">
        <f t="shared" si="323"/>
        <v>Baixa</v>
      </c>
      <c r="G1422" s="4" t="str">
        <f t="shared" si="324"/>
        <v>CEL</v>
      </c>
      <c r="H1422" s="151">
        <f t="shared" si="325"/>
        <v>3</v>
      </c>
      <c r="I1422" s="105" t="str">
        <f t="shared" si="326"/>
        <v>L</v>
      </c>
      <c r="J1422" s="4" t="str">
        <f t="shared" si="327"/>
        <v>CEI</v>
      </c>
      <c r="K1422" s="152">
        <f t="shared" si="328"/>
        <v>3</v>
      </c>
      <c r="L1422" s="106">
        <f>IF(NOT(ISERROR(VLOOKUP(B1422,Deflatores!G$42:H$64,2,FALSE))),VLOOKUP(B1422,Deflatores!G$42:H$64,2,FALSE),IF(OR(ISBLANK(C1422),ISBLANK(B1422)),"",VLOOKUP(C1422,Deflatores!G$4:H$38,2,FALSE)*H1422+VLOOKUP(C1422,Deflatores!G$4:I$38,3,FALSE)))</f>
        <v>3</v>
      </c>
      <c r="M1422" s="6"/>
      <c r="N1422" s="6"/>
      <c r="O1422" s="144"/>
    </row>
    <row r="1423" spans="1:15" x14ac:dyDescent="0.25">
      <c r="A1423" s="145"/>
      <c r="B1423" s="113"/>
      <c r="C1423" s="113"/>
      <c r="D1423" s="4"/>
      <c r="E1423" s="4"/>
      <c r="F1423" s="5" t="str">
        <f t="shared" si="323"/>
        <v/>
      </c>
      <c r="G1423" s="4" t="str">
        <f t="shared" si="324"/>
        <v/>
      </c>
      <c r="H1423" s="151" t="str">
        <f t="shared" si="325"/>
        <v/>
      </c>
      <c r="I1423" s="105" t="str">
        <f t="shared" si="326"/>
        <v/>
      </c>
      <c r="J1423" s="4" t="str">
        <f t="shared" si="327"/>
        <v/>
      </c>
      <c r="K1423" s="152" t="str">
        <f t="shared" si="328"/>
        <v/>
      </c>
      <c r="L1423" s="106" t="str">
        <f>IF(NOT(ISERROR(VLOOKUP(B1423,Deflatores!G$42:H$64,2,FALSE))),VLOOKUP(B1423,Deflatores!G$42:H$64,2,FALSE),IF(OR(ISBLANK(C1423),ISBLANK(B1423)),"",VLOOKUP(C1423,Deflatores!G$4:H$38,2,FALSE)*H1423+VLOOKUP(C1423,Deflatores!G$4:I$38,3,FALSE)))</f>
        <v/>
      </c>
      <c r="M1423" s="6"/>
      <c r="N1423" s="6"/>
      <c r="O1423" s="144"/>
    </row>
    <row r="1424" spans="1:15" ht="14.25" customHeight="1" x14ac:dyDescent="0.25">
      <c r="A1424" s="143" t="s">
        <v>1206</v>
      </c>
      <c r="B1424" s="113"/>
      <c r="C1424" s="113"/>
      <c r="D1424" s="4"/>
      <c r="E1424" s="4"/>
      <c r="F1424" s="5" t="str">
        <f t="shared" si="323"/>
        <v/>
      </c>
      <c r="G1424" s="4" t="str">
        <f t="shared" si="324"/>
        <v/>
      </c>
      <c r="H1424" s="151" t="str">
        <f t="shared" si="325"/>
        <v/>
      </c>
      <c r="I1424" s="105" t="str">
        <f t="shared" si="326"/>
        <v/>
      </c>
      <c r="J1424" s="4" t="str">
        <f t="shared" si="327"/>
        <v/>
      </c>
      <c r="K1424" s="152" t="str">
        <f t="shared" si="328"/>
        <v/>
      </c>
      <c r="L1424" s="106" t="str">
        <f>IF(NOT(ISERROR(VLOOKUP(B1424,Deflatores!G$42:H$64,2,FALSE))),VLOOKUP(B1424,Deflatores!G$42:H$64,2,FALSE),IF(OR(ISBLANK(C1424),ISBLANK(B1424)),"",VLOOKUP(C1424,Deflatores!G$4:H$38,2,FALSE)*H1424+VLOOKUP(C1424,Deflatores!G$4:I$38,3,FALSE)))</f>
        <v/>
      </c>
      <c r="M1424" s="6"/>
      <c r="N1424" s="6"/>
      <c r="O1424" s="144" t="s">
        <v>1207</v>
      </c>
    </row>
    <row r="1425" spans="1:15" x14ac:dyDescent="0.25">
      <c r="A1425" s="145"/>
      <c r="B1425" s="113"/>
      <c r="C1425" s="113"/>
      <c r="D1425" s="4"/>
      <c r="E1425" s="4"/>
      <c r="F1425" s="5" t="str">
        <f t="shared" si="323"/>
        <v/>
      </c>
      <c r="G1425" s="4" t="str">
        <f t="shared" si="324"/>
        <v/>
      </c>
      <c r="H1425" s="151" t="str">
        <f t="shared" si="325"/>
        <v/>
      </c>
      <c r="I1425" s="105" t="str">
        <f t="shared" si="326"/>
        <v/>
      </c>
      <c r="J1425" s="4" t="str">
        <f t="shared" si="327"/>
        <v/>
      </c>
      <c r="K1425" s="152" t="str">
        <f t="shared" si="328"/>
        <v/>
      </c>
      <c r="L1425" s="106" t="str">
        <f>IF(NOT(ISERROR(VLOOKUP(B1425,Deflatores!G$42:H$64,2,FALSE))),VLOOKUP(B1425,Deflatores!G$42:H$64,2,FALSE),IF(OR(ISBLANK(C1425),ISBLANK(B1425)),"",VLOOKUP(C1425,Deflatores!G$4:H$38,2,FALSE)*H1425+VLOOKUP(C1425,Deflatores!G$4:I$38,3,FALSE)))</f>
        <v/>
      </c>
      <c r="M1425" s="6"/>
      <c r="N1425" s="6"/>
      <c r="O1425" s="144"/>
    </row>
    <row r="1426" spans="1:15" x14ac:dyDescent="0.25">
      <c r="A1426" s="143" t="s">
        <v>1208</v>
      </c>
      <c r="B1426" s="113"/>
      <c r="C1426" s="113"/>
      <c r="D1426" s="4"/>
      <c r="E1426" s="4"/>
      <c r="F1426" s="5" t="str">
        <f t="shared" si="323"/>
        <v/>
      </c>
      <c r="G1426" s="4" t="str">
        <f t="shared" si="324"/>
        <v/>
      </c>
      <c r="H1426" s="151" t="str">
        <f t="shared" si="325"/>
        <v/>
      </c>
      <c r="I1426" s="105" t="str">
        <f t="shared" si="326"/>
        <v/>
      </c>
      <c r="J1426" s="4" t="str">
        <f t="shared" si="327"/>
        <v/>
      </c>
      <c r="K1426" s="152" t="str">
        <f t="shared" si="328"/>
        <v/>
      </c>
      <c r="L1426" s="106" t="str">
        <f>IF(NOT(ISERROR(VLOOKUP(B1426,Deflatores!G$42:H$64,2,FALSE))),VLOOKUP(B1426,Deflatores!G$42:H$64,2,FALSE),IF(OR(ISBLANK(C1426),ISBLANK(B1426)),"",VLOOKUP(C1426,Deflatores!G$4:H$38,2,FALSE)*H1426+VLOOKUP(C1426,Deflatores!G$4:I$38,3,FALSE)))</f>
        <v/>
      </c>
      <c r="M1426" s="6"/>
      <c r="N1426" s="6"/>
      <c r="O1426" s="144"/>
    </row>
    <row r="1427" spans="1:15" x14ac:dyDescent="0.25">
      <c r="A1427" s="145" t="s">
        <v>1209</v>
      </c>
      <c r="B1427" s="113" t="s">
        <v>50</v>
      </c>
      <c r="C1427" s="113" t="s">
        <v>45</v>
      </c>
      <c r="D1427" s="4">
        <v>5</v>
      </c>
      <c r="E1427" s="4">
        <v>2</v>
      </c>
      <c r="F1427" s="5" t="str">
        <f t="shared" si="323"/>
        <v>Baixa</v>
      </c>
      <c r="G1427" s="4" t="str">
        <f t="shared" si="324"/>
        <v>CEL</v>
      </c>
      <c r="H1427" s="151">
        <f t="shared" si="325"/>
        <v>3</v>
      </c>
      <c r="I1427" s="105" t="str">
        <f t="shared" si="326"/>
        <v>L</v>
      </c>
      <c r="J1427" s="4" t="str">
        <f t="shared" si="327"/>
        <v>CEI</v>
      </c>
      <c r="K1427" s="152">
        <f t="shared" si="328"/>
        <v>3</v>
      </c>
      <c r="L1427" s="106">
        <f>IF(NOT(ISERROR(VLOOKUP(B1427,Deflatores!G$42:H$64,2,FALSE))),VLOOKUP(B1427,Deflatores!G$42:H$64,2,FALSE),IF(OR(ISBLANK(C1427),ISBLANK(B1427)),"",VLOOKUP(C1427,Deflatores!G$4:H$38,2,FALSE)*H1427+VLOOKUP(C1427,Deflatores!G$4:I$38,3,FALSE)))</f>
        <v>3</v>
      </c>
      <c r="M1427" s="6"/>
      <c r="N1427" s="6"/>
      <c r="O1427" s="144"/>
    </row>
    <row r="1428" spans="1:15" x14ac:dyDescent="0.25">
      <c r="A1428" s="145"/>
      <c r="B1428" s="113"/>
      <c r="C1428" s="113"/>
      <c r="D1428" s="4"/>
      <c r="E1428" s="4"/>
      <c r="F1428" s="5" t="str">
        <f t="shared" si="323"/>
        <v/>
      </c>
      <c r="G1428" s="4" t="str">
        <f t="shared" si="324"/>
        <v/>
      </c>
      <c r="H1428" s="151" t="str">
        <f t="shared" si="325"/>
        <v/>
      </c>
      <c r="I1428" s="105" t="str">
        <f t="shared" si="326"/>
        <v/>
      </c>
      <c r="J1428" s="4" t="str">
        <f t="shared" si="327"/>
        <v/>
      </c>
      <c r="K1428" s="152" t="str">
        <f t="shared" si="328"/>
        <v/>
      </c>
      <c r="L1428" s="106" t="str">
        <f>IF(NOT(ISERROR(VLOOKUP(B1428,Deflatores!G$42:H$64,2,FALSE))),VLOOKUP(B1428,Deflatores!G$42:H$64,2,FALSE),IF(OR(ISBLANK(C1428),ISBLANK(B1428)),"",VLOOKUP(C1428,Deflatores!G$4:H$38,2,FALSE)*H1428+VLOOKUP(C1428,Deflatores!G$4:I$38,3,FALSE)))</f>
        <v/>
      </c>
      <c r="M1428" s="6"/>
      <c r="N1428" s="6"/>
      <c r="O1428" s="144"/>
    </row>
    <row r="1429" spans="1:15" ht="13.5" customHeight="1" x14ac:dyDescent="0.25">
      <c r="A1429" s="119" t="s">
        <v>1210</v>
      </c>
      <c r="B1429" s="120"/>
      <c r="C1429" s="120"/>
      <c r="D1429" s="120"/>
      <c r="E1429" s="120"/>
      <c r="F1429" s="121" t="str">
        <f t="shared" ref="F1429:F1442" si="335">IF(ISBLANK(B1429),"",IF(I1429="L","Baixa",IF(I1429="A","Média",IF(I1429="","","Alta"))))</f>
        <v/>
      </c>
      <c r="G1429" s="121" t="str">
        <f t="shared" ref="G1429:G1442" si="336">CONCATENATE(B1429,I1429)</f>
        <v/>
      </c>
      <c r="H1429" s="121" t="str">
        <f t="shared" ref="H1429:H1442" si="337">IF(ISBLANK(B1429),"",IF(B1429="ALI",IF(I1429="L",7,IF(I1429="A",10,15)),IF(B1429="AIE",IF(I1429="L",5,IF(I1429="A",7,10)),IF(B1429="SE",IF(I1429="L",4,IF(I1429="A",5,7)),IF(OR(B1429="EE",B1429="CE"),IF(I1429="L",3,IF(I1429="A",4,6)),0)))))</f>
        <v/>
      </c>
      <c r="I1429" s="121" t="str">
        <f t="shared" ref="I1429:I1442" si="338">IF(OR(ISBLANK(D1429),ISBLANK(E1429)),IF(OR(B1429="ALI",B1429="AIE"),"L",IF(OR(B1429="EE",B1429="SE",B1429="CE"),"A","")),IF(B1429="EE",IF(E1429&gt;=3,IF(D1429&gt;=5,"H","A"),IF(E1429&gt;=2,IF(D1429&gt;=16,"H",IF(D1429&lt;=4,"L","A")),IF(D1429&lt;=15,"L","A"))),IF(OR(B1429="SE",B1429="CE"),IF(E1429&gt;=4,IF(D1429&gt;=6,"H","A"),IF(E1429&gt;=2,IF(D1429&gt;=20,"H",IF(D1429&lt;=5,"L","A")),IF(D1429&lt;=19,"L","A"))),IF(OR(B1429="ALI",B1429="AIE"),IF(E1429&gt;=6,IF(D1429&gt;=20,"H","A"),IF(E1429&gt;=2,IF(D1429&gt;=51,"H",IF(D1429&lt;=19,"L","A")),IF(D1429&lt;=50,"L","A"))),""))))</f>
        <v/>
      </c>
      <c r="J1429" s="121" t="str">
        <f t="shared" ref="J1429:J1442" si="339">CONCATENATE(B1429,C1429)</f>
        <v/>
      </c>
      <c r="K1429" s="121"/>
      <c r="L1429" s="121" t="str">
        <f>IF(NOT(ISERROR(VLOOKUP(B1429,Deflatores!G$42:H$64,2,FALSE))),VLOOKUP(B1429,Deflatores!G$42:H$64,2,FALSE),IF(OR(ISBLANK(C1429),ISBLANK(B1429)),"",VLOOKUP(C1429,Deflatores!G$4:H$38,2,FALSE)*H1429+VLOOKUP(C1429,Deflatores!G$4:I$38,3,FALSE)))</f>
        <v/>
      </c>
      <c r="M1429" s="121"/>
      <c r="N1429" s="121"/>
      <c r="O1429" s="122"/>
    </row>
    <row r="1430" spans="1:15" x14ac:dyDescent="0.25">
      <c r="A1430" s="143" t="s">
        <v>1211</v>
      </c>
      <c r="B1430" s="113"/>
      <c r="C1430" s="113"/>
      <c r="D1430" s="4"/>
      <c r="E1430" s="4"/>
      <c r="F1430" s="105" t="str">
        <f t="shared" si="335"/>
        <v/>
      </c>
      <c r="G1430" s="4" t="str">
        <f t="shared" si="336"/>
        <v/>
      </c>
      <c r="H1430" s="4" t="str">
        <f t="shared" si="337"/>
        <v/>
      </c>
      <c r="I1430" s="105" t="str">
        <f t="shared" si="338"/>
        <v/>
      </c>
      <c r="J1430" s="4" t="str">
        <f t="shared" si="339"/>
        <v/>
      </c>
      <c r="K1430" s="106" t="str">
        <f t="shared" ref="K1430:K1442" si="340">IF(OR(H1430="",H1430=0),L1430,H1430)</f>
        <v/>
      </c>
      <c r="L1430" s="106" t="str">
        <f>IF(NOT(ISERROR(VLOOKUP(B1430,Deflatores!G$42:H$64,2,FALSE))),VLOOKUP(B1430,Deflatores!G$42:H$64,2,FALSE),IF(OR(ISBLANK(C1430),ISBLANK(B1430)),"",VLOOKUP(C1430,Deflatores!G$4:H$38,2,FALSE)*H1430+VLOOKUP(C1430,Deflatores!G$4:I$38,3,FALSE)))</f>
        <v/>
      </c>
      <c r="M1430" s="6"/>
      <c r="N1430" s="6"/>
      <c r="O1430" s="144"/>
    </row>
    <row r="1431" spans="1:15" x14ac:dyDescent="0.25">
      <c r="A1431" s="146" t="s">
        <v>1212</v>
      </c>
      <c r="B1431" s="113" t="s">
        <v>44</v>
      </c>
      <c r="C1431" s="113" t="s">
        <v>45</v>
      </c>
      <c r="D1431" s="4">
        <v>11</v>
      </c>
      <c r="E1431" s="4">
        <v>2</v>
      </c>
      <c r="F1431" s="105" t="str">
        <f t="shared" si="335"/>
        <v>Baixa</v>
      </c>
      <c r="G1431" s="4" t="str">
        <f t="shared" si="336"/>
        <v>ALIL</v>
      </c>
      <c r="H1431" s="4">
        <f t="shared" si="337"/>
        <v>7</v>
      </c>
      <c r="I1431" s="105" t="str">
        <f t="shared" si="338"/>
        <v>L</v>
      </c>
      <c r="J1431" s="4" t="str">
        <f t="shared" si="339"/>
        <v>ALII</v>
      </c>
      <c r="K1431" s="106">
        <f t="shared" si="340"/>
        <v>7</v>
      </c>
      <c r="L1431" s="106">
        <f>IF(NOT(ISERROR(VLOOKUP(B1431,Deflatores!G$42:H$64,2,FALSE))),VLOOKUP(B1431,Deflatores!G$42:H$64,2,FALSE),IF(OR(ISBLANK(C1431),ISBLANK(B1431)),"",VLOOKUP(C1431,Deflatores!G$4:H$38,2,FALSE)*H1431+VLOOKUP(C1431,Deflatores!G$4:I$38,3,FALSE)))</f>
        <v>7</v>
      </c>
      <c r="M1431" s="6"/>
      <c r="N1431" s="6"/>
      <c r="O1431" s="144"/>
    </row>
    <row r="1432" spans="1:15" x14ac:dyDescent="0.25">
      <c r="A1432" s="146" t="s">
        <v>1213</v>
      </c>
      <c r="B1432" s="113" t="s">
        <v>50</v>
      </c>
      <c r="C1432" s="113" t="s">
        <v>45</v>
      </c>
      <c r="D1432" s="4">
        <v>18</v>
      </c>
      <c r="E1432" s="4">
        <v>4</v>
      </c>
      <c r="F1432" s="105" t="str">
        <f t="shared" si="335"/>
        <v>Alta</v>
      </c>
      <c r="G1432" s="4" t="str">
        <f t="shared" si="336"/>
        <v>CEH</v>
      </c>
      <c r="H1432" s="4">
        <f t="shared" si="337"/>
        <v>6</v>
      </c>
      <c r="I1432" s="105" t="str">
        <f t="shared" si="338"/>
        <v>H</v>
      </c>
      <c r="J1432" s="4" t="str">
        <f t="shared" si="339"/>
        <v>CEI</v>
      </c>
      <c r="K1432" s="106">
        <f t="shared" si="340"/>
        <v>6</v>
      </c>
      <c r="L1432" s="106">
        <f>IF(NOT(ISERROR(VLOOKUP(B1432,Deflatores!G$42:H$64,2,FALSE))),VLOOKUP(B1432,Deflatores!G$42:H$64,2,FALSE),IF(OR(ISBLANK(C1432),ISBLANK(B1432)),"",VLOOKUP(C1432,Deflatores!G$4:H$38,2,FALSE)*H1432+VLOOKUP(C1432,Deflatores!G$4:I$38,3,FALSE)))</f>
        <v>6</v>
      </c>
      <c r="M1432" s="6"/>
      <c r="N1432" s="6"/>
      <c r="O1432" s="144"/>
    </row>
    <row r="1433" spans="1:15" x14ac:dyDescent="0.25">
      <c r="A1433" s="146" t="s">
        <v>1214</v>
      </c>
      <c r="B1433" s="113" t="s">
        <v>48</v>
      </c>
      <c r="C1433" s="113" t="s">
        <v>45</v>
      </c>
      <c r="D1433" s="4">
        <v>12</v>
      </c>
      <c r="E1433" s="4">
        <v>3</v>
      </c>
      <c r="F1433" s="105" t="str">
        <f t="shared" si="335"/>
        <v>Alta</v>
      </c>
      <c r="G1433" s="4" t="str">
        <f t="shared" si="336"/>
        <v>EEH</v>
      </c>
      <c r="H1433" s="4">
        <f t="shared" si="337"/>
        <v>6</v>
      </c>
      <c r="I1433" s="105" t="str">
        <f t="shared" si="338"/>
        <v>H</v>
      </c>
      <c r="J1433" s="4" t="str">
        <f t="shared" si="339"/>
        <v>EEI</v>
      </c>
      <c r="K1433" s="106">
        <f t="shared" si="340"/>
        <v>6</v>
      </c>
      <c r="L1433" s="106">
        <f>IF(NOT(ISERROR(VLOOKUP(B1433,Deflatores!G$42:H$64,2,FALSE))),VLOOKUP(B1433,Deflatores!G$42:H$64,2,FALSE),IF(OR(ISBLANK(C1433),ISBLANK(B1433)),"",VLOOKUP(C1433,Deflatores!G$4:H$38,2,FALSE)*H1433+VLOOKUP(C1433,Deflatores!G$4:I$38,3,FALSE)))</f>
        <v>6</v>
      </c>
      <c r="M1433" s="6"/>
      <c r="N1433" s="6"/>
      <c r="O1433" s="144"/>
    </row>
    <row r="1434" spans="1:15" ht="13.5" customHeight="1" x14ac:dyDescent="0.25">
      <c r="A1434" s="146" t="s">
        <v>1215</v>
      </c>
      <c r="B1434" s="113" t="s">
        <v>50</v>
      </c>
      <c r="C1434" s="113" t="s">
        <v>45</v>
      </c>
      <c r="D1434" s="4">
        <v>10</v>
      </c>
      <c r="E1434" s="4">
        <v>2</v>
      </c>
      <c r="F1434" s="105" t="str">
        <f t="shared" si="335"/>
        <v>Média</v>
      </c>
      <c r="G1434" s="4" t="str">
        <f t="shared" si="336"/>
        <v>CEA</v>
      </c>
      <c r="H1434" s="4">
        <f t="shared" si="337"/>
        <v>4</v>
      </c>
      <c r="I1434" s="105" t="str">
        <f t="shared" si="338"/>
        <v>A</v>
      </c>
      <c r="J1434" s="4" t="str">
        <f t="shared" si="339"/>
        <v>CEI</v>
      </c>
      <c r="K1434" s="106">
        <f t="shared" si="340"/>
        <v>4</v>
      </c>
      <c r="L1434" s="106">
        <f>IF(NOT(ISERROR(VLOOKUP(B1434,Deflatores!G$42:H$64,2,FALSE))),VLOOKUP(B1434,Deflatores!G$42:H$64,2,FALSE),IF(OR(ISBLANK(C1434),ISBLANK(B1434)),"",VLOOKUP(C1434,Deflatores!G$4:H$38,2,FALSE)*H1434+VLOOKUP(C1434,Deflatores!G$4:I$38,3,FALSE)))</f>
        <v>4</v>
      </c>
      <c r="M1434" s="6"/>
      <c r="N1434" s="6"/>
      <c r="O1434" s="144"/>
    </row>
    <row r="1435" spans="1:15" x14ac:dyDescent="0.25">
      <c r="A1435" s="114" t="s">
        <v>1216</v>
      </c>
      <c r="B1435" s="113" t="s">
        <v>50</v>
      </c>
      <c r="C1435" s="113" t="s">
        <v>45</v>
      </c>
      <c r="D1435" s="4">
        <v>3</v>
      </c>
      <c r="E1435" s="4">
        <v>1</v>
      </c>
      <c r="F1435" s="106" t="str">
        <f t="shared" si="335"/>
        <v>Baixa</v>
      </c>
      <c r="G1435" s="106" t="str">
        <f t="shared" si="336"/>
        <v>CEL</v>
      </c>
      <c r="H1435" s="4">
        <f t="shared" si="337"/>
        <v>3</v>
      </c>
      <c r="I1435" s="105" t="str">
        <f t="shared" si="338"/>
        <v>L</v>
      </c>
      <c r="J1435" s="4" t="str">
        <f t="shared" si="339"/>
        <v>CEI</v>
      </c>
      <c r="K1435" s="106">
        <f t="shared" si="340"/>
        <v>3</v>
      </c>
      <c r="L1435" s="106">
        <f>IF(NOT(ISERROR(VLOOKUP(B1435,Deflatores!G$42:H$64,2,FALSE))),VLOOKUP(B1435,Deflatores!G$42:H$64,2,FALSE),IF(OR(ISBLANK(C1435),ISBLANK(B1435)),"",VLOOKUP(C1435,Deflatores!G$4:H$38,2,FALSE)*H1435+VLOOKUP(C1435,Deflatores!G$4:I$38,3,FALSE)))</f>
        <v>3</v>
      </c>
      <c r="M1435" s="106"/>
      <c r="N1435" s="106"/>
      <c r="O1435" s="124"/>
    </row>
    <row r="1436" spans="1:15" x14ac:dyDescent="0.25">
      <c r="A1436" s="146" t="s">
        <v>1217</v>
      </c>
      <c r="B1436" s="113" t="s">
        <v>48</v>
      </c>
      <c r="C1436" s="113" t="s">
        <v>45</v>
      </c>
      <c r="D1436" s="4">
        <v>12</v>
      </c>
      <c r="E1436" s="4">
        <v>3</v>
      </c>
      <c r="F1436" s="105" t="str">
        <f t="shared" si="335"/>
        <v>Alta</v>
      </c>
      <c r="G1436" s="4" t="str">
        <f t="shared" si="336"/>
        <v>EEH</v>
      </c>
      <c r="H1436" s="4">
        <f t="shared" si="337"/>
        <v>6</v>
      </c>
      <c r="I1436" s="105" t="str">
        <f t="shared" si="338"/>
        <v>H</v>
      </c>
      <c r="J1436" s="4" t="str">
        <f t="shared" si="339"/>
        <v>EEI</v>
      </c>
      <c r="K1436" s="106">
        <f t="shared" si="340"/>
        <v>6</v>
      </c>
      <c r="L1436" s="106">
        <f>IF(NOT(ISERROR(VLOOKUP(B1436,Deflatores!G$42:H$64,2,FALSE))),VLOOKUP(B1436,Deflatores!G$42:H$64,2,FALSE),IF(OR(ISBLANK(C1436),ISBLANK(B1436)),"",VLOOKUP(C1436,Deflatores!G$4:H$38,2,FALSE)*H1436+VLOOKUP(C1436,Deflatores!G$4:I$38,3,FALSE)))</f>
        <v>6</v>
      </c>
      <c r="M1436" s="6"/>
      <c r="N1436" s="6"/>
      <c r="O1436" s="144"/>
    </row>
    <row r="1437" spans="1:15" x14ac:dyDescent="0.25">
      <c r="A1437" s="147" t="s">
        <v>1218</v>
      </c>
      <c r="B1437" s="113" t="s">
        <v>50</v>
      </c>
      <c r="C1437" s="113" t="s">
        <v>45</v>
      </c>
      <c r="D1437" s="4">
        <v>25</v>
      </c>
      <c r="E1437" s="4">
        <v>4</v>
      </c>
      <c r="F1437" s="105" t="str">
        <f t="shared" si="335"/>
        <v>Alta</v>
      </c>
      <c r="G1437" s="4" t="str">
        <f t="shared" si="336"/>
        <v>CEH</v>
      </c>
      <c r="H1437" s="4">
        <f t="shared" si="337"/>
        <v>6</v>
      </c>
      <c r="I1437" s="105" t="str">
        <f t="shared" si="338"/>
        <v>H</v>
      </c>
      <c r="J1437" s="4" t="str">
        <f t="shared" si="339"/>
        <v>CEI</v>
      </c>
      <c r="K1437" s="106">
        <f t="shared" si="340"/>
        <v>6</v>
      </c>
      <c r="L1437" s="106">
        <f>IF(NOT(ISERROR(VLOOKUP(B1437,Deflatores!G$42:H$64,2,FALSE))),VLOOKUP(B1437,Deflatores!G$42:H$64,2,FALSE),IF(OR(ISBLANK(C1437),ISBLANK(B1437)),"",VLOOKUP(C1437,Deflatores!G$4:H$38,2,FALSE)*H1437+VLOOKUP(C1437,Deflatores!G$4:I$38,3,FALSE)))</f>
        <v>6</v>
      </c>
      <c r="M1437" s="6"/>
      <c r="N1437" s="6"/>
      <c r="O1437" s="144"/>
    </row>
    <row r="1438" spans="1:15" x14ac:dyDescent="0.25">
      <c r="A1438" s="146" t="s">
        <v>1219</v>
      </c>
      <c r="B1438" s="113" t="s">
        <v>50</v>
      </c>
      <c r="C1438" s="113" t="s">
        <v>45</v>
      </c>
      <c r="D1438" s="4">
        <v>27</v>
      </c>
      <c r="E1438" s="4">
        <v>4</v>
      </c>
      <c r="F1438" s="105" t="str">
        <f t="shared" si="335"/>
        <v>Alta</v>
      </c>
      <c r="G1438" s="4" t="str">
        <f t="shared" si="336"/>
        <v>CEH</v>
      </c>
      <c r="H1438" s="4">
        <f t="shared" si="337"/>
        <v>6</v>
      </c>
      <c r="I1438" s="105" t="str">
        <f t="shared" si="338"/>
        <v>H</v>
      </c>
      <c r="J1438" s="4" t="str">
        <f t="shared" si="339"/>
        <v>CEI</v>
      </c>
      <c r="K1438" s="106">
        <f t="shared" si="340"/>
        <v>6</v>
      </c>
      <c r="L1438" s="106">
        <f>IF(NOT(ISERROR(VLOOKUP(B1438,Deflatores!G$42:H$64,2,FALSE))),VLOOKUP(B1438,Deflatores!G$42:H$64,2,FALSE),IF(OR(ISBLANK(C1438),ISBLANK(B1438)),"",VLOOKUP(C1438,Deflatores!G$4:H$38,2,FALSE)*H1438+VLOOKUP(C1438,Deflatores!G$4:I$38,3,FALSE)))</f>
        <v>6</v>
      </c>
      <c r="M1438" s="6"/>
      <c r="N1438" s="6"/>
      <c r="O1438" s="144"/>
    </row>
    <row r="1439" spans="1:15" x14ac:dyDescent="0.25">
      <c r="A1439" s="146" t="s">
        <v>1220</v>
      </c>
      <c r="B1439" s="113" t="s">
        <v>50</v>
      </c>
      <c r="C1439" s="113" t="s">
        <v>45</v>
      </c>
      <c r="D1439" s="4">
        <v>10</v>
      </c>
      <c r="E1439" s="4">
        <v>3</v>
      </c>
      <c r="F1439" s="105" t="str">
        <f t="shared" si="335"/>
        <v>Média</v>
      </c>
      <c r="G1439" s="4" t="str">
        <f t="shared" si="336"/>
        <v>CEA</v>
      </c>
      <c r="H1439" s="4">
        <f t="shared" si="337"/>
        <v>4</v>
      </c>
      <c r="I1439" s="105" t="str">
        <f t="shared" si="338"/>
        <v>A</v>
      </c>
      <c r="J1439" s="4" t="str">
        <f t="shared" si="339"/>
        <v>CEI</v>
      </c>
      <c r="K1439" s="106">
        <f t="shared" si="340"/>
        <v>4</v>
      </c>
      <c r="L1439" s="106">
        <f>IF(NOT(ISERROR(VLOOKUP(B1439,Deflatores!G$42:H$64,2,FALSE))),VLOOKUP(B1439,Deflatores!G$42:H$64,2,FALSE),IF(OR(ISBLANK(C1439),ISBLANK(B1439)),"",VLOOKUP(C1439,Deflatores!G$4:H$38,2,FALSE)*H1439+VLOOKUP(C1439,Deflatores!G$4:I$38,3,FALSE)))</f>
        <v>4</v>
      </c>
      <c r="M1439" s="6"/>
      <c r="N1439" s="6"/>
      <c r="O1439" s="144"/>
    </row>
    <row r="1440" spans="1:15" x14ac:dyDescent="0.25">
      <c r="A1440" s="146" t="s">
        <v>1221</v>
      </c>
      <c r="B1440" s="113" t="s">
        <v>48</v>
      </c>
      <c r="C1440" s="113" t="s">
        <v>45</v>
      </c>
      <c r="D1440" s="4">
        <v>3</v>
      </c>
      <c r="E1440" s="4">
        <v>1</v>
      </c>
      <c r="F1440" s="105" t="str">
        <f t="shared" si="335"/>
        <v>Baixa</v>
      </c>
      <c r="G1440" s="4" t="str">
        <f t="shared" si="336"/>
        <v>EEL</v>
      </c>
      <c r="H1440" s="4">
        <f t="shared" si="337"/>
        <v>3</v>
      </c>
      <c r="I1440" s="105" t="str">
        <f t="shared" si="338"/>
        <v>L</v>
      </c>
      <c r="J1440" s="4" t="str">
        <f t="shared" si="339"/>
        <v>EEI</v>
      </c>
      <c r="K1440" s="106">
        <f t="shared" si="340"/>
        <v>3</v>
      </c>
      <c r="L1440" s="106">
        <f>IF(NOT(ISERROR(VLOOKUP(B1440,Deflatores!G$42:H$64,2,FALSE))),VLOOKUP(B1440,Deflatores!G$42:H$64,2,FALSE),IF(OR(ISBLANK(C1440),ISBLANK(B1440)),"",VLOOKUP(C1440,Deflatores!G$4:H$38,2,FALSE)*H1440+VLOOKUP(C1440,Deflatores!G$4:I$38,3,FALSE)))</f>
        <v>3</v>
      </c>
      <c r="M1440" s="6"/>
      <c r="N1440" s="6"/>
      <c r="O1440" s="144"/>
    </row>
    <row r="1441" spans="1:15" x14ac:dyDescent="0.25">
      <c r="A1441" s="145"/>
      <c r="B1441" s="113"/>
      <c r="C1441" s="113"/>
      <c r="D1441" s="4"/>
      <c r="E1441" s="4"/>
      <c r="F1441" s="105" t="str">
        <f t="shared" si="335"/>
        <v/>
      </c>
      <c r="G1441" s="4" t="str">
        <f t="shared" si="336"/>
        <v/>
      </c>
      <c r="H1441" s="4" t="str">
        <f t="shared" si="337"/>
        <v/>
      </c>
      <c r="I1441" s="105" t="str">
        <f t="shared" si="338"/>
        <v/>
      </c>
      <c r="J1441" s="4" t="str">
        <f t="shared" si="339"/>
        <v/>
      </c>
      <c r="K1441" s="106" t="str">
        <f t="shared" si="340"/>
        <v/>
      </c>
      <c r="L1441" s="106" t="str">
        <f>IF(NOT(ISERROR(VLOOKUP(B1441,Deflatores!G$42:H$64,2,FALSE))),VLOOKUP(B1441,Deflatores!G$42:H$64,2,FALSE),IF(OR(ISBLANK(C1441),ISBLANK(B1441)),"",VLOOKUP(C1441,Deflatores!G$4:H$38,2,FALSE)*H1441+VLOOKUP(C1441,Deflatores!G$4:I$38,3,FALSE)))</f>
        <v/>
      </c>
      <c r="M1441" s="6"/>
      <c r="N1441" s="6"/>
      <c r="O1441" s="144"/>
    </row>
    <row r="1442" spans="1:15" x14ac:dyDescent="0.25">
      <c r="A1442" s="143" t="s">
        <v>1222</v>
      </c>
      <c r="B1442" s="113"/>
      <c r="C1442" s="113"/>
      <c r="D1442" s="4"/>
      <c r="E1442" s="4"/>
      <c r="F1442" s="105" t="str">
        <f t="shared" si="335"/>
        <v/>
      </c>
      <c r="G1442" s="4" t="str">
        <f t="shared" si="336"/>
        <v/>
      </c>
      <c r="H1442" s="4" t="str">
        <f t="shared" si="337"/>
        <v/>
      </c>
      <c r="I1442" s="105" t="str">
        <f t="shared" si="338"/>
        <v/>
      </c>
      <c r="J1442" s="4" t="str">
        <f t="shared" si="339"/>
        <v/>
      </c>
      <c r="K1442" s="106" t="str">
        <f t="shared" si="340"/>
        <v/>
      </c>
      <c r="L1442" s="106" t="str">
        <f>IF(NOT(ISERROR(VLOOKUP(B1442,Deflatores!G$42:H$64,2,FALSE))),VLOOKUP(B1442,Deflatores!G$42:H$64,2,FALSE),IF(OR(ISBLANK(C1442),ISBLANK(B1442)),"",VLOOKUP(C1442,Deflatores!G$4:H$38,2,FALSE)*H1442+VLOOKUP(C1442,Deflatores!G$4:I$38,3,FALSE)))</f>
        <v/>
      </c>
      <c r="M1442" s="6"/>
      <c r="N1442" s="6"/>
      <c r="O1442" s="144"/>
    </row>
    <row r="1443" spans="1:15" x14ac:dyDescent="0.25">
      <c r="A1443" s="145" t="s">
        <v>1223</v>
      </c>
      <c r="B1443" s="113" t="s">
        <v>44</v>
      </c>
      <c r="C1443" s="113" t="s">
        <v>45</v>
      </c>
      <c r="D1443" s="4">
        <v>20</v>
      </c>
      <c r="E1443" s="4">
        <v>3</v>
      </c>
      <c r="F1443" s="105" t="str">
        <f t="shared" ref="F1443:F1504" si="341">IF(ISBLANK(B1443),"",IF(I1443="L","Baixa",IF(I1443="A","Média",IF(I1443="","","Alta"))))</f>
        <v>Média</v>
      </c>
      <c r="G1443" s="4" t="str">
        <f t="shared" ref="G1443:G1504" si="342">CONCATENATE(B1443,I1443)</f>
        <v>ALIA</v>
      </c>
      <c r="H1443" s="4">
        <f t="shared" ref="H1443:H1504" si="343">IF(ISBLANK(B1443),"",IF(B1443="ALI",IF(I1443="L",7,IF(I1443="A",10,15)),IF(B1443="AIE",IF(I1443="L",5,IF(I1443="A",7,10)),IF(B1443="SE",IF(I1443="L",4,IF(I1443="A",5,7)),IF(OR(B1443="EE",B1443="CE"),IF(I1443="L",3,IF(I1443="A",4,6)),0)))))</f>
        <v>10</v>
      </c>
      <c r="I1443" s="105" t="str">
        <f t="shared" ref="I1443:I1504" si="344">IF(OR(ISBLANK(D1443),ISBLANK(E1443)),IF(OR(B1443="ALI",B1443="AIE"),"L",IF(OR(B1443="EE",B1443="SE",B1443="CE"),"A","")),IF(B1443="EE",IF(E1443&gt;=3,IF(D1443&gt;=5,"H","A"),IF(E1443&gt;=2,IF(D1443&gt;=16,"H",IF(D1443&lt;=4,"L","A")),IF(D1443&lt;=15,"L","A"))),IF(OR(B1443="SE",B1443="CE"),IF(E1443&gt;=4,IF(D1443&gt;=6,"H","A"),IF(E1443&gt;=2,IF(D1443&gt;=20,"H",IF(D1443&lt;=5,"L","A")),IF(D1443&lt;=19,"L","A"))),IF(OR(B1443="ALI",B1443="AIE"),IF(E1443&gt;=6,IF(D1443&gt;=20,"H","A"),IF(E1443&gt;=2,IF(D1443&gt;=51,"H",IF(D1443&lt;=19,"L","A")),IF(D1443&lt;=50,"L","A"))),""))))</f>
        <v>A</v>
      </c>
      <c r="J1443" s="4" t="str">
        <f t="shared" ref="J1443:J1504" si="345">CONCATENATE(B1443,C1443)</f>
        <v>ALII</v>
      </c>
      <c r="K1443" s="106">
        <f t="shared" ref="K1443:K1504" si="346">IF(OR(H1443="",H1443=0),L1443,H1443)</f>
        <v>10</v>
      </c>
      <c r="L1443" s="106">
        <f>IF(NOT(ISERROR(VLOOKUP(B1443,Deflatores!G$42:H$64,2,FALSE))),VLOOKUP(B1443,Deflatores!G$42:H$64,2,FALSE),IF(OR(ISBLANK(C1443),ISBLANK(B1443)),"",VLOOKUP(C1443,Deflatores!G$4:H$38,2,FALSE)*H1443+VLOOKUP(C1443,Deflatores!G$4:I$38,3,FALSE)))</f>
        <v>10</v>
      </c>
      <c r="M1443" s="6"/>
      <c r="N1443" s="6"/>
      <c r="O1443" s="144"/>
    </row>
    <row r="1444" spans="1:15" x14ac:dyDescent="0.25">
      <c r="A1444" s="145" t="s">
        <v>1224</v>
      </c>
      <c r="B1444" s="113" t="s">
        <v>50</v>
      </c>
      <c r="C1444" s="113" t="s">
        <v>45</v>
      </c>
      <c r="D1444" s="4">
        <v>10</v>
      </c>
      <c r="E1444" s="4">
        <v>4</v>
      </c>
      <c r="F1444" s="105" t="str">
        <f t="shared" si="341"/>
        <v>Alta</v>
      </c>
      <c r="G1444" s="4" t="str">
        <f t="shared" si="342"/>
        <v>CEH</v>
      </c>
      <c r="H1444" s="4">
        <f t="shared" si="343"/>
        <v>6</v>
      </c>
      <c r="I1444" s="105" t="str">
        <f t="shared" si="344"/>
        <v>H</v>
      </c>
      <c r="J1444" s="4" t="str">
        <f t="shared" si="345"/>
        <v>CEI</v>
      </c>
      <c r="K1444" s="106">
        <f t="shared" si="346"/>
        <v>6</v>
      </c>
      <c r="L1444" s="106">
        <f>IF(NOT(ISERROR(VLOOKUP(B1444,Deflatores!G$42:H$64,2,FALSE))),VLOOKUP(B1444,Deflatores!G$42:H$64,2,FALSE),IF(OR(ISBLANK(C1444),ISBLANK(B1444)),"",VLOOKUP(C1444,Deflatores!G$4:H$38,2,FALSE)*H1444+VLOOKUP(C1444,Deflatores!G$4:I$38,3,FALSE)))</f>
        <v>6</v>
      </c>
      <c r="M1444" s="6"/>
      <c r="N1444" s="6"/>
      <c r="O1444" s="144"/>
    </row>
    <row r="1445" spans="1:15" x14ac:dyDescent="0.25">
      <c r="A1445" s="145" t="s">
        <v>1225</v>
      </c>
      <c r="B1445" s="113" t="s">
        <v>48</v>
      </c>
      <c r="C1445" s="113" t="s">
        <v>45</v>
      </c>
      <c r="D1445" s="4">
        <v>9</v>
      </c>
      <c r="E1445" s="4">
        <v>4</v>
      </c>
      <c r="F1445" s="105" t="str">
        <f t="shared" si="341"/>
        <v>Alta</v>
      </c>
      <c r="G1445" s="4" t="str">
        <f t="shared" si="342"/>
        <v>EEH</v>
      </c>
      <c r="H1445" s="4">
        <f t="shared" si="343"/>
        <v>6</v>
      </c>
      <c r="I1445" s="105" t="str">
        <f t="shared" si="344"/>
        <v>H</v>
      </c>
      <c r="J1445" s="4" t="str">
        <f t="shared" si="345"/>
        <v>EEI</v>
      </c>
      <c r="K1445" s="106">
        <f t="shared" si="346"/>
        <v>6</v>
      </c>
      <c r="L1445" s="106">
        <f>IF(NOT(ISERROR(VLOOKUP(B1445,Deflatores!G$42:H$64,2,FALSE))),VLOOKUP(B1445,Deflatores!G$42:H$64,2,FALSE),IF(OR(ISBLANK(C1445),ISBLANK(B1445)),"",VLOOKUP(C1445,Deflatores!G$4:H$38,2,FALSE)*H1445+VLOOKUP(C1445,Deflatores!G$4:I$38,3,FALSE)))</f>
        <v>6</v>
      </c>
      <c r="M1445" s="6"/>
      <c r="N1445" s="6"/>
      <c r="O1445" s="144"/>
    </row>
    <row r="1446" spans="1:15" x14ac:dyDescent="0.25">
      <c r="A1446" s="145" t="s">
        <v>1226</v>
      </c>
      <c r="B1446" s="113" t="s">
        <v>48</v>
      </c>
      <c r="C1446" s="113" t="s">
        <v>45</v>
      </c>
      <c r="D1446" s="4">
        <v>9</v>
      </c>
      <c r="E1446" s="4">
        <v>4</v>
      </c>
      <c r="F1446" s="105" t="str">
        <f>IF(ISBLANK(B1446),"",IF(I1446="L","Baixa",IF(I1446="A","Média",IF(I1446="","","Alta"))))</f>
        <v>Alta</v>
      </c>
      <c r="G1446" s="4" t="str">
        <f>CONCATENATE(B1446,I1446)</f>
        <v>EEH</v>
      </c>
      <c r="H1446" s="4">
        <f>IF(ISBLANK(B1446),"",IF(B1446="ALI",IF(I1446="L",7,IF(I1446="A",10,15)),IF(B1446="AIE",IF(I1446="L",5,IF(I1446="A",7,10)),IF(B1446="SE",IF(I1446="L",4,IF(I1446="A",5,7)),IF(OR(B1446="EE",B1446="CE"),IF(I1446="L",3,IF(I1446="A",4,6)),0)))))</f>
        <v>6</v>
      </c>
      <c r="I1446" s="105" t="str">
        <f>IF(OR(ISBLANK(D1446),ISBLANK(E1446)),IF(OR(B1446="ALI",B1446="AIE"),"L",IF(OR(B1446="EE",B1446="SE",B1446="CE"),"A","")),IF(B1446="EE",IF(E1446&gt;=3,IF(D1446&gt;=5,"H","A"),IF(E1446&gt;=2,IF(D1446&gt;=16,"H",IF(D1446&lt;=4,"L","A")),IF(D1446&lt;=15,"L","A"))),IF(OR(B1446="SE",B1446="CE"),IF(E1446&gt;=4,IF(D1446&gt;=6,"H","A"),IF(E1446&gt;=2,IF(D1446&gt;=20,"H",IF(D1446&lt;=5,"L","A")),IF(D1446&lt;=19,"L","A"))),IF(OR(B1446="ALI",B1446="AIE"),IF(E1446&gt;=6,IF(D1446&gt;=20,"H","A"),IF(E1446&gt;=2,IF(D1446&gt;=51,"H",IF(D1446&lt;=19,"L","A")),IF(D1446&lt;=50,"L","A"))),""))))</f>
        <v>H</v>
      </c>
      <c r="J1446" s="4" t="str">
        <f>CONCATENATE(B1446,C1446)</f>
        <v>EEI</v>
      </c>
      <c r="K1446" s="106">
        <f>IF(OR(H1446="",H1446=0),L1446,H1446)</f>
        <v>6</v>
      </c>
      <c r="L1446" s="106">
        <f>IF(NOT(ISERROR(VLOOKUP(B1446,Deflatores!G$42:H$64,2,FALSE))),VLOOKUP(B1446,Deflatores!G$42:H$64,2,FALSE),IF(OR(ISBLANK(C1446),ISBLANK(B1446)),"",VLOOKUP(C1446,Deflatores!G$4:H$38,2,FALSE)*H1446+VLOOKUP(C1446,Deflatores!G$4:I$38,3,FALSE)))</f>
        <v>6</v>
      </c>
      <c r="M1446" s="6"/>
      <c r="N1446" s="6"/>
      <c r="O1446" s="144"/>
    </row>
    <row r="1447" spans="1:15" x14ac:dyDescent="0.25">
      <c r="A1447" s="146" t="s">
        <v>1227</v>
      </c>
      <c r="B1447" s="113" t="s">
        <v>50</v>
      </c>
      <c r="C1447" s="113" t="s">
        <v>45</v>
      </c>
      <c r="D1447" s="4">
        <v>17</v>
      </c>
      <c r="E1447" s="4">
        <v>4</v>
      </c>
      <c r="F1447" s="105" t="str">
        <f>IF(ISBLANK(B1447),"",IF(I1447="L","Baixa",IF(I1447="A","Média",IF(I1447="","","Alta"))))</f>
        <v>Alta</v>
      </c>
      <c r="G1447" s="4" t="str">
        <f>CONCATENATE(B1447,I1447)</f>
        <v>CEH</v>
      </c>
      <c r="H1447" s="4">
        <f>IF(ISBLANK(B1447),"",IF(B1447="ALI",IF(I1447="L",7,IF(I1447="A",10,15)),IF(B1447="AIE",IF(I1447="L",5,IF(I1447="A",7,10)),IF(B1447="SE",IF(I1447="L",4,IF(I1447="A",5,7)),IF(OR(B1447="EE",B1447="CE"),IF(I1447="L",3,IF(I1447="A",4,6)),0)))))</f>
        <v>6</v>
      </c>
      <c r="I1447" s="105" t="str">
        <f>IF(OR(ISBLANK(D1447),ISBLANK(E1447)),IF(OR(B1447="ALI",B1447="AIE"),"L",IF(OR(B1447="EE",B1447="SE",B1447="CE"),"A","")),IF(B1447="EE",IF(E1447&gt;=3,IF(D1447&gt;=5,"H","A"),IF(E1447&gt;=2,IF(D1447&gt;=16,"H",IF(D1447&lt;=4,"L","A")),IF(D1447&lt;=15,"L","A"))),IF(OR(B1447="SE",B1447="CE"),IF(E1447&gt;=4,IF(D1447&gt;=6,"H","A"),IF(E1447&gt;=2,IF(D1447&gt;=20,"H",IF(D1447&lt;=5,"L","A")),IF(D1447&lt;=19,"L","A"))),IF(OR(B1447="ALI",B1447="AIE"),IF(E1447&gt;=6,IF(D1447&gt;=20,"H","A"),IF(E1447&gt;=2,IF(D1447&gt;=51,"H",IF(D1447&lt;=19,"L","A")),IF(D1447&lt;=50,"L","A"))),""))))</f>
        <v>H</v>
      </c>
      <c r="J1447" s="4" t="str">
        <f>CONCATENATE(B1447,C1447)</f>
        <v>CEI</v>
      </c>
      <c r="K1447" s="106">
        <f>IF(OR(H1447="",H1447=0),L1447,H1447)</f>
        <v>6</v>
      </c>
      <c r="L1447" s="106">
        <f>IF(NOT(ISERROR(VLOOKUP(B1447,Deflatores!G$42:H$64,2,FALSE))),VLOOKUP(B1447,Deflatores!G$42:H$64,2,FALSE),IF(OR(ISBLANK(C1447),ISBLANK(B1447)),"",VLOOKUP(C1447,Deflatores!G$4:H$38,2,FALSE)*H1447+VLOOKUP(C1447,Deflatores!G$4:I$38,3,FALSE)))</f>
        <v>6</v>
      </c>
      <c r="M1447" s="6"/>
      <c r="N1447" s="6"/>
      <c r="O1447" s="144"/>
    </row>
    <row r="1448" spans="1:15" x14ac:dyDescent="0.25">
      <c r="A1448" s="145" t="s">
        <v>1228</v>
      </c>
      <c r="B1448" s="113" t="s">
        <v>50</v>
      </c>
      <c r="C1448" s="113" t="s">
        <v>45</v>
      </c>
      <c r="D1448" s="4">
        <v>19</v>
      </c>
      <c r="E1448" s="4">
        <v>4</v>
      </c>
      <c r="F1448" s="105" t="str">
        <f>IF(ISBLANK(B1448),"",IF(I1448="L","Baixa",IF(I1448="A","Média",IF(I1448="","","Alta"))))</f>
        <v>Alta</v>
      </c>
      <c r="G1448" s="4" t="str">
        <f>CONCATENATE(B1448,I1448)</f>
        <v>CEH</v>
      </c>
      <c r="H1448" s="4">
        <f>IF(ISBLANK(B1448),"",IF(B1448="ALI",IF(I1448="L",7,IF(I1448="A",10,15)),IF(B1448="AIE",IF(I1448="L",5,IF(I1448="A",7,10)),IF(B1448="SE",IF(I1448="L",4,IF(I1448="A",5,7)),IF(OR(B1448="EE",B1448="CE"),IF(I1448="L",3,IF(I1448="A",4,6)),0)))))</f>
        <v>6</v>
      </c>
      <c r="I1448" s="105" t="str">
        <f>IF(OR(ISBLANK(D1448),ISBLANK(E1448)),IF(OR(B1448="ALI",B1448="AIE"),"L",IF(OR(B1448="EE",B1448="SE",B1448="CE"),"A","")),IF(B1448="EE",IF(E1448&gt;=3,IF(D1448&gt;=5,"H","A"),IF(E1448&gt;=2,IF(D1448&gt;=16,"H",IF(D1448&lt;=4,"L","A")),IF(D1448&lt;=15,"L","A"))),IF(OR(B1448="SE",B1448="CE"),IF(E1448&gt;=4,IF(D1448&gt;=6,"H","A"),IF(E1448&gt;=2,IF(D1448&gt;=20,"H",IF(D1448&lt;=5,"L","A")),IF(D1448&lt;=19,"L","A"))),IF(OR(B1448="ALI",B1448="AIE"),IF(E1448&gt;=6,IF(D1448&gt;=20,"H","A"),IF(E1448&gt;=2,IF(D1448&gt;=51,"H",IF(D1448&lt;=19,"L","A")),IF(D1448&lt;=50,"L","A"))),""))))</f>
        <v>H</v>
      </c>
      <c r="J1448" s="4" t="str">
        <f>CONCATENATE(B1448,C1448)</f>
        <v>CEI</v>
      </c>
      <c r="K1448" s="106">
        <f>IF(OR(H1448="",H1448=0),L1448,H1448)</f>
        <v>6</v>
      </c>
      <c r="L1448" s="106">
        <f>IF(NOT(ISERROR(VLOOKUP(B1448,Deflatores!G$42:H$64,2,FALSE))),VLOOKUP(B1448,Deflatores!G$42:H$64,2,FALSE),IF(OR(ISBLANK(C1448),ISBLANK(B1448)),"",VLOOKUP(C1448,Deflatores!G$4:H$38,2,FALSE)*H1448+VLOOKUP(C1448,Deflatores!G$4:I$38,3,FALSE)))</f>
        <v>6</v>
      </c>
      <c r="M1448" s="6"/>
      <c r="N1448" s="6"/>
      <c r="O1448" s="144"/>
    </row>
    <row r="1449" spans="1:15" x14ac:dyDescent="0.25">
      <c r="A1449" s="145" t="s">
        <v>1229</v>
      </c>
      <c r="B1449" s="113" t="s">
        <v>48</v>
      </c>
      <c r="C1449" s="113" t="s">
        <v>45</v>
      </c>
      <c r="D1449" s="4">
        <v>3</v>
      </c>
      <c r="E1449" s="4">
        <v>1</v>
      </c>
      <c r="F1449" s="105" t="str">
        <f>IF(ISBLANK(B1449),"",IF(I1449="L","Baixa",IF(I1449="A","Média",IF(I1449="","","Alta"))))</f>
        <v>Baixa</v>
      </c>
      <c r="G1449" s="4" t="str">
        <f>CONCATENATE(B1449,I1449)</f>
        <v>EEL</v>
      </c>
      <c r="H1449" s="4">
        <f>IF(ISBLANK(B1449),"",IF(B1449="ALI",IF(I1449="L",7,IF(I1449="A",10,15)),IF(B1449="AIE",IF(I1449="L",5,IF(I1449="A",7,10)),IF(B1449="SE",IF(I1449="L",4,IF(I1449="A",5,7)),IF(OR(B1449="EE",B1449="CE"),IF(I1449="L",3,IF(I1449="A",4,6)),0)))))</f>
        <v>3</v>
      </c>
      <c r="I1449" s="105" t="str">
        <f>IF(OR(ISBLANK(D1449),ISBLANK(E1449)),IF(OR(B1449="ALI",B1449="AIE"),"L",IF(OR(B1449="EE",B1449="SE",B1449="CE"),"A","")),IF(B1449="EE",IF(E1449&gt;=3,IF(D1449&gt;=5,"H","A"),IF(E1449&gt;=2,IF(D1449&gt;=16,"H",IF(D1449&lt;=4,"L","A")),IF(D1449&lt;=15,"L","A"))),IF(OR(B1449="SE",B1449="CE"),IF(E1449&gt;=4,IF(D1449&gt;=6,"H","A"),IF(E1449&gt;=2,IF(D1449&gt;=20,"H",IF(D1449&lt;=5,"L","A")),IF(D1449&lt;=19,"L","A"))),IF(OR(B1449="ALI",B1449="AIE"),IF(E1449&gt;=6,IF(D1449&gt;=20,"H","A"),IF(E1449&gt;=2,IF(D1449&gt;=51,"H",IF(D1449&lt;=19,"L","A")),IF(D1449&lt;=50,"L","A"))),""))))</f>
        <v>L</v>
      </c>
      <c r="J1449" s="4" t="str">
        <f>CONCATENATE(B1449,C1449)</f>
        <v>EEI</v>
      </c>
      <c r="K1449" s="106">
        <f>IF(OR(H1449="",H1449=0),L1449,H1449)</f>
        <v>3</v>
      </c>
      <c r="L1449" s="106">
        <f>IF(NOT(ISERROR(VLOOKUP(B1449,Deflatores!G$42:H$64,2,FALSE))),VLOOKUP(B1449,Deflatores!G$42:H$64,2,FALSE),IF(OR(ISBLANK(C1449),ISBLANK(B1449)),"",VLOOKUP(C1449,Deflatores!G$4:H$38,2,FALSE)*H1449+VLOOKUP(C1449,Deflatores!G$4:I$38,3,FALSE)))</f>
        <v>3</v>
      </c>
      <c r="M1449" s="6"/>
      <c r="N1449" s="6"/>
      <c r="O1449" s="144"/>
    </row>
    <row r="1450" spans="1:15" x14ac:dyDescent="0.25">
      <c r="A1450" s="145" t="s">
        <v>1230</v>
      </c>
      <c r="B1450" s="113" t="s">
        <v>50</v>
      </c>
      <c r="C1450" s="113" t="s">
        <v>45</v>
      </c>
      <c r="D1450" s="4">
        <v>10</v>
      </c>
      <c r="E1450" s="4">
        <v>1</v>
      </c>
      <c r="F1450" s="105" t="str">
        <f>IF(ISBLANK(B1450),"",IF(I1450="L","Baixa",IF(I1450="A","Média",IF(I1450="","","Alta"))))</f>
        <v>Baixa</v>
      </c>
      <c r="G1450" s="4" t="str">
        <f>CONCATENATE(B1450,I1450)</f>
        <v>CEL</v>
      </c>
      <c r="H1450" s="4">
        <f>IF(ISBLANK(B1450),"",IF(B1450="ALI",IF(I1450="L",7,IF(I1450="A",10,15)),IF(B1450="AIE",IF(I1450="L",5,IF(I1450="A",7,10)),IF(B1450="SE",IF(I1450="L",4,IF(I1450="A",5,7)),IF(OR(B1450="EE",B1450="CE"),IF(I1450="L",3,IF(I1450="A",4,6)),0)))))</f>
        <v>3</v>
      </c>
      <c r="I1450" s="105" t="str">
        <f>IF(OR(ISBLANK(D1450),ISBLANK(E1450)),IF(OR(B1450="ALI",B1450="AIE"),"L",IF(OR(B1450="EE",B1450="SE",B1450="CE"),"A","")),IF(B1450="EE",IF(E1450&gt;=3,IF(D1450&gt;=5,"H","A"),IF(E1450&gt;=2,IF(D1450&gt;=16,"H",IF(D1450&lt;=4,"L","A")),IF(D1450&lt;=15,"L","A"))),IF(OR(B1450="SE",B1450="CE"),IF(E1450&gt;=4,IF(D1450&gt;=6,"H","A"),IF(E1450&gt;=2,IF(D1450&gt;=20,"H",IF(D1450&lt;=5,"L","A")),IF(D1450&lt;=19,"L","A"))),IF(OR(B1450="ALI",B1450="AIE"),IF(E1450&gt;=6,IF(D1450&gt;=20,"H","A"),IF(E1450&gt;=2,IF(D1450&gt;=51,"H",IF(D1450&lt;=19,"L","A")),IF(D1450&lt;=50,"L","A"))),""))))</f>
        <v>L</v>
      </c>
      <c r="J1450" s="4" t="str">
        <f>CONCATENATE(B1450,C1450)</f>
        <v>CEI</v>
      </c>
      <c r="K1450" s="106">
        <f>IF(OR(H1450="",H1450=0),L1450,H1450)</f>
        <v>3</v>
      </c>
      <c r="L1450" s="106">
        <f>IF(NOT(ISERROR(VLOOKUP(B1450,Deflatores!G$42:H$64,2,FALSE))),VLOOKUP(B1450,Deflatores!G$42:H$64,2,FALSE),IF(OR(ISBLANK(C1450),ISBLANK(B1450)),"",VLOOKUP(C1450,Deflatores!G$4:H$38,2,FALSE)*H1450+VLOOKUP(C1450,Deflatores!G$4:I$38,3,FALSE)))</f>
        <v>3</v>
      </c>
      <c r="M1450" s="6"/>
      <c r="N1450" s="6"/>
      <c r="O1450" s="144"/>
    </row>
    <row r="1451" spans="1:15" x14ac:dyDescent="0.25">
      <c r="A1451" s="145" t="s">
        <v>1231</v>
      </c>
      <c r="B1451" s="113" t="s">
        <v>48</v>
      </c>
      <c r="C1451" s="113" t="s">
        <v>45</v>
      </c>
      <c r="D1451" s="4">
        <v>8</v>
      </c>
      <c r="E1451" s="4">
        <v>2</v>
      </c>
      <c r="F1451" s="105" t="str">
        <f t="shared" si="341"/>
        <v>Média</v>
      </c>
      <c r="G1451" s="4" t="str">
        <f t="shared" si="342"/>
        <v>EEA</v>
      </c>
      <c r="H1451" s="4">
        <f t="shared" si="343"/>
        <v>4</v>
      </c>
      <c r="I1451" s="105" t="str">
        <f t="shared" si="344"/>
        <v>A</v>
      </c>
      <c r="J1451" s="4" t="str">
        <f t="shared" si="345"/>
        <v>EEI</v>
      </c>
      <c r="K1451" s="106">
        <f t="shared" si="346"/>
        <v>4</v>
      </c>
      <c r="L1451" s="106">
        <f>IF(NOT(ISERROR(VLOOKUP(B1451,Deflatores!G$42:H$64,2,FALSE))),VLOOKUP(B1451,Deflatores!G$42:H$64,2,FALSE),IF(OR(ISBLANK(C1451),ISBLANK(B1451)),"",VLOOKUP(C1451,Deflatores!G$4:H$38,2,FALSE)*H1451+VLOOKUP(C1451,Deflatores!G$4:I$38,3,FALSE)))</f>
        <v>4</v>
      </c>
      <c r="M1451" s="6"/>
      <c r="N1451" s="6"/>
      <c r="O1451" s="144"/>
    </row>
    <row r="1452" spans="1:15" x14ac:dyDescent="0.25">
      <c r="A1452" s="146" t="s">
        <v>1232</v>
      </c>
      <c r="B1452" s="113" t="s">
        <v>50</v>
      </c>
      <c r="C1452" s="113" t="s">
        <v>45</v>
      </c>
      <c r="D1452" s="4">
        <v>3</v>
      </c>
      <c r="E1452" s="4">
        <v>1</v>
      </c>
      <c r="F1452" s="105" t="str">
        <f>IF(ISBLANK(B1452),"",IF(I1452="L","Baixa",IF(I1452="A","Média",IF(I1452="","","Alta"))))</f>
        <v>Baixa</v>
      </c>
      <c r="G1452" s="4" t="str">
        <f>CONCATENATE(B1452,I1452)</f>
        <v>CEL</v>
      </c>
      <c r="H1452" s="4">
        <f>IF(ISBLANK(B1452),"",IF(B1452="ALI",IF(I1452="L",7,IF(I1452="A",10,15)),IF(B1452="AIE",IF(I1452="L",5,IF(I1452="A",7,10)),IF(B1452="SE",IF(I1452="L",4,IF(I1452="A",5,7)),IF(OR(B1452="EE",B1452="CE"),IF(I1452="L",3,IF(I1452="A",4,6)),0)))))</f>
        <v>3</v>
      </c>
      <c r="I1452" s="105" t="str">
        <f>IF(OR(ISBLANK(D1452),ISBLANK(E1452)),IF(OR(B1452="ALI",B1452="AIE"),"L",IF(OR(B1452="EE",B1452="SE",B1452="CE"),"A","")),IF(B1452="EE",IF(E1452&gt;=3,IF(D1452&gt;=5,"H","A"),IF(E1452&gt;=2,IF(D1452&gt;=16,"H",IF(D1452&lt;=4,"L","A")),IF(D1452&lt;=15,"L","A"))),IF(OR(B1452="SE",B1452="CE"),IF(E1452&gt;=4,IF(D1452&gt;=6,"H","A"),IF(E1452&gt;=2,IF(D1452&gt;=20,"H",IF(D1452&lt;=5,"L","A")),IF(D1452&lt;=19,"L","A"))),IF(OR(B1452="ALI",B1452="AIE"),IF(E1452&gt;=6,IF(D1452&gt;=20,"H","A"),IF(E1452&gt;=2,IF(D1452&gt;=51,"H",IF(D1452&lt;=19,"L","A")),IF(D1452&lt;=50,"L","A"))),""))))</f>
        <v>L</v>
      </c>
      <c r="J1452" s="4" t="str">
        <f>CONCATENATE(B1452,C1452)</f>
        <v>CEI</v>
      </c>
      <c r="K1452" s="106">
        <f>IF(OR(H1452="",H1452=0),L1452,H1452)</f>
        <v>3</v>
      </c>
      <c r="L1452" s="106">
        <f>IF(NOT(ISERROR(VLOOKUP(B1452,Deflatores!G$42:H$64,2,FALSE))),VLOOKUP(B1452,Deflatores!G$42:H$64,2,FALSE),IF(OR(ISBLANK(C1452),ISBLANK(B1452)),"",VLOOKUP(C1452,Deflatores!G$4:H$38,2,FALSE)*H1452+VLOOKUP(C1452,Deflatores!G$4:I$38,3,FALSE)))</f>
        <v>3</v>
      </c>
      <c r="M1452" s="6"/>
      <c r="N1452" s="6"/>
      <c r="O1452" s="144"/>
    </row>
    <row r="1453" spans="1:15" x14ac:dyDescent="0.25">
      <c r="A1453" s="145" t="s">
        <v>1233</v>
      </c>
      <c r="B1453" s="113" t="s">
        <v>48</v>
      </c>
      <c r="C1453" s="113" t="s">
        <v>45</v>
      </c>
      <c r="D1453" s="4">
        <v>9</v>
      </c>
      <c r="E1453" s="4">
        <v>2</v>
      </c>
      <c r="F1453" s="105" t="str">
        <f t="shared" si="341"/>
        <v>Média</v>
      </c>
      <c r="G1453" s="4" t="str">
        <f t="shared" si="342"/>
        <v>EEA</v>
      </c>
      <c r="H1453" s="4">
        <f t="shared" si="343"/>
        <v>4</v>
      </c>
      <c r="I1453" s="105" t="str">
        <f t="shared" si="344"/>
        <v>A</v>
      </c>
      <c r="J1453" s="4" t="str">
        <f t="shared" si="345"/>
        <v>EEI</v>
      </c>
      <c r="K1453" s="106">
        <f t="shared" si="346"/>
        <v>4</v>
      </c>
      <c r="L1453" s="106">
        <f>IF(NOT(ISERROR(VLOOKUP(B1453,Deflatores!G$42:H$64,2,FALSE))),VLOOKUP(B1453,Deflatores!G$42:H$64,2,FALSE),IF(OR(ISBLANK(C1453),ISBLANK(B1453)),"",VLOOKUP(C1453,Deflatores!G$4:H$38,2,FALSE)*H1453+VLOOKUP(C1453,Deflatores!G$4:I$38,3,FALSE)))</f>
        <v>4</v>
      </c>
      <c r="M1453" s="6"/>
      <c r="N1453" s="6"/>
      <c r="O1453" s="144"/>
    </row>
    <row r="1454" spans="1:15" x14ac:dyDescent="0.25">
      <c r="A1454" s="146" t="s">
        <v>1234</v>
      </c>
      <c r="B1454" s="113" t="s">
        <v>50</v>
      </c>
      <c r="C1454" s="113" t="s">
        <v>45</v>
      </c>
      <c r="D1454" s="4">
        <v>9</v>
      </c>
      <c r="E1454" s="4">
        <v>1</v>
      </c>
      <c r="F1454" s="105" t="str">
        <f t="shared" si="341"/>
        <v>Baixa</v>
      </c>
      <c r="G1454" s="4" t="str">
        <f t="shared" si="342"/>
        <v>CEL</v>
      </c>
      <c r="H1454" s="4">
        <f t="shared" si="343"/>
        <v>3</v>
      </c>
      <c r="I1454" s="105" t="str">
        <f t="shared" si="344"/>
        <v>L</v>
      </c>
      <c r="J1454" s="4" t="str">
        <f t="shared" si="345"/>
        <v>CEI</v>
      </c>
      <c r="K1454" s="106">
        <f t="shared" si="346"/>
        <v>3</v>
      </c>
      <c r="L1454" s="106">
        <f>IF(NOT(ISERROR(VLOOKUP(B1454,Deflatores!G$42:H$64,2,FALSE))),VLOOKUP(B1454,Deflatores!G$42:H$64,2,FALSE),IF(OR(ISBLANK(C1454),ISBLANK(B1454)),"",VLOOKUP(C1454,Deflatores!G$4:H$38,2,FALSE)*H1454+VLOOKUP(C1454,Deflatores!G$4:I$38,3,FALSE)))</f>
        <v>3</v>
      </c>
      <c r="M1454" s="6"/>
      <c r="N1454" s="6"/>
      <c r="O1454" s="144"/>
    </row>
    <row r="1455" spans="1:15" x14ac:dyDescent="0.25">
      <c r="A1455" s="145" t="s">
        <v>1235</v>
      </c>
      <c r="B1455" s="113" t="s">
        <v>50</v>
      </c>
      <c r="C1455" s="113" t="s">
        <v>45</v>
      </c>
      <c r="D1455" s="4">
        <v>11</v>
      </c>
      <c r="E1455" s="4">
        <v>1</v>
      </c>
      <c r="F1455" s="105" t="str">
        <f t="shared" si="341"/>
        <v>Baixa</v>
      </c>
      <c r="G1455" s="4" t="str">
        <f t="shared" si="342"/>
        <v>CEL</v>
      </c>
      <c r="H1455" s="4">
        <f t="shared" si="343"/>
        <v>3</v>
      </c>
      <c r="I1455" s="105" t="str">
        <f t="shared" si="344"/>
        <v>L</v>
      </c>
      <c r="J1455" s="4" t="str">
        <f t="shared" si="345"/>
        <v>CEI</v>
      </c>
      <c r="K1455" s="106">
        <f t="shared" si="346"/>
        <v>3</v>
      </c>
      <c r="L1455" s="106">
        <f>IF(NOT(ISERROR(VLOOKUP(B1455,Deflatores!G$42:H$64,2,FALSE))),VLOOKUP(B1455,Deflatores!G$42:H$64,2,FALSE),IF(OR(ISBLANK(C1455),ISBLANK(B1455)),"",VLOOKUP(C1455,Deflatores!G$4:H$38,2,FALSE)*H1455+VLOOKUP(C1455,Deflatores!G$4:I$38,3,FALSE)))</f>
        <v>3</v>
      </c>
      <c r="M1455" s="6"/>
      <c r="N1455" s="6"/>
      <c r="O1455" s="144"/>
    </row>
    <row r="1456" spans="1:15" x14ac:dyDescent="0.25">
      <c r="A1456" s="145" t="s">
        <v>1236</v>
      </c>
      <c r="B1456" s="113" t="s">
        <v>48</v>
      </c>
      <c r="C1456" s="113" t="s">
        <v>45</v>
      </c>
      <c r="D1456" s="4">
        <v>3</v>
      </c>
      <c r="E1456" s="4">
        <v>1</v>
      </c>
      <c r="F1456" s="105" t="str">
        <f t="shared" si="341"/>
        <v>Baixa</v>
      </c>
      <c r="G1456" s="4" t="str">
        <f t="shared" si="342"/>
        <v>EEL</v>
      </c>
      <c r="H1456" s="4">
        <f t="shared" si="343"/>
        <v>3</v>
      </c>
      <c r="I1456" s="105" t="str">
        <f t="shared" si="344"/>
        <v>L</v>
      </c>
      <c r="J1456" s="4" t="str">
        <f t="shared" si="345"/>
        <v>EEI</v>
      </c>
      <c r="K1456" s="106">
        <f t="shared" si="346"/>
        <v>3</v>
      </c>
      <c r="L1456" s="106">
        <f>IF(NOT(ISERROR(VLOOKUP(B1456,Deflatores!G$42:H$64,2,FALSE))),VLOOKUP(B1456,Deflatores!G$42:H$64,2,FALSE),IF(OR(ISBLANK(C1456),ISBLANK(B1456)),"",VLOOKUP(C1456,Deflatores!G$4:H$38,2,FALSE)*H1456+VLOOKUP(C1456,Deflatores!G$4:I$38,3,FALSE)))</f>
        <v>3</v>
      </c>
      <c r="M1456" s="6"/>
      <c r="N1456" s="6"/>
      <c r="O1456" s="144"/>
    </row>
    <row r="1457" spans="1:15" x14ac:dyDescent="0.25">
      <c r="A1457" s="145"/>
      <c r="B1457" s="113"/>
      <c r="C1457" s="113"/>
      <c r="D1457" s="4"/>
      <c r="E1457" s="4"/>
      <c r="F1457" s="105" t="str">
        <f t="shared" si="341"/>
        <v/>
      </c>
      <c r="G1457" s="4" t="str">
        <f t="shared" si="342"/>
        <v/>
      </c>
      <c r="H1457" s="4" t="str">
        <f t="shared" si="343"/>
        <v/>
      </c>
      <c r="I1457" s="105" t="str">
        <f t="shared" si="344"/>
        <v/>
      </c>
      <c r="J1457" s="4" t="str">
        <f t="shared" si="345"/>
        <v/>
      </c>
      <c r="K1457" s="106" t="str">
        <f t="shared" si="346"/>
        <v/>
      </c>
      <c r="L1457" s="106" t="str">
        <f>IF(NOT(ISERROR(VLOOKUP(B1457,Deflatores!G$42:H$64,2,FALSE))),VLOOKUP(B1457,Deflatores!G$42:H$64,2,FALSE),IF(OR(ISBLANK(C1457),ISBLANK(B1457)),"",VLOOKUP(C1457,Deflatores!G$4:H$38,2,FALSE)*H1457+VLOOKUP(C1457,Deflatores!G$4:I$38,3,FALSE)))</f>
        <v/>
      </c>
      <c r="M1457" s="6"/>
      <c r="N1457" s="6"/>
      <c r="O1457" s="144"/>
    </row>
    <row r="1458" spans="1:15" x14ac:dyDescent="0.25">
      <c r="A1458" s="143" t="s">
        <v>1237</v>
      </c>
      <c r="B1458" s="113"/>
      <c r="C1458" s="113"/>
      <c r="D1458" s="4"/>
      <c r="E1458" s="4"/>
      <c r="F1458" s="105" t="str">
        <f t="shared" si="341"/>
        <v/>
      </c>
      <c r="G1458" s="4" t="str">
        <f t="shared" si="342"/>
        <v/>
      </c>
      <c r="H1458" s="4" t="str">
        <f t="shared" si="343"/>
        <v/>
      </c>
      <c r="I1458" s="105" t="str">
        <f t="shared" si="344"/>
        <v/>
      </c>
      <c r="J1458" s="4" t="str">
        <f t="shared" si="345"/>
        <v/>
      </c>
      <c r="K1458" s="106" t="str">
        <f t="shared" si="346"/>
        <v/>
      </c>
      <c r="L1458" s="106" t="str">
        <f>IF(NOT(ISERROR(VLOOKUP(B1458,Deflatores!G$42:H$64,2,FALSE))),VLOOKUP(B1458,Deflatores!G$42:H$64,2,FALSE),IF(OR(ISBLANK(C1458),ISBLANK(B1458)),"",VLOOKUP(C1458,Deflatores!G$4:H$38,2,FALSE)*H1458+VLOOKUP(C1458,Deflatores!G$4:I$38,3,FALSE)))</f>
        <v/>
      </c>
      <c r="M1458" s="6"/>
      <c r="N1458" s="6"/>
      <c r="O1458" s="144"/>
    </row>
    <row r="1459" spans="1:15" x14ac:dyDescent="0.25">
      <c r="A1459" s="145" t="s">
        <v>1238</v>
      </c>
      <c r="B1459" s="113" t="s">
        <v>44</v>
      </c>
      <c r="C1459" s="113" t="s">
        <v>45</v>
      </c>
      <c r="D1459" s="4">
        <v>17</v>
      </c>
      <c r="E1459" s="4">
        <v>3</v>
      </c>
      <c r="F1459" s="105" t="str">
        <f t="shared" si="341"/>
        <v>Baixa</v>
      </c>
      <c r="G1459" s="4" t="str">
        <f t="shared" si="342"/>
        <v>ALIL</v>
      </c>
      <c r="H1459" s="4">
        <f t="shared" si="343"/>
        <v>7</v>
      </c>
      <c r="I1459" s="105" t="str">
        <f t="shared" si="344"/>
        <v>L</v>
      </c>
      <c r="J1459" s="4" t="str">
        <f t="shared" si="345"/>
        <v>ALII</v>
      </c>
      <c r="K1459" s="106">
        <f t="shared" si="346"/>
        <v>7</v>
      </c>
      <c r="L1459" s="106">
        <f>IF(NOT(ISERROR(VLOOKUP(B1459,Deflatores!G$42:H$64,2,FALSE))),VLOOKUP(B1459,Deflatores!G$42:H$64,2,FALSE),IF(OR(ISBLANK(C1459),ISBLANK(B1459)),"",VLOOKUP(C1459,Deflatores!G$4:H$38,2,FALSE)*H1459+VLOOKUP(C1459,Deflatores!G$4:I$38,3,FALSE)))</f>
        <v>7</v>
      </c>
      <c r="M1459" s="6"/>
      <c r="N1459" s="6"/>
      <c r="O1459" s="144"/>
    </row>
    <row r="1460" spans="1:15" x14ac:dyDescent="0.25">
      <c r="A1460" s="145" t="s">
        <v>1239</v>
      </c>
      <c r="B1460" s="113" t="s">
        <v>50</v>
      </c>
      <c r="C1460" s="113" t="s">
        <v>45</v>
      </c>
      <c r="D1460" s="4">
        <v>10</v>
      </c>
      <c r="E1460" s="4">
        <v>1</v>
      </c>
      <c r="F1460" s="105" t="str">
        <f t="shared" si="341"/>
        <v>Baixa</v>
      </c>
      <c r="G1460" s="4" t="str">
        <f t="shared" si="342"/>
        <v>CEL</v>
      </c>
      <c r="H1460" s="4">
        <f t="shared" si="343"/>
        <v>3</v>
      </c>
      <c r="I1460" s="105" t="str">
        <f t="shared" si="344"/>
        <v>L</v>
      </c>
      <c r="J1460" s="4" t="str">
        <f t="shared" si="345"/>
        <v>CEI</v>
      </c>
      <c r="K1460" s="106">
        <f t="shared" si="346"/>
        <v>3</v>
      </c>
      <c r="L1460" s="106">
        <f>IF(NOT(ISERROR(VLOOKUP(B1460,Deflatores!G$42:H$64,2,FALSE))),VLOOKUP(B1460,Deflatores!G$42:H$64,2,FALSE),IF(OR(ISBLANK(C1460),ISBLANK(B1460)),"",VLOOKUP(C1460,Deflatores!G$4:H$38,2,FALSE)*H1460+VLOOKUP(C1460,Deflatores!G$4:I$38,3,FALSE)))</f>
        <v>3</v>
      </c>
      <c r="M1460" s="6"/>
      <c r="N1460" s="6"/>
      <c r="O1460" s="144"/>
    </row>
    <row r="1461" spans="1:15" x14ac:dyDescent="0.25">
      <c r="A1461" s="145" t="s">
        <v>1240</v>
      </c>
      <c r="B1461" s="113" t="s">
        <v>48</v>
      </c>
      <c r="C1461" s="113" t="s">
        <v>45</v>
      </c>
      <c r="D1461" s="4">
        <v>10</v>
      </c>
      <c r="E1461" s="4">
        <v>2</v>
      </c>
      <c r="F1461" s="105" t="str">
        <f t="shared" si="341"/>
        <v>Média</v>
      </c>
      <c r="G1461" s="4" t="str">
        <f t="shared" si="342"/>
        <v>EEA</v>
      </c>
      <c r="H1461" s="4">
        <f t="shared" si="343"/>
        <v>4</v>
      </c>
      <c r="I1461" s="105" t="str">
        <f t="shared" si="344"/>
        <v>A</v>
      </c>
      <c r="J1461" s="4" t="str">
        <f t="shared" si="345"/>
        <v>EEI</v>
      </c>
      <c r="K1461" s="106">
        <f t="shared" si="346"/>
        <v>4</v>
      </c>
      <c r="L1461" s="106">
        <f>IF(NOT(ISERROR(VLOOKUP(B1461,Deflatores!G$42:H$64,2,FALSE))),VLOOKUP(B1461,Deflatores!G$42:H$64,2,FALSE),IF(OR(ISBLANK(C1461),ISBLANK(B1461)),"",VLOOKUP(C1461,Deflatores!G$4:H$38,2,FALSE)*H1461+VLOOKUP(C1461,Deflatores!G$4:I$38,3,FALSE)))</f>
        <v>4</v>
      </c>
      <c r="M1461" s="6"/>
      <c r="N1461" s="6"/>
      <c r="O1461" s="144"/>
    </row>
    <row r="1462" spans="1:15" x14ac:dyDescent="0.25">
      <c r="A1462" s="145" t="s">
        <v>1241</v>
      </c>
      <c r="B1462" s="113" t="s">
        <v>48</v>
      </c>
      <c r="C1462" s="113" t="s">
        <v>45</v>
      </c>
      <c r="D1462" s="4">
        <v>10</v>
      </c>
      <c r="E1462" s="4">
        <v>2</v>
      </c>
      <c r="F1462" s="105" t="str">
        <f t="shared" si="341"/>
        <v>Média</v>
      </c>
      <c r="G1462" s="4" t="str">
        <f t="shared" si="342"/>
        <v>EEA</v>
      </c>
      <c r="H1462" s="4">
        <f t="shared" si="343"/>
        <v>4</v>
      </c>
      <c r="I1462" s="105" t="str">
        <f t="shared" si="344"/>
        <v>A</v>
      </c>
      <c r="J1462" s="4" t="str">
        <f t="shared" si="345"/>
        <v>EEI</v>
      </c>
      <c r="K1462" s="106">
        <f t="shared" si="346"/>
        <v>4</v>
      </c>
      <c r="L1462" s="106">
        <f>IF(NOT(ISERROR(VLOOKUP(B1462,Deflatores!G$42:H$64,2,FALSE))),VLOOKUP(B1462,Deflatores!G$42:H$64,2,FALSE),IF(OR(ISBLANK(C1462),ISBLANK(B1462)),"",VLOOKUP(C1462,Deflatores!G$4:H$38,2,FALSE)*H1462+VLOOKUP(C1462,Deflatores!G$4:I$38,3,FALSE)))</f>
        <v>4</v>
      </c>
      <c r="M1462" s="6"/>
      <c r="N1462" s="6"/>
      <c r="O1462" s="144"/>
    </row>
    <row r="1463" spans="1:15" x14ac:dyDescent="0.25">
      <c r="A1463" s="146" t="s">
        <v>1242</v>
      </c>
      <c r="B1463" s="113" t="s">
        <v>50</v>
      </c>
      <c r="C1463" s="113" t="s">
        <v>45</v>
      </c>
      <c r="D1463" s="4">
        <v>8</v>
      </c>
      <c r="E1463" s="4">
        <v>1</v>
      </c>
      <c r="F1463" s="105" t="str">
        <f t="shared" si="341"/>
        <v>Baixa</v>
      </c>
      <c r="G1463" s="4" t="str">
        <f t="shared" si="342"/>
        <v>CEL</v>
      </c>
      <c r="H1463" s="4">
        <f t="shared" si="343"/>
        <v>3</v>
      </c>
      <c r="I1463" s="105" t="str">
        <f t="shared" si="344"/>
        <v>L</v>
      </c>
      <c r="J1463" s="4" t="str">
        <f t="shared" si="345"/>
        <v>CEI</v>
      </c>
      <c r="K1463" s="106">
        <f t="shared" si="346"/>
        <v>3</v>
      </c>
      <c r="L1463" s="106">
        <f>IF(NOT(ISERROR(VLOOKUP(B1463,Deflatores!G$42:H$64,2,FALSE))),VLOOKUP(B1463,Deflatores!G$42:H$64,2,FALSE),IF(OR(ISBLANK(C1463),ISBLANK(B1463)),"",VLOOKUP(C1463,Deflatores!G$4:H$38,2,FALSE)*H1463+VLOOKUP(C1463,Deflatores!G$4:I$38,3,FALSE)))</f>
        <v>3</v>
      </c>
      <c r="M1463" s="6"/>
      <c r="N1463" s="6"/>
      <c r="O1463" s="144"/>
    </row>
    <row r="1464" spans="1:15" x14ac:dyDescent="0.25">
      <c r="A1464" s="145" t="s">
        <v>1243</v>
      </c>
      <c r="B1464" s="113" t="s">
        <v>50</v>
      </c>
      <c r="C1464" s="113" t="s">
        <v>45</v>
      </c>
      <c r="D1464" s="4">
        <v>10</v>
      </c>
      <c r="E1464" s="4">
        <v>1</v>
      </c>
      <c r="F1464" s="105" t="str">
        <f t="shared" si="341"/>
        <v>Baixa</v>
      </c>
      <c r="G1464" s="4" t="str">
        <f t="shared" si="342"/>
        <v>CEL</v>
      </c>
      <c r="H1464" s="4">
        <f t="shared" si="343"/>
        <v>3</v>
      </c>
      <c r="I1464" s="105" t="str">
        <f t="shared" si="344"/>
        <v>L</v>
      </c>
      <c r="J1464" s="4" t="str">
        <f t="shared" si="345"/>
        <v>CEI</v>
      </c>
      <c r="K1464" s="106">
        <f t="shared" si="346"/>
        <v>3</v>
      </c>
      <c r="L1464" s="106">
        <f>IF(NOT(ISERROR(VLOOKUP(B1464,Deflatores!G$42:H$64,2,FALSE))),VLOOKUP(B1464,Deflatores!G$42:H$64,2,FALSE),IF(OR(ISBLANK(C1464),ISBLANK(B1464)),"",VLOOKUP(C1464,Deflatores!G$4:H$38,2,FALSE)*H1464+VLOOKUP(C1464,Deflatores!G$4:I$38,3,FALSE)))</f>
        <v>3</v>
      </c>
      <c r="M1464" s="6"/>
      <c r="N1464" s="6"/>
      <c r="O1464" s="144"/>
    </row>
    <row r="1465" spans="1:15" x14ac:dyDescent="0.25">
      <c r="A1465" s="145" t="s">
        <v>1244</v>
      </c>
      <c r="B1465" s="113" t="s">
        <v>48</v>
      </c>
      <c r="C1465" s="113" t="s">
        <v>45</v>
      </c>
      <c r="D1465" s="4">
        <v>3</v>
      </c>
      <c r="E1465" s="4">
        <v>1</v>
      </c>
      <c r="F1465" s="105" t="str">
        <f t="shared" si="341"/>
        <v>Baixa</v>
      </c>
      <c r="G1465" s="4" t="str">
        <f t="shared" si="342"/>
        <v>EEL</v>
      </c>
      <c r="H1465" s="4">
        <f t="shared" si="343"/>
        <v>3</v>
      </c>
      <c r="I1465" s="105" t="str">
        <f t="shared" si="344"/>
        <v>L</v>
      </c>
      <c r="J1465" s="4" t="str">
        <f t="shared" si="345"/>
        <v>EEI</v>
      </c>
      <c r="K1465" s="106">
        <f t="shared" si="346"/>
        <v>3</v>
      </c>
      <c r="L1465" s="106">
        <f>IF(NOT(ISERROR(VLOOKUP(B1465,Deflatores!G$42:H$64,2,FALSE))),VLOOKUP(B1465,Deflatores!G$42:H$64,2,FALSE),IF(OR(ISBLANK(C1465),ISBLANK(B1465)),"",VLOOKUP(C1465,Deflatores!G$4:H$38,2,FALSE)*H1465+VLOOKUP(C1465,Deflatores!G$4:I$38,3,FALSE)))</f>
        <v>3</v>
      </c>
      <c r="M1465" s="6"/>
      <c r="N1465" s="6"/>
      <c r="O1465" s="144"/>
    </row>
    <row r="1466" spans="1:15" x14ac:dyDescent="0.25">
      <c r="A1466" s="145" t="s">
        <v>1245</v>
      </c>
      <c r="B1466" s="113" t="s">
        <v>50</v>
      </c>
      <c r="C1466" s="113" t="s">
        <v>45</v>
      </c>
      <c r="D1466" s="4">
        <v>8</v>
      </c>
      <c r="E1466" s="4">
        <v>1</v>
      </c>
      <c r="F1466" s="105" t="str">
        <f t="shared" si="341"/>
        <v>Baixa</v>
      </c>
      <c r="G1466" s="4" t="str">
        <f t="shared" si="342"/>
        <v>CEL</v>
      </c>
      <c r="H1466" s="4">
        <f t="shared" si="343"/>
        <v>3</v>
      </c>
      <c r="I1466" s="105" t="str">
        <f t="shared" si="344"/>
        <v>L</v>
      </c>
      <c r="J1466" s="4" t="str">
        <f t="shared" si="345"/>
        <v>CEI</v>
      </c>
      <c r="K1466" s="106">
        <f t="shared" si="346"/>
        <v>3</v>
      </c>
      <c r="L1466" s="106">
        <f>IF(NOT(ISERROR(VLOOKUP(B1466,Deflatores!G$42:H$64,2,FALSE))),VLOOKUP(B1466,Deflatores!G$42:H$64,2,FALSE),IF(OR(ISBLANK(C1466),ISBLANK(B1466)),"",VLOOKUP(C1466,Deflatores!G$4:H$38,2,FALSE)*H1466+VLOOKUP(C1466,Deflatores!G$4:I$38,3,FALSE)))</f>
        <v>3</v>
      </c>
      <c r="M1466" s="6"/>
      <c r="N1466" s="6"/>
      <c r="O1466" s="144"/>
    </row>
    <row r="1467" spans="1:15" x14ac:dyDescent="0.25">
      <c r="A1467" s="145" t="s">
        <v>1246</v>
      </c>
      <c r="B1467" s="113" t="s">
        <v>48</v>
      </c>
      <c r="C1467" s="113" t="s">
        <v>45</v>
      </c>
      <c r="D1467" s="4">
        <v>7</v>
      </c>
      <c r="E1467" s="4">
        <v>2</v>
      </c>
      <c r="F1467" s="105" t="str">
        <f>IF(ISBLANK(B1467),"",IF(I1467="L","Baixa",IF(I1467="A","Média",IF(I1467="","","Alta"))))</f>
        <v>Média</v>
      </c>
      <c r="G1467" s="4" t="str">
        <f>CONCATENATE(B1467,I1467)</f>
        <v>EEA</v>
      </c>
      <c r="H1467" s="4">
        <f>IF(ISBLANK(B1467),"",IF(B1467="ALI",IF(I1467="L",7,IF(I1467="A",10,15)),IF(B1467="AIE",IF(I1467="L",5,IF(I1467="A",7,10)),IF(B1467="SE",IF(I1467="L",4,IF(I1467="A",5,7)),IF(OR(B1467="EE",B1467="CE"),IF(I1467="L",3,IF(I1467="A",4,6)),0)))))</f>
        <v>4</v>
      </c>
      <c r="I1467" s="105" t="str">
        <f>IF(OR(ISBLANK(D1467),ISBLANK(E1467)),IF(OR(B1467="ALI",B1467="AIE"),"L",IF(OR(B1467="EE",B1467="SE",B1467="CE"),"A","")),IF(B1467="EE",IF(E1467&gt;=3,IF(D1467&gt;=5,"H","A"),IF(E1467&gt;=2,IF(D1467&gt;=16,"H",IF(D1467&lt;=4,"L","A")),IF(D1467&lt;=15,"L","A"))),IF(OR(B1467="SE",B1467="CE"),IF(E1467&gt;=4,IF(D1467&gt;=6,"H","A"),IF(E1467&gt;=2,IF(D1467&gt;=20,"H",IF(D1467&lt;=5,"L","A")),IF(D1467&lt;=19,"L","A"))),IF(OR(B1467="ALI",B1467="AIE"),IF(E1467&gt;=6,IF(D1467&gt;=20,"H","A"),IF(E1467&gt;=2,IF(D1467&gt;=51,"H",IF(D1467&lt;=19,"L","A")),IF(D1467&lt;=50,"L","A"))),""))))</f>
        <v>A</v>
      </c>
      <c r="J1467" s="4" t="str">
        <f>CONCATENATE(B1467,C1467)</f>
        <v>EEI</v>
      </c>
      <c r="K1467" s="106">
        <f>IF(OR(H1467="",H1467=0),L1467,H1467)</f>
        <v>4</v>
      </c>
      <c r="L1467" s="106">
        <f>IF(NOT(ISERROR(VLOOKUP(B1467,Deflatores!G$42:H$64,2,FALSE))),VLOOKUP(B1467,Deflatores!G$42:H$64,2,FALSE),IF(OR(ISBLANK(C1467),ISBLANK(B1467)),"",VLOOKUP(C1467,Deflatores!G$4:H$38,2,FALSE)*H1467+VLOOKUP(C1467,Deflatores!G$4:I$38,3,FALSE)))</f>
        <v>4</v>
      </c>
      <c r="M1467" s="6"/>
      <c r="N1467" s="6"/>
      <c r="O1467" s="144"/>
    </row>
    <row r="1468" spans="1:15" x14ac:dyDescent="0.25">
      <c r="A1468" s="147" t="s">
        <v>1247</v>
      </c>
      <c r="B1468" s="113" t="s">
        <v>50</v>
      </c>
      <c r="C1468" s="113" t="s">
        <v>45</v>
      </c>
      <c r="D1468" s="4">
        <v>3</v>
      </c>
      <c r="E1468" s="4">
        <v>1</v>
      </c>
      <c r="F1468" s="105" t="str">
        <f>IF(ISBLANK(B1468),"",IF(I1468="L","Baixa",IF(I1468="A","Média",IF(I1468="","","Alta"))))</f>
        <v>Baixa</v>
      </c>
      <c r="G1468" s="4" t="str">
        <f>CONCATENATE(B1468,I1468)</f>
        <v>CEL</v>
      </c>
      <c r="H1468" s="4">
        <f>IF(ISBLANK(B1468),"",IF(B1468="ALI",IF(I1468="L",7,IF(I1468="A",10,15)),IF(B1468="AIE",IF(I1468="L",5,IF(I1468="A",7,10)),IF(B1468="SE",IF(I1468="L",4,IF(I1468="A",5,7)),IF(OR(B1468="EE",B1468="CE"),IF(I1468="L",3,IF(I1468="A",4,6)),0)))))</f>
        <v>3</v>
      </c>
      <c r="I1468" s="105" t="str">
        <f>IF(OR(ISBLANK(D1468),ISBLANK(E1468)),IF(OR(B1468="ALI",B1468="AIE"),"L",IF(OR(B1468="EE",B1468="SE",B1468="CE"),"A","")),IF(B1468="EE",IF(E1468&gt;=3,IF(D1468&gt;=5,"H","A"),IF(E1468&gt;=2,IF(D1468&gt;=16,"H",IF(D1468&lt;=4,"L","A")),IF(D1468&lt;=15,"L","A"))),IF(OR(B1468="SE",B1468="CE"),IF(E1468&gt;=4,IF(D1468&gt;=6,"H","A"),IF(E1468&gt;=2,IF(D1468&gt;=20,"H",IF(D1468&lt;=5,"L","A")),IF(D1468&lt;=19,"L","A"))),IF(OR(B1468="ALI",B1468="AIE"),IF(E1468&gt;=6,IF(D1468&gt;=20,"H","A"),IF(E1468&gt;=2,IF(D1468&gt;=51,"H",IF(D1468&lt;=19,"L","A")),IF(D1468&lt;=50,"L","A"))),""))))</f>
        <v>L</v>
      </c>
      <c r="J1468" s="4" t="str">
        <f>CONCATENATE(B1468,C1468)</f>
        <v>CEI</v>
      </c>
      <c r="K1468" s="106">
        <f>IF(OR(H1468="",H1468=0),L1468,H1468)</f>
        <v>3</v>
      </c>
      <c r="L1468" s="106">
        <f>IF(NOT(ISERROR(VLOOKUP(B1468,Deflatores!G$42:H$64,2,FALSE))),VLOOKUP(B1468,Deflatores!G$42:H$64,2,FALSE),IF(OR(ISBLANK(C1468),ISBLANK(B1468)),"",VLOOKUP(C1468,Deflatores!G$4:H$38,2,FALSE)*H1468+VLOOKUP(C1468,Deflatores!G$4:I$38,3,FALSE)))</f>
        <v>3</v>
      </c>
      <c r="M1468" s="6"/>
      <c r="N1468" s="6"/>
      <c r="O1468" s="144"/>
    </row>
    <row r="1469" spans="1:15" x14ac:dyDescent="0.25">
      <c r="A1469" s="145" t="s">
        <v>1248</v>
      </c>
      <c r="B1469" s="113" t="s">
        <v>48</v>
      </c>
      <c r="C1469" s="113" t="s">
        <v>45</v>
      </c>
      <c r="D1469" s="4">
        <v>9</v>
      </c>
      <c r="E1469" s="4">
        <v>2</v>
      </c>
      <c r="F1469" s="105" t="str">
        <f>IF(ISBLANK(B1469),"",IF(I1469="L","Baixa",IF(I1469="A","Média",IF(I1469="","","Alta"))))</f>
        <v>Média</v>
      </c>
      <c r="G1469" s="4" t="str">
        <f>CONCATENATE(B1469,I1469)</f>
        <v>EEA</v>
      </c>
      <c r="H1469" s="4">
        <f>IF(ISBLANK(B1469),"",IF(B1469="ALI",IF(I1469="L",7,IF(I1469="A",10,15)),IF(B1469="AIE",IF(I1469="L",5,IF(I1469="A",7,10)),IF(B1469="SE",IF(I1469="L",4,IF(I1469="A",5,7)),IF(OR(B1469="EE",B1469="CE"),IF(I1469="L",3,IF(I1469="A",4,6)),0)))))</f>
        <v>4</v>
      </c>
      <c r="I1469" s="105" t="str">
        <f>IF(OR(ISBLANK(D1469),ISBLANK(E1469)),IF(OR(B1469="ALI",B1469="AIE"),"L",IF(OR(B1469="EE",B1469="SE",B1469="CE"),"A","")),IF(B1469="EE",IF(E1469&gt;=3,IF(D1469&gt;=5,"H","A"),IF(E1469&gt;=2,IF(D1469&gt;=16,"H",IF(D1469&lt;=4,"L","A")),IF(D1469&lt;=15,"L","A"))),IF(OR(B1469="SE",B1469="CE"),IF(E1469&gt;=4,IF(D1469&gt;=6,"H","A"),IF(E1469&gt;=2,IF(D1469&gt;=20,"H",IF(D1469&lt;=5,"L","A")),IF(D1469&lt;=19,"L","A"))),IF(OR(B1469="ALI",B1469="AIE"),IF(E1469&gt;=6,IF(D1469&gt;=20,"H","A"),IF(E1469&gt;=2,IF(D1469&gt;=51,"H",IF(D1469&lt;=19,"L","A")),IF(D1469&lt;=50,"L","A"))),""))))</f>
        <v>A</v>
      </c>
      <c r="J1469" s="4" t="str">
        <f>CONCATENATE(B1469,C1469)</f>
        <v>EEI</v>
      </c>
      <c r="K1469" s="106">
        <f>IF(OR(H1469="",H1469=0),L1469,H1469)</f>
        <v>4</v>
      </c>
      <c r="L1469" s="106">
        <f>IF(NOT(ISERROR(VLOOKUP(B1469,Deflatores!G$42:H$64,2,FALSE))),VLOOKUP(B1469,Deflatores!G$42:H$64,2,FALSE),IF(OR(ISBLANK(C1469),ISBLANK(B1469)),"",VLOOKUP(C1469,Deflatores!G$4:H$38,2,FALSE)*H1469+VLOOKUP(C1469,Deflatores!G$4:I$38,3,FALSE)))</f>
        <v>4</v>
      </c>
      <c r="M1469" s="6"/>
      <c r="N1469" s="6"/>
      <c r="O1469" s="144"/>
    </row>
    <row r="1470" spans="1:15" x14ac:dyDescent="0.25">
      <c r="A1470" s="146" t="s">
        <v>1249</v>
      </c>
      <c r="B1470" s="113" t="s">
        <v>50</v>
      </c>
      <c r="C1470" s="113" t="s">
        <v>45</v>
      </c>
      <c r="D1470" s="4">
        <v>9</v>
      </c>
      <c r="E1470" s="4">
        <v>1</v>
      </c>
      <c r="F1470" s="105" t="str">
        <f>IF(ISBLANK(B1470),"",IF(I1470="L","Baixa",IF(I1470="A","Média",IF(I1470="","","Alta"))))</f>
        <v>Baixa</v>
      </c>
      <c r="G1470" s="4" t="str">
        <f>CONCATENATE(B1470,I1470)</f>
        <v>CEL</v>
      </c>
      <c r="H1470" s="4">
        <f>IF(ISBLANK(B1470),"",IF(B1470="ALI",IF(I1470="L",7,IF(I1470="A",10,15)),IF(B1470="AIE",IF(I1470="L",5,IF(I1470="A",7,10)),IF(B1470="SE",IF(I1470="L",4,IF(I1470="A",5,7)),IF(OR(B1470="EE",B1470="CE"),IF(I1470="L",3,IF(I1470="A",4,6)),0)))))</f>
        <v>3</v>
      </c>
      <c r="I1470" s="105" t="str">
        <f>IF(OR(ISBLANK(D1470),ISBLANK(E1470)),IF(OR(B1470="ALI",B1470="AIE"),"L",IF(OR(B1470="EE",B1470="SE",B1470="CE"),"A","")),IF(B1470="EE",IF(E1470&gt;=3,IF(D1470&gt;=5,"H","A"),IF(E1470&gt;=2,IF(D1470&gt;=16,"H",IF(D1470&lt;=4,"L","A")),IF(D1470&lt;=15,"L","A"))),IF(OR(B1470="SE",B1470="CE"),IF(E1470&gt;=4,IF(D1470&gt;=6,"H","A"),IF(E1470&gt;=2,IF(D1470&gt;=20,"H",IF(D1470&lt;=5,"L","A")),IF(D1470&lt;=19,"L","A"))),IF(OR(B1470="ALI",B1470="AIE"),IF(E1470&gt;=6,IF(D1470&gt;=20,"H","A"),IF(E1470&gt;=2,IF(D1470&gt;=51,"H",IF(D1470&lt;=19,"L","A")),IF(D1470&lt;=50,"L","A"))),""))))</f>
        <v>L</v>
      </c>
      <c r="J1470" s="4" t="str">
        <f>CONCATENATE(B1470,C1470)</f>
        <v>CEI</v>
      </c>
      <c r="K1470" s="106">
        <f>IF(OR(H1470="",H1470=0),L1470,H1470)</f>
        <v>3</v>
      </c>
      <c r="L1470" s="106">
        <f>IF(NOT(ISERROR(VLOOKUP(B1470,Deflatores!G$42:H$64,2,FALSE))),VLOOKUP(B1470,Deflatores!G$42:H$64,2,FALSE),IF(OR(ISBLANK(C1470),ISBLANK(B1470)),"",VLOOKUP(C1470,Deflatores!G$4:H$38,2,FALSE)*H1470+VLOOKUP(C1470,Deflatores!G$4:I$38,3,FALSE)))</f>
        <v>3</v>
      </c>
      <c r="M1470" s="6"/>
      <c r="N1470" s="6"/>
      <c r="O1470" s="144"/>
    </row>
    <row r="1471" spans="1:15" x14ac:dyDescent="0.25">
      <c r="A1471" s="145" t="s">
        <v>1250</v>
      </c>
      <c r="B1471" s="113" t="s">
        <v>50</v>
      </c>
      <c r="C1471" s="113" t="s">
        <v>45</v>
      </c>
      <c r="D1471" s="4">
        <v>9</v>
      </c>
      <c r="E1471" s="4">
        <v>1</v>
      </c>
      <c r="F1471" s="105" t="str">
        <f t="shared" si="341"/>
        <v>Baixa</v>
      </c>
      <c r="G1471" s="4" t="str">
        <f t="shared" si="342"/>
        <v>CEL</v>
      </c>
      <c r="H1471" s="4">
        <f t="shared" si="343"/>
        <v>3</v>
      </c>
      <c r="I1471" s="105" t="str">
        <f t="shared" si="344"/>
        <v>L</v>
      </c>
      <c r="J1471" s="4" t="str">
        <f t="shared" si="345"/>
        <v>CEI</v>
      </c>
      <c r="K1471" s="106">
        <f t="shared" si="346"/>
        <v>3</v>
      </c>
      <c r="L1471" s="106">
        <f>IF(NOT(ISERROR(VLOOKUP(B1471,Deflatores!G$42:H$64,2,FALSE))),VLOOKUP(B1471,Deflatores!G$42:H$64,2,FALSE),IF(OR(ISBLANK(C1471),ISBLANK(B1471)),"",VLOOKUP(C1471,Deflatores!G$4:H$38,2,FALSE)*H1471+VLOOKUP(C1471,Deflatores!G$4:I$38,3,FALSE)))</f>
        <v>3</v>
      </c>
      <c r="M1471" s="6"/>
      <c r="N1471" s="6"/>
      <c r="O1471" s="144"/>
    </row>
    <row r="1472" spans="1:15" x14ac:dyDescent="0.25">
      <c r="A1472" s="145" t="s">
        <v>1251</v>
      </c>
      <c r="B1472" s="113" t="s">
        <v>48</v>
      </c>
      <c r="C1472" s="113" t="s">
        <v>45</v>
      </c>
      <c r="D1472" s="4">
        <v>3</v>
      </c>
      <c r="E1472" s="4">
        <v>1</v>
      </c>
      <c r="F1472" s="105" t="str">
        <f>IF(ISBLANK(B1472),"",IF(I1472="L","Baixa",IF(I1472="A","Média",IF(I1472="","","Alta"))))</f>
        <v>Baixa</v>
      </c>
      <c r="G1472" s="4" t="str">
        <f>CONCATENATE(B1472,I1472)</f>
        <v>EEL</v>
      </c>
      <c r="H1472" s="4">
        <f>IF(ISBLANK(B1472),"",IF(B1472="ALI",IF(I1472="L",7,IF(I1472="A",10,15)),IF(B1472="AIE",IF(I1472="L",5,IF(I1472="A",7,10)),IF(B1472="SE",IF(I1472="L",4,IF(I1472="A",5,7)),IF(OR(B1472="EE",B1472="CE"),IF(I1472="L",3,IF(I1472="A",4,6)),0)))))</f>
        <v>3</v>
      </c>
      <c r="I1472" s="105" t="str">
        <f>IF(OR(ISBLANK(D1472),ISBLANK(E1472)),IF(OR(B1472="ALI",B1472="AIE"),"L",IF(OR(B1472="EE",B1472="SE",B1472="CE"),"A","")),IF(B1472="EE",IF(E1472&gt;=3,IF(D1472&gt;=5,"H","A"),IF(E1472&gt;=2,IF(D1472&gt;=16,"H",IF(D1472&lt;=4,"L","A")),IF(D1472&lt;=15,"L","A"))),IF(OR(B1472="SE",B1472="CE"),IF(E1472&gt;=4,IF(D1472&gt;=6,"H","A"),IF(E1472&gt;=2,IF(D1472&gt;=20,"H",IF(D1472&lt;=5,"L","A")),IF(D1472&lt;=19,"L","A"))),IF(OR(B1472="ALI",B1472="AIE"),IF(E1472&gt;=6,IF(D1472&gt;=20,"H","A"),IF(E1472&gt;=2,IF(D1472&gt;=51,"H",IF(D1472&lt;=19,"L","A")),IF(D1472&lt;=50,"L","A"))),""))))</f>
        <v>L</v>
      </c>
      <c r="J1472" s="4" t="str">
        <f>CONCATENATE(B1472,C1472)</f>
        <v>EEI</v>
      </c>
      <c r="K1472" s="106">
        <f>IF(OR(H1472="",H1472=0),L1472,H1472)</f>
        <v>3</v>
      </c>
      <c r="L1472" s="106">
        <f>IF(NOT(ISERROR(VLOOKUP(B1472,Deflatores!G$42:H$64,2,FALSE))),VLOOKUP(B1472,Deflatores!G$42:H$64,2,FALSE),IF(OR(ISBLANK(C1472),ISBLANK(B1472)),"",VLOOKUP(C1472,Deflatores!G$4:H$38,2,FALSE)*H1472+VLOOKUP(C1472,Deflatores!G$4:I$38,3,FALSE)))</f>
        <v>3</v>
      </c>
      <c r="M1472" s="6"/>
      <c r="N1472" s="6"/>
      <c r="O1472" s="144"/>
    </row>
    <row r="1473" spans="1:15" x14ac:dyDescent="0.25">
      <c r="A1473" s="145"/>
      <c r="B1473" s="113"/>
      <c r="C1473" s="113"/>
      <c r="D1473" s="4"/>
      <c r="E1473" s="4"/>
      <c r="F1473" s="105" t="str">
        <f>IF(ISBLANK(B1473),"",IF(I1473="L","Baixa",IF(I1473="A","Média",IF(I1473="","","Alta"))))</f>
        <v/>
      </c>
      <c r="G1473" s="4" t="str">
        <f>CONCATENATE(B1473,I1473)</f>
        <v/>
      </c>
      <c r="H1473" s="4" t="str">
        <f>IF(ISBLANK(B1473),"",IF(B1473="ALI",IF(I1473="L",7,IF(I1473="A",10,15)),IF(B1473="AIE",IF(I1473="L",5,IF(I1473="A",7,10)),IF(B1473="SE",IF(I1473="L",4,IF(I1473="A",5,7)),IF(OR(B1473="EE",B1473="CE"),IF(I1473="L",3,IF(I1473="A",4,6)),0)))))</f>
        <v/>
      </c>
      <c r="I1473" s="105" t="str">
        <f>IF(OR(ISBLANK(D1473),ISBLANK(E1473)),IF(OR(B1473="ALI",B1473="AIE"),"L",IF(OR(B1473="EE",B1473="SE",B1473="CE"),"A","")),IF(B1473="EE",IF(E1473&gt;=3,IF(D1473&gt;=5,"H","A"),IF(E1473&gt;=2,IF(D1473&gt;=16,"H",IF(D1473&lt;=4,"L","A")),IF(D1473&lt;=15,"L","A"))),IF(OR(B1473="SE",B1473="CE"),IF(E1473&gt;=4,IF(D1473&gt;=6,"H","A"),IF(E1473&gt;=2,IF(D1473&gt;=20,"H",IF(D1473&lt;=5,"L","A")),IF(D1473&lt;=19,"L","A"))),IF(OR(B1473="ALI",B1473="AIE"),IF(E1473&gt;=6,IF(D1473&gt;=20,"H","A"),IF(E1473&gt;=2,IF(D1473&gt;=51,"H",IF(D1473&lt;=19,"L","A")),IF(D1473&lt;=50,"L","A"))),""))))</f>
        <v/>
      </c>
      <c r="J1473" s="4" t="str">
        <f>CONCATENATE(B1473,C1473)</f>
        <v/>
      </c>
      <c r="K1473" s="106" t="str">
        <f>IF(OR(H1473="",H1473=0),L1473,H1473)</f>
        <v/>
      </c>
      <c r="L1473" s="106" t="str">
        <f>IF(NOT(ISERROR(VLOOKUP(B1473,Deflatores!G$42:H$64,2,FALSE))),VLOOKUP(B1473,Deflatores!G$42:H$64,2,FALSE),IF(OR(ISBLANK(C1473),ISBLANK(B1473)),"",VLOOKUP(C1473,Deflatores!G$4:H$38,2,FALSE)*H1473+VLOOKUP(C1473,Deflatores!G$4:I$38,3,FALSE)))</f>
        <v/>
      </c>
      <c r="M1473" s="6"/>
      <c r="N1473" s="6"/>
      <c r="O1473" s="144"/>
    </row>
    <row r="1474" spans="1:15" x14ac:dyDescent="0.25">
      <c r="A1474" s="143" t="s">
        <v>1252</v>
      </c>
      <c r="B1474" s="113"/>
      <c r="C1474" s="113"/>
      <c r="D1474" s="4"/>
      <c r="E1474" s="4"/>
      <c r="F1474" s="105" t="str">
        <f>IF(ISBLANK(B1474),"",IF(I1474="L","Baixa",IF(I1474="A","Média",IF(I1474="","","Alta"))))</f>
        <v/>
      </c>
      <c r="G1474" s="4" t="str">
        <f>CONCATENATE(B1474,I1474)</f>
        <v/>
      </c>
      <c r="H1474" s="4" t="str">
        <f>IF(ISBLANK(B1474),"",IF(B1474="ALI",IF(I1474="L",7,IF(I1474="A",10,15)),IF(B1474="AIE",IF(I1474="L",5,IF(I1474="A",7,10)),IF(B1474="SE",IF(I1474="L",4,IF(I1474="A",5,7)),IF(OR(B1474="EE",B1474="CE"),IF(I1474="L",3,IF(I1474="A",4,6)),0)))))</f>
        <v/>
      </c>
      <c r="I1474" s="105" t="str">
        <f>IF(OR(ISBLANK(D1474),ISBLANK(E1474)),IF(OR(B1474="ALI",B1474="AIE"),"L",IF(OR(B1474="EE",B1474="SE",B1474="CE"),"A","")),IF(B1474="EE",IF(E1474&gt;=3,IF(D1474&gt;=5,"H","A"),IF(E1474&gt;=2,IF(D1474&gt;=16,"H",IF(D1474&lt;=4,"L","A")),IF(D1474&lt;=15,"L","A"))),IF(OR(B1474="SE",B1474="CE"),IF(E1474&gt;=4,IF(D1474&gt;=6,"H","A"),IF(E1474&gt;=2,IF(D1474&gt;=20,"H",IF(D1474&lt;=5,"L","A")),IF(D1474&lt;=19,"L","A"))),IF(OR(B1474="ALI",B1474="AIE"),IF(E1474&gt;=6,IF(D1474&gt;=20,"H","A"),IF(E1474&gt;=2,IF(D1474&gt;=51,"H",IF(D1474&lt;=19,"L","A")),IF(D1474&lt;=50,"L","A"))),""))))</f>
        <v/>
      </c>
      <c r="J1474" s="4" t="str">
        <f>CONCATENATE(B1474,C1474)</f>
        <v/>
      </c>
      <c r="K1474" s="106" t="str">
        <f>IF(OR(H1474="",H1474=0),L1474,H1474)</f>
        <v/>
      </c>
      <c r="L1474" s="106" t="str">
        <f>IF(NOT(ISERROR(VLOOKUP(B1474,Deflatores!G$42:H$64,2,FALSE))),VLOOKUP(B1474,Deflatores!G$42:H$64,2,FALSE),IF(OR(ISBLANK(C1474),ISBLANK(B1474)),"",VLOOKUP(C1474,Deflatores!G$4:H$38,2,FALSE)*H1474+VLOOKUP(C1474,Deflatores!G$4:I$38,3,FALSE)))</f>
        <v/>
      </c>
      <c r="M1474" s="6"/>
      <c r="N1474" s="6"/>
      <c r="O1474" s="144"/>
    </row>
    <row r="1475" spans="1:15" x14ac:dyDescent="0.25">
      <c r="A1475" s="145" t="s">
        <v>1253</v>
      </c>
      <c r="B1475" s="113" t="s">
        <v>44</v>
      </c>
      <c r="C1475" s="113" t="s">
        <v>45</v>
      </c>
      <c r="D1475" s="4">
        <v>15</v>
      </c>
      <c r="E1475" s="4">
        <v>2</v>
      </c>
      <c r="F1475" s="105" t="str">
        <f>IF(ISBLANK(B1475),"",IF(I1475="L","Baixa",IF(I1475="A","Média",IF(I1475="","","Alta"))))</f>
        <v>Baixa</v>
      </c>
      <c r="G1475" s="4" t="str">
        <f>CONCATENATE(B1475,I1475)</f>
        <v>ALIL</v>
      </c>
      <c r="H1475" s="4">
        <f>IF(ISBLANK(B1475),"",IF(B1475="ALI",IF(I1475="L",7,IF(I1475="A",10,15)),IF(B1475="AIE",IF(I1475="L",5,IF(I1475="A",7,10)),IF(B1475="SE",IF(I1475="L",4,IF(I1475="A",5,7)),IF(OR(B1475="EE",B1475="CE"),IF(I1475="L",3,IF(I1475="A",4,6)),0)))))</f>
        <v>7</v>
      </c>
      <c r="I1475" s="105" t="str">
        <f>IF(OR(ISBLANK(D1475),ISBLANK(E1475)),IF(OR(B1475="ALI",B1475="AIE"),"L",IF(OR(B1475="EE",B1475="SE",B1475="CE"),"A","")),IF(B1475="EE",IF(E1475&gt;=3,IF(D1475&gt;=5,"H","A"),IF(E1475&gt;=2,IF(D1475&gt;=16,"H",IF(D1475&lt;=4,"L","A")),IF(D1475&lt;=15,"L","A"))),IF(OR(B1475="SE",B1475="CE"),IF(E1475&gt;=4,IF(D1475&gt;=6,"H","A"),IF(E1475&gt;=2,IF(D1475&gt;=20,"H",IF(D1475&lt;=5,"L","A")),IF(D1475&lt;=19,"L","A"))),IF(OR(B1475="ALI",B1475="AIE"),IF(E1475&gt;=6,IF(D1475&gt;=20,"H","A"),IF(E1475&gt;=2,IF(D1475&gt;=51,"H",IF(D1475&lt;=19,"L","A")),IF(D1475&lt;=50,"L","A"))),""))))</f>
        <v>L</v>
      </c>
      <c r="J1475" s="4" t="str">
        <f>CONCATENATE(B1475,C1475)</f>
        <v>ALII</v>
      </c>
      <c r="K1475" s="106">
        <f>IF(OR(H1475="",H1475=0),L1475,H1475)</f>
        <v>7</v>
      </c>
      <c r="L1475" s="106">
        <f>IF(NOT(ISERROR(VLOOKUP(B1475,Deflatores!G$42:H$64,2,FALSE))),VLOOKUP(B1475,Deflatores!G$42:H$64,2,FALSE),IF(OR(ISBLANK(C1475),ISBLANK(B1475)),"",VLOOKUP(C1475,Deflatores!G$4:H$38,2,FALSE)*H1475+VLOOKUP(C1475,Deflatores!G$4:I$38,3,FALSE)))</f>
        <v>7</v>
      </c>
      <c r="M1475" s="6"/>
      <c r="N1475" s="6"/>
      <c r="O1475" s="144"/>
    </row>
    <row r="1476" spans="1:15" x14ac:dyDescent="0.25">
      <c r="A1476" s="145" t="s">
        <v>1254</v>
      </c>
      <c r="B1476" s="113" t="s">
        <v>50</v>
      </c>
      <c r="C1476" s="113" t="s">
        <v>45</v>
      </c>
      <c r="D1476" s="4">
        <v>11</v>
      </c>
      <c r="E1476" s="4">
        <v>4</v>
      </c>
      <c r="F1476" s="105" t="str">
        <f t="shared" si="341"/>
        <v>Alta</v>
      </c>
      <c r="G1476" s="4" t="str">
        <f t="shared" si="342"/>
        <v>CEH</v>
      </c>
      <c r="H1476" s="4">
        <f t="shared" si="343"/>
        <v>6</v>
      </c>
      <c r="I1476" s="105" t="str">
        <f t="shared" si="344"/>
        <v>H</v>
      </c>
      <c r="J1476" s="4" t="str">
        <f t="shared" si="345"/>
        <v>CEI</v>
      </c>
      <c r="K1476" s="106">
        <f t="shared" si="346"/>
        <v>6</v>
      </c>
      <c r="L1476" s="106">
        <f>IF(NOT(ISERROR(VLOOKUP(B1476,Deflatores!G$42:H$64,2,FALSE))),VLOOKUP(B1476,Deflatores!G$42:H$64,2,FALSE),IF(OR(ISBLANK(C1476),ISBLANK(B1476)),"",VLOOKUP(C1476,Deflatores!G$4:H$38,2,FALSE)*H1476+VLOOKUP(C1476,Deflatores!G$4:I$38,3,FALSE)))</f>
        <v>6</v>
      </c>
      <c r="M1476" s="6"/>
      <c r="N1476" s="6"/>
      <c r="O1476" s="144"/>
    </row>
    <row r="1477" spans="1:15" x14ac:dyDescent="0.25">
      <c r="A1477" s="146" t="s">
        <v>1255</v>
      </c>
      <c r="B1477" s="113" t="s">
        <v>50</v>
      </c>
      <c r="C1477" s="113" t="s">
        <v>45</v>
      </c>
      <c r="D1477" s="4">
        <v>3</v>
      </c>
      <c r="E1477" s="4">
        <v>1</v>
      </c>
      <c r="F1477" s="105" t="str">
        <f t="shared" si="341"/>
        <v>Baixa</v>
      </c>
      <c r="G1477" s="4" t="str">
        <f t="shared" si="342"/>
        <v>CEL</v>
      </c>
      <c r="H1477" s="4">
        <f t="shared" si="343"/>
        <v>3</v>
      </c>
      <c r="I1477" s="105" t="str">
        <f t="shared" si="344"/>
        <v>L</v>
      </c>
      <c r="J1477" s="4" t="str">
        <f t="shared" si="345"/>
        <v>CEI</v>
      </c>
      <c r="K1477" s="106">
        <f t="shared" si="346"/>
        <v>3</v>
      </c>
      <c r="L1477" s="106">
        <f>IF(NOT(ISERROR(VLOOKUP(B1477,Deflatores!G$42:H$64,2,FALSE))),VLOOKUP(B1477,Deflatores!G$42:H$64,2,FALSE),IF(OR(ISBLANK(C1477),ISBLANK(B1477)),"",VLOOKUP(C1477,Deflatores!G$4:H$38,2,FALSE)*H1477+VLOOKUP(C1477,Deflatores!G$4:I$38,3,FALSE)))</f>
        <v>3</v>
      </c>
      <c r="M1477" s="6"/>
      <c r="N1477" s="6"/>
      <c r="O1477" s="144"/>
    </row>
    <row r="1478" spans="1:15" x14ac:dyDescent="0.25">
      <c r="A1478" s="146" t="s">
        <v>1256</v>
      </c>
      <c r="B1478" s="113" t="s">
        <v>50</v>
      </c>
      <c r="C1478" s="113" t="s">
        <v>45</v>
      </c>
      <c r="D1478" s="4">
        <v>3</v>
      </c>
      <c r="E1478" s="4">
        <v>1</v>
      </c>
      <c r="F1478" s="105" t="str">
        <f t="shared" si="341"/>
        <v>Baixa</v>
      </c>
      <c r="G1478" s="4" t="str">
        <f t="shared" si="342"/>
        <v>CEL</v>
      </c>
      <c r="H1478" s="4">
        <f t="shared" si="343"/>
        <v>3</v>
      </c>
      <c r="I1478" s="105" t="str">
        <f t="shared" si="344"/>
        <v>L</v>
      </c>
      <c r="J1478" s="4" t="str">
        <f t="shared" si="345"/>
        <v>CEI</v>
      </c>
      <c r="K1478" s="106">
        <f t="shared" si="346"/>
        <v>3</v>
      </c>
      <c r="L1478" s="106">
        <f>IF(NOT(ISERROR(VLOOKUP(B1478,Deflatores!G$42:H$64,2,FALSE))),VLOOKUP(B1478,Deflatores!G$42:H$64,2,FALSE),IF(OR(ISBLANK(C1478),ISBLANK(B1478)),"",VLOOKUP(C1478,Deflatores!G$4:H$38,2,FALSE)*H1478+VLOOKUP(C1478,Deflatores!G$4:I$38,3,FALSE)))</f>
        <v>3</v>
      </c>
      <c r="M1478" s="6"/>
      <c r="N1478" s="6"/>
      <c r="O1478" s="144"/>
    </row>
    <row r="1479" spans="1:15" x14ac:dyDescent="0.25">
      <c r="A1479" s="145" t="s">
        <v>1257</v>
      </c>
      <c r="B1479" s="113" t="s">
        <v>50</v>
      </c>
      <c r="C1479" s="113" t="s">
        <v>45</v>
      </c>
      <c r="D1479" s="4">
        <v>13</v>
      </c>
      <c r="E1479" s="4">
        <v>4</v>
      </c>
      <c r="F1479" s="105" t="str">
        <f t="shared" si="341"/>
        <v>Alta</v>
      </c>
      <c r="G1479" s="4" t="str">
        <f t="shared" si="342"/>
        <v>CEH</v>
      </c>
      <c r="H1479" s="4">
        <f t="shared" si="343"/>
        <v>6</v>
      </c>
      <c r="I1479" s="105" t="str">
        <f t="shared" si="344"/>
        <v>H</v>
      </c>
      <c r="J1479" s="4" t="str">
        <f t="shared" si="345"/>
        <v>CEI</v>
      </c>
      <c r="K1479" s="106">
        <f t="shared" si="346"/>
        <v>6</v>
      </c>
      <c r="L1479" s="106">
        <f>IF(NOT(ISERROR(VLOOKUP(B1479,Deflatores!G$42:H$64,2,FALSE))),VLOOKUP(B1479,Deflatores!G$42:H$64,2,FALSE),IF(OR(ISBLANK(C1479),ISBLANK(B1479)),"",VLOOKUP(C1479,Deflatores!G$4:H$38,2,FALSE)*H1479+VLOOKUP(C1479,Deflatores!G$4:I$38,3,FALSE)))</f>
        <v>6</v>
      </c>
      <c r="M1479" s="6"/>
      <c r="N1479" s="6"/>
      <c r="O1479" s="144"/>
    </row>
    <row r="1480" spans="1:15" x14ac:dyDescent="0.25">
      <c r="A1480" s="145" t="s">
        <v>1258</v>
      </c>
      <c r="B1480" s="113" t="s">
        <v>48</v>
      </c>
      <c r="C1480" s="113" t="s">
        <v>45</v>
      </c>
      <c r="D1480" s="4">
        <v>12</v>
      </c>
      <c r="E1480" s="4">
        <v>5</v>
      </c>
      <c r="F1480" s="105" t="str">
        <f t="shared" si="341"/>
        <v>Alta</v>
      </c>
      <c r="G1480" s="4" t="str">
        <f t="shared" si="342"/>
        <v>EEH</v>
      </c>
      <c r="H1480" s="4">
        <f t="shared" si="343"/>
        <v>6</v>
      </c>
      <c r="I1480" s="105" t="str">
        <f t="shared" si="344"/>
        <v>H</v>
      </c>
      <c r="J1480" s="4" t="str">
        <f t="shared" si="345"/>
        <v>EEI</v>
      </c>
      <c r="K1480" s="106">
        <f t="shared" si="346"/>
        <v>6</v>
      </c>
      <c r="L1480" s="106">
        <f>IF(NOT(ISERROR(VLOOKUP(B1480,Deflatores!G$42:H$64,2,FALSE))),VLOOKUP(B1480,Deflatores!G$42:H$64,2,FALSE),IF(OR(ISBLANK(C1480),ISBLANK(B1480)),"",VLOOKUP(C1480,Deflatores!G$4:H$38,2,FALSE)*H1480+VLOOKUP(C1480,Deflatores!G$4:I$38,3,FALSE)))</f>
        <v>6</v>
      </c>
      <c r="M1480" s="6"/>
      <c r="N1480" s="6"/>
      <c r="O1480" s="144"/>
    </row>
    <row r="1481" spans="1:15" x14ac:dyDescent="0.25">
      <c r="A1481" s="146" t="s">
        <v>1259</v>
      </c>
      <c r="B1481" s="113" t="s">
        <v>50</v>
      </c>
      <c r="C1481" s="113" t="s">
        <v>45</v>
      </c>
      <c r="D1481" s="4">
        <v>3</v>
      </c>
      <c r="E1481" s="4">
        <v>1</v>
      </c>
      <c r="F1481" s="105" t="str">
        <f>IF(ISBLANK(B1481),"",IF(I1481="L","Baixa",IF(I1481="A","Média",IF(I1481="","","Alta"))))</f>
        <v>Baixa</v>
      </c>
      <c r="G1481" s="4" t="str">
        <f>CONCATENATE(B1481,I1481)</f>
        <v>CEL</v>
      </c>
      <c r="H1481" s="4">
        <f>IF(ISBLANK(B1481),"",IF(B1481="ALI",IF(I1481="L",7,IF(I1481="A",10,15)),IF(B1481="AIE",IF(I1481="L",5,IF(I1481="A",7,10)),IF(B1481="SE",IF(I1481="L",4,IF(I1481="A",5,7)),IF(OR(B1481="EE",B1481="CE"),IF(I1481="L",3,IF(I1481="A",4,6)),0)))))</f>
        <v>3</v>
      </c>
      <c r="I1481" s="105" t="str">
        <f>IF(OR(ISBLANK(D1481),ISBLANK(E1481)),IF(OR(B1481="ALI",B1481="AIE"),"L",IF(OR(B1481="EE",B1481="SE",B1481="CE"),"A","")),IF(B1481="EE",IF(E1481&gt;=3,IF(D1481&gt;=5,"H","A"),IF(E1481&gt;=2,IF(D1481&gt;=16,"H",IF(D1481&lt;=4,"L","A")),IF(D1481&lt;=15,"L","A"))),IF(OR(B1481="SE",B1481="CE"),IF(E1481&gt;=4,IF(D1481&gt;=6,"H","A"),IF(E1481&gt;=2,IF(D1481&gt;=20,"H",IF(D1481&lt;=5,"L","A")),IF(D1481&lt;=19,"L","A"))),IF(OR(B1481="ALI",B1481="AIE"),IF(E1481&gt;=6,IF(D1481&gt;=20,"H","A"),IF(E1481&gt;=2,IF(D1481&gt;=51,"H",IF(D1481&lt;=19,"L","A")),IF(D1481&lt;=50,"L","A"))),""))))</f>
        <v>L</v>
      </c>
      <c r="J1481" s="4" t="str">
        <f>CONCATENATE(B1481,C1481)</f>
        <v>CEI</v>
      </c>
      <c r="K1481" s="106">
        <f>IF(OR(H1481="",H1481=0),L1481,H1481)</f>
        <v>3</v>
      </c>
      <c r="L1481" s="106">
        <f>IF(NOT(ISERROR(VLOOKUP(B1481,Deflatores!G$42:H$64,2,FALSE))),VLOOKUP(B1481,Deflatores!G$42:H$64,2,FALSE),IF(OR(ISBLANK(C1481),ISBLANK(B1481)),"",VLOOKUP(C1481,Deflatores!G$4:H$38,2,FALSE)*H1481+VLOOKUP(C1481,Deflatores!G$4:I$38,3,FALSE)))</f>
        <v>3</v>
      </c>
      <c r="M1481" s="6"/>
      <c r="N1481" s="6"/>
      <c r="O1481" s="144"/>
    </row>
    <row r="1482" spans="1:15" x14ac:dyDescent="0.25">
      <c r="A1482" s="146" t="s">
        <v>1260</v>
      </c>
      <c r="B1482" s="113" t="s">
        <v>50</v>
      </c>
      <c r="C1482" s="113" t="s">
        <v>45</v>
      </c>
      <c r="D1482" s="4">
        <v>3</v>
      </c>
      <c r="E1482" s="4">
        <v>1</v>
      </c>
      <c r="F1482" s="105" t="str">
        <f>IF(ISBLANK(B1482),"",IF(I1482="L","Baixa",IF(I1482="A","Média",IF(I1482="","","Alta"))))</f>
        <v>Baixa</v>
      </c>
      <c r="G1482" s="4" t="str">
        <f>CONCATENATE(B1482,I1482)</f>
        <v>CEL</v>
      </c>
      <c r="H1482" s="4">
        <f>IF(ISBLANK(B1482),"",IF(B1482="ALI",IF(I1482="L",7,IF(I1482="A",10,15)),IF(B1482="AIE",IF(I1482="L",5,IF(I1482="A",7,10)),IF(B1482="SE",IF(I1482="L",4,IF(I1482="A",5,7)),IF(OR(B1482="EE",B1482="CE"),IF(I1482="L",3,IF(I1482="A",4,6)),0)))))</f>
        <v>3</v>
      </c>
      <c r="I1482" s="105" t="str">
        <f>IF(OR(ISBLANK(D1482),ISBLANK(E1482)),IF(OR(B1482="ALI",B1482="AIE"),"L",IF(OR(B1482="EE",B1482="SE",B1482="CE"),"A","")),IF(B1482="EE",IF(E1482&gt;=3,IF(D1482&gt;=5,"H","A"),IF(E1482&gt;=2,IF(D1482&gt;=16,"H",IF(D1482&lt;=4,"L","A")),IF(D1482&lt;=15,"L","A"))),IF(OR(B1482="SE",B1482="CE"),IF(E1482&gt;=4,IF(D1482&gt;=6,"H","A"),IF(E1482&gt;=2,IF(D1482&gt;=20,"H",IF(D1482&lt;=5,"L","A")),IF(D1482&lt;=19,"L","A"))),IF(OR(B1482="ALI",B1482="AIE"),IF(E1482&gt;=6,IF(D1482&gt;=20,"H","A"),IF(E1482&gt;=2,IF(D1482&gt;=51,"H",IF(D1482&lt;=19,"L","A")),IF(D1482&lt;=50,"L","A"))),""))))</f>
        <v>L</v>
      </c>
      <c r="J1482" s="4" t="str">
        <f>CONCATENATE(B1482,C1482)</f>
        <v>CEI</v>
      </c>
      <c r="K1482" s="106">
        <f>IF(OR(H1482="",H1482=0),L1482,H1482)</f>
        <v>3</v>
      </c>
      <c r="L1482" s="106">
        <f>IF(NOT(ISERROR(VLOOKUP(B1482,Deflatores!G$42:H$64,2,FALSE))),VLOOKUP(B1482,Deflatores!G$42:H$64,2,FALSE),IF(OR(ISBLANK(C1482),ISBLANK(B1482)),"",VLOOKUP(C1482,Deflatores!G$4:H$38,2,FALSE)*H1482+VLOOKUP(C1482,Deflatores!G$4:I$38,3,FALSE)))</f>
        <v>3</v>
      </c>
      <c r="M1482" s="6"/>
      <c r="N1482" s="6"/>
      <c r="O1482" s="144"/>
    </row>
    <row r="1483" spans="1:15" x14ac:dyDescent="0.25">
      <c r="A1483" s="145" t="s">
        <v>1261</v>
      </c>
      <c r="B1483" s="113" t="s">
        <v>48</v>
      </c>
      <c r="C1483" s="113" t="s">
        <v>45</v>
      </c>
      <c r="D1483" s="4">
        <v>12</v>
      </c>
      <c r="E1483" s="4">
        <v>5</v>
      </c>
      <c r="F1483" s="105" t="str">
        <f t="shared" si="341"/>
        <v>Alta</v>
      </c>
      <c r="G1483" s="4" t="str">
        <f t="shared" si="342"/>
        <v>EEH</v>
      </c>
      <c r="H1483" s="4">
        <f t="shared" si="343"/>
        <v>6</v>
      </c>
      <c r="I1483" s="105" t="str">
        <f t="shared" si="344"/>
        <v>H</v>
      </c>
      <c r="J1483" s="4" t="str">
        <f t="shared" si="345"/>
        <v>EEI</v>
      </c>
      <c r="K1483" s="106">
        <f t="shared" si="346"/>
        <v>6</v>
      </c>
      <c r="L1483" s="106">
        <f>IF(NOT(ISERROR(VLOOKUP(B1483,Deflatores!G$42:H$64,2,FALSE))),VLOOKUP(B1483,Deflatores!G$42:H$64,2,FALSE),IF(OR(ISBLANK(C1483),ISBLANK(B1483)),"",VLOOKUP(C1483,Deflatores!G$4:H$38,2,FALSE)*H1483+VLOOKUP(C1483,Deflatores!G$4:I$38,3,FALSE)))</f>
        <v>6</v>
      </c>
      <c r="M1483" s="6"/>
      <c r="N1483" s="6"/>
      <c r="O1483" s="144"/>
    </row>
    <row r="1484" spans="1:15" x14ac:dyDescent="0.25">
      <c r="A1484" s="146" t="s">
        <v>1262</v>
      </c>
      <c r="B1484" s="113" t="s">
        <v>50</v>
      </c>
      <c r="C1484" s="113" t="s">
        <v>45</v>
      </c>
      <c r="D1484" s="4">
        <v>14</v>
      </c>
      <c r="E1484" s="4">
        <v>5</v>
      </c>
      <c r="F1484" s="105" t="str">
        <f t="shared" si="341"/>
        <v>Alta</v>
      </c>
      <c r="G1484" s="4" t="str">
        <f t="shared" si="342"/>
        <v>CEH</v>
      </c>
      <c r="H1484" s="4">
        <f t="shared" si="343"/>
        <v>6</v>
      </c>
      <c r="I1484" s="105" t="str">
        <f t="shared" si="344"/>
        <v>H</v>
      </c>
      <c r="J1484" s="4" t="str">
        <f t="shared" si="345"/>
        <v>CEI</v>
      </c>
      <c r="K1484" s="106">
        <f t="shared" si="346"/>
        <v>6</v>
      </c>
      <c r="L1484" s="106">
        <f>IF(NOT(ISERROR(VLOOKUP(B1484,Deflatores!G$42:H$64,2,FALSE))),VLOOKUP(B1484,Deflatores!G$42:H$64,2,FALSE),IF(OR(ISBLANK(C1484),ISBLANK(B1484)),"",VLOOKUP(C1484,Deflatores!G$4:H$38,2,FALSE)*H1484+VLOOKUP(C1484,Deflatores!G$4:I$38,3,FALSE)))</f>
        <v>6</v>
      </c>
      <c r="M1484" s="6"/>
      <c r="N1484" s="6"/>
      <c r="O1484" s="144"/>
    </row>
    <row r="1485" spans="1:15" x14ac:dyDescent="0.25">
      <c r="A1485" s="145" t="s">
        <v>1263</v>
      </c>
      <c r="B1485" s="113" t="s">
        <v>50</v>
      </c>
      <c r="C1485" s="113" t="s">
        <v>45</v>
      </c>
      <c r="D1485" s="4">
        <v>16</v>
      </c>
      <c r="E1485" s="4">
        <v>5</v>
      </c>
      <c r="F1485" s="105" t="str">
        <f t="shared" si="341"/>
        <v>Alta</v>
      </c>
      <c r="G1485" s="4" t="str">
        <f t="shared" si="342"/>
        <v>CEH</v>
      </c>
      <c r="H1485" s="4">
        <f t="shared" si="343"/>
        <v>6</v>
      </c>
      <c r="I1485" s="105" t="str">
        <f t="shared" si="344"/>
        <v>H</v>
      </c>
      <c r="J1485" s="4" t="str">
        <f t="shared" si="345"/>
        <v>CEI</v>
      </c>
      <c r="K1485" s="106">
        <f t="shared" si="346"/>
        <v>6</v>
      </c>
      <c r="L1485" s="106">
        <f>IF(NOT(ISERROR(VLOOKUP(B1485,Deflatores!G$42:H$64,2,FALSE))),VLOOKUP(B1485,Deflatores!G$42:H$64,2,FALSE),IF(OR(ISBLANK(C1485),ISBLANK(B1485)),"",VLOOKUP(C1485,Deflatores!G$4:H$38,2,FALSE)*H1485+VLOOKUP(C1485,Deflatores!G$4:I$38,3,FALSE)))</f>
        <v>6</v>
      </c>
      <c r="M1485" s="6"/>
      <c r="N1485" s="6"/>
      <c r="O1485" s="144"/>
    </row>
    <row r="1486" spans="1:15" x14ac:dyDescent="0.25">
      <c r="A1486" s="145" t="s">
        <v>1264</v>
      </c>
      <c r="B1486" s="113" t="s">
        <v>48</v>
      </c>
      <c r="C1486" s="113" t="s">
        <v>45</v>
      </c>
      <c r="D1486" s="4">
        <v>3</v>
      </c>
      <c r="E1486" s="4">
        <v>1</v>
      </c>
      <c r="F1486" s="105" t="str">
        <f t="shared" si="341"/>
        <v>Baixa</v>
      </c>
      <c r="G1486" s="4" t="str">
        <f t="shared" si="342"/>
        <v>EEL</v>
      </c>
      <c r="H1486" s="4">
        <f t="shared" si="343"/>
        <v>3</v>
      </c>
      <c r="I1486" s="105" t="str">
        <f t="shared" si="344"/>
        <v>L</v>
      </c>
      <c r="J1486" s="4" t="str">
        <f t="shared" si="345"/>
        <v>EEI</v>
      </c>
      <c r="K1486" s="106">
        <f t="shared" si="346"/>
        <v>3</v>
      </c>
      <c r="L1486" s="106">
        <f>IF(NOT(ISERROR(VLOOKUP(B1486,Deflatores!G$42:H$64,2,FALSE))),VLOOKUP(B1486,Deflatores!G$42:H$64,2,FALSE),IF(OR(ISBLANK(C1486),ISBLANK(B1486)),"",VLOOKUP(C1486,Deflatores!G$4:H$38,2,FALSE)*H1486+VLOOKUP(C1486,Deflatores!G$4:I$38,3,FALSE)))</f>
        <v>3</v>
      </c>
      <c r="M1486" s="6"/>
      <c r="N1486" s="6"/>
      <c r="O1486" s="144"/>
    </row>
    <row r="1487" spans="1:15" x14ac:dyDescent="0.25">
      <c r="A1487" s="145" t="s">
        <v>1265</v>
      </c>
      <c r="B1487" s="113" t="s">
        <v>48</v>
      </c>
      <c r="C1487" s="113" t="s">
        <v>45</v>
      </c>
      <c r="D1487" s="4">
        <v>4</v>
      </c>
      <c r="E1487" s="4">
        <v>1</v>
      </c>
      <c r="F1487" s="105" t="str">
        <f t="shared" si="341"/>
        <v>Baixa</v>
      </c>
      <c r="G1487" s="4" t="str">
        <f t="shared" si="342"/>
        <v>EEL</v>
      </c>
      <c r="H1487" s="4">
        <f t="shared" si="343"/>
        <v>3</v>
      </c>
      <c r="I1487" s="105" t="str">
        <f t="shared" si="344"/>
        <v>L</v>
      </c>
      <c r="J1487" s="4" t="str">
        <f t="shared" si="345"/>
        <v>EEI</v>
      </c>
      <c r="K1487" s="106">
        <f t="shared" si="346"/>
        <v>3</v>
      </c>
      <c r="L1487" s="106">
        <f>IF(NOT(ISERROR(VLOOKUP(B1487,Deflatores!G$42:H$64,2,FALSE))),VLOOKUP(B1487,Deflatores!G$42:H$64,2,FALSE),IF(OR(ISBLANK(C1487),ISBLANK(B1487)),"",VLOOKUP(C1487,Deflatores!G$4:H$38,2,FALSE)*H1487+VLOOKUP(C1487,Deflatores!G$4:I$38,3,FALSE)))</f>
        <v>3</v>
      </c>
      <c r="M1487" s="6"/>
      <c r="N1487" s="6"/>
      <c r="O1487" s="144"/>
    </row>
    <row r="1488" spans="1:15" x14ac:dyDescent="0.25">
      <c r="A1488" s="145" t="s">
        <v>1266</v>
      </c>
      <c r="B1488" s="113" t="s">
        <v>50</v>
      </c>
      <c r="C1488" s="113" t="s">
        <v>45</v>
      </c>
      <c r="D1488" s="4">
        <v>5</v>
      </c>
      <c r="E1488" s="4">
        <v>1</v>
      </c>
      <c r="F1488" s="105" t="str">
        <f>IF(ISBLANK(B1488),"",IF(I1488="L","Baixa",IF(I1488="A","Média",IF(I1488="","","Alta"))))</f>
        <v>Baixa</v>
      </c>
      <c r="G1488" s="4" t="str">
        <f>CONCATENATE(B1488,I1488)</f>
        <v>CEL</v>
      </c>
      <c r="H1488" s="4">
        <f>IF(ISBLANK(B1488),"",IF(B1488="ALI",IF(I1488="L",7,IF(I1488="A",10,15)),IF(B1488="AIE",IF(I1488="L",5,IF(I1488="A",7,10)),IF(B1488="SE",IF(I1488="L",4,IF(I1488="A",5,7)),IF(OR(B1488="EE",B1488="CE"),IF(I1488="L",3,IF(I1488="A",4,6)),0)))))</f>
        <v>3</v>
      </c>
      <c r="I1488" s="105" t="str">
        <f>IF(OR(ISBLANK(D1488),ISBLANK(E1488)),IF(OR(B1488="ALI",B1488="AIE"),"L",IF(OR(B1488="EE",B1488="SE",B1488="CE"),"A","")),IF(B1488="EE",IF(E1488&gt;=3,IF(D1488&gt;=5,"H","A"),IF(E1488&gt;=2,IF(D1488&gt;=16,"H",IF(D1488&lt;=4,"L","A")),IF(D1488&lt;=15,"L","A"))),IF(OR(B1488="SE",B1488="CE"),IF(E1488&gt;=4,IF(D1488&gt;=6,"H","A"),IF(E1488&gt;=2,IF(D1488&gt;=20,"H",IF(D1488&lt;=5,"L","A")),IF(D1488&lt;=19,"L","A"))),IF(OR(B1488="ALI",B1488="AIE"),IF(E1488&gt;=6,IF(D1488&gt;=20,"H","A"),IF(E1488&gt;=2,IF(D1488&gt;=51,"H",IF(D1488&lt;=19,"L","A")),IF(D1488&lt;=50,"L","A"))),""))))</f>
        <v>L</v>
      </c>
      <c r="J1488" s="4" t="str">
        <f>CONCATENATE(B1488,C1488)</f>
        <v>CEI</v>
      </c>
      <c r="K1488" s="106">
        <f>IF(OR(H1488="",H1488=0),L1488,H1488)</f>
        <v>3</v>
      </c>
      <c r="L1488" s="106">
        <f>IF(NOT(ISERROR(VLOOKUP(B1488,Deflatores!G$42:H$64,2,FALSE))),VLOOKUP(B1488,Deflatores!G$42:H$64,2,FALSE),IF(OR(ISBLANK(C1488),ISBLANK(B1488)),"",VLOOKUP(C1488,Deflatores!G$4:H$38,2,FALSE)*H1488+VLOOKUP(C1488,Deflatores!G$4:I$38,3,FALSE)))</f>
        <v>3</v>
      </c>
      <c r="M1488" s="6"/>
      <c r="N1488" s="6"/>
      <c r="O1488" s="144"/>
    </row>
    <row r="1489" spans="1:15" ht="13.5" customHeight="1" x14ac:dyDescent="0.25">
      <c r="A1489" s="145"/>
      <c r="B1489" s="113"/>
      <c r="C1489" s="113"/>
      <c r="D1489" s="4"/>
      <c r="E1489" s="4"/>
      <c r="F1489" s="105" t="str">
        <f>IF(ISBLANK(B1489),"",IF(I1489="L","Baixa",IF(I1489="A","Média",IF(I1489="","","Alta"))))</f>
        <v/>
      </c>
      <c r="G1489" s="4" t="str">
        <f>CONCATENATE(B1489,I1489)</f>
        <v/>
      </c>
      <c r="H1489" s="4" t="str">
        <f>IF(ISBLANK(B1489),"",IF(B1489="ALI",IF(I1489="L",7,IF(I1489="A",10,15)),IF(B1489="AIE",IF(I1489="L",5,IF(I1489="A",7,10)),IF(B1489="SE",IF(I1489="L",4,IF(I1489="A",5,7)),IF(OR(B1489="EE",B1489="CE"),IF(I1489="L",3,IF(I1489="A",4,6)),0)))))</f>
        <v/>
      </c>
      <c r="I1489" s="105" t="str">
        <f>IF(OR(ISBLANK(D1489),ISBLANK(E1489)),IF(OR(B1489="ALI",B1489="AIE"),"L",IF(OR(B1489="EE",B1489="SE",B1489="CE"),"A","")),IF(B1489="EE",IF(E1489&gt;=3,IF(D1489&gt;=5,"H","A"),IF(E1489&gt;=2,IF(D1489&gt;=16,"H",IF(D1489&lt;=4,"L","A")),IF(D1489&lt;=15,"L","A"))),IF(OR(B1489="SE",B1489="CE"),IF(E1489&gt;=4,IF(D1489&gt;=6,"H","A"),IF(E1489&gt;=2,IF(D1489&gt;=20,"H",IF(D1489&lt;=5,"L","A")),IF(D1489&lt;=19,"L","A"))),IF(OR(B1489="ALI",B1489="AIE"),IF(E1489&gt;=6,IF(D1489&gt;=20,"H","A"),IF(E1489&gt;=2,IF(D1489&gt;=51,"H",IF(D1489&lt;=19,"L","A")),IF(D1489&lt;=50,"L","A"))),""))))</f>
        <v/>
      </c>
      <c r="J1489" s="4" t="str">
        <f>CONCATENATE(B1489,C1489)</f>
        <v/>
      </c>
      <c r="K1489" s="106" t="str">
        <f>IF(OR(H1489="",H1489=0),L1489,H1489)</f>
        <v/>
      </c>
      <c r="L1489" s="106" t="str">
        <f>IF(NOT(ISERROR(VLOOKUP(B1489,Deflatores!G$42:H$64,2,FALSE))),VLOOKUP(B1489,Deflatores!G$42:H$64,2,FALSE),IF(OR(ISBLANK(C1489),ISBLANK(B1489)),"",VLOOKUP(C1489,Deflatores!G$4:H$38,2,FALSE)*H1489+VLOOKUP(C1489,Deflatores!G$4:I$38,3,FALSE)))</f>
        <v/>
      </c>
      <c r="M1489" s="6"/>
      <c r="N1489" s="6"/>
      <c r="O1489" s="144"/>
    </row>
    <row r="1490" spans="1:15" x14ac:dyDescent="0.25">
      <c r="A1490" s="143" t="s">
        <v>1267</v>
      </c>
      <c r="B1490" s="113"/>
      <c r="C1490" s="113"/>
      <c r="D1490" s="4"/>
      <c r="E1490" s="4"/>
      <c r="F1490" s="105" t="str">
        <f>IF(ISBLANK(B1490),"",IF(I1490="L","Baixa",IF(I1490="A","Média",IF(I1490="","","Alta"))))</f>
        <v/>
      </c>
      <c r="G1490" s="4" t="str">
        <f>CONCATENATE(B1490,I1490)</f>
        <v/>
      </c>
      <c r="H1490" s="4" t="str">
        <f>IF(ISBLANK(B1490),"",IF(B1490="ALI",IF(I1490="L",7,IF(I1490="A",10,15)),IF(B1490="AIE",IF(I1490="L",5,IF(I1490="A",7,10)),IF(B1490="SE",IF(I1490="L",4,IF(I1490="A",5,7)),IF(OR(B1490="EE",B1490="CE"),IF(I1490="L",3,IF(I1490="A",4,6)),0)))))</f>
        <v/>
      </c>
      <c r="I1490" s="105" t="str">
        <f>IF(OR(ISBLANK(D1490),ISBLANK(E1490)),IF(OR(B1490="ALI",B1490="AIE"),"L",IF(OR(B1490="EE",B1490="SE",B1490="CE"),"A","")),IF(B1490="EE",IF(E1490&gt;=3,IF(D1490&gt;=5,"H","A"),IF(E1490&gt;=2,IF(D1490&gt;=16,"H",IF(D1490&lt;=4,"L","A")),IF(D1490&lt;=15,"L","A"))),IF(OR(B1490="SE",B1490="CE"),IF(E1490&gt;=4,IF(D1490&gt;=6,"H","A"),IF(E1490&gt;=2,IF(D1490&gt;=20,"H",IF(D1490&lt;=5,"L","A")),IF(D1490&lt;=19,"L","A"))),IF(OR(B1490="ALI",B1490="AIE"),IF(E1490&gt;=6,IF(D1490&gt;=20,"H","A"),IF(E1490&gt;=2,IF(D1490&gt;=51,"H",IF(D1490&lt;=19,"L","A")),IF(D1490&lt;=50,"L","A"))),""))))</f>
        <v/>
      </c>
      <c r="J1490" s="4" t="str">
        <f>CONCATENATE(B1490,C1490)</f>
        <v/>
      </c>
      <c r="K1490" s="106" t="str">
        <f>IF(OR(H1490="",H1490=0),L1490,H1490)</f>
        <v/>
      </c>
      <c r="L1490" s="106" t="str">
        <f>IF(NOT(ISERROR(VLOOKUP(B1490,Deflatores!G$42:H$64,2,FALSE))),VLOOKUP(B1490,Deflatores!G$42:H$64,2,FALSE),IF(OR(ISBLANK(C1490),ISBLANK(B1490)),"",VLOOKUP(C1490,Deflatores!G$4:H$38,2,FALSE)*H1490+VLOOKUP(C1490,Deflatores!G$4:I$38,3,FALSE)))</f>
        <v/>
      </c>
      <c r="M1490" s="6"/>
      <c r="N1490" s="6"/>
      <c r="O1490" s="144"/>
    </row>
    <row r="1491" spans="1:15" x14ac:dyDescent="0.25">
      <c r="A1491" s="145" t="s">
        <v>1268</v>
      </c>
      <c r="B1491" s="113" t="s">
        <v>44</v>
      </c>
      <c r="C1491" s="113" t="s">
        <v>45</v>
      </c>
      <c r="D1491" s="4">
        <v>20</v>
      </c>
      <c r="E1491" s="4">
        <v>3</v>
      </c>
      <c r="F1491" s="105" t="str">
        <f>IF(ISBLANK(B1491),"",IF(I1491="L","Baixa",IF(I1491="A","Média",IF(I1491="","","Alta"))))</f>
        <v>Média</v>
      </c>
      <c r="G1491" s="4" t="str">
        <f>CONCATENATE(B1491,I1491)</f>
        <v>ALIA</v>
      </c>
      <c r="H1491" s="4">
        <f>IF(ISBLANK(B1491),"",IF(B1491="ALI",IF(I1491="L",7,IF(I1491="A",10,15)),IF(B1491="AIE",IF(I1491="L",5,IF(I1491="A",7,10)),IF(B1491="SE",IF(I1491="L",4,IF(I1491="A",5,7)),IF(OR(B1491="EE",B1491="CE"),IF(I1491="L",3,IF(I1491="A",4,6)),0)))))</f>
        <v>10</v>
      </c>
      <c r="I1491" s="105" t="str">
        <f>IF(OR(ISBLANK(D1491),ISBLANK(E1491)),IF(OR(B1491="ALI",B1491="AIE"),"L",IF(OR(B1491="EE",B1491="SE",B1491="CE"),"A","")),IF(B1491="EE",IF(E1491&gt;=3,IF(D1491&gt;=5,"H","A"),IF(E1491&gt;=2,IF(D1491&gt;=16,"H",IF(D1491&lt;=4,"L","A")),IF(D1491&lt;=15,"L","A"))),IF(OR(B1491="SE",B1491="CE"),IF(E1491&gt;=4,IF(D1491&gt;=6,"H","A"),IF(E1491&gt;=2,IF(D1491&gt;=20,"H",IF(D1491&lt;=5,"L","A")),IF(D1491&lt;=19,"L","A"))),IF(OR(B1491="ALI",B1491="AIE"),IF(E1491&gt;=6,IF(D1491&gt;=20,"H","A"),IF(E1491&gt;=2,IF(D1491&gt;=51,"H",IF(D1491&lt;=19,"L","A")),IF(D1491&lt;=50,"L","A"))),""))))</f>
        <v>A</v>
      </c>
      <c r="J1491" s="4" t="str">
        <f>CONCATENATE(B1491,C1491)</f>
        <v>ALII</v>
      </c>
      <c r="K1491" s="106">
        <f>IF(OR(H1491="",H1491=0),L1491,H1491)</f>
        <v>10</v>
      </c>
      <c r="L1491" s="106">
        <f>IF(NOT(ISERROR(VLOOKUP(B1491,Deflatores!G$42:H$64,2,FALSE))),VLOOKUP(B1491,Deflatores!G$42:H$64,2,FALSE),IF(OR(ISBLANK(C1491),ISBLANK(B1491)),"",VLOOKUP(C1491,Deflatores!G$4:H$38,2,FALSE)*H1491+VLOOKUP(C1491,Deflatores!G$4:I$38,3,FALSE)))</f>
        <v>10</v>
      </c>
      <c r="M1491" s="6"/>
      <c r="N1491" s="6"/>
      <c r="O1491" s="144"/>
    </row>
    <row r="1492" spans="1:15" x14ac:dyDescent="0.25">
      <c r="A1492" s="145" t="s">
        <v>1269</v>
      </c>
      <c r="B1492" s="113" t="s">
        <v>48</v>
      </c>
      <c r="C1492" s="113" t="s">
        <v>45</v>
      </c>
      <c r="D1492" s="4">
        <v>10</v>
      </c>
      <c r="E1492" s="4">
        <v>4</v>
      </c>
      <c r="F1492" s="105" t="str">
        <f t="shared" si="341"/>
        <v>Alta</v>
      </c>
      <c r="G1492" s="4" t="str">
        <f t="shared" si="342"/>
        <v>EEH</v>
      </c>
      <c r="H1492" s="4">
        <f t="shared" si="343"/>
        <v>6</v>
      </c>
      <c r="I1492" s="105" t="str">
        <f t="shared" si="344"/>
        <v>H</v>
      </c>
      <c r="J1492" s="4" t="str">
        <f t="shared" si="345"/>
        <v>EEI</v>
      </c>
      <c r="K1492" s="106">
        <f t="shared" si="346"/>
        <v>6</v>
      </c>
      <c r="L1492" s="106">
        <f>IF(NOT(ISERROR(VLOOKUP(B1492,Deflatores!G$42:H$64,2,FALSE))),VLOOKUP(B1492,Deflatores!G$42:H$64,2,FALSE),IF(OR(ISBLANK(C1492),ISBLANK(B1492)),"",VLOOKUP(C1492,Deflatores!G$4:H$38,2,FALSE)*H1492+VLOOKUP(C1492,Deflatores!G$4:I$38,3,FALSE)))</f>
        <v>6</v>
      </c>
      <c r="M1492" s="6"/>
      <c r="N1492" s="6"/>
      <c r="O1492" s="144"/>
    </row>
    <row r="1493" spans="1:15" x14ac:dyDescent="0.25">
      <c r="A1493" s="145" t="s">
        <v>1270</v>
      </c>
      <c r="B1493" s="113" t="s">
        <v>48</v>
      </c>
      <c r="C1493" s="113" t="s">
        <v>45</v>
      </c>
      <c r="D1493" s="4">
        <v>10</v>
      </c>
      <c r="E1493" s="4">
        <v>4</v>
      </c>
      <c r="F1493" s="105" t="str">
        <f t="shared" si="341"/>
        <v>Alta</v>
      </c>
      <c r="G1493" s="4" t="str">
        <f t="shared" si="342"/>
        <v>EEH</v>
      </c>
      <c r="H1493" s="4">
        <f t="shared" si="343"/>
        <v>6</v>
      </c>
      <c r="I1493" s="105" t="str">
        <f t="shared" si="344"/>
        <v>H</v>
      </c>
      <c r="J1493" s="4" t="str">
        <f t="shared" si="345"/>
        <v>EEI</v>
      </c>
      <c r="K1493" s="106">
        <f t="shared" si="346"/>
        <v>6</v>
      </c>
      <c r="L1493" s="106">
        <f>IF(NOT(ISERROR(VLOOKUP(B1493,Deflatores!G$42:H$64,2,FALSE))),VLOOKUP(B1493,Deflatores!G$42:H$64,2,FALSE),IF(OR(ISBLANK(C1493),ISBLANK(B1493)),"",VLOOKUP(C1493,Deflatores!G$4:H$38,2,FALSE)*H1493+VLOOKUP(C1493,Deflatores!G$4:I$38,3,FALSE)))</f>
        <v>6</v>
      </c>
      <c r="M1493" s="6"/>
      <c r="N1493" s="6"/>
      <c r="O1493" s="144"/>
    </row>
    <row r="1494" spans="1:15" x14ac:dyDescent="0.25">
      <c r="A1494" s="146" t="s">
        <v>1271</v>
      </c>
      <c r="B1494" s="113" t="s">
        <v>50</v>
      </c>
      <c r="C1494" s="113" t="s">
        <v>45</v>
      </c>
      <c r="D1494" s="4">
        <v>9</v>
      </c>
      <c r="E1494" s="4">
        <v>4</v>
      </c>
      <c r="F1494" s="105" t="str">
        <f t="shared" si="341"/>
        <v>Alta</v>
      </c>
      <c r="G1494" s="4" t="str">
        <f t="shared" si="342"/>
        <v>CEH</v>
      </c>
      <c r="H1494" s="4">
        <f t="shared" si="343"/>
        <v>6</v>
      </c>
      <c r="I1494" s="105" t="str">
        <f t="shared" si="344"/>
        <v>H</v>
      </c>
      <c r="J1494" s="4" t="str">
        <f t="shared" si="345"/>
        <v>CEI</v>
      </c>
      <c r="K1494" s="106">
        <f t="shared" si="346"/>
        <v>6</v>
      </c>
      <c r="L1494" s="106">
        <f>IF(NOT(ISERROR(VLOOKUP(B1494,Deflatores!G$42:H$64,2,FALSE))),VLOOKUP(B1494,Deflatores!G$42:H$64,2,FALSE),IF(OR(ISBLANK(C1494),ISBLANK(B1494)),"",VLOOKUP(C1494,Deflatores!G$4:H$38,2,FALSE)*H1494+VLOOKUP(C1494,Deflatores!G$4:I$38,3,FALSE)))</f>
        <v>6</v>
      </c>
      <c r="M1494" s="6"/>
      <c r="N1494" s="6"/>
      <c r="O1494" s="144"/>
    </row>
    <row r="1495" spans="1:15" x14ac:dyDescent="0.25">
      <c r="A1495" s="145" t="s">
        <v>1272</v>
      </c>
      <c r="B1495" s="113" t="s">
        <v>50</v>
      </c>
      <c r="C1495" s="113" t="s">
        <v>45</v>
      </c>
      <c r="D1495" s="4">
        <v>11</v>
      </c>
      <c r="E1495" s="4">
        <v>4</v>
      </c>
      <c r="F1495" s="105" t="str">
        <f t="shared" si="341"/>
        <v>Alta</v>
      </c>
      <c r="G1495" s="4" t="str">
        <f t="shared" si="342"/>
        <v>CEH</v>
      </c>
      <c r="H1495" s="4">
        <f t="shared" si="343"/>
        <v>6</v>
      </c>
      <c r="I1495" s="105" t="str">
        <f t="shared" si="344"/>
        <v>H</v>
      </c>
      <c r="J1495" s="4" t="str">
        <f t="shared" si="345"/>
        <v>CEI</v>
      </c>
      <c r="K1495" s="106">
        <f t="shared" si="346"/>
        <v>6</v>
      </c>
      <c r="L1495" s="106">
        <f>IF(NOT(ISERROR(VLOOKUP(B1495,Deflatores!G$42:H$64,2,FALSE))),VLOOKUP(B1495,Deflatores!G$42:H$64,2,FALSE),IF(OR(ISBLANK(C1495),ISBLANK(B1495)),"",VLOOKUP(C1495,Deflatores!G$4:H$38,2,FALSE)*H1495+VLOOKUP(C1495,Deflatores!G$4:I$38,3,FALSE)))</f>
        <v>6</v>
      </c>
      <c r="M1495" s="6"/>
      <c r="N1495" s="6"/>
      <c r="O1495" s="144"/>
    </row>
    <row r="1496" spans="1:15" x14ac:dyDescent="0.25">
      <c r="A1496" s="145" t="s">
        <v>1273</v>
      </c>
      <c r="B1496" s="113" t="s">
        <v>48</v>
      </c>
      <c r="C1496" s="113" t="s">
        <v>45</v>
      </c>
      <c r="D1496" s="4">
        <v>3</v>
      </c>
      <c r="E1496" s="4">
        <v>1</v>
      </c>
      <c r="F1496" s="105" t="str">
        <f t="shared" si="341"/>
        <v>Baixa</v>
      </c>
      <c r="G1496" s="4" t="str">
        <f t="shared" si="342"/>
        <v>EEL</v>
      </c>
      <c r="H1496" s="4">
        <f t="shared" si="343"/>
        <v>3</v>
      </c>
      <c r="I1496" s="105" t="str">
        <f t="shared" si="344"/>
        <v>L</v>
      </c>
      <c r="J1496" s="4" t="str">
        <f t="shared" si="345"/>
        <v>EEI</v>
      </c>
      <c r="K1496" s="106">
        <f t="shared" si="346"/>
        <v>3</v>
      </c>
      <c r="L1496" s="106">
        <f>IF(NOT(ISERROR(VLOOKUP(B1496,Deflatores!G$42:H$64,2,FALSE))),VLOOKUP(B1496,Deflatores!G$42:H$64,2,FALSE),IF(OR(ISBLANK(C1496),ISBLANK(B1496)),"",VLOOKUP(C1496,Deflatores!G$4:H$38,2,FALSE)*H1496+VLOOKUP(C1496,Deflatores!G$4:I$38,3,FALSE)))</f>
        <v>3</v>
      </c>
      <c r="M1496" s="6"/>
      <c r="N1496" s="6"/>
      <c r="O1496" s="144"/>
    </row>
    <row r="1497" spans="1:15" x14ac:dyDescent="0.25">
      <c r="A1497" s="145" t="s">
        <v>1274</v>
      </c>
      <c r="B1497" s="113" t="s">
        <v>48</v>
      </c>
      <c r="C1497" s="113" t="s">
        <v>45</v>
      </c>
      <c r="D1497" s="4">
        <v>4</v>
      </c>
      <c r="E1497" s="4">
        <v>1</v>
      </c>
      <c r="F1497" s="105" t="str">
        <f t="shared" si="341"/>
        <v>Baixa</v>
      </c>
      <c r="G1497" s="4" t="str">
        <f t="shared" si="342"/>
        <v>EEL</v>
      </c>
      <c r="H1497" s="4">
        <f t="shared" si="343"/>
        <v>3</v>
      </c>
      <c r="I1497" s="105" t="str">
        <f t="shared" si="344"/>
        <v>L</v>
      </c>
      <c r="J1497" s="4" t="str">
        <f t="shared" si="345"/>
        <v>EEI</v>
      </c>
      <c r="K1497" s="106">
        <f t="shared" si="346"/>
        <v>3</v>
      </c>
      <c r="L1497" s="106">
        <f>IF(NOT(ISERROR(VLOOKUP(B1497,Deflatores!G$42:H$64,2,FALSE))),VLOOKUP(B1497,Deflatores!G$42:H$64,2,FALSE),IF(OR(ISBLANK(C1497),ISBLANK(B1497)),"",VLOOKUP(C1497,Deflatores!G$4:H$38,2,FALSE)*H1497+VLOOKUP(C1497,Deflatores!G$4:I$38,3,FALSE)))</f>
        <v>3</v>
      </c>
      <c r="M1497" s="6"/>
      <c r="N1497" s="6"/>
      <c r="O1497" s="144"/>
    </row>
    <row r="1498" spans="1:15" x14ac:dyDescent="0.25">
      <c r="A1498" s="145" t="s">
        <v>1275</v>
      </c>
      <c r="B1498" s="113" t="s">
        <v>50</v>
      </c>
      <c r="C1498" s="113" t="s">
        <v>45</v>
      </c>
      <c r="D1498" s="4">
        <v>5</v>
      </c>
      <c r="E1498" s="4">
        <v>1</v>
      </c>
      <c r="F1498" s="105" t="str">
        <f t="shared" si="341"/>
        <v>Baixa</v>
      </c>
      <c r="G1498" s="4" t="str">
        <f t="shared" si="342"/>
        <v>CEL</v>
      </c>
      <c r="H1498" s="4">
        <f t="shared" si="343"/>
        <v>3</v>
      </c>
      <c r="I1498" s="105" t="str">
        <f t="shared" si="344"/>
        <v>L</v>
      </c>
      <c r="J1498" s="4" t="str">
        <f t="shared" si="345"/>
        <v>CEI</v>
      </c>
      <c r="K1498" s="106">
        <f t="shared" si="346"/>
        <v>3</v>
      </c>
      <c r="L1498" s="106">
        <f>IF(NOT(ISERROR(VLOOKUP(B1498,Deflatores!G$42:H$64,2,FALSE))),VLOOKUP(B1498,Deflatores!G$42:H$64,2,FALSE),IF(OR(ISBLANK(C1498),ISBLANK(B1498)),"",VLOOKUP(C1498,Deflatores!G$4:H$38,2,FALSE)*H1498+VLOOKUP(C1498,Deflatores!G$4:I$38,3,FALSE)))</f>
        <v>3</v>
      </c>
      <c r="M1498" s="6"/>
      <c r="N1498" s="6"/>
      <c r="O1498" s="144"/>
    </row>
    <row r="1499" spans="1:15" x14ac:dyDescent="0.25">
      <c r="A1499" s="145" t="s">
        <v>1276</v>
      </c>
      <c r="B1499" s="113" t="s">
        <v>48</v>
      </c>
      <c r="C1499" s="113" t="s">
        <v>45</v>
      </c>
      <c r="D1499" s="4">
        <v>6</v>
      </c>
      <c r="E1499" s="4">
        <v>2</v>
      </c>
      <c r="F1499" s="105" t="str">
        <f t="shared" si="341"/>
        <v>Média</v>
      </c>
      <c r="G1499" s="4" t="str">
        <f t="shared" si="342"/>
        <v>EEA</v>
      </c>
      <c r="H1499" s="4">
        <f t="shared" si="343"/>
        <v>4</v>
      </c>
      <c r="I1499" s="105" t="str">
        <f t="shared" si="344"/>
        <v>A</v>
      </c>
      <c r="J1499" s="4" t="str">
        <f t="shared" si="345"/>
        <v>EEI</v>
      </c>
      <c r="K1499" s="106">
        <f t="shared" si="346"/>
        <v>4</v>
      </c>
      <c r="L1499" s="106">
        <f>IF(NOT(ISERROR(VLOOKUP(B1499,Deflatores!G$42:H$64,2,FALSE))),VLOOKUP(B1499,Deflatores!G$42:H$64,2,FALSE),IF(OR(ISBLANK(C1499),ISBLANK(B1499)),"",VLOOKUP(C1499,Deflatores!G$4:H$38,2,FALSE)*H1499+VLOOKUP(C1499,Deflatores!G$4:I$38,3,FALSE)))</f>
        <v>4</v>
      </c>
      <c r="M1499" s="6"/>
      <c r="N1499" s="6"/>
      <c r="O1499" s="144"/>
    </row>
    <row r="1500" spans="1:15" x14ac:dyDescent="0.25">
      <c r="A1500" s="145" t="s">
        <v>1277</v>
      </c>
      <c r="B1500" s="113" t="s">
        <v>48</v>
      </c>
      <c r="C1500" s="113" t="s">
        <v>45</v>
      </c>
      <c r="D1500" s="4">
        <v>6</v>
      </c>
      <c r="E1500" s="4">
        <v>2</v>
      </c>
      <c r="F1500" s="105" t="str">
        <f t="shared" si="341"/>
        <v>Média</v>
      </c>
      <c r="G1500" s="4" t="str">
        <f t="shared" si="342"/>
        <v>EEA</v>
      </c>
      <c r="H1500" s="4">
        <f t="shared" si="343"/>
        <v>4</v>
      </c>
      <c r="I1500" s="105" t="str">
        <f t="shared" si="344"/>
        <v>A</v>
      </c>
      <c r="J1500" s="4" t="str">
        <f t="shared" si="345"/>
        <v>EEI</v>
      </c>
      <c r="K1500" s="106">
        <f t="shared" si="346"/>
        <v>4</v>
      </c>
      <c r="L1500" s="106">
        <f>IF(NOT(ISERROR(VLOOKUP(B1500,Deflatores!G$42:H$64,2,FALSE))),VLOOKUP(B1500,Deflatores!G$42:H$64,2,FALSE),IF(OR(ISBLANK(C1500),ISBLANK(B1500)),"",VLOOKUP(C1500,Deflatores!G$4:H$38,2,FALSE)*H1500+VLOOKUP(C1500,Deflatores!G$4:I$38,3,FALSE)))</f>
        <v>4</v>
      </c>
      <c r="M1500" s="6"/>
      <c r="N1500" s="6"/>
      <c r="O1500" s="144"/>
    </row>
    <row r="1501" spans="1:15" x14ac:dyDescent="0.25">
      <c r="A1501" s="146" t="s">
        <v>1278</v>
      </c>
      <c r="B1501" s="113" t="s">
        <v>50</v>
      </c>
      <c r="C1501" s="113" t="s">
        <v>45</v>
      </c>
      <c r="D1501" s="4">
        <v>8</v>
      </c>
      <c r="E1501" s="4">
        <v>2</v>
      </c>
      <c r="F1501" s="105" t="str">
        <f t="shared" si="341"/>
        <v>Média</v>
      </c>
      <c r="G1501" s="4" t="str">
        <f t="shared" si="342"/>
        <v>CEA</v>
      </c>
      <c r="H1501" s="4">
        <f t="shared" si="343"/>
        <v>4</v>
      </c>
      <c r="I1501" s="105" t="str">
        <f t="shared" si="344"/>
        <v>A</v>
      </c>
      <c r="J1501" s="4" t="str">
        <f t="shared" si="345"/>
        <v>CEI</v>
      </c>
      <c r="K1501" s="106">
        <f t="shared" si="346"/>
        <v>4</v>
      </c>
      <c r="L1501" s="106">
        <f>IF(NOT(ISERROR(VLOOKUP(B1501,Deflatores!G$42:H$64,2,FALSE))),VLOOKUP(B1501,Deflatores!G$42:H$64,2,FALSE),IF(OR(ISBLANK(C1501),ISBLANK(B1501)),"",VLOOKUP(C1501,Deflatores!G$4:H$38,2,FALSE)*H1501+VLOOKUP(C1501,Deflatores!G$4:I$38,3,FALSE)))</f>
        <v>4</v>
      </c>
      <c r="M1501" s="6"/>
      <c r="N1501" s="6"/>
      <c r="O1501" s="144"/>
    </row>
    <row r="1502" spans="1:15" x14ac:dyDescent="0.25">
      <c r="A1502" s="145" t="s">
        <v>1279</v>
      </c>
      <c r="B1502" s="113" t="s">
        <v>50</v>
      </c>
      <c r="C1502" s="113" t="s">
        <v>45</v>
      </c>
      <c r="D1502" s="4">
        <v>8</v>
      </c>
      <c r="E1502" s="4">
        <v>2</v>
      </c>
      <c r="F1502" s="105" t="str">
        <f t="shared" si="341"/>
        <v>Média</v>
      </c>
      <c r="G1502" s="4" t="str">
        <f t="shared" si="342"/>
        <v>CEA</v>
      </c>
      <c r="H1502" s="4">
        <f t="shared" si="343"/>
        <v>4</v>
      </c>
      <c r="I1502" s="105" t="str">
        <f t="shared" si="344"/>
        <v>A</v>
      </c>
      <c r="J1502" s="4" t="str">
        <f t="shared" si="345"/>
        <v>CEI</v>
      </c>
      <c r="K1502" s="106">
        <f t="shared" si="346"/>
        <v>4</v>
      </c>
      <c r="L1502" s="106">
        <f>IF(NOT(ISERROR(VLOOKUP(B1502,Deflatores!G$42:H$64,2,FALSE))),VLOOKUP(B1502,Deflatores!G$42:H$64,2,FALSE),IF(OR(ISBLANK(C1502),ISBLANK(B1502)),"",VLOOKUP(C1502,Deflatores!G$4:H$38,2,FALSE)*H1502+VLOOKUP(C1502,Deflatores!G$4:I$38,3,FALSE)))</f>
        <v>4</v>
      </c>
      <c r="M1502" s="6"/>
      <c r="N1502" s="6"/>
      <c r="O1502" s="144"/>
    </row>
    <row r="1503" spans="1:15" x14ac:dyDescent="0.25">
      <c r="A1503" s="145" t="s">
        <v>1280</v>
      </c>
      <c r="B1503" s="113" t="s">
        <v>50</v>
      </c>
      <c r="C1503" s="113" t="s">
        <v>45</v>
      </c>
      <c r="D1503" s="4">
        <v>4</v>
      </c>
      <c r="E1503" s="4">
        <v>1</v>
      </c>
      <c r="F1503" s="105" t="str">
        <f t="shared" si="341"/>
        <v>Baixa</v>
      </c>
      <c r="G1503" s="4" t="str">
        <f t="shared" si="342"/>
        <v>CEL</v>
      </c>
      <c r="H1503" s="4">
        <f t="shared" si="343"/>
        <v>3</v>
      </c>
      <c r="I1503" s="105" t="str">
        <f t="shared" si="344"/>
        <v>L</v>
      </c>
      <c r="J1503" s="4" t="str">
        <f t="shared" si="345"/>
        <v>CEI</v>
      </c>
      <c r="K1503" s="106">
        <f t="shared" si="346"/>
        <v>3</v>
      </c>
      <c r="L1503" s="106">
        <f>IF(NOT(ISERROR(VLOOKUP(B1503,Deflatores!G$42:H$64,2,FALSE))),VLOOKUP(B1503,Deflatores!G$42:H$64,2,FALSE),IF(OR(ISBLANK(C1503),ISBLANK(B1503)),"",VLOOKUP(C1503,Deflatores!G$4:H$38,2,FALSE)*H1503+VLOOKUP(C1503,Deflatores!G$4:I$38,3,FALSE)))</f>
        <v>3</v>
      </c>
      <c r="M1503" s="6"/>
      <c r="N1503" s="6"/>
      <c r="O1503" s="144"/>
    </row>
    <row r="1504" spans="1:15" x14ac:dyDescent="0.25">
      <c r="A1504" s="145"/>
      <c r="B1504" s="113"/>
      <c r="C1504" s="113"/>
      <c r="D1504" s="4"/>
      <c r="E1504" s="4"/>
      <c r="F1504" s="105" t="str">
        <f t="shared" si="341"/>
        <v/>
      </c>
      <c r="G1504" s="4" t="str">
        <f t="shared" si="342"/>
        <v/>
      </c>
      <c r="H1504" s="4" t="str">
        <f t="shared" si="343"/>
        <v/>
      </c>
      <c r="I1504" s="105" t="str">
        <f t="shared" si="344"/>
        <v/>
      </c>
      <c r="J1504" s="4" t="str">
        <f t="shared" si="345"/>
        <v/>
      </c>
      <c r="K1504" s="106" t="str">
        <f t="shared" si="346"/>
        <v/>
      </c>
      <c r="L1504" s="106" t="str">
        <f>IF(NOT(ISERROR(VLOOKUP(B1504,Deflatores!G$42:H$64,2,FALSE))),VLOOKUP(B1504,Deflatores!G$42:H$64,2,FALSE),IF(OR(ISBLANK(C1504),ISBLANK(B1504)),"",VLOOKUP(C1504,Deflatores!G$4:H$38,2,FALSE)*H1504+VLOOKUP(C1504,Deflatores!G$4:I$38,3,FALSE)))</f>
        <v/>
      </c>
      <c r="M1504" s="6"/>
      <c r="N1504" s="6"/>
      <c r="O1504" s="144"/>
    </row>
    <row r="1505" spans="1:15" x14ac:dyDescent="0.25">
      <c r="A1505" s="143" t="s">
        <v>1281</v>
      </c>
      <c r="B1505" s="113"/>
      <c r="C1505" s="113"/>
      <c r="D1505" s="4"/>
      <c r="E1505" s="4"/>
      <c r="F1505" s="105"/>
      <c r="G1505" s="4"/>
      <c r="H1505" s="4"/>
      <c r="I1505" s="105"/>
      <c r="J1505" s="4"/>
      <c r="K1505" s="106"/>
      <c r="L1505" s="106"/>
      <c r="M1505" s="6"/>
      <c r="N1505" s="6"/>
      <c r="O1505" s="144"/>
    </row>
    <row r="1506" spans="1:15" x14ac:dyDescent="0.25">
      <c r="A1506" s="145" t="s">
        <v>1282</v>
      </c>
      <c r="B1506" s="113" t="s">
        <v>50</v>
      </c>
      <c r="C1506" s="113" t="s">
        <v>1283</v>
      </c>
      <c r="D1506" s="4">
        <v>2</v>
      </c>
      <c r="E1506" s="4">
        <v>2</v>
      </c>
      <c r="F1506" s="105" t="str">
        <f t="shared" ref="F1506" si="347">IF(ISBLANK(B1506),"",IF(I1506="L","Baixa",IF(I1506="A","Média",IF(I1506="","","Alta"))))</f>
        <v>Baixa</v>
      </c>
      <c r="G1506" s="4" t="str">
        <f t="shared" ref="G1506" si="348">CONCATENATE(B1506,I1506)</f>
        <v>CEL</v>
      </c>
      <c r="H1506" s="4">
        <f t="shared" ref="H1506" si="349">IF(ISBLANK(B1506),"",IF(B1506="ALI",IF(I1506="L",7,IF(I1506="A",10,15)),IF(B1506="AIE",IF(I1506="L",5,IF(I1506="A",7,10)),IF(B1506="SE",IF(I1506="L",4,IF(I1506="A",5,7)),IF(OR(B1506="EE",B1506="CE"),IF(I1506="L",3,IF(I1506="A",4,6)),0)))))</f>
        <v>3</v>
      </c>
      <c r="I1506" s="105" t="str">
        <f t="shared" ref="I1506" si="350">IF(OR(ISBLANK(D1506),ISBLANK(E1506)),IF(OR(B1506="ALI",B1506="AIE"),"L",IF(OR(B1506="EE",B1506="SE",B1506="CE"),"A","")),IF(B1506="EE",IF(E1506&gt;=3,IF(D1506&gt;=5,"H","A"),IF(E1506&gt;=2,IF(D1506&gt;=16,"H",IF(D1506&lt;=4,"L","A")),IF(D1506&lt;=15,"L","A"))),IF(OR(B1506="SE",B1506="CE"),IF(E1506&gt;=4,IF(D1506&gt;=6,"H","A"),IF(E1506&gt;=2,IF(D1506&gt;=20,"H",IF(D1506&lt;=5,"L","A")),IF(D1506&lt;=19,"L","A"))),IF(OR(B1506="ALI",B1506="AIE"),IF(E1506&gt;=6,IF(D1506&gt;=20,"H","A"),IF(E1506&gt;=2,IF(D1506&gt;=51,"H",IF(D1506&lt;=19,"L","A")),IF(D1506&lt;=50,"L","A"))),""))))</f>
        <v>L</v>
      </c>
      <c r="J1506" s="4" t="str">
        <f t="shared" ref="J1506" si="351">CONCATENATE(B1506,C1506)</f>
        <v>CECOS</v>
      </c>
      <c r="K1506" s="106">
        <f t="shared" ref="K1506" si="352">IF(OR(H1506="",H1506=0),L1506,H1506)</f>
        <v>3</v>
      </c>
      <c r="L1506" s="106">
        <f>IF(NOT(ISERROR(VLOOKUP(B1506,Deflatores!G$42:H$64,2,FALSE))),VLOOKUP(B1506,Deflatores!G$42:H$64,2,FALSE),IF(OR(ISBLANK(C1506),ISBLANK(B1506)),"",VLOOKUP(C1506,Deflatores!G$4:H$38,2,FALSE)*H1506+VLOOKUP(C1506,Deflatores!G$4:I$38,3,FALSE)))</f>
        <v>0.6</v>
      </c>
      <c r="M1506" s="6"/>
      <c r="N1506" s="6"/>
      <c r="O1506" s="144"/>
    </row>
  </sheetData>
  <sheetProtection selectLockedCells="1" selectUnlockedCells="1"/>
  <mergeCells count="7">
    <mergeCell ref="B6:J6"/>
    <mergeCell ref="M6:O6"/>
    <mergeCell ref="A1:O3"/>
    <mergeCell ref="M4:O4"/>
    <mergeCell ref="M5:O5"/>
    <mergeCell ref="B4:J4"/>
    <mergeCell ref="B5:J5"/>
  </mergeCells>
  <conditionalFormatting sqref="C8:C27 C602:C683 C749:C871 C874:C901">
    <cfRule type="cellIs" dxfId="223" priority="553" stopIfTrue="1" operator="equal">
      <formula>"I"</formula>
    </cfRule>
    <cfRule type="cellIs" dxfId="222" priority="554" stopIfTrue="1" operator="equal">
      <formula>"A"</formula>
    </cfRule>
    <cfRule type="cellIs" dxfId="221" priority="555" stopIfTrue="1" operator="equal">
      <formula>"E"</formula>
    </cfRule>
  </conditionalFormatting>
  <conditionalFormatting sqref="C10:C11">
    <cfRule type="cellIs" dxfId="220" priority="550" stopIfTrue="1" operator="equal">
      <formula>"I"</formula>
    </cfRule>
    <cfRule type="cellIs" dxfId="219" priority="551" stopIfTrue="1" operator="equal">
      <formula>"A"</formula>
    </cfRule>
    <cfRule type="cellIs" dxfId="218" priority="552" stopIfTrue="1" operator="equal">
      <formula>"E"</formula>
    </cfRule>
  </conditionalFormatting>
  <conditionalFormatting sqref="C14">
    <cfRule type="cellIs" dxfId="217" priority="547" stopIfTrue="1" operator="equal">
      <formula>"I"</formula>
    </cfRule>
    <cfRule type="cellIs" dxfId="216" priority="548" stopIfTrue="1" operator="equal">
      <formula>"A"</formula>
    </cfRule>
    <cfRule type="cellIs" dxfId="215" priority="549" stopIfTrue="1" operator="equal">
      <formula>"E"</formula>
    </cfRule>
  </conditionalFormatting>
  <conditionalFormatting sqref="C19">
    <cfRule type="cellIs" dxfId="214" priority="148" stopIfTrue="1" operator="equal">
      <formula>"I"</formula>
    </cfRule>
    <cfRule type="cellIs" dxfId="213" priority="149" stopIfTrue="1" operator="equal">
      <formula>"A"</formula>
    </cfRule>
    <cfRule type="cellIs" dxfId="212" priority="150" stopIfTrue="1" operator="equal">
      <formula>"E"</formula>
    </cfRule>
  </conditionalFormatting>
  <conditionalFormatting sqref="C21">
    <cfRule type="cellIs" dxfId="211" priority="145" stopIfTrue="1" operator="equal">
      <formula>"I"</formula>
    </cfRule>
    <cfRule type="cellIs" dxfId="210" priority="146" stopIfTrue="1" operator="equal">
      <formula>"A"</formula>
    </cfRule>
    <cfRule type="cellIs" dxfId="209" priority="147" stopIfTrue="1" operator="equal">
      <formula>"E"</formula>
    </cfRule>
  </conditionalFormatting>
  <conditionalFormatting sqref="C28:C49">
    <cfRule type="cellIs" dxfId="208" priority="142" stopIfTrue="1" operator="equal">
      <formula>"I"</formula>
    </cfRule>
    <cfRule type="cellIs" dxfId="207" priority="143" stopIfTrue="1" operator="equal">
      <formula>"A"</formula>
    </cfRule>
    <cfRule type="cellIs" dxfId="206" priority="144" stopIfTrue="1" operator="equal">
      <formula>"E"</formula>
    </cfRule>
  </conditionalFormatting>
  <conditionalFormatting sqref="C38">
    <cfRule type="cellIs" dxfId="205" priority="139" stopIfTrue="1" operator="equal">
      <formula>"I"</formula>
    </cfRule>
    <cfRule type="cellIs" dxfId="204" priority="140" stopIfTrue="1" operator="equal">
      <formula>"A"</formula>
    </cfRule>
    <cfRule type="cellIs" dxfId="203" priority="141" stopIfTrue="1" operator="equal">
      <formula>"E"</formula>
    </cfRule>
  </conditionalFormatting>
  <conditionalFormatting sqref="C51:C98">
    <cfRule type="cellIs" dxfId="202" priority="208" stopIfTrue="1" operator="equal">
      <formula>"I"</formula>
    </cfRule>
    <cfRule type="cellIs" dxfId="201" priority="209" stopIfTrue="1" operator="equal">
      <formula>"A"</formula>
    </cfRule>
    <cfRule type="cellIs" dxfId="200" priority="210" stopIfTrue="1" operator="equal">
      <formula>"E"</formula>
    </cfRule>
  </conditionalFormatting>
  <conditionalFormatting sqref="C65:C66">
    <cfRule type="cellIs" dxfId="199" priority="16" stopIfTrue="1" operator="equal">
      <formula>"I"</formula>
    </cfRule>
    <cfRule type="cellIs" dxfId="198" priority="17" stopIfTrue="1" operator="equal">
      <formula>"A"</formula>
    </cfRule>
    <cfRule type="cellIs" dxfId="197" priority="18" stopIfTrue="1" operator="equal">
      <formula>"E"</formula>
    </cfRule>
  </conditionalFormatting>
  <conditionalFormatting sqref="C100">
    <cfRule type="cellIs" dxfId="196" priority="529" stopIfTrue="1" operator="equal">
      <formula>"I"</formula>
    </cfRule>
    <cfRule type="cellIs" dxfId="195" priority="530" stopIfTrue="1" operator="equal">
      <formula>"A"</formula>
    </cfRule>
    <cfRule type="cellIs" dxfId="194" priority="531" stopIfTrue="1" operator="equal">
      <formula>"E"</formula>
    </cfRule>
  </conditionalFormatting>
  <conditionalFormatting sqref="C104:C107">
    <cfRule type="cellIs" dxfId="193" priority="274" stopIfTrue="1" operator="equal">
      <formula>"I"</formula>
    </cfRule>
    <cfRule type="cellIs" dxfId="192" priority="275" stopIfTrue="1" operator="equal">
      <formula>"A"</formula>
    </cfRule>
    <cfRule type="cellIs" dxfId="191" priority="276" stopIfTrue="1" operator="equal">
      <formula>"E"</formula>
    </cfRule>
  </conditionalFormatting>
  <conditionalFormatting sqref="C107">
    <cfRule type="cellIs" dxfId="190" priority="271" stopIfTrue="1" operator="equal">
      <formula>"I"</formula>
    </cfRule>
    <cfRule type="cellIs" dxfId="189" priority="272" stopIfTrue="1" operator="equal">
      <formula>"A"</formula>
    </cfRule>
    <cfRule type="cellIs" dxfId="188" priority="273" stopIfTrue="1" operator="equal">
      <formula>"E"</formula>
    </cfRule>
  </conditionalFormatting>
  <conditionalFormatting sqref="C108:C214">
    <cfRule type="cellIs" dxfId="187" priority="838" stopIfTrue="1" operator="equal">
      <formula>"I"</formula>
    </cfRule>
    <cfRule type="cellIs" dxfId="186" priority="839" stopIfTrue="1" operator="equal">
      <formula>"A"</formula>
    </cfRule>
    <cfRule type="cellIs" dxfId="185" priority="840" stopIfTrue="1" operator="equal">
      <formula>"E"</formula>
    </cfRule>
  </conditionalFormatting>
  <conditionalFormatting sqref="C192:C193">
    <cfRule type="cellIs" dxfId="184" priority="811" stopIfTrue="1" operator="equal">
      <formula>"I"</formula>
    </cfRule>
    <cfRule type="cellIs" dxfId="183" priority="812" stopIfTrue="1" operator="equal">
      <formula>"A"</formula>
    </cfRule>
    <cfRule type="cellIs" dxfId="182" priority="813" stopIfTrue="1" operator="equal">
      <formula>"E"</formula>
    </cfRule>
  </conditionalFormatting>
  <conditionalFormatting sqref="C195:C201">
    <cfRule type="cellIs" dxfId="181" priority="1757" stopIfTrue="1" operator="equal">
      <formula>"A"</formula>
    </cfRule>
    <cfRule type="cellIs" dxfId="180" priority="1758" stopIfTrue="1" operator="equal">
      <formula>"E"</formula>
    </cfRule>
  </conditionalFormatting>
  <conditionalFormatting sqref="C215:C236">
    <cfRule type="cellIs" dxfId="179" priority="244" stopIfTrue="1" operator="equal">
      <formula>"I"</formula>
    </cfRule>
    <cfRule type="cellIs" dxfId="178" priority="245" stopIfTrue="1" operator="equal">
      <formula>"A"</formula>
    </cfRule>
    <cfRule type="cellIs" dxfId="177" priority="246" stopIfTrue="1" operator="equal">
      <formula>"E"</formula>
    </cfRule>
  </conditionalFormatting>
  <conditionalFormatting sqref="C238:C250">
    <cfRule type="cellIs" dxfId="176" priority="520" stopIfTrue="1" operator="equal">
      <formula>"I"</formula>
    </cfRule>
    <cfRule type="cellIs" dxfId="175" priority="521" stopIfTrue="1" operator="equal">
      <formula>"A"</formula>
    </cfRule>
    <cfRule type="cellIs" dxfId="174" priority="522" stopIfTrue="1" operator="equal">
      <formula>"E"</formula>
    </cfRule>
  </conditionalFormatting>
  <conditionalFormatting sqref="C252:C256">
    <cfRule type="cellIs" dxfId="173" priority="799" stopIfTrue="1" operator="equal">
      <formula>"I"</formula>
    </cfRule>
    <cfRule type="cellIs" dxfId="172" priority="800" stopIfTrue="1" operator="equal">
      <formula>"A"</formula>
    </cfRule>
    <cfRule type="cellIs" dxfId="171" priority="801" stopIfTrue="1" operator="equal">
      <formula>"E"</formula>
    </cfRule>
  </conditionalFormatting>
  <conditionalFormatting sqref="C258:C282">
    <cfRule type="cellIs" dxfId="170" priority="136" stopIfTrue="1" operator="equal">
      <formula>"I"</formula>
    </cfRule>
    <cfRule type="cellIs" dxfId="169" priority="137" stopIfTrue="1" operator="equal">
      <formula>"A"</formula>
    </cfRule>
    <cfRule type="cellIs" dxfId="168" priority="138" stopIfTrue="1" operator="equal">
      <formula>"E"</formula>
    </cfRule>
  </conditionalFormatting>
  <conditionalFormatting sqref="C277:C282">
    <cfRule type="cellIs" dxfId="167" priority="133" stopIfTrue="1" operator="equal">
      <formula>"I"</formula>
    </cfRule>
    <cfRule type="cellIs" dxfId="166" priority="134" stopIfTrue="1" operator="equal">
      <formula>"A"</formula>
    </cfRule>
    <cfRule type="cellIs" dxfId="165" priority="135" stopIfTrue="1" operator="equal">
      <formula>"E"</formula>
    </cfRule>
  </conditionalFormatting>
  <conditionalFormatting sqref="C283:C286">
    <cfRule type="cellIs" dxfId="164" priority="661" stopIfTrue="1" operator="equal">
      <formula>"I"</formula>
    </cfRule>
    <cfRule type="cellIs" dxfId="163" priority="662" stopIfTrue="1" operator="equal">
      <formula>"A"</formula>
    </cfRule>
    <cfRule type="cellIs" dxfId="162" priority="663" stopIfTrue="1" operator="equal">
      <formula>"E"</formula>
    </cfRule>
  </conditionalFormatting>
  <conditionalFormatting sqref="C285">
    <cfRule type="cellIs" dxfId="161" priority="646" stopIfTrue="1" operator="equal">
      <formula>"I"</formula>
    </cfRule>
    <cfRule type="cellIs" dxfId="160" priority="647" stopIfTrue="1" operator="equal">
      <formula>"A"</formula>
    </cfRule>
    <cfRule type="cellIs" dxfId="159" priority="648" stopIfTrue="1" operator="equal">
      <formula>"E"</formula>
    </cfRule>
  </conditionalFormatting>
  <conditionalFormatting sqref="C287:C309">
    <cfRule type="cellIs" dxfId="158" priority="376" stopIfTrue="1" operator="equal">
      <formula>"I"</formula>
    </cfRule>
    <cfRule type="cellIs" dxfId="157" priority="377" stopIfTrue="1" operator="equal">
      <formula>"A"</formula>
    </cfRule>
    <cfRule type="cellIs" dxfId="156" priority="378" stopIfTrue="1" operator="equal">
      <formula>"E"</formula>
    </cfRule>
  </conditionalFormatting>
  <conditionalFormatting sqref="C309:C327">
    <cfRule type="cellIs" dxfId="155" priority="130" stopIfTrue="1" operator="equal">
      <formula>"I"</formula>
    </cfRule>
    <cfRule type="cellIs" dxfId="154" priority="131" stopIfTrue="1" operator="equal">
      <formula>"A"</formula>
    </cfRule>
    <cfRule type="cellIs" dxfId="153" priority="132" stopIfTrue="1" operator="equal">
      <formula>"E"</formula>
    </cfRule>
  </conditionalFormatting>
  <conditionalFormatting sqref="C322:C327">
    <cfRule type="cellIs" dxfId="152" priority="127" stopIfTrue="1" operator="equal">
      <formula>"I"</formula>
    </cfRule>
    <cfRule type="cellIs" dxfId="151" priority="128" stopIfTrue="1" operator="equal">
      <formula>"A"</formula>
    </cfRule>
    <cfRule type="cellIs" dxfId="150" priority="129" stopIfTrue="1" operator="equal">
      <formula>"E"</formula>
    </cfRule>
  </conditionalFormatting>
  <conditionalFormatting sqref="C328:C338">
    <cfRule type="cellIs" dxfId="149" priority="508" stopIfTrue="1" operator="equal">
      <formula>"I"</formula>
    </cfRule>
    <cfRule type="cellIs" dxfId="148" priority="509" stopIfTrue="1" operator="equal">
      <formula>"A"</formula>
    </cfRule>
    <cfRule type="cellIs" dxfId="147" priority="510" stopIfTrue="1" operator="equal">
      <formula>"E"</formula>
    </cfRule>
  </conditionalFormatting>
  <conditionalFormatting sqref="C330">
    <cfRule type="cellIs" dxfId="146" priority="505" stopIfTrue="1" operator="equal">
      <formula>"I"</formula>
    </cfRule>
    <cfRule type="cellIs" dxfId="145" priority="506" stopIfTrue="1" operator="equal">
      <formula>"A"</formula>
    </cfRule>
    <cfRule type="cellIs" dxfId="144" priority="507" stopIfTrue="1" operator="equal">
      <formula>"E"</formula>
    </cfRule>
  </conditionalFormatting>
  <conditionalFormatting sqref="C338:C340">
    <cfRule type="cellIs" dxfId="143" priority="742" stopIfTrue="1" operator="equal">
      <formula>"I"</formula>
    </cfRule>
    <cfRule type="cellIs" dxfId="142" priority="743" stopIfTrue="1" operator="equal">
      <formula>"A"</formula>
    </cfRule>
    <cfRule type="cellIs" dxfId="141" priority="744" stopIfTrue="1" operator="equal">
      <formula>"E"</formula>
    </cfRule>
  </conditionalFormatting>
  <conditionalFormatting sqref="C341:C348">
    <cfRule type="cellIs" dxfId="140" priority="124" stopIfTrue="1" operator="equal">
      <formula>"I"</formula>
    </cfRule>
    <cfRule type="cellIs" dxfId="139" priority="125" stopIfTrue="1" operator="equal">
      <formula>"A"</formula>
    </cfRule>
    <cfRule type="cellIs" dxfId="138" priority="126" stopIfTrue="1" operator="equal">
      <formula>"E"</formula>
    </cfRule>
  </conditionalFormatting>
  <conditionalFormatting sqref="C343">
    <cfRule type="cellIs" dxfId="137" priority="121" stopIfTrue="1" operator="equal">
      <formula>"I"</formula>
    </cfRule>
    <cfRule type="cellIs" dxfId="136" priority="122" stopIfTrue="1" operator="equal">
      <formula>"A"</formula>
    </cfRule>
    <cfRule type="cellIs" dxfId="135" priority="123" stopIfTrue="1" operator="equal">
      <formula>"E"</formula>
    </cfRule>
  </conditionalFormatting>
  <conditionalFormatting sqref="C349">
    <cfRule type="cellIs" dxfId="134" priority="115" stopIfTrue="1" operator="equal">
      <formula>"I"</formula>
    </cfRule>
    <cfRule type="cellIs" dxfId="133" priority="116" stopIfTrue="1" operator="equal">
      <formula>"A"</formula>
    </cfRule>
    <cfRule type="cellIs" dxfId="132" priority="117" stopIfTrue="1" operator="equal">
      <formula>"E"</formula>
    </cfRule>
  </conditionalFormatting>
  <conditionalFormatting sqref="C349:C359">
    <cfRule type="cellIs" dxfId="131" priority="118" stopIfTrue="1" operator="equal">
      <formula>"I"</formula>
    </cfRule>
    <cfRule type="cellIs" dxfId="130" priority="119" stopIfTrue="1" operator="equal">
      <formula>"A"</formula>
    </cfRule>
    <cfRule type="cellIs" dxfId="129" priority="120" stopIfTrue="1" operator="equal">
      <formula>"E"</formula>
    </cfRule>
  </conditionalFormatting>
  <conditionalFormatting sqref="C362:C442">
    <cfRule type="cellIs" dxfId="128" priority="112" stopIfTrue="1" operator="equal">
      <formula>"I"</formula>
    </cfRule>
    <cfRule type="cellIs" dxfId="127" priority="113" stopIfTrue="1" operator="equal">
      <formula>"A"</formula>
    </cfRule>
    <cfRule type="cellIs" dxfId="126" priority="114" stopIfTrue="1" operator="equal">
      <formula>"E"</formula>
    </cfRule>
  </conditionalFormatting>
  <conditionalFormatting sqref="C411">
    <cfRule type="cellIs" dxfId="125" priority="109" stopIfTrue="1" operator="equal">
      <formula>"I"</formula>
    </cfRule>
    <cfRule type="cellIs" dxfId="124" priority="110" stopIfTrue="1" operator="equal">
      <formula>"A"</formula>
    </cfRule>
    <cfRule type="cellIs" dxfId="123" priority="111" stopIfTrue="1" operator="equal">
      <formula>"E"</formula>
    </cfRule>
  </conditionalFormatting>
  <conditionalFormatting sqref="C443:C448">
    <cfRule type="cellIs" dxfId="122" priority="583" stopIfTrue="1" operator="equal">
      <formula>"I"</formula>
    </cfRule>
    <cfRule type="cellIs" dxfId="121" priority="584" stopIfTrue="1" operator="equal">
      <formula>"A"</formula>
    </cfRule>
    <cfRule type="cellIs" dxfId="120" priority="585" stopIfTrue="1" operator="equal">
      <formula>"E"</formula>
    </cfRule>
  </conditionalFormatting>
  <conditionalFormatting sqref="C444 C446:C448">
    <cfRule type="cellIs" dxfId="119" priority="592" stopIfTrue="1" operator="equal">
      <formula>"I"</formula>
    </cfRule>
    <cfRule type="cellIs" dxfId="118" priority="593" stopIfTrue="1" operator="equal">
      <formula>"A"</formula>
    </cfRule>
    <cfRule type="cellIs" dxfId="117" priority="594" stopIfTrue="1" operator="equal">
      <formula>"E"</formula>
    </cfRule>
  </conditionalFormatting>
  <conditionalFormatting sqref="C445">
    <cfRule type="cellIs" dxfId="116" priority="580" stopIfTrue="1" operator="equal">
      <formula>"I"</formula>
    </cfRule>
    <cfRule type="cellIs" dxfId="115" priority="581" stopIfTrue="1" operator="equal">
      <formula>"A"</formula>
    </cfRule>
    <cfRule type="cellIs" dxfId="114" priority="582" stopIfTrue="1" operator="equal">
      <formula>"E"</formula>
    </cfRule>
  </conditionalFormatting>
  <conditionalFormatting sqref="C447">
    <cfRule type="cellIs" dxfId="113" priority="577" stopIfTrue="1" operator="equal">
      <formula>"I"</formula>
    </cfRule>
    <cfRule type="cellIs" dxfId="112" priority="578" stopIfTrue="1" operator="equal">
      <formula>"A"</formula>
    </cfRule>
    <cfRule type="cellIs" dxfId="111" priority="579" stopIfTrue="1" operator="equal">
      <formula>"E"</formula>
    </cfRule>
  </conditionalFormatting>
  <conditionalFormatting sqref="C449:C529">
    <cfRule type="cellIs" dxfId="110" priority="418" stopIfTrue="1" operator="equal">
      <formula>"I"</formula>
    </cfRule>
    <cfRule type="cellIs" dxfId="109" priority="419" stopIfTrue="1" operator="equal">
      <formula>"A"</formula>
    </cfRule>
    <cfRule type="cellIs" dxfId="108" priority="420" stopIfTrue="1" operator="equal">
      <formula>"E"</formula>
    </cfRule>
  </conditionalFormatting>
  <conditionalFormatting sqref="C497">
    <cfRule type="cellIs" dxfId="107" priority="415" stopIfTrue="1" operator="equal">
      <formula>"I"</formula>
    </cfRule>
    <cfRule type="cellIs" dxfId="106" priority="416" stopIfTrue="1" operator="equal">
      <formula>"A"</formula>
    </cfRule>
    <cfRule type="cellIs" dxfId="105" priority="417" stopIfTrue="1" operator="equal">
      <formula>"E"</formula>
    </cfRule>
  </conditionalFormatting>
  <conditionalFormatting sqref="C504">
    <cfRule type="cellIs" dxfId="104" priority="409" stopIfTrue="1" operator="equal">
      <formula>"I"</formula>
    </cfRule>
    <cfRule type="cellIs" dxfId="103" priority="410" stopIfTrue="1" operator="equal">
      <formula>"A"</formula>
    </cfRule>
    <cfRule type="cellIs" dxfId="102" priority="411" stopIfTrue="1" operator="equal">
      <formula>"E"</formula>
    </cfRule>
  </conditionalFormatting>
  <conditionalFormatting sqref="C530:C553">
    <cfRule type="cellIs" dxfId="101" priority="19" stopIfTrue="1" operator="equal">
      <formula>"I"</formula>
    </cfRule>
    <cfRule type="cellIs" dxfId="100" priority="20" stopIfTrue="1" operator="equal">
      <formula>"A"</formula>
    </cfRule>
    <cfRule type="cellIs" dxfId="99" priority="21" stopIfTrue="1" operator="equal">
      <formula>"E"</formula>
    </cfRule>
  </conditionalFormatting>
  <conditionalFormatting sqref="C554:C601">
    <cfRule type="cellIs" dxfId="98" priority="106" stopIfTrue="1" operator="equal">
      <formula>"I"</formula>
    </cfRule>
    <cfRule type="cellIs" dxfId="97" priority="107" stopIfTrue="1" operator="equal">
      <formula>"A"</formula>
    </cfRule>
    <cfRule type="cellIs" dxfId="96" priority="108" stopIfTrue="1" operator="equal">
      <formula>"E"</formula>
    </cfRule>
  </conditionalFormatting>
  <conditionalFormatting sqref="C585:C587">
    <cfRule type="cellIs" dxfId="95" priority="103" stopIfTrue="1" operator="equal">
      <formula>"I"</formula>
    </cfRule>
    <cfRule type="cellIs" dxfId="94" priority="104" stopIfTrue="1" operator="equal">
      <formula>"A"</formula>
    </cfRule>
    <cfRule type="cellIs" dxfId="93" priority="105" stopIfTrue="1" operator="equal">
      <formula>"E"</formula>
    </cfRule>
  </conditionalFormatting>
  <conditionalFormatting sqref="C653:C664">
    <cfRule type="cellIs" dxfId="92" priority="370" stopIfTrue="1" operator="equal">
      <formula>"I"</formula>
    </cfRule>
    <cfRule type="cellIs" dxfId="91" priority="371" stopIfTrue="1" operator="equal">
      <formula>"A"</formula>
    </cfRule>
    <cfRule type="cellIs" dxfId="90" priority="372" stopIfTrue="1" operator="equal">
      <formula>"E"</formula>
    </cfRule>
  </conditionalFormatting>
  <conditionalFormatting sqref="C673">
    <cfRule type="cellIs" dxfId="89" priority="64" stopIfTrue="1" operator="equal">
      <formula>"I"</formula>
    </cfRule>
    <cfRule type="cellIs" dxfId="88" priority="65" stopIfTrue="1" operator="equal">
      <formula>"A"</formula>
    </cfRule>
    <cfRule type="cellIs" dxfId="87" priority="66" stopIfTrue="1" operator="equal">
      <formula>"E"</formula>
    </cfRule>
  </conditionalFormatting>
  <conditionalFormatting sqref="C684:C748">
    <cfRule type="cellIs" dxfId="86" priority="7" stopIfTrue="1" operator="equal">
      <formula>"I"</formula>
    </cfRule>
    <cfRule type="cellIs" dxfId="85" priority="8" stopIfTrue="1" operator="equal">
      <formula>"A"</formula>
    </cfRule>
    <cfRule type="cellIs" dxfId="84" priority="9" stopIfTrue="1" operator="equal">
      <formula>"E"</formula>
    </cfRule>
  </conditionalFormatting>
  <conditionalFormatting sqref="C833">
    <cfRule type="cellIs" dxfId="83" priority="214" stopIfTrue="1" operator="equal">
      <formula>"I"</formula>
    </cfRule>
    <cfRule type="cellIs" dxfId="82" priority="215" stopIfTrue="1" operator="equal">
      <formula>"A"</formula>
    </cfRule>
    <cfRule type="cellIs" dxfId="81" priority="216" stopIfTrue="1" operator="equal">
      <formula>"E"</formula>
    </cfRule>
  </conditionalFormatting>
  <conditionalFormatting sqref="C902:C944">
    <cfRule type="cellIs" dxfId="80" priority="10" stopIfTrue="1" operator="equal">
      <formula>"I"</formula>
    </cfRule>
    <cfRule type="cellIs" dxfId="79" priority="11" stopIfTrue="1" operator="equal">
      <formula>"A"</formula>
    </cfRule>
    <cfRule type="cellIs" dxfId="78" priority="12" stopIfTrue="1" operator="equal">
      <formula>"E"</formula>
    </cfRule>
  </conditionalFormatting>
  <conditionalFormatting sqref="C954:C1279 C1287:C1349">
    <cfRule type="cellIs" dxfId="77" priority="311" stopIfTrue="1" operator="equal">
      <formula>"A"</formula>
    </cfRule>
    <cfRule type="cellIs" dxfId="76" priority="312" stopIfTrue="1" operator="equal">
      <formula>"E"</formula>
    </cfRule>
  </conditionalFormatting>
  <conditionalFormatting sqref="C1259">
    <cfRule type="cellIs" dxfId="75" priority="277" stopIfTrue="1" operator="equal">
      <formula>"I"</formula>
    </cfRule>
    <cfRule type="cellIs" dxfId="74" priority="278" stopIfTrue="1" operator="equal">
      <formula>"A"</formula>
    </cfRule>
    <cfRule type="cellIs" dxfId="73" priority="279" stopIfTrue="1" operator="equal">
      <formula>"E"</formula>
    </cfRule>
  </conditionalFormatting>
  <conditionalFormatting sqref="C1280:C1286">
    <cfRule type="cellIs" dxfId="72" priority="67" stopIfTrue="1" operator="equal">
      <formula>"I"</formula>
    </cfRule>
    <cfRule type="cellIs" dxfId="71" priority="68" stopIfTrue="1" operator="equal">
      <formula>"A"</formula>
    </cfRule>
    <cfRule type="cellIs" dxfId="70" priority="69" stopIfTrue="1" operator="equal">
      <formula>"E"</formula>
    </cfRule>
  </conditionalFormatting>
  <conditionalFormatting sqref="C1287:C1349 C954:C1279">
    <cfRule type="cellIs" dxfId="69" priority="310" stopIfTrue="1" operator="equal">
      <formula>"I"</formula>
    </cfRule>
  </conditionalFormatting>
  <conditionalFormatting sqref="C1306:C1307">
    <cfRule type="cellIs" dxfId="68" priority="61" stopIfTrue="1" operator="equal">
      <formula>"I"</formula>
    </cfRule>
    <cfRule type="cellIs" dxfId="67" priority="62" stopIfTrue="1" operator="equal">
      <formula>"A"</formula>
    </cfRule>
    <cfRule type="cellIs" dxfId="66" priority="63" stopIfTrue="1" operator="equal">
      <formula>"E"</formula>
    </cfRule>
  </conditionalFormatting>
  <conditionalFormatting sqref="C1344">
    <cfRule type="cellIs" dxfId="65" priority="307" stopIfTrue="1" operator="equal">
      <formula>"I"</formula>
    </cfRule>
    <cfRule type="cellIs" dxfId="64" priority="308" stopIfTrue="1" operator="equal">
      <formula>"A"</formula>
    </cfRule>
    <cfRule type="cellIs" dxfId="63" priority="309" stopIfTrue="1" operator="equal">
      <formula>"E"</formula>
    </cfRule>
  </conditionalFormatting>
  <conditionalFormatting sqref="C1350:C1360">
    <cfRule type="cellIs" dxfId="62" priority="301" stopIfTrue="1" operator="equal">
      <formula>"I"</formula>
    </cfRule>
    <cfRule type="cellIs" dxfId="61" priority="302" stopIfTrue="1" operator="equal">
      <formula>"A"</formula>
    </cfRule>
    <cfRule type="cellIs" dxfId="60" priority="303" stopIfTrue="1" operator="equal">
      <formula>"E"</formula>
    </cfRule>
  </conditionalFormatting>
  <conditionalFormatting sqref="C1360:C1366">
    <cfRule type="cellIs" dxfId="59" priority="70" stopIfTrue="1" operator="equal">
      <formula>"I"</formula>
    </cfRule>
    <cfRule type="cellIs" dxfId="58" priority="71" stopIfTrue="1" operator="equal">
      <formula>"A"</formula>
    </cfRule>
    <cfRule type="cellIs" dxfId="57" priority="72" stopIfTrue="1" operator="equal">
      <formula>"E"</formula>
    </cfRule>
  </conditionalFormatting>
  <conditionalFormatting sqref="C1366:C1506">
    <cfRule type="cellIs" dxfId="56" priority="298" stopIfTrue="1" operator="equal">
      <formula>"I"</formula>
    </cfRule>
    <cfRule type="cellIs" dxfId="55" priority="299" stopIfTrue="1" operator="equal">
      <formula>"A"</formula>
    </cfRule>
    <cfRule type="cellIs" dxfId="54" priority="300" stopIfTrue="1" operator="equal">
      <formula>"E"</formula>
    </cfRule>
  </conditionalFormatting>
  <conditionalFormatting sqref="E8">
    <cfRule type="cellIs" dxfId="53" priority="604" stopIfTrue="1" operator="equal">
      <formula>"I"</formula>
    </cfRule>
    <cfRule type="cellIs" dxfId="52" priority="605" stopIfTrue="1" operator="equal">
      <formula>"A"</formula>
    </cfRule>
    <cfRule type="cellIs" dxfId="51" priority="606" stopIfTrue="1" operator="equal">
      <formula>"E"</formula>
    </cfRule>
  </conditionalFormatting>
  <conditionalFormatting sqref="E219:E238">
    <cfRule type="cellIs" dxfId="50" priority="805" stopIfTrue="1" operator="equal">
      <formula>"I"</formula>
    </cfRule>
    <cfRule type="cellIs" dxfId="49" priority="806" stopIfTrue="1" operator="equal">
      <formula>"A"</formula>
    </cfRule>
    <cfRule type="cellIs" dxfId="48" priority="807" stopIfTrue="1" operator="equal">
      <formula>"E"</formula>
    </cfRule>
  </conditionalFormatting>
  <conditionalFormatting sqref="E241">
    <cfRule type="cellIs" dxfId="47" priority="802" stopIfTrue="1" operator="equal">
      <formula>"I"</formula>
    </cfRule>
    <cfRule type="cellIs" dxfId="46" priority="803" stopIfTrue="1" operator="equal">
      <formula>"A"</formula>
    </cfRule>
    <cfRule type="cellIs" dxfId="45" priority="804" stopIfTrue="1" operator="equal">
      <formula>"E"</formula>
    </cfRule>
  </conditionalFormatting>
  <conditionalFormatting sqref="E252">
    <cfRule type="cellIs" dxfId="44" priority="796" stopIfTrue="1" operator="equal">
      <formula>"I"</formula>
    </cfRule>
    <cfRule type="cellIs" dxfId="43" priority="797" stopIfTrue="1" operator="equal">
      <formula>"A"</formula>
    </cfRule>
    <cfRule type="cellIs" dxfId="42" priority="798" stopIfTrue="1" operator="equal">
      <formula>"E"</formula>
    </cfRule>
  </conditionalFormatting>
  <conditionalFormatting sqref="E258">
    <cfRule type="cellIs" dxfId="41" priority="727" stopIfTrue="1" operator="equal">
      <formula>"I"</formula>
    </cfRule>
    <cfRule type="cellIs" dxfId="40" priority="728" stopIfTrue="1" operator="equal">
      <formula>"A"</formula>
    </cfRule>
    <cfRule type="cellIs" dxfId="39" priority="729" stopIfTrue="1" operator="equal">
      <formula>"E"</formula>
    </cfRule>
  </conditionalFormatting>
  <conditionalFormatting sqref="E276">
    <cfRule type="cellIs" dxfId="38" priority="751" stopIfTrue="1" operator="equal">
      <formula>"I"</formula>
    </cfRule>
    <cfRule type="cellIs" dxfId="37" priority="752" stopIfTrue="1" operator="equal">
      <formula>"A"</formula>
    </cfRule>
    <cfRule type="cellIs" dxfId="36" priority="753" stopIfTrue="1" operator="equal">
      <formula>"E"</formula>
    </cfRule>
  </conditionalFormatting>
  <conditionalFormatting sqref="E314">
    <cfRule type="cellIs" dxfId="35" priority="748" stopIfTrue="1" operator="equal">
      <formula>"I"</formula>
    </cfRule>
    <cfRule type="cellIs" dxfId="34" priority="749" stopIfTrue="1" operator="equal">
      <formula>"A"</formula>
    </cfRule>
    <cfRule type="cellIs" dxfId="33" priority="750" stopIfTrue="1" operator="equal">
      <formula>"E"</formula>
    </cfRule>
  </conditionalFormatting>
  <conditionalFormatting sqref="E320">
    <cfRule type="cellIs" dxfId="32" priority="745" stopIfTrue="1" operator="equal">
      <formula>"I"</formula>
    </cfRule>
    <cfRule type="cellIs" dxfId="31" priority="746" stopIfTrue="1" operator="equal">
      <formula>"A"</formula>
    </cfRule>
    <cfRule type="cellIs" dxfId="30" priority="747" stopIfTrue="1" operator="equal">
      <formula>"E"</formula>
    </cfRule>
  </conditionalFormatting>
  <conditionalFormatting sqref="E442:E449">
    <cfRule type="cellIs" dxfId="29" priority="466" stopIfTrue="1" operator="equal">
      <formula>"I"</formula>
    </cfRule>
    <cfRule type="cellIs" dxfId="28" priority="467" stopIfTrue="1" operator="equal">
      <formula>"A"</formula>
    </cfRule>
    <cfRule type="cellIs" dxfId="27" priority="468" stopIfTrue="1" operator="equal">
      <formula>"E"</formula>
    </cfRule>
  </conditionalFormatting>
  <conditionalFormatting sqref="E456:E458">
    <cfRule type="cellIs" dxfId="26" priority="445" stopIfTrue="1" operator="equal">
      <formula>"I"</formula>
    </cfRule>
    <cfRule type="cellIs" dxfId="25" priority="446" stopIfTrue="1" operator="equal">
      <formula>"A"</formula>
    </cfRule>
    <cfRule type="cellIs" dxfId="24" priority="447" stopIfTrue="1" operator="equal">
      <formula>"E"</formula>
    </cfRule>
  </conditionalFormatting>
  <conditionalFormatting sqref="E467">
    <cfRule type="cellIs" dxfId="23" priority="586" stopIfTrue="1" operator="equal">
      <formula>"I"</formula>
    </cfRule>
    <cfRule type="cellIs" dxfId="22" priority="587" stopIfTrue="1" operator="equal">
      <formula>"A"</formula>
    </cfRule>
    <cfRule type="cellIs" dxfId="21" priority="588" stopIfTrue="1" operator="equal">
      <formula>"E"</formula>
    </cfRule>
  </conditionalFormatting>
  <conditionalFormatting sqref="E507:E510">
    <cfRule type="cellIs" dxfId="20" priority="472" stopIfTrue="1" operator="equal">
      <formula>"I"</formula>
    </cfRule>
    <cfRule type="cellIs" dxfId="19" priority="473" stopIfTrue="1" operator="equal">
      <formula>"A"</formula>
    </cfRule>
    <cfRule type="cellIs" dxfId="18" priority="474" stopIfTrue="1" operator="equal">
      <formula>"E"</formula>
    </cfRule>
  </conditionalFormatting>
  <conditionalFormatting sqref="E653">
    <cfRule type="cellIs" dxfId="17" priority="373" stopIfTrue="1" operator="equal">
      <formula>"I"</formula>
    </cfRule>
    <cfRule type="cellIs" dxfId="16" priority="374" stopIfTrue="1" operator="equal">
      <formula>"A"</formula>
    </cfRule>
    <cfRule type="cellIs" dxfId="15" priority="375" stopIfTrue="1" operator="equal">
      <formula>"E"</formula>
    </cfRule>
  </conditionalFormatting>
  <conditionalFormatting sqref="E954">
    <cfRule type="cellIs" dxfId="14" priority="403" stopIfTrue="1" operator="equal">
      <formula>"I"</formula>
    </cfRule>
    <cfRule type="cellIs" dxfId="13" priority="404" stopIfTrue="1" operator="equal">
      <formula>"A"</formula>
    </cfRule>
    <cfRule type="cellIs" dxfId="12" priority="405" stopIfTrue="1" operator="equal">
      <formula>"E"</formula>
    </cfRule>
  </conditionalFormatting>
  <conditionalFormatting sqref="E1150">
    <cfRule type="cellIs" dxfId="11" priority="364" stopIfTrue="1" operator="equal">
      <formula>"I"</formula>
    </cfRule>
    <cfRule type="cellIs" dxfId="10" priority="365" stopIfTrue="1" operator="equal">
      <formula>"A"</formula>
    </cfRule>
    <cfRule type="cellIs" dxfId="9" priority="366" stopIfTrue="1" operator="equal">
      <formula>"E"</formula>
    </cfRule>
  </conditionalFormatting>
  <conditionalFormatting sqref="E1429">
    <cfRule type="cellIs" dxfId="8" priority="340" stopIfTrue="1" operator="equal">
      <formula>"I"</formula>
    </cfRule>
    <cfRule type="cellIs" dxfId="7" priority="341" stopIfTrue="1" operator="equal">
      <formula>"A"</formula>
    </cfRule>
    <cfRule type="cellIs" dxfId="6" priority="342" stopIfTrue="1" operator="equal">
      <formula>"E"</formula>
    </cfRule>
  </conditionalFormatting>
  <conditionalFormatting sqref="C945:C953">
    <cfRule type="cellIs" dxfId="5" priority="4" stopIfTrue="1" operator="equal">
      <formula>"I"</formula>
    </cfRule>
    <cfRule type="cellIs" dxfId="4" priority="5" stopIfTrue="1" operator="equal">
      <formula>"A"</formula>
    </cfRule>
    <cfRule type="cellIs" dxfId="3" priority="6" stopIfTrue="1" operator="equal">
      <formula>"E"</formula>
    </cfRule>
  </conditionalFormatting>
  <conditionalFormatting sqref="C872:C873">
    <cfRule type="cellIs" dxfId="2" priority="2" stopIfTrue="1" operator="equal">
      <formula>"A"</formula>
    </cfRule>
    <cfRule type="cellIs" dxfId="1" priority="3" stopIfTrue="1" operator="equal">
      <formula>"E"</formula>
    </cfRule>
  </conditionalFormatting>
  <conditionalFormatting sqref="C872:C873">
    <cfRule type="cellIs" dxfId="0" priority="1" stopIfTrue="1" operator="equal">
      <formula>"I"</formula>
    </cfRule>
  </conditionalFormatting>
  <dataValidations xWindow="635" yWindow="500" count="2">
    <dataValidation type="list" operator="equal" allowBlank="1" showInputMessage="1" showErrorMessage="1" promptTitle="Tipo da Função" prompt="ALI, AIE, EE, SE, CE_x000a_ou_x000a_Itens não mensuráveis" sqref="B252:B256 B104:B188 B190:B201 B85:B98 B955:B1149 B238:B250 B258:B359 B100 B362:B441 B1506 B203:B236 B1430:B1504 B1151:B1428 B51:B83 B9:B49 B443:B953" xr:uid="{00000000-0002-0000-0100-000000000000}">
      <formula1>TiposDeFuncao</formula1>
      <formula2>0</formula2>
    </dataValidation>
    <dataValidation type="list" operator="equal" allowBlank="1" showInputMessage="1" showErrorMessage="1" promptTitle="Tipo de Manutenção na Função" prompt="I, A, E _x000a_ou_x000a_Itens não mensuráveis" sqref="C252:C256 C203:C236 C190:C201 C955:C1149 C238:C250 C104:C188 C100 C258:C359 C1506 C362:C441 C1430:C1504 C1151:C1428 C51:C98 C9:C49 C443:C953" xr:uid="{00000000-0002-0000-0100-000001000000}">
      <formula1>TiposDeManutencao</formula1>
      <formula2>0</formula2>
    </dataValidation>
  </dataValidations>
  <pageMargins left="0.70833333333333337" right="0.70833333333333337" top="0.74791666666666667" bottom="0.74861111111111112" header="0.51180555555555551" footer="0.31527777777777777"/>
  <pageSetup paperSize="9" scale="76" firstPageNumber="0" fitToHeight="0" orientation="landscape" horizontalDpi="300" verticalDpi="300" r:id="rId1"/>
  <headerFooter alignWithMargins="0">
    <oddFooter>&amp;CPágina &amp;P de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L64"/>
  <sheetViews>
    <sheetView showGridLines="0" zoomScaleNormal="100" zoomScaleSheetLayoutView="100" workbookViewId="0">
      <pane ySplit="1" topLeftCell="A2" activePane="bottomLeft" state="frozen"/>
      <selection activeCell="B11" sqref="B11"/>
      <selection pane="bottomLeft" activeCell="I22" sqref="I22"/>
    </sheetView>
  </sheetViews>
  <sheetFormatPr defaultColWidth="11.54296875" defaultRowHeight="12.5" x14ac:dyDescent="0.25"/>
  <cols>
    <col min="4" max="4" width="10.54296875" customWidth="1"/>
    <col min="5" max="5" width="23.453125" customWidth="1"/>
    <col min="6" max="6" width="53.453125" customWidth="1"/>
    <col min="7" max="7" width="7.54296875" style="7" customWidth="1"/>
    <col min="8" max="8" width="13.453125" style="8" customWidth="1"/>
    <col min="9" max="9" width="9.81640625" style="8" customWidth="1"/>
    <col min="10" max="11" width="10.54296875" customWidth="1"/>
    <col min="12" max="12" width="0" style="7" hidden="1" customWidth="1"/>
  </cols>
  <sheetData>
    <row r="1" spans="1:12" ht="36.65" customHeight="1" x14ac:dyDescent="0.35">
      <c r="A1" s="170" t="s">
        <v>1284</v>
      </c>
      <c r="B1" s="170"/>
      <c r="C1" s="170"/>
      <c r="D1" s="170"/>
      <c r="E1" s="170"/>
      <c r="F1" s="170"/>
      <c r="G1" s="170"/>
      <c r="H1" s="170"/>
      <c r="I1" s="170"/>
      <c r="J1" s="170"/>
      <c r="K1" s="170"/>
      <c r="L1" s="9"/>
    </row>
    <row r="2" spans="1:12" ht="14.9" customHeight="1" x14ac:dyDescent="0.25">
      <c r="A2" s="197" t="s">
        <v>1285</v>
      </c>
      <c r="B2" s="197"/>
      <c r="C2" s="197"/>
      <c r="D2" s="197"/>
      <c r="E2" s="197"/>
      <c r="F2" s="197"/>
      <c r="G2" s="198" t="s">
        <v>1286</v>
      </c>
      <c r="H2" s="198" t="s">
        <v>1287</v>
      </c>
      <c r="I2" s="198"/>
      <c r="J2" s="198" t="s">
        <v>3</v>
      </c>
      <c r="K2" s="199" t="s">
        <v>1288</v>
      </c>
    </row>
    <row r="3" spans="1:12" ht="14.9" customHeight="1" x14ac:dyDescent="0.25">
      <c r="A3" s="10" t="s">
        <v>1289</v>
      </c>
      <c r="B3" s="198" t="s">
        <v>1290</v>
      </c>
      <c r="C3" s="198"/>
      <c r="D3" s="198"/>
      <c r="E3" s="198"/>
      <c r="F3" s="11" t="s">
        <v>1291</v>
      </c>
      <c r="G3" s="198"/>
      <c r="H3" s="11" t="s">
        <v>1292</v>
      </c>
      <c r="I3" s="11" t="s">
        <v>1293</v>
      </c>
      <c r="J3" s="198"/>
      <c r="K3" s="199"/>
    </row>
    <row r="4" spans="1:12" x14ac:dyDescent="0.25">
      <c r="A4" s="3" t="s">
        <v>1294</v>
      </c>
      <c r="B4" s="168" t="s">
        <v>1295</v>
      </c>
      <c r="C4" s="168"/>
      <c r="D4" s="168"/>
      <c r="E4" s="168"/>
      <c r="F4" s="2"/>
      <c r="G4" s="12" t="s">
        <v>45</v>
      </c>
      <c r="H4" s="85">
        <v>1</v>
      </c>
      <c r="I4" s="86"/>
      <c r="J4" s="87">
        <f>SUMIF(Funções!$C$86:$C$188,Deflatores!G4,Funções!$H$86:$H$188)</f>
        <v>340</v>
      </c>
      <c r="K4" s="88">
        <f>IF(H4="",COUNTIF(Funções!C$86:C$188,G4)*I4,H4*J4)</f>
        <v>340</v>
      </c>
    </row>
    <row r="5" spans="1:12" x14ac:dyDescent="0.25">
      <c r="A5" s="3" t="s">
        <v>1296</v>
      </c>
      <c r="B5" s="168" t="s">
        <v>1297</v>
      </c>
      <c r="C5" s="168"/>
      <c r="D5" s="168"/>
      <c r="E5" s="168"/>
      <c r="F5" s="2" t="s">
        <v>1298</v>
      </c>
      <c r="G5" s="12" t="s">
        <v>433</v>
      </c>
      <c r="H5" s="85">
        <v>0.5</v>
      </c>
      <c r="I5" s="86"/>
      <c r="J5" s="87">
        <f>SUMIF(Funções!$C$86:$C$188,Deflatores!G5,Funções!$H$86:$H$188)</f>
        <v>0</v>
      </c>
      <c r="K5" s="88">
        <f>IF(H5="",COUNTIF(Funções!C$86:C$188,G5)*I5,H5*J5)</f>
        <v>0</v>
      </c>
    </row>
    <row r="6" spans="1:12" x14ac:dyDescent="0.25">
      <c r="A6" s="3" t="s">
        <v>1299</v>
      </c>
      <c r="B6" s="168" t="s">
        <v>1300</v>
      </c>
      <c r="C6" s="168"/>
      <c r="D6" s="168"/>
      <c r="E6" s="168"/>
      <c r="F6" s="2" t="s">
        <v>1298</v>
      </c>
      <c r="G6" s="12" t="s">
        <v>72</v>
      </c>
      <c r="H6" s="85">
        <v>0.4</v>
      </c>
      <c r="I6" s="86"/>
      <c r="J6" s="87">
        <f>SUMIF(Funções!$C$86:$C$188,Deflatores!G6,Funções!$H$86:$H$188)</f>
        <v>6</v>
      </c>
      <c r="K6" s="88">
        <f>IF(H6="",COUNTIF(Funções!C$86:C$188,G6)*I6,H6*J6)</f>
        <v>2.4000000000000004</v>
      </c>
    </row>
    <row r="7" spans="1:12" x14ac:dyDescent="0.25">
      <c r="A7" s="3"/>
      <c r="B7" s="168" t="s">
        <v>1301</v>
      </c>
      <c r="C7" s="168"/>
      <c r="D7" s="168"/>
      <c r="E7" s="168"/>
      <c r="F7" s="2" t="s">
        <v>1298</v>
      </c>
      <c r="G7" s="12" t="s">
        <v>1302</v>
      </c>
      <c r="H7" s="85">
        <v>0.5</v>
      </c>
      <c r="I7" s="86"/>
      <c r="J7" s="87">
        <f>SUMIF(Funções!$C$86:$C$188,Deflatores!G7,Funções!$H$86:$H$188)</f>
        <v>0</v>
      </c>
      <c r="K7" s="88">
        <f>IF(H7="",COUNTIF(Funções!C$86:C$188,G7)*I7,H7*J7)</f>
        <v>0</v>
      </c>
    </row>
    <row r="8" spans="1:12" x14ac:dyDescent="0.25">
      <c r="A8" s="3"/>
      <c r="B8" s="168" t="s">
        <v>1303</v>
      </c>
      <c r="C8" s="168"/>
      <c r="D8" s="168"/>
      <c r="E8" s="168"/>
      <c r="F8" s="2" t="s">
        <v>1298</v>
      </c>
      <c r="G8" s="12" t="s">
        <v>1304</v>
      </c>
      <c r="H8" s="85">
        <v>0.75</v>
      </c>
      <c r="I8" s="86"/>
      <c r="J8" s="87">
        <f>SUMIF(Funções!$C$86:$C$188,Deflatores!G8,Funções!$H$86:$H$188)</f>
        <v>0</v>
      </c>
      <c r="K8" s="88">
        <f>IF(H8="",COUNTIF(Funções!C$86:C$188,G8)*I8,H8*J8)</f>
        <v>0</v>
      </c>
    </row>
    <row r="9" spans="1:12" x14ac:dyDescent="0.25">
      <c r="A9" s="3"/>
      <c r="B9" s="168" t="s">
        <v>1305</v>
      </c>
      <c r="C9" s="168"/>
      <c r="D9" s="168"/>
      <c r="E9" s="168"/>
      <c r="F9" s="2" t="s">
        <v>1298</v>
      </c>
      <c r="G9" s="12" t="s">
        <v>1306</v>
      </c>
      <c r="H9" s="85">
        <v>0.9</v>
      </c>
      <c r="I9" s="86"/>
      <c r="J9" s="87">
        <f>SUMIF(Funções!$C$86:$C$188,Deflatores!G9,Funções!$H$86:$H$188)</f>
        <v>0</v>
      </c>
      <c r="K9" s="88">
        <f>IF(H9="",COUNTIF(Funções!C$86:C$188,G9)*I9,H9*J9)</f>
        <v>0</v>
      </c>
    </row>
    <row r="10" spans="1:12" x14ac:dyDescent="0.25">
      <c r="A10" s="3"/>
      <c r="B10" s="168" t="s">
        <v>1307</v>
      </c>
      <c r="C10" s="168"/>
      <c r="D10" s="168"/>
      <c r="E10" s="168"/>
      <c r="F10" s="2" t="s">
        <v>1308</v>
      </c>
      <c r="G10" s="12" t="s">
        <v>1309</v>
      </c>
      <c r="H10" s="85">
        <v>1</v>
      </c>
      <c r="I10" s="86"/>
      <c r="J10" s="87">
        <f>SUMIF(Funções!$C$86:$C$188,Deflatores!G10,Funções!$H$86:$H$188)</f>
        <v>0</v>
      </c>
      <c r="K10" s="88">
        <f>IF(H10="",COUNTIF(Funções!C$86:C$188,G10)*I10,H10*J10)</f>
        <v>0</v>
      </c>
    </row>
    <row r="11" spans="1:12" x14ac:dyDescent="0.25">
      <c r="A11" s="3"/>
      <c r="B11" s="168" t="s">
        <v>1310</v>
      </c>
      <c r="C11" s="168"/>
      <c r="D11" s="168"/>
      <c r="E11" s="168"/>
      <c r="F11" s="2" t="s">
        <v>1311</v>
      </c>
      <c r="G11" s="12" t="s">
        <v>1312</v>
      </c>
      <c r="H11" s="85">
        <v>0.5</v>
      </c>
      <c r="I11" s="86"/>
      <c r="J11" s="87">
        <f>SUMIF(Funções!$C$86:$C$188,Deflatores!G11,Funções!$H$86:$H$188)</f>
        <v>0</v>
      </c>
      <c r="K11" s="88">
        <f>IF(H11="",COUNTIF(Funções!C$86:C$188,G11)*I11,H11*J11)</f>
        <v>0</v>
      </c>
    </row>
    <row r="12" spans="1:12" ht="13.5" customHeight="1" x14ac:dyDescent="0.25">
      <c r="A12" s="3"/>
      <c r="B12" s="168" t="s">
        <v>1313</v>
      </c>
      <c r="C12" s="168"/>
      <c r="D12" s="168"/>
      <c r="E12" s="168"/>
      <c r="F12" s="2" t="s">
        <v>1311</v>
      </c>
      <c r="G12" s="12" t="s">
        <v>1314</v>
      </c>
      <c r="H12" s="85">
        <v>0.5</v>
      </c>
      <c r="I12" s="86"/>
      <c r="J12" s="87">
        <f>SUMIF(Funções!$C$86:$C$188,Deflatores!G12,Funções!$H$86:$H$188)</f>
        <v>0</v>
      </c>
      <c r="K12" s="88">
        <f>IF(H12="",COUNTIF(Funções!C$86:C$188,G12)*I12,H12*J12)</f>
        <v>0</v>
      </c>
    </row>
    <row r="13" spans="1:12" ht="13.5" customHeight="1" x14ac:dyDescent="0.25">
      <c r="A13" s="3"/>
      <c r="B13" s="168" t="s">
        <v>1315</v>
      </c>
      <c r="C13" s="168"/>
      <c r="D13" s="168"/>
      <c r="E13" s="168"/>
      <c r="F13" s="2" t="s">
        <v>1311</v>
      </c>
      <c r="G13" s="12" t="s">
        <v>1316</v>
      </c>
      <c r="H13" s="85">
        <v>0.75</v>
      </c>
      <c r="I13" s="86"/>
      <c r="J13" s="87">
        <f>SUMIF(Funções!$C$86:$C$188,Deflatores!G13,Funções!$H$86:$H$188)</f>
        <v>0</v>
      </c>
      <c r="K13" s="88">
        <f>IF(H13="",COUNTIF(Funções!C$86:C$188,G13)*I13,H13*J13)</f>
        <v>0</v>
      </c>
    </row>
    <row r="14" spans="1:12" ht="13.5" customHeight="1" x14ac:dyDescent="0.25">
      <c r="A14" s="3"/>
      <c r="B14" s="168" t="s">
        <v>1317</v>
      </c>
      <c r="C14" s="168"/>
      <c r="D14" s="168"/>
      <c r="E14" s="168"/>
      <c r="F14" s="2" t="s">
        <v>1311</v>
      </c>
      <c r="G14" s="12" t="s">
        <v>1318</v>
      </c>
      <c r="H14" s="85">
        <v>0.9</v>
      </c>
      <c r="I14" s="86"/>
      <c r="J14" s="87">
        <f>SUMIF(Funções!$C$86:$C$188,Deflatores!G14,Funções!$H$86:$H$188)</f>
        <v>0</v>
      </c>
      <c r="K14" s="88">
        <f>IF(H14="",COUNTIF(Funções!C$86:C$188,G14)*I14,H14*J14)</f>
        <v>0</v>
      </c>
    </row>
    <row r="15" spans="1:12" ht="13.5" customHeight="1" x14ac:dyDescent="0.25">
      <c r="A15" s="3"/>
      <c r="B15" s="168" t="s">
        <v>1319</v>
      </c>
      <c r="C15" s="168"/>
      <c r="D15" s="168"/>
      <c r="E15" s="168"/>
      <c r="F15" s="2" t="s">
        <v>1311</v>
      </c>
      <c r="G15" s="12" t="s">
        <v>1320</v>
      </c>
      <c r="H15" s="85">
        <v>0</v>
      </c>
      <c r="I15" s="86"/>
      <c r="J15" s="87">
        <f>SUMIF(Funções!$C$86:$C$188,Deflatores!G15,Funções!$H$86:$H$188)</f>
        <v>0</v>
      </c>
      <c r="K15" s="88">
        <f>IF(H15="",COUNTIF(Funções!C$86:C$188,G15)*I15,H15*J15)</f>
        <v>0</v>
      </c>
    </row>
    <row r="16" spans="1:12" ht="13.5" customHeight="1" x14ac:dyDescent="0.25">
      <c r="A16" s="3"/>
      <c r="B16" s="168" t="s">
        <v>1321</v>
      </c>
      <c r="C16" s="168"/>
      <c r="D16" s="168"/>
      <c r="E16" s="168"/>
      <c r="F16" s="2" t="s">
        <v>1322</v>
      </c>
      <c r="G16" s="12" t="s">
        <v>1323</v>
      </c>
      <c r="H16" s="85">
        <v>1</v>
      </c>
      <c r="I16" s="86"/>
      <c r="J16" s="87">
        <f>SUMIF(Funções!$C$86:$C$188,Deflatores!G16,Funções!$H$86:$H$188)</f>
        <v>0</v>
      </c>
      <c r="K16" s="88">
        <f>IF(H16="",COUNTIF(Funções!C$86:C$188,G16)*I16,H16*J16)</f>
        <v>0</v>
      </c>
    </row>
    <row r="17" spans="1:11" x14ac:dyDescent="0.25">
      <c r="A17" s="3"/>
      <c r="B17" s="168" t="s">
        <v>1324</v>
      </c>
      <c r="C17" s="168"/>
      <c r="D17" s="168"/>
      <c r="E17" s="168"/>
      <c r="F17" s="2" t="s">
        <v>1325</v>
      </c>
      <c r="G17" s="12" t="s">
        <v>1326</v>
      </c>
      <c r="H17" s="85">
        <v>1</v>
      </c>
      <c r="I17" s="86"/>
      <c r="J17" s="87">
        <f>SUMIF(Funções!$C$86:$C$188,Deflatores!G17,Funções!$H$86:$H$188)</f>
        <v>0</v>
      </c>
      <c r="K17" s="88">
        <f>IF(H17="",COUNTIF(Funções!C$86:C$188,G17)*I17,H17*J17)</f>
        <v>0</v>
      </c>
    </row>
    <row r="18" spans="1:11" ht="13.5" customHeight="1" x14ac:dyDescent="0.25">
      <c r="A18" s="3"/>
      <c r="B18" s="168" t="s">
        <v>1327</v>
      </c>
      <c r="C18" s="168"/>
      <c r="D18" s="168"/>
      <c r="E18" s="168"/>
      <c r="F18" s="2" t="s">
        <v>1325</v>
      </c>
      <c r="G18" s="12" t="s">
        <v>1328</v>
      </c>
      <c r="H18" s="85">
        <v>0.3</v>
      </c>
      <c r="I18" s="86"/>
      <c r="J18" s="87">
        <f>SUMIF(Funções!$C$86:$C$188,Deflatores!G18,Funções!$H$86:$H$188)</f>
        <v>0</v>
      </c>
      <c r="K18" s="88">
        <f>IF(H18="",COUNTIF(Funções!C$86:C$188,G18)*I18,H18*J18)</f>
        <v>0</v>
      </c>
    </row>
    <row r="19" spans="1:11" ht="13.5" customHeight="1" x14ac:dyDescent="0.25">
      <c r="A19" s="3"/>
      <c r="B19" s="168" t="s">
        <v>1329</v>
      </c>
      <c r="C19" s="168"/>
      <c r="D19" s="168"/>
      <c r="E19" s="168"/>
      <c r="F19" s="2" t="s">
        <v>1330</v>
      </c>
      <c r="G19" s="12" t="s">
        <v>1331</v>
      </c>
      <c r="H19" s="85">
        <v>0.3</v>
      </c>
      <c r="I19" s="86"/>
      <c r="J19" s="87">
        <f>SUMIF(Funções!$C$86:$C$188,Deflatores!G19,Funções!$H$86:$H$188)</f>
        <v>0</v>
      </c>
      <c r="K19" s="88">
        <f>IF(H19="",COUNTIF(Funções!C$86:C$188,G19)*I19,H19*J19)</f>
        <v>0</v>
      </c>
    </row>
    <row r="20" spans="1:11" ht="13.5" customHeight="1" x14ac:dyDescent="0.25">
      <c r="A20" s="3"/>
      <c r="B20" s="168" t="s">
        <v>1332</v>
      </c>
      <c r="C20" s="168"/>
      <c r="D20" s="168"/>
      <c r="E20" s="168"/>
      <c r="F20" s="2" t="s">
        <v>1333</v>
      </c>
      <c r="G20" s="12" t="s">
        <v>1334</v>
      </c>
      <c r="H20" s="85">
        <v>0.3</v>
      </c>
      <c r="I20" s="86"/>
      <c r="J20" s="87">
        <f>SUMIF(Funções!$C$86:$C$188,Deflatores!G20,Funções!$H$86:$H$188)</f>
        <v>0</v>
      </c>
      <c r="K20" s="88">
        <f>IF(H20="",COUNTIF(Funções!C$86:C$188,G20)*I20,H20*J20)</f>
        <v>0</v>
      </c>
    </row>
    <row r="21" spans="1:11" ht="13.5" customHeight="1" x14ac:dyDescent="0.25">
      <c r="A21" s="3"/>
      <c r="B21" s="168" t="s">
        <v>1335</v>
      </c>
      <c r="C21" s="168"/>
      <c r="D21" s="168"/>
      <c r="E21" s="168"/>
      <c r="F21" s="2" t="s">
        <v>1336</v>
      </c>
      <c r="G21" s="12" t="s">
        <v>1337</v>
      </c>
      <c r="H21" s="85">
        <v>0.3</v>
      </c>
      <c r="I21" s="86"/>
      <c r="J21" s="87">
        <f>SUMIF(Funções!$C$86:$C$188,Deflatores!G21,Funções!$H$86:$H$188)</f>
        <v>0</v>
      </c>
      <c r="K21" s="88">
        <f>IF(H21="",COUNTIF(Funções!C$86:C$188,G21)*I21,H21*J21)</f>
        <v>0</v>
      </c>
    </row>
    <row r="22" spans="1:11" x14ac:dyDescent="0.25">
      <c r="A22" s="3"/>
      <c r="B22" s="168" t="s">
        <v>1338</v>
      </c>
      <c r="C22" s="168"/>
      <c r="D22" s="168"/>
      <c r="E22" s="168"/>
      <c r="F22" s="2" t="s">
        <v>1339</v>
      </c>
      <c r="G22" s="12" t="s">
        <v>1283</v>
      </c>
      <c r="H22" s="85"/>
      <c r="I22" s="86">
        <v>0.6</v>
      </c>
      <c r="J22" s="87">
        <f>SUMIF(Funções!$C$86:$C$188,Deflatores!G22,Funções!$H$86:$H$188)</f>
        <v>0</v>
      </c>
      <c r="K22" s="88">
        <f>IF(H22="",COUNTIF(Funções!C$86:C$188,G22)*I22,H22*J22)</f>
        <v>0</v>
      </c>
    </row>
    <row r="23" spans="1:11" ht="27" customHeight="1" x14ac:dyDescent="0.25">
      <c r="A23" s="3"/>
      <c r="B23" s="200" t="s">
        <v>1340</v>
      </c>
      <c r="C23" s="201"/>
      <c r="D23" s="201"/>
      <c r="E23" s="202"/>
      <c r="F23" s="84" t="s">
        <v>1341</v>
      </c>
      <c r="G23" s="12" t="s">
        <v>1342</v>
      </c>
      <c r="H23" s="85">
        <v>0.5</v>
      </c>
      <c r="I23" s="86"/>
      <c r="J23" s="87">
        <f>SUMIF(Funções!$C$86:$C$188,Deflatores!G23,Funções!$H$86:$H$188)</f>
        <v>0</v>
      </c>
      <c r="K23" s="88">
        <f>IF(H23="",COUNTIF(Funções!C$86:C$188,G23)*I23,H23*J23)</f>
        <v>0</v>
      </c>
    </row>
    <row r="24" spans="1:11" ht="27" customHeight="1" x14ac:dyDescent="0.25">
      <c r="A24" s="3"/>
      <c r="B24" s="200" t="s">
        <v>1343</v>
      </c>
      <c r="C24" s="201"/>
      <c r="D24" s="201"/>
      <c r="E24" s="202"/>
      <c r="F24" s="84" t="s">
        <v>1341</v>
      </c>
      <c r="G24" s="12" t="s">
        <v>1344</v>
      </c>
      <c r="H24" s="85">
        <v>0.5</v>
      </c>
      <c r="I24" s="86"/>
      <c r="J24" s="87">
        <f>SUMIF(Funções!$C$86:$C$188,Deflatores!G24,Funções!$H$86:$H$188)</f>
        <v>0</v>
      </c>
      <c r="K24" s="88">
        <f>IF(H24="",COUNTIF(Funções!C$86:C$188,G24)*I24,H24*J24)</f>
        <v>0</v>
      </c>
    </row>
    <row r="25" spans="1:11" ht="27" customHeight="1" x14ac:dyDescent="0.25">
      <c r="A25" s="3"/>
      <c r="B25" s="203" t="s">
        <v>1345</v>
      </c>
      <c r="C25" s="168"/>
      <c r="D25" s="168"/>
      <c r="E25" s="168"/>
      <c r="F25" s="84" t="s">
        <v>1341</v>
      </c>
      <c r="G25" s="12" t="s">
        <v>1346</v>
      </c>
      <c r="H25" s="85">
        <v>0.75</v>
      </c>
      <c r="I25" s="86"/>
      <c r="J25" s="87">
        <f>SUMIF(Funções!$C$86:$C$188,Deflatores!G25,Funções!$H$86:$H$188)</f>
        <v>0</v>
      </c>
      <c r="K25" s="88">
        <f>IF(H25="",COUNTIF(Funções!C$86:C$188,G25)*I25,H25*J25)</f>
        <v>0</v>
      </c>
    </row>
    <row r="26" spans="1:11" ht="13.5" customHeight="1" x14ac:dyDescent="0.25">
      <c r="A26" s="3"/>
      <c r="B26" s="168" t="s">
        <v>1347</v>
      </c>
      <c r="C26" s="168"/>
      <c r="D26" s="168"/>
      <c r="E26" s="168"/>
      <c r="F26" s="2" t="s">
        <v>1348</v>
      </c>
      <c r="G26" s="12" t="s">
        <v>1349</v>
      </c>
      <c r="H26" s="85">
        <v>1</v>
      </c>
      <c r="I26" s="86"/>
      <c r="J26" s="87">
        <f>SUMIF(Funções!$C$86:$C$188,Deflatores!G26,Funções!$H$86:$H$188)</f>
        <v>0</v>
      </c>
      <c r="K26" s="88">
        <f>IF(H26="",COUNTIF(Funções!C$86:C$188,G26)*I26,H26*J26)</f>
        <v>0</v>
      </c>
    </row>
    <row r="27" spans="1:11" ht="13.5" customHeight="1" x14ac:dyDescent="0.25">
      <c r="A27" s="3"/>
      <c r="B27" s="168" t="s">
        <v>1350</v>
      </c>
      <c r="C27" s="168"/>
      <c r="D27" s="168"/>
      <c r="E27" s="168"/>
      <c r="F27" s="2" t="s">
        <v>1348</v>
      </c>
      <c r="G27" s="12" t="s">
        <v>1351</v>
      </c>
      <c r="H27" s="85">
        <v>1</v>
      </c>
      <c r="I27" s="86"/>
      <c r="J27" s="87">
        <f>SUMIF(Funções!$C$86:$C$188,Deflatores!G27,Funções!$H$86:$H$188)</f>
        <v>0</v>
      </c>
      <c r="K27" s="88">
        <f>IF(H27="",COUNTIF(Funções!C$86:C$188,G27)*I27,H27*J27)</f>
        <v>0</v>
      </c>
    </row>
    <row r="28" spans="1:11" ht="13.5" customHeight="1" x14ac:dyDescent="0.25">
      <c r="A28" s="3"/>
      <c r="B28" s="168" t="s">
        <v>1352</v>
      </c>
      <c r="C28" s="168"/>
      <c r="D28" s="168"/>
      <c r="E28" s="168"/>
      <c r="F28" s="2" t="s">
        <v>1348</v>
      </c>
      <c r="G28" s="12" t="s">
        <v>1353</v>
      </c>
      <c r="H28" s="85">
        <v>0.6</v>
      </c>
      <c r="I28" s="86"/>
      <c r="J28" s="87">
        <f>SUMIF(Funções!$C$86:$C$188,Deflatores!G28,Funções!$H$86:$H$188)</f>
        <v>0</v>
      </c>
      <c r="K28" s="88">
        <f>IF(H28="",COUNTIF(Funções!C$86:C$188,G28)*I28,H28*J28)</f>
        <v>0</v>
      </c>
    </row>
    <row r="29" spans="1:11" ht="13.5" customHeight="1" x14ac:dyDescent="0.25">
      <c r="A29" s="3"/>
      <c r="B29" s="168" t="s">
        <v>1354</v>
      </c>
      <c r="C29" s="168"/>
      <c r="D29" s="168"/>
      <c r="E29" s="168"/>
      <c r="F29" s="2" t="s">
        <v>1355</v>
      </c>
      <c r="G29" s="12" t="s">
        <v>1356</v>
      </c>
      <c r="H29" s="85">
        <v>1</v>
      </c>
      <c r="I29" s="86"/>
      <c r="J29" s="87">
        <f>SUMIF(Funções!$C$86:$C$188,Deflatores!G29,Funções!$H$86:$H$188)</f>
        <v>0</v>
      </c>
      <c r="K29" s="88">
        <f>IF(H29="",COUNTIF(Funções!C$86:C$188,G29)*I29,H29*J29)</f>
        <v>0</v>
      </c>
    </row>
    <row r="30" spans="1:11" ht="13.5" customHeight="1" x14ac:dyDescent="0.25">
      <c r="A30" s="3"/>
      <c r="B30" s="168" t="s">
        <v>1357</v>
      </c>
      <c r="C30" s="168"/>
      <c r="D30" s="168"/>
      <c r="E30" s="168"/>
      <c r="F30" s="2" t="s">
        <v>1358</v>
      </c>
      <c r="G30" s="12" t="s">
        <v>1359</v>
      </c>
      <c r="H30" s="85">
        <v>0.1</v>
      </c>
      <c r="I30" s="86"/>
      <c r="J30" s="87">
        <f>SUMIF(Funções!$C$86:$C$188,Deflatores!G30,Funções!$H$86:$H$188)</f>
        <v>0</v>
      </c>
      <c r="K30" s="88">
        <f>IF(H30="",COUNTIF(Funções!C$86:C$188,G30)*I30,H30*J30)</f>
        <v>0</v>
      </c>
    </row>
    <row r="31" spans="1:11" ht="13.5" customHeight="1" x14ac:dyDescent="0.25">
      <c r="A31" s="3"/>
      <c r="B31" s="168" t="s">
        <v>1360</v>
      </c>
      <c r="C31" s="168"/>
      <c r="D31" s="168"/>
      <c r="E31" s="168"/>
      <c r="F31" s="2" t="s">
        <v>1361</v>
      </c>
      <c r="G31" s="12" t="s">
        <v>1362</v>
      </c>
      <c r="H31" s="85">
        <v>0.1</v>
      </c>
      <c r="I31" s="86"/>
      <c r="J31" s="87">
        <f>SUMIF(Funções!$C$86:$C$188,Deflatores!G31,Funções!$H$86:$H$188)</f>
        <v>0</v>
      </c>
      <c r="K31" s="88">
        <f>IF(H31="",COUNTIF(Funções!C$86:C$188,G31)*I31,H31*J31)</f>
        <v>0</v>
      </c>
    </row>
    <row r="32" spans="1:11" ht="13.5" customHeight="1" x14ac:dyDescent="0.25">
      <c r="A32" s="3"/>
      <c r="B32" s="98" t="s">
        <v>1363</v>
      </c>
      <c r="C32" s="99"/>
      <c r="D32" s="99"/>
      <c r="E32" s="100"/>
      <c r="F32" s="2" t="s">
        <v>1364</v>
      </c>
      <c r="G32" s="12" t="s">
        <v>1365</v>
      </c>
      <c r="H32" s="85">
        <v>0.25</v>
      </c>
      <c r="I32" s="86"/>
      <c r="J32" s="87">
        <f>SUMIF(Funções!$C$86:$C$188,Deflatores!G32,Funções!$H$86:$H$188)</f>
        <v>0</v>
      </c>
      <c r="K32" s="88">
        <f>IF(H32="",COUNTIF(Funções!C$86:C$188,G32)*I32,H32*J32)</f>
        <v>0</v>
      </c>
    </row>
    <row r="33" spans="1:12" ht="13.5" customHeight="1" x14ac:dyDescent="0.25">
      <c r="A33" s="3"/>
      <c r="B33" s="98" t="s">
        <v>1366</v>
      </c>
      <c r="C33" s="99"/>
      <c r="D33" s="99"/>
      <c r="E33" s="100"/>
      <c r="F33" s="2" t="s">
        <v>1367</v>
      </c>
      <c r="G33" s="12" t="s">
        <v>1368</v>
      </c>
      <c r="H33" s="85">
        <v>0.2</v>
      </c>
      <c r="I33" s="86"/>
      <c r="J33" s="87">
        <f>SUMIF(Funções!$C$86:$C$188,Deflatores!G33,Funções!$H$86:$H$188)</f>
        <v>0</v>
      </c>
      <c r="K33" s="88">
        <f>IF(H33="",COUNTIF(Funções!C$86:C$188,G33)*I33,H33*J33)</f>
        <v>0</v>
      </c>
    </row>
    <row r="34" spans="1:12" ht="13.5" customHeight="1" x14ac:dyDescent="0.25">
      <c r="A34" s="3"/>
      <c r="B34" s="98" t="s">
        <v>1369</v>
      </c>
      <c r="C34" s="99"/>
      <c r="D34" s="99"/>
      <c r="E34" s="100"/>
      <c r="F34" s="2" t="s">
        <v>1367</v>
      </c>
      <c r="G34" s="12" t="s">
        <v>1370</v>
      </c>
      <c r="H34" s="85">
        <v>0.15</v>
      </c>
      <c r="I34" s="86"/>
      <c r="J34" s="87">
        <f>SUMIF(Funções!$C$86:$C$188,Deflatores!G34,Funções!$H$86:$H$188)</f>
        <v>0</v>
      </c>
      <c r="K34" s="88">
        <f>IF(H34="",COUNTIF(Funções!C$86:C$188,G34)*I34,H34*J34)</f>
        <v>0</v>
      </c>
    </row>
    <row r="35" spans="1:12" ht="13.5" customHeight="1" x14ac:dyDescent="0.25">
      <c r="A35" s="3"/>
      <c r="B35" s="98" t="s">
        <v>1371</v>
      </c>
      <c r="C35" s="99"/>
      <c r="D35" s="99"/>
      <c r="E35" s="100"/>
      <c r="F35" s="2" t="s">
        <v>1372</v>
      </c>
      <c r="G35" s="12" t="s">
        <v>1373</v>
      </c>
      <c r="H35" s="85">
        <v>0.15</v>
      </c>
      <c r="I35" s="86"/>
      <c r="J35" s="87">
        <f>SUMIF(Funções!$C$86:$C$188,Deflatores!G35,Funções!$H$86:$H$188)</f>
        <v>0</v>
      </c>
      <c r="K35" s="88">
        <f>IF(H35="",COUNTIF(Funções!C$86:C$188,G35)*I35,H35*J35)</f>
        <v>0</v>
      </c>
    </row>
    <row r="36" spans="1:12" ht="13.5" customHeight="1" x14ac:dyDescent="0.25">
      <c r="A36" s="3"/>
      <c r="B36" s="168" t="s">
        <v>1374</v>
      </c>
      <c r="C36" s="168"/>
      <c r="D36" s="168"/>
      <c r="E36" s="168"/>
      <c r="F36" s="2" t="s">
        <v>1375</v>
      </c>
      <c r="G36" s="12" t="s">
        <v>1376</v>
      </c>
      <c r="H36" s="85">
        <v>1</v>
      </c>
      <c r="I36" s="86"/>
      <c r="J36" s="87">
        <f>SUMIF(Funções!$C$86:$C$188,Deflatores!G36,Funções!$H$86:$H$188)</f>
        <v>0</v>
      </c>
      <c r="K36" s="88">
        <f>IF(H36="",COUNTIF(Funções!C$86:C$188,G36)*I36,H36*J36)</f>
        <v>0</v>
      </c>
    </row>
    <row r="37" spans="1:12" ht="13.5" customHeight="1" x14ac:dyDescent="0.25">
      <c r="A37" s="3"/>
      <c r="B37" s="168"/>
      <c r="C37" s="168"/>
      <c r="D37" s="168"/>
      <c r="E37" s="168"/>
      <c r="F37" s="2"/>
      <c r="G37" s="12" t="s">
        <v>1377</v>
      </c>
      <c r="H37" s="85"/>
      <c r="I37" s="86"/>
      <c r="J37" s="87">
        <f>SUMIF(Funções!$C$86:$C$188,Deflatores!G37,Funções!$H$86:$H$188)</f>
        <v>0</v>
      </c>
      <c r="K37" s="88">
        <f>IF(H37="",COUNTIF(Funções!C$86:C$188,G37)*I37,H37*J37)</f>
        <v>0</v>
      </c>
      <c r="L37" s="7" t="s">
        <v>44</v>
      </c>
    </row>
    <row r="38" spans="1:12" ht="13.5" customHeight="1" x14ac:dyDescent="0.25">
      <c r="A38" s="3"/>
      <c r="B38" s="168"/>
      <c r="C38" s="168"/>
      <c r="D38" s="168"/>
      <c r="E38" s="168"/>
      <c r="F38" s="2"/>
      <c r="G38" s="12" t="s">
        <v>1377</v>
      </c>
      <c r="H38" s="85"/>
      <c r="I38" s="86"/>
      <c r="J38" s="87">
        <f>SUMIF(Funções!$C$86:$C$188,Deflatores!G38,Funções!$H$86:$H$188)</f>
        <v>0</v>
      </c>
      <c r="K38" s="88">
        <f>IF(H38="",COUNTIF(Funções!C$86:C$188,G38)*I38,H38*J38)</f>
        <v>0</v>
      </c>
      <c r="L38" s="7" t="s">
        <v>67</v>
      </c>
    </row>
    <row r="39" spans="1:12" ht="13.5" x14ac:dyDescent="0.35">
      <c r="A39" s="61"/>
      <c r="B39" s="62"/>
      <c r="C39" s="62"/>
      <c r="D39" s="62"/>
      <c r="E39" s="62"/>
      <c r="F39" s="62"/>
      <c r="G39" s="63"/>
      <c r="H39" s="64"/>
      <c r="I39" s="64"/>
      <c r="J39" s="65"/>
      <c r="K39" s="66"/>
      <c r="L39" s="7" t="s">
        <v>48</v>
      </c>
    </row>
    <row r="40" spans="1:12" ht="14.9" customHeight="1" x14ac:dyDescent="0.25">
      <c r="A40" s="197" t="s">
        <v>1284</v>
      </c>
      <c r="B40" s="197"/>
      <c r="C40" s="197"/>
      <c r="D40" s="197"/>
      <c r="E40" s="197"/>
      <c r="F40" s="197"/>
      <c r="G40" s="198" t="s">
        <v>1286</v>
      </c>
      <c r="H40" s="198" t="s">
        <v>1287</v>
      </c>
      <c r="I40" s="198"/>
      <c r="J40" s="198" t="s">
        <v>1378</v>
      </c>
      <c r="K40" s="199" t="s">
        <v>1288</v>
      </c>
      <c r="L40" s="7" t="s">
        <v>50</v>
      </c>
    </row>
    <row r="41" spans="1:12" ht="14.9" customHeight="1" x14ac:dyDescent="0.25">
      <c r="A41" s="10" t="s">
        <v>1289</v>
      </c>
      <c r="B41" s="198" t="s">
        <v>1290</v>
      </c>
      <c r="C41" s="198"/>
      <c r="D41" s="198"/>
      <c r="E41" s="198"/>
      <c r="F41" s="11" t="s">
        <v>1291</v>
      </c>
      <c r="G41" s="198"/>
      <c r="H41" s="198"/>
      <c r="I41" s="198"/>
      <c r="J41" s="198"/>
      <c r="K41" s="199"/>
      <c r="L41" s="7" t="s">
        <v>113</v>
      </c>
    </row>
    <row r="42" spans="1:12" ht="13.5" customHeight="1" x14ac:dyDescent="0.35">
      <c r="A42" s="14"/>
      <c r="B42" s="168" t="s">
        <v>1379</v>
      </c>
      <c r="C42" s="168"/>
      <c r="D42" s="168"/>
      <c r="E42" s="168"/>
      <c r="F42" s="2" t="s">
        <v>1380</v>
      </c>
      <c r="G42" s="12" t="s">
        <v>1381</v>
      </c>
      <c r="H42" s="204">
        <v>0.6</v>
      </c>
      <c r="I42" s="204"/>
      <c r="J42" s="15">
        <f>COUNTIF(Funções!B$86:B$188,G42)</f>
        <v>0</v>
      </c>
      <c r="K42" s="13">
        <f>SUMIF(Funções!B$86:B$188,$G42,Funções!K$86:K$188)</f>
        <v>0</v>
      </c>
      <c r="L42" s="7" t="str">
        <f t="shared" ref="L42:L64" si="0">""&amp;G42</f>
        <v>PAG</v>
      </c>
    </row>
    <row r="43" spans="1:12" ht="13.5" customHeight="1" x14ac:dyDescent="0.35">
      <c r="A43" s="14"/>
      <c r="B43" s="168" t="s">
        <v>1382</v>
      </c>
      <c r="C43" s="168"/>
      <c r="D43" s="168"/>
      <c r="E43" s="168"/>
      <c r="F43" s="2" t="s">
        <v>1339</v>
      </c>
      <c r="G43" s="12" t="s">
        <v>1383</v>
      </c>
      <c r="H43" s="204">
        <v>0.6</v>
      </c>
      <c r="I43" s="204"/>
      <c r="J43" s="15">
        <f>COUNTIF(Funções!B$86:B$188,G43)</f>
        <v>0</v>
      </c>
      <c r="K43" s="13">
        <f>SUMIF(Funções!B$86:B$188,$G43,Funções!K$86:K$188)</f>
        <v>0</v>
      </c>
      <c r="L43" s="7" t="str">
        <f t="shared" si="0"/>
        <v>COSNF</v>
      </c>
    </row>
    <row r="44" spans="1:12" ht="13.5" customHeight="1" x14ac:dyDescent="0.35">
      <c r="A44" s="14"/>
      <c r="B44" s="168" t="s">
        <v>1384</v>
      </c>
      <c r="C44" s="168"/>
      <c r="D44" s="168"/>
      <c r="E44" s="168"/>
      <c r="F44" s="2"/>
      <c r="G44" s="12" t="s">
        <v>1385</v>
      </c>
      <c r="H44" s="204">
        <v>0</v>
      </c>
      <c r="I44" s="204"/>
      <c r="J44" s="15">
        <f>COUNTIF(Funções!B$86:B$188,G44)</f>
        <v>0</v>
      </c>
      <c r="K44" s="13">
        <f>SUMIF(Funções!B$86:B$188,$G44,Funções!K$86:K$188)</f>
        <v>0</v>
      </c>
      <c r="L44" s="7" t="str">
        <f t="shared" si="0"/>
        <v>DC</v>
      </c>
    </row>
    <row r="45" spans="1:12" ht="13.5" customHeight="1" x14ac:dyDescent="0.35">
      <c r="A45" s="14"/>
      <c r="B45" s="168"/>
      <c r="C45" s="168"/>
      <c r="D45" s="168"/>
      <c r="E45" s="168"/>
      <c r="F45" s="2"/>
      <c r="G45" s="12" t="s">
        <v>1377</v>
      </c>
      <c r="H45" s="204"/>
      <c r="I45" s="204"/>
      <c r="J45" s="15">
        <f>COUNTIF(Funções!B$86:B$188,G45)</f>
        <v>0</v>
      </c>
      <c r="K45" s="13">
        <f>SUMIF(Funções!B$86:B$188,$G45,Funções!K$86:K$188)</f>
        <v>0</v>
      </c>
      <c r="L45" s="7" t="str">
        <f t="shared" si="0"/>
        <v xml:space="preserve">           .</v>
      </c>
    </row>
    <row r="46" spans="1:12" ht="13.5" customHeight="1" x14ac:dyDescent="0.35">
      <c r="A46" s="14"/>
      <c r="B46" s="168"/>
      <c r="C46" s="168"/>
      <c r="D46" s="168"/>
      <c r="E46" s="168"/>
      <c r="F46" s="2"/>
      <c r="G46" s="12" t="s">
        <v>1377</v>
      </c>
      <c r="H46" s="204"/>
      <c r="I46" s="204"/>
      <c r="J46" s="15">
        <f>COUNTIF(Funções!B$86:B$188,G46)</f>
        <v>0</v>
      </c>
      <c r="K46" s="13">
        <f>SUMIF(Funções!B$86:B$188,$G46,Funções!K$86:K$188)</f>
        <v>0</v>
      </c>
      <c r="L46" s="7" t="str">
        <f t="shared" si="0"/>
        <v xml:space="preserve">           .</v>
      </c>
    </row>
    <row r="47" spans="1:12" ht="13.5" x14ac:dyDescent="0.35">
      <c r="A47" s="14"/>
      <c r="B47" s="168"/>
      <c r="C47" s="168"/>
      <c r="D47" s="168"/>
      <c r="E47" s="168"/>
      <c r="F47" s="2"/>
      <c r="G47" s="12" t="s">
        <v>1377</v>
      </c>
      <c r="H47" s="204"/>
      <c r="I47" s="204"/>
      <c r="J47" s="15">
        <f>COUNTIF(Funções!B$86:B$188,G47)</f>
        <v>0</v>
      </c>
      <c r="K47" s="13">
        <f>SUMIF(Funções!B$86:B$188,$G47,Funções!K$86:K$188)</f>
        <v>0</v>
      </c>
      <c r="L47" s="7" t="str">
        <f t="shared" si="0"/>
        <v xml:space="preserve">           .</v>
      </c>
    </row>
    <row r="48" spans="1:12" ht="13.5" x14ac:dyDescent="0.35">
      <c r="A48" s="14"/>
      <c r="B48" s="168"/>
      <c r="C48" s="168"/>
      <c r="D48" s="168"/>
      <c r="E48" s="168"/>
      <c r="F48" s="2"/>
      <c r="G48" s="12" t="s">
        <v>1377</v>
      </c>
      <c r="H48" s="204"/>
      <c r="I48" s="204"/>
      <c r="J48" s="15">
        <f>COUNTIF(Funções!B$86:B$188,G48)</f>
        <v>0</v>
      </c>
      <c r="K48" s="13">
        <f>SUMIF(Funções!B$86:B$188,$G48,Funções!K$86:K$188)</f>
        <v>0</v>
      </c>
      <c r="L48" s="7" t="str">
        <f t="shared" si="0"/>
        <v xml:space="preserve">           .</v>
      </c>
    </row>
    <row r="49" spans="1:12" ht="13.5" x14ac:dyDescent="0.35">
      <c r="A49" s="14"/>
      <c r="B49" s="168"/>
      <c r="C49" s="168"/>
      <c r="D49" s="168"/>
      <c r="E49" s="168"/>
      <c r="F49" s="2"/>
      <c r="G49" s="12" t="s">
        <v>1377</v>
      </c>
      <c r="H49" s="204"/>
      <c r="I49" s="204"/>
      <c r="J49" s="15">
        <f>COUNTIF(Funções!B$86:B$188,G49)</f>
        <v>0</v>
      </c>
      <c r="K49" s="13">
        <f>SUMIF(Funções!B$86:B$188,$G49,Funções!K$86:K$188)</f>
        <v>0</v>
      </c>
      <c r="L49" s="7" t="str">
        <f t="shared" si="0"/>
        <v xml:space="preserve">           .</v>
      </c>
    </row>
    <row r="50" spans="1:12" ht="13.5" x14ac:dyDescent="0.35">
      <c r="A50" s="14"/>
      <c r="B50" s="168"/>
      <c r="C50" s="168"/>
      <c r="D50" s="168"/>
      <c r="E50" s="168"/>
      <c r="F50" s="2"/>
      <c r="G50" s="12" t="s">
        <v>1377</v>
      </c>
      <c r="H50" s="204"/>
      <c r="I50" s="204"/>
      <c r="J50" s="15">
        <f>COUNTIF(Funções!B$86:B$188,G50)</f>
        <v>0</v>
      </c>
      <c r="K50" s="13">
        <f>SUMIF(Funções!B$86:B$188,$G50,Funções!K$86:K$188)</f>
        <v>0</v>
      </c>
      <c r="L50" s="7" t="str">
        <f t="shared" si="0"/>
        <v xml:space="preserve">           .</v>
      </c>
    </row>
    <row r="51" spans="1:12" ht="13.5" x14ac:dyDescent="0.35">
      <c r="A51" s="14"/>
      <c r="B51" s="168"/>
      <c r="C51" s="168"/>
      <c r="D51" s="168"/>
      <c r="E51" s="168"/>
      <c r="F51" s="2"/>
      <c r="G51" s="12" t="s">
        <v>1377</v>
      </c>
      <c r="H51" s="204"/>
      <c r="I51" s="204"/>
      <c r="J51" s="15">
        <f>COUNTIF(Funções!B$86:B$188,G51)</f>
        <v>0</v>
      </c>
      <c r="K51" s="13">
        <f>SUMIF(Funções!B$86:B$188,$G51,Funções!K$86:K$188)</f>
        <v>0</v>
      </c>
      <c r="L51" s="7" t="str">
        <f t="shared" si="0"/>
        <v xml:space="preserve">           .</v>
      </c>
    </row>
    <row r="52" spans="1:12" ht="13.5" x14ac:dyDescent="0.35">
      <c r="A52" s="14"/>
      <c r="B52" s="168"/>
      <c r="C52" s="168"/>
      <c r="D52" s="168"/>
      <c r="E52" s="168"/>
      <c r="F52" s="2"/>
      <c r="G52" s="12" t="s">
        <v>1377</v>
      </c>
      <c r="H52" s="204"/>
      <c r="I52" s="204"/>
      <c r="J52" s="15">
        <f>COUNTIF(Funções!B$86:B$188,G52)</f>
        <v>0</v>
      </c>
      <c r="K52" s="13">
        <f>SUMIF(Funções!B$86:B$188,$G52,Funções!K$86:K$188)</f>
        <v>0</v>
      </c>
      <c r="L52" s="7" t="str">
        <f t="shared" si="0"/>
        <v xml:space="preserve">           .</v>
      </c>
    </row>
    <row r="53" spans="1:12" ht="13.5" x14ac:dyDescent="0.35">
      <c r="A53" s="14"/>
      <c r="B53" s="168"/>
      <c r="C53" s="168"/>
      <c r="D53" s="168"/>
      <c r="E53" s="168"/>
      <c r="F53" s="2"/>
      <c r="G53" s="12" t="s">
        <v>1377</v>
      </c>
      <c r="H53" s="204"/>
      <c r="I53" s="204"/>
      <c r="J53" s="15">
        <f>COUNTIF(Funções!B$86:B$188,G53)</f>
        <v>0</v>
      </c>
      <c r="K53" s="13">
        <f>SUMIF(Funções!B$86:B$188,$G53,Funções!K$86:K$188)</f>
        <v>0</v>
      </c>
      <c r="L53" s="7" t="str">
        <f t="shared" si="0"/>
        <v xml:space="preserve">           .</v>
      </c>
    </row>
    <row r="54" spans="1:12" ht="13.5" x14ac:dyDescent="0.35">
      <c r="A54" s="14"/>
      <c r="B54" s="168"/>
      <c r="C54" s="168"/>
      <c r="D54" s="168"/>
      <c r="E54" s="168"/>
      <c r="F54" s="2"/>
      <c r="G54" s="12" t="s">
        <v>1377</v>
      </c>
      <c r="H54" s="204"/>
      <c r="I54" s="204"/>
      <c r="J54" s="15">
        <f>COUNTIF(Funções!B$86:B$188,G54)</f>
        <v>0</v>
      </c>
      <c r="K54" s="13">
        <f>SUMIF(Funções!B$86:B$188,$G54,Funções!K$86:K$188)</f>
        <v>0</v>
      </c>
      <c r="L54" s="7" t="str">
        <f t="shared" si="0"/>
        <v xml:space="preserve">           .</v>
      </c>
    </row>
    <row r="55" spans="1:12" ht="13.5" x14ac:dyDescent="0.35">
      <c r="A55" s="14"/>
      <c r="B55" s="168"/>
      <c r="C55" s="168"/>
      <c r="D55" s="168"/>
      <c r="E55" s="168"/>
      <c r="F55" s="2"/>
      <c r="G55" s="12" t="s">
        <v>1377</v>
      </c>
      <c r="H55" s="204"/>
      <c r="I55" s="204"/>
      <c r="J55" s="15">
        <f>COUNTIF(Funções!B$86:B$188,G55)</f>
        <v>0</v>
      </c>
      <c r="K55" s="13">
        <f>SUMIF(Funções!B$86:B$188,$G55,Funções!K$86:K$188)</f>
        <v>0</v>
      </c>
      <c r="L55" s="7" t="str">
        <f t="shared" si="0"/>
        <v xml:space="preserve">           .</v>
      </c>
    </row>
    <row r="56" spans="1:12" ht="13.5" x14ac:dyDescent="0.35">
      <c r="A56" s="14"/>
      <c r="B56" s="168"/>
      <c r="C56" s="168"/>
      <c r="D56" s="168"/>
      <c r="E56" s="168"/>
      <c r="F56" s="2"/>
      <c r="G56" s="12" t="s">
        <v>1377</v>
      </c>
      <c r="H56" s="204"/>
      <c r="I56" s="204"/>
      <c r="J56" s="15">
        <f>COUNTIF(Funções!B$86:B$188,G56)</f>
        <v>0</v>
      </c>
      <c r="K56" s="13">
        <f>SUMIF(Funções!B$86:B$188,$G56,Funções!K$86:K$188)</f>
        <v>0</v>
      </c>
      <c r="L56" s="7" t="str">
        <f t="shared" si="0"/>
        <v xml:space="preserve">           .</v>
      </c>
    </row>
    <row r="57" spans="1:12" ht="13.5" x14ac:dyDescent="0.35">
      <c r="A57" s="14"/>
      <c r="B57" s="168"/>
      <c r="C57" s="168"/>
      <c r="D57" s="168"/>
      <c r="E57" s="168"/>
      <c r="F57" s="2"/>
      <c r="G57" s="12" t="s">
        <v>1377</v>
      </c>
      <c r="H57" s="204"/>
      <c r="I57" s="204"/>
      <c r="J57" s="15">
        <f>COUNTIF(Funções!B$86:B$188,G57)</f>
        <v>0</v>
      </c>
      <c r="K57" s="13">
        <f>SUMIF(Funções!B$86:B$188,$G57,Funções!K$86:K$188)</f>
        <v>0</v>
      </c>
      <c r="L57" s="7" t="str">
        <f t="shared" si="0"/>
        <v xml:space="preserve">           .</v>
      </c>
    </row>
    <row r="58" spans="1:12" ht="13.5" x14ac:dyDescent="0.35">
      <c r="A58" s="14"/>
      <c r="B58" s="168"/>
      <c r="C58" s="168"/>
      <c r="D58" s="168"/>
      <c r="E58" s="168"/>
      <c r="F58" s="2"/>
      <c r="G58" s="12" t="s">
        <v>1377</v>
      </c>
      <c r="H58" s="204"/>
      <c r="I58" s="204"/>
      <c r="J58" s="15">
        <f>COUNTIF(Funções!B$86:B$188,G58)</f>
        <v>0</v>
      </c>
      <c r="K58" s="13">
        <f>SUMIF(Funções!B$86:B$188,$G58,Funções!K$86:K$188)</f>
        <v>0</v>
      </c>
      <c r="L58" s="7" t="str">
        <f t="shared" si="0"/>
        <v xml:space="preserve">           .</v>
      </c>
    </row>
    <row r="59" spans="1:12" ht="13.5" x14ac:dyDescent="0.35">
      <c r="A59" s="14"/>
      <c r="B59" s="168"/>
      <c r="C59" s="168"/>
      <c r="D59" s="168"/>
      <c r="E59" s="168"/>
      <c r="F59" s="2"/>
      <c r="G59" s="12" t="s">
        <v>1377</v>
      </c>
      <c r="H59" s="204"/>
      <c r="I59" s="204"/>
      <c r="J59" s="15">
        <f>COUNTIF(Funções!B$86:B$188,G59)</f>
        <v>0</v>
      </c>
      <c r="K59" s="13">
        <f>SUMIF(Funções!B$86:B$188,$G59,Funções!K$86:K$188)</f>
        <v>0</v>
      </c>
      <c r="L59" s="7" t="str">
        <f t="shared" si="0"/>
        <v xml:space="preserve">           .</v>
      </c>
    </row>
    <row r="60" spans="1:12" ht="13.5" x14ac:dyDescent="0.35">
      <c r="A60" s="14"/>
      <c r="B60" s="168"/>
      <c r="C60" s="168"/>
      <c r="D60" s="168"/>
      <c r="E60" s="168"/>
      <c r="F60" s="2"/>
      <c r="G60" s="12" t="s">
        <v>1377</v>
      </c>
      <c r="H60" s="204"/>
      <c r="I60" s="204"/>
      <c r="J60" s="15">
        <f>COUNTIF(Funções!B$86:B$188,G60)</f>
        <v>0</v>
      </c>
      <c r="K60" s="13">
        <f>SUMIF(Funções!B$86:B$188,$G60,Funções!K$86:K$188)</f>
        <v>0</v>
      </c>
      <c r="L60" s="7" t="str">
        <f t="shared" si="0"/>
        <v xml:space="preserve">           .</v>
      </c>
    </row>
    <row r="61" spans="1:12" ht="13.5" x14ac:dyDescent="0.35">
      <c r="A61" s="14"/>
      <c r="B61" s="168"/>
      <c r="C61" s="168"/>
      <c r="D61" s="168"/>
      <c r="E61" s="168"/>
      <c r="F61" s="2"/>
      <c r="G61" s="12" t="s">
        <v>1377</v>
      </c>
      <c r="H61" s="204"/>
      <c r="I61" s="204"/>
      <c r="J61" s="15">
        <f>COUNTIF(Funções!B$86:B$188,G61)</f>
        <v>0</v>
      </c>
      <c r="K61" s="13">
        <f>SUMIF(Funções!B$86:B$188,$G61,Funções!K$86:K$188)</f>
        <v>0</v>
      </c>
      <c r="L61" s="7" t="str">
        <f t="shared" si="0"/>
        <v xml:space="preserve">           .</v>
      </c>
    </row>
    <row r="62" spans="1:12" ht="13.5" x14ac:dyDescent="0.35">
      <c r="A62" s="14"/>
      <c r="B62" s="168"/>
      <c r="C62" s="168"/>
      <c r="D62" s="168"/>
      <c r="E62" s="168"/>
      <c r="F62" s="2"/>
      <c r="G62" s="12" t="s">
        <v>1377</v>
      </c>
      <c r="H62" s="204"/>
      <c r="I62" s="204"/>
      <c r="J62" s="15">
        <f>COUNTIF(Funções!B$86:B$188,G62)</f>
        <v>0</v>
      </c>
      <c r="K62" s="13">
        <f>SUMIF(Funções!B$86:B$188,$G62,Funções!K$86:K$188)</f>
        <v>0</v>
      </c>
      <c r="L62" s="7" t="str">
        <f t="shared" si="0"/>
        <v xml:space="preserve">           .</v>
      </c>
    </row>
    <row r="63" spans="1:12" ht="13.5" x14ac:dyDescent="0.35">
      <c r="A63" s="14"/>
      <c r="B63" s="168"/>
      <c r="C63" s="168"/>
      <c r="D63" s="168"/>
      <c r="E63" s="168"/>
      <c r="F63" s="2"/>
      <c r="G63" s="12" t="s">
        <v>1377</v>
      </c>
      <c r="H63" s="204"/>
      <c r="I63" s="204"/>
      <c r="J63" s="15">
        <f>COUNTIF(Funções!B$86:B$188,G63)</f>
        <v>0</v>
      </c>
      <c r="K63" s="13">
        <f>SUMIF(Funções!B$86:B$188,$G63,Funções!K$86:K$188)</f>
        <v>0</v>
      </c>
      <c r="L63" s="7" t="str">
        <f t="shared" si="0"/>
        <v xml:space="preserve">           .</v>
      </c>
    </row>
    <row r="64" spans="1:12" ht="13.5" x14ac:dyDescent="0.35">
      <c r="A64" s="16"/>
      <c r="B64" s="205"/>
      <c r="C64" s="205"/>
      <c r="D64" s="205"/>
      <c r="E64" s="205"/>
      <c r="F64" s="17"/>
      <c r="G64" s="18" t="s">
        <v>1377</v>
      </c>
      <c r="H64" s="206"/>
      <c r="I64" s="206"/>
      <c r="J64" s="19">
        <f>COUNTIF(Funções!B$86:B$188,G64)</f>
        <v>0</v>
      </c>
      <c r="K64" s="20">
        <f>SUMIF(Funções!B$86:B$188,$G64,Funções!K$86:K$188)</f>
        <v>0</v>
      </c>
      <c r="L64" s="7" t="str">
        <f t="shared" si="0"/>
        <v xml:space="preserve">           .</v>
      </c>
    </row>
  </sheetData>
  <sheetProtection selectLockedCells="1" selectUnlockedCells="1"/>
  <mergeCells count="90">
    <mergeCell ref="B63:E63"/>
    <mergeCell ref="H63:I63"/>
    <mergeCell ref="B64:E64"/>
    <mergeCell ref="H64:I64"/>
    <mergeCell ref="B60:E60"/>
    <mergeCell ref="H60:I60"/>
    <mergeCell ref="B61:E61"/>
    <mergeCell ref="H61:I61"/>
    <mergeCell ref="B62:E62"/>
    <mergeCell ref="H62:I62"/>
    <mergeCell ref="B57:E57"/>
    <mergeCell ref="H57:I57"/>
    <mergeCell ref="B58:E58"/>
    <mergeCell ref="H58:I58"/>
    <mergeCell ref="B59:E59"/>
    <mergeCell ref="H59:I59"/>
    <mergeCell ref="B54:E54"/>
    <mergeCell ref="H54:I54"/>
    <mergeCell ref="B55:E55"/>
    <mergeCell ref="H55:I55"/>
    <mergeCell ref="B56:E56"/>
    <mergeCell ref="H56:I56"/>
    <mergeCell ref="B51:E51"/>
    <mergeCell ref="H51:I51"/>
    <mergeCell ref="B52:E52"/>
    <mergeCell ref="H52:I52"/>
    <mergeCell ref="B53:E53"/>
    <mergeCell ref="H53:I53"/>
    <mergeCell ref="B48:E48"/>
    <mergeCell ref="H48:I48"/>
    <mergeCell ref="B49:E49"/>
    <mergeCell ref="H49:I49"/>
    <mergeCell ref="B50:E50"/>
    <mergeCell ref="H50:I50"/>
    <mergeCell ref="B45:E45"/>
    <mergeCell ref="H45:I45"/>
    <mergeCell ref="B46:E46"/>
    <mergeCell ref="H46:I46"/>
    <mergeCell ref="B47:E47"/>
    <mergeCell ref="H47:I47"/>
    <mergeCell ref="B43:E43"/>
    <mergeCell ref="H43:I43"/>
    <mergeCell ref="B44:E44"/>
    <mergeCell ref="H44:I44"/>
    <mergeCell ref="H40:I41"/>
    <mergeCell ref="J40:J41"/>
    <mergeCell ref="K40:K41"/>
    <mergeCell ref="B41:E41"/>
    <mergeCell ref="B42:E42"/>
    <mergeCell ref="H42:I42"/>
    <mergeCell ref="G40:G41"/>
    <mergeCell ref="B31:E31"/>
    <mergeCell ref="B36:E36"/>
    <mergeCell ref="B37:E37"/>
    <mergeCell ref="B38:E38"/>
    <mergeCell ref="A40:F40"/>
    <mergeCell ref="B30:E30"/>
    <mergeCell ref="B18:E18"/>
    <mergeCell ref="B19:E19"/>
    <mergeCell ref="B20:E20"/>
    <mergeCell ref="B21:E21"/>
    <mergeCell ref="B22:E22"/>
    <mergeCell ref="B24:E24"/>
    <mergeCell ref="B23:E23"/>
    <mergeCell ref="B25:E25"/>
    <mergeCell ref="B26:E26"/>
    <mergeCell ref="B27:E27"/>
    <mergeCell ref="B28:E28"/>
    <mergeCell ref="B29:E29"/>
    <mergeCell ref="B17:E17"/>
    <mergeCell ref="B6:E6"/>
    <mergeCell ref="B7:E7"/>
    <mergeCell ref="B8:E8"/>
    <mergeCell ref="B9:E9"/>
    <mergeCell ref="B10:E10"/>
    <mergeCell ref="B11:E11"/>
    <mergeCell ref="B12:E12"/>
    <mergeCell ref="B13:E13"/>
    <mergeCell ref="B15:E15"/>
    <mergeCell ref="B16:E16"/>
    <mergeCell ref="B14:E14"/>
    <mergeCell ref="B4:E4"/>
    <mergeCell ref="B5:E5"/>
    <mergeCell ref="A1:K1"/>
    <mergeCell ref="A2:F2"/>
    <mergeCell ref="G2:G3"/>
    <mergeCell ref="H2:I2"/>
    <mergeCell ref="J2:J3"/>
    <mergeCell ref="K2:K3"/>
    <mergeCell ref="B3:E3"/>
  </mergeCells>
  <pageMargins left="0.78749999999999998" right="0.78749999999999998" top="1.023611111111111" bottom="1.023611111111111" header="0.51180555555555551" footer="0.78749999999999998"/>
  <pageSetup paperSize="9" scale="48" firstPageNumber="0" orientation="portrait" horizontalDpi="300" verticalDpi="300" r:id="rId1"/>
  <headerFooter alignWithMargins="0">
    <oddFooter>&amp;CPágina &amp;P de &amp;N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4"/>
  <dimension ref="A1:L52"/>
  <sheetViews>
    <sheetView showGridLines="0" view="pageBreakPreview" zoomScaleSheetLayoutView="100" workbookViewId="0">
      <pane ySplit="8" topLeftCell="A15" activePane="bottomLeft" state="frozen"/>
      <selection activeCell="B11" sqref="B11"/>
      <selection pane="bottomLeft" activeCell="A9" sqref="A9"/>
    </sheetView>
  </sheetViews>
  <sheetFormatPr defaultRowHeight="12.5" x14ac:dyDescent="0.25"/>
  <cols>
    <col min="1" max="1" width="2.81640625" customWidth="1"/>
    <col min="2" max="2" width="8.453125" customWidth="1"/>
    <col min="3" max="3" width="11.54296875" customWidth="1"/>
    <col min="4" max="4" width="1.1796875" customWidth="1"/>
    <col min="5" max="5" width="7.54296875" customWidth="1"/>
    <col min="6" max="6" width="5.81640625" customWidth="1"/>
    <col min="7" max="7" width="13.453125" customWidth="1"/>
    <col min="8" max="8" width="8.453125" customWidth="1"/>
    <col min="9" max="9" width="5.81640625" customWidth="1"/>
    <col min="10" max="10" width="11.54296875" customWidth="1"/>
    <col min="11" max="11" width="8.453125" customWidth="1"/>
    <col min="12" max="12" width="6.54296875" customWidth="1"/>
  </cols>
  <sheetData>
    <row r="1" spans="1:12" x14ac:dyDescent="0.25">
      <c r="A1" s="170" t="s">
        <v>1386</v>
      </c>
      <c r="B1" s="170"/>
      <c r="C1" s="170"/>
      <c r="D1" s="170"/>
      <c r="E1" s="170"/>
      <c r="F1" s="170"/>
      <c r="G1" s="170"/>
      <c r="H1" s="170"/>
      <c r="I1" s="170"/>
      <c r="J1" s="170"/>
      <c r="K1" s="170"/>
      <c r="L1" s="170"/>
    </row>
    <row r="2" spans="1:12" x14ac:dyDescent="0.25">
      <c r="A2" s="170"/>
      <c r="B2" s="170"/>
      <c r="C2" s="170"/>
      <c r="D2" s="170"/>
      <c r="E2" s="170"/>
      <c r="F2" s="170"/>
      <c r="G2" s="170"/>
      <c r="H2" s="170"/>
      <c r="I2" s="170"/>
      <c r="J2" s="170"/>
      <c r="K2" s="170"/>
      <c r="L2" s="170"/>
    </row>
    <row r="3" spans="1:12" x14ac:dyDescent="0.25">
      <c r="A3" s="170"/>
      <c r="B3" s="170"/>
      <c r="C3" s="170"/>
      <c r="D3" s="170"/>
      <c r="E3" s="170"/>
      <c r="F3" s="170"/>
      <c r="G3" s="170"/>
      <c r="H3" s="170"/>
      <c r="I3" s="170"/>
      <c r="J3" s="170"/>
      <c r="K3" s="170"/>
      <c r="L3" s="170"/>
    </row>
    <row r="4" spans="1:12" x14ac:dyDescent="0.25">
      <c r="A4" s="209" t="str">
        <f>Contagem!A5&amp;" : "&amp;Contagem!F5</f>
        <v xml:space="preserve">Aplicação : </v>
      </c>
      <c r="B4" s="209"/>
      <c r="C4" s="209"/>
      <c r="D4" s="209"/>
      <c r="E4" s="209"/>
      <c r="F4" s="184" t="str">
        <f>Contagem!A8&amp;" : "&amp;Contagem!F8</f>
        <v>Projeto : SIABI - Sistema de Avaliação de Imóveis</v>
      </c>
      <c r="G4" s="184"/>
      <c r="H4" s="184"/>
      <c r="I4" s="184"/>
      <c r="J4" s="184"/>
      <c r="K4" s="184"/>
      <c r="L4" s="184"/>
    </row>
    <row r="5" spans="1:12" x14ac:dyDescent="0.25">
      <c r="A5" s="209" t="str">
        <f>Contagem!A9&amp;" : "&amp;Contagem!F9</f>
        <v>Responsável : Luana Alves de Araujo Passos Aguiar</v>
      </c>
      <c r="B5" s="209"/>
      <c r="C5" s="209"/>
      <c r="D5" s="209"/>
      <c r="E5" s="209"/>
      <c r="F5" s="184" t="str">
        <f>Contagem!A10&amp;" : "&amp;Contagem!F10</f>
        <v xml:space="preserve">Revisor : </v>
      </c>
      <c r="G5" s="184"/>
      <c r="H5" s="184"/>
      <c r="I5" s="184"/>
      <c r="J5" s="184"/>
      <c r="K5" s="184"/>
      <c r="L5" s="184"/>
    </row>
    <row r="6" spans="1:12" x14ac:dyDescent="0.25">
      <c r="A6" s="209" t="str">
        <f>Contagem!A4&amp;" : "&amp;Contagem!F4</f>
        <v>Empresa : Secretaria de Estado de Planejamento e Gestão de Mato Grosso</v>
      </c>
      <c r="B6" s="209"/>
      <c r="C6" s="209"/>
      <c r="D6" s="209"/>
      <c r="E6" s="209"/>
      <c r="F6" s="184" t="str">
        <f>"Tipo de Contagem : "&amp;Contagem!F6</f>
        <v>Tipo de Contagem : Projeto de Desenvolvimento</v>
      </c>
      <c r="G6" s="184"/>
      <c r="H6" s="184"/>
      <c r="I6" s="184"/>
      <c r="J6" s="184"/>
      <c r="K6" s="184"/>
      <c r="L6" s="184"/>
    </row>
    <row r="7" spans="1:12" ht="12.75" customHeight="1" x14ac:dyDescent="0.25">
      <c r="A7" s="211" t="s">
        <v>1387</v>
      </c>
      <c r="B7" s="211"/>
      <c r="C7" s="212" t="s">
        <v>1388</v>
      </c>
      <c r="D7" s="212"/>
      <c r="E7" s="212"/>
      <c r="F7" s="212"/>
      <c r="G7" s="207" t="s">
        <v>1389</v>
      </c>
      <c r="H7" s="207" t="s">
        <v>1390</v>
      </c>
      <c r="I7" s="53"/>
      <c r="J7" s="207" t="s">
        <v>1391</v>
      </c>
      <c r="K7" s="207"/>
      <c r="L7" s="208" t="s">
        <v>1390</v>
      </c>
    </row>
    <row r="8" spans="1:12" x14ac:dyDescent="0.25">
      <c r="A8" s="211"/>
      <c r="B8" s="211"/>
      <c r="C8" s="212"/>
      <c r="D8" s="212"/>
      <c r="E8" s="212"/>
      <c r="F8" s="212"/>
      <c r="G8" s="207"/>
      <c r="H8" s="207"/>
      <c r="I8" s="54"/>
      <c r="J8" s="207"/>
      <c r="K8" s="207"/>
      <c r="L8" s="208"/>
    </row>
    <row r="9" spans="1:12" ht="6" customHeight="1" x14ac:dyDescent="0.35">
      <c r="A9" s="33"/>
      <c r="B9" s="34"/>
      <c r="C9" s="34"/>
      <c r="D9" s="34"/>
      <c r="E9" s="34"/>
      <c r="F9" s="34"/>
      <c r="G9" s="34"/>
      <c r="H9" s="34"/>
      <c r="I9" s="34"/>
      <c r="J9" s="34"/>
      <c r="K9" s="34"/>
      <c r="L9" s="35"/>
    </row>
    <row r="10" spans="1:12" ht="13.5" x14ac:dyDescent="0.35">
      <c r="A10" s="36"/>
      <c r="B10" s="37" t="s">
        <v>48</v>
      </c>
      <c r="C10" s="38">
        <f>COUNTIF(Funções!G86:G188,"EEL")</f>
        <v>14</v>
      </c>
      <c r="D10" s="37"/>
      <c r="E10" s="39" t="s">
        <v>91</v>
      </c>
      <c r="F10" s="39" t="s">
        <v>1392</v>
      </c>
      <c r="G10" s="38">
        <f>C10*3</f>
        <v>42</v>
      </c>
      <c r="H10" s="37"/>
      <c r="I10" s="21"/>
      <c r="J10" s="40" t="str">
        <f>Deflatores!$G$4&amp;"="</f>
        <v>I=</v>
      </c>
      <c r="K10" s="41">
        <f>SUMIF(Funções!$J$86:$J$188,"EE"&amp;Deflatores!G4,Funções!$L$86:$L$188)</f>
        <v>124</v>
      </c>
      <c r="L10" s="42"/>
    </row>
    <row r="11" spans="1:12" ht="13.5" x14ac:dyDescent="0.35">
      <c r="A11" s="43"/>
      <c r="B11" s="37"/>
      <c r="C11" s="38">
        <f>COUNTIF(Funções!G86:G188,"EEA")</f>
        <v>4</v>
      </c>
      <c r="D11" s="37"/>
      <c r="E11" s="39" t="s">
        <v>431</v>
      </c>
      <c r="F11" s="39" t="s">
        <v>1393</v>
      </c>
      <c r="G11" s="38">
        <f>C11*4</f>
        <v>16</v>
      </c>
      <c r="H11" s="37"/>
      <c r="I11" s="21"/>
      <c r="J11" s="40" t="str">
        <f>Deflatores!$G$5&amp;"="</f>
        <v>A=</v>
      </c>
      <c r="K11" s="41">
        <f>SUMIF(Funções!$J$86:$J$188,"EE"&amp;Deflatores!G5,Funções!$L$86:$L$188)</f>
        <v>0</v>
      </c>
      <c r="L11" s="42"/>
    </row>
    <row r="12" spans="1:12" ht="13.5" x14ac:dyDescent="0.35">
      <c r="A12" s="43"/>
      <c r="B12" s="37"/>
      <c r="C12" s="38">
        <f>COUNTIF(Funções!G86:G188,"EEH")</f>
        <v>11</v>
      </c>
      <c r="D12" s="37"/>
      <c r="E12" s="39" t="s">
        <v>425</v>
      </c>
      <c r="F12" s="39" t="s">
        <v>1394</v>
      </c>
      <c r="G12" s="38">
        <f>C12*6</f>
        <v>66</v>
      </c>
      <c r="H12" s="37"/>
      <c r="I12" s="21"/>
      <c r="J12" s="40" t="str">
        <f>Deflatores!$G$6&amp;"="</f>
        <v>E=</v>
      </c>
      <c r="K12" s="41">
        <f>SUMIF(Funções!$J$86:$J$188,"EE"&amp;Deflatores!G6,Funções!$L$86:$L$188)</f>
        <v>0</v>
      </c>
      <c r="L12" s="44"/>
    </row>
    <row r="13" spans="1:12" ht="13.5" x14ac:dyDescent="0.35">
      <c r="A13" s="43"/>
      <c r="B13" s="37"/>
      <c r="C13" s="37"/>
      <c r="D13" s="37"/>
      <c r="E13" s="37"/>
      <c r="F13" s="37"/>
      <c r="G13" s="37"/>
      <c r="H13" s="37"/>
      <c r="I13" s="37"/>
      <c r="J13" s="37"/>
      <c r="K13" s="45"/>
      <c r="L13" s="42"/>
    </row>
    <row r="14" spans="1:12" ht="13.5" x14ac:dyDescent="0.35">
      <c r="A14" s="43"/>
      <c r="B14" s="46" t="s">
        <v>1395</v>
      </c>
      <c r="C14" s="38">
        <f>SUM(C10:C12)</f>
        <v>29</v>
      </c>
      <c r="D14" s="37"/>
      <c r="E14" s="37"/>
      <c r="F14" s="46" t="s">
        <v>1396</v>
      </c>
      <c r="G14" s="38">
        <f>SUM(G10:G12)</f>
        <v>124</v>
      </c>
      <c r="H14" s="21">
        <f>IF($G$45&lt;&gt;0,G14/$G$45,"")</f>
        <v>0.3712574850299401</v>
      </c>
      <c r="J14" s="40"/>
      <c r="K14" s="41">
        <f>SUM(K10:K13)</f>
        <v>124</v>
      </c>
      <c r="L14" s="22">
        <f>IF('Sumário 2'!L11&lt;&gt;0,K14/'Sumário 2'!L11,"")</f>
        <v>2.4367237855683076E-2</v>
      </c>
    </row>
    <row r="15" spans="1:12" ht="6" customHeight="1" x14ac:dyDescent="0.35">
      <c r="A15" s="47"/>
      <c r="B15" s="40"/>
      <c r="C15" s="40"/>
      <c r="D15" s="40"/>
      <c r="E15" s="40"/>
      <c r="F15" s="40"/>
      <c r="G15" s="40"/>
      <c r="H15" s="40"/>
      <c r="I15" s="40"/>
      <c r="J15" s="40"/>
      <c r="K15" s="40"/>
      <c r="L15" s="48"/>
    </row>
    <row r="16" spans="1:12" ht="6" customHeight="1" x14ac:dyDescent="0.35">
      <c r="A16" s="43"/>
      <c r="B16" s="37"/>
      <c r="C16" s="37"/>
      <c r="D16" s="37"/>
      <c r="E16" s="37"/>
      <c r="F16" s="37"/>
      <c r="G16" s="37"/>
      <c r="H16" s="37"/>
      <c r="I16" s="37"/>
      <c r="J16" s="37"/>
      <c r="K16" s="37"/>
      <c r="L16" s="42"/>
    </row>
    <row r="17" spans="1:12" ht="13.5" x14ac:dyDescent="0.35">
      <c r="A17" s="43"/>
      <c r="B17" s="37" t="s">
        <v>113</v>
      </c>
      <c r="C17" s="40">
        <f>COUNTIF(Funções!G86:G188,"SEL")</f>
        <v>0</v>
      </c>
      <c r="D17" s="37"/>
      <c r="E17" s="39" t="s">
        <v>91</v>
      </c>
      <c r="F17" s="39" t="s">
        <v>1393</v>
      </c>
      <c r="G17" s="40">
        <f>C17*4</f>
        <v>0</v>
      </c>
      <c r="H17" s="37"/>
      <c r="I17" s="37"/>
      <c r="J17" s="40" t="str">
        <f>Deflatores!$G$4&amp;"="</f>
        <v>I=</v>
      </c>
      <c r="K17" s="49">
        <f>SUMIF(Funções!$J$86:$J$188,"SE"&amp;Deflatores!$G$4,Funções!$L$86:$L$188)</f>
        <v>21</v>
      </c>
      <c r="L17" s="42"/>
    </row>
    <row r="18" spans="1:12" ht="13.5" x14ac:dyDescent="0.35">
      <c r="A18" s="43"/>
      <c r="B18" s="37"/>
      <c r="C18" s="40">
        <f>COUNTIF(Funções!G86:G188,"SEA")</f>
        <v>0</v>
      </c>
      <c r="D18" s="37"/>
      <c r="E18" s="39" t="s">
        <v>431</v>
      </c>
      <c r="F18" s="39" t="s">
        <v>1397</v>
      </c>
      <c r="G18" s="40">
        <f>C18*5</f>
        <v>0</v>
      </c>
      <c r="H18" s="37"/>
      <c r="I18" s="37"/>
      <c r="J18" s="40" t="str">
        <f>Deflatores!$G$5&amp;"="</f>
        <v>A=</v>
      </c>
      <c r="K18" s="49">
        <f>SUMIF(Funções!$J$86:$J$188,"SE"&amp;Deflatores!$G$5,Funções!$L$86:$L$188)</f>
        <v>0</v>
      </c>
      <c r="L18" s="42"/>
    </row>
    <row r="19" spans="1:12" ht="13.5" x14ac:dyDescent="0.35">
      <c r="A19" s="43"/>
      <c r="B19" s="37"/>
      <c r="C19" s="40">
        <f>COUNTIF(Funções!G86:G188,"SEH")</f>
        <v>3</v>
      </c>
      <c r="D19" s="37"/>
      <c r="E19" s="39" t="s">
        <v>425</v>
      </c>
      <c r="F19" s="39" t="s">
        <v>1398</v>
      </c>
      <c r="G19" s="40">
        <f>C19*7</f>
        <v>21</v>
      </c>
      <c r="H19" s="37"/>
      <c r="I19" s="37"/>
      <c r="J19" s="40" t="str">
        <f>Deflatores!$G$6&amp;"="</f>
        <v>E=</v>
      </c>
      <c r="K19" s="49">
        <f>SUMIF(Funções!$J$86:$J$188,"SE"&amp;Deflatores!$G$6,Funções!$L$86:$L$188)</f>
        <v>0</v>
      </c>
      <c r="L19" s="44"/>
    </row>
    <row r="20" spans="1:12" ht="13.5" x14ac:dyDescent="0.35">
      <c r="A20" s="43"/>
      <c r="B20" s="37"/>
      <c r="C20" s="37"/>
      <c r="D20" s="37"/>
      <c r="E20" s="37"/>
      <c r="F20" s="37"/>
      <c r="G20" s="37"/>
      <c r="H20" s="37"/>
      <c r="I20" s="37"/>
      <c r="J20" s="37"/>
      <c r="K20" s="45"/>
      <c r="L20" s="42"/>
    </row>
    <row r="21" spans="1:12" ht="13.5" x14ac:dyDescent="0.35">
      <c r="A21" s="43"/>
      <c r="B21" s="46" t="s">
        <v>1395</v>
      </c>
      <c r="C21" s="38">
        <f>SUM(C17:C19)</f>
        <v>3</v>
      </c>
      <c r="D21" s="37"/>
      <c r="E21" s="37"/>
      <c r="F21" s="46" t="s">
        <v>1396</v>
      </c>
      <c r="G21" s="38">
        <f>SUM(G17:G19)</f>
        <v>21</v>
      </c>
      <c r="H21" s="21">
        <f>IF($G$45&lt;&gt;0,G21/$G$45,"")</f>
        <v>6.2874251497005984E-2</v>
      </c>
      <c r="J21" s="40"/>
      <c r="K21" s="41">
        <f>SUM(K17:K20)</f>
        <v>21</v>
      </c>
      <c r="L21" s="22">
        <f>IF('Sumário 2'!L11&lt;&gt;0,K21/'Sumário 2'!L11,"")</f>
        <v>4.1267096368495532E-3</v>
      </c>
    </row>
    <row r="22" spans="1:12" ht="6" customHeight="1" x14ac:dyDescent="0.35">
      <c r="A22" s="47"/>
      <c r="B22" s="40"/>
      <c r="C22" s="40"/>
      <c r="D22" s="40"/>
      <c r="E22" s="40"/>
      <c r="F22" s="40"/>
      <c r="G22" s="40"/>
      <c r="H22" s="40"/>
      <c r="I22" s="40"/>
      <c r="J22" s="40"/>
      <c r="K22" s="40"/>
      <c r="L22" s="48"/>
    </row>
    <row r="23" spans="1:12" ht="6" customHeight="1" x14ac:dyDescent="0.35">
      <c r="A23" s="33"/>
      <c r="B23" s="34"/>
      <c r="C23" s="37"/>
      <c r="D23" s="34"/>
      <c r="E23" s="34"/>
      <c r="F23" s="34"/>
      <c r="G23" s="37"/>
      <c r="H23" s="34"/>
      <c r="I23" s="34"/>
      <c r="J23" s="34"/>
      <c r="K23" s="34"/>
      <c r="L23" s="35"/>
    </row>
    <row r="24" spans="1:12" ht="13.5" x14ac:dyDescent="0.35">
      <c r="A24" s="43"/>
      <c r="B24" s="37" t="s">
        <v>50</v>
      </c>
      <c r="C24" s="38">
        <f>COUNTIF(Funções!G86:G188,"CEL")</f>
        <v>23</v>
      </c>
      <c r="D24" s="37"/>
      <c r="E24" s="39" t="s">
        <v>91</v>
      </c>
      <c r="F24" s="39" t="s">
        <v>1392</v>
      </c>
      <c r="G24" s="38">
        <f>C24*3</f>
        <v>69</v>
      </c>
      <c r="H24" s="37"/>
      <c r="I24" s="37"/>
      <c r="J24" s="40" t="str">
        <f>Deflatores!$G$4&amp;"="</f>
        <v>I=</v>
      </c>
      <c r="K24" s="41">
        <f>SUMIF(Funções!$J$86:$J$188,"CE"&amp;Deflatores!$G$4,Funções!$L$86:$L$188)</f>
        <v>119</v>
      </c>
      <c r="L24" s="42"/>
    </row>
    <row r="25" spans="1:12" ht="13.5" x14ac:dyDescent="0.35">
      <c r="A25" s="43"/>
      <c r="B25" s="37"/>
      <c r="C25" s="38">
        <f>COUNTIF(Funções!G86:G188,"CEA")</f>
        <v>5</v>
      </c>
      <c r="D25" s="37"/>
      <c r="E25" s="39" t="s">
        <v>431</v>
      </c>
      <c r="F25" s="39" t="s">
        <v>1393</v>
      </c>
      <c r="G25" s="38">
        <f>C25*4</f>
        <v>20</v>
      </c>
      <c r="H25" s="37"/>
      <c r="I25" s="37"/>
      <c r="J25" s="40" t="str">
        <f>Deflatores!$G$5&amp;"="</f>
        <v>A=</v>
      </c>
      <c r="K25" s="41">
        <f>SUMIF(Funções!$J$86:$J$188,"CE"&amp;Deflatores!$G$5,Funções!$L$86:$L$188)</f>
        <v>0</v>
      </c>
      <c r="L25" s="42"/>
    </row>
    <row r="26" spans="1:12" ht="13.5" x14ac:dyDescent="0.35">
      <c r="A26" s="43"/>
      <c r="B26" s="37"/>
      <c r="C26" s="38">
        <f>COUNTIF(Funções!G86:G188,"CEH")</f>
        <v>6</v>
      </c>
      <c r="D26" s="37"/>
      <c r="E26" s="39" t="s">
        <v>425</v>
      </c>
      <c r="F26" s="39" t="s">
        <v>1394</v>
      </c>
      <c r="G26" s="38">
        <f>C26*6</f>
        <v>36</v>
      </c>
      <c r="H26" s="37"/>
      <c r="I26" s="37"/>
      <c r="J26" s="40" t="str">
        <f>Deflatores!$G$6&amp;"="</f>
        <v>E=</v>
      </c>
      <c r="K26" s="41">
        <f>SUMIF(Funções!$J$86:$J$188,"CE"&amp;Deflatores!$G$6,Funções!$L$86:$L$188)</f>
        <v>2.4000000000000004</v>
      </c>
      <c r="L26" s="44"/>
    </row>
    <row r="27" spans="1:12" ht="13.5" x14ac:dyDescent="0.35">
      <c r="A27" s="43"/>
      <c r="B27" s="37"/>
      <c r="C27" s="37"/>
      <c r="D27" s="37"/>
      <c r="E27" s="37"/>
      <c r="F27" s="37"/>
      <c r="G27" s="37"/>
      <c r="H27" s="37"/>
      <c r="I27" s="37"/>
      <c r="J27" s="37"/>
      <c r="K27" s="45"/>
      <c r="L27" s="42"/>
    </row>
    <row r="28" spans="1:12" ht="13.5" x14ac:dyDescent="0.35">
      <c r="A28" s="43"/>
      <c r="B28" s="46" t="s">
        <v>1395</v>
      </c>
      <c r="C28" s="38">
        <f>SUM(C24:C26)</f>
        <v>34</v>
      </c>
      <c r="D28" s="37"/>
      <c r="E28" s="37"/>
      <c r="F28" s="46" t="s">
        <v>1396</v>
      </c>
      <c r="G28" s="38">
        <f>SUM(G24:G26)</f>
        <v>125</v>
      </c>
      <c r="H28" s="21">
        <f>IF($G$45&lt;&gt;0,G28/$G$45,"")</f>
        <v>0.37425149700598803</v>
      </c>
      <c r="J28" s="40"/>
      <c r="K28" s="41">
        <f>SUM(K24:K27)</f>
        <v>121.4</v>
      </c>
      <c r="L28" s="22">
        <f>IF('Sumário 2'!L11&lt;&gt;0,K28/'Sumário 2'!L11,"")</f>
        <v>2.3856311900644561E-2</v>
      </c>
    </row>
    <row r="29" spans="1:12" ht="6" customHeight="1" x14ac:dyDescent="0.35">
      <c r="A29" s="47"/>
      <c r="B29" s="40"/>
      <c r="C29" s="40"/>
      <c r="D29" s="40"/>
      <c r="E29" s="40"/>
      <c r="F29" s="40"/>
      <c r="G29" s="40"/>
      <c r="H29" s="40"/>
      <c r="I29" s="40"/>
      <c r="J29" s="40"/>
      <c r="K29" s="40"/>
      <c r="L29" s="48"/>
    </row>
    <row r="30" spans="1:12" ht="6" customHeight="1" x14ac:dyDescent="0.35">
      <c r="A30" s="33"/>
      <c r="B30" s="34"/>
      <c r="C30" s="37"/>
      <c r="D30" s="34"/>
      <c r="E30" s="34"/>
      <c r="F30" s="34"/>
      <c r="G30" s="37"/>
      <c r="H30" s="34"/>
      <c r="I30" s="34"/>
      <c r="J30" s="34"/>
      <c r="K30" s="34"/>
      <c r="L30" s="35"/>
    </row>
    <row r="31" spans="1:12" ht="13.5" x14ac:dyDescent="0.35">
      <c r="A31" s="43"/>
      <c r="B31" s="37" t="s">
        <v>44</v>
      </c>
      <c r="C31" s="38">
        <f>COUNTIF(Funções!G86:G188,"ALIL")</f>
        <v>7</v>
      </c>
      <c r="D31" s="37"/>
      <c r="E31" s="37" t="s">
        <v>91</v>
      </c>
      <c r="F31" s="37" t="s">
        <v>1398</v>
      </c>
      <c r="G31" s="38">
        <f>C31*7</f>
        <v>49</v>
      </c>
      <c r="H31" s="37"/>
      <c r="I31" s="37"/>
      <c r="J31" s="40" t="str">
        <f>Deflatores!$G$4&amp;"="</f>
        <v>I=</v>
      </c>
      <c r="K31" s="41">
        <f>SUMIF(Funções!$J$86:$J$188,"ALI"&amp;Deflatores!$G$4,Funções!$L$86:$L$188)</f>
        <v>59</v>
      </c>
      <c r="L31" s="42"/>
    </row>
    <row r="32" spans="1:12" ht="13.5" x14ac:dyDescent="0.35">
      <c r="A32" s="43"/>
      <c r="B32" s="37"/>
      <c r="C32" s="38">
        <f>COUNTIF(Funções!G86:G188,"ALIA")</f>
        <v>1</v>
      </c>
      <c r="D32" s="37"/>
      <c r="E32" s="37" t="s">
        <v>431</v>
      </c>
      <c r="F32" s="37" t="s">
        <v>1399</v>
      </c>
      <c r="G32" s="38">
        <f>C32*10</f>
        <v>10</v>
      </c>
      <c r="H32" s="37"/>
      <c r="I32" s="37"/>
      <c r="J32" s="40" t="str">
        <f>Deflatores!$G$5&amp;"="</f>
        <v>A=</v>
      </c>
      <c r="K32" s="41">
        <f>SUMIF(Funções!$J$86:$J$188,"ALI"&amp;Deflatores!$G$5,Funções!$L$86:$L$188)</f>
        <v>0</v>
      </c>
      <c r="L32" s="42"/>
    </row>
    <row r="33" spans="1:12" ht="13.5" x14ac:dyDescent="0.35">
      <c r="A33" s="43"/>
      <c r="B33" s="37"/>
      <c r="C33" s="38">
        <f>COUNTIF(Funções!G86:G188,"ALIH")</f>
        <v>0</v>
      </c>
      <c r="D33" s="37"/>
      <c r="E33" s="37" t="s">
        <v>425</v>
      </c>
      <c r="F33" s="37" t="s">
        <v>1400</v>
      </c>
      <c r="G33" s="38">
        <f>C33*15</f>
        <v>0</v>
      </c>
      <c r="H33" s="37"/>
      <c r="I33" s="37"/>
      <c r="J33" s="40" t="str">
        <f>Deflatores!$G$6&amp;"="</f>
        <v>E=</v>
      </c>
      <c r="K33" s="41">
        <f>SUMIF(Funções!$J$86:$J$188,"ALI"&amp;Deflatores!$G$6,Funções!$L$86:$L$188)</f>
        <v>0</v>
      </c>
      <c r="L33" s="44"/>
    </row>
    <row r="34" spans="1:12" ht="13.5" x14ac:dyDescent="0.35">
      <c r="A34" s="43"/>
      <c r="B34" s="37"/>
      <c r="C34" s="37"/>
      <c r="D34" s="37"/>
      <c r="E34" s="37"/>
      <c r="F34" s="37"/>
      <c r="G34" s="37"/>
      <c r="H34" s="37"/>
      <c r="I34" s="37"/>
      <c r="J34" s="37"/>
      <c r="K34" s="45"/>
      <c r="L34" s="42"/>
    </row>
    <row r="35" spans="1:12" ht="13.5" x14ac:dyDescent="0.35">
      <c r="A35" s="43"/>
      <c r="B35" s="46" t="s">
        <v>1395</v>
      </c>
      <c r="C35" s="38">
        <f>SUM(C31:C33)</f>
        <v>8</v>
      </c>
      <c r="D35" s="37"/>
      <c r="E35" s="37"/>
      <c r="F35" s="46" t="s">
        <v>1396</v>
      </c>
      <c r="G35" s="38">
        <f>SUM(G31:G33)</f>
        <v>59</v>
      </c>
      <c r="H35" s="21">
        <f>IF($G$45&lt;&gt;0,G35/$G$45,"")</f>
        <v>0.17664670658682635</v>
      </c>
      <c r="J35" s="40"/>
      <c r="K35" s="41">
        <f>SUM(K31:K34)</f>
        <v>59</v>
      </c>
      <c r="L35" s="22">
        <f>IF('Sumário 2'!L11&lt;&gt;0,K35/'Sumário 2'!L11,"")</f>
        <v>1.1594088979720174E-2</v>
      </c>
    </row>
    <row r="36" spans="1:12" ht="6" customHeight="1" x14ac:dyDescent="0.35">
      <c r="A36" s="47"/>
      <c r="B36" s="40"/>
      <c r="C36" s="40"/>
      <c r="D36" s="40"/>
      <c r="E36" s="40"/>
      <c r="F36" s="40"/>
      <c r="G36" s="40"/>
      <c r="H36" s="40"/>
      <c r="I36" s="40"/>
      <c r="J36" s="40"/>
      <c r="K36" s="40"/>
      <c r="L36" s="48"/>
    </row>
    <row r="37" spans="1:12" ht="6" customHeight="1" x14ac:dyDescent="0.35">
      <c r="A37" s="33"/>
      <c r="B37" s="34"/>
      <c r="C37" s="37"/>
      <c r="D37" s="34"/>
      <c r="E37" s="34"/>
      <c r="F37" s="34"/>
      <c r="G37" s="37"/>
      <c r="H37" s="34"/>
      <c r="I37" s="34"/>
      <c r="J37" s="34"/>
      <c r="K37" s="34"/>
      <c r="L37" s="35"/>
    </row>
    <row r="38" spans="1:12" ht="13.5" x14ac:dyDescent="0.35">
      <c r="A38" s="43"/>
      <c r="B38" s="37" t="s">
        <v>67</v>
      </c>
      <c r="C38" s="38">
        <f>COUNTIF(Funções!G86:G188,"AIEL")</f>
        <v>1</v>
      </c>
      <c r="D38" s="37"/>
      <c r="E38" s="37" t="s">
        <v>91</v>
      </c>
      <c r="F38" s="37" t="s">
        <v>1397</v>
      </c>
      <c r="G38" s="38">
        <f>C38*5</f>
        <v>5</v>
      </c>
      <c r="H38" s="37"/>
      <c r="I38" s="37"/>
      <c r="J38" s="40" t="str">
        <f>Deflatores!$G$4&amp;"="</f>
        <v>I=</v>
      </c>
      <c r="K38" s="41">
        <f>SUMIF(Funções!$J$86:$J$188,"AIE"&amp;Deflatores!$G$4,Funções!$L$86:$L$188)</f>
        <v>5</v>
      </c>
      <c r="L38" s="42"/>
    </row>
    <row r="39" spans="1:12" ht="13.5" x14ac:dyDescent="0.35">
      <c r="A39" s="43"/>
      <c r="B39" s="37"/>
      <c r="C39" s="38">
        <f>COUNTIF(Funções!G86:G188,"AIEA")</f>
        <v>0</v>
      </c>
      <c r="D39" s="37"/>
      <c r="E39" s="37" t="s">
        <v>431</v>
      </c>
      <c r="F39" s="37" t="s">
        <v>1398</v>
      </c>
      <c r="G39" s="38">
        <f>C39*7</f>
        <v>0</v>
      </c>
      <c r="H39" s="37"/>
      <c r="I39" s="37"/>
      <c r="J39" s="40" t="str">
        <f>Deflatores!$G$5&amp;"="</f>
        <v>A=</v>
      </c>
      <c r="K39" s="41">
        <f>SUMIF(Funções!$J$86:$J$188,"AIE"&amp;Deflatores!$G$5,Funções!$L$86:$L$188)</f>
        <v>0</v>
      </c>
      <c r="L39" s="42"/>
    </row>
    <row r="40" spans="1:12" ht="13.5" x14ac:dyDescent="0.35">
      <c r="A40" s="43"/>
      <c r="B40" s="37"/>
      <c r="C40" s="38">
        <f>COUNTIF(Funções!G86:G188,"AIEH")</f>
        <v>0</v>
      </c>
      <c r="D40" s="37"/>
      <c r="E40" s="37" t="s">
        <v>425</v>
      </c>
      <c r="F40" s="37" t="s">
        <v>1399</v>
      </c>
      <c r="G40" s="38">
        <f>C40*10</f>
        <v>0</v>
      </c>
      <c r="H40" s="37"/>
      <c r="I40" s="37"/>
      <c r="J40" s="40" t="str">
        <f>Deflatores!$G$6&amp;"="</f>
        <v>E=</v>
      </c>
      <c r="K40" s="41">
        <f>SUMIF(Funções!$J$86:$J$188,"AIE"&amp;Deflatores!$G$6,Funções!$L$86:$L$188)</f>
        <v>0</v>
      </c>
      <c r="L40" s="44"/>
    </row>
    <row r="41" spans="1:12" ht="13.5" x14ac:dyDescent="0.35">
      <c r="A41" s="43"/>
      <c r="B41" s="37"/>
      <c r="C41" s="37"/>
      <c r="D41" s="37"/>
      <c r="E41" s="37"/>
      <c r="F41" s="37"/>
      <c r="G41" s="37"/>
      <c r="H41" s="37"/>
      <c r="I41" s="37"/>
      <c r="J41" s="37"/>
      <c r="K41" s="45"/>
      <c r="L41" s="42"/>
    </row>
    <row r="42" spans="1:12" ht="13.5" x14ac:dyDescent="0.35">
      <c r="A42" s="43"/>
      <c r="B42" s="46" t="s">
        <v>1395</v>
      </c>
      <c r="C42" s="38">
        <f>SUM(C38:C40)</f>
        <v>1</v>
      </c>
      <c r="D42" s="37"/>
      <c r="E42" s="37"/>
      <c r="F42" s="46" t="s">
        <v>1396</v>
      </c>
      <c r="G42" s="38">
        <f>SUM(G38:G40)</f>
        <v>5</v>
      </c>
      <c r="H42" s="21">
        <f>IF($G$45&lt;&gt;0,G42/$G$45,"")</f>
        <v>1.4970059880239521E-2</v>
      </c>
      <c r="J42" s="40"/>
      <c r="K42" s="41">
        <f>SUM(K38:K41)</f>
        <v>5</v>
      </c>
      <c r="L42" s="22">
        <f>IF('Sumário 2'!L11&lt;&gt;0,K42/'Sumário 2'!L11,"")</f>
        <v>9.8254991353560793E-4</v>
      </c>
    </row>
    <row r="43" spans="1:12" ht="6" customHeight="1" x14ac:dyDescent="0.35">
      <c r="A43" s="47"/>
      <c r="B43" s="40"/>
      <c r="C43" s="40"/>
      <c r="D43" s="40"/>
      <c r="E43" s="40"/>
      <c r="F43" s="40"/>
      <c r="G43" s="40"/>
      <c r="H43" s="40"/>
      <c r="I43" s="40"/>
      <c r="J43" s="40"/>
      <c r="K43" s="40"/>
      <c r="L43" s="48"/>
    </row>
    <row r="44" spans="1:12" ht="6" customHeight="1" x14ac:dyDescent="0.35">
      <c r="A44" s="43"/>
      <c r="B44" s="37"/>
      <c r="C44" s="37"/>
      <c r="D44" s="37"/>
      <c r="E44" s="37"/>
      <c r="F44" s="37"/>
      <c r="G44" s="37"/>
      <c r="H44" s="37"/>
      <c r="I44" s="37"/>
      <c r="J44" s="37"/>
      <c r="K44" s="37"/>
      <c r="L44" s="42"/>
    </row>
    <row r="45" spans="1:12" ht="13.5" x14ac:dyDescent="0.35">
      <c r="A45" s="43"/>
      <c r="B45" s="210" t="s">
        <v>1401</v>
      </c>
      <c r="C45" s="210"/>
      <c r="D45" s="210"/>
      <c r="E45" s="210"/>
      <c r="F45" s="210"/>
      <c r="G45" s="38">
        <f>SUM(G14+G21+G28+G35+G42)</f>
        <v>334</v>
      </c>
      <c r="H45" s="37"/>
      <c r="I45" s="37"/>
      <c r="J45" s="37"/>
      <c r="K45" s="37"/>
      <c r="L45" s="42"/>
    </row>
    <row r="46" spans="1:12" ht="13.5" x14ac:dyDescent="0.35">
      <c r="A46" s="43"/>
      <c r="B46" s="210" t="s">
        <v>1402</v>
      </c>
      <c r="C46" s="210"/>
      <c r="D46" s="210"/>
      <c r="E46" s="210"/>
      <c r="F46" s="210"/>
      <c r="G46" s="38">
        <f>(C10+C11+C12)*4+(C17+C18+C19)*5+(C24+C25+C26)*4+(C31+C32+C33)*7+(C38+C39+C40)*5</f>
        <v>328</v>
      </c>
      <c r="H46" s="37"/>
      <c r="I46" s="37"/>
      <c r="J46" s="37"/>
      <c r="K46" s="37"/>
      <c r="L46" s="42"/>
    </row>
    <row r="47" spans="1:12" ht="13.5" x14ac:dyDescent="0.35">
      <c r="A47" s="43"/>
      <c r="B47" s="210" t="s">
        <v>1403</v>
      </c>
      <c r="C47" s="210"/>
      <c r="D47" s="210"/>
      <c r="E47" s="210"/>
      <c r="F47" s="210"/>
      <c r="G47" s="38">
        <f>(C31+C32+C33)*35+(C38+C39+C40)*15</f>
        <v>295</v>
      </c>
      <c r="H47" s="37"/>
      <c r="I47" s="37"/>
      <c r="J47" s="37"/>
      <c r="K47" s="37"/>
      <c r="L47" s="42"/>
    </row>
    <row r="48" spans="1:12" ht="13.5" x14ac:dyDescent="0.35">
      <c r="A48" s="43"/>
      <c r="B48" s="37"/>
      <c r="C48" s="37"/>
      <c r="D48" s="37"/>
      <c r="E48" s="37"/>
      <c r="F48" s="37"/>
      <c r="G48" s="37"/>
      <c r="H48" s="37"/>
      <c r="I48" s="37"/>
      <c r="J48" s="37"/>
      <c r="K48" s="37"/>
      <c r="L48" s="42"/>
    </row>
    <row r="49" spans="1:12" ht="13.5" x14ac:dyDescent="0.35">
      <c r="A49" s="43"/>
      <c r="B49" s="37"/>
      <c r="C49" s="37"/>
      <c r="D49" s="37"/>
      <c r="E49" s="37"/>
      <c r="F49" s="37"/>
      <c r="G49" s="37"/>
      <c r="H49" s="37"/>
      <c r="I49" s="37"/>
      <c r="J49" s="37"/>
      <c r="K49" s="37"/>
      <c r="L49" s="42"/>
    </row>
    <row r="50" spans="1:12" ht="13.5" x14ac:dyDescent="0.35">
      <c r="A50" s="43"/>
      <c r="B50" s="37"/>
      <c r="C50" s="37"/>
      <c r="D50" s="37"/>
      <c r="E50" s="37"/>
      <c r="F50" s="37"/>
      <c r="G50" s="37"/>
      <c r="H50" s="37"/>
      <c r="I50" s="37"/>
      <c r="J50" s="37"/>
      <c r="K50" s="37"/>
      <c r="L50" s="42"/>
    </row>
    <row r="51" spans="1:12" ht="13.5" x14ac:dyDescent="0.35">
      <c r="A51" s="43"/>
      <c r="B51" s="37"/>
      <c r="C51" s="37"/>
      <c r="D51" s="37"/>
      <c r="E51" s="37"/>
      <c r="F51" s="37"/>
      <c r="G51" s="37"/>
      <c r="H51" s="37"/>
      <c r="I51" s="37"/>
      <c r="J51" s="37"/>
      <c r="K51" s="37"/>
      <c r="L51" s="42"/>
    </row>
    <row r="52" spans="1:12" ht="13.5" x14ac:dyDescent="0.35">
      <c r="A52" s="50"/>
      <c r="B52" s="51"/>
      <c r="C52" s="51"/>
      <c r="D52" s="51"/>
      <c r="E52" s="51"/>
      <c r="F52" s="51"/>
      <c r="G52" s="51"/>
      <c r="H52" s="51"/>
      <c r="I52" s="51"/>
      <c r="J52" s="51"/>
      <c r="K52" s="51"/>
      <c r="L52" s="52"/>
    </row>
  </sheetData>
  <sheetProtection selectLockedCells="1" selectUnlockedCells="1"/>
  <mergeCells count="16">
    <mergeCell ref="B45:F45"/>
    <mergeCell ref="B46:F46"/>
    <mergeCell ref="B47:F47"/>
    <mergeCell ref="A7:B8"/>
    <mergeCell ref="C7:F8"/>
    <mergeCell ref="G7:G8"/>
    <mergeCell ref="H7:H8"/>
    <mergeCell ref="J7:K8"/>
    <mergeCell ref="L7:L8"/>
    <mergeCell ref="A1:L3"/>
    <mergeCell ref="A4:E4"/>
    <mergeCell ref="F4:L4"/>
    <mergeCell ref="A5:E5"/>
    <mergeCell ref="F5:L5"/>
    <mergeCell ref="A6:E6"/>
    <mergeCell ref="F6:L6"/>
  </mergeCells>
  <pageMargins left="0.51180555555555551" right="0.51180555555555551" top="0.78749999999999998" bottom="0.78749999999999998" header="0.51180555555555551" footer="0.31527777777777777"/>
  <pageSetup paperSize="9" firstPageNumber="0" orientation="portrait" horizontalDpi="300" verticalDpi="300" r:id="rId1"/>
  <headerFooter alignWithMargins="0">
    <oddFooter>&amp;CPágina &amp;P de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5"/>
  <dimension ref="A1:M70"/>
  <sheetViews>
    <sheetView showGridLines="0" view="pageBreakPreview" zoomScaleSheetLayoutView="100" workbookViewId="0">
      <pane ySplit="6" topLeftCell="A9" activePane="bottomLeft" state="frozen"/>
      <selection activeCell="B11" sqref="B11"/>
      <selection pane="bottomLeft" activeCell="L14" sqref="L14"/>
    </sheetView>
  </sheetViews>
  <sheetFormatPr defaultColWidth="11.54296875" defaultRowHeight="12.5" x14ac:dyDescent="0.25"/>
  <cols>
    <col min="1" max="1" width="3.1796875" customWidth="1"/>
    <col min="2" max="2" width="32.54296875" customWidth="1"/>
    <col min="3" max="3" width="36.453125" customWidth="1"/>
    <col min="4" max="4" width="7" customWidth="1"/>
    <col min="5" max="5" width="9.81640625" customWidth="1"/>
    <col min="6" max="6" width="9.453125" customWidth="1"/>
    <col min="7" max="8" width="12.453125" customWidth="1"/>
    <col min="9" max="9" width="12.54296875" customWidth="1"/>
    <col min="10" max="10" width="7.54296875" customWidth="1"/>
    <col min="11" max="11" width="2.1796875" customWidth="1"/>
    <col min="12" max="12" width="13.54296875" customWidth="1"/>
    <col min="13" max="13" width="1.81640625" customWidth="1"/>
  </cols>
  <sheetData>
    <row r="1" spans="1:13" x14ac:dyDescent="0.25">
      <c r="A1" s="170" t="s">
        <v>1404</v>
      </c>
      <c r="B1" s="170"/>
      <c r="C1" s="170"/>
      <c r="D1" s="170"/>
      <c r="E1" s="170"/>
      <c r="F1" s="170"/>
      <c r="G1" s="170"/>
      <c r="H1" s="170"/>
      <c r="I1" s="170"/>
      <c r="J1" s="170"/>
      <c r="K1" s="170"/>
      <c r="L1" s="170"/>
      <c r="M1" s="170"/>
    </row>
    <row r="2" spans="1:13" x14ac:dyDescent="0.25">
      <c r="A2" s="170"/>
      <c r="B2" s="170"/>
      <c r="C2" s="170"/>
      <c r="D2" s="170"/>
      <c r="E2" s="170"/>
      <c r="F2" s="170"/>
      <c r="G2" s="170"/>
      <c r="H2" s="170"/>
      <c r="I2" s="170"/>
      <c r="J2" s="170"/>
      <c r="K2" s="170"/>
      <c r="L2" s="170"/>
      <c r="M2" s="170"/>
    </row>
    <row r="3" spans="1:13" x14ac:dyDescent="0.25">
      <c r="A3" s="170"/>
      <c r="B3" s="170"/>
      <c r="C3" s="170"/>
      <c r="D3" s="170"/>
      <c r="E3" s="170"/>
      <c r="F3" s="170"/>
      <c r="G3" s="170"/>
      <c r="H3" s="170"/>
      <c r="I3" s="170"/>
      <c r="J3" s="170"/>
      <c r="K3" s="170"/>
      <c r="L3" s="170"/>
      <c r="M3" s="170"/>
    </row>
    <row r="4" spans="1:13" x14ac:dyDescent="0.25">
      <c r="A4" s="209" t="str">
        <f>Contagem!A5&amp;" : "&amp;Contagem!F5</f>
        <v xml:space="preserve">Aplicação : </v>
      </c>
      <c r="B4" s="209"/>
      <c r="C4" s="209"/>
      <c r="D4" s="209"/>
      <c r="E4" s="209"/>
      <c r="F4" s="184" t="str">
        <f>Contagem!A8&amp;" : "&amp;Contagem!F8</f>
        <v>Projeto : SIABI - Sistema de Avaliação de Imóveis</v>
      </c>
      <c r="G4" s="184"/>
      <c r="H4" s="184"/>
      <c r="I4" s="184"/>
      <c r="J4" s="184"/>
      <c r="K4" s="184"/>
      <c r="L4" s="184"/>
      <c r="M4" s="184"/>
    </row>
    <row r="5" spans="1:13" x14ac:dyDescent="0.25">
      <c r="A5" s="213" t="str">
        <f>Contagem!A9&amp;" : "&amp;Contagem!F9</f>
        <v>Responsável : Luana Alves de Araujo Passos Aguiar</v>
      </c>
      <c r="B5" s="213"/>
      <c r="C5" s="213"/>
      <c r="D5" s="213"/>
      <c r="E5" s="213"/>
      <c r="F5" s="184" t="str">
        <f>Contagem!A10&amp;" : "&amp;Contagem!F10</f>
        <v xml:space="preserve">Revisor : </v>
      </c>
      <c r="G5" s="184"/>
      <c r="H5" s="184"/>
      <c r="I5" s="184"/>
      <c r="J5" s="184"/>
      <c r="K5" s="184"/>
      <c r="L5" s="184"/>
      <c r="M5" s="184"/>
    </row>
    <row r="6" spans="1:13" x14ac:dyDescent="0.25">
      <c r="A6" s="213" t="str">
        <f>Contagem!A4&amp;" : "&amp;Contagem!F4</f>
        <v>Empresa : Secretaria de Estado de Planejamento e Gestão de Mato Grosso</v>
      </c>
      <c r="B6" s="213"/>
      <c r="C6" s="213"/>
      <c r="D6" s="213"/>
      <c r="E6" s="213"/>
      <c r="F6" s="184" t="str">
        <f>"Tipo de Contagem : "&amp;Contagem!F6</f>
        <v>Tipo de Contagem : Projeto de Desenvolvimento</v>
      </c>
      <c r="G6" s="184"/>
      <c r="H6" s="184"/>
      <c r="I6" s="184"/>
      <c r="J6" s="184"/>
      <c r="K6" s="184"/>
      <c r="L6" s="184"/>
      <c r="M6" s="184"/>
    </row>
    <row r="7" spans="1:13" x14ac:dyDescent="0.25">
      <c r="A7" s="67"/>
      <c r="M7" s="68"/>
    </row>
    <row r="8" spans="1:13" ht="13.5" x14ac:dyDescent="0.35">
      <c r="A8" s="67"/>
      <c r="B8" s="214"/>
      <c r="C8" s="214"/>
      <c r="D8" s="214"/>
      <c r="E8" s="214"/>
      <c r="F8" s="214"/>
      <c r="G8" s="214"/>
      <c r="H8" s="214"/>
      <c r="I8" s="214"/>
      <c r="M8" s="68"/>
    </row>
    <row r="9" spans="1:13" ht="13.5" x14ac:dyDescent="0.35">
      <c r="A9" s="67"/>
      <c r="B9" s="215" t="s">
        <v>1405</v>
      </c>
      <c r="C9" s="215"/>
      <c r="D9" s="215"/>
      <c r="E9" s="23" t="s">
        <v>1378</v>
      </c>
      <c r="F9" s="23" t="s">
        <v>3</v>
      </c>
      <c r="G9" s="23" t="s">
        <v>1406</v>
      </c>
      <c r="H9" s="23" t="s">
        <v>1407</v>
      </c>
      <c r="I9" s="23" t="s">
        <v>8</v>
      </c>
      <c r="J9" s="23" t="s">
        <v>1408</v>
      </c>
      <c r="M9" s="68"/>
    </row>
    <row r="10" spans="1:13" ht="13.5" customHeight="1" x14ac:dyDescent="0.35">
      <c r="A10" s="67"/>
      <c r="B10" s="168" t="str">
        <f>""&amp;Deflatores!B4</f>
        <v>Inclusão</v>
      </c>
      <c r="C10" s="168"/>
      <c r="D10" s="12" t="str">
        <f>""&amp;Deflatores!G4</f>
        <v>I</v>
      </c>
      <c r="E10" s="89">
        <f>IF(D10="","",COUNTIF(Funções!C$86:C$188,D10))</f>
        <v>83</v>
      </c>
      <c r="F10" s="90">
        <f>SUMIF(Funções!$C$86:$C$188,Deflatores!G4,Funções!$H$86:$H$188)</f>
        <v>340</v>
      </c>
      <c r="G10" s="91">
        <f>IF(ISBLANK(Deflatores!H4),"",Deflatores!H4)</f>
        <v>1</v>
      </c>
      <c r="H10" s="90" t="str">
        <f>IF(ISBLANK(Deflatores!I4),"",Deflatores!I4)</f>
        <v/>
      </c>
      <c r="I10" s="92">
        <f>IF(F10=0,Deflatores!K4,F10*G10)</f>
        <v>340</v>
      </c>
      <c r="J10" s="93">
        <f t="shared" ref="J10:J44" si="0">IF($L$11&lt;&gt;0,I10/$L$11,"")</f>
        <v>6.6813394120421338E-2</v>
      </c>
      <c r="L10" s="28" t="s">
        <v>8</v>
      </c>
      <c r="M10" s="42"/>
    </row>
    <row r="11" spans="1:13" ht="13.5" customHeight="1" x14ac:dyDescent="0.35">
      <c r="A11" s="67"/>
      <c r="B11" s="168" t="str">
        <f>""&amp;Deflatores!B5</f>
        <v>Alteração (sem conhecimento do Fator de Impacto)</v>
      </c>
      <c r="C11" s="168"/>
      <c r="D11" s="12" t="str">
        <f>""&amp;Deflatores!G5</f>
        <v>A</v>
      </c>
      <c r="E11" s="89">
        <f>IF(D11="","",COUNTIF(Funções!C$86:C$188,D11))</f>
        <v>0</v>
      </c>
      <c r="F11" s="90">
        <f>SUMIF(Funções!$C$86:$C$188,Deflatores!G5,Funções!$H$86:$H$188)</f>
        <v>0</v>
      </c>
      <c r="G11" s="91">
        <f>IF(ISBLANK(Deflatores!H5),"",Deflatores!H5)</f>
        <v>0.5</v>
      </c>
      <c r="H11" s="90" t="str">
        <f>IF(ISBLANK(Deflatores!I5),"",Deflatores!I5)</f>
        <v/>
      </c>
      <c r="I11" s="92">
        <f>IF(F11=0,Deflatores!K5,F11*G11)</f>
        <v>0</v>
      </c>
      <c r="J11" s="93">
        <f t="shared" si="0"/>
        <v>0</v>
      </c>
      <c r="K11" s="79"/>
      <c r="L11" s="29">
        <f>Contagem!Q6</f>
        <v>5088.7999999999984</v>
      </c>
      <c r="M11" s="42"/>
    </row>
    <row r="12" spans="1:13" ht="13.5" customHeight="1" x14ac:dyDescent="0.35">
      <c r="A12" s="67"/>
      <c r="B12" s="168" t="str">
        <f>""&amp;Deflatores!B6</f>
        <v>Exclusão</v>
      </c>
      <c r="C12" s="168"/>
      <c r="D12" s="12" t="str">
        <f>""&amp;Deflatores!G6</f>
        <v>E</v>
      </c>
      <c r="E12" s="89">
        <f>IF(D12="","",COUNTIF(Funções!C$86:C$188,D12))</f>
        <v>2</v>
      </c>
      <c r="F12" s="90">
        <f>SUMIF(Funções!$C$86:$C$188,Deflatores!G6,Funções!$H$86:$H$188)</f>
        <v>6</v>
      </c>
      <c r="G12" s="91">
        <f>IF(ISBLANK(Deflatores!H6),"",Deflatores!H6)</f>
        <v>0.4</v>
      </c>
      <c r="H12" s="90" t="str">
        <f>IF(ISBLANK(Deflatores!I6),"",Deflatores!I6)</f>
        <v/>
      </c>
      <c r="I12" s="92">
        <f>IF(F12=0,Deflatores!K6,F12*G12)</f>
        <v>2.4000000000000004</v>
      </c>
      <c r="J12" s="93">
        <f t="shared" si="0"/>
        <v>4.7162395849709187E-4</v>
      </c>
      <c r="K12" s="79"/>
      <c r="L12" s="80"/>
      <c r="M12" s="42"/>
    </row>
    <row r="13" spans="1:13" ht="13.5" customHeight="1" x14ac:dyDescent="0.35">
      <c r="A13" s="67"/>
      <c r="B13" s="168" t="str">
        <f>""&amp;Deflatores!B7</f>
        <v>Alteração (50%) de função desenvolvida ou já alterada pela empresa atual</v>
      </c>
      <c r="C13" s="168"/>
      <c r="D13" s="12" t="str">
        <f>""&amp;Deflatores!G7</f>
        <v>A50</v>
      </c>
      <c r="E13" s="89">
        <f>IF(D13="","",COUNTIF(Funções!C$86:C$188,D13))</f>
        <v>0</v>
      </c>
      <c r="F13" s="90">
        <f>SUMIF(Funções!$C$86:$C$188,Deflatores!G7,Funções!$H$86:$H$188)</f>
        <v>0</v>
      </c>
      <c r="G13" s="91">
        <f>IF(ISBLANK(Deflatores!H7),"",Deflatores!H7)</f>
        <v>0.5</v>
      </c>
      <c r="H13" s="90" t="str">
        <f>IF(ISBLANK(Deflatores!I7),"",Deflatores!I7)</f>
        <v/>
      </c>
      <c r="I13" s="92">
        <f>Deflatores!K7</f>
        <v>0</v>
      </c>
      <c r="J13" s="93">
        <f t="shared" si="0"/>
        <v>0</v>
      </c>
      <c r="K13" s="79"/>
      <c r="L13" s="28" t="s">
        <v>1409</v>
      </c>
      <c r="M13" s="42"/>
    </row>
    <row r="14" spans="1:13" ht="13.5" customHeight="1" x14ac:dyDescent="0.35">
      <c r="A14" s="67"/>
      <c r="B14" s="168" t="str">
        <f>""&amp;Deflatores!B8</f>
        <v>Alteração (75%) de função não desenv. e ainda não alterada pela empresa atual</v>
      </c>
      <c r="C14" s="168"/>
      <c r="D14" s="12" t="str">
        <f>""&amp;Deflatores!G8</f>
        <v>A75</v>
      </c>
      <c r="E14" s="89">
        <f>IF(D14="","",COUNTIF(Funções!C$86:C$188,D14))</f>
        <v>0</v>
      </c>
      <c r="F14" s="90">
        <f>SUMIF(Funções!$C$86:$C$188,Deflatores!G8,Funções!$H$86:$H$188)</f>
        <v>0</v>
      </c>
      <c r="G14" s="91">
        <f>IF(ISBLANK(Deflatores!H8),"",Deflatores!H8)</f>
        <v>0.75</v>
      </c>
      <c r="H14" s="90" t="str">
        <f>IF(ISBLANK(Deflatores!I8),"",Deflatores!I8)</f>
        <v/>
      </c>
      <c r="I14" s="92">
        <f>Deflatores!K8</f>
        <v>0</v>
      </c>
      <c r="J14" s="93">
        <f t="shared" si="0"/>
        <v>0</v>
      </c>
      <c r="L14" s="29">
        <f>Contagem!Q4</f>
        <v>5222</v>
      </c>
      <c r="M14" s="42"/>
    </row>
    <row r="15" spans="1:13" ht="13.5" customHeight="1" x14ac:dyDescent="0.25">
      <c r="A15" s="67"/>
      <c r="B15" s="168" t="str">
        <f>""&amp;Deflatores!B9</f>
        <v>Alteração (75%+15%): o mesmo acima + redocumentar a função</v>
      </c>
      <c r="C15" s="168"/>
      <c r="D15" s="12" t="str">
        <f>""&amp;Deflatores!G9</f>
        <v>A90</v>
      </c>
      <c r="E15" s="89">
        <f>IF(D15="","",COUNTIF(Funções!C$86:C$188,D15))</f>
        <v>0</v>
      </c>
      <c r="F15" s="90">
        <f>SUMIF(Funções!$C$86:$C$188,Deflatores!G9,Funções!$H$86:$H$188)</f>
        <v>0</v>
      </c>
      <c r="G15" s="91">
        <f>IF(ISBLANK(Deflatores!H9),"",Deflatores!H9)</f>
        <v>0.9</v>
      </c>
      <c r="H15" s="90" t="str">
        <f>IF(ISBLANK(Deflatores!I9),"",Deflatores!I9)</f>
        <v/>
      </c>
      <c r="I15" s="92">
        <f>Deflatores!K9</f>
        <v>0</v>
      </c>
      <c r="J15" s="93">
        <f t="shared" si="0"/>
        <v>0</v>
      </c>
      <c r="M15" s="68"/>
    </row>
    <row r="16" spans="1:13" ht="13.5" customHeight="1" x14ac:dyDescent="0.25">
      <c r="A16" s="67"/>
      <c r="B16" s="168" t="str">
        <f>""&amp;Deflatores!B10</f>
        <v>Migração de Dados</v>
      </c>
      <c r="C16" s="168"/>
      <c r="D16" s="12" t="str">
        <f>""&amp;Deflatores!G10</f>
        <v>PMD</v>
      </c>
      <c r="E16" s="89">
        <f>IF(D16="","",COUNTIF(Funções!C$86:C$188,D16))</f>
        <v>0</v>
      </c>
      <c r="F16" s="90">
        <f>SUMIF(Funções!$C$86:$C$188,Deflatores!G10,Funções!$H$86:$H$188)</f>
        <v>0</v>
      </c>
      <c r="G16" s="91">
        <f>IF(ISBLANK(Deflatores!H10),"",Deflatores!H10)</f>
        <v>1</v>
      </c>
      <c r="H16" s="90" t="str">
        <f>IF(ISBLANK(Deflatores!I10),"",Deflatores!I10)</f>
        <v/>
      </c>
      <c r="I16" s="92">
        <f>Deflatores!K10</f>
        <v>0</v>
      </c>
      <c r="J16" s="93">
        <f t="shared" si="0"/>
        <v>0</v>
      </c>
      <c r="M16" s="68"/>
    </row>
    <row r="17" spans="1:13" ht="13.5" customHeight="1" x14ac:dyDescent="0.25">
      <c r="A17" s="67"/>
      <c r="B17" s="168" t="str">
        <f>""&amp;Deflatores!B11</f>
        <v>Corretiva (sem conhecimento do Fator de Impacto)</v>
      </c>
      <c r="C17" s="168"/>
      <c r="D17" s="12" t="str">
        <f>""&amp;Deflatores!G11</f>
        <v>COR</v>
      </c>
      <c r="E17" s="89">
        <f>IF(D17="","",COUNTIF(Funções!C$86:C$188,D17))</f>
        <v>0</v>
      </c>
      <c r="F17" s="90">
        <f>SUMIF(Funções!$C$86:$C$188,Deflatores!G11,Funções!$H$86:$H$188)</f>
        <v>0</v>
      </c>
      <c r="G17" s="91">
        <f>IF(ISBLANK(Deflatores!H11),"",Deflatores!H11)</f>
        <v>0.5</v>
      </c>
      <c r="H17" s="90" t="str">
        <f>IF(ISBLANK(Deflatores!I11),"",Deflatores!I11)</f>
        <v/>
      </c>
      <c r="I17" s="92">
        <f>Deflatores!K11</f>
        <v>0</v>
      </c>
      <c r="J17" s="93">
        <f>IF($L$11&lt;&gt;0,I17/$L$11,"")</f>
        <v>0</v>
      </c>
      <c r="M17" s="68"/>
    </row>
    <row r="18" spans="1:13" ht="13.5" customHeight="1" x14ac:dyDescent="0.25">
      <c r="A18" s="67"/>
      <c r="B18" s="168" t="str">
        <f>""&amp;Deflatores!B12</f>
        <v>Corretiva (50%) - Fora da garantia (mesma empresa)</v>
      </c>
      <c r="C18" s="168"/>
      <c r="D18" s="12" t="str">
        <f>""&amp;Deflatores!G12</f>
        <v>COR50</v>
      </c>
      <c r="E18" s="89">
        <f>IF(D18="","",COUNTIF(Funções!C$86:C$188,D18))</f>
        <v>0</v>
      </c>
      <c r="F18" s="90">
        <f>SUMIF(Funções!$C$86:$C$188,Deflatores!G12,Funções!$H$86:$H$188)</f>
        <v>0</v>
      </c>
      <c r="G18" s="91">
        <f>IF(ISBLANK(Deflatores!H12),"",Deflatores!H12)</f>
        <v>0.5</v>
      </c>
      <c r="H18" s="90" t="str">
        <f>IF(ISBLANK(Deflatores!I12),"",Deflatores!I12)</f>
        <v/>
      </c>
      <c r="I18" s="92">
        <f>Deflatores!K12</f>
        <v>0</v>
      </c>
      <c r="J18" s="93">
        <f t="shared" si="0"/>
        <v>0</v>
      </c>
      <c r="M18" s="68"/>
    </row>
    <row r="19" spans="1:13" ht="13.5" customHeight="1" x14ac:dyDescent="0.25">
      <c r="A19" s="67"/>
      <c r="B19" s="168" t="str">
        <f>""&amp;Deflatores!B13</f>
        <v>Corretiva (75%) - Fora da garantia (outra empresa)</v>
      </c>
      <c r="C19" s="168"/>
      <c r="D19" s="12" t="str">
        <f>""&amp;Deflatores!G13</f>
        <v>COR75</v>
      </c>
      <c r="E19" s="89">
        <f>IF(D19="","",COUNTIF(Funções!C$86:C$188,D19))</f>
        <v>0</v>
      </c>
      <c r="F19" s="90">
        <f>SUMIF(Funções!$C$86:$C$188,Deflatores!G13,Funções!$H$86:$H$188)</f>
        <v>0</v>
      </c>
      <c r="G19" s="91">
        <f>IF(ISBLANK(Deflatores!H13),"",Deflatores!H13)</f>
        <v>0.75</v>
      </c>
      <c r="H19" s="90" t="str">
        <f>IF(ISBLANK(Deflatores!I13),"",Deflatores!I13)</f>
        <v/>
      </c>
      <c r="I19" s="92">
        <f>Deflatores!K13</f>
        <v>0</v>
      </c>
      <c r="J19" s="93">
        <f t="shared" si="0"/>
        <v>0</v>
      </c>
      <c r="M19" s="68"/>
    </row>
    <row r="20" spans="1:13" ht="13.5" customHeight="1" x14ac:dyDescent="0.25">
      <c r="A20" s="67"/>
      <c r="B20" s="168" t="str">
        <f>""&amp;Deflatores!B14</f>
        <v>Corretiva (75%+15%) - Fora da garantia (outra empresa) + Redocumentação</v>
      </c>
      <c r="C20" s="168"/>
      <c r="D20" s="12" t="str">
        <f>""&amp;Deflatores!G14</f>
        <v>COR90</v>
      </c>
      <c r="E20" s="89">
        <f>IF(D20="","",COUNTIF(Funções!C$86:C$188,D20))</f>
        <v>0</v>
      </c>
      <c r="F20" s="90">
        <f>SUMIF(Funções!$C$86:$C$188,Deflatores!G14,Funções!$H$86:$H$188)</f>
        <v>0</v>
      </c>
      <c r="G20" s="91">
        <f>IF(ISBLANK(Deflatores!H14),"",Deflatores!H14)</f>
        <v>0.9</v>
      </c>
      <c r="H20" s="90" t="str">
        <f>IF(ISBLANK(Deflatores!I14),"",Deflatores!I14)</f>
        <v/>
      </c>
      <c r="I20" s="92">
        <f>Deflatores!K14</f>
        <v>0</v>
      </c>
      <c r="J20" s="93">
        <f>IF($L$11&lt;&gt;0,I20/$L$11,"")</f>
        <v>0</v>
      </c>
      <c r="M20" s="68"/>
    </row>
    <row r="21" spans="1:13" ht="13.5" customHeight="1" x14ac:dyDescent="0.25">
      <c r="A21" s="67"/>
      <c r="B21" s="168" t="str">
        <f>""&amp;Deflatores!B15</f>
        <v>Corretiva em Garantia</v>
      </c>
      <c r="C21" s="168"/>
      <c r="D21" s="12" t="str">
        <f>""&amp;Deflatores!G15</f>
        <v>GAR</v>
      </c>
      <c r="E21" s="89">
        <f>IF(D21="","",COUNTIF(Funções!C$86:C$188,D21))</f>
        <v>0</v>
      </c>
      <c r="F21" s="90">
        <f>SUMIF(Funções!$C$86:$C$188,Deflatores!G15,Funções!$H$86:$H$188)</f>
        <v>0</v>
      </c>
      <c r="G21" s="91">
        <f>IF(ISBLANK(Deflatores!H15),"",Deflatores!H15)</f>
        <v>0</v>
      </c>
      <c r="H21" s="90" t="str">
        <f>IF(ISBLANK(Deflatores!I15),"",Deflatores!I15)</f>
        <v/>
      </c>
      <c r="I21" s="92">
        <f>Deflatores!K15</f>
        <v>0</v>
      </c>
      <c r="J21" s="93">
        <f>IF($L$11&lt;&gt;0,I21/$L$11,"")</f>
        <v>0</v>
      </c>
      <c r="M21" s="68"/>
    </row>
    <row r="22" spans="1:13" ht="13.5" customHeight="1" x14ac:dyDescent="0.25">
      <c r="A22" s="67"/>
      <c r="B22" s="168" t="str">
        <f>""&amp;Deflatores!B16</f>
        <v>Mudança de Plataforma - Linguagem de Programação</v>
      </c>
      <c r="C22" s="168"/>
      <c r="D22" s="12" t="str">
        <f>""&amp;Deflatores!G16</f>
        <v>MLP</v>
      </c>
      <c r="E22" s="89">
        <f>IF(D22="","",COUNTIF(Funções!C$86:C$188,D22))</f>
        <v>0</v>
      </c>
      <c r="F22" s="90">
        <f>SUMIF(Funções!$C$86:$C$188,Deflatores!G16,Funções!$H$86:$H$188)</f>
        <v>0</v>
      </c>
      <c r="G22" s="91">
        <f>IF(ISBLANK(Deflatores!H16),"",Deflatores!H16)</f>
        <v>1</v>
      </c>
      <c r="H22" s="90" t="str">
        <f>IF(ISBLANK(Deflatores!I16),"",Deflatores!I16)</f>
        <v/>
      </c>
      <c r="I22" s="92">
        <f>Deflatores!K16</f>
        <v>0</v>
      </c>
      <c r="J22" s="93">
        <f t="shared" si="0"/>
        <v>0</v>
      </c>
      <c r="M22" s="68"/>
    </row>
    <row r="23" spans="1:13" ht="13.5" customHeight="1" x14ac:dyDescent="0.25">
      <c r="A23" s="67"/>
      <c r="B23" s="168" t="str">
        <f>""&amp;Deflatores!B17</f>
        <v>Mudança de Plataforma - Banco de Dados (outro paradigma)</v>
      </c>
      <c r="C23" s="168"/>
      <c r="D23" s="12" t="str">
        <f>""&amp;Deflatores!G17</f>
        <v>MBO</v>
      </c>
      <c r="E23" s="89">
        <f>IF(D23="","",COUNTIF(Funções!C$86:C$188,D23))</f>
        <v>0</v>
      </c>
      <c r="F23" s="90">
        <f>SUMIF(Funções!$C$86:$C$188,Deflatores!G17,Funções!$H$86:$H$188)</f>
        <v>0</v>
      </c>
      <c r="G23" s="91">
        <f>IF(ISBLANK(Deflatores!H17),"",Deflatores!H17)</f>
        <v>1</v>
      </c>
      <c r="H23" s="90" t="str">
        <f>IF(ISBLANK(Deflatores!I17),"",Deflatores!I17)</f>
        <v/>
      </c>
      <c r="I23" s="92">
        <f>Deflatores!K17</f>
        <v>0</v>
      </c>
      <c r="J23" s="93">
        <f t="shared" si="0"/>
        <v>0</v>
      </c>
      <c r="M23" s="68"/>
    </row>
    <row r="24" spans="1:13" ht="13.5" customHeight="1" x14ac:dyDescent="0.25">
      <c r="A24" s="67"/>
      <c r="B24" s="168" t="str">
        <f>""&amp;Deflatores!B18</f>
        <v>Mudança de Plataforma - Banco de Dados (mesmo paradigma com alterações)</v>
      </c>
      <c r="C24" s="168"/>
      <c r="D24" s="12" t="str">
        <f>""&amp;Deflatores!G18</f>
        <v>MBM</v>
      </c>
      <c r="E24" s="89">
        <f>IF(D24="","",COUNTIF(Funções!C$86:C$188,D24))</f>
        <v>0</v>
      </c>
      <c r="F24" s="90">
        <f>SUMIF(Funções!$C$86:$C$188,Deflatores!G18,Funções!$H$86:$H$188)</f>
        <v>0</v>
      </c>
      <c r="G24" s="91">
        <f>IF(ISBLANK(Deflatores!H18),"",Deflatores!H18)</f>
        <v>0.3</v>
      </c>
      <c r="H24" s="90" t="str">
        <f>IF(ISBLANK(Deflatores!I18),"",Deflatores!I18)</f>
        <v/>
      </c>
      <c r="I24" s="92">
        <f>Deflatores!K18</f>
        <v>0</v>
      </c>
      <c r="J24" s="93">
        <f t="shared" si="0"/>
        <v>0</v>
      </c>
      <c r="K24" s="79"/>
      <c r="M24" s="68"/>
    </row>
    <row r="25" spans="1:13" ht="13.5" customHeight="1" x14ac:dyDescent="0.25">
      <c r="A25" s="67"/>
      <c r="B25" s="168" t="str">
        <f>""&amp;Deflatores!B19</f>
        <v>Atualização de Versão – Linguagem de Programação</v>
      </c>
      <c r="C25" s="168"/>
      <c r="D25" s="12" t="str">
        <f>""&amp;Deflatores!G19</f>
        <v>ALP</v>
      </c>
      <c r="E25" s="89">
        <f>IF(D25="","",COUNTIF(Funções!C$86:C$188,D25))</f>
        <v>0</v>
      </c>
      <c r="F25" s="90">
        <f>SUMIF(Funções!$C$86:$C$188,Deflatores!G19,Funções!$H$86:$H$188)</f>
        <v>0</v>
      </c>
      <c r="G25" s="91">
        <f>IF(ISBLANK(Deflatores!H19),"",Deflatores!H19)</f>
        <v>0.3</v>
      </c>
      <c r="H25" s="90" t="str">
        <f>IF(ISBLANK(Deflatores!I19),"",Deflatores!I19)</f>
        <v/>
      </c>
      <c r="I25" s="92">
        <f>Deflatores!K19</f>
        <v>0</v>
      </c>
      <c r="J25" s="93">
        <f t="shared" si="0"/>
        <v>0</v>
      </c>
      <c r="K25" s="79"/>
      <c r="M25" s="68"/>
    </row>
    <row r="26" spans="1:13" ht="13.5" customHeight="1" x14ac:dyDescent="0.25">
      <c r="A26" s="67"/>
      <c r="B26" s="168" t="str">
        <f>""&amp;Deflatores!B20</f>
        <v>Atualização de Versão – Browser</v>
      </c>
      <c r="C26" s="168"/>
      <c r="D26" s="12" t="str">
        <f>""&amp;Deflatores!G20</f>
        <v>AVB</v>
      </c>
      <c r="E26" s="89">
        <f>IF(D26="","",COUNTIF(Funções!C$86:C$188,D26))</f>
        <v>0</v>
      </c>
      <c r="F26" s="90">
        <f>SUMIF(Funções!$C$86:$C$188,Deflatores!G20,Funções!$H$86:$H$188)</f>
        <v>0</v>
      </c>
      <c r="G26" s="91">
        <f>IF(ISBLANK(Deflatores!H20),"",Deflatores!H20)</f>
        <v>0.3</v>
      </c>
      <c r="H26" s="90" t="str">
        <f>IF(ISBLANK(Deflatores!I20),"",Deflatores!I20)</f>
        <v/>
      </c>
      <c r="I26" s="92">
        <f>Deflatores!K20</f>
        <v>0</v>
      </c>
      <c r="J26" s="93">
        <f t="shared" si="0"/>
        <v>0</v>
      </c>
      <c r="K26" s="79"/>
      <c r="M26" s="68"/>
    </row>
    <row r="27" spans="1:13" ht="13.5" customHeight="1" x14ac:dyDescent="0.25">
      <c r="A27" s="67"/>
      <c r="B27" s="168" t="str">
        <f>""&amp;Deflatores!B21</f>
        <v>Atualização de Versão – Banco de Dados</v>
      </c>
      <c r="C27" s="168"/>
      <c r="D27" s="12" t="str">
        <f>""&amp;Deflatores!G21</f>
        <v>ABD</v>
      </c>
      <c r="E27" s="89">
        <f>IF(D27="","",COUNTIF(Funções!C$86:C$188,D27))</f>
        <v>0</v>
      </c>
      <c r="F27" s="90">
        <f>SUMIF(Funções!$C$86:$C$188,Deflatores!G21,Funções!$H$86:$H$188)</f>
        <v>0</v>
      </c>
      <c r="G27" s="91">
        <f>IF(ISBLANK(Deflatores!H21),"",Deflatores!H21)</f>
        <v>0.3</v>
      </c>
      <c r="H27" s="90" t="str">
        <f>IF(ISBLANK(Deflatores!I21),"",Deflatores!I21)</f>
        <v/>
      </c>
      <c r="I27" s="92">
        <f>Deflatores!K21</f>
        <v>0</v>
      </c>
      <c r="J27" s="93">
        <f t="shared" si="0"/>
        <v>0</v>
      </c>
      <c r="K27" s="79"/>
      <c r="M27" s="68"/>
    </row>
    <row r="28" spans="1:13" ht="13.5" customHeight="1" x14ac:dyDescent="0.25">
      <c r="A28" s="67"/>
      <c r="B28" s="168" t="str">
        <f>""&amp;Deflatores!B22</f>
        <v>Manutenção Cosmética</v>
      </c>
      <c r="C28" s="168"/>
      <c r="D28" s="12" t="str">
        <f>""&amp;Deflatores!G22</f>
        <v>COS</v>
      </c>
      <c r="E28" s="89">
        <f>IF(D28="","",COUNTIF(Funções!C$86:C$188,D28))</f>
        <v>0</v>
      </c>
      <c r="F28" s="90">
        <f>SUMIF(Funções!$C$86:$C$188,Deflatores!G22,Funções!$H$86:$H$188)</f>
        <v>0</v>
      </c>
      <c r="G28" s="91" t="str">
        <f>IF(ISBLANK(Deflatores!H22),"",Deflatores!H22)</f>
        <v/>
      </c>
      <c r="H28" s="90">
        <f>IF(ISBLANK(Deflatores!I22),"",Deflatores!I22)</f>
        <v>0.6</v>
      </c>
      <c r="I28" s="92">
        <f>Deflatores!K22</f>
        <v>0</v>
      </c>
      <c r="J28" s="93">
        <f t="shared" si="0"/>
        <v>0</v>
      </c>
      <c r="M28" s="68"/>
    </row>
    <row r="29" spans="1:13" ht="27" customHeight="1" x14ac:dyDescent="0.25">
      <c r="A29" s="67"/>
      <c r="B29" s="200" t="str">
        <f>""&amp;Deflatores!B23</f>
        <v>Adaptação em Funcionalidades sem Alteração de Requisitos Funcionais
(sem conhecimento do Fator de Impacto)</v>
      </c>
      <c r="C29" s="202"/>
      <c r="D29" s="12" t="str">
        <f>""&amp;Deflatores!G23</f>
        <v>ARN</v>
      </c>
      <c r="E29" s="89">
        <f>IF(D29="","",COUNTIF(Funções!C$86:C$188,D29))</f>
        <v>0</v>
      </c>
      <c r="F29" s="90">
        <f>SUMIF(Funções!$C$86:$C$188,Deflatores!G23,Funções!$H$86:$H$188)</f>
        <v>0</v>
      </c>
      <c r="G29" s="91">
        <f>IF(ISBLANK(Deflatores!H23),"",Deflatores!H23)</f>
        <v>0.5</v>
      </c>
      <c r="H29" s="90" t="str">
        <f>IF(ISBLANK(Deflatores!I23),"",Deflatores!I23)</f>
        <v/>
      </c>
      <c r="I29" s="92">
        <f>Deflatores!K23</f>
        <v>0</v>
      </c>
      <c r="J29" s="93">
        <f>IF($L$11&lt;&gt;0,I29/$L$11,"")</f>
        <v>0</v>
      </c>
      <c r="M29" s="68"/>
    </row>
    <row r="30" spans="1:13" ht="27" customHeight="1" x14ac:dyDescent="0.25">
      <c r="A30" s="67"/>
      <c r="B30" s="200" t="str">
        <f>""&amp;Deflatores!B24</f>
        <v>Adaptação em Funcionalidades sem Alteração de Requisitos Funcionais (50%)
(em função desenvolvida ou já alterada pela empresa atual)</v>
      </c>
      <c r="C30" s="202"/>
      <c r="D30" s="12" t="str">
        <f>""&amp;Deflatores!G24</f>
        <v>ARN50</v>
      </c>
      <c r="E30" s="89">
        <f>IF(D30="","",COUNTIF(Funções!C$86:C$188,D30))</f>
        <v>0</v>
      </c>
      <c r="F30" s="90">
        <f>SUMIF(Funções!$C$86:$C$188,Deflatores!G24,Funções!$H$86:$H$188)</f>
        <v>0</v>
      </c>
      <c r="G30" s="91">
        <f>IF(ISBLANK(Deflatores!H24),"",Deflatores!H24)</f>
        <v>0.5</v>
      </c>
      <c r="H30" s="90" t="str">
        <f>IF(ISBLANK(Deflatores!I24),"",Deflatores!I24)</f>
        <v/>
      </c>
      <c r="I30" s="92">
        <f>Deflatores!K24</f>
        <v>0</v>
      </c>
      <c r="J30" s="93">
        <f t="shared" si="0"/>
        <v>0</v>
      </c>
      <c r="M30" s="68"/>
    </row>
    <row r="31" spans="1:13" ht="27" customHeight="1" x14ac:dyDescent="0.25">
      <c r="A31" s="67"/>
      <c r="B31" s="200" t="str">
        <f>""&amp;Deflatores!B25</f>
        <v>Adaptação em Funcionalidades sem Alteração de Requisitos Funcionais (75%)
(em função não desenvolvida e ainda não alterada pela empresa atual)</v>
      </c>
      <c r="C31" s="202"/>
      <c r="D31" s="12" t="str">
        <f>""&amp;Deflatores!G25</f>
        <v>ARN75</v>
      </c>
      <c r="E31" s="89">
        <f>IF(D31="","",COUNTIF(Funções!C$86:C$188,D31))</f>
        <v>0</v>
      </c>
      <c r="F31" s="90">
        <f>SUMIF(Funções!$C$86:$C$188,Deflatores!G25,Funções!$H$86:$H$188)</f>
        <v>0</v>
      </c>
      <c r="G31" s="91">
        <f>IF(ISBLANK(Deflatores!H25),"",Deflatores!H25)</f>
        <v>0.75</v>
      </c>
      <c r="H31" s="90" t="str">
        <f>IF(ISBLANK(Deflatores!I25),"",Deflatores!I25)</f>
        <v/>
      </c>
      <c r="I31" s="92">
        <f>Deflatores!K25</f>
        <v>0</v>
      </c>
      <c r="J31" s="93">
        <f t="shared" si="0"/>
        <v>0</v>
      </c>
      <c r="M31" s="68"/>
    </row>
    <row r="32" spans="1:13" ht="13.5" customHeight="1" x14ac:dyDescent="0.25">
      <c r="A32" s="67"/>
      <c r="B32" s="168" t="str">
        <f>""&amp;Deflatores!B26</f>
        <v>Atualização de Dados sem Consulta Prévia</v>
      </c>
      <c r="C32" s="168"/>
      <c r="D32" s="12" t="str">
        <f>""&amp;Deflatores!G26</f>
        <v>ADS</v>
      </c>
      <c r="E32" s="89">
        <f>IF(D32="","",COUNTIF(Funções!C$86:C$188,D32))</f>
        <v>0</v>
      </c>
      <c r="F32" s="90">
        <f>SUMIF(Funções!$C$86:$C$188,Deflatores!G26,Funções!$H$86:$H$188)</f>
        <v>0</v>
      </c>
      <c r="G32" s="91">
        <f>IF(ISBLANK(Deflatores!H26),"",Deflatores!H26)</f>
        <v>1</v>
      </c>
      <c r="H32" s="90" t="str">
        <f>IF(ISBLANK(Deflatores!I26),"",Deflatores!I26)</f>
        <v/>
      </c>
      <c r="I32" s="92">
        <f>Deflatores!K26</f>
        <v>0</v>
      </c>
      <c r="J32" s="93">
        <f t="shared" si="0"/>
        <v>0</v>
      </c>
      <c r="M32" s="68"/>
    </row>
    <row r="33" spans="1:13" ht="13.5" customHeight="1" x14ac:dyDescent="0.25">
      <c r="A33" s="67"/>
      <c r="B33" s="168" t="str">
        <f>""&amp;Deflatores!B27</f>
        <v>Consulta Prévia sem Atualização</v>
      </c>
      <c r="C33" s="168"/>
      <c r="D33" s="12" t="str">
        <f>""&amp;Deflatores!G27</f>
        <v>CPA</v>
      </c>
      <c r="E33" s="89">
        <f>IF(D33="","",COUNTIF(Funções!C$86:C$188,D33))</f>
        <v>0</v>
      </c>
      <c r="F33" s="90">
        <f>SUMIF(Funções!$C$86:$C$188,Deflatores!G27,Funções!$H$86:$H$188)</f>
        <v>0</v>
      </c>
      <c r="G33" s="91">
        <f>IF(ISBLANK(Deflatores!H27),"",Deflatores!H27)</f>
        <v>1</v>
      </c>
      <c r="H33" s="90" t="str">
        <f>IF(ISBLANK(Deflatores!I27),"",Deflatores!I27)</f>
        <v/>
      </c>
      <c r="I33" s="92">
        <f>Deflatores!K27</f>
        <v>0</v>
      </c>
      <c r="J33" s="93">
        <f t="shared" si="0"/>
        <v>0</v>
      </c>
      <c r="M33" s="68"/>
    </row>
    <row r="34" spans="1:13" ht="13.5" customHeight="1" x14ac:dyDescent="0.25">
      <c r="A34" s="67"/>
      <c r="B34" s="168" t="str">
        <f>""&amp;Deflatores!B28</f>
        <v>Atualização de Dados com Consulta Prévia</v>
      </c>
      <c r="C34" s="168"/>
      <c r="D34" s="12" t="str">
        <f>""&amp;Deflatores!G28</f>
        <v>ADC</v>
      </c>
      <c r="E34" s="89">
        <f>IF(D34="","",COUNTIF(Funções!C$86:C$188,D34))</f>
        <v>0</v>
      </c>
      <c r="F34" s="90">
        <f>SUMIF(Funções!$C$86:$C$188,Deflatores!G28,Funções!$H$86:$H$188)</f>
        <v>0</v>
      </c>
      <c r="G34" s="91">
        <f>IF(ISBLANK(Deflatores!H28),"",Deflatores!H28)</f>
        <v>0.6</v>
      </c>
      <c r="H34" s="90" t="str">
        <f>IF(ISBLANK(Deflatores!I28),"",Deflatores!I28)</f>
        <v/>
      </c>
      <c r="I34" s="92">
        <f>Deflatores!K28</f>
        <v>0</v>
      </c>
      <c r="J34" s="93">
        <f t="shared" si="0"/>
        <v>0</v>
      </c>
      <c r="M34" s="68"/>
    </row>
    <row r="35" spans="1:13" ht="13.5" customHeight="1" x14ac:dyDescent="0.25">
      <c r="A35" s="67"/>
      <c r="B35" s="168" t="str">
        <f>""&amp;Deflatores!B29</f>
        <v>Apuração Especial – Geração de Relatórios</v>
      </c>
      <c r="C35" s="168"/>
      <c r="D35" s="12" t="str">
        <f>""&amp;Deflatores!G29</f>
        <v>AGR</v>
      </c>
      <c r="E35" s="89">
        <f>IF(D35="","",COUNTIF(Funções!C$86:C$188,D35))</f>
        <v>0</v>
      </c>
      <c r="F35" s="90">
        <f>SUMIF(Funções!$C$86:$C$188,Deflatores!G29,Funções!$H$86:$H$188)</f>
        <v>0</v>
      </c>
      <c r="G35" s="91">
        <f>IF(ISBLANK(Deflatores!H29),"",Deflatores!H29)</f>
        <v>1</v>
      </c>
      <c r="H35" s="90" t="str">
        <f>IF(ISBLANK(Deflatores!I29),"",Deflatores!I29)</f>
        <v/>
      </c>
      <c r="I35" s="92">
        <f>Deflatores!K29</f>
        <v>0</v>
      </c>
      <c r="J35" s="93">
        <f t="shared" si="0"/>
        <v>0</v>
      </c>
      <c r="M35" s="68"/>
    </row>
    <row r="36" spans="1:13" ht="13.5" customHeight="1" x14ac:dyDescent="0.25">
      <c r="A36" s="67"/>
      <c r="B36" s="168" t="str">
        <f>""&amp;Deflatores!B30</f>
        <v>Apuração Especial – Reexecução</v>
      </c>
      <c r="C36" s="168"/>
      <c r="D36" s="12" t="str">
        <f>""&amp;Deflatores!G30</f>
        <v>AER</v>
      </c>
      <c r="E36" s="89">
        <f>IF(D36="","",COUNTIF(Funções!C$86:C$188,D36))</f>
        <v>0</v>
      </c>
      <c r="F36" s="90">
        <f>SUMIF(Funções!$C$86:$C$188,Deflatores!G30,Funções!$H$86:$H$188)</f>
        <v>0</v>
      </c>
      <c r="G36" s="91">
        <f>IF(ISBLANK(Deflatores!H30),"",Deflatores!H30)</f>
        <v>0.1</v>
      </c>
      <c r="H36" s="90" t="str">
        <f>IF(ISBLANK(Deflatores!I30),"",Deflatores!I30)</f>
        <v/>
      </c>
      <c r="I36" s="92">
        <f>Deflatores!K30</f>
        <v>0</v>
      </c>
      <c r="J36" s="93">
        <f t="shared" si="0"/>
        <v>0</v>
      </c>
      <c r="M36" s="68"/>
    </row>
    <row r="37" spans="1:13" ht="13.5" customHeight="1" x14ac:dyDescent="0.25">
      <c r="A37" s="67"/>
      <c r="B37" s="168" t="str">
        <f>""&amp;Deflatores!B31</f>
        <v>Atualização de Dados</v>
      </c>
      <c r="C37" s="168"/>
      <c r="D37" s="12" t="str">
        <f>""&amp;Deflatores!G31</f>
        <v>ATD</v>
      </c>
      <c r="E37" s="89">
        <f>IF(D37="","",COUNTIF(Funções!C$86:C$188,D37))</f>
        <v>0</v>
      </c>
      <c r="F37" s="90">
        <f>SUMIF(Funções!$C$86:$C$188,Deflatores!G31,Funções!$H$86:$H$188)</f>
        <v>0</v>
      </c>
      <c r="G37" s="91">
        <f>IF(ISBLANK(Deflatores!H31),"",Deflatores!H31)</f>
        <v>0.1</v>
      </c>
      <c r="H37" s="90" t="str">
        <f>IF(ISBLANK(Deflatores!I31),"",Deflatores!I31)</f>
        <v/>
      </c>
      <c r="I37" s="92">
        <f>Deflatores!K31</f>
        <v>0</v>
      </c>
      <c r="J37" s="93">
        <f t="shared" si="0"/>
        <v>0</v>
      </c>
      <c r="M37" s="68"/>
    </row>
    <row r="38" spans="1:13" ht="13.5" customHeight="1" x14ac:dyDescent="0.25">
      <c r="A38" s="67"/>
      <c r="B38" s="168" t="str">
        <f>""&amp;Deflatores!B32</f>
        <v>Manutenção de Documentação de Sistemas Legados</v>
      </c>
      <c r="C38" s="168"/>
      <c r="D38" s="12" t="str">
        <f>""&amp;Deflatores!G32</f>
        <v>MSL</v>
      </c>
      <c r="E38" s="89">
        <f>IF(D38="","",COUNTIF(Funções!C$86:C$188,D38))</f>
        <v>0</v>
      </c>
      <c r="F38" s="90">
        <f>SUMIF(Funções!$C$86:$C$188,Deflatores!G32,Funções!$H$86:$H$188)</f>
        <v>0</v>
      </c>
      <c r="G38" s="91">
        <f>IF(ISBLANK(Deflatores!H32),"",Deflatores!H32)</f>
        <v>0.25</v>
      </c>
      <c r="H38" s="90" t="str">
        <f>IF(ISBLANK(Deflatores!I32),"",Deflatores!I32)</f>
        <v/>
      </c>
      <c r="I38" s="92">
        <f>Deflatores!K32</f>
        <v>0</v>
      </c>
      <c r="J38" s="93">
        <f>IF($L$11&lt;&gt;0,I38/$L$11,"")</f>
        <v>0</v>
      </c>
      <c r="M38" s="68"/>
    </row>
    <row r="39" spans="1:13" ht="13.5" customHeight="1" x14ac:dyDescent="0.25">
      <c r="A39" s="67"/>
      <c r="B39" s="168" t="str">
        <f>""&amp;Deflatores!B33</f>
        <v>Verificação de Erros (Sem Documentação de Teste existente)</v>
      </c>
      <c r="C39" s="168"/>
      <c r="D39" s="12" t="str">
        <f>""&amp;Deflatores!G33</f>
        <v>VES</v>
      </c>
      <c r="E39" s="89">
        <f>IF(D39="","",COUNTIF(Funções!C$86:C$188,D39))</f>
        <v>0</v>
      </c>
      <c r="F39" s="90">
        <f>SUMIF(Funções!$C$86:$C$188,Deflatores!G33,Funções!$H$86:$H$188)</f>
        <v>0</v>
      </c>
      <c r="G39" s="91">
        <f>IF(ISBLANK(Deflatores!H33),"",Deflatores!H33)</f>
        <v>0.2</v>
      </c>
      <c r="H39" s="90" t="str">
        <f>IF(ISBLANK(Deflatores!I33),"",Deflatores!I33)</f>
        <v/>
      </c>
      <c r="I39" s="92">
        <f>Deflatores!K33</f>
        <v>0</v>
      </c>
      <c r="J39" s="93">
        <f>IF($L$11&lt;&gt;0,I39/$L$11,"")</f>
        <v>0</v>
      </c>
      <c r="M39" s="68"/>
    </row>
    <row r="40" spans="1:13" ht="13.5" customHeight="1" x14ac:dyDescent="0.25">
      <c r="A40" s="67"/>
      <c r="B40" s="168" t="str">
        <f>""&amp;Deflatores!B34</f>
        <v>Verificação de Erros (Com Documentação de Teste existente)</v>
      </c>
      <c r="C40" s="168"/>
      <c r="D40" s="12" t="str">
        <f>""&amp;Deflatores!G34</f>
        <v>VEC</v>
      </c>
      <c r="E40" s="89">
        <f>IF(D40="","",COUNTIF(Funções!C$86:C$188,D40))</f>
        <v>0</v>
      </c>
      <c r="F40" s="90">
        <f>SUMIF(Funções!$C$86:$C$188,Deflatores!G34,Funções!$H$86:$H$188)</f>
        <v>0</v>
      </c>
      <c r="G40" s="91">
        <f>IF(ISBLANK(Deflatores!H34),"",Deflatores!H34)</f>
        <v>0.15</v>
      </c>
      <c r="H40" s="90" t="str">
        <f>IF(ISBLANK(Deflatores!I34),"",Deflatores!I34)</f>
        <v/>
      </c>
      <c r="I40" s="92">
        <f>Deflatores!K34</f>
        <v>0</v>
      </c>
      <c r="J40" s="93">
        <f>IF($L$11&lt;&gt;0,I40/$L$11,"")</f>
        <v>0</v>
      </c>
      <c r="M40" s="68"/>
    </row>
    <row r="41" spans="1:13" ht="13.5" customHeight="1" x14ac:dyDescent="0.25">
      <c r="A41" s="67"/>
      <c r="B41" s="168" t="str">
        <f>""&amp;Deflatores!B35</f>
        <v>Pontos de Função de Teste</v>
      </c>
      <c r="C41" s="168"/>
      <c r="D41" s="12" t="str">
        <f>""&amp;Deflatores!G35</f>
        <v>PFT</v>
      </c>
      <c r="E41" s="89">
        <f>IF(D41="","",COUNTIF(Funções!C$86:C$188,D41))</f>
        <v>0</v>
      </c>
      <c r="F41" s="90">
        <f>SUMIF(Funções!$C$86:$C$188,Deflatores!G35,Funções!$H$86:$H$188)</f>
        <v>0</v>
      </c>
      <c r="G41" s="91">
        <f>IF(ISBLANK(Deflatores!H35),"",Deflatores!H35)</f>
        <v>0.15</v>
      </c>
      <c r="H41" s="90" t="str">
        <f>IF(ISBLANK(Deflatores!I35),"",Deflatores!I35)</f>
        <v/>
      </c>
      <c r="I41" s="92">
        <f>Deflatores!K35</f>
        <v>0</v>
      </c>
      <c r="J41" s="93">
        <f>IF($L$11&lt;&gt;0,I41/$L$11,"")</f>
        <v>0</v>
      </c>
      <c r="M41" s="68"/>
    </row>
    <row r="42" spans="1:13" ht="13.5" customHeight="1" x14ac:dyDescent="0.25">
      <c r="A42" s="67"/>
      <c r="B42" s="168" t="str">
        <f>""&amp;Deflatores!B36</f>
        <v>Componente Interno Reusável</v>
      </c>
      <c r="C42" s="168"/>
      <c r="D42" s="12" t="str">
        <f>""&amp;Deflatores!G36</f>
        <v>CIR</v>
      </c>
      <c r="E42" s="89">
        <f>IF(D42="","",COUNTIF(Funções!C$86:C$188,D42))</f>
        <v>0</v>
      </c>
      <c r="F42" s="90">
        <f>SUMIF(Funções!$C$86:$C$188,Deflatores!G36,Funções!$H$86:$H$188)</f>
        <v>0</v>
      </c>
      <c r="G42" s="91">
        <f>IF(ISBLANK(Deflatores!H36),"",Deflatores!H36)</f>
        <v>1</v>
      </c>
      <c r="H42" s="90" t="str">
        <f>IF(ISBLANK(Deflatores!I36),"",Deflatores!I36)</f>
        <v/>
      </c>
      <c r="I42" s="92">
        <f>Deflatores!K36</f>
        <v>0</v>
      </c>
      <c r="J42" s="93">
        <f t="shared" si="0"/>
        <v>0</v>
      </c>
      <c r="M42" s="68"/>
    </row>
    <row r="43" spans="1:13" ht="13.5" customHeight="1" x14ac:dyDescent="0.25">
      <c r="A43" s="67"/>
      <c r="B43" s="168" t="str">
        <f>""&amp;Deflatores!B37</f>
        <v/>
      </c>
      <c r="C43" s="168"/>
      <c r="D43" s="12" t="str">
        <f>""&amp;Deflatores!G37</f>
        <v xml:space="preserve">           .</v>
      </c>
      <c r="E43" s="89">
        <f>IF(D43="","",COUNTIF(Funções!C$86:C$188,D43))</f>
        <v>0</v>
      </c>
      <c r="F43" s="90">
        <f>SUMIF(Funções!$C$86:$C$188,Deflatores!G37,Funções!$H$86:$H$188)</f>
        <v>0</v>
      </c>
      <c r="G43" s="91" t="str">
        <f>IF(ISBLANK(Deflatores!H37),"",Deflatores!H37)</f>
        <v/>
      </c>
      <c r="H43" s="90" t="str">
        <f>IF(ISBLANK(Deflatores!I37),"",Deflatores!I37)</f>
        <v/>
      </c>
      <c r="I43" s="92">
        <f>Deflatores!K37</f>
        <v>0</v>
      </c>
      <c r="J43" s="93">
        <f t="shared" si="0"/>
        <v>0</v>
      </c>
      <c r="M43" s="68"/>
    </row>
    <row r="44" spans="1:13" ht="13.5" customHeight="1" x14ac:dyDescent="0.25">
      <c r="A44" s="67"/>
      <c r="B44" s="168" t="str">
        <f>""&amp;Deflatores!B38</f>
        <v/>
      </c>
      <c r="C44" s="168"/>
      <c r="D44" s="12" t="str">
        <f>""&amp;Deflatores!G38</f>
        <v xml:space="preserve">           .</v>
      </c>
      <c r="E44" s="89">
        <f>IF(D44="","",COUNTIF(Funções!C$86:C$188,D44))</f>
        <v>0</v>
      </c>
      <c r="F44" s="90">
        <f>SUMIF(Funções!$C$86:$C$188,Deflatores!G38,Funções!$H$86:$H$188)</f>
        <v>0</v>
      </c>
      <c r="G44" s="91" t="str">
        <f>IF(ISBLANK(Deflatores!H38),"",Deflatores!H38)</f>
        <v/>
      </c>
      <c r="H44" s="90" t="str">
        <f>IF(ISBLANK(Deflatores!I38),"",Deflatores!I38)</f>
        <v/>
      </c>
      <c r="I44" s="92">
        <f>Deflatores!K38</f>
        <v>0</v>
      </c>
      <c r="J44" s="93">
        <f t="shared" si="0"/>
        <v>0</v>
      </c>
      <c r="M44" s="68"/>
    </row>
    <row r="45" spans="1:13" ht="13.5" x14ac:dyDescent="0.35">
      <c r="A45" s="67"/>
      <c r="B45" s="81"/>
      <c r="C45" s="46"/>
      <c r="D45" s="69"/>
      <c r="E45" s="65"/>
      <c r="F45" s="65"/>
      <c r="G45" s="30"/>
      <c r="H45" s="82"/>
      <c r="I45" s="83"/>
      <c r="M45" s="68"/>
    </row>
    <row r="46" spans="1:13" ht="13.5" customHeight="1" x14ac:dyDescent="0.35">
      <c r="A46" s="67"/>
      <c r="B46" s="216" t="s">
        <v>1410</v>
      </c>
      <c r="C46" s="216"/>
      <c r="D46" s="216"/>
      <c r="E46" s="31" t="s">
        <v>1378</v>
      </c>
      <c r="F46" s="32"/>
      <c r="G46" s="30"/>
      <c r="H46" s="31" t="s">
        <v>1407</v>
      </c>
      <c r="I46" s="31" t="s">
        <v>8</v>
      </c>
      <c r="J46" s="31" t="s">
        <v>1408</v>
      </c>
      <c r="M46" s="68"/>
    </row>
    <row r="47" spans="1:13" ht="13.5" customHeight="1" x14ac:dyDescent="0.35">
      <c r="A47" s="67"/>
      <c r="B47" s="168" t="str">
        <f>""&amp;Deflatores!B42</f>
        <v>Páginas Estáticas</v>
      </c>
      <c r="C47" s="168"/>
      <c r="D47" s="24" t="str">
        <f>""&amp;Deflatores!G42</f>
        <v>PAG</v>
      </c>
      <c r="E47" s="25">
        <f>Deflatores!J42</f>
        <v>0</v>
      </c>
      <c r="H47" s="26">
        <f>IF(ISBLANK(Deflatores!H42),"",Deflatores!H42)</f>
        <v>0.6</v>
      </c>
      <c r="I47" s="26">
        <f t="shared" ref="I47:I69" si="1">IF(ISNUMBER(H47),E47*H47,"")</f>
        <v>0</v>
      </c>
      <c r="J47" s="27">
        <f t="shared" ref="J47:J69" si="2">IF(ISNUMBER(I47),IF($L$11&lt;&gt;0,I47/$L$11,""),"")</f>
        <v>0</v>
      </c>
      <c r="M47" s="68"/>
    </row>
    <row r="48" spans="1:13" ht="13.5" customHeight="1" x14ac:dyDescent="0.35">
      <c r="A48" s="67"/>
      <c r="B48" s="168" t="str">
        <f>""&amp;Deflatores!B43</f>
        <v>Manutenção Cosmética (atrelada a algo não funcional)</v>
      </c>
      <c r="C48" s="168"/>
      <c r="D48" s="24" t="str">
        <f>""&amp;Deflatores!G43</f>
        <v>COSNF</v>
      </c>
      <c r="E48" s="25">
        <f>Deflatores!J43</f>
        <v>0</v>
      </c>
      <c r="H48" s="26">
        <f>IF(ISBLANK(Deflatores!H43),"",Deflatores!H43)</f>
        <v>0.6</v>
      </c>
      <c r="I48" s="26">
        <f t="shared" si="1"/>
        <v>0</v>
      </c>
      <c r="J48" s="27">
        <f t="shared" si="2"/>
        <v>0</v>
      </c>
      <c r="M48" s="68"/>
    </row>
    <row r="49" spans="1:13" ht="13.5" x14ac:dyDescent="0.35">
      <c r="A49" s="67"/>
      <c r="B49" s="168" t="str">
        <f>""&amp;Deflatores!B44</f>
        <v>Dados de Código</v>
      </c>
      <c r="C49" s="168"/>
      <c r="D49" s="24" t="str">
        <f>""&amp;Deflatores!G44</f>
        <v>DC</v>
      </c>
      <c r="E49" s="25">
        <f>Deflatores!J44</f>
        <v>0</v>
      </c>
      <c r="H49" s="26">
        <f>IF(ISBLANK(Deflatores!H44),"",Deflatores!H44)</f>
        <v>0</v>
      </c>
      <c r="I49" s="26">
        <f t="shared" si="1"/>
        <v>0</v>
      </c>
      <c r="J49" s="27">
        <f t="shared" si="2"/>
        <v>0</v>
      </c>
      <c r="M49" s="68"/>
    </row>
    <row r="50" spans="1:13" ht="13.5" x14ac:dyDescent="0.35">
      <c r="A50" s="67"/>
      <c r="B50" s="168" t="str">
        <f>""&amp;Deflatores!B45</f>
        <v/>
      </c>
      <c r="C50" s="168"/>
      <c r="D50" s="24" t="str">
        <f>""&amp;Deflatores!G45</f>
        <v xml:space="preserve">           .</v>
      </c>
      <c r="E50" s="25">
        <f>Deflatores!J45</f>
        <v>0</v>
      </c>
      <c r="H50" s="26" t="str">
        <f>IF(ISBLANK(Deflatores!H45),"",Deflatores!H45)</f>
        <v/>
      </c>
      <c r="I50" s="26" t="str">
        <f t="shared" si="1"/>
        <v/>
      </c>
      <c r="J50" s="27" t="str">
        <f t="shared" si="2"/>
        <v/>
      </c>
      <c r="M50" s="68"/>
    </row>
    <row r="51" spans="1:13" ht="13.5" x14ac:dyDescent="0.35">
      <c r="A51" s="67"/>
      <c r="B51" s="168" t="str">
        <f>""&amp;Deflatores!B46</f>
        <v/>
      </c>
      <c r="C51" s="168"/>
      <c r="D51" s="24" t="str">
        <f>""&amp;Deflatores!G46</f>
        <v xml:space="preserve">           .</v>
      </c>
      <c r="E51" s="25">
        <f>Deflatores!J46</f>
        <v>0</v>
      </c>
      <c r="H51" s="26" t="str">
        <f>IF(ISBLANK(Deflatores!H46),"",Deflatores!H46)</f>
        <v/>
      </c>
      <c r="I51" s="26" t="str">
        <f t="shared" si="1"/>
        <v/>
      </c>
      <c r="J51" s="27" t="str">
        <f t="shared" si="2"/>
        <v/>
      </c>
      <c r="M51" s="68"/>
    </row>
    <row r="52" spans="1:13" ht="13.5" x14ac:dyDescent="0.35">
      <c r="A52" s="67"/>
      <c r="B52" s="168" t="str">
        <f>""&amp;Deflatores!B47</f>
        <v/>
      </c>
      <c r="C52" s="168"/>
      <c r="D52" s="24" t="str">
        <f>""&amp;Deflatores!G47</f>
        <v xml:space="preserve">           .</v>
      </c>
      <c r="E52" s="25">
        <f>Deflatores!J47</f>
        <v>0</v>
      </c>
      <c r="H52" s="26" t="str">
        <f>IF(ISBLANK(Deflatores!H47),"",Deflatores!H47)</f>
        <v/>
      </c>
      <c r="I52" s="26" t="str">
        <f t="shared" si="1"/>
        <v/>
      </c>
      <c r="J52" s="27" t="str">
        <f t="shared" si="2"/>
        <v/>
      </c>
      <c r="M52" s="68"/>
    </row>
    <row r="53" spans="1:13" ht="13.5" x14ac:dyDescent="0.35">
      <c r="A53" s="67"/>
      <c r="B53" s="168" t="str">
        <f>""&amp;Deflatores!B48</f>
        <v/>
      </c>
      <c r="C53" s="168"/>
      <c r="D53" s="24" t="str">
        <f>""&amp;Deflatores!G48</f>
        <v xml:space="preserve">           .</v>
      </c>
      <c r="E53" s="25">
        <f>Deflatores!J48</f>
        <v>0</v>
      </c>
      <c r="H53" s="26" t="str">
        <f>IF(ISBLANK(Deflatores!H48),"",Deflatores!H48)</f>
        <v/>
      </c>
      <c r="I53" s="26" t="str">
        <f t="shared" si="1"/>
        <v/>
      </c>
      <c r="J53" s="27" t="str">
        <f t="shared" si="2"/>
        <v/>
      </c>
      <c r="M53" s="68"/>
    </row>
    <row r="54" spans="1:13" ht="13.5" x14ac:dyDescent="0.35">
      <c r="A54" s="67"/>
      <c r="B54" s="168" t="str">
        <f>""&amp;Deflatores!B49</f>
        <v/>
      </c>
      <c r="C54" s="168"/>
      <c r="D54" s="24" t="str">
        <f>""&amp;Deflatores!G49</f>
        <v xml:space="preserve">           .</v>
      </c>
      <c r="E54" s="25">
        <f>Deflatores!J49</f>
        <v>0</v>
      </c>
      <c r="H54" s="26" t="str">
        <f>IF(ISBLANK(Deflatores!H49),"",Deflatores!H49)</f>
        <v/>
      </c>
      <c r="I54" s="26" t="str">
        <f t="shared" si="1"/>
        <v/>
      </c>
      <c r="J54" s="27" t="str">
        <f t="shared" si="2"/>
        <v/>
      </c>
      <c r="M54" s="68"/>
    </row>
    <row r="55" spans="1:13" ht="13.5" x14ac:dyDescent="0.35">
      <c r="A55" s="67"/>
      <c r="B55" s="168" t="str">
        <f>""&amp;Deflatores!B50</f>
        <v/>
      </c>
      <c r="C55" s="168"/>
      <c r="D55" s="24" t="str">
        <f>""&amp;Deflatores!G50</f>
        <v xml:space="preserve">           .</v>
      </c>
      <c r="E55" s="25">
        <f>Deflatores!J50</f>
        <v>0</v>
      </c>
      <c r="H55" s="26" t="str">
        <f>IF(ISBLANK(Deflatores!H50),"",Deflatores!H50)</f>
        <v/>
      </c>
      <c r="I55" s="26" t="str">
        <f t="shared" si="1"/>
        <v/>
      </c>
      <c r="J55" s="27" t="str">
        <f t="shared" si="2"/>
        <v/>
      </c>
      <c r="M55" s="68"/>
    </row>
    <row r="56" spans="1:13" ht="13.5" x14ac:dyDescent="0.35">
      <c r="A56" s="67"/>
      <c r="B56" s="168" t="str">
        <f>""&amp;Deflatores!B51</f>
        <v/>
      </c>
      <c r="C56" s="168"/>
      <c r="D56" s="24" t="str">
        <f>""&amp;Deflatores!G51</f>
        <v xml:space="preserve">           .</v>
      </c>
      <c r="E56" s="25">
        <f>Deflatores!J51</f>
        <v>0</v>
      </c>
      <c r="H56" s="26" t="str">
        <f>IF(ISBLANK(Deflatores!H51),"",Deflatores!H51)</f>
        <v/>
      </c>
      <c r="I56" s="26" t="str">
        <f t="shared" si="1"/>
        <v/>
      </c>
      <c r="J56" s="27" t="str">
        <f t="shared" si="2"/>
        <v/>
      </c>
      <c r="M56" s="68"/>
    </row>
    <row r="57" spans="1:13" ht="13.5" x14ac:dyDescent="0.35">
      <c r="A57" s="67"/>
      <c r="B57" s="168" t="str">
        <f>""&amp;Deflatores!B52</f>
        <v/>
      </c>
      <c r="C57" s="168"/>
      <c r="D57" s="24" t="str">
        <f>""&amp;Deflatores!G52</f>
        <v xml:space="preserve">           .</v>
      </c>
      <c r="E57" s="25">
        <f>Deflatores!J52</f>
        <v>0</v>
      </c>
      <c r="H57" s="26" t="str">
        <f>IF(ISBLANK(Deflatores!H52),"",Deflatores!H52)</f>
        <v/>
      </c>
      <c r="I57" s="26" t="str">
        <f t="shared" si="1"/>
        <v/>
      </c>
      <c r="J57" s="27" t="str">
        <f t="shared" si="2"/>
        <v/>
      </c>
      <c r="M57" s="68"/>
    </row>
    <row r="58" spans="1:13" ht="13.5" x14ac:dyDescent="0.35">
      <c r="A58" s="67"/>
      <c r="B58" s="168" t="str">
        <f>""&amp;Deflatores!B53</f>
        <v/>
      </c>
      <c r="C58" s="168"/>
      <c r="D58" s="24" t="str">
        <f>""&amp;Deflatores!G53</f>
        <v xml:space="preserve">           .</v>
      </c>
      <c r="E58" s="25">
        <f>Deflatores!J53</f>
        <v>0</v>
      </c>
      <c r="H58" s="26" t="str">
        <f>IF(ISBLANK(Deflatores!H53),"",Deflatores!H53)</f>
        <v/>
      </c>
      <c r="I58" s="26" t="str">
        <f t="shared" si="1"/>
        <v/>
      </c>
      <c r="J58" s="27" t="str">
        <f t="shared" si="2"/>
        <v/>
      </c>
      <c r="M58" s="68"/>
    </row>
    <row r="59" spans="1:13" ht="13.5" x14ac:dyDescent="0.35">
      <c r="A59" s="67"/>
      <c r="B59" s="168" t="str">
        <f>""&amp;Deflatores!B54</f>
        <v/>
      </c>
      <c r="C59" s="168"/>
      <c r="D59" s="24" t="str">
        <f>""&amp;Deflatores!G54</f>
        <v xml:space="preserve">           .</v>
      </c>
      <c r="E59" s="25">
        <f>Deflatores!J54</f>
        <v>0</v>
      </c>
      <c r="H59" s="26" t="str">
        <f>IF(ISBLANK(Deflatores!H54),"",Deflatores!H54)</f>
        <v/>
      </c>
      <c r="I59" s="26" t="str">
        <f t="shared" si="1"/>
        <v/>
      </c>
      <c r="J59" s="27" t="str">
        <f t="shared" si="2"/>
        <v/>
      </c>
      <c r="M59" s="68"/>
    </row>
    <row r="60" spans="1:13" ht="13.5" x14ac:dyDescent="0.35">
      <c r="A60" s="67"/>
      <c r="B60" s="168" t="str">
        <f>""&amp;Deflatores!B55</f>
        <v/>
      </c>
      <c r="C60" s="168"/>
      <c r="D60" s="24" t="str">
        <f>""&amp;Deflatores!G55</f>
        <v xml:space="preserve">           .</v>
      </c>
      <c r="E60" s="25">
        <f>Deflatores!J55</f>
        <v>0</v>
      </c>
      <c r="H60" s="26" t="str">
        <f>IF(ISBLANK(Deflatores!H55),"",Deflatores!H55)</f>
        <v/>
      </c>
      <c r="I60" s="26" t="str">
        <f t="shared" si="1"/>
        <v/>
      </c>
      <c r="J60" s="27" t="str">
        <f t="shared" si="2"/>
        <v/>
      </c>
      <c r="M60" s="68"/>
    </row>
    <row r="61" spans="1:13" ht="13.5" x14ac:dyDescent="0.35">
      <c r="A61" s="67"/>
      <c r="B61" s="168" t="str">
        <f>""&amp;Deflatores!B56</f>
        <v/>
      </c>
      <c r="C61" s="168"/>
      <c r="D61" s="24" t="str">
        <f>""&amp;Deflatores!G56</f>
        <v xml:space="preserve">           .</v>
      </c>
      <c r="E61" s="25">
        <f>Deflatores!J56</f>
        <v>0</v>
      </c>
      <c r="H61" s="26" t="str">
        <f>IF(ISBLANK(Deflatores!H56),"",Deflatores!H56)</f>
        <v/>
      </c>
      <c r="I61" s="26" t="str">
        <f t="shared" si="1"/>
        <v/>
      </c>
      <c r="J61" s="27" t="str">
        <f t="shared" si="2"/>
        <v/>
      </c>
      <c r="M61" s="68"/>
    </row>
    <row r="62" spans="1:13" ht="13.5" x14ac:dyDescent="0.35">
      <c r="A62" s="67"/>
      <c r="B62" s="168" t="str">
        <f>""&amp;Deflatores!B57</f>
        <v/>
      </c>
      <c r="C62" s="168"/>
      <c r="D62" s="24" t="str">
        <f>""&amp;Deflatores!G57</f>
        <v xml:space="preserve">           .</v>
      </c>
      <c r="E62" s="25">
        <f>Deflatores!J57</f>
        <v>0</v>
      </c>
      <c r="H62" s="26" t="str">
        <f>IF(ISBLANK(Deflatores!H57),"",Deflatores!H57)</f>
        <v/>
      </c>
      <c r="I62" s="26" t="str">
        <f t="shared" si="1"/>
        <v/>
      </c>
      <c r="J62" s="27" t="str">
        <f t="shared" si="2"/>
        <v/>
      </c>
      <c r="M62" s="68"/>
    </row>
    <row r="63" spans="1:13" ht="13.5" x14ac:dyDescent="0.35">
      <c r="A63" s="67"/>
      <c r="B63" s="168" t="str">
        <f>""&amp;Deflatores!B58</f>
        <v/>
      </c>
      <c r="C63" s="168"/>
      <c r="D63" s="24" t="str">
        <f>""&amp;Deflatores!G58</f>
        <v xml:space="preserve">           .</v>
      </c>
      <c r="E63" s="25">
        <f>Deflatores!J58</f>
        <v>0</v>
      </c>
      <c r="H63" s="26" t="str">
        <f>IF(ISBLANK(Deflatores!H58),"",Deflatores!H58)</f>
        <v/>
      </c>
      <c r="I63" s="26" t="str">
        <f t="shared" si="1"/>
        <v/>
      </c>
      <c r="J63" s="27" t="str">
        <f t="shared" si="2"/>
        <v/>
      </c>
      <c r="M63" s="68"/>
    </row>
    <row r="64" spans="1:13" ht="13.5" x14ac:dyDescent="0.35">
      <c r="A64" s="67"/>
      <c r="B64" s="168" t="str">
        <f>""&amp;Deflatores!B59</f>
        <v/>
      </c>
      <c r="C64" s="168"/>
      <c r="D64" s="24" t="str">
        <f>""&amp;Deflatores!G59</f>
        <v xml:space="preserve">           .</v>
      </c>
      <c r="E64" s="25">
        <f>Deflatores!J59</f>
        <v>0</v>
      </c>
      <c r="H64" s="26" t="str">
        <f>IF(ISBLANK(Deflatores!H59),"",Deflatores!H59)</f>
        <v/>
      </c>
      <c r="I64" s="26" t="str">
        <f t="shared" si="1"/>
        <v/>
      </c>
      <c r="J64" s="27" t="str">
        <f t="shared" si="2"/>
        <v/>
      </c>
      <c r="M64" s="68"/>
    </row>
    <row r="65" spans="1:13" ht="13.5" x14ac:dyDescent="0.35">
      <c r="A65" s="67"/>
      <c r="B65" s="168" t="str">
        <f>""&amp;Deflatores!B60</f>
        <v/>
      </c>
      <c r="C65" s="168"/>
      <c r="D65" s="24" t="str">
        <f>""&amp;Deflatores!G60</f>
        <v xml:space="preserve">           .</v>
      </c>
      <c r="E65" s="25">
        <f>Deflatores!J60</f>
        <v>0</v>
      </c>
      <c r="H65" s="26" t="str">
        <f>IF(ISBLANK(Deflatores!H60),"",Deflatores!H60)</f>
        <v/>
      </c>
      <c r="I65" s="26" t="str">
        <f t="shared" si="1"/>
        <v/>
      </c>
      <c r="J65" s="27" t="str">
        <f t="shared" si="2"/>
        <v/>
      </c>
      <c r="M65" s="68"/>
    </row>
    <row r="66" spans="1:13" ht="13.5" x14ac:dyDescent="0.35">
      <c r="A66" s="67"/>
      <c r="B66" s="168" t="str">
        <f>""&amp;Deflatores!B61</f>
        <v/>
      </c>
      <c r="C66" s="168"/>
      <c r="D66" s="24" t="str">
        <f>""&amp;Deflatores!G61</f>
        <v xml:space="preserve">           .</v>
      </c>
      <c r="E66" s="25">
        <f>Deflatores!J61</f>
        <v>0</v>
      </c>
      <c r="H66" s="26" t="str">
        <f>IF(ISBLANK(Deflatores!H61),"",Deflatores!H61)</f>
        <v/>
      </c>
      <c r="I66" s="26" t="str">
        <f t="shared" si="1"/>
        <v/>
      </c>
      <c r="J66" s="27" t="str">
        <f t="shared" si="2"/>
        <v/>
      </c>
      <c r="M66" s="68"/>
    </row>
    <row r="67" spans="1:13" ht="13.5" x14ac:dyDescent="0.35">
      <c r="A67" s="67"/>
      <c r="B67" s="168" t="str">
        <f>""&amp;Deflatores!B62</f>
        <v/>
      </c>
      <c r="C67" s="168"/>
      <c r="D67" s="24" t="str">
        <f>""&amp;Deflatores!G62</f>
        <v xml:space="preserve">           .</v>
      </c>
      <c r="E67" s="25">
        <f>Deflatores!J62</f>
        <v>0</v>
      </c>
      <c r="H67" s="26" t="str">
        <f>IF(ISBLANK(Deflatores!H62),"",Deflatores!H62)</f>
        <v/>
      </c>
      <c r="I67" s="26" t="str">
        <f t="shared" si="1"/>
        <v/>
      </c>
      <c r="J67" s="27" t="str">
        <f t="shared" si="2"/>
        <v/>
      </c>
      <c r="M67" s="68"/>
    </row>
    <row r="68" spans="1:13" ht="13.5" x14ac:dyDescent="0.35">
      <c r="A68" s="67"/>
      <c r="B68" s="168" t="str">
        <f>""&amp;Deflatores!B63</f>
        <v/>
      </c>
      <c r="C68" s="168"/>
      <c r="D68" s="24" t="str">
        <f>""&amp;Deflatores!G63</f>
        <v xml:space="preserve">           .</v>
      </c>
      <c r="E68" s="25">
        <f>Deflatores!J63</f>
        <v>0</v>
      </c>
      <c r="H68" s="26" t="str">
        <f>IF(ISBLANK(Deflatores!H63),"",Deflatores!H63)</f>
        <v/>
      </c>
      <c r="I68" s="26" t="str">
        <f t="shared" si="1"/>
        <v/>
      </c>
      <c r="J68" s="27" t="str">
        <f t="shared" si="2"/>
        <v/>
      </c>
      <c r="M68" s="68"/>
    </row>
    <row r="69" spans="1:13" ht="13.5" x14ac:dyDescent="0.35">
      <c r="A69" s="67"/>
      <c r="B69" s="168" t="str">
        <f>""&amp;Deflatores!B64</f>
        <v/>
      </c>
      <c r="C69" s="168"/>
      <c r="D69" s="24" t="str">
        <f>""&amp;Deflatores!G64</f>
        <v xml:space="preserve">           .</v>
      </c>
      <c r="E69" s="25">
        <f>Deflatores!J64</f>
        <v>0</v>
      </c>
      <c r="F69" s="30"/>
      <c r="G69" s="30"/>
      <c r="H69" s="26" t="str">
        <f>IF(ISBLANK(Deflatores!H64),"",Deflatores!H64)</f>
        <v/>
      </c>
      <c r="I69" s="26" t="str">
        <f t="shared" si="1"/>
        <v/>
      </c>
      <c r="J69" s="27" t="str">
        <f t="shared" si="2"/>
        <v/>
      </c>
      <c r="M69" s="68"/>
    </row>
    <row r="70" spans="1:13" ht="13.5" x14ac:dyDescent="0.35">
      <c r="A70" s="70"/>
      <c r="B70" s="71"/>
      <c r="C70" s="72"/>
      <c r="D70" s="73"/>
      <c r="E70" s="74"/>
      <c r="F70" s="75"/>
      <c r="G70" s="75"/>
      <c r="H70" s="76"/>
      <c r="I70" s="77"/>
      <c r="J70" s="72"/>
      <c r="K70" s="72"/>
      <c r="L70" s="72"/>
      <c r="M70" s="78"/>
    </row>
  </sheetData>
  <sheetProtection selectLockedCells="1" selectUnlockedCells="1"/>
  <mergeCells count="68">
    <mergeCell ref="B67:C67"/>
    <mergeCell ref="B68:C68"/>
    <mergeCell ref="B69:C69"/>
    <mergeCell ref="B61:C61"/>
    <mergeCell ref="B62:C62"/>
    <mergeCell ref="B63:C63"/>
    <mergeCell ref="B64:C64"/>
    <mergeCell ref="B65:C65"/>
    <mergeCell ref="B66:C66"/>
    <mergeCell ref="B60:C60"/>
    <mergeCell ref="B49:C49"/>
    <mergeCell ref="B50:C50"/>
    <mergeCell ref="B51:C51"/>
    <mergeCell ref="B52:C52"/>
    <mergeCell ref="B53:C53"/>
    <mergeCell ref="B54:C54"/>
    <mergeCell ref="B55:C55"/>
    <mergeCell ref="B56:C56"/>
    <mergeCell ref="B57:C57"/>
    <mergeCell ref="B58:C58"/>
    <mergeCell ref="B59:C59"/>
    <mergeCell ref="B47:C47"/>
    <mergeCell ref="B48:C48"/>
    <mergeCell ref="B36:C36"/>
    <mergeCell ref="B37:C37"/>
    <mergeCell ref="B42:C42"/>
    <mergeCell ref="B43:C43"/>
    <mergeCell ref="B44:C44"/>
    <mergeCell ref="B46:D46"/>
    <mergeCell ref="B38:C38"/>
    <mergeCell ref="B39:C39"/>
    <mergeCell ref="B40:C40"/>
    <mergeCell ref="B41:C41"/>
    <mergeCell ref="B35:C35"/>
    <mergeCell ref="B23:C23"/>
    <mergeCell ref="B24:C24"/>
    <mergeCell ref="B25:C25"/>
    <mergeCell ref="B26:C26"/>
    <mergeCell ref="B27:C27"/>
    <mergeCell ref="B28:C28"/>
    <mergeCell ref="B30:C30"/>
    <mergeCell ref="B31:C31"/>
    <mergeCell ref="B32:C32"/>
    <mergeCell ref="B33:C33"/>
    <mergeCell ref="B34:C34"/>
    <mergeCell ref="B16:C16"/>
    <mergeCell ref="B18:C18"/>
    <mergeCell ref="B19:C19"/>
    <mergeCell ref="B22:C22"/>
    <mergeCell ref="B17:C17"/>
    <mergeCell ref="B21:C21"/>
    <mergeCell ref="B20:C20"/>
    <mergeCell ref="B15:C15"/>
    <mergeCell ref="B29:C29"/>
    <mergeCell ref="A1:M3"/>
    <mergeCell ref="A4:E4"/>
    <mergeCell ref="F4:M4"/>
    <mergeCell ref="A5:E5"/>
    <mergeCell ref="F5:M5"/>
    <mergeCell ref="A6:E6"/>
    <mergeCell ref="F6:M6"/>
    <mergeCell ref="B8:I8"/>
    <mergeCell ref="B9:D9"/>
    <mergeCell ref="B10:C10"/>
    <mergeCell ref="B11:C11"/>
    <mergeCell ref="B12:C12"/>
    <mergeCell ref="B13:C13"/>
    <mergeCell ref="B14:C14"/>
  </mergeCells>
  <pageMargins left="0.78749999999999998" right="0.78749999999999998" top="1.023611111111111" bottom="1.023611111111111" header="0.51180555555555551" footer="0.78749999999999998"/>
  <pageSetup paperSize="9" scale="47" firstPageNumber="0" orientation="portrait" horizontalDpi="300" verticalDpi="300" r:id="rId1"/>
  <headerFooter alignWithMargins="0">
    <oddFooter>&amp;CPágina &amp;P de &amp;N</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0a974b-267b-40a0-ba1d-a7db95a3f3f2">
      <Terms xmlns="http://schemas.microsoft.com/office/infopath/2007/PartnerControls"/>
    </lcf76f155ced4ddcb4097134ff3c332f>
    <TaxCatchAll xmlns="46465ebb-25e2-44df-b623-5e7a76671d7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A5C3A4A078B24409F4073CEF5E3297D" ma:contentTypeVersion="17" ma:contentTypeDescription="Crie um novo documento." ma:contentTypeScope="" ma:versionID="6dd75dd27c98caacf2374d16747d5080">
  <xsd:schema xmlns:xsd="http://www.w3.org/2001/XMLSchema" xmlns:xs="http://www.w3.org/2001/XMLSchema" xmlns:p="http://schemas.microsoft.com/office/2006/metadata/properties" xmlns:ns2="46465ebb-25e2-44df-b623-5e7a76671d78" xmlns:ns3="690a974b-267b-40a0-ba1d-a7db95a3f3f2" targetNamespace="http://schemas.microsoft.com/office/2006/metadata/properties" ma:root="true" ma:fieldsID="85bbca9dd5f23e719183dad1d1cb779d" ns2:_="" ns3:_="">
    <xsd:import namespace="46465ebb-25e2-44df-b623-5e7a76671d78"/>
    <xsd:import namespace="690a974b-267b-40a0-ba1d-a7db95a3f3f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465ebb-25e2-44df-b623-5e7a76671d78"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57b6dc67-11e7-49f0-a9a6-e468f874fa6b}" ma:internalName="TaxCatchAll" ma:showField="CatchAllData" ma:web="46465ebb-25e2-44df-b623-5e7a76671d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0a974b-267b-40a0-ba1d-a7db95a3f3f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b4910b2a-893c-444d-8c40-1668f6542f9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AB7C91-D01C-4D07-B9F7-88670943BBD3}">
  <ds:schemaRefs>
    <ds:schemaRef ds:uri="http://schemas.microsoft.com/office/2006/metadata/properties"/>
    <ds:schemaRef ds:uri="http://schemas.microsoft.com/office/infopath/2007/PartnerControls"/>
    <ds:schemaRef ds:uri="690a974b-267b-40a0-ba1d-a7db95a3f3f2"/>
    <ds:schemaRef ds:uri="46465ebb-25e2-44df-b623-5e7a76671d78"/>
  </ds:schemaRefs>
</ds:datastoreItem>
</file>

<file path=customXml/itemProps2.xml><?xml version="1.0" encoding="utf-8"?>
<ds:datastoreItem xmlns:ds="http://schemas.openxmlformats.org/officeDocument/2006/customXml" ds:itemID="{CDE8EA20-719C-46C5-828E-FF20CFC80081}">
  <ds:schemaRefs>
    <ds:schemaRef ds:uri="http://schemas.microsoft.com/sharepoint/v3/contenttype/forms"/>
  </ds:schemaRefs>
</ds:datastoreItem>
</file>

<file path=customXml/itemProps3.xml><?xml version="1.0" encoding="utf-8"?>
<ds:datastoreItem xmlns:ds="http://schemas.openxmlformats.org/officeDocument/2006/customXml" ds:itemID="{C181A65C-2F3B-459B-A779-F77669303D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4</vt:i4>
      </vt:variant>
    </vt:vector>
  </HeadingPairs>
  <TitlesOfParts>
    <vt:vector size="9" baseType="lpstr">
      <vt:lpstr>Contagem</vt:lpstr>
      <vt:lpstr>Funções</vt:lpstr>
      <vt:lpstr>Deflatores</vt:lpstr>
      <vt:lpstr>Sumário 1</vt:lpstr>
      <vt:lpstr>Sumário 2</vt:lpstr>
      <vt:lpstr>Contagem!Area_de_impressao</vt:lpstr>
      <vt:lpstr>Funções!TiposDeFuncao</vt:lpstr>
      <vt:lpstr>Funções!TiposDeManutencao</vt:lpstr>
      <vt:lpstr>Funções!Titulos_de_impressao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Fatto Consultoria e Sistemas;Jonathas Gomes Marques</dc:creator>
  <cp:keywords/>
  <dc:description/>
  <cp:lastModifiedBy>Ana Karyna da Silva Teixeira</cp:lastModifiedBy>
  <cp:revision/>
  <dcterms:created xsi:type="dcterms:W3CDTF">2015-06-26T19:24:40Z</dcterms:created>
  <dcterms:modified xsi:type="dcterms:W3CDTF">2025-11-25T12:42:34Z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0x010100DA5C3A4A078B24409F4073CEF5E3297D</vt:lpwstr>
  </property>
  <property fmtid="{D5CDD505-2E9C-101B-9397-08002B2CF9AE}" pid="3" name="MediaServiceImageTags">
    <vt:lpwstr/>
  </property>
</Properties>
</file>