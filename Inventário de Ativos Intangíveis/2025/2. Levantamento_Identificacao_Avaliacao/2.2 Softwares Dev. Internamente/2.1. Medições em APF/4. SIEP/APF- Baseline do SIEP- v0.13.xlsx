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a.karyna\Downloads\"/>
    </mc:Choice>
  </mc:AlternateContent>
  <xr:revisionPtr revIDLastSave="0" documentId="13_ncr:1_{6E3C45F8-0468-4F40-9689-15CD1AA92F0F}" xr6:coauthVersionLast="47" xr6:coauthVersionMax="47" xr10:uidLastSave="{00000000-0000-0000-0000-000000000000}"/>
  <bookViews>
    <workbookView xWindow="28690" yWindow="-3200" windowWidth="29020" windowHeight="15700" tabRatio="340" firstSheet="1" activeTab="1" xr2:uid="{00000000-000D-0000-FFFF-FFFF00000000}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_FilterDatabase" localSheetId="1" hidden="1">Funções!$A$7:$O$682</definedName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3" i="2" l="1"/>
  <c r="L94" i="2"/>
  <c r="L95" i="2"/>
  <c r="L96" i="2"/>
  <c r="L97" i="2"/>
  <c r="J153" i="2" l="1"/>
  <c r="I153" i="2"/>
  <c r="H153" i="2" s="1"/>
  <c r="J97" i="2"/>
  <c r="I97" i="2"/>
  <c r="H97" i="2" s="1"/>
  <c r="J96" i="2"/>
  <c r="I96" i="2"/>
  <c r="H96" i="2" s="1"/>
  <c r="J95" i="2"/>
  <c r="I95" i="2"/>
  <c r="H95" i="2" s="1"/>
  <c r="J94" i="2"/>
  <c r="I94" i="2"/>
  <c r="F94" i="2" s="1"/>
  <c r="K153" i="2" l="1"/>
  <c r="F153" i="2"/>
  <c r="G153" i="2"/>
  <c r="K97" i="2"/>
  <c r="F97" i="2"/>
  <c r="G97" i="2"/>
  <c r="G96" i="2"/>
  <c r="K96" i="2"/>
  <c r="F96" i="2"/>
  <c r="F95" i="2"/>
  <c r="G95" i="2"/>
  <c r="K95" i="2"/>
  <c r="G94" i="2"/>
  <c r="H94" i="2"/>
  <c r="K94" i="2" l="1"/>
  <c r="J149" i="2" l="1"/>
  <c r="I149" i="2"/>
  <c r="G149" i="2" s="1"/>
  <c r="J148" i="2"/>
  <c r="I148" i="2"/>
  <c r="F148" i="2" s="1"/>
  <c r="G148" i="2" l="1"/>
  <c r="H148" i="2"/>
  <c r="L148" i="2" s="1"/>
  <c r="H149" i="2"/>
  <c r="F149" i="2"/>
  <c r="K148" i="2" l="1"/>
  <c r="K149" i="2"/>
  <c r="L149" i="2"/>
  <c r="J139" i="2"/>
  <c r="I139" i="2"/>
  <c r="H139" i="2" s="1"/>
  <c r="L139" i="2" s="1"/>
  <c r="K139" i="2" l="1"/>
  <c r="F139" i="2"/>
  <c r="G139" i="2"/>
  <c r="J136" i="2" l="1"/>
  <c r="I136" i="2"/>
  <c r="H136" i="2" s="1"/>
  <c r="J124" i="2"/>
  <c r="I124" i="2"/>
  <c r="H124" i="2" s="1"/>
  <c r="J123" i="2"/>
  <c r="I123" i="2"/>
  <c r="H123" i="2" s="1"/>
  <c r="J128" i="2"/>
  <c r="I128" i="2"/>
  <c r="H128" i="2" s="1"/>
  <c r="J101" i="2"/>
  <c r="I101" i="2"/>
  <c r="H101" i="2" s="1"/>
  <c r="J103" i="2"/>
  <c r="I103" i="2"/>
  <c r="H103" i="2" s="1"/>
  <c r="J102" i="2"/>
  <c r="I102" i="2"/>
  <c r="F102" i="2" s="1"/>
  <c r="J63" i="2"/>
  <c r="I63" i="2"/>
  <c r="H63" i="2" s="1"/>
  <c r="J52" i="2"/>
  <c r="I52" i="2"/>
  <c r="H52" i="2" s="1"/>
  <c r="J51" i="2"/>
  <c r="I51" i="2"/>
  <c r="H51" i="2" s="1"/>
  <c r="J50" i="2"/>
  <c r="I50" i="2"/>
  <c r="G50" i="2" s="1"/>
  <c r="F136" i="2" l="1"/>
  <c r="L136" i="2"/>
  <c r="K136" i="2"/>
  <c r="G136" i="2"/>
  <c r="F124" i="2"/>
  <c r="G124" i="2"/>
  <c r="L124" i="2"/>
  <c r="K124" i="2"/>
  <c r="G123" i="2"/>
  <c r="F123" i="2"/>
  <c r="L123" i="2"/>
  <c r="K123" i="2"/>
  <c r="L128" i="2"/>
  <c r="K128" i="2"/>
  <c r="F128" i="2"/>
  <c r="G102" i="2"/>
  <c r="G128" i="2"/>
  <c r="F101" i="2"/>
  <c r="H102" i="2"/>
  <c r="L101" i="2"/>
  <c r="K101" i="2"/>
  <c r="K103" i="2"/>
  <c r="L103" i="2"/>
  <c r="F103" i="2"/>
  <c r="G101" i="2"/>
  <c r="G103" i="2"/>
  <c r="L63" i="2"/>
  <c r="K63" i="2"/>
  <c r="F63" i="2"/>
  <c r="G63" i="2"/>
  <c r="K52" i="2"/>
  <c r="L52" i="2"/>
  <c r="F52" i="2"/>
  <c r="G52" i="2"/>
  <c r="K51" i="2"/>
  <c r="L51" i="2"/>
  <c r="F51" i="2"/>
  <c r="G51" i="2"/>
  <c r="H50" i="2"/>
  <c r="F50" i="2"/>
  <c r="J70" i="2"/>
  <c r="I70" i="2"/>
  <c r="H70" i="2" s="1"/>
  <c r="J65" i="2"/>
  <c r="I65" i="2"/>
  <c r="H65" i="2" s="1"/>
  <c r="L65" i="2" s="1"/>
  <c r="J54" i="2"/>
  <c r="I54" i="2"/>
  <c r="H54" i="2" s="1"/>
  <c r="J49" i="2"/>
  <c r="I49" i="2"/>
  <c r="G49" i="2" s="1"/>
  <c r="L102" i="2" l="1"/>
  <c r="K102" i="2"/>
  <c r="K50" i="2"/>
  <c r="L50" i="2"/>
  <c r="L70" i="2"/>
  <c r="K70" i="2"/>
  <c r="F70" i="2"/>
  <c r="G70" i="2"/>
  <c r="G65" i="2"/>
  <c r="F65" i="2"/>
  <c r="K65" i="2"/>
  <c r="F49" i="2"/>
  <c r="L54" i="2"/>
  <c r="K54" i="2"/>
  <c r="F54" i="2"/>
  <c r="G54" i="2"/>
  <c r="H49" i="2"/>
  <c r="K49" i="2" l="1"/>
  <c r="L49" i="2"/>
  <c r="J24" i="2" l="1"/>
  <c r="I24" i="2"/>
  <c r="H24" i="2" s="1"/>
  <c r="J10" i="2"/>
  <c r="I10" i="2"/>
  <c r="H10" i="2" s="1"/>
  <c r="L24" i="2" l="1"/>
  <c r="K24" i="2"/>
  <c r="F24" i="2"/>
  <c r="G24" i="2"/>
  <c r="L10" i="2"/>
  <c r="K10" i="2"/>
  <c r="F10" i="2"/>
  <c r="G10" i="2"/>
  <c r="J73" i="2"/>
  <c r="I73" i="2"/>
  <c r="H73" i="2" s="1"/>
  <c r="L73" i="2" s="1"/>
  <c r="J113" i="2"/>
  <c r="I113" i="2"/>
  <c r="H113" i="2" s="1"/>
  <c r="J78" i="2"/>
  <c r="I78" i="2"/>
  <c r="G78" i="2" s="1"/>
  <c r="J34" i="2"/>
  <c r="I34" i="2"/>
  <c r="G34" i="2" s="1"/>
  <c r="J35" i="2"/>
  <c r="I35" i="2"/>
  <c r="H35" i="2" s="1"/>
  <c r="L86" i="2"/>
  <c r="L87" i="2"/>
  <c r="L98" i="2"/>
  <c r="L99" i="2"/>
  <c r="L109" i="2"/>
  <c r="L110" i="2"/>
  <c r="L116" i="2"/>
  <c r="L117" i="2"/>
  <c r="J119" i="2"/>
  <c r="I119" i="2"/>
  <c r="H119" i="2" s="1"/>
  <c r="L119" i="2" s="1"/>
  <c r="J118" i="2"/>
  <c r="I118" i="2"/>
  <c r="H118" i="2" s="1"/>
  <c r="L118" i="2" s="1"/>
  <c r="J117" i="2"/>
  <c r="I117" i="2"/>
  <c r="G117" i="2" s="1"/>
  <c r="H117" i="2"/>
  <c r="F117" i="2"/>
  <c r="J85" i="2"/>
  <c r="I85" i="2"/>
  <c r="G85" i="2" s="1"/>
  <c r="J46" i="2"/>
  <c r="I46" i="2"/>
  <c r="H46" i="2" s="1"/>
  <c r="J45" i="2"/>
  <c r="I45" i="2"/>
  <c r="H45" i="2" s="1"/>
  <c r="K45" i="2" s="1"/>
  <c r="J115" i="2"/>
  <c r="I115" i="2"/>
  <c r="H115" i="2" s="1"/>
  <c r="L115" i="2" s="1"/>
  <c r="J114" i="2"/>
  <c r="I114" i="2"/>
  <c r="G114" i="2" s="1"/>
  <c r="J112" i="2"/>
  <c r="I112" i="2"/>
  <c r="H112" i="2" s="1"/>
  <c r="K112" i="2" s="1"/>
  <c r="J111" i="2"/>
  <c r="I111" i="2"/>
  <c r="H111" i="2" s="1"/>
  <c r="L111" i="2" s="1"/>
  <c r="J110" i="2"/>
  <c r="I110" i="2"/>
  <c r="G110" i="2" s="1"/>
  <c r="H110" i="2"/>
  <c r="F110" i="2"/>
  <c r="J109" i="2"/>
  <c r="I109" i="2"/>
  <c r="G109" i="2" s="1"/>
  <c r="H109" i="2"/>
  <c r="F109" i="2"/>
  <c r="J108" i="2"/>
  <c r="I108" i="2"/>
  <c r="F108" i="2" s="1"/>
  <c r="J107" i="2"/>
  <c r="I107" i="2"/>
  <c r="G107" i="2" s="1"/>
  <c r="J106" i="2"/>
  <c r="I106" i="2"/>
  <c r="H106" i="2" s="1"/>
  <c r="L106" i="2" s="1"/>
  <c r="J105" i="2"/>
  <c r="I105" i="2"/>
  <c r="H105" i="2" s="1"/>
  <c r="L105" i="2" s="1"/>
  <c r="J104" i="2"/>
  <c r="I104" i="2"/>
  <c r="F104" i="2" s="1"/>
  <c r="J100" i="2"/>
  <c r="I100" i="2"/>
  <c r="H100" i="2" s="1"/>
  <c r="L100" i="2" s="1"/>
  <c r="J99" i="2"/>
  <c r="I99" i="2"/>
  <c r="G99" i="2" s="1"/>
  <c r="H99" i="2"/>
  <c r="F99" i="2"/>
  <c r="J98" i="2"/>
  <c r="I98" i="2"/>
  <c r="G98" i="2" s="1"/>
  <c r="H98" i="2"/>
  <c r="F98" i="2"/>
  <c r="J93" i="2"/>
  <c r="I93" i="2"/>
  <c r="F93" i="2" s="1"/>
  <c r="J92" i="2"/>
  <c r="I92" i="2"/>
  <c r="H92" i="2" s="1"/>
  <c r="L92" i="2" s="1"/>
  <c r="J91" i="2"/>
  <c r="I91" i="2"/>
  <c r="H91" i="2" s="1"/>
  <c r="L91" i="2" s="1"/>
  <c r="J90" i="2"/>
  <c r="I90" i="2"/>
  <c r="H90" i="2" s="1"/>
  <c r="L90" i="2" s="1"/>
  <c r="J89" i="2"/>
  <c r="I89" i="2"/>
  <c r="F89" i="2" s="1"/>
  <c r="J88" i="2"/>
  <c r="I88" i="2"/>
  <c r="H88" i="2" s="1"/>
  <c r="L88" i="2" s="1"/>
  <c r="J87" i="2"/>
  <c r="I87" i="2"/>
  <c r="G87" i="2" s="1"/>
  <c r="H87" i="2"/>
  <c r="F87" i="2"/>
  <c r="J64" i="2"/>
  <c r="I64" i="2"/>
  <c r="H64" i="2" s="1"/>
  <c r="J36" i="2"/>
  <c r="I36" i="2"/>
  <c r="H36" i="2" s="1"/>
  <c r="G73" i="2" l="1"/>
  <c r="F73" i="2"/>
  <c r="K73" i="2"/>
  <c r="F113" i="2"/>
  <c r="L113" i="2"/>
  <c r="K113" i="2"/>
  <c r="G113" i="2"/>
  <c r="H78" i="2"/>
  <c r="L78" i="2" s="1"/>
  <c r="F78" i="2"/>
  <c r="F34" i="2"/>
  <c r="H34" i="2"/>
  <c r="L34" i="2" s="1"/>
  <c r="K99" i="2"/>
  <c r="F35" i="2"/>
  <c r="L35" i="2"/>
  <c r="K35" i="2"/>
  <c r="G35" i="2"/>
  <c r="H85" i="2"/>
  <c r="L85" i="2" s="1"/>
  <c r="K117" i="2"/>
  <c r="L112" i="2"/>
  <c r="H114" i="2"/>
  <c r="L114" i="2" s="1"/>
  <c r="K110" i="2"/>
  <c r="K118" i="2"/>
  <c r="K119" i="2"/>
  <c r="F119" i="2"/>
  <c r="F118" i="2"/>
  <c r="G119" i="2"/>
  <c r="G118" i="2"/>
  <c r="F45" i="2"/>
  <c r="F107" i="2"/>
  <c r="G45" i="2"/>
  <c r="F85" i="2"/>
  <c r="K87" i="2"/>
  <c r="G91" i="2"/>
  <c r="G93" i="2"/>
  <c r="H107" i="2"/>
  <c r="L107" i="2" s="1"/>
  <c r="F114" i="2"/>
  <c r="F92" i="2"/>
  <c r="G108" i="2"/>
  <c r="F112" i="2"/>
  <c r="F46" i="2"/>
  <c r="G92" i="2"/>
  <c r="K98" i="2"/>
  <c r="G106" i="2"/>
  <c r="H108" i="2"/>
  <c r="L108" i="2" s="1"/>
  <c r="G112" i="2"/>
  <c r="G46" i="2"/>
  <c r="F90" i="2"/>
  <c r="L46" i="2"/>
  <c r="K46" i="2"/>
  <c r="K109" i="2"/>
  <c r="H104" i="2"/>
  <c r="L104" i="2" s="1"/>
  <c r="F106" i="2"/>
  <c r="L45" i="2"/>
  <c r="G89" i="2"/>
  <c r="H89" i="2"/>
  <c r="L89" i="2" s="1"/>
  <c r="F91" i="2"/>
  <c r="F105" i="2"/>
  <c r="H93" i="2"/>
  <c r="L93" i="2" s="1"/>
  <c r="G104" i="2"/>
  <c r="F115" i="2"/>
  <c r="K105" i="2"/>
  <c r="K90" i="2"/>
  <c r="K88" i="2"/>
  <c r="K106" i="2"/>
  <c r="K100" i="2"/>
  <c r="K91" i="2"/>
  <c r="K111" i="2"/>
  <c r="K115" i="2"/>
  <c r="G115" i="2"/>
  <c r="G90" i="2"/>
  <c r="G105" i="2"/>
  <c r="F88" i="2"/>
  <c r="F100" i="2"/>
  <c r="F111" i="2"/>
  <c r="G88" i="2"/>
  <c r="K92" i="2"/>
  <c r="G100" i="2"/>
  <c r="G111" i="2"/>
  <c r="F64" i="2"/>
  <c r="G64" i="2"/>
  <c r="L64" i="2"/>
  <c r="K64" i="2"/>
  <c r="K36" i="2"/>
  <c r="L36" i="2"/>
  <c r="F36" i="2"/>
  <c r="G36" i="2"/>
  <c r="J59" i="2"/>
  <c r="I59" i="2"/>
  <c r="H59" i="2" s="1"/>
  <c r="J14" i="2"/>
  <c r="I14" i="2"/>
  <c r="H14" i="2" s="1"/>
  <c r="L11" i="2"/>
  <c r="J11" i="2"/>
  <c r="I11" i="2"/>
  <c r="G11" i="2" s="1"/>
  <c r="H11" i="2"/>
  <c r="F11" i="2"/>
  <c r="J9" i="2"/>
  <c r="I9" i="2"/>
  <c r="G9" i="2" s="1"/>
  <c r="L8" i="2"/>
  <c r="J8" i="2"/>
  <c r="I8" i="2"/>
  <c r="G8" i="2" s="1"/>
  <c r="H8" i="2"/>
  <c r="F8" i="2"/>
  <c r="K78" i="2" l="1"/>
  <c r="K114" i="2"/>
  <c r="K34" i="2"/>
  <c r="K107" i="2"/>
  <c r="K85" i="2"/>
  <c r="K93" i="2"/>
  <c r="K108" i="2"/>
  <c r="K104" i="2"/>
  <c r="K89" i="2"/>
  <c r="F59" i="2"/>
  <c r="G59" i="2"/>
  <c r="K59" i="2"/>
  <c r="L59" i="2"/>
  <c r="F14" i="2"/>
  <c r="G14" i="2"/>
  <c r="L14" i="2"/>
  <c r="K14" i="2"/>
  <c r="K8" i="2"/>
  <c r="H9" i="2"/>
  <c r="K11" i="2"/>
  <c r="F9" i="2"/>
  <c r="J71" i="2"/>
  <c r="I71" i="2"/>
  <c r="F71" i="2" s="1"/>
  <c r="J43" i="2"/>
  <c r="I43" i="2"/>
  <c r="H43" i="2" s="1"/>
  <c r="L9" i="2" l="1"/>
  <c r="G71" i="2"/>
  <c r="H71" i="2"/>
  <c r="K43" i="2"/>
  <c r="L43" i="2"/>
  <c r="F43" i="2"/>
  <c r="G43" i="2"/>
  <c r="J48" i="2"/>
  <c r="I48" i="2"/>
  <c r="H48" i="2" s="1"/>
  <c r="J47" i="2"/>
  <c r="I47" i="2"/>
  <c r="H47" i="2" s="1"/>
  <c r="J44" i="2"/>
  <c r="I44" i="2"/>
  <c r="H44" i="2" s="1"/>
  <c r="J40" i="2"/>
  <c r="I40" i="2"/>
  <c r="H40" i="2" s="1"/>
  <c r="J39" i="2"/>
  <c r="I39" i="2"/>
  <c r="G39" i="2" s="1"/>
  <c r="J26" i="2"/>
  <c r="I26" i="2"/>
  <c r="H26" i="2" s="1"/>
  <c r="J25" i="2"/>
  <c r="I25" i="2"/>
  <c r="H25" i="2" s="1"/>
  <c r="J23" i="2"/>
  <c r="I23" i="2"/>
  <c r="H23" i="2" s="1"/>
  <c r="J31" i="2"/>
  <c r="I31" i="2"/>
  <c r="H31" i="2" s="1"/>
  <c r="J30" i="2"/>
  <c r="I30" i="2"/>
  <c r="H30" i="2" s="1"/>
  <c r="J29" i="2"/>
  <c r="I29" i="2"/>
  <c r="G29" i="2" s="1"/>
  <c r="K9" i="2" l="1"/>
  <c r="L71" i="2"/>
  <c r="K71" i="2"/>
  <c r="G48" i="2"/>
  <c r="F48" i="2"/>
  <c r="L48" i="2"/>
  <c r="K48" i="2"/>
  <c r="F47" i="2"/>
  <c r="G47" i="2"/>
  <c r="L47" i="2"/>
  <c r="K47" i="2"/>
  <c r="F44" i="2"/>
  <c r="G44" i="2"/>
  <c r="L44" i="2"/>
  <c r="K44" i="2"/>
  <c r="G40" i="2"/>
  <c r="L40" i="2"/>
  <c r="K40" i="2"/>
  <c r="F40" i="2"/>
  <c r="H39" i="2"/>
  <c r="K39" i="2" s="1"/>
  <c r="F39" i="2"/>
  <c r="F26" i="2"/>
  <c r="G26" i="2"/>
  <c r="L26" i="2"/>
  <c r="K26" i="2"/>
  <c r="F25" i="2"/>
  <c r="G25" i="2"/>
  <c r="L25" i="2"/>
  <c r="K25" i="2"/>
  <c r="K23" i="2"/>
  <c r="L23" i="2"/>
  <c r="F23" i="2"/>
  <c r="G23" i="2"/>
  <c r="K31" i="2"/>
  <c r="L31" i="2"/>
  <c r="G31" i="2"/>
  <c r="F31" i="2"/>
  <c r="H29" i="2"/>
  <c r="K29" i="2" s="1"/>
  <c r="K30" i="2"/>
  <c r="L30" i="2"/>
  <c r="F30" i="2"/>
  <c r="F29" i="2"/>
  <c r="G30" i="2"/>
  <c r="L39" i="2" l="1"/>
  <c r="L29" i="2"/>
  <c r="J13" i="2" l="1"/>
  <c r="I13" i="2"/>
  <c r="G13" i="2" s="1"/>
  <c r="J18" i="2"/>
  <c r="I18" i="2"/>
  <c r="H18" i="2" s="1"/>
  <c r="J17" i="2"/>
  <c r="I17" i="2"/>
  <c r="H17" i="2" s="1"/>
  <c r="J16" i="2"/>
  <c r="I16" i="2"/>
  <c r="G16" i="2" s="1"/>
  <c r="J15" i="2"/>
  <c r="I15" i="2"/>
  <c r="H15" i="2" s="1"/>
  <c r="G15" i="2" l="1"/>
  <c r="F13" i="2"/>
  <c r="H13" i="2"/>
  <c r="F18" i="2"/>
  <c r="H16" i="2"/>
  <c r="K16" i="2" s="1"/>
  <c r="K15" i="2"/>
  <c r="L15" i="2"/>
  <c r="K17" i="2"/>
  <c r="L17" i="2"/>
  <c r="L18" i="2"/>
  <c r="K18" i="2"/>
  <c r="F17" i="2"/>
  <c r="G18" i="2"/>
  <c r="F16" i="2"/>
  <c r="G17" i="2"/>
  <c r="F15" i="2"/>
  <c r="L16" i="2" l="1"/>
  <c r="K13" i="2"/>
  <c r="L13" i="2"/>
  <c r="J84" i="2" l="1"/>
  <c r="I84" i="2"/>
  <c r="H84" i="2" s="1"/>
  <c r="J74" i="2"/>
  <c r="I74" i="2"/>
  <c r="H74" i="2" s="1"/>
  <c r="J66" i="2"/>
  <c r="I66" i="2"/>
  <c r="H66" i="2" s="1"/>
  <c r="J55" i="2"/>
  <c r="I55" i="2"/>
  <c r="H55" i="2" s="1"/>
  <c r="F84" i="2" l="1"/>
  <c r="L84" i="2"/>
  <c r="K84" i="2"/>
  <c r="G84" i="2"/>
  <c r="L74" i="2"/>
  <c r="K74" i="2"/>
  <c r="F74" i="2"/>
  <c r="G74" i="2"/>
  <c r="F66" i="2"/>
  <c r="K66" i="2"/>
  <c r="L66" i="2"/>
  <c r="G66" i="2"/>
  <c r="F55" i="2"/>
  <c r="K55" i="2"/>
  <c r="L55" i="2"/>
  <c r="G55" i="2"/>
  <c r="J79" i="2" l="1"/>
  <c r="I79" i="2"/>
  <c r="H79" i="2" s="1"/>
  <c r="K79" i="2" l="1"/>
  <c r="L79" i="2"/>
  <c r="F79" i="2"/>
  <c r="G79" i="2"/>
  <c r="L76" i="2" l="1"/>
  <c r="J76" i="2"/>
  <c r="I76" i="2"/>
  <c r="G76" i="2" s="1"/>
  <c r="H76" i="2"/>
  <c r="F76" i="2"/>
  <c r="J75" i="2"/>
  <c r="I75" i="2"/>
  <c r="F75" i="2" s="1"/>
  <c r="J72" i="2"/>
  <c r="I72" i="2"/>
  <c r="H72" i="2" s="1"/>
  <c r="L69" i="2"/>
  <c r="J69" i="2"/>
  <c r="I69" i="2"/>
  <c r="G69" i="2" s="1"/>
  <c r="H69" i="2"/>
  <c r="F69" i="2"/>
  <c r="K69" i="2" l="1"/>
  <c r="G75" i="2"/>
  <c r="K76" i="2"/>
  <c r="K72" i="2"/>
  <c r="L72" i="2"/>
  <c r="F72" i="2"/>
  <c r="G72" i="2"/>
  <c r="H75" i="2"/>
  <c r="K75" i="2" l="1"/>
  <c r="L75" i="2"/>
  <c r="J62" i="2" l="1"/>
  <c r="I62" i="2"/>
  <c r="H62" i="2" s="1"/>
  <c r="J61" i="2"/>
  <c r="I61" i="2"/>
  <c r="H61" i="2" s="1"/>
  <c r="J37" i="2"/>
  <c r="I37" i="2"/>
  <c r="H37" i="2" s="1"/>
  <c r="J146" i="2"/>
  <c r="I146" i="2"/>
  <c r="G146" i="2" s="1"/>
  <c r="J145" i="2"/>
  <c r="I145" i="2"/>
  <c r="G145" i="2" s="1"/>
  <c r="J144" i="2"/>
  <c r="I144" i="2"/>
  <c r="G144" i="2" s="1"/>
  <c r="J143" i="2"/>
  <c r="I143" i="2"/>
  <c r="G143" i="2" s="1"/>
  <c r="J147" i="2"/>
  <c r="I147" i="2"/>
  <c r="G147" i="2" s="1"/>
  <c r="J135" i="2"/>
  <c r="I135" i="2"/>
  <c r="G135" i="2" s="1"/>
  <c r="L134" i="2"/>
  <c r="J134" i="2"/>
  <c r="I134" i="2"/>
  <c r="G134" i="2" s="1"/>
  <c r="H134" i="2"/>
  <c r="F134" i="2"/>
  <c r="J137" i="2"/>
  <c r="I137" i="2"/>
  <c r="H137" i="2" s="1"/>
  <c r="J131" i="2"/>
  <c r="I131" i="2"/>
  <c r="H131" i="2" s="1"/>
  <c r="J132" i="2"/>
  <c r="I132" i="2"/>
  <c r="H132" i="2" s="1"/>
  <c r="J130" i="2"/>
  <c r="I130" i="2"/>
  <c r="F130" i="2" s="1"/>
  <c r="J127" i="2"/>
  <c r="I127" i="2"/>
  <c r="H127" i="2" s="1"/>
  <c r="J120" i="2"/>
  <c r="I120" i="2"/>
  <c r="G120" i="2" s="1"/>
  <c r="J116" i="2"/>
  <c r="I116" i="2"/>
  <c r="G116" i="2" s="1"/>
  <c r="H116" i="2"/>
  <c r="F116" i="2"/>
  <c r="J86" i="2"/>
  <c r="I86" i="2"/>
  <c r="G86" i="2" s="1"/>
  <c r="H86" i="2"/>
  <c r="F86" i="2"/>
  <c r="F144" i="2" l="1"/>
  <c r="H143" i="2"/>
  <c r="L143" i="2" s="1"/>
  <c r="H144" i="2"/>
  <c r="L144" i="2" s="1"/>
  <c r="F143" i="2"/>
  <c r="H130" i="2"/>
  <c r="L130" i="2" s="1"/>
  <c r="F135" i="2"/>
  <c r="H135" i="2"/>
  <c r="L135" i="2" s="1"/>
  <c r="L62" i="2"/>
  <c r="K62" i="2" s="1"/>
  <c r="F62" i="2"/>
  <c r="G62" i="2"/>
  <c r="L61" i="2"/>
  <c r="K61" i="2" s="1"/>
  <c r="F61" i="2"/>
  <c r="G61" i="2"/>
  <c r="L37" i="2"/>
  <c r="K37" i="2" s="1"/>
  <c r="F37" i="2"/>
  <c r="G37" i="2"/>
  <c r="F145" i="2"/>
  <c r="H145" i="2"/>
  <c r="F146" i="2"/>
  <c r="H146" i="2"/>
  <c r="F147" i="2"/>
  <c r="H147" i="2"/>
  <c r="G130" i="2"/>
  <c r="K134" i="2"/>
  <c r="L137" i="2"/>
  <c r="K137" i="2" s="1"/>
  <c r="F137" i="2"/>
  <c r="G137" i="2"/>
  <c r="G132" i="2"/>
  <c r="L131" i="2"/>
  <c r="K131" i="2" s="1"/>
  <c r="F131" i="2"/>
  <c r="G131" i="2"/>
  <c r="L132" i="2"/>
  <c r="K132" i="2" s="1"/>
  <c r="F132" i="2"/>
  <c r="L127" i="2"/>
  <c r="K127" i="2" s="1"/>
  <c r="F127" i="2"/>
  <c r="G127" i="2"/>
  <c r="H120" i="2"/>
  <c r="F120" i="2"/>
  <c r="K116" i="2"/>
  <c r="K86" i="2"/>
  <c r="K130" i="2" l="1"/>
  <c r="K144" i="2"/>
  <c r="K143" i="2"/>
  <c r="K135" i="2"/>
  <c r="L147" i="2"/>
  <c r="K147" i="2" s="1"/>
  <c r="L146" i="2"/>
  <c r="K146" i="2" s="1"/>
  <c r="L145" i="2"/>
  <c r="K145" i="2" s="1"/>
  <c r="L120" i="2"/>
  <c r="K120" i="2" s="1"/>
  <c r="J81" i="2"/>
  <c r="I81" i="2"/>
  <c r="G81" i="2" s="1"/>
  <c r="J80" i="2"/>
  <c r="I80" i="2"/>
  <c r="H80" i="2" s="1"/>
  <c r="J77" i="2"/>
  <c r="I77" i="2"/>
  <c r="H77" i="2" s="1"/>
  <c r="J68" i="2"/>
  <c r="I68" i="2"/>
  <c r="H68" i="2" s="1"/>
  <c r="F80" i="2" l="1"/>
  <c r="H81" i="2"/>
  <c r="F81" i="2"/>
  <c r="L80" i="2"/>
  <c r="K80" i="2"/>
  <c r="G80" i="2"/>
  <c r="L77" i="2"/>
  <c r="K77" i="2" s="1"/>
  <c r="F77" i="2"/>
  <c r="G77" i="2"/>
  <c r="L68" i="2"/>
  <c r="K68" i="2" s="1"/>
  <c r="F68" i="2"/>
  <c r="G68" i="2"/>
  <c r="L81" i="2" l="1"/>
  <c r="K81" i="2" s="1"/>
  <c r="J60" i="2" l="1"/>
  <c r="I60" i="2"/>
  <c r="H60" i="2" s="1"/>
  <c r="J27" i="2"/>
  <c r="I27" i="2"/>
  <c r="F27" i="2" s="1"/>
  <c r="L60" i="2" l="1"/>
  <c r="K60" i="2" s="1"/>
  <c r="F60" i="2"/>
  <c r="G60" i="2"/>
  <c r="H27" i="2"/>
  <c r="G27" i="2"/>
  <c r="L27" i="2" l="1"/>
  <c r="K27" i="2" s="1"/>
  <c r="J38" i="2" l="1"/>
  <c r="I38" i="2"/>
  <c r="H38" i="2" s="1"/>
  <c r="J33" i="2"/>
  <c r="I33" i="2"/>
  <c r="H33" i="2" s="1"/>
  <c r="J58" i="2"/>
  <c r="I58" i="2"/>
  <c r="G58" i="2" s="1"/>
  <c r="J57" i="2"/>
  <c r="I57" i="2"/>
  <c r="H57" i="2" s="1"/>
  <c r="J19" i="2"/>
  <c r="I19" i="2"/>
  <c r="G19" i="2" s="1"/>
  <c r="G33" i="2" l="1"/>
  <c r="F33" i="2"/>
  <c r="L38" i="2"/>
  <c r="K38" i="2" s="1"/>
  <c r="F38" i="2"/>
  <c r="G38" i="2"/>
  <c r="L33" i="2"/>
  <c r="K33" i="2" s="1"/>
  <c r="H58" i="2"/>
  <c r="F58" i="2"/>
  <c r="L57" i="2"/>
  <c r="K57" i="2" s="1"/>
  <c r="F57" i="2"/>
  <c r="G57" i="2"/>
  <c r="F19" i="2"/>
  <c r="H19" i="2"/>
  <c r="L19" i="2" s="1"/>
  <c r="J22" i="2"/>
  <c r="I22" i="2"/>
  <c r="H22" i="2" s="1"/>
  <c r="J42" i="2"/>
  <c r="I42" i="2"/>
  <c r="F42" i="2" s="1"/>
  <c r="H42" i="2" l="1"/>
  <c r="G42" i="2"/>
  <c r="L58" i="2"/>
  <c r="K58" i="2" s="1"/>
  <c r="K19" i="2"/>
  <c r="L22" i="2"/>
  <c r="K22" i="2" s="1"/>
  <c r="F22" i="2"/>
  <c r="G22" i="2"/>
  <c r="L42" i="2" l="1"/>
  <c r="K42" i="2" s="1"/>
  <c r="J21" i="2"/>
  <c r="I21" i="2"/>
  <c r="G21" i="2" s="1"/>
  <c r="J238" i="2"/>
  <c r="I238" i="2"/>
  <c r="G238" i="2" s="1"/>
  <c r="J237" i="2"/>
  <c r="I237" i="2"/>
  <c r="G237" i="2" s="1"/>
  <c r="J236" i="2"/>
  <c r="I236" i="2"/>
  <c r="G236" i="2" s="1"/>
  <c r="J235" i="2"/>
  <c r="I235" i="2"/>
  <c r="H235" i="2" s="1"/>
  <c r="J234" i="2"/>
  <c r="I234" i="2"/>
  <c r="G234" i="2" s="1"/>
  <c r="J242" i="2"/>
  <c r="I242" i="2"/>
  <c r="G242" i="2" s="1"/>
  <c r="J241" i="2"/>
  <c r="I241" i="2"/>
  <c r="G241" i="2" s="1"/>
  <c r="J240" i="2"/>
  <c r="I240" i="2"/>
  <c r="G240" i="2" s="1"/>
  <c r="J239" i="2"/>
  <c r="I239" i="2"/>
  <c r="H239" i="2" s="1"/>
  <c r="J244" i="2"/>
  <c r="I244" i="2"/>
  <c r="G244" i="2" s="1"/>
  <c r="J243" i="2"/>
  <c r="I243" i="2"/>
  <c r="G243" i="2" s="1"/>
  <c r="L245" i="2"/>
  <c r="J245" i="2"/>
  <c r="I245" i="2"/>
  <c r="G245" i="2" s="1"/>
  <c r="H245" i="2"/>
  <c r="F245" i="2"/>
  <c r="J273" i="2"/>
  <c r="I273" i="2"/>
  <c r="G273" i="2" s="1"/>
  <c r="J272" i="2"/>
  <c r="I272" i="2"/>
  <c r="G272" i="2" s="1"/>
  <c r="J271" i="2"/>
  <c r="I271" i="2"/>
  <c r="F271" i="2" s="1"/>
  <c r="J270" i="2"/>
  <c r="I270" i="2"/>
  <c r="G270" i="2" s="1"/>
  <c r="J269" i="2"/>
  <c r="I269" i="2"/>
  <c r="G269" i="2" s="1"/>
  <c r="J268" i="2"/>
  <c r="I268" i="2"/>
  <c r="G268" i="2" s="1"/>
  <c r="L274" i="2"/>
  <c r="J274" i="2"/>
  <c r="I274" i="2"/>
  <c r="G274" i="2" s="1"/>
  <c r="H274" i="2"/>
  <c r="F274" i="2"/>
  <c r="J155" i="2"/>
  <c r="I155" i="2"/>
  <c r="G155" i="2" s="1"/>
  <c r="J156" i="2"/>
  <c r="I156" i="2"/>
  <c r="G156" i="2" s="1"/>
  <c r="J126" i="2"/>
  <c r="I126" i="2"/>
  <c r="G126" i="2" s="1"/>
  <c r="J142" i="2"/>
  <c r="I142" i="2"/>
  <c r="G142" i="2" s="1"/>
  <c r="J141" i="2"/>
  <c r="I141" i="2"/>
  <c r="G141" i="2" s="1"/>
  <c r="J140" i="2"/>
  <c r="I140" i="2"/>
  <c r="H140" i="2" s="1"/>
  <c r="L140" i="2" s="1"/>
  <c r="J138" i="2"/>
  <c r="I138" i="2"/>
  <c r="G138" i="2" s="1"/>
  <c r="J133" i="2"/>
  <c r="I133" i="2"/>
  <c r="G133" i="2" s="1"/>
  <c r="J129" i="2"/>
  <c r="I129" i="2"/>
  <c r="H129" i="2" s="1"/>
  <c r="L129" i="2" s="1"/>
  <c r="K129" i="2" s="1"/>
  <c r="J125" i="2"/>
  <c r="I125" i="2"/>
  <c r="G125" i="2" s="1"/>
  <c r="J152" i="2"/>
  <c r="I152" i="2"/>
  <c r="G152" i="2" s="1"/>
  <c r="J151" i="2"/>
  <c r="I151" i="2"/>
  <c r="G151" i="2" s="1"/>
  <c r="J150" i="2"/>
  <c r="I150" i="2"/>
  <c r="G150" i="2" s="1"/>
  <c r="J154" i="2"/>
  <c r="I154" i="2"/>
  <c r="H154" i="2" s="1"/>
  <c r="L154" i="2" s="1"/>
  <c r="K154" i="2" s="1"/>
  <c r="H126" i="2" l="1"/>
  <c r="L126" i="2" s="1"/>
  <c r="F126" i="2"/>
  <c r="F125" i="2"/>
  <c r="H125" i="2"/>
  <c r="L125" i="2" s="1"/>
  <c r="F21" i="2"/>
  <c r="H21" i="2"/>
  <c r="L21" i="2" s="1"/>
  <c r="F236" i="2"/>
  <c r="H236" i="2"/>
  <c r="H234" i="2"/>
  <c r="F241" i="2"/>
  <c r="H241" i="2"/>
  <c r="F239" i="2"/>
  <c r="F242" i="2"/>
  <c r="H242" i="2"/>
  <c r="F235" i="2"/>
  <c r="F240" i="2"/>
  <c r="G235" i="2"/>
  <c r="H240" i="2"/>
  <c r="L240" i="2" s="1"/>
  <c r="H238" i="2"/>
  <c r="L239" i="2"/>
  <c r="K239" i="2" s="1"/>
  <c r="L235" i="2"/>
  <c r="K235" i="2" s="1"/>
  <c r="F234" i="2"/>
  <c r="F244" i="2"/>
  <c r="H244" i="2"/>
  <c r="L244" i="2" s="1"/>
  <c r="F238" i="2"/>
  <c r="F237" i="2"/>
  <c r="H237" i="2"/>
  <c r="L237" i="2" s="1"/>
  <c r="K237" i="2" s="1"/>
  <c r="F243" i="2"/>
  <c r="G239" i="2"/>
  <c r="H243" i="2"/>
  <c r="K245" i="2"/>
  <c r="H268" i="2"/>
  <c r="F269" i="2"/>
  <c r="G271" i="2"/>
  <c r="K274" i="2"/>
  <c r="H271" i="2"/>
  <c r="F268" i="2"/>
  <c r="F272" i="2"/>
  <c r="H272" i="2"/>
  <c r="L272" i="2" s="1"/>
  <c r="K272" i="2" s="1"/>
  <c r="F273" i="2"/>
  <c r="H269" i="2"/>
  <c r="F270" i="2"/>
  <c r="H273" i="2"/>
  <c r="H270" i="2"/>
  <c r="H155" i="2"/>
  <c r="L155" i="2" s="1"/>
  <c r="K155" i="2" s="1"/>
  <c r="F156" i="2"/>
  <c r="H156" i="2"/>
  <c r="L156" i="2" s="1"/>
  <c r="K156" i="2" s="1"/>
  <c r="F155" i="2"/>
  <c r="F154" i="2"/>
  <c r="G154" i="2"/>
  <c r="F129" i="2"/>
  <c r="F150" i="2"/>
  <c r="H133" i="2"/>
  <c r="L133" i="2" s="1"/>
  <c r="K133" i="2" s="1"/>
  <c r="H142" i="2"/>
  <c r="L142" i="2" s="1"/>
  <c r="K142" i="2" s="1"/>
  <c r="F138" i="2"/>
  <c r="H138" i="2"/>
  <c r="F141" i="2"/>
  <c r="H151" i="2"/>
  <c r="L151" i="2" s="1"/>
  <c r="K151" i="2" s="1"/>
  <c r="F142" i="2"/>
  <c r="F152" i="2"/>
  <c r="G129" i="2"/>
  <c r="H152" i="2"/>
  <c r="L152" i="2" s="1"/>
  <c r="K152" i="2" s="1"/>
  <c r="H150" i="2"/>
  <c r="L150" i="2" s="1"/>
  <c r="F140" i="2"/>
  <c r="G140" i="2"/>
  <c r="H141" i="2"/>
  <c r="L141" i="2" s="1"/>
  <c r="K141" i="2" s="1"/>
  <c r="F133" i="2"/>
  <c r="F151" i="2"/>
  <c r="K140" i="2"/>
  <c r="K126" i="2" l="1"/>
  <c r="K125" i="2"/>
  <c r="K21" i="2"/>
  <c r="L236" i="2"/>
  <c r="K236" i="2" s="1"/>
  <c r="L234" i="2"/>
  <c r="K234" i="2" s="1"/>
  <c r="K240" i="2"/>
  <c r="L238" i="2"/>
  <c r="K238" i="2" s="1"/>
  <c r="L242" i="2"/>
  <c r="K242" i="2" s="1"/>
  <c r="L241" i="2"/>
  <c r="K241" i="2" s="1"/>
  <c r="K244" i="2"/>
  <c r="L243" i="2"/>
  <c r="K243" i="2" s="1"/>
  <c r="L268" i="2"/>
  <c r="K268" i="2" s="1"/>
  <c r="L271" i="2"/>
  <c r="K271" i="2" s="1"/>
  <c r="L270" i="2"/>
  <c r="K270" i="2" s="1"/>
  <c r="L273" i="2"/>
  <c r="K273" i="2" s="1"/>
  <c r="L269" i="2"/>
  <c r="K269" i="2" s="1"/>
  <c r="L138" i="2"/>
  <c r="K138" i="2" s="1"/>
  <c r="K150" i="2"/>
  <c r="J157" i="2"/>
  <c r="I157" i="2"/>
  <c r="G157" i="2" s="1"/>
  <c r="J231" i="2"/>
  <c r="I231" i="2"/>
  <c r="G231" i="2" s="1"/>
  <c r="J230" i="2"/>
  <c r="I230" i="2"/>
  <c r="G230" i="2" s="1"/>
  <c r="J229" i="2"/>
  <c r="I229" i="2"/>
  <c r="G229" i="2" s="1"/>
  <c r="J228" i="2"/>
  <c r="I228" i="2"/>
  <c r="G228" i="2" s="1"/>
  <c r="J227" i="2"/>
  <c r="I227" i="2"/>
  <c r="H227" i="2" s="1"/>
  <c r="L227" i="2" s="1"/>
  <c r="J226" i="2"/>
  <c r="I226" i="2"/>
  <c r="G226" i="2" s="1"/>
  <c r="L225" i="2"/>
  <c r="J225" i="2"/>
  <c r="I225" i="2"/>
  <c r="G225" i="2" s="1"/>
  <c r="H225" i="2"/>
  <c r="F225" i="2"/>
  <c r="J233" i="2"/>
  <c r="I233" i="2"/>
  <c r="G233" i="2" s="1"/>
  <c r="J232" i="2"/>
  <c r="I232" i="2"/>
  <c r="H232" i="2" s="1"/>
  <c r="L232" i="2" s="1"/>
  <c r="J20" i="2"/>
  <c r="I20" i="2"/>
  <c r="G20" i="2" s="1"/>
  <c r="L12" i="2"/>
  <c r="J12" i="2"/>
  <c r="I12" i="2"/>
  <c r="G12" i="2" s="1"/>
  <c r="H12" i="2"/>
  <c r="F12" i="2"/>
  <c r="L203" i="2"/>
  <c r="J203" i="2"/>
  <c r="I203" i="2"/>
  <c r="G203" i="2" s="1"/>
  <c r="H203" i="2"/>
  <c r="F203" i="2"/>
  <c r="J177" i="2"/>
  <c r="I177" i="2"/>
  <c r="G177" i="2" s="1"/>
  <c r="H157" i="2" l="1"/>
  <c r="L157" i="2" s="1"/>
  <c r="F157" i="2"/>
  <c r="K225" i="2"/>
  <c r="H229" i="2"/>
  <c r="L229" i="2" s="1"/>
  <c r="K229" i="2" s="1"/>
  <c r="H228" i="2"/>
  <c r="K203" i="2"/>
  <c r="F232" i="2"/>
  <c r="G232" i="2"/>
  <c r="H230" i="2"/>
  <c r="H233" i="2"/>
  <c r="F233" i="2"/>
  <c r="K232" i="2"/>
  <c r="F231" i="2"/>
  <c r="H231" i="2"/>
  <c r="L231" i="2" s="1"/>
  <c r="F230" i="2"/>
  <c r="F229" i="2"/>
  <c r="F228" i="2"/>
  <c r="F227" i="2"/>
  <c r="G227" i="2"/>
  <c r="F226" i="2"/>
  <c r="H226" i="2"/>
  <c r="L226" i="2" s="1"/>
  <c r="K227" i="2"/>
  <c r="F20" i="2"/>
  <c r="H20" i="2"/>
  <c r="K12" i="2"/>
  <c r="F177" i="2"/>
  <c r="H177" i="2"/>
  <c r="K157" i="2" l="1"/>
  <c r="L20" i="2"/>
  <c r="K231" i="2"/>
  <c r="K226" i="2"/>
  <c r="L177" i="2"/>
  <c r="K177" i="2" s="1"/>
  <c r="L230" i="2"/>
  <c r="K230" i="2" s="1"/>
  <c r="L233" i="2"/>
  <c r="K233" i="2" s="1"/>
  <c r="L228" i="2"/>
  <c r="K228" i="2" s="1"/>
  <c r="K20" i="2"/>
  <c r="J53" i="2" l="1"/>
  <c r="I53" i="2"/>
  <c r="F53" i="2" s="1"/>
  <c r="J183" i="2"/>
  <c r="I183" i="2"/>
  <c r="G183" i="2" s="1"/>
  <c r="J174" i="2"/>
  <c r="I174" i="2"/>
  <c r="H174" i="2" s="1"/>
  <c r="J172" i="2"/>
  <c r="I172" i="2"/>
  <c r="G172" i="2" s="1"/>
  <c r="J171" i="2"/>
  <c r="I171" i="2"/>
  <c r="H171" i="2" s="1"/>
  <c r="J41" i="2"/>
  <c r="I41" i="2"/>
  <c r="G41" i="2" s="1"/>
  <c r="F171" i="2" l="1"/>
  <c r="F183" i="2"/>
  <c r="H183" i="2"/>
  <c r="L183" i="2" s="1"/>
  <c r="H172" i="2"/>
  <c r="L172" i="2" s="1"/>
  <c r="H53" i="2"/>
  <c r="L53" i="2" s="1"/>
  <c r="K53" i="2" s="1"/>
  <c r="G53" i="2"/>
  <c r="L174" i="2"/>
  <c r="K174" i="2" s="1"/>
  <c r="F174" i="2"/>
  <c r="G174" i="2"/>
  <c r="F172" i="2"/>
  <c r="L171" i="2"/>
  <c r="K171" i="2" s="1"/>
  <c r="G171" i="2"/>
  <c r="H41" i="2"/>
  <c r="F41" i="2"/>
  <c r="K183" i="2" l="1"/>
  <c r="K172" i="2"/>
  <c r="L41" i="2"/>
  <c r="K41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211" i="2"/>
  <c r="L275" i="2"/>
  <c r="L276" i="2"/>
  <c r="L279" i="2"/>
  <c r="L280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 s="1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K37" i="3"/>
  <c r="I43" i="5" s="1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28" i="2"/>
  <c r="G28" i="2" s="1"/>
  <c r="J28" i="2"/>
  <c r="I32" i="2"/>
  <c r="G32" i="2" s="1"/>
  <c r="J32" i="2"/>
  <c r="I56" i="2"/>
  <c r="G56" i="2" s="1"/>
  <c r="J56" i="2"/>
  <c r="I67" i="2"/>
  <c r="F67" i="2" s="1"/>
  <c r="J67" i="2"/>
  <c r="I82" i="2"/>
  <c r="G82" i="2" s="1"/>
  <c r="J82" i="2"/>
  <c r="I83" i="2"/>
  <c r="G83" i="2" s="1"/>
  <c r="J83" i="2"/>
  <c r="I121" i="2"/>
  <c r="G121" i="2" s="1"/>
  <c r="J121" i="2"/>
  <c r="I122" i="2"/>
  <c r="G122" i="2" s="1"/>
  <c r="J122" i="2"/>
  <c r="I158" i="2"/>
  <c r="G158" i="2" s="1"/>
  <c r="J158" i="2"/>
  <c r="I159" i="2"/>
  <c r="G159" i="2" s="1"/>
  <c r="J159" i="2"/>
  <c r="I160" i="2"/>
  <c r="F160" i="2" s="1"/>
  <c r="J160" i="2"/>
  <c r="I161" i="2"/>
  <c r="G161" i="2" s="1"/>
  <c r="J161" i="2"/>
  <c r="I162" i="2"/>
  <c r="G162" i="2" s="1"/>
  <c r="J162" i="2"/>
  <c r="I163" i="2"/>
  <c r="G163" i="2" s="1"/>
  <c r="J163" i="2"/>
  <c r="I164" i="2"/>
  <c r="G164" i="2" s="1"/>
  <c r="J164" i="2"/>
  <c r="I165" i="2"/>
  <c r="G165" i="2" s="1"/>
  <c r="J165" i="2"/>
  <c r="I166" i="2"/>
  <c r="F166" i="2" s="1"/>
  <c r="J166" i="2"/>
  <c r="I167" i="2"/>
  <c r="G167" i="2" s="1"/>
  <c r="J167" i="2"/>
  <c r="I168" i="2"/>
  <c r="G168" i="2" s="1"/>
  <c r="J168" i="2"/>
  <c r="I169" i="2"/>
  <c r="G169" i="2" s="1"/>
  <c r="J169" i="2"/>
  <c r="I170" i="2"/>
  <c r="H170" i="2" s="1"/>
  <c r="L170" i="2" s="1"/>
  <c r="J170" i="2"/>
  <c r="I173" i="2"/>
  <c r="G173" i="2" s="1"/>
  <c r="J173" i="2"/>
  <c r="I175" i="2"/>
  <c r="G175" i="2" s="1"/>
  <c r="J175" i="2"/>
  <c r="I176" i="2"/>
  <c r="G176" i="2" s="1"/>
  <c r="J176" i="2"/>
  <c r="I178" i="2"/>
  <c r="G178" i="2" s="1"/>
  <c r="J178" i="2"/>
  <c r="I179" i="2"/>
  <c r="G179" i="2" s="1"/>
  <c r="J179" i="2"/>
  <c r="I180" i="2"/>
  <c r="G180" i="2" s="1"/>
  <c r="J180" i="2"/>
  <c r="I181" i="2"/>
  <c r="G181" i="2" s="1"/>
  <c r="J181" i="2"/>
  <c r="I182" i="2"/>
  <c r="G182" i="2" s="1"/>
  <c r="J182" i="2"/>
  <c r="I184" i="2"/>
  <c r="G184" i="2" s="1"/>
  <c r="J184" i="2"/>
  <c r="I185" i="2"/>
  <c r="G185" i="2" s="1"/>
  <c r="J185" i="2"/>
  <c r="I186" i="2"/>
  <c r="G186" i="2" s="1"/>
  <c r="J186" i="2"/>
  <c r="I187" i="2"/>
  <c r="G187" i="2" s="1"/>
  <c r="J187" i="2"/>
  <c r="I188" i="2"/>
  <c r="G188" i="2" s="1"/>
  <c r="J188" i="2"/>
  <c r="I189" i="2"/>
  <c r="G189" i="2" s="1"/>
  <c r="J189" i="2"/>
  <c r="I190" i="2"/>
  <c r="G190" i="2" s="1"/>
  <c r="J190" i="2"/>
  <c r="I191" i="2"/>
  <c r="G191" i="2" s="1"/>
  <c r="J191" i="2"/>
  <c r="I192" i="2"/>
  <c r="G192" i="2" s="1"/>
  <c r="J192" i="2"/>
  <c r="I193" i="2"/>
  <c r="G193" i="2" s="1"/>
  <c r="J193" i="2"/>
  <c r="I194" i="2"/>
  <c r="G194" i="2" s="1"/>
  <c r="J194" i="2"/>
  <c r="I195" i="2"/>
  <c r="G195" i="2" s="1"/>
  <c r="J195" i="2"/>
  <c r="I196" i="2"/>
  <c r="G196" i="2" s="1"/>
  <c r="J196" i="2"/>
  <c r="I197" i="2"/>
  <c r="G197" i="2" s="1"/>
  <c r="J197" i="2"/>
  <c r="I198" i="2"/>
  <c r="G198" i="2" s="1"/>
  <c r="J198" i="2"/>
  <c r="I199" i="2"/>
  <c r="G199" i="2" s="1"/>
  <c r="J199" i="2"/>
  <c r="I200" i="2"/>
  <c r="G200" i="2" s="1"/>
  <c r="J200" i="2"/>
  <c r="I201" i="2"/>
  <c r="G201" i="2" s="1"/>
  <c r="J201" i="2"/>
  <c r="I202" i="2"/>
  <c r="G202" i="2" s="1"/>
  <c r="J202" i="2"/>
  <c r="I204" i="2"/>
  <c r="G204" i="2" s="1"/>
  <c r="J204" i="2"/>
  <c r="I205" i="2"/>
  <c r="G205" i="2" s="1"/>
  <c r="J205" i="2"/>
  <c r="I206" i="2"/>
  <c r="G206" i="2" s="1"/>
  <c r="J206" i="2"/>
  <c r="I207" i="2"/>
  <c r="G207" i="2" s="1"/>
  <c r="J207" i="2"/>
  <c r="I208" i="2"/>
  <c r="G208" i="2" s="1"/>
  <c r="J208" i="2"/>
  <c r="I209" i="2"/>
  <c r="G209" i="2" s="1"/>
  <c r="J209" i="2"/>
  <c r="I210" i="2"/>
  <c r="G210" i="2" s="1"/>
  <c r="J210" i="2"/>
  <c r="F211" i="2"/>
  <c r="H211" i="2"/>
  <c r="I211" i="2"/>
  <c r="G211" i="2" s="1"/>
  <c r="J211" i="2"/>
  <c r="I212" i="2"/>
  <c r="G212" i="2" s="1"/>
  <c r="J212" i="2"/>
  <c r="I213" i="2"/>
  <c r="G213" i="2" s="1"/>
  <c r="J213" i="2"/>
  <c r="I214" i="2"/>
  <c r="G214" i="2" s="1"/>
  <c r="J214" i="2"/>
  <c r="I215" i="2"/>
  <c r="G215" i="2" s="1"/>
  <c r="J215" i="2"/>
  <c r="I216" i="2"/>
  <c r="G216" i="2" s="1"/>
  <c r="J216" i="2"/>
  <c r="I217" i="2"/>
  <c r="G217" i="2" s="1"/>
  <c r="J217" i="2"/>
  <c r="I218" i="2"/>
  <c r="G218" i="2" s="1"/>
  <c r="J218" i="2"/>
  <c r="I219" i="2"/>
  <c r="G219" i="2" s="1"/>
  <c r="J219" i="2"/>
  <c r="I220" i="2"/>
  <c r="F220" i="2" s="1"/>
  <c r="J220" i="2"/>
  <c r="I221" i="2"/>
  <c r="G221" i="2" s="1"/>
  <c r="J221" i="2"/>
  <c r="I222" i="2"/>
  <c r="G222" i="2" s="1"/>
  <c r="J222" i="2"/>
  <c r="I223" i="2"/>
  <c r="G223" i="2" s="1"/>
  <c r="J223" i="2"/>
  <c r="F224" i="2"/>
  <c r="I224" i="2"/>
  <c r="G224" i="2" s="1"/>
  <c r="J224" i="2"/>
  <c r="I246" i="2"/>
  <c r="G246" i="2" s="1"/>
  <c r="J246" i="2"/>
  <c r="I247" i="2"/>
  <c r="G247" i="2" s="1"/>
  <c r="J247" i="2"/>
  <c r="I248" i="2"/>
  <c r="G248" i="2" s="1"/>
  <c r="J248" i="2"/>
  <c r="I249" i="2"/>
  <c r="G249" i="2" s="1"/>
  <c r="J249" i="2"/>
  <c r="I250" i="2"/>
  <c r="G250" i="2" s="1"/>
  <c r="J250" i="2"/>
  <c r="I251" i="2"/>
  <c r="G251" i="2" s="1"/>
  <c r="J251" i="2"/>
  <c r="I252" i="2"/>
  <c r="G252" i="2" s="1"/>
  <c r="F252" i="2"/>
  <c r="J252" i="2"/>
  <c r="I253" i="2"/>
  <c r="G253" i="2" s="1"/>
  <c r="J253" i="2"/>
  <c r="I254" i="2"/>
  <c r="G254" i="2" s="1"/>
  <c r="J254" i="2"/>
  <c r="I255" i="2"/>
  <c r="G255" i="2" s="1"/>
  <c r="J255" i="2"/>
  <c r="I256" i="2"/>
  <c r="G256" i="2" s="1"/>
  <c r="J256" i="2"/>
  <c r="I257" i="2"/>
  <c r="G257" i="2" s="1"/>
  <c r="J257" i="2"/>
  <c r="I258" i="2"/>
  <c r="G258" i="2" s="1"/>
  <c r="J258" i="2"/>
  <c r="I259" i="2"/>
  <c r="G259" i="2" s="1"/>
  <c r="J259" i="2"/>
  <c r="I260" i="2"/>
  <c r="G260" i="2" s="1"/>
  <c r="J260" i="2"/>
  <c r="I261" i="2"/>
  <c r="G261" i="2" s="1"/>
  <c r="J261" i="2"/>
  <c r="I262" i="2"/>
  <c r="G262" i="2" s="1"/>
  <c r="J262" i="2"/>
  <c r="I263" i="2"/>
  <c r="G263" i="2" s="1"/>
  <c r="J263" i="2"/>
  <c r="I264" i="2"/>
  <c r="G264" i="2" s="1"/>
  <c r="J264" i="2"/>
  <c r="I265" i="2"/>
  <c r="G265" i="2" s="1"/>
  <c r="J265" i="2"/>
  <c r="I266" i="2"/>
  <c r="G266" i="2" s="1"/>
  <c r="J266" i="2"/>
  <c r="I267" i="2"/>
  <c r="G267" i="2" s="1"/>
  <c r="J267" i="2"/>
  <c r="F275" i="2"/>
  <c r="H275" i="2"/>
  <c r="I275" i="2"/>
  <c r="G275" i="2" s="1"/>
  <c r="J275" i="2"/>
  <c r="F276" i="2"/>
  <c r="H276" i="2"/>
  <c r="I276" i="2"/>
  <c r="G276" i="2" s="1"/>
  <c r="J276" i="2"/>
  <c r="I277" i="2"/>
  <c r="G277" i="2" s="1"/>
  <c r="J277" i="2"/>
  <c r="I278" i="2"/>
  <c r="G278" i="2" s="1"/>
  <c r="J278" i="2"/>
  <c r="F279" i="2"/>
  <c r="H279" i="2"/>
  <c r="I279" i="2"/>
  <c r="G279" i="2" s="1"/>
  <c r="J279" i="2"/>
  <c r="F280" i="2"/>
  <c r="H280" i="2"/>
  <c r="I280" i="2"/>
  <c r="G280" i="2" s="1"/>
  <c r="J280" i="2"/>
  <c r="I281" i="2"/>
  <c r="G281" i="2" s="1"/>
  <c r="J281" i="2"/>
  <c r="F282" i="2"/>
  <c r="H282" i="2"/>
  <c r="I282" i="2"/>
  <c r="G282" i="2" s="1"/>
  <c r="J282" i="2"/>
  <c r="F283" i="2"/>
  <c r="H283" i="2"/>
  <c r="I283" i="2"/>
  <c r="G283" i="2" s="1"/>
  <c r="J283" i="2"/>
  <c r="F284" i="2"/>
  <c r="H284" i="2"/>
  <c r="I284" i="2"/>
  <c r="G284" i="2" s="1"/>
  <c r="J284" i="2"/>
  <c r="F285" i="2"/>
  <c r="H285" i="2"/>
  <c r="I285" i="2"/>
  <c r="G285" i="2" s="1"/>
  <c r="J285" i="2"/>
  <c r="F286" i="2"/>
  <c r="H286" i="2"/>
  <c r="I286" i="2"/>
  <c r="G286" i="2" s="1"/>
  <c r="J286" i="2"/>
  <c r="F287" i="2"/>
  <c r="H287" i="2"/>
  <c r="I287" i="2"/>
  <c r="G287" i="2" s="1"/>
  <c r="J287" i="2"/>
  <c r="F288" i="2"/>
  <c r="H288" i="2"/>
  <c r="I288" i="2"/>
  <c r="G288" i="2" s="1"/>
  <c r="J288" i="2"/>
  <c r="F289" i="2"/>
  <c r="H289" i="2"/>
  <c r="I289" i="2"/>
  <c r="G289" i="2" s="1"/>
  <c r="J289" i="2"/>
  <c r="F290" i="2"/>
  <c r="H290" i="2"/>
  <c r="I290" i="2"/>
  <c r="G290" i="2" s="1"/>
  <c r="J290" i="2"/>
  <c r="F291" i="2"/>
  <c r="H291" i="2"/>
  <c r="I291" i="2"/>
  <c r="G291" i="2" s="1"/>
  <c r="J291" i="2"/>
  <c r="F292" i="2"/>
  <c r="H292" i="2"/>
  <c r="I292" i="2"/>
  <c r="G292" i="2" s="1"/>
  <c r="J292" i="2"/>
  <c r="F293" i="2"/>
  <c r="H293" i="2"/>
  <c r="I293" i="2"/>
  <c r="G293" i="2" s="1"/>
  <c r="J293" i="2"/>
  <c r="F294" i="2"/>
  <c r="H294" i="2"/>
  <c r="I294" i="2"/>
  <c r="G294" i="2" s="1"/>
  <c r="J294" i="2"/>
  <c r="F295" i="2"/>
  <c r="H295" i="2"/>
  <c r="I295" i="2"/>
  <c r="G295" i="2" s="1"/>
  <c r="J295" i="2"/>
  <c r="F296" i="2"/>
  <c r="H296" i="2"/>
  <c r="I296" i="2"/>
  <c r="G296" i="2" s="1"/>
  <c r="J296" i="2"/>
  <c r="F297" i="2"/>
  <c r="H297" i="2"/>
  <c r="I297" i="2"/>
  <c r="G297" i="2" s="1"/>
  <c r="J297" i="2"/>
  <c r="F298" i="2"/>
  <c r="H298" i="2"/>
  <c r="I298" i="2"/>
  <c r="G298" i="2" s="1"/>
  <c r="J298" i="2"/>
  <c r="F299" i="2"/>
  <c r="H299" i="2"/>
  <c r="I299" i="2"/>
  <c r="G299" i="2" s="1"/>
  <c r="J299" i="2"/>
  <c r="F300" i="2"/>
  <c r="H300" i="2"/>
  <c r="I300" i="2"/>
  <c r="G300" i="2" s="1"/>
  <c r="J300" i="2"/>
  <c r="F301" i="2"/>
  <c r="H301" i="2"/>
  <c r="I301" i="2"/>
  <c r="G301" i="2" s="1"/>
  <c r="J301" i="2"/>
  <c r="F302" i="2"/>
  <c r="H302" i="2"/>
  <c r="I302" i="2"/>
  <c r="G302" i="2" s="1"/>
  <c r="J302" i="2"/>
  <c r="F303" i="2"/>
  <c r="H303" i="2"/>
  <c r="I303" i="2"/>
  <c r="G303" i="2" s="1"/>
  <c r="J303" i="2"/>
  <c r="F304" i="2"/>
  <c r="H304" i="2"/>
  <c r="I304" i="2"/>
  <c r="G304" i="2" s="1"/>
  <c r="J304" i="2"/>
  <c r="F305" i="2"/>
  <c r="H305" i="2"/>
  <c r="I305" i="2"/>
  <c r="G305" i="2" s="1"/>
  <c r="J305" i="2"/>
  <c r="F306" i="2"/>
  <c r="H306" i="2"/>
  <c r="I306" i="2"/>
  <c r="G306" i="2" s="1"/>
  <c r="J306" i="2"/>
  <c r="F307" i="2"/>
  <c r="H307" i="2"/>
  <c r="I307" i="2"/>
  <c r="G307" i="2" s="1"/>
  <c r="J307" i="2"/>
  <c r="F308" i="2"/>
  <c r="H308" i="2"/>
  <c r="I308" i="2"/>
  <c r="G308" i="2" s="1"/>
  <c r="J308" i="2"/>
  <c r="F309" i="2"/>
  <c r="H309" i="2"/>
  <c r="I309" i="2"/>
  <c r="G309" i="2" s="1"/>
  <c r="J309" i="2"/>
  <c r="F310" i="2"/>
  <c r="H310" i="2"/>
  <c r="I310" i="2"/>
  <c r="G310" i="2" s="1"/>
  <c r="J310" i="2"/>
  <c r="F311" i="2"/>
  <c r="H311" i="2"/>
  <c r="I311" i="2"/>
  <c r="G311" i="2" s="1"/>
  <c r="J311" i="2"/>
  <c r="F312" i="2"/>
  <c r="H312" i="2"/>
  <c r="I312" i="2"/>
  <c r="G312" i="2" s="1"/>
  <c r="J312" i="2"/>
  <c r="F313" i="2"/>
  <c r="H313" i="2"/>
  <c r="I313" i="2"/>
  <c r="G313" i="2" s="1"/>
  <c r="J313" i="2"/>
  <c r="F314" i="2"/>
  <c r="H314" i="2"/>
  <c r="I314" i="2"/>
  <c r="G314" i="2" s="1"/>
  <c r="J314" i="2"/>
  <c r="F315" i="2"/>
  <c r="H315" i="2"/>
  <c r="I315" i="2"/>
  <c r="G315" i="2" s="1"/>
  <c r="J315" i="2"/>
  <c r="F316" i="2"/>
  <c r="H316" i="2"/>
  <c r="I316" i="2"/>
  <c r="G316" i="2" s="1"/>
  <c r="J316" i="2"/>
  <c r="F317" i="2"/>
  <c r="H317" i="2"/>
  <c r="I317" i="2"/>
  <c r="G317" i="2" s="1"/>
  <c r="J317" i="2"/>
  <c r="F318" i="2"/>
  <c r="H318" i="2"/>
  <c r="I318" i="2"/>
  <c r="G318" i="2" s="1"/>
  <c r="J318" i="2"/>
  <c r="F319" i="2"/>
  <c r="H319" i="2"/>
  <c r="I319" i="2"/>
  <c r="G319" i="2" s="1"/>
  <c r="J319" i="2"/>
  <c r="F320" i="2"/>
  <c r="H320" i="2"/>
  <c r="I320" i="2"/>
  <c r="G320" i="2" s="1"/>
  <c r="J320" i="2"/>
  <c r="F321" i="2"/>
  <c r="H321" i="2"/>
  <c r="I321" i="2"/>
  <c r="G321" i="2" s="1"/>
  <c r="J321" i="2"/>
  <c r="F322" i="2"/>
  <c r="H322" i="2"/>
  <c r="I322" i="2"/>
  <c r="G322" i="2" s="1"/>
  <c r="J322" i="2"/>
  <c r="F323" i="2"/>
  <c r="H323" i="2"/>
  <c r="I323" i="2"/>
  <c r="G323" i="2" s="1"/>
  <c r="J323" i="2"/>
  <c r="F324" i="2"/>
  <c r="H324" i="2"/>
  <c r="I324" i="2"/>
  <c r="G324" i="2" s="1"/>
  <c r="J324" i="2"/>
  <c r="F325" i="2"/>
  <c r="H325" i="2"/>
  <c r="I325" i="2"/>
  <c r="G325" i="2" s="1"/>
  <c r="J325" i="2"/>
  <c r="F326" i="2"/>
  <c r="H326" i="2"/>
  <c r="I326" i="2"/>
  <c r="G326" i="2" s="1"/>
  <c r="J326" i="2"/>
  <c r="F327" i="2"/>
  <c r="H327" i="2"/>
  <c r="I327" i="2"/>
  <c r="G327" i="2" s="1"/>
  <c r="J327" i="2"/>
  <c r="F328" i="2"/>
  <c r="H328" i="2"/>
  <c r="I328" i="2"/>
  <c r="G328" i="2" s="1"/>
  <c r="J328" i="2"/>
  <c r="F329" i="2"/>
  <c r="H329" i="2"/>
  <c r="I329" i="2"/>
  <c r="G329" i="2" s="1"/>
  <c r="J329" i="2"/>
  <c r="F330" i="2"/>
  <c r="H330" i="2"/>
  <c r="I330" i="2"/>
  <c r="G330" i="2" s="1"/>
  <c r="J330" i="2"/>
  <c r="F331" i="2"/>
  <c r="H331" i="2"/>
  <c r="I331" i="2"/>
  <c r="G331" i="2" s="1"/>
  <c r="J331" i="2"/>
  <c r="F332" i="2"/>
  <c r="H332" i="2"/>
  <c r="I332" i="2"/>
  <c r="G332" i="2" s="1"/>
  <c r="J332" i="2"/>
  <c r="F333" i="2"/>
  <c r="H333" i="2"/>
  <c r="I333" i="2"/>
  <c r="G333" i="2" s="1"/>
  <c r="J333" i="2"/>
  <c r="F334" i="2"/>
  <c r="H334" i="2"/>
  <c r="I334" i="2"/>
  <c r="G334" i="2" s="1"/>
  <c r="J334" i="2"/>
  <c r="F335" i="2"/>
  <c r="H335" i="2"/>
  <c r="I335" i="2"/>
  <c r="G335" i="2" s="1"/>
  <c r="J335" i="2"/>
  <c r="F336" i="2"/>
  <c r="H336" i="2"/>
  <c r="I336" i="2"/>
  <c r="G336" i="2" s="1"/>
  <c r="J336" i="2"/>
  <c r="F337" i="2"/>
  <c r="H337" i="2"/>
  <c r="I337" i="2"/>
  <c r="G337" i="2" s="1"/>
  <c r="J337" i="2"/>
  <c r="F338" i="2"/>
  <c r="H338" i="2"/>
  <c r="I338" i="2"/>
  <c r="G338" i="2" s="1"/>
  <c r="J338" i="2"/>
  <c r="F339" i="2"/>
  <c r="H339" i="2"/>
  <c r="I339" i="2"/>
  <c r="G339" i="2" s="1"/>
  <c r="J339" i="2"/>
  <c r="F340" i="2"/>
  <c r="H340" i="2"/>
  <c r="I340" i="2"/>
  <c r="G340" i="2" s="1"/>
  <c r="J340" i="2"/>
  <c r="F341" i="2"/>
  <c r="H341" i="2"/>
  <c r="I341" i="2"/>
  <c r="G341" i="2" s="1"/>
  <c r="J341" i="2"/>
  <c r="F342" i="2"/>
  <c r="H342" i="2"/>
  <c r="I342" i="2"/>
  <c r="G342" i="2" s="1"/>
  <c r="J342" i="2"/>
  <c r="F343" i="2"/>
  <c r="H343" i="2"/>
  <c r="I343" i="2"/>
  <c r="G343" i="2" s="1"/>
  <c r="J343" i="2"/>
  <c r="F344" i="2"/>
  <c r="H344" i="2"/>
  <c r="I344" i="2"/>
  <c r="G344" i="2" s="1"/>
  <c r="J344" i="2"/>
  <c r="F345" i="2"/>
  <c r="H345" i="2"/>
  <c r="I345" i="2"/>
  <c r="G345" i="2" s="1"/>
  <c r="J345" i="2"/>
  <c r="F346" i="2"/>
  <c r="H346" i="2"/>
  <c r="I346" i="2"/>
  <c r="G346" i="2" s="1"/>
  <c r="J346" i="2"/>
  <c r="F347" i="2"/>
  <c r="H347" i="2"/>
  <c r="I347" i="2"/>
  <c r="G347" i="2" s="1"/>
  <c r="J347" i="2"/>
  <c r="F348" i="2"/>
  <c r="H348" i="2"/>
  <c r="I348" i="2"/>
  <c r="G348" i="2" s="1"/>
  <c r="J348" i="2"/>
  <c r="F349" i="2"/>
  <c r="H349" i="2"/>
  <c r="I349" i="2"/>
  <c r="G349" i="2" s="1"/>
  <c r="J349" i="2"/>
  <c r="F350" i="2"/>
  <c r="H350" i="2"/>
  <c r="I350" i="2"/>
  <c r="G350" i="2" s="1"/>
  <c r="J350" i="2"/>
  <c r="F351" i="2"/>
  <c r="H351" i="2"/>
  <c r="I351" i="2"/>
  <c r="G351" i="2" s="1"/>
  <c r="J351" i="2"/>
  <c r="F352" i="2"/>
  <c r="H352" i="2"/>
  <c r="I352" i="2"/>
  <c r="G352" i="2" s="1"/>
  <c r="J352" i="2"/>
  <c r="F353" i="2"/>
  <c r="H353" i="2"/>
  <c r="I353" i="2"/>
  <c r="G353" i="2" s="1"/>
  <c r="J353" i="2"/>
  <c r="F354" i="2"/>
  <c r="H354" i="2"/>
  <c r="I354" i="2"/>
  <c r="G354" i="2" s="1"/>
  <c r="J354" i="2"/>
  <c r="F355" i="2"/>
  <c r="H355" i="2"/>
  <c r="I355" i="2"/>
  <c r="G355" i="2" s="1"/>
  <c r="J355" i="2"/>
  <c r="F356" i="2"/>
  <c r="H356" i="2"/>
  <c r="I356" i="2"/>
  <c r="G356" i="2" s="1"/>
  <c r="J356" i="2"/>
  <c r="F357" i="2"/>
  <c r="H357" i="2"/>
  <c r="I357" i="2"/>
  <c r="G357" i="2" s="1"/>
  <c r="J357" i="2"/>
  <c r="F358" i="2"/>
  <c r="H358" i="2"/>
  <c r="I358" i="2"/>
  <c r="G358" i="2" s="1"/>
  <c r="J358" i="2"/>
  <c r="F359" i="2"/>
  <c r="H359" i="2"/>
  <c r="I359" i="2"/>
  <c r="G359" i="2" s="1"/>
  <c r="J359" i="2"/>
  <c r="F360" i="2"/>
  <c r="H360" i="2"/>
  <c r="I360" i="2"/>
  <c r="G360" i="2" s="1"/>
  <c r="J360" i="2"/>
  <c r="F361" i="2"/>
  <c r="H361" i="2"/>
  <c r="I361" i="2"/>
  <c r="G361" i="2" s="1"/>
  <c r="J361" i="2"/>
  <c r="F362" i="2"/>
  <c r="H362" i="2"/>
  <c r="I362" i="2"/>
  <c r="G362" i="2" s="1"/>
  <c r="J362" i="2"/>
  <c r="F363" i="2"/>
  <c r="H363" i="2"/>
  <c r="I363" i="2"/>
  <c r="G363" i="2" s="1"/>
  <c r="J363" i="2"/>
  <c r="F364" i="2"/>
  <c r="H364" i="2"/>
  <c r="I364" i="2"/>
  <c r="G364" i="2" s="1"/>
  <c r="J364" i="2"/>
  <c r="F365" i="2"/>
  <c r="H365" i="2"/>
  <c r="I365" i="2"/>
  <c r="G365" i="2" s="1"/>
  <c r="J365" i="2"/>
  <c r="F366" i="2"/>
  <c r="H366" i="2"/>
  <c r="I366" i="2"/>
  <c r="G366" i="2" s="1"/>
  <c r="J366" i="2"/>
  <c r="F367" i="2"/>
  <c r="H367" i="2"/>
  <c r="I367" i="2"/>
  <c r="G367" i="2" s="1"/>
  <c r="J367" i="2"/>
  <c r="F368" i="2"/>
  <c r="H368" i="2"/>
  <c r="I368" i="2"/>
  <c r="G368" i="2" s="1"/>
  <c r="J368" i="2"/>
  <c r="F369" i="2"/>
  <c r="H369" i="2"/>
  <c r="I369" i="2"/>
  <c r="G369" i="2" s="1"/>
  <c r="J369" i="2"/>
  <c r="F370" i="2"/>
  <c r="H370" i="2"/>
  <c r="I370" i="2"/>
  <c r="G370" i="2" s="1"/>
  <c r="J370" i="2"/>
  <c r="F371" i="2"/>
  <c r="H371" i="2"/>
  <c r="I371" i="2"/>
  <c r="G371" i="2" s="1"/>
  <c r="J371" i="2"/>
  <c r="F372" i="2"/>
  <c r="H372" i="2"/>
  <c r="I372" i="2"/>
  <c r="G372" i="2" s="1"/>
  <c r="J372" i="2"/>
  <c r="F373" i="2"/>
  <c r="H373" i="2"/>
  <c r="I373" i="2"/>
  <c r="G373" i="2" s="1"/>
  <c r="J373" i="2"/>
  <c r="F374" i="2"/>
  <c r="H374" i="2"/>
  <c r="I374" i="2"/>
  <c r="G374" i="2" s="1"/>
  <c r="J374" i="2"/>
  <c r="F375" i="2"/>
  <c r="H375" i="2"/>
  <c r="I375" i="2"/>
  <c r="G375" i="2" s="1"/>
  <c r="J375" i="2"/>
  <c r="F376" i="2"/>
  <c r="H376" i="2"/>
  <c r="I376" i="2"/>
  <c r="G376" i="2" s="1"/>
  <c r="J376" i="2"/>
  <c r="F377" i="2"/>
  <c r="H377" i="2"/>
  <c r="I377" i="2"/>
  <c r="G377" i="2" s="1"/>
  <c r="J377" i="2"/>
  <c r="F378" i="2"/>
  <c r="H378" i="2"/>
  <c r="I378" i="2"/>
  <c r="G378" i="2" s="1"/>
  <c r="J378" i="2"/>
  <c r="F379" i="2"/>
  <c r="H379" i="2"/>
  <c r="I379" i="2"/>
  <c r="G379" i="2" s="1"/>
  <c r="J379" i="2"/>
  <c r="F380" i="2"/>
  <c r="H380" i="2"/>
  <c r="I380" i="2"/>
  <c r="G380" i="2" s="1"/>
  <c r="J380" i="2"/>
  <c r="F381" i="2"/>
  <c r="H381" i="2"/>
  <c r="I381" i="2"/>
  <c r="G381" i="2" s="1"/>
  <c r="J381" i="2"/>
  <c r="F382" i="2"/>
  <c r="H382" i="2"/>
  <c r="I382" i="2"/>
  <c r="G382" i="2" s="1"/>
  <c r="J382" i="2"/>
  <c r="F383" i="2"/>
  <c r="H383" i="2"/>
  <c r="I383" i="2"/>
  <c r="G383" i="2" s="1"/>
  <c r="J383" i="2"/>
  <c r="F384" i="2"/>
  <c r="H384" i="2"/>
  <c r="I384" i="2"/>
  <c r="G384" i="2" s="1"/>
  <c r="J384" i="2"/>
  <c r="F385" i="2"/>
  <c r="H385" i="2"/>
  <c r="I385" i="2"/>
  <c r="G385" i="2" s="1"/>
  <c r="J385" i="2"/>
  <c r="F386" i="2"/>
  <c r="H386" i="2"/>
  <c r="I386" i="2"/>
  <c r="G386" i="2" s="1"/>
  <c r="J386" i="2"/>
  <c r="F387" i="2"/>
  <c r="H387" i="2"/>
  <c r="I387" i="2"/>
  <c r="G387" i="2" s="1"/>
  <c r="J387" i="2"/>
  <c r="F388" i="2"/>
  <c r="H388" i="2"/>
  <c r="I388" i="2"/>
  <c r="G388" i="2" s="1"/>
  <c r="J388" i="2"/>
  <c r="F389" i="2"/>
  <c r="H389" i="2"/>
  <c r="I389" i="2"/>
  <c r="G389" i="2" s="1"/>
  <c r="J389" i="2"/>
  <c r="F390" i="2"/>
  <c r="H390" i="2"/>
  <c r="I390" i="2"/>
  <c r="G390" i="2" s="1"/>
  <c r="J390" i="2"/>
  <c r="F391" i="2"/>
  <c r="H391" i="2"/>
  <c r="I391" i="2"/>
  <c r="G391" i="2" s="1"/>
  <c r="J391" i="2"/>
  <c r="F392" i="2"/>
  <c r="H392" i="2"/>
  <c r="I392" i="2"/>
  <c r="G392" i="2" s="1"/>
  <c r="J392" i="2"/>
  <c r="F393" i="2"/>
  <c r="H393" i="2"/>
  <c r="I393" i="2"/>
  <c r="G393" i="2" s="1"/>
  <c r="J393" i="2"/>
  <c r="F394" i="2"/>
  <c r="H394" i="2"/>
  <c r="I394" i="2"/>
  <c r="G394" i="2" s="1"/>
  <c r="J394" i="2"/>
  <c r="F395" i="2"/>
  <c r="H395" i="2"/>
  <c r="I395" i="2"/>
  <c r="G395" i="2" s="1"/>
  <c r="J395" i="2"/>
  <c r="F396" i="2"/>
  <c r="H396" i="2"/>
  <c r="I396" i="2"/>
  <c r="G396" i="2" s="1"/>
  <c r="J396" i="2"/>
  <c r="F397" i="2"/>
  <c r="H397" i="2"/>
  <c r="I397" i="2"/>
  <c r="G397" i="2" s="1"/>
  <c r="J397" i="2"/>
  <c r="F398" i="2"/>
  <c r="H398" i="2"/>
  <c r="I398" i="2"/>
  <c r="G398" i="2" s="1"/>
  <c r="J398" i="2"/>
  <c r="F399" i="2"/>
  <c r="H399" i="2"/>
  <c r="I399" i="2"/>
  <c r="G399" i="2" s="1"/>
  <c r="J399" i="2"/>
  <c r="F400" i="2"/>
  <c r="H400" i="2"/>
  <c r="I400" i="2"/>
  <c r="G400" i="2" s="1"/>
  <c r="J400" i="2"/>
  <c r="F401" i="2"/>
  <c r="H401" i="2"/>
  <c r="I401" i="2"/>
  <c r="G401" i="2" s="1"/>
  <c r="J401" i="2"/>
  <c r="F402" i="2"/>
  <c r="H402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F601" i="2"/>
  <c r="H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I649" i="2"/>
  <c r="G649" i="2" s="1"/>
  <c r="H649" i="2"/>
  <c r="J649" i="2"/>
  <c r="H650" i="2"/>
  <c r="I650" i="2"/>
  <c r="G650" i="2" s="1"/>
  <c r="F650" i="2"/>
  <c r="J650" i="2"/>
  <c r="F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H655" i="2"/>
  <c r="I655" i="2"/>
  <c r="G655" i="2" s="1"/>
  <c r="F655" i="2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 s="1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 s="1"/>
  <c r="F18" i="5"/>
  <c r="G18" i="5"/>
  <c r="H18" i="5"/>
  <c r="B19" i="5"/>
  <c r="D19" i="5"/>
  <c r="E19" i="5" s="1"/>
  <c r="F19" i="5"/>
  <c r="G19" i="5"/>
  <c r="H19" i="5"/>
  <c r="B22" i="5"/>
  <c r="D22" i="5"/>
  <c r="E22" i="5" s="1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G43" i="5"/>
  <c r="H43" i="5"/>
  <c r="B44" i="5"/>
  <c r="D44" i="5"/>
  <c r="E44" i="5" s="1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 s="1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 s="1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 s="1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 s="1"/>
  <c r="J68" i="5" s="1"/>
  <c r="B69" i="5"/>
  <c r="D69" i="5"/>
  <c r="H69" i="5"/>
  <c r="I69" i="5" s="1"/>
  <c r="J69" i="5" s="1"/>
  <c r="H651" i="2"/>
  <c r="F649" i="2"/>
  <c r="F11" i="5"/>
  <c r="J5" i="3"/>
  <c r="K5" i="3" s="1"/>
  <c r="H258" i="2"/>
  <c r="L258" i="2"/>
  <c r="F158" i="2" l="1"/>
  <c r="H158" i="2"/>
  <c r="L158" i="2" s="1"/>
  <c r="K646" i="2"/>
  <c r="K634" i="2"/>
  <c r="K622" i="2"/>
  <c r="K610" i="2"/>
  <c r="K598" i="2"/>
  <c r="K586" i="2"/>
  <c r="K574" i="2"/>
  <c r="K562" i="2"/>
  <c r="K550" i="2"/>
  <c r="K538" i="2"/>
  <c r="K526" i="2"/>
  <c r="K514" i="2"/>
  <c r="K502" i="2"/>
  <c r="K490" i="2"/>
  <c r="K478" i="2"/>
  <c r="K466" i="2"/>
  <c r="K454" i="2"/>
  <c r="K442" i="2"/>
  <c r="K430" i="2"/>
  <c r="K418" i="2"/>
  <c r="K406" i="2"/>
  <c r="K394" i="2"/>
  <c r="K382" i="2"/>
  <c r="K370" i="2"/>
  <c r="K358" i="2"/>
  <c r="K346" i="2"/>
  <c r="K334" i="2"/>
  <c r="K322" i="2"/>
  <c r="K310" i="2"/>
  <c r="K298" i="2"/>
  <c r="K286" i="2"/>
  <c r="F264" i="2"/>
  <c r="F266" i="2"/>
  <c r="K682" i="2"/>
  <c r="K670" i="2"/>
  <c r="K658" i="2"/>
  <c r="H266" i="2"/>
  <c r="L266" i="2" s="1"/>
  <c r="K266" i="2" s="1"/>
  <c r="F281" i="2"/>
  <c r="F207" i="2"/>
  <c r="F278" i="2"/>
  <c r="H212" i="2"/>
  <c r="L212" i="2" s="1"/>
  <c r="H264" i="2"/>
  <c r="L264" i="2" s="1"/>
  <c r="H281" i="2"/>
  <c r="L281" i="2" s="1"/>
  <c r="H278" i="2"/>
  <c r="L278" i="2" s="1"/>
  <c r="K278" i="2" s="1"/>
  <c r="F223" i="2"/>
  <c r="F222" i="2"/>
  <c r="H277" i="2"/>
  <c r="L277" i="2" s="1"/>
  <c r="F277" i="2"/>
  <c r="F263" i="2"/>
  <c r="F267" i="2"/>
  <c r="H263" i="2"/>
  <c r="L263" i="2" s="1"/>
  <c r="F262" i="2"/>
  <c r="F206" i="2"/>
  <c r="H267" i="2"/>
  <c r="H262" i="2"/>
  <c r="H261" i="2"/>
  <c r="L261" i="2" s="1"/>
  <c r="K261" i="2" s="1"/>
  <c r="F261" i="2"/>
  <c r="F260" i="2"/>
  <c r="H260" i="2"/>
  <c r="H265" i="2"/>
  <c r="L265" i="2" s="1"/>
  <c r="F265" i="2"/>
  <c r="H259" i="2"/>
  <c r="H223" i="2"/>
  <c r="H222" i="2"/>
  <c r="L222" i="2" s="1"/>
  <c r="F196" i="2"/>
  <c r="F192" i="2"/>
  <c r="H122" i="2"/>
  <c r="L122" i="2" s="1"/>
  <c r="H162" i="2"/>
  <c r="L162" i="2" s="1"/>
  <c r="F162" i="2"/>
  <c r="H207" i="2"/>
  <c r="L207" i="2" s="1"/>
  <c r="F122" i="2"/>
  <c r="H193" i="2"/>
  <c r="L193" i="2" s="1"/>
  <c r="F201" i="2"/>
  <c r="F199" i="2"/>
  <c r="H196" i="2"/>
  <c r="L196" i="2" s="1"/>
  <c r="F195" i="2"/>
  <c r="H182" i="2"/>
  <c r="L182" i="2" s="1"/>
  <c r="F182" i="2"/>
  <c r="F191" i="2"/>
  <c r="K377" i="2"/>
  <c r="H166" i="2"/>
  <c r="L166" i="2" s="1"/>
  <c r="H161" i="2"/>
  <c r="L161" i="2" s="1"/>
  <c r="F161" i="2"/>
  <c r="H160" i="2"/>
  <c r="L160" i="2" s="1"/>
  <c r="F250" i="2"/>
  <c r="H250" i="2"/>
  <c r="L250" i="2" s="1"/>
  <c r="F253" i="2"/>
  <c r="F254" i="2"/>
  <c r="H253" i="2"/>
  <c r="L253" i="2" s="1"/>
  <c r="K645" i="2"/>
  <c r="K633" i="2"/>
  <c r="K621" i="2"/>
  <c r="K609" i="2"/>
  <c r="K597" i="2"/>
  <c r="K585" i="2"/>
  <c r="K573" i="2"/>
  <c r="K561" i="2"/>
  <c r="K429" i="2"/>
  <c r="K417" i="2"/>
  <c r="K333" i="2"/>
  <c r="K321" i="2"/>
  <c r="K681" i="2"/>
  <c r="K669" i="2"/>
  <c r="K657" i="2"/>
  <c r="G160" i="2"/>
  <c r="G166" i="2"/>
  <c r="F259" i="2"/>
  <c r="F258" i="2"/>
  <c r="H249" i="2"/>
  <c r="L249" i="2" s="1"/>
  <c r="F249" i="2"/>
  <c r="H255" i="2"/>
  <c r="L255" i="2" s="1"/>
  <c r="F255" i="2"/>
  <c r="H254" i="2"/>
  <c r="L254" i="2" s="1"/>
  <c r="K254" i="2" s="1"/>
  <c r="H224" i="2"/>
  <c r="L224" i="2" s="1"/>
  <c r="K301" i="2"/>
  <c r="H209" i="2"/>
  <c r="L209" i="2" s="1"/>
  <c r="H202" i="2"/>
  <c r="L202" i="2" s="1"/>
  <c r="F202" i="2"/>
  <c r="H208" i="2"/>
  <c r="L208" i="2" s="1"/>
  <c r="K208" i="2" s="1"/>
  <c r="F208" i="2"/>
  <c r="F209" i="2"/>
  <c r="H206" i="2"/>
  <c r="L206" i="2" s="1"/>
  <c r="H201" i="2"/>
  <c r="L201" i="2" s="1"/>
  <c r="H197" i="2"/>
  <c r="L197" i="2" s="1"/>
  <c r="H205" i="2"/>
  <c r="L205" i="2" s="1"/>
  <c r="F205" i="2"/>
  <c r="H199" i="2"/>
  <c r="L199" i="2" s="1"/>
  <c r="F197" i="2"/>
  <c r="H192" i="2"/>
  <c r="L192" i="2" s="1"/>
  <c r="H195" i="2"/>
  <c r="L195" i="2" s="1"/>
  <c r="H191" i="2"/>
  <c r="L191" i="2" s="1"/>
  <c r="H190" i="2"/>
  <c r="L190" i="2" s="1"/>
  <c r="F190" i="2"/>
  <c r="H189" i="2"/>
  <c r="L189" i="2" s="1"/>
  <c r="K189" i="2" s="1"/>
  <c r="H184" i="2"/>
  <c r="L184" i="2" s="1"/>
  <c r="F184" i="2"/>
  <c r="F176" i="2"/>
  <c r="H176" i="2"/>
  <c r="L176" i="2" s="1"/>
  <c r="H121" i="2"/>
  <c r="L121" i="2" s="1"/>
  <c r="F83" i="2"/>
  <c r="H83" i="2"/>
  <c r="L83" i="2" s="1"/>
  <c r="F32" i="2"/>
  <c r="H32" i="2"/>
  <c r="H257" i="2"/>
  <c r="L257" i="2" s="1"/>
  <c r="F257" i="2"/>
  <c r="H256" i="2"/>
  <c r="L256" i="2" s="1"/>
  <c r="F256" i="2"/>
  <c r="H252" i="2"/>
  <c r="L252" i="2" s="1"/>
  <c r="H251" i="2"/>
  <c r="L251" i="2" s="1"/>
  <c r="F251" i="2"/>
  <c r="F248" i="2"/>
  <c r="H248" i="2"/>
  <c r="H247" i="2"/>
  <c r="L247" i="2" s="1"/>
  <c r="F247" i="2"/>
  <c r="K604" i="2"/>
  <c r="K568" i="2"/>
  <c r="K556" i="2"/>
  <c r="K532" i="2"/>
  <c r="K520" i="2"/>
  <c r="K508" i="2"/>
  <c r="K484" i="2"/>
  <c r="K472" i="2"/>
  <c r="K460" i="2"/>
  <c r="K448" i="2"/>
  <c r="K436" i="2"/>
  <c r="K424" i="2"/>
  <c r="K412" i="2"/>
  <c r="K400" i="2"/>
  <c r="K388" i="2"/>
  <c r="K376" i="2"/>
  <c r="K364" i="2"/>
  <c r="K352" i="2"/>
  <c r="K340" i="2"/>
  <c r="K328" i="2"/>
  <c r="K316" i="2"/>
  <c r="K304" i="2"/>
  <c r="K292" i="2"/>
  <c r="K280" i="2"/>
  <c r="K640" i="2"/>
  <c r="K616" i="2"/>
  <c r="K592" i="2"/>
  <c r="K544" i="2"/>
  <c r="K496" i="2"/>
  <c r="K628" i="2"/>
  <c r="K580" i="2"/>
  <c r="K676" i="2"/>
  <c r="K664" i="2"/>
  <c r="K652" i="2"/>
  <c r="F246" i="2"/>
  <c r="H246" i="2"/>
  <c r="L246" i="2" s="1"/>
  <c r="H213" i="2"/>
  <c r="L213" i="2" s="1"/>
  <c r="H220" i="2"/>
  <c r="L220" i="2" s="1"/>
  <c r="F213" i="2"/>
  <c r="F218" i="2"/>
  <c r="H219" i="2"/>
  <c r="L219" i="2" s="1"/>
  <c r="F219" i="2"/>
  <c r="H215" i="2"/>
  <c r="L215" i="2" s="1"/>
  <c r="H217" i="2"/>
  <c r="L217" i="2" s="1"/>
  <c r="F215" i="2"/>
  <c r="H218" i="2"/>
  <c r="L218" i="2" s="1"/>
  <c r="F221" i="2"/>
  <c r="G220" i="2"/>
  <c r="F217" i="2"/>
  <c r="H221" i="2"/>
  <c r="L221" i="2" s="1"/>
  <c r="H214" i="2"/>
  <c r="F214" i="2"/>
  <c r="H216" i="2"/>
  <c r="F216" i="2"/>
  <c r="F212" i="2"/>
  <c r="H210" i="2"/>
  <c r="F210" i="2"/>
  <c r="F204" i="2"/>
  <c r="H204" i="2"/>
  <c r="L204" i="2" s="1"/>
  <c r="H200" i="2"/>
  <c r="L200" i="2" s="1"/>
  <c r="F200" i="2"/>
  <c r="H198" i="2"/>
  <c r="F198" i="2"/>
  <c r="H194" i="2"/>
  <c r="L194" i="2" s="1"/>
  <c r="F194" i="2"/>
  <c r="F193" i="2"/>
  <c r="F189" i="2"/>
  <c r="F188" i="2"/>
  <c r="H188" i="2"/>
  <c r="L188" i="2" s="1"/>
  <c r="F187" i="2"/>
  <c r="H187" i="2"/>
  <c r="L187" i="2" s="1"/>
  <c r="F159" i="2"/>
  <c r="F181" i="2"/>
  <c r="H175" i="2"/>
  <c r="L175" i="2" s="1"/>
  <c r="F175" i="2"/>
  <c r="F178" i="2"/>
  <c r="F170" i="2"/>
  <c r="G170" i="2"/>
  <c r="F168" i="2"/>
  <c r="F167" i="2"/>
  <c r="K601" i="2"/>
  <c r="K577" i="2"/>
  <c r="K553" i="2"/>
  <c r="K529" i="2"/>
  <c r="K517" i="2"/>
  <c r="K505" i="2"/>
  <c r="K481" i="2"/>
  <c r="K469" i="2"/>
  <c r="K457" i="2"/>
  <c r="K445" i="2"/>
  <c r="K433" i="2"/>
  <c r="K421" i="2"/>
  <c r="K397" i="2"/>
  <c r="K385" i="2"/>
  <c r="K373" i="2"/>
  <c r="K361" i="2"/>
  <c r="K349" i="2"/>
  <c r="K337" i="2"/>
  <c r="K325" i="2"/>
  <c r="K313" i="2"/>
  <c r="K289" i="2"/>
  <c r="K625" i="2"/>
  <c r="K613" i="2"/>
  <c r="K589" i="2"/>
  <c r="K565" i="2"/>
  <c r="K541" i="2"/>
  <c r="H181" i="2"/>
  <c r="K651" i="2"/>
  <c r="F179" i="2"/>
  <c r="H180" i="2"/>
  <c r="L180" i="2" s="1"/>
  <c r="H178" i="2"/>
  <c r="L178" i="2" s="1"/>
  <c r="H185" i="2"/>
  <c r="L185" i="2" s="1"/>
  <c r="H186" i="2"/>
  <c r="F186" i="2"/>
  <c r="F185" i="2"/>
  <c r="F180" i="2"/>
  <c r="H179" i="2"/>
  <c r="H173" i="2"/>
  <c r="F173" i="2"/>
  <c r="F169" i="2"/>
  <c r="H169" i="2"/>
  <c r="L169" i="2" s="1"/>
  <c r="H168" i="2"/>
  <c r="L168" i="2" s="1"/>
  <c r="K619" i="2"/>
  <c r="K595" i="2"/>
  <c r="K583" i="2"/>
  <c r="K559" i="2"/>
  <c r="K547" i="2"/>
  <c r="K535" i="2"/>
  <c r="K523" i="2"/>
  <c r="K499" i="2"/>
  <c r="K487" i="2"/>
  <c r="K475" i="2"/>
  <c r="K463" i="2"/>
  <c r="K451" i="2"/>
  <c r="K439" i="2"/>
  <c r="K427" i="2"/>
  <c r="K415" i="2"/>
  <c r="K403" i="2"/>
  <c r="K391" i="2"/>
  <c r="K379" i="2"/>
  <c r="K367" i="2"/>
  <c r="K355" i="2"/>
  <c r="K343" i="2"/>
  <c r="K331" i="2"/>
  <c r="K319" i="2"/>
  <c r="K307" i="2"/>
  <c r="K295" i="2"/>
  <c r="K283" i="2"/>
  <c r="K643" i="2"/>
  <c r="K631" i="2"/>
  <c r="K571" i="2"/>
  <c r="K607" i="2"/>
  <c r="K312" i="2"/>
  <c r="K675" i="2"/>
  <c r="K663" i="2"/>
  <c r="K158" i="2"/>
  <c r="K639" i="2"/>
  <c r="K627" i="2"/>
  <c r="K615" i="2"/>
  <c r="K603" i="2"/>
  <c r="K591" i="2"/>
  <c r="K579" i="2"/>
  <c r="K567" i="2"/>
  <c r="K483" i="2"/>
  <c r="K459" i="2"/>
  <c r="K447" i="2"/>
  <c r="K435" i="2"/>
  <c r="K423" i="2"/>
  <c r="K411" i="2"/>
  <c r="K399" i="2"/>
  <c r="K375" i="2"/>
  <c r="K327" i="2"/>
  <c r="K315" i="2"/>
  <c r="K303" i="2"/>
  <c r="K291" i="2"/>
  <c r="H167" i="2"/>
  <c r="L167" i="2" s="1"/>
  <c r="K167" i="2" s="1"/>
  <c r="F165" i="2"/>
  <c r="H165" i="2"/>
  <c r="H164" i="2"/>
  <c r="L164" i="2" s="1"/>
  <c r="F164" i="2"/>
  <c r="H163" i="2"/>
  <c r="L163" i="2" s="1"/>
  <c r="F163" i="2"/>
  <c r="K359" i="2"/>
  <c r="K306" i="2"/>
  <c r="K679" i="2"/>
  <c r="K667" i="2"/>
  <c r="F121" i="2"/>
  <c r="H159" i="2"/>
  <c r="L159" i="2" s="1"/>
  <c r="K655" i="2"/>
  <c r="K648" i="2"/>
  <c r="K612" i="2"/>
  <c r="K600" i="2"/>
  <c r="K576" i="2"/>
  <c r="K564" i="2"/>
  <c r="K552" i="2"/>
  <c r="K540" i="2"/>
  <c r="K528" i="2"/>
  <c r="K516" i="2"/>
  <c r="K504" i="2"/>
  <c r="K492" i="2"/>
  <c r="K480" i="2"/>
  <c r="K468" i="2"/>
  <c r="K456" i="2"/>
  <c r="K444" i="2"/>
  <c r="K432" i="2"/>
  <c r="K420" i="2"/>
  <c r="K408" i="2"/>
  <c r="K396" i="2"/>
  <c r="K384" i="2"/>
  <c r="K372" i="2"/>
  <c r="K360" i="2"/>
  <c r="K348" i="2"/>
  <c r="K336" i="2"/>
  <c r="K324" i="2"/>
  <c r="K300" i="2"/>
  <c r="K288" i="2"/>
  <c r="K276" i="2"/>
  <c r="K511" i="2"/>
  <c r="K672" i="2"/>
  <c r="K660" i="2"/>
  <c r="K542" i="2"/>
  <c r="K506" i="2"/>
  <c r="K422" i="2"/>
  <c r="K398" i="2"/>
  <c r="K374" i="2"/>
  <c r="K326" i="2"/>
  <c r="K302" i="2"/>
  <c r="K649" i="2"/>
  <c r="K637" i="2"/>
  <c r="K474" i="2"/>
  <c r="K426" i="2"/>
  <c r="K673" i="2"/>
  <c r="K661" i="2"/>
  <c r="K647" i="2"/>
  <c r="K635" i="2"/>
  <c r="K623" i="2"/>
  <c r="K611" i="2"/>
  <c r="K599" i="2"/>
  <c r="K587" i="2"/>
  <c r="K575" i="2"/>
  <c r="K563" i="2"/>
  <c r="K551" i="2"/>
  <c r="K539" i="2"/>
  <c r="K527" i="2"/>
  <c r="K515" i="2"/>
  <c r="K503" i="2"/>
  <c r="K491" i="2"/>
  <c r="K656" i="2"/>
  <c r="K332" i="2"/>
  <c r="K671" i="2"/>
  <c r="K659" i="2"/>
  <c r="K479" i="2"/>
  <c r="K467" i="2"/>
  <c r="K455" i="2"/>
  <c r="K443" i="2"/>
  <c r="K431" i="2"/>
  <c r="K419" i="2"/>
  <c r="K407" i="2"/>
  <c r="K395" i="2"/>
  <c r="K383" i="2"/>
  <c r="K371" i="2"/>
  <c r="K347" i="2"/>
  <c r="K335" i="2"/>
  <c r="K323" i="2"/>
  <c r="K311" i="2"/>
  <c r="K299" i="2"/>
  <c r="K287" i="2"/>
  <c r="K275" i="2"/>
  <c r="K356" i="2"/>
  <c r="K344" i="2"/>
  <c r="K320" i="2"/>
  <c r="K308" i="2"/>
  <c r="K296" i="2"/>
  <c r="K284" i="2"/>
  <c r="K294" i="2"/>
  <c r="K608" i="2"/>
  <c r="K548" i="2"/>
  <c r="K536" i="2"/>
  <c r="K524" i="2"/>
  <c r="K512" i="2"/>
  <c r="K500" i="2"/>
  <c r="K644" i="2"/>
  <c r="K476" i="2"/>
  <c r="K464" i="2"/>
  <c r="K452" i="2"/>
  <c r="K440" i="2"/>
  <c r="K428" i="2"/>
  <c r="K416" i="2"/>
  <c r="K404" i="2"/>
  <c r="K392" i="2"/>
  <c r="K380" i="2"/>
  <c r="K368" i="2"/>
  <c r="K170" i="2"/>
  <c r="K486" i="2"/>
  <c r="K354" i="2"/>
  <c r="K342" i="2"/>
  <c r="K330" i="2"/>
  <c r="K318" i="2"/>
  <c r="K282" i="2"/>
  <c r="K462" i="2"/>
  <c r="K305" i="2"/>
  <c r="K450" i="2"/>
  <c r="K438" i="2"/>
  <c r="K414" i="2"/>
  <c r="K402" i="2"/>
  <c r="K678" i="2"/>
  <c r="K666" i="2"/>
  <c r="K642" i="2"/>
  <c r="K630" i="2"/>
  <c r="K618" i="2"/>
  <c r="K390" i="2"/>
  <c r="K606" i="2"/>
  <c r="K378" i="2"/>
  <c r="K211" i="2"/>
  <c r="K654" i="2"/>
  <c r="K594" i="2"/>
  <c r="K582" i="2"/>
  <c r="K570" i="2"/>
  <c r="K558" i="2"/>
  <c r="K366" i="2"/>
  <c r="K546" i="2"/>
  <c r="K534" i="2"/>
  <c r="K522" i="2"/>
  <c r="K510" i="2"/>
  <c r="K498" i="2"/>
  <c r="K509" i="2"/>
  <c r="K497" i="2"/>
  <c r="K461" i="2"/>
  <c r="K617" i="2"/>
  <c r="K533" i="2"/>
  <c r="K521" i="2"/>
  <c r="K485" i="2"/>
  <c r="K425" i="2"/>
  <c r="F82" i="2"/>
  <c r="K677" i="2"/>
  <c r="K605" i="2"/>
  <c r="K473" i="2"/>
  <c r="K293" i="2"/>
  <c r="K434" i="2"/>
  <c r="K314" i="2"/>
  <c r="K593" i="2"/>
  <c r="K413" i="2"/>
  <c r="K365" i="2"/>
  <c r="K665" i="2"/>
  <c r="K581" i="2"/>
  <c r="K569" i="2"/>
  <c r="K557" i="2"/>
  <c r="K401" i="2"/>
  <c r="K353" i="2"/>
  <c r="K545" i="2"/>
  <c r="K341" i="2"/>
  <c r="K329" i="2"/>
  <c r="K653" i="2"/>
  <c r="K641" i="2"/>
  <c r="K629" i="2"/>
  <c r="K449" i="2"/>
  <c r="K437" i="2"/>
  <c r="K389" i="2"/>
  <c r="K317" i="2"/>
  <c r="K363" i="2"/>
  <c r="K279" i="2"/>
  <c r="K258" i="2"/>
  <c r="K470" i="2"/>
  <c r="K350" i="2"/>
  <c r="K446" i="2"/>
  <c r="K290" i="2"/>
  <c r="K530" i="2"/>
  <c r="K494" i="2"/>
  <c r="K362" i="2"/>
  <c r="K338" i="2"/>
  <c r="K518" i="2"/>
  <c r="K410" i="2"/>
  <c r="K554" i="2"/>
  <c r="K482" i="2"/>
  <c r="K458" i="2"/>
  <c r="K386" i="2"/>
  <c r="K650" i="2"/>
  <c r="H82" i="2"/>
  <c r="K578" i="2"/>
  <c r="K471" i="2"/>
  <c r="K602" i="2"/>
  <c r="K531" i="2"/>
  <c r="K339" i="2"/>
  <c r="K674" i="2"/>
  <c r="K662" i="2"/>
  <c r="K638" i="2"/>
  <c r="K495" i="2"/>
  <c r="K543" i="2"/>
  <c r="K507" i="2"/>
  <c r="K590" i="2"/>
  <c r="K566" i="2"/>
  <c r="K387" i="2"/>
  <c r="K680" i="2"/>
  <c r="K465" i="2"/>
  <c r="K453" i="2"/>
  <c r="K441" i="2"/>
  <c r="K405" i="2"/>
  <c r="K369" i="2"/>
  <c r="K297" i="2"/>
  <c r="K285" i="2"/>
  <c r="K614" i="2"/>
  <c r="K351" i="2"/>
  <c r="K555" i="2"/>
  <c r="K519" i="2"/>
  <c r="K626" i="2"/>
  <c r="H67" i="2"/>
  <c r="G67" i="2"/>
  <c r="H56" i="2"/>
  <c r="F56" i="2"/>
  <c r="K632" i="2"/>
  <c r="K584" i="2"/>
  <c r="K489" i="2"/>
  <c r="K668" i="2"/>
  <c r="K537" i="2"/>
  <c r="K501" i="2"/>
  <c r="K309" i="2"/>
  <c r="K560" i="2"/>
  <c r="K636" i="2"/>
  <c r="K493" i="2"/>
  <c r="K409" i="2"/>
  <c r="K393" i="2"/>
  <c r="K620" i="2"/>
  <c r="K572" i="2"/>
  <c r="K549" i="2"/>
  <c r="K513" i="2"/>
  <c r="K345" i="2"/>
  <c r="K596" i="2"/>
  <c r="K357" i="2"/>
  <c r="K588" i="2"/>
  <c r="K525" i="2"/>
  <c r="K477" i="2"/>
  <c r="K624" i="2"/>
  <c r="K381" i="2"/>
  <c r="H28" i="2"/>
  <c r="F28" i="2"/>
  <c r="K488" i="2"/>
  <c r="I49" i="5"/>
  <c r="I48" i="5"/>
  <c r="I47" i="5"/>
  <c r="K33" i="4"/>
  <c r="I11" i="5"/>
  <c r="K18" i="4"/>
  <c r="K19" i="4"/>
  <c r="K39" i="4"/>
  <c r="K40" i="4"/>
  <c r="K25" i="4"/>
  <c r="K32" i="4"/>
  <c r="F44" i="5" l="1"/>
  <c r="F43" i="5"/>
  <c r="J37" i="3"/>
  <c r="J38" i="3"/>
  <c r="L4" i="2"/>
  <c r="Q4" i="1" s="1"/>
  <c r="L14" i="5" s="1"/>
  <c r="K212" i="2"/>
  <c r="K263" i="2"/>
  <c r="K193" i="2"/>
  <c r="K222" i="2"/>
  <c r="K265" i="2"/>
  <c r="K281" i="2"/>
  <c r="K161" i="2"/>
  <c r="K253" i="2"/>
  <c r="K277" i="2"/>
  <c r="K166" i="2"/>
  <c r="K160" i="2"/>
  <c r="K264" i="2"/>
  <c r="K206" i="2"/>
  <c r="K207" i="2"/>
  <c r="K255" i="2"/>
  <c r="J7" i="3"/>
  <c r="K7" i="3" s="1"/>
  <c r="I13" i="5" s="1"/>
  <c r="F13" i="5"/>
  <c r="K162" i="2"/>
  <c r="K122" i="2"/>
  <c r="K250" i="2"/>
  <c r="L260" i="2"/>
  <c r="K260" i="2" s="1"/>
  <c r="K182" i="2"/>
  <c r="L259" i="2"/>
  <c r="K259" i="2" s="1"/>
  <c r="L262" i="2"/>
  <c r="K262" i="2" s="1"/>
  <c r="L267" i="2"/>
  <c r="K267" i="2" s="1"/>
  <c r="L223" i="2"/>
  <c r="K223" i="2" s="1"/>
  <c r="K196" i="2"/>
  <c r="K201" i="2"/>
  <c r="K184" i="2"/>
  <c r="K197" i="2"/>
  <c r="K199" i="2"/>
  <c r="K200" i="2"/>
  <c r="K202" i="2"/>
  <c r="K192" i="2"/>
  <c r="K249" i="2"/>
  <c r="K213" i="2"/>
  <c r="K209" i="2"/>
  <c r="K42" i="3"/>
  <c r="K224" i="2"/>
  <c r="K205" i="2"/>
  <c r="K195" i="2"/>
  <c r="K190" i="2"/>
  <c r="K191" i="2"/>
  <c r="K187" i="2"/>
  <c r="K176" i="2"/>
  <c r="K121" i="2"/>
  <c r="K83" i="2"/>
  <c r="L32" i="2"/>
  <c r="K32" i="2" s="1"/>
  <c r="K175" i="2"/>
  <c r="K257" i="2"/>
  <c r="K256" i="2"/>
  <c r="K252" i="2"/>
  <c r="K251" i="2"/>
  <c r="L248" i="2"/>
  <c r="K248" i="2" s="1"/>
  <c r="K247" i="2"/>
  <c r="K246" i="2"/>
  <c r="K217" i="2"/>
  <c r="K215" i="2"/>
  <c r="K218" i="2"/>
  <c r="K219" i="2"/>
  <c r="K221" i="2"/>
  <c r="K220" i="2"/>
  <c r="L216" i="2"/>
  <c r="K216" i="2" s="1"/>
  <c r="L214" i="2"/>
  <c r="K214" i="2" s="1"/>
  <c r="L210" i="2"/>
  <c r="K210" i="2" s="1"/>
  <c r="K204" i="2"/>
  <c r="L198" i="2"/>
  <c r="K198" i="2" s="1"/>
  <c r="K194" i="2"/>
  <c r="K188" i="2"/>
  <c r="K168" i="2"/>
  <c r="L181" i="2"/>
  <c r="K181" i="2" s="1"/>
  <c r="K44" i="3"/>
  <c r="K185" i="2"/>
  <c r="K180" i="2"/>
  <c r="K178" i="2"/>
  <c r="K163" i="2"/>
  <c r="L186" i="2"/>
  <c r="K186" i="2" s="1"/>
  <c r="L179" i="2"/>
  <c r="K179" i="2" s="1"/>
  <c r="L173" i="2"/>
  <c r="K173" i="2" s="1"/>
  <c r="K169" i="2"/>
  <c r="L165" i="2"/>
  <c r="K165" i="2" s="1"/>
  <c r="K164" i="2"/>
  <c r="K159" i="2"/>
  <c r="F28" i="5"/>
  <c r="J22" i="3"/>
  <c r="L28" i="2"/>
  <c r="L82" i="2"/>
  <c r="K82" i="2" s="1"/>
  <c r="C19" i="4"/>
  <c r="G19" i="4" s="1"/>
  <c r="C25" i="4"/>
  <c r="G25" i="4" s="1"/>
  <c r="C11" i="4"/>
  <c r="G11" i="4" s="1"/>
  <c r="C40" i="4"/>
  <c r="G40" i="4" s="1"/>
  <c r="C32" i="4"/>
  <c r="G32" i="4" s="1"/>
  <c r="L67" i="2"/>
  <c r="K67" i="2" s="1"/>
  <c r="L56" i="2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C24" i="4"/>
  <c r="G24" i="4" s="1"/>
  <c r="C18" i="4"/>
  <c r="G18" i="4" s="1"/>
  <c r="C17" i="4"/>
  <c r="C12" i="4"/>
  <c r="G12" i="4" s="1"/>
  <c r="C33" i="4"/>
  <c r="G33" i="4" s="1"/>
  <c r="F10" i="5"/>
  <c r="J6" i="3"/>
  <c r="K6" i="3" s="1"/>
  <c r="F12" i="5"/>
  <c r="K12" i="4"/>
  <c r="C31" i="4"/>
  <c r="C39" i="4"/>
  <c r="G39" i="4" s="1"/>
  <c r="K56" i="2" l="1"/>
  <c r="K26" i="4"/>
  <c r="L6" i="2"/>
  <c r="Q6" i="1" s="1"/>
  <c r="L11" i="5" s="1"/>
  <c r="K28" i="2"/>
  <c r="K11" i="4"/>
  <c r="K38" i="4"/>
  <c r="K42" i="4" s="1"/>
  <c r="I10" i="5"/>
  <c r="K24" i="4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G47" i="4"/>
  <c r="G31" i="4"/>
  <c r="G35" i="4" s="1"/>
  <c r="C35" i="4"/>
  <c r="G42" i="4"/>
  <c r="C42" i="4"/>
  <c r="K28" i="4" l="1"/>
  <c r="L28" i="4" s="1"/>
  <c r="L5" i="2"/>
  <c r="Q5" i="1" s="1"/>
  <c r="K14" i="4"/>
  <c r="L14" i="4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000-000001000000}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 xr:uid="{00000000-0006-0000-0000-000002000000}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 xr:uid="{00000000-0006-0000-0000-000003000000}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cleriston alvarenga</author>
    <author>Ana Karyna da Silva Teixeira</author>
    <author>Dellano Henrique</author>
  </authors>
  <commentList>
    <comment ref="K4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00000000-0006-0000-0100-000004000000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 xr:uid="{00000000-0006-0000-0100-000005000000}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 xr:uid="{00000000-0006-0000-0100-000006000000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 xr:uid="{00000000-0006-0000-0100-000007000000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 xr:uid="{00000000-0006-0000-0100-000008000000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 xr:uid="{00000000-0006-0000-0100-000009000000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 xr:uid="{00000000-0006-0000-0100-00000A000000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 xr:uid="{00000000-0006-0000-0100-00000B000000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  <comment ref="D10" authorId="1" shapeId="0" xr:uid="{8261F4C4-4A6F-4196-9AEC-D1AF94BA9E59}">
      <text>
        <r>
          <rPr>
            <sz val="9"/>
            <color indexed="81"/>
            <rFont val="Segoe UI"/>
            <family val="2"/>
          </rPr>
          <t>1 - Usuário
2 - Chefia Imediata SEAP
3 - Perfil Manopla
4 - Comando
5 - Mensagem</t>
        </r>
      </text>
    </comment>
    <comment ref="E10" authorId="1" shapeId="0" xr:uid="{F02183F6-9270-47E4-A230-C918A405E3E4}">
      <text>
        <r>
          <rPr>
            <sz val="9"/>
            <color indexed="81"/>
            <rFont val="Segoe UI"/>
            <family val="2"/>
          </rPr>
          <t>1 - Chefia Imediata
2 - Usuário
3 - Perfil</t>
        </r>
      </text>
    </comment>
    <comment ref="D13" authorId="2" shapeId="0" xr:uid="{00000000-0006-0000-0100-00000C000000}">
      <text>
        <r>
          <rPr>
            <sz val="9"/>
            <color indexed="81"/>
            <rFont val="Segoe UI"/>
            <family val="2"/>
          </rPr>
          <t>1 - Código
2 - Descrição</t>
        </r>
      </text>
    </comment>
    <comment ref="E13" authorId="2" shapeId="0" xr:uid="{00000000-0006-0000-0100-00000D000000}">
      <text>
        <r>
          <rPr>
            <sz val="9"/>
            <color indexed="81"/>
            <rFont val="Segoe UI"/>
            <family val="2"/>
          </rPr>
          <t xml:space="preserve">1 - Órgão
2 - Unidade
3 - Servidor / Vínculo
4 - Justificativa
5 - Regime de Trabalho
</t>
        </r>
      </text>
    </comment>
    <comment ref="D14" authorId="2" shapeId="0" xr:uid="{00000000-0006-0000-0100-00000E000000}">
      <text>
        <r>
          <rPr>
            <sz val="10"/>
            <rFont val="Arial"/>
            <family val="2"/>
          </rPr>
          <t>1 - Código
2 - Nome
3 - Setor
4 - Flag Chefia Imediata</t>
        </r>
      </text>
    </comment>
    <comment ref="E14" authorId="2" shapeId="0" xr:uid="{00000000-0006-0000-0100-00000F000000}">
      <text>
        <r>
          <rPr>
            <sz val="10"/>
            <rFont val="Arial"/>
            <family val="2"/>
          </rPr>
          <t xml:space="preserve">1 - Chefia Imediata SEAP
</t>
        </r>
      </text>
    </comment>
    <comment ref="D15" authorId="1" shapeId="0" xr:uid="{00000000-0006-0000-0100-000010000000}">
      <text>
        <r>
          <rPr>
            <sz val="9"/>
            <color indexed="81"/>
            <rFont val="Segoe UI"/>
            <family val="2"/>
          </rPr>
          <t>1- Código
2- Sigla 
3- Descrição
4- Comando</t>
        </r>
      </text>
    </comment>
    <comment ref="E15" authorId="1" shapeId="0" xr:uid="{00000000-0006-0000-0100-000011000000}">
      <text>
        <r>
          <rPr>
            <sz val="9"/>
            <color indexed="81"/>
            <rFont val="Segoe UI"/>
            <family val="2"/>
          </rPr>
          <t>1-Orgão</t>
        </r>
      </text>
    </comment>
    <comment ref="D16" authorId="1" shapeId="0" xr:uid="{00000000-0006-0000-0100-000012000000}">
      <text>
        <r>
          <rPr>
            <sz val="9"/>
            <color indexed="81"/>
            <rFont val="Segoe UI"/>
            <family val="2"/>
          </rPr>
          <t>1- Código
2- Sigla 
3- Descrição
4- Comando</t>
        </r>
      </text>
    </comment>
    <comment ref="E16" authorId="1" shapeId="0" xr:uid="{00000000-0006-0000-0100-000013000000}">
      <text>
        <r>
          <rPr>
            <sz val="10"/>
            <rFont val="Arial"/>
            <family val="2"/>
          </rPr>
          <t>1 - Unidade
2 - Chefia Imediata SEAP
3 - Chefia Imediata Manopla</t>
        </r>
      </text>
    </comment>
    <comment ref="D17" authorId="1" shapeId="0" xr:uid="{00000000-0006-0000-0100-000014000000}">
      <text>
        <r>
          <rPr>
            <sz val="9"/>
            <color indexed="81"/>
            <rFont val="Segoe UI"/>
            <family val="2"/>
          </rPr>
          <t>1- Código
2- Descrição
3- Setor pai
4- Comando</t>
        </r>
      </text>
    </comment>
    <comment ref="E17" authorId="1" shapeId="0" xr:uid="{00000000-0006-0000-0100-000015000000}">
      <text>
        <r>
          <rPr>
            <sz val="9"/>
            <color indexed="81"/>
            <rFont val="Segoe UI"/>
            <family val="2"/>
          </rPr>
          <t>1-Servidor
2-Unidade</t>
        </r>
      </text>
    </comment>
    <comment ref="D18" authorId="1" shapeId="0" xr:uid="{00000000-0006-0000-0100-000016000000}">
      <text>
        <r>
          <rPr>
            <sz val="9"/>
            <color indexed="81"/>
            <rFont val="Segoe UI"/>
            <family val="2"/>
          </rPr>
          <t>1- Código
2- Descrição
3- Comando</t>
        </r>
      </text>
    </comment>
    <comment ref="E18" authorId="1" shapeId="0" xr:uid="{00000000-0006-0000-0100-000017000000}">
      <text>
        <r>
          <rPr>
            <sz val="9"/>
            <color indexed="81"/>
            <rFont val="Segoe UI"/>
            <family val="2"/>
          </rPr>
          <t xml:space="preserve">1-Regime de Trabalho
</t>
        </r>
      </text>
    </comment>
    <comment ref="D19" authorId="1" shapeId="0" xr:uid="{00000000-0006-0000-0100-000018000000}">
      <text>
        <r>
          <rPr>
            <sz val="9"/>
            <color indexed="81"/>
            <rFont val="Segoe UI"/>
            <family val="2"/>
          </rPr>
          <t xml:space="preserve">01 - Órgão
02 - Unidade de Lotação
03 - Nome Servidor
04 - Regime de Trabalho
05 - Matricula
06 - Data Início
07 - Data Final
08 - Comando
09 - Mensagem
</t>
        </r>
      </text>
    </comment>
    <comment ref="E19" authorId="2" shapeId="0" xr:uid="{00000000-0006-0000-0100-000019000000}">
      <text>
        <r>
          <rPr>
            <sz val="9"/>
            <color indexed="81"/>
            <rFont val="Segoe UI"/>
            <family val="2"/>
          </rPr>
          <t xml:space="preserve">1 - Órgão
2 - Unidade
3 - Servidor / Vínculo
4 - Justificativa
5 - Regime de Trabalho
</t>
        </r>
      </text>
    </comment>
    <comment ref="D20" authorId="1" shapeId="0" xr:uid="{00000000-0006-0000-0100-00001A000000}">
      <text>
        <r>
          <rPr>
            <sz val="9"/>
            <color indexed="81"/>
            <rFont val="Segoe UI"/>
            <family val="2"/>
          </rPr>
          <t xml:space="preserve">01 - Órgão
02 - Unidade de Lotação
03 - Nome Servidor
04 - Regime de Trabalho
05 - Matricula
06 - Data Início
07 - Data Final
08 - Comando
09 - Mensagem
</t>
        </r>
      </text>
    </comment>
    <comment ref="E20" authorId="2" shapeId="0" xr:uid="{00000000-0006-0000-0100-00001B000000}">
      <text>
        <r>
          <rPr>
            <sz val="9"/>
            <color indexed="81"/>
            <rFont val="Segoe UI"/>
            <family val="2"/>
          </rPr>
          <t xml:space="preserve">1 - Órgão
2 - Unidade
3 - Servidor / Vínculo
4 - Justificativa
5 - Regime de Trabalho
</t>
        </r>
      </text>
    </comment>
    <comment ref="D23" authorId="1" shapeId="0" xr:uid="{00000000-0006-0000-0100-00001C000000}">
      <text>
        <r>
          <rPr>
            <sz val="9"/>
            <color indexed="81"/>
            <rFont val="Segoe UI"/>
            <family val="2"/>
          </rPr>
          <t xml:space="preserve">01 - Orgão
02 - Unidade Lotação
03 - Servidor
04 - Matricula
05 - Produto
06 - Numero produto
07 - Atividade
08 - Numero atividade
09 - Descrição
10 - Ativo / Inativo
11 - Status
12 - Sistema
13 - Código
</t>
        </r>
      </text>
    </comment>
    <comment ref="E23" authorId="1" shapeId="0" xr:uid="{00000000-0006-0000-0100-00001D000000}">
      <text>
        <r>
          <rPr>
            <sz val="9"/>
            <color indexed="81"/>
            <rFont val="Segoe UI"/>
            <family val="2"/>
          </rPr>
          <t>1 - Atividade
2 - Status Atividade
3 - Produto
4 - Servidor
5 - Órgão
6 - Unidade</t>
        </r>
      </text>
    </comment>
    <comment ref="D24" authorId="2" shapeId="0" xr:uid="{7511891B-0C20-4F21-A7C6-827FDF1C201E}">
      <text>
        <r>
          <rPr>
            <sz val="10"/>
            <rFont val="Arial"/>
            <family val="2"/>
          </rPr>
          <t>1 - Código
2 - Nome
3 - Setor
4 - Nível Acesso Perfil</t>
        </r>
      </text>
    </comment>
    <comment ref="E24" authorId="2" shapeId="0" xr:uid="{EA2251A0-035F-41CD-B1B5-1C9500F609F5}">
      <text>
        <r>
          <rPr>
            <sz val="10"/>
            <rFont val="Arial"/>
            <family val="2"/>
          </rPr>
          <t xml:space="preserve">1 - Chefia Imediata Manopla
</t>
        </r>
      </text>
    </comment>
    <comment ref="D25" authorId="1" shapeId="0" xr:uid="{A73B3BCF-48EA-49DC-B2B9-33A5082C5DB0}">
      <text>
        <r>
          <rPr>
            <sz val="9"/>
            <color indexed="81"/>
            <rFont val="Segoe UI"/>
            <family val="2"/>
          </rPr>
          <t>1 - Código
2 - Descrição
3 - Status
4 - Padrão
5 - Unidade
6 - Flag Interface
7 - Categoria
8 - Comando</t>
        </r>
      </text>
    </comment>
    <comment ref="E25" authorId="1" shapeId="0" xr:uid="{3A49948E-AB4C-4CC4-97F9-A066961BD288}">
      <text>
        <r>
          <rPr>
            <sz val="9"/>
            <color indexed="81"/>
            <rFont val="Segoe UI"/>
            <family val="2"/>
          </rPr>
          <t>1 - Produto
2 - Unidade</t>
        </r>
      </text>
    </comment>
    <comment ref="D26" authorId="1" shapeId="0" xr:uid="{00000000-0006-0000-0100-000020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6" authorId="1" shapeId="0" xr:uid="{00000000-0006-0000-0100-000021000000}">
      <text>
        <r>
          <rPr>
            <sz val="9"/>
            <color indexed="81"/>
            <rFont val="Segoe UI"/>
            <family val="2"/>
          </rPr>
          <t>1 - Status Atividade</t>
        </r>
      </text>
    </comment>
    <comment ref="D27" authorId="1" shapeId="0" xr:uid="{00000000-0006-0000-0100-000022000000}">
      <text>
        <r>
          <rPr>
            <sz val="9"/>
            <color indexed="81"/>
            <rFont val="Segoe UI"/>
            <family val="2"/>
          </rPr>
          <t xml:space="preserve">01 - Orgão
02 - Unidade Lotação
03 - Servidor
04 - Matricula
05 - Produto + Categoria
06 - Atividade
07 - Numero atividade
08 - Ativo / Inativo
09 - Status
10 - Sistema
11 - Comando
12 - Mensagem
</t>
        </r>
      </text>
    </comment>
    <comment ref="E27" authorId="1" shapeId="0" xr:uid="{00000000-0006-0000-0100-000023000000}">
      <text>
        <r>
          <rPr>
            <sz val="9"/>
            <color indexed="81"/>
            <rFont val="Segoe UI"/>
            <family val="2"/>
          </rPr>
          <t>1 - Atividade
2 - Status Atividade
3 - Produto</t>
        </r>
      </text>
    </comment>
    <comment ref="D28" authorId="1" shapeId="0" xr:uid="{00000000-0006-0000-0100-000024000000}">
      <text>
        <r>
          <rPr>
            <sz val="9"/>
            <color indexed="81"/>
            <rFont val="Segoe UI"/>
            <family val="2"/>
          </rPr>
          <t xml:space="preserve">01 - Orgão
02 - Unidade Lotação
03 - Servidor
04 - Matricula
05 - Produto + Categoria
06 - Atividade
07 - Numero atividade
08 - Ativo / Inativo
09 - Status
10 - Sistema
11 - Comando
12 - Mensagem
</t>
        </r>
      </text>
    </comment>
    <comment ref="E28" authorId="1" shapeId="0" xr:uid="{00000000-0006-0000-0100-000025000000}">
      <text>
        <r>
          <rPr>
            <sz val="9"/>
            <color indexed="81"/>
            <rFont val="Segoe UI"/>
            <family val="2"/>
          </rPr>
          <t>1 - Atividade
2 - Status Atividade
3 - Produto</t>
        </r>
      </text>
    </comment>
    <comment ref="D29" authorId="1" shapeId="0" xr:uid="{00000000-0006-0000-0100-000026000000}">
      <text>
        <r>
          <rPr>
            <sz val="9"/>
            <color indexed="81"/>
            <rFont val="Segoe UI"/>
            <family val="2"/>
          </rPr>
          <t>1 - Código
2 - Situacao
3 - Sistema
4 - Comando
4 - Mensagem</t>
        </r>
      </text>
    </comment>
    <comment ref="E29" authorId="1" shapeId="0" xr:uid="{00000000-0006-0000-0100-000027000000}">
      <text>
        <r>
          <rPr>
            <sz val="9"/>
            <color indexed="81"/>
            <rFont val="Segoe UI"/>
            <family val="2"/>
          </rPr>
          <t xml:space="preserve">1 - Atividade
</t>
        </r>
      </text>
    </comment>
    <comment ref="D30" authorId="1" shapeId="0" xr:uid="{00000000-0006-0000-0100-000028000000}">
      <text>
        <r>
          <rPr>
            <sz val="9"/>
            <color indexed="81"/>
            <rFont val="Segoe UI"/>
            <family val="2"/>
          </rPr>
          <t>01 - Servidor
02 - Produto
03 - Atividade
04 - Status
05 - Data
06 - Comando
07 - Mensagem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30" authorId="1" shapeId="0" xr:uid="{00000000-0006-0000-0100-000029000000}">
      <text>
        <r>
          <rPr>
            <sz val="9"/>
            <color indexed="81"/>
            <rFont val="Segoe UI"/>
            <family val="2"/>
          </rPr>
          <t>1 - Atividade
2 - Historico Status
3 - Status Atividade
4 - Produto
5 - Servidor</t>
        </r>
      </text>
    </comment>
    <comment ref="D31" authorId="1" shapeId="0" xr:uid="{00000000-0006-0000-0100-00002A00000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31" authorId="1" shapeId="0" xr:uid="{00000000-0006-0000-0100-00002B000000}">
      <text>
        <r>
          <rPr>
            <sz val="9"/>
            <color indexed="81"/>
            <rFont val="Segoe UI"/>
            <family val="2"/>
          </rPr>
          <t>1 - Atividade
2 - Histórico Status</t>
        </r>
      </text>
    </comment>
    <comment ref="D34" authorId="1" shapeId="0" xr:uid="{CE638C06-95F2-4E28-B86D-F0B320530CC1}">
      <text>
        <r>
          <rPr>
            <sz val="9"/>
            <color indexed="81"/>
            <rFont val="Segoe UI"/>
            <family val="2"/>
          </rPr>
          <t>01 - Orgão
02 - Unidade Lotação
03 - Servidor
04 - Matricula
05 - Produto
06 - Numero produto
07 - Atividade
08 - Numero atividade
09 - Descrição
10 - Ativo / Inativo
11 - Status
12 - Sistema
13 - Código
14 - Data
15 - Usuário</t>
        </r>
      </text>
    </comment>
    <comment ref="E34" authorId="1" shapeId="0" xr:uid="{524C6ED7-AB7D-4FDE-B807-968973518564}">
      <text>
        <r>
          <rPr>
            <sz val="9"/>
            <color indexed="81"/>
            <rFont val="Segoe UI"/>
            <family val="2"/>
          </rPr>
          <t>1 - Auditoria Atividade
2 - Usuário</t>
        </r>
      </text>
    </comment>
    <comment ref="D35" authorId="1" shapeId="0" xr:uid="{442A898B-4AA7-48E4-B054-6E3D9778B198}">
      <text>
        <r>
          <rPr>
            <sz val="9"/>
            <color indexed="81"/>
            <rFont val="Segoe UI"/>
            <family val="2"/>
          </rPr>
          <t xml:space="preserve">1 - Código
2 - Descrição
3 - Número
</t>
        </r>
      </text>
    </comment>
    <comment ref="E35" authorId="1" shapeId="0" xr:uid="{E9222FF7-2B16-41D3-9BE6-16FA63C6A9F5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36" authorId="1" shapeId="0" xr:uid="{95F3F2D3-A0F6-4D05-9B30-9B692232EFA1}">
      <text>
        <r>
          <rPr>
            <sz val="9"/>
            <color indexed="81"/>
            <rFont val="Segoe UI"/>
            <family val="2"/>
          </rPr>
          <t>1 - Código
2 - Descrição
3 - Número
4 - Status
5 - Unidade
6 - Flag Interface
7 - Categoria</t>
        </r>
      </text>
    </comment>
    <comment ref="E36" authorId="1" shapeId="0" xr:uid="{F6A7E81C-004A-4650-914F-F9E1A5CFC354}">
      <text>
        <r>
          <rPr>
            <sz val="9"/>
            <color indexed="81"/>
            <rFont val="Segoe UI"/>
            <family val="2"/>
          </rPr>
          <t>1 - Produto
2 - Unidade
3 - Usuário</t>
        </r>
      </text>
    </comment>
    <comment ref="D37" authorId="1" shapeId="0" xr:uid="{00000000-0006-0000-0100-00002E000000}">
      <text>
        <r>
          <rPr>
            <sz val="9"/>
            <color indexed="81"/>
            <rFont val="Segoe UI"/>
            <family val="2"/>
          </rPr>
          <t>01 - Orgão
02 - Unidade Lotação
03 - Servidor
04 - Matricula
05 - Produto
06 - Atividade
07 - Descrição
08 - Ativo / Inativo
09 - Status
10 - Sistema
11 - Servidor Historico
12 - Produto Historico
13 - Atividade Historico
14 - Status Historico
15 - Data Historico
16 - Código Historico
17 - Comando
18 - Mensagem</t>
        </r>
      </text>
    </comment>
    <comment ref="E37" authorId="1" shapeId="0" xr:uid="{00000000-0006-0000-0100-00002F000000}">
      <text>
        <r>
          <rPr>
            <sz val="9"/>
            <color indexed="81"/>
            <rFont val="Segoe UI"/>
            <family val="2"/>
          </rPr>
          <t>1 - Atividade
2 - Auditoria Atividade
3 - Status Atividade
4 - Produto
5 - Servidor
6 - Órgão
7 - Unidade
8 - Parametro</t>
        </r>
      </text>
    </comment>
    <comment ref="D38" authorId="1" shapeId="0" xr:uid="{00000000-0006-0000-0100-000030000000}">
      <text>
        <r>
          <rPr>
            <sz val="9"/>
            <color indexed="81"/>
            <rFont val="Segoe UI"/>
            <family val="2"/>
          </rPr>
          <t>01 - Orgão
02 - Unidade Lotação
03 - Produto
04 - Atividade
05 - Descrição
06 - Comando
07 - Mensagem</t>
        </r>
      </text>
    </comment>
    <comment ref="E38" authorId="1" shapeId="0" xr:uid="{00000000-0006-0000-0100-000031000000}">
      <text>
        <r>
          <rPr>
            <sz val="9"/>
            <color indexed="81"/>
            <rFont val="Segoe UI"/>
            <family val="2"/>
          </rPr>
          <t>1 - Atividade
2 - Produto
3 - Órgão
4 - Unidade</t>
        </r>
      </text>
    </comment>
    <comment ref="D39" authorId="1" shapeId="0" xr:uid="{00000000-0006-0000-0100-000032000000}">
      <text>
        <r>
          <rPr>
            <sz val="9"/>
            <color indexed="81"/>
            <rFont val="Segoe UI"/>
            <family val="2"/>
          </rPr>
          <t>01 - Orgão
02 - Unidade Lotação
03 - Servidor
04 - Matricula
05 - Produto
06 - Número Produto
07 - Atividade
08 - Numero atividade
08 - Descrição</t>
        </r>
      </text>
    </comment>
    <comment ref="E39" authorId="1" shapeId="0" xr:uid="{00000000-0006-0000-0100-000033000000}">
      <text>
        <r>
          <rPr>
            <sz val="9"/>
            <color indexed="81"/>
            <rFont val="Segoe UI"/>
            <family val="2"/>
          </rPr>
          <t>1 - Atividade
2 - Produto
3 - Servidor
4 - Órgão
5 - Unidade</t>
        </r>
      </text>
    </comment>
    <comment ref="D40" authorId="1" shapeId="0" xr:uid="{00000000-0006-0000-0100-000034000000}">
      <text>
        <r>
          <rPr>
            <sz val="9"/>
            <color indexed="81"/>
            <rFont val="Segoe UI"/>
            <family val="2"/>
          </rPr>
          <t>01 - Orgão
02 - Unidade Lotação
03 - Servidor
04 - Matricula
05 - Produto
06 - Número Produto
07 - Atividade
08 - Numero atividade
08 - Descrição
09 - Comando
10 - Mensagem</t>
        </r>
      </text>
    </comment>
    <comment ref="E40" authorId="1" shapeId="0" xr:uid="{00000000-0006-0000-0100-000035000000}">
      <text>
        <r>
          <rPr>
            <b/>
            <sz val="9"/>
            <color indexed="81"/>
            <rFont val="Segoe UI"/>
            <family val="2"/>
          </rPr>
          <t>cleriston alvarenga:</t>
        </r>
        <r>
          <rPr>
            <sz val="9"/>
            <color indexed="81"/>
            <rFont val="Segoe UI"/>
            <family val="2"/>
          </rPr>
          <t xml:space="preserve">
1-Orgão
2-Unidade
3-Servidor
4-Atividade
5-Produto</t>
        </r>
      </text>
    </comment>
    <comment ref="D43" authorId="1" shapeId="0" xr:uid="{544A89F5-A6A5-4183-8160-47C8E02D1C62}">
      <text>
        <r>
          <rPr>
            <sz val="9"/>
            <color indexed="81"/>
            <rFont val="Segoe UI"/>
            <family val="2"/>
          </rPr>
          <t>1 - Orgão
2 - Unidade Lotação
3 - Nome
4 - Matricula
5 - Carga horária
6 - Produto
7 - Atividade
8 - Status Atividade
9 - OBS
10 - Complexidade
11 - Meta
12 - Data inicio
13 - Data Fim
14 - Servidor Criação
15 - Código
16 - Registro de Atividade
17 - Arquivo
18 - Regime de Trabalho
19-Codigo Quadro kanban
20-Etiqueta
21-situação quadro</t>
        </r>
      </text>
    </comment>
    <comment ref="E43" authorId="1" shapeId="0" xr:uid="{C0DD0D1D-14CF-46F4-A4F5-8C518FE76C46}">
      <text>
        <r>
          <rPr>
            <sz val="9"/>
            <color indexed="81"/>
            <rFont val="Segoe UI"/>
            <family val="2"/>
          </rPr>
          <t xml:space="preserve">1 - Perfil Permite Edição
2 - Vínculo Atividade x Servidor
3 - Complexidade
4 - Quadro Kanbam
</t>
        </r>
      </text>
    </comment>
    <comment ref="D44" authorId="1" shapeId="0" xr:uid="{F28D38C2-5BAB-4C4C-B797-1C59ADA9F327}">
      <text>
        <r>
          <rPr>
            <sz val="9"/>
            <color indexed="81"/>
            <rFont val="Segoe UI"/>
            <family val="2"/>
          </rPr>
          <t>1 - Código
2 - Nome
3 - Comando</t>
        </r>
      </text>
    </comment>
    <comment ref="E44" authorId="1" shapeId="0" xr:uid="{E8EA9291-8F18-452D-B121-DF5EF060A0BD}">
      <text>
        <r>
          <rPr>
            <sz val="9"/>
            <color indexed="81"/>
            <rFont val="Segoe UI"/>
            <family val="2"/>
          </rPr>
          <t>1 - Servidor
2 - Chefia Imediata</t>
        </r>
      </text>
    </comment>
    <comment ref="D45" authorId="1" shapeId="0" xr:uid="{9DD763F6-F922-497F-833F-6F3A6D771B5F}">
      <text>
        <r>
          <rPr>
            <sz val="9"/>
            <color indexed="81"/>
            <rFont val="Segoe UI"/>
            <family val="2"/>
          </rPr>
          <t>1 - Código
2 - Nome
3 - Comando</t>
        </r>
      </text>
    </comment>
    <comment ref="E45" authorId="1" shapeId="0" xr:uid="{039B4DA6-410D-4795-9284-0B12E0E28123}">
      <text>
        <r>
          <rPr>
            <sz val="9"/>
            <color indexed="81"/>
            <rFont val="Segoe UI"/>
            <family val="2"/>
          </rPr>
          <t>1 - Vínculo Atividade x Servidor</t>
        </r>
      </text>
    </comment>
    <comment ref="D46" authorId="1" shapeId="0" xr:uid="{26425FE9-75B8-4613-8EF6-72DAC50CFE61}">
      <text>
        <r>
          <rPr>
            <sz val="9"/>
            <color indexed="81"/>
            <rFont val="Segoe UI"/>
            <family val="2"/>
          </rPr>
          <t>1 - Código
2 - Nome
3 - Comando</t>
        </r>
      </text>
    </comment>
    <comment ref="E46" authorId="1" shapeId="0" xr:uid="{CF26A356-D672-4F25-A002-BF1AFCB81765}">
      <text>
        <r>
          <rPr>
            <sz val="9"/>
            <color indexed="81"/>
            <rFont val="Segoe UI"/>
            <family val="2"/>
          </rPr>
          <t>1 - Vínculo Atividade x Servidor</t>
        </r>
      </text>
    </comment>
    <comment ref="D47" authorId="1" shapeId="0" xr:uid="{00000000-0006-0000-0100-00003A000000}">
      <text>
        <r>
          <rPr>
            <sz val="9"/>
            <color indexed="81"/>
            <rFont val="Segoe UI"/>
            <family val="2"/>
          </rPr>
          <t>1 - Servidor
2 - Perfil
3 - Comando
4 - Mensagem</t>
        </r>
      </text>
    </comment>
    <comment ref="E47" authorId="1" shapeId="0" xr:uid="{00000000-0006-0000-0100-00003B000000}">
      <text>
        <r>
          <rPr>
            <sz val="9"/>
            <color indexed="81"/>
            <rFont val="Segoe UI"/>
            <family val="2"/>
          </rPr>
          <t>1 - Servidor
2 - Perfil
3 - Chefia Imediata</t>
        </r>
      </text>
    </comment>
    <comment ref="D48" authorId="1" shapeId="0" xr:uid="{3EBB7D48-C211-4E6C-BA43-7EDFFE13A528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48" authorId="1" shapeId="0" xr:uid="{3E813A50-59C5-4592-8BC0-2F3B8DE5D9CB}">
      <text>
        <r>
          <rPr>
            <sz val="9"/>
            <color indexed="81"/>
            <rFont val="Segoe UI"/>
            <family val="2"/>
          </rPr>
          <t>1 - Situação Execução</t>
        </r>
      </text>
    </comment>
    <comment ref="D49" authorId="1" shapeId="0" xr:uid="{1F58B861-7E4B-49C4-8B90-02E249E3875C}">
      <text>
        <r>
          <rPr>
            <sz val="9"/>
            <color indexed="81"/>
            <rFont val="Segoe UI"/>
            <family val="2"/>
          </rPr>
          <t>1- Código
2- Descrição
3- Comando</t>
        </r>
      </text>
    </comment>
    <comment ref="E49" authorId="1" shapeId="0" xr:uid="{B8E985AE-02EE-4036-9C5C-1F013F94DCBB}">
      <text>
        <r>
          <rPr>
            <sz val="9"/>
            <color indexed="81"/>
            <rFont val="Segoe UI"/>
            <family val="2"/>
          </rPr>
          <t xml:space="preserve">1-Regime de Trabalho
</t>
        </r>
      </text>
    </comment>
    <comment ref="D50" authorId="1" shapeId="0" xr:uid="{24DAF78B-CB89-4D8D-87B8-C30C0D2BB9C2}">
      <text>
        <r>
          <rPr>
            <sz val="9"/>
            <color indexed="81"/>
            <rFont val="Segoe UI"/>
            <family val="2"/>
          </rPr>
          <t>1- Código
2- Sigla 
3- Descrição
4- Comando</t>
        </r>
      </text>
    </comment>
    <comment ref="E50" authorId="1" shapeId="0" xr:uid="{081EE62B-763C-4D62-BC28-189B797C4401}">
      <text>
        <r>
          <rPr>
            <sz val="9"/>
            <color indexed="81"/>
            <rFont val="Segoe UI"/>
            <family val="2"/>
          </rPr>
          <t xml:space="preserve">1-Orgão
2-Liberação Acesso
3-Evento Lotação
</t>
        </r>
      </text>
    </comment>
    <comment ref="D51" authorId="1" shapeId="0" xr:uid="{15D72FC7-F631-4BDF-9468-7BBD9983B1A3}">
      <text>
        <r>
          <rPr>
            <sz val="9"/>
            <color indexed="81"/>
            <rFont val="Segoe UI"/>
            <family val="2"/>
          </rPr>
          <t>1- Código
2- Sigla 
3- Descrição
4- Comando</t>
        </r>
      </text>
    </comment>
    <comment ref="E51" authorId="1" shapeId="0" xr:uid="{937A4D43-A0F9-4003-8185-3222A4ED9833}">
      <text>
        <r>
          <rPr>
            <sz val="9"/>
            <color indexed="81"/>
            <rFont val="Segoe UI"/>
            <family val="2"/>
          </rPr>
          <t xml:space="preserve">1-Orgão
2-Unidade
3-Evento Lotação
</t>
        </r>
      </text>
    </comment>
    <comment ref="D52" authorId="1" shapeId="0" xr:uid="{2309863D-A8AD-4A90-AEEF-A78BAD82456C}">
      <text>
        <r>
          <rPr>
            <sz val="9"/>
            <color indexed="81"/>
            <rFont val="Segoe UI"/>
            <family val="2"/>
          </rPr>
          <t>1- Código
2- Descrição
3- Setor pai
4- Comando</t>
        </r>
      </text>
    </comment>
    <comment ref="E52" authorId="1" shapeId="0" xr:uid="{5CD70B95-78F3-4BD1-B307-29D22A140336}">
      <text>
        <r>
          <rPr>
            <sz val="9"/>
            <color indexed="81"/>
            <rFont val="Segoe UI"/>
            <family val="2"/>
          </rPr>
          <t>1-Servidor
2-Unidade
3-SEAP
4-Perfil Manopla</t>
        </r>
      </text>
    </comment>
    <comment ref="D53" authorId="1" shapeId="0" xr:uid="{4FA81E9E-E152-4F2D-8828-58C4D3F6D47E}">
      <text>
        <r>
          <rPr>
            <sz val="9"/>
            <color indexed="81"/>
            <rFont val="Segoe UI"/>
            <family val="2"/>
          </rPr>
          <t>01 - Órgão
02 - Unidade
03 - Nome
04 - Data Inicio
05 - Data Fim
06 - Registro Atividade
07 - Atividade
08 - Situação Execução
09 - Produto
10 - Matricula
11 - Complexidade
12 - Meta atividade
13 - Status Aprovação
14 - Meta Realizada
15 - % Execução
16 - Cor
17 - Regime de Trabalho
18-Chefia Imediata
19 - Comando
20 - Mensagem</t>
        </r>
      </text>
    </comment>
    <comment ref="E53" authorId="1" shapeId="0" xr:uid="{37E21969-AEFD-436C-9662-96D1704CB979}">
      <text>
        <r>
          <rPr>
            <sz val="9"/>
            <color indexed="81"/>
            <rFont val="Segoe UI"/>
            <family val="2"/>
          </rPr>
          <t>1 - Servidor
2 - Vínculo Atividade x Servidor
3 - Execução Atividade
4 - Atividade
5 - Regime de trabalho</t>
        </r>
      </text>
    </comment>
    <comment ref="D54" authorId="1" shapeId="0" xr:uid="{BBB9CC29-3D51-4BBC-BD04-49404260393D}">
      <text>
        <r>
          <rPr>
            <sz val="9"/>
            <color indexed="81"/>
            <rFont val="Segoe UI"/>
            <family val="2"/>
          </rPr>
          <t>01 - Servidor
02 - Atividade Vinculada
03 - Comando
04 - Mensagem</t>
        </r>
      </text>
    </comment>
    <comment ref="E54" authorId="1" shapeId="0" xr:uid="{8C3BA376-342F-4A0B-A732-BABFBD77E576}">
      <text>
        <r>
          <rPr>
            <sz val="9"/>
            <color indexed="81"/>
            <rFont val="Segoe UI"/>
            <family val="2"/>
          </rPr>
          <t>1 -Plano de atividade</t>
        </r>
      </text>
    </comment>
    <comment ref="D55" authorId="1" shapeId="0" xr:uid="{403B06D6-1ABE-46E8-B065-D1E60096643D}">
      <text>
        <r>
          <rPr>
            <sz val="9"/>
            <color indexed="81"/>
            <rFont val="Segoe UI"/>
            <family val="2"/>
          </rPr>
          <t>01 - Registro Atividade
02 - Produto
03 - Atividade
04 - Nome
05 - Matricula
06 - Complexidade
07 - Meta (unidade)
08 - Data Inicial
09 - Data Final
10 - Situação
11 - Status Aprovação
12 - Meta Realizada
13 - % Execução
14 - Regime de Trabalho
15 - Comando
16 - Mensagem</t>
        </r>
      </text>
    </comment>
    <comment ref="E55" authorId="1" shapeId="0" xr:uid="{0DC34945-B244-4FBE-BDB7-0E5754918B56}">
      <text>
        <r>
          <rPr>
            <sz val="9"/>
            <color indexed="81"/>
            <rFont val="Segoe UI"/>
            <family val="2"/>
          </rPr>
          <t>1 - Vínculo Atividade x Servidor
2 - Execução Atividade
3 - Atividade
4 - Regime de trabalho</t>
        </r>
      </text>
    </comment>
    <comment ref="D56" authorId="1" shapeId="0" xr:uid="{00000000-0006-0000-0100-000042000000}">
      <text>
        <r>
          <rPr>
            <sz val="9"/>
            <color indexed="81"/>
            <rFont val="Segoe UI"/>
            <family val="2"/>
          </rPr>
          <t xml:space="preserve">01 - Código
02 - Servidor
03 - Situação Execução
04 - Data
05 - Produto
06 - Atividade
07 - Complexidade
08 - Esforço Minimo
09 - Nota
10 - Comando
11 - Mensagem
</t>
        </r>
      </text>
    </comment>
    <comment ref="E56" authorId="1" shapeId="0" xr:uid="{00000000-0006-0000-0100-000043000000}">
      <text>
        <r>
          <rPr>
            <sz val="9"/>
            <color indexed="81"/>
            <rFont val="Segoe UI"/>
            <family val="2"/>
          </rPr>
          <t>1 - Servidor
2 - Vínculo Atividade x Servidor
3 - Execução Atividade
4 - Atividade
5 - Produto</t>
        </r>
      </text>
    </comment>
    <comment ref="D57" authorId="1" shapeId="0" xr:uid="{00000000-0006-0000-0100-000044000000}">
      <text>
        <r>
          <rPr>
            <sz val="9"/>
            <color indexed="81"/>
            <rFont val="Segoe UI"/>
            <family val="2"/>
          </rPr>
          <t>1 - Codigo
2 - Comando
3 - Mensagem</t>
        </r>
      </text>
    </comment>
    <comment ref="E57" authorId="1" shapeId="0" xr:uid="{00000000-0006-0000-0100-000045000000}">
      <text>
        <r>
          <rPr>
            <sz val="9"/>
            <color indexed="81"/>
            <rFont val="Segoe UI"/>
            <family val="2"/>
          </rPr>
          <t>1 - Vínculo Atividade x Servidor</t>
        </r>
      </text>
    </comment>
    <comment ref="D58" authorId="1" shapeId="0" xr:uid="{00000000-0006-0000-0100-000046000000}">
      <text>
        <r>
          <rPr>
            <sz val="9"/>
            <color indexed="81"/>
            <rFont val="Segoe UI"/>
            <family val="2"/>
          </rPr>
          <t>1 - Execução
2 - Arquivo
2 - Comando
3 - Mensagem</t>
        </r>
      </text>
    </comment>
    <comment ref="E58" authorId="1" shapeId="0" xr:uid="{00000000-0006-0000-0100-000047000000}">
      <text>
        <r>
          <rPr>
            <sz val="9"/>
            <color indexed="81"/>
            <rFont val="Segoe UI"/>
            <family val="2"/>
          </rPr>
          <t>1 - Execução atividade</t>
        </r>
      </text>
    </comment>
    <comment ref="D59" authorId="1" shapeId="0" xr:uid="{00000000-0006-0000-0100-000048000000}">
      <text>
        <r>
          <rPr>
            <sz val="9"/>
            <color indexed="81"/>
            <rFont val="Segoe UI"/>
            <family val="2"/>
          </rPr>
          <t>1 - Execução
2 - Arquivo
2 - Comando
3 - Mensagem</t>
        </r>
      </text>
    </comment>
    <comment ref="E59" authorId="1" shapeId="0" xr:uid="{00000000-0006-0000-0100-000049000000}">
      <text>
        <r>
          <rPr>
            <sz val="9"/>
            <color indexed="81"/>
            <rFont val="Segoe UI"/>
            <family val="2"/>
          </rPr>
          <t>1 - Execução atividade</t>
        </r>
      </text>
    </comment>
    <comment ref="D62" authorId="1" shapeId="0" xr:uid="{397AB9CD-30E3-4733-AFDE-10E138B97743}">
      <text>
        <r>
          <rPr>
            <sz val="9"/>
            <color indexed="81"/>
            <rFont val="Segoe UI"/>
            <family val="2"/>
          </rPr>
          <t xml:space="preserve">1 - Código
2 - Orgão
3 - Unidade Lotação
4 - Nome
5 - Matricula
6 - Carga horária
7 - Produto
8 - Atividade
9 - OBS
10 - Complexidade
11 - Meta
12 - Data inicio
13 - Data Fim
14 - Registro de Atividade
15 - Arquivo
16 - Regime de trabalho
17 - Comando
18 - Mensagem
</t>
        </r>
      </text>
    </comment>
    <comment ref="E62" authorId="1" shapeId="0" xr:uid="{3AE3B593-11EC-4BA7-BAD4-DE9F7536DBED}">
      <text>
        <r>
          <rPr>
            <sz val="9"/>
            <color indexed="81"/>
            <rFont val="Segoe UI"/>
            <family val="2"/>
          </rPr>
          <t>1 - Vínculo Atividade x Servidor
2 - Servidor
3 - Órgão
4 - Unidade
5 - Atividade
6 - Produto</t>
        </r>
      </text>
    </comment>
    <comment ref="D63" authorId="1" shapeId="0" xr:uid="{650CA85D-5E66-48DD-AE42-C3188498BD32}">
      <text>
        <r>
          <rPr>
            <sz val="9"/>
            <color indexed="81"/>
            <rFont val="Segoe UI"/>
            <family val="2"/>
          </rPr>
          <t>1 - Produto
2 - Atividade
3 - Categoria
4 - Comando</t>
        </r>
      </text>
    </comment>
    <comment ref="E63" authorId="1" shapeId="0" xr:uid="{54391C56-EB4C-497D-BFC6-4820BA4F10DF}">
      <text>
        <r>
          <rPr>
            <sz val="9"/>
            <color indexed="81"/>
            <rFont val="Segoe UI"/>
            <family val="2"/>
          </rPr>
          <t>1 - Atividade
2 - Produto</t>
        </r>
      </text>
    </comment>
    <comment ref="D64" authorId="1" shapeId="0" xr:uid="{00000000-0006-0000-0100-00004C000000}">
      <text>
        <r>
          <rPr>
            <sz val="9"/>
            <color indexed="81"/>
            <rFont val="Segoe UI"/>
            <family val="2"/>
          </rPr>
          <t>1 - Código
2 - Descrição
3 - Status
4 - Padrão
5 - Comando</t>
        </r>
      </text>
    </comment>
    <comment ref="E64" authorId="1" shapeId="0" xr:uid="{00000000-0006-0000-0100-00004D000000}">
      <text>
        <r>
          <rPr>
            <sz val="9"/>
            <color indexed="81"/>
            <rFont val="Segoe UI"/>
            <family val="2"/>
          </rPr>
          <t>1 - Atividade</t>
        </r>
      </text>
    </comment>
    <comment ref="D65" authorId="1" shapeId="0" xr:uid="{1866FD99-2A7C-4617-98F5-B493D4CD5A7B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65" authorId="1" shapeId="0" xr:uid="{B267F4EC-3B4B-45AC-92EE-6C9A2ECC6542}">
      <text>
        <r>
          <rPr>
            <sz val="9"/>
            <color indexed="81"/>
            <rFont val="Segoe UI"/>
            <family val="2"/>
          </rPr>
          <t>1 - Complexidade</t>
        </r>
      </text>
    </comment>
    <comment ref="D66" authorId="1" shapeId="0" xr:uid="{734E6060-4035-490E-B05F-318EFEDD707E}">
      <text>
        <r>
          <rPr>
            <sz val="9"/>
            <color indexed="81"/>
            <rFont val="Segoe UI"/>
            <family val="2"/>
          </rPr>
          <t>01 - Código
02 - OBS
03 - Complexidade
04 - Meta
05 - Data inicio
06 - Data Fim
07 - Arquivo
08 - Regime de trabalho
09 - Email
10 - Código Notificação
11 - Descrição Notificação
12 - Usuário
13 - Data Início
14 - Data Fim
15 - Título
16 - Tipo
17 - Status
18 - CMD
19 - MSG</t>
        </r>
      </text>
    </comment>
    <comment ref="E66" authorId="1" shapeId="0" xr:uid="{8BEB541E-29D3-49F7-87BB-1C55DCDA8E3D}">
      <text>
        <r>
          <rPr>
            <sz val="9"/>
            <color indexed="81"/>
            <rFont val="Segoe UI"/>
            <family val="2"/>
          </rPr>
          <t>1 - Vínculo Atividade x Servidor
2 - Servidor
3 - Notificação</t>
        </r>
      </text>
    </comment>
    <comment ref="D67" authorId="1" shapeId="0" xr:uid="{BB2F8705-2E23-4173-9DC2-7C674DA32071}">
      <text>
        <r>
          <rPr>
            <sz val="9"/>
            <color indexed="81"/>
            <rFont val="Segoe UI"/>
            <family val="2"/>
          </rPr>
          <t xml:space="preserve">1 - Código
2 - Orgão
3 - Unidade Lotação
4 - Nome
5 - Matricula
6 - Carga horária
7 - Produto
8 - Atividade
9 - OBS
10 - Complexidade
11 - Meta
12 - Data inicio
13 - Data Fim
14 - Registro de atividade
15 - Arquivo
16 - Regime de trabalho
</t>
        </r>
      </text>
    </comment>
    <comment ref="E67" authorId="1" shapeId="0" xr:uid="{21EEC68E-3664-4272-812D-2BC14F1B8A20}">
      <text>
        <r>
          <rPr>
            <sz val="9"/>
            <color indexed="81"/>
            <rFont val="Segoe UI"/>
            <family val="2"/>
          </rPr>
          <t>1 - Vínculo Atividade x Servidor
2 - Servidor
3 - Órgão
4 - Unidade
5 - Atividade
6 - Produto</t>
        </r>
      </text>
    </comment>
    <comment ref="D70" authorId="1" shapeId="0" xr:uid="{13F78B8C-8F8C-4F13-B8A5-AA09E537CD96}">
      <text>
        <r>
          <rPr>
            <sz val="9"/>
            <color indexed="81"/>
            <rFont val="Segoe UI"/>
            <family val="2"/>
          </rPr>
          <t>1- Código
2- Descrição Unidade 
3- Servidor
4- Órgão
5- Tipo Evento
6- Comando</t>
        </r>
      </text>
    </comment>
    <comment ref="E70" authorId="1" shapeId="0" xr:uid="{CC28E499-F64E-44E9-9992-D2732F6F18F5}">
      <text>
        <r>
          <rPr>
            <sz val="10"/>
            <rFont val="Arial"/>
            <family val="2"/>
          </rPr>
          <t>1 - Unidade
2 - Servidor
3 - Órgão</t>
        </r>
      </text>
    </comment>
    <comment ref="D71" authorId="1" shapeId="0" xr:uid="{00000000-0006-0000-0100-000052000000}">
      <text>
        <r>
          <rPr>
            <sz val="9"/>
            <color indexed="81"/>
            <rFont val="Segoe UI"/>
            <family val="2"/>
          </rPr>
          <t>01 - Código
02 - Meta Realizada
03 - % Execucao
04 - Situacao
05 - Status
06 - Data final
07 - Descrição
08 - Arquivo
09 - Chefia no momento do andamento</t>
        </r>
      </text>
    </comment>
    <comment ref="E71" authorId="1" shapeId="0" xr:uid="{00000000-0006-0000-0100-000053000000}">
      <text>
        <r>
          <rPr>
            <sz val="9"/>
            <color indexed="81"/>
            <rFont val="Segoe UI"/>
            <family val="2"/>
          </rPr>
          <t>1 - Execução Atividade
2 - Situação Execução
3 - Status Execução</t>
        </r>
      </text>
    </comment>
    <comment ref="D72" authorId="1" shapeId="0" xr:uid="{FA2FFAD6-9219-4BE2-9166-97DB04182992}">
      <text>
        <r>
          <rPr>
            <sz val="9"/>
            <color indexed="81"/>
            <rFont val="Segoe UI"/>
            <family val="2"/>
          </rPr>
          <t xml:space="preserve">01 - Código
02 - Servidor
03 - Matricula
04 - Órgão
05 - Unidade
06 - Situação
07 - Atividade
08 - Data inicio
09 - Data fim
10 - Registro atividade
11 - Produto
12 - Atividade
13 - Complexidade
14 - Meta (Unidade)
15 - Situação Execução
16 - Status Execução
17 - Meta Realizada
18 - % Execução
19 - Chefia imediata
20 - Cor
21 - Regime de Trabalho
22 - Comando
23 - Mensagem
</t>
        </r>
      </text>
    </comment>
    <comment ref="E72" authorId="1" shapeId="0" xr:uid="{742513E9-62EF-4A9D-9537-E2DC2E547333}">
      <text>
        <r>
          <rPr>
            <sz val="9"/>
            <color indexed="81"/>
            <rFont val="Segoe UI"/>
            <family val="2"/>
          </rPr>
          <t>1 - Execução Atividade
2 - Situação Execução
3 - Status Execução
4 - Servidor
5 - Vínculo Servidor e Atividade
6 - Atividade
7 - Órgão
8 - Unidade
9 - Chefia Imediata</t>
        </r>
      </text>
    </comment>
    <comment ref="D73" authorId="1" shapeId="0" xr:uid="{3A28271C-548F-4D21-8ABC-7C262A3C1188}">
      <text>
        <r>
          <rPr>
            <sz val="9"/>
            <color indexed="81"/>
            <rFont val="Segoe UI"/>
            <family val="2"/>
          </rPr>
          <t>1 - Código
2 - Descrição
3 - Usuário
4 - Comando</t>
        </r>
      </text>
    </comment>
    <comment ref="E73" authorId="1" shapeId="0" xr:uid="{40CCFCF2-7414-411A-96BA-FD0425E2FF27}">
      <text>
        <r>
          <rPr>
            <sz val="9"/>
            <color indexed="81"/>
            <rFont val="Segoe UI"/>
            <family val="2"/>
          </rPr>
          <t>1 - Execução Atividade
2 - Usuário</t>
        </r>
      </text>
    </comment>
    <comment ref="D74" authorId="1" shapeId="0" xr:uid="{F7E2E24D-B8FE-423F-8CA7-2122D8DFB41D}">
      <text>
        <r>
          <rPr>
            <sz val="9"/>
            <color indexed="81"/>
            <rFont val="Segoe UI"/>
            <family val="2"/>
          </rPr>
          <t xml:space="preserve">01 - Órgão
02 - Unidade
03 - Data inicio
04 - Data fim
05 - Registro atividade
06 - Produto
07 - Atividade
08 - Complexidade
09 - Meta (Unidade)
10 - Situação Execução
10 - Status Execução
11 - Meta Realizada
12 - % Execução
13 - Chefia imediata
14 - Cor
15 - Regime de Trabalho
16 - Comando
17 - Mensagem
</t>
        </r>
      </text>
    </comment>
    <comment ref="E74" authorId="1" shapeId="0" xr:uid="{064C9045-441C-4918-B1C6-8666AB389692}">
      <text>
        <r>
          <rPr>
            <sz val="9"/>
            <color indexed="81"/>
            <rFont val="Segoe UI"/>
            <family val="2"/>
          </rPr>
          <t xml:space="preserve">1 - Execução Atividade
2 - Situação Execução
3 - Status Execução
4 - Vínculo Servidor e Atividade
5 - Atividade
</t>
        </r>
      </text>
    </comment>
    <comment ref="D75" authorId="1" shapeId="0" xr:uid="{00000000-0006-0000-0100-000058000000}">
      <text>
        <r>
          <rPr>
            <sz val="9"/>
            <color indexed="81"/>
            <rFont val="Segoe UI"/>
            <family val="2"/>
          </rPr>
          <t>01 - Codigo
02 - Comando
03 - Mensagem</t>
        </r>
      </text>
    </comment>
    <comment ref="E75" authorId="1" shapeId="0" xr:uid="{00000000-0006-0000-0100-000059000000}">
      <text>
        <r>
          <rPr>
            <sz val="9"/>
            <color indexed="81"/>
            <rFont val="Segoe UI"/>
            <family val="2"/>
          </rPr>
          <t>1 - Execução Atividade
2 - Vínculo Atividade e Servidor</t>
        </r>
      </text>
    </comment>
    <comment ref="D78" authorId="1" shapeId="0" xr:uid="{4EE7E909-2662-4767-BB48-C28A9AA181F0}">
      <text>
        <r>
          <rPr>
            <sz val="9"/>
            <color indexed="81"/>
            <rFont val="Segoe UI"/>
            <family val="2"/>
          </rPr>
          <t>01 - Código
02 - Meta Realizada
03 - % Execucao
04 - Situacao
05 - Status
06 - Data final
07 - Descrição
08 - Arquivo
09 - Data
10 - Usuário
11 - Chefia momento execução</t>
        </r>
      </text>
    </comment>
    <comment ref="E78" authorId="1" shapeId="0" xr:uid="{719C9C22-3852-4913-9DDC-4925F133F16A}">
      <text>
        <r>
          <rPr>
            <sz val="9"/>
            <color indexed="81"/>
            <rFont val="Segoe UI"/>
            <family val="2"/>
          </rPr>
          <t>1 - Execução Atividade
2 - Situação Execução
3 - Status Execução</t>
        </r>
      </text>
    </comment>
    <comment ref="D79" authorId="1" shapeId="0" xr:uid="{00000000-0006-0000-0100-00005A000000}">
      <text>
        <r>
          <rPr>
            <sz val="9"/>
            <color indexed="81"/>
            <rFont val="Segoe UI"/>
            <family val="2"/>
          </rPr>
          <t xml:space="preserve">01 - Código
02 - Meta realizada
03 - %Execução
04 - Data Final
05 - Situação
06 - Descrição
07 - Arquivo
08 - Código Histórico
09 - Servidor Histórico
10 - Situação Execução Histórico
11 - Data Histórico
12 - Produto Histórico
13 - Atividade Histórico
14 - Complexidade Histórico
15 - Esforço Minimo Histórico
16 - Nota Histórico
17 - Email
18 - Regime de Trabalho
19 - Email
20 - Chefia responsável no momento do andamento
21 - Código Notificação
22 - Descrição Notificação
23 - Usuário
24 - Data Início
25 - Data Fim
26 - Título
27 - Tipo
28 - Status
29 - CMD
30 - MSG
</t>
        </r>
      </text>
    </comment>
    <comment ref="E79" authorId="1" shapeId="0" xr:uid="{00000000-0006-0000-0100-00005B000000}">
      <text>
        <r>
          <rPr>
            <sz val="9"/>
            <color indexed="81"/>
            <rFont val="Segoe UI"/>
            <family val="2"/>
          </rPr>
          <t>1 - Execução Atividade
2 - Situação Execução
3 - Status Execução
4 - Histórico Movimentação
5 - Chefia Imediata
6 - Auditoria Execução Atividade
7 - Notificações</t>
        </r>
      </text>
    </comment>
    <comment ref="D80" authorId="1" shapeId="0" xr:uid="{00000000-0006-0000-0100-00005C000000}">
      <text>
        <r>
          <rPr>
            <sz val="9"/>
            <color indexed="81"/>
            <rFont val="Segoe UI"/>
            <family val="2"/>
          </rPr>
          <t>01 - Código
02 - Órgão
03 - Unidade
04 - Servidor
05 - Matricula
06 - Carga Horária
07 - Produto
08 - Atividade
09 - Observação
10 - Complexidade
11 - Meta
12 - Data Inicial
13 - Data Final
14 - Meta realizada
15 - %Execução
16 - Data Final Execução
17 - Situação
18 - Descrição
19 - Arquivo
20 - Regime de Trabalho
21 - Categoria do Produto</t>
        </r>
      </text>
    </comment>
    <comment ref="E80" authorId="1" shapeId="0" xr:uid="{00000000-0006-0000-0100-00005D000000}">
      <text>
        <r>
          <rPr>
            <sz val="9"/>
            <color indexed="81"/>
            <rFont val="Segoe UI"/>
            <family val="2"/>
          </rPr>
          <t>1 - Execução Atividade
2 - Situação Execução
3 - Status Execução
4 - Servidor
5 - Regime de Trabalho
6 - Vínculo Servidor e Atividade
7 - Atividade
8 - Produto
9 - Órgão
10 - Unidade</t>
        </r>
      </text>
    </comment>
    <comment ref="D83" authorId="1" shapeId="0" xr:uid="{C188D0B0-5D08-4CA2-AB19-FD8AE4549ABE}">
      <text>
        <r>
          <rPr>
            <sz val="9"/>
            <color indexed="81"/>
            <rFont val="Segoe UI"/>
            <family val="2"/>
          </rPr>
          <t>01 - Código
02 - Órgão
03 - Unidade
04 - Servidor
05 - Matricula
06 - Carga Horária
07 - Produto
08 - Atividade
09 - Observação
10 - Complexidade
11 - Situação
12 - Meta
13 - Data Inicial
14 - Data Final
15 - Status
16 - Descrição
17 - Arquivo
18 - Regime de Trabalho</t>
        </r>
      </text>
    </comment>
    <comment ref="E83" authorId="1" shapeId="0" xr:uid="{90F5A239-949B-4B8E-BCAE-3AD8353E0438}">
      <text>
        <r>
          <rPr>
            <sz val="9"/>
            <color indexed="81"/>
            <rFont val="Segoe UI"/>
            <family val="2"/>
          </rPr>
          <t>1 - Execução Atividade
2 - Situação Execução
3 - Status Execução
4 - Servidor
5 - Regime de Trabalho
6 - Vínculo Servidor e Atividade
7 - Atividade
8 - Produto
9 - Órgão
10 - Unidade</t>
        </r>
      </text>
    </comment>
    <comment ref="D84" authorId="1" shapeId="0" xr:uid="{62FB810B-D0F4-415E-B3BB-480BCDE7CFCF}">
      <text>
        <r>
          <rPr>
            <sz val="9"/>
            <color indexed="81"/>
            <rFont val="Segoe UI"/>
            <family val="2"/>
          </rPr>
          <t xml:space="preserve">01 - Código
02 - Complexidade
03 - Meta
04 - Data Final
05 - Status
06 - Descrição
07 - Arquivo
08 - Código Notificação
09 - Descrição Notificação
10 - Usuário
11 - Data Início
12 - Data Fim
13 - Título
14 - Tipo
15 - Status
16 - CMD
17 - MSG
</t>
        </r>
      </text>
    </comment>
    <comment ref="E84" authorId="1" shapeId="0" xr:uid="{F2213C7E-8DDB-48D2-9549-A974BAAADE01}">
      <text>
        <r>
          <rPr>
            <sz val="9"/>
            <color indexed="81"/>
            <rFont val="Segoe UI"/>
            <family val="2"/>
          </rPr>
          <t>1 - Execução Atividade
2 - Situação Execução
3 - Status Execução
4 - Histórico Movimentação
5 - Auditoria Execução Atividade
6 - Notificações</t>
        </r>
      </text>
    </comment>
    <comment ref="D85" authorId="1" shapeId="0" xr:uid="{996C8F3E-50A0-4BB5-8BB2-24D3E7A84B92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85" authorId="1" shapeId="0" xr:uid="{99D90BF2-2C4E-4913-AF60-1EFD4716143D}">
      <text>
        <r>
          <rPr>
            <sz val="9"/>
            <color indexed="81"/>
            <rFont val="Segoe UI"/>
            <family val="2"/>
          </rPr>
          <t>1 - Status Execução Atividade</t>
        </r>
      </text>
    </comment>
    <comment ref="D88" authorId="1" shapeId="0" xr:uid="{284D738A-F1B2-4FB0-A5AE-D1F6B080D13C}">
      <text>
        <r>
          <rPr>
            <sz val="9"/>
            <color indexed="81"/>
            <rFont val="Segoe UI"/>
            <family val="2"/>
          </rPr>
          <t>01 - Código
02 - Servidor
03 - Data inicio
04 - Data fim
05 - Total Pontos
06 - Total Atividades
07 - Média Pontos
08 - Valor PPS
09 - Data Aprovação</t>
        </r>
      </text>
    </comment>
    <comment ref="E88" authorId="1" shapeId="0" xr:uid="{AE49F81A-6D98-41FC-862B-C708D89E1033}">
      <text>
        <r>
          <rPr>
            <sz val="9"/>
            <color indexed="81"/>
            <rFont val="Segoe UI"/>
            <family val="2"/>
          </rPr>
          <t xml:space="preserve">1 - Metrica Produtividade
</t>
        </r>
      </text>
    </comment>
    <comment ref="D89" authorId="1" shapeId="0" xr:uid="{51B3158F-DDAC-4F8B-8289-162C14B020C7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89" authorId="1" shapeId="0" xr:uid="{FE865EB3-AD88-40C0-AF9C-A1EC11985717}">
      <text>
        <r>
          <rPr>
            <sz val="9"/>
            <color indexed="81"/>
            <rFont val="Segoe UI"/>
            <family val="2"/>
          </rPr>
          <t>1 - Métrica Produtividade</t>
        </r>
      </text>
    </comment>
    <comment ref="D90" authorId="1" shapeId="0" xr:uid="{E6E212DC-7038-41FF-953F-1D42854507C7}">
      <text>
        <r>
          <rPr>
            <sz val="9"/>
            <color indexed="81"/>
            <rFont val="Segoe UI"/>
            <family val="2"/>
          </rPr>
          <t xml:space="preserve">1 - Nome 
2 - Matricula
3 - Data inicio
4 - Data final
5 - % execução
6 - Registro de trabalho
7 - Registro de atividade
8 - Produto
9 - Atividade
10- Meta (unidade)
11 - Situação 
12 - Status 
13 - Órgão
14 - Unidade de Lotação
15 - Meta Realizada 
16 - % execução
17 - Pontos
18 - Total de pontos
19 - Qtd Atividades
20 - Media de pontos
21 - Pontos produtividade
22 - Comando
23 - Mensagem
</t>
        </r>
      </text>
    </comment>
    <comment ref="E90" authorId="1" shapeId="0" xr:uid="{EF914CA5-7750-4BB5-B724-4C62ABF2CD32}">
      <text>
        <r>
          <rPr>
            <sz val="9"/>
            <color indexed="81"/>
            <rFont val="Segoe UI"/>
            <family val="2"/>
          </rPr>
          <t>1 - Vinculo Atividade x Servidor
2 - Execução
3 - Órgão
4 - Unidade
5 - Produto
6 - Atividade</t>
        </r>
      </text>
    </comment>
    <comment ref="D91" authorId="1" shapeId="0" xr:uid="{DFD32D65-5C6B-4ACD-B70B-F4E59AE51D2E}">
      <text>
        <r>
          <rPr>
            <sz val="9"/>
            <color indexed="81"/>
            <rFont val="Segoe UI"/>
            <family val="2"/>
          </rPr>
          <t xml:space="preserve">01 - Código
02 - Servidor
03 - Data inicio
04 - Data fim
05 - Total Pontos
06 - Total Atividades
07 - Média Pontos
08 - Valor PPS
09 - Data Aprovação
10 - Usuário
11 - Senha
12 - Comando
13 - Mensagem
</t>
        </r>
      </text>
    </comment>
    <comment ref="E91" authorId="1" shapeId="0" xr:uid="{EA522B19-FBDB-48FD-A3AF-039588BEDE01}">
      <text>
        <r>
          <rPr>
            <sz val="9"/>
            <color indexed="81"/>
            <rFont val="Segoe UI"/>
            <family val="2"/>
          </rPr>
          <t>1 - Métrica Produtividade</t>
        </r>
      </text>
    </comment>
    <comment ref="D92" authorId="1" shapeId="0" xr:uid="{F9F3E9E5-1602-4BE2-8805-AC4F7858CBD9}">
      <text>
        <r>
          <rPr>
            <sz val="9"/>
            <color indexed="81"/>
            <rFont val="Segoe UI"/>
            <family val="2"/>
          </rPr>
          <t>1 - Código
2 - Órgão
3 - Unidade de Lotação
4 - Servidor
5 - Matricula
6 - Data inicio
7 - Data fim
8 - Total de Pontos
9 - Quantidade de Atividades
10 - PPS
11 - Assinatura Digital (com Data e hora da assinatura)
12 - Regime de Trabalho
13 - Comando
14 - Mensagem</t>
        </r>
      </text>
    </comment>
    <comment ref="E92" authorId="1" shapeId="0" xr:uid="{A5B9381F-33FA-471A-8089-FAC8CF0B811D}">
      <text>
        <r>
          <rPr>
            <sz val="9"/>
            <color indexed="81"/>
            <rFont val="Segoe UI"/>
            <family val="2"/>
          </rPr>
          <t>1 - Metrica Produtividade
2 - Produto
3 - Unidade</t>
        </r>
      </text>
    </comment>
    <comment ref="D93" authorId="1" shapeId="0" xr:uid="{B9E8346F-7BA2-4F45-A93E-3A57819A015A}">
      <text>
        <r>
          <rPr>
            <sz val="9"/>
            <color indexed="81"/>
            <rFont val="Segoe UI"/>
            <family val="2"/>
          </rPr>
          <t>1 - Código
2 - Órgão
3 - Unidade de Lotação
4 - Servidor
5 - Matricula
6 - Data inicio
7 - Data fim
8 - Total de Pontos
9 - Quantidade de Atividades
10 - PPS
11 - Assinatura Digital (com Data e hora da assinatura)
12 - Regime de Trabalho
13 - Comando
14 - Mensagem</t>
        </r>
      </text>
    </comment>
    <comment ref="E93" authorId="1" shapeId="0" xr:uid="{784A44A8-A77D-4981-9703-1E4F0E00BF09}">
      <text>
        <r>
          <rPr>
            <sz val="9"/>
            <color indexed="81"/>
            <rFont val="Segoe UI"/>
            <family val="2"/>
          </rPr>
          <t>1 - Metrica Produtividade
2 - Produto
3 - Unidade</t>
        </r>
      </text>
    </comment>
    <comment ref="D94" authorId="1" shapeId="0" xr:uid="{2E678988-5985-4C18-B2F4-AB32646121EF}">
      <text>
        <r>
          <rPr>
            <sz val="9"/>
            <color indexed="81"/>
            <rFont val="Segoe UI"/>
            <family val="2"/>
          </rPr>
          <t xml:space="preserve">1 - Orgão
2 - Unidade lotação
3 - Nome 
4 - Registro de trabalho
5 - Data inicio
6 - Data final
7 - Total de dias
8 - % execução
9 - Registro de atividade
10- Produto
11- Atividade
12- Regime de trabalho 
13- Meta (unidade)
14 - Situação 
15 - Status 
16 - Órgão
17 - Unidade de Lotação
18 - Chefia 
19 - Meta Realizada 
20 - % execução
21 - Pontos
22 - Total de pontos 
23 - Qtd Atividades
24 - % produtividade individual
25 - Total de pontos 
26 - qtd atividade
27 - % produtividade individual
28 - Comando
29 - Mensagem
</t>
        </r>
      </text>
    </comment>
    <comment ref="E94" authorId="1" shapeId="0" xr:uid="{0F5E9A6C-F4CA-4BEE-BCDD-8D18C3F64426}">
      <text>
        <r>
          <rPr>
            <sz val="9"/>
            <color indexed="81"/>
            <rFont val="Segoe UI"/>
            <family val="2"/>
          </rPr>
          <t>1 - Vinculo Atividade x Servidor
2 - Execução
3 - Órgão
4 - Unidade
5 - Produto
6 - Atividade</t>
        </r>
      </text>
    </comment>
    <comment ref="D95" authorId="1" shapeId="0" xr:uid="{A319C5EF-D0AD-42BE-BA46-F95F839A4348}">
      <text>
        <r>
          <rPr>
            <sz val="9"/>
            <color indexed="81"/>
            <rFont val="Segoe UI"/>
            <family val="2"/>
          </rPr>
          <t xml:space="preserve">
1 - Orgão
2 - Unidade lotação
3 - Nome 
4 - Regime de trabalho
5 - Data inicio
6 - Data final
7 - Total de dias
8 - % execução
9 - Registro de atividade
10- Produto
11- Atividade
12- Regime de trabalho 
13- Meta (unidade)
14 - Situação 
15 - Status 
16 - Órgão
17 - Unidade de Lotação
18 - Chefia 
19 - Meta Realizada 
20 - % execução
21 - Pontos
22 - Total de pontos 
23 - Qtd Atividades
24 - % produtividade individual
25 - Comando
26 - Mensagem</t>
        </r>
      </text>
    </comment>
    <comment ref="E95" authorId="1" shapeId="0" xr:uid="{FCF57B2F-00F4-461C-9807-894CCF62FC40}">
      <text>
        <r>
          <rPr>
            <sz val="9"/>
            <color indexed="81"/>
            <rFont val="Segoe UI"/>
            <family val="2"/>
          </rPr>
          <t>1 - Vinculo Atividade x Servidor
2 - Execução
3 - Órgão
4 - Unidade
5 - Produto
6 - Atividade</t>
        </r>
      </text>
    </comment>
    <comment ref="D96" authorId="1" shapeId="0" xr:uid="{5E3E79D6-8549-4FF1-84D3-A3EFE4B4450F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96" authorId="1" shapeId="0" xr:uid="{38C241FD-0DD9-456F-B0AF-C8F378BDACF0}">
      <text>
        <r>
          <rPr>
            <sz val="9"/>
            <color indexed="81"/>
            <rFont val="Segoe UI"/>
            <family val="2"/>
          </rPr>
          <t>1 - Métrica Produtividade</t>
        </r>
      </text>
    </comment>
    <comment ref="D97" authorId="1" shapeId="0" xr:uid="{A148D260-A1C1-47F7-9A3F-2A7162C33464}">
      <text>
        <r>
          <rPr>
            <sz val="9"/>
            <color indexed="81"/>
            <rFont val="Segoe UI"/>
            <family val="2"/>
          </rPr>
          <t>1 - Registro Atividade
2 - Produto
3 - Atividade
4 - Regime Trabalho
5 - Meta
6 - Data inicio
7 - Data fim
8 - Situação
9 - Status
10 - Órgão
11 - Unidade
12 - Chefe
13 - Meta Realizada
14 - % Execução
15 - Pontos
16 - CMD
17 - MSG</t>
        </r>
      </text>
    </comment>
    <comment ref="E97" authorId="1" shapeId="0" xr:uid="{E5CA4CB9-0667-428F-AB31-DC04ADB14CBC}">
      <text>
        <r>
          <rPr>
            <sz val="9"/>
            <color indexed="81"/>
            <rFont val="Segoe UI"/>
            <family val="2"/>
          </rPr>
          <t>1 - Vinculo Atividade x Servidor
2 - Execução
3 - Órgão
4 - Unidade
5 - Produto
6 - Atividade</t>
        </r>
      </text>
    </comment>
    <comment ref="D100" authorId="1" shapeId="0" xr:uid="{B5E40DB0-EC44-4EA0-A053-9F42E7429C63}">
      <text>
        <r>
          <rPr>
            <sz val="9"/>
            <color indexed="81"/>
            <rFont val="Segoe UI"/>
            <family val="2"/>
          </rPr>
          <t>1 - Código
2 - Servidor
3 - Orgão
4 - Unidade Lotação
5 - Status
6 - Data inicio
7 - Data Fim
8 - Matricula
9 - Arquivo</t>
        </r>
      </text>
    </comment>
    <comment ref="E100" authorId="1" shapeId="0" xr:uid="{FC9485CC-A5A1-467C-AE68-03D7193DFBC9}">
      <text>
        <r>
          <rPr>
            <sz val="9"/>
            <color indexed="81"/>
            <rFont val="Segoe UI"/>
            <family val="2"/>
          </rPr>
          <t>1-Liberação de acesso</t>
        </r>
      </text>
    </comment>
    <comment ref="D101" authorId="1" shapeId="0" xr:uid="{B30E8327-3383-4DAA-A9D0-AF7DA4FA989D}">
      <text>
        <r>
          <rPr>
            <sz val="9"/>
            <color indexed="81"/>
            <rFont val="Segoe UI"/>
            <family val="2"/>
          </rPr>
          <t>1- Matrícula
2- Vinculo
3- Nome
4- Comando</t>
        </r>
      </text>
    </comment>
    <comment ref="E101" authorId="1" shapeId="0" xr:uid="{432479A6-AF93-45A7-87D4-4646CCB492C9}">
      <text>
        <r>
          <rPr>
            <sz val="9"/>
            <color indexed="81"/>
            <rFont val="Segoe UI"/>
            <family val="2"/>
          </rPr>
          <t>1-Servidor
2-Evento Lotação
3-Plano de Atividade</t>
        </r>
      </text>
    </comment>
    <comment ref="D102" authorId="1" shapeId="0" xr:uid="{C400B85D-EA43-49D3-80FB-24E91D850189}">
      <text>
        <r>
          <rPr>
            <sz val="9"/>
            <color indexed="81"/>
            <rFont val="Segoe UI"/>
            <family val="2"/>
          </rPr>
          <t>1- Código
2- Sigla 
3- Descrição
4- Comando</t>
        </r>
      </text>
    </comment>
    <comment ref="E102" authorId="1" shapeId="0" xr:uid="{9279DA4D-319D-4AAD-BC3B-7CE1F926D3D8}">
      <text>
        <r>
          <rPr>
            <sz val="9"/>
            <color indexed="81"/>
            <rFont val="Segoe UI"/>
            <family val="2"/>
          </rPr>
          <t xml:space="preserve">1-Orgão
2-Plano de Atividade
3-Evento Lotação
</t>
        </r>
      </text>
    </comment>
    <comment ref="D103" authorId="1" shapeId="0" xr:uid="{9A2FA0CA-D65B-4C05-B5C5-21E4BA6F347A}">
      <text>
        <r>
          <rPr>
            <sz val="9"/>
            <color indexed="81"/>
            <rFont val="Segoe UI"/>
            <family val="2"/>
          </rPr>
          <t>1- Código
2- Sigla 
3- Descrição
4- Comando</t>
        </r>
      </text>
    </comment>
    <comment ref="E103" authorId="1" shapeId="0" xr:uid="{CC6A5933-280A-4B3A-8924-509BE45393B0}">
      <text>
        <r>
          <rPr>
            <sz val="9"/>
            <color indexed="81"/>
            <rFont val="Segoe UI"/>
            <family val="2"/>
          </rPr>
          <t>1-Orgão
2-Unidade
3-Evento Lotação
4-Plano de Atividade</t>
        </r>
      </text>
    </comment>
    <comment ref="D104" authorId="1" shapeId="0" xr:uid="{CB21D356-436D-4A4F-A8B8-4145CF9EA4C5}">
      <text>
        <r>
          <rPr>
            <sz val="9"/>
            <color indexed="81"/>
            <rFont val="Segoe UI"/>
            <family val="2"/>
          </rPr>
          <t>1 - Código
2 - Servidor
3 - Orgão
4 - Unidade Lotação
5 - Status
6 - Data inicio
7 - Data Fim
8 - Matricula
9 - Arquivo
10 - Criado Por
11 - Comando
12 - Mensagem</t>
        </r>
      </text>
    </comment>
    <comment ref="E104" authorId="1" shapeId="0" xr:uid="{97D64455-A4A5-4C98-ACC1-6D1028F4EDDD}">
      <text>
        <r>
          <rPr>
            <sz val="9"/>
            <color indexed="81"/>
            <rFont val="Segoe UI"/>
            <family val="2"/>
          </rPr>
          <t>1 - Liberação de acesso
2 - Servidor
3 - Unidade
4 - Orgão</t>
        </r>
      </text>
    </comment>
    <comment ref="D105" authorId="1" shapeId="0" xr:uid="{9A5D2E9B-479C-4B44-A206-DB31267F3BB4}">
      <text>
        <r>
          <rPr>
            <sz val="9"/>
            <color indexed="81"/>
            <rFont val="Segoe UI"/>
            <family val="2"/>
          </rPr>
          <t>1 - Código
2 - Servidor
3 - Orgão
4 - Unidade Lotação
5 - Status
6 - Data inicio
7 - Data Fim
8 - Matricula
9 - Arquivo
10 - Criado Por
11 - Comando
12 - Mensagem</t>
        </r>
      </text>
    </comment>
    <comment ref="E105" authorId="1" shapeId="0" xr:uid="{E82E0762-A241-4A06-8420-3E955EAD21E2}">
      <text>
        <r>
          <rPr>
            <sz val="9"/>
            <color indexed="81"/>
            <rFont val="Segoe UI"/>
            <family val="2"/>
          </rPr>
          <t>1 - Liberação de acesso
2 - Servidor
3 - Unidade
4 - Orgão</t>
        </r>
      </text>
    </comment>
    <comment ref="D106" authorId="1" shapeId="0" xr:uid="{1A56C37E-3863-4082-AAED-12623B771DBC}">
      <text>
        <r>
          <rPr>
            <sz val="9"/>
            <color indexed="81"/>
            <rFont val="Segoe UI"/>
            <family val="2"/>
          </rPr>
          <t>1 - Código
2 - Servidor
3 - Orgão
4 - Unidade Lotação
5 - Status
6 - Data inicio
7 - Data Fim
8 - Matricula
9 - Arquivo
10 - Comando
11 - Mensagem</t>
        </r>
      </text>
    </comment>
    <comment ref="E106" authorId="1" shapeId="0" xr:uid="{DA09CB56-1A3D-4EC3-900E-3A84485ED6E8}">
      <text>
        <r>
          <rPr>
            <sz val="9"/>
            <color indexed="81"/>
            <rFont val="Segoe UI"/>
            <family val="2"/>
          </rPr>
          <t>1 - Liberação de acesso
2 - Servidor
3 - Unidade
4 - Orgão</t>
        </r>
      </text>
    </comment>
    <comment ref="D107" authorId="1" shapeId="0" xr:uid="{B0484FAB-3695-4626-A109-947A9FDC049D}">
      <text>
        <r>
          <rPr>
            <sz val="9"/>
            <color indexed="81"/>
            <rFont val="Segoe UI"/>
            <family val="2"/>
          </rPr>
          <t>1 - Código
2 - Servidor
3 - Orgão
4 - Unidade Lotação
5 - Data inicio
6 - Data Fim
7 - Matricula
8 - Arquivo</t>
        </r>
      </text>
    </comment>
    <comment ref="E107" authorId="1" shapeId="0" xr:uid="{7183E30F-C96D-4489-8947-DF5D08CC512B}">
      <text>
        <r>
          <rPr>
            <sz val="9"/>
            <color indexed="81"/>
            <rFont val="Segoe UI"/>
            <family val="2"/>
          </rPr>
          <t>1 - Liberação de acesso
2 - Servidor
3 - Unidade
4 - Orgão</t>
        </r>
      </text>
    </comment>
    <comment ref="D108" authorId="1" shapeId="0" xr:uid="{9FE5EBA9-BAB9-4CCE-9226-A74FA9BE571E}">
      <text>
        <r>
          <rPr>
            <sz val="9"/>
            <color indexed="81"/>
            <rFont val="Segoe UI"/>
            <family val="2"/>
          </rPr>
          <t>1 - Codigo
2 - Comando
3 - Mensagem</t>
        </r>
      </text>
    </comment>
    <comment ref="E108" authorId="1" shapeId="0" xr:uid="{19F00010-25B7-456D-A1D9-2855DE5C5697}">
      <text>
        <r>
          <rPr>
            <sz val="9"/>
            <color indexed="81"/>
            <rFont val="Segoe UI"/>
            <family val="2"/>
          </rPr>
          <t>1 - Liberação de acesso</t>
        </r>
      </text>
    </comment>
    <comment ref="D111" authorId="1" shapeId="0" xr:uid="{09F2DF9E-02E7-4F06-8457-23E37509B250}">
      <text>
        <r>
          <rPr>
            <sz val="9"/>
            <color indexed="81"/>
            <rFont val="Segoe UI"/>
            <family val="2"/>
          </rPr>
          <t>01 - Código
02 - Nome
03 - Matricula
04 - Registro da atividade
05 - Carga horária
06 - Produto
07 - Atividade
08 - OBS
09 - Complexidade
10 - Meta
11 - Data inicio
12 - Data fim 
13 - Atualizado por historico
14 - Data atualização historico
15 - Situação
16 - Arquivo
17 - Regime de Trabalho
18 - Chefia
19 - Comando
20 - Mensagem</t>
        </r>
      </text>
    </comment>
    <comment ref="E111" authorId="1" shapeId="0" xr:uid="{DB836892-89C1-4BA4-BEAC-2195EFFEE466}">
      <text>
        <r>
          <rPr>
            <sz val="9"/>
            <color indexed="81"/>
            <rFont val="Segoe UI"/>
            <family val="2"/>
          </rPr>
          <t>1 - Servidor
2 - Vínculo Atividade x Servidor
3 - Execução Atividade
4 - Atividade
5 - Produto
6 - Auditoria Execução Atividade</t>
        </r>
      </text>
    </comment>
    <comment ref="D112" authorId="1" shapeId="0" xr:uid="{78D13282-AE68-4763-9DE9-533509A28365}">
      <text>
        <r>
          <rPr>
            <sz val="9"/>
            <color indexed="81"/>
            <rFont val="Segoe UI"/>
            <family val="2"/>
          </rPr>
          <t>1 - Código
2 - Situação
3 - Responsável Cadastro
4 - Comando
5 - Mensagem</t>
        </r>
      </text>
    </comment>
    <comment ref="E112" authorId="1" shapeId="0" xr:uid="{000298C9-374C-4A5B-A242-CA0DD277BC27}">
      <text>
        <r>
          <rPr>
            <sz val="9"/>
            <color indexed="81"/>
            <rFont val="Segoe UI"/>
            <family val="2"/>
          </rPr>
          <t>1 - Vínculo Atividade x Servido
2 - Execução Atividade</t>
        </r>
      </text>
    </comment>
    <comment ref="D113" authorId="1" shapeId="0" xr:uid="{BB764A07-9027-496C-A19E-01597EBF1C1C}">
      <text>
        <r>
          <rPr>
            <sz val="9"/>
            <color indexed="81"/>
            <rFont val="Segoe UI"/>
            <family val="2"/>
          </rPr>
          <t>1 - Código
2 - Situação
3 - Comando
4 - Mensagem</t>
        </r>
      </text>
    </comment>
    <comment ref="E113" authorId="1" shapeId="0" xr:uid="{C7F4F919-FEFA-43C0-9449-40ED8E118A2F}">
      <text>
        <r>
          <rPr>
            <sz val="9"/>
            <color indexed="81"/>
            <rFont val="Segoe UI"/>
            <family val="2"/>
          </rPr>
          <t>1 - Execução Atividade
2 - Auditoria Execução Atividade</t>
        </r>
      </text>
    </comment>
    <comment ref="D114" authorId="1" shapeId="0" xr:uid="{470180A0-F0A3-4105-A89D-41BAC9808230}">
      <text>
        <r>
          <rPr>
            <sz val="9"/>
            <color indexed="81"/>
            <rFont val="Segoe UI"/>
            <family val="2"/>
          </rPr>
          <t>1 - Execução
2 - Arquivo
3 - Comando
4 - Mensagem</t>
        </r>
      </text>
    </comment>
    <comment ref="E114" authorId="1" shapeId="0" xr:uid="{AC41213C-2A62-4690-A52A-0FC01C805D5B}">
      <text>
        <r>
          <rPr>
            <sz val="9"/>
            <color indexed="81"/>
            <rFont val="Segoe UI"/>
            <family val="2"/>
          </rPr>
          <t>1 - Execução atividade</t>
        </r>
      </text>
    </comment>
    <comment ref="D115" authorId="1" shapeId="0" xr:uid="{3C4837EE-2738-426B-9222-4DACBDA993C4}">
      <text>
        <r>
          <rPr>
            <sz val="9"/>
            <color indexed="81"/>
            <rFont val="Segoe UI"/>
            <family val="2"/>
          </rPr>
          <t>1 - Execução
2 - Arquivo
3 - Comando
4 - Mensagem</t>
        </r>
      </text>
    </comment>
    <comment ref="E115" authorId="1" shapeId="0" xr:uid="{C097A8E0-568F-475D-8696-A659DAD23C9E}">
      <text>
        <r>
          <rPr>
            <sz val="9"/>
            <color indexed="81"/>
            <rFont val="Segoe UI"/>
            <family val="2"/>
          </rPr>
          <t>1 - Execução atividade</t>
        </r>
      </text>
    </comment>
    <comment ref="D118" authorId="1" shapeId="0" xr:uid="{98CFEBC2-C9B0-4C48-B301-4940929FF1EA}">
      <text>
        <r>
          <rPr>
            <sz val="9"/>
            <color indexed="81"/>
            <rFont val="Segoe UI"/>
            <family val="2"/>
          </rPr>
          <t>01 - Código
02 - Ação
03 - Servidor
04 - Data
05 - Produto
06 - Atividade
07 - Descrição
08 - Comando
09 - Mensagem</t>
        </r>
      </text>
    </comment>
    <comment ref="E118" authorId="1" shapeId="0" xr:uid="{816E5966-7EEA-4764-B864-0C56670712A2}">
      <text>
        <r>
          <rPr>
            <sz val="9"/>
            <color indexed="81"/>
            <rFont val="Segoe UI"/>
            <family val="2"/>
          </rPr>
          <t>1 - Servidor
2 - Atividade
3 - Produto
4 - Auditoria atividade</t>
        </r>
      </text>
    </comment>
    <comment ref="D119" authorId="1" shapeId="0" xr:uid="{DA64E7EE-B9D5-4683-8B29-B63676B6683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119" authorId="1" shapeId="0" xr:uid="{8BCF36B3-A52F-40FA-9E82-F0A63F656AF0}">
      <text>
        <r>
          <rPr>
            <sz val="9"/>
            <color indexed="81"/>
            <rFont val="Segoe UI"/>
            <family val="2"/>
          </rPr>
          <t>1 - Atividade
2 - Histórico Status</t>
        </r>
      </text>
    </comment>
    <comment ref="D122" authorId="1" shapeId="0" xr:uid="{C96EE55A-5E46-43CA-B65C-7EEE3EF1ADC7}">
      <text>
        <r>
          <rPr>
            <sz val="9"/>
            <color indexed="81"/>
            <rFont val="Segoe UI"/>
            <family val="2"/>
          </rPr>
          <t xml:space="preserve">
1 -QTD por Raia
2 -Nº RA
3-Produto
4-Atividade
5-Data Final
6-CMD
7-MSG
</t>
        </r>
      </text>
    </comment>
    <comment ref="E122" authorId="1" shapeId="0" xr:uid="{BFFA24DA-37D2-4DB6-B899-EFF2120F471B}">
      <text>
        <r>
          <rPr>
            <sz val="9"/>
            <color indexed="81"/>
            <rFont val="Segoe UI"/>
            <family val="2"/>
          </rPr>
          <t xml:space="preserve">1 - Servidor
2 - Vínculo Atividade x Servidor
3 - Execução Atividade
4 - Atividade
5 - Regime de trabalho
</t>
        </r>
      </text>
    </comment>
    <comment ref="D125" authorId="1" shapeId="0" xr:uid="{3A5E7DA8-5FCB-42B3-97F0-2C3724072E5E}">
      <text>
        <r>
          <rPr>
            <sz val="9"/>
            <color indexed="81"/>
            <rFont val="Segoe UI"/>
            <family val="2"/>
          </rPr>
          <t>01 - Código
02 - Nome
03 - Matricula
04 - Registro da atividade
05 - Carga horária
06 - Produto
07 - Atividade
08 - OBS
09 - Complexidade
10 - Meta
11 - Data inicio
12 - Data fim 
13 - Atualizado por historico
14 - Data atualização historico
15 - Situação
16 - Arquivo
17 - Regime de Trabalho
18 - Comando
19 - Mensagem</t>
        </r>
      </text>
    </comment>
    <comment ref="E125" authorId="1" shapeId="0" xr:uid="{B4940C45-BD7B-40CF-B7AC-127A0ACA0AF7}">
      <text>
        <r>
          <rPr>
            <sz val="9"/>
            <color indexed="81"/>
            <rFont val="Segoe UI"/>
            <family val="2"/>
          </rPr>
          <t xml:space="preserve">1 - Servidor
2 - Vínculo Atividade x Servidor
3 - Execução Atividade
4 - Atividade
5 - Produto
6 - Auditoria Execução Atividade
</t>
        </r>
      </text>
    </comment>
    <comment ref="D126" authorId="1" shapeId="0" xr:uid="{4C1D0E81-C83F-4CAF-BCB8-26C682E840D3}">
      <text>
        <r>
          <rPr>
            <sz val="9"/>
            <color indexed="81"/>
            <rFont val="Segoe UI"/>
            <family val="2"/>
          </rPr>
          <t xml:space="preserve">
1 -Orgão 
2 -Unidade 
3 -Nome do servidor 
4 -Matricula 
5 -Carga horária 
6 -produto 
7 -atividade 
8 -Regime de trabalho 
9 -Complexidade
10-Meta
11-Data inicial 
12-Data final 
13-Etiquetas 
14-Descrição 
15-anexo 
16-CMD
17-MSG
</t>
        </r>
      </text>
    </comment>
    <comment ref="E126" authorId="1" shapeId="0" xr:uid="{46B38530-02A9-4B77-8EC6-9D8251C0AA4D}">
      <text>
        <r>
          <rPr>
            <sz val="9"/>
            <color indexed="81"/>
            <rFont val="Segoe UI"/>
            <family val="2"/>
          </rPr>
          <t xml:space="preserve">1 - Servidor
2 - Vínculo Atividade x Servidor
3 - Execução Atividade
4 - Atividade
5 - Regime de trabalho
</t>
        </r>
      </text>
    </comment>
    <comment ref="D127" authorId="1" shapeId="0" xr:uid="{38709BCD-BFFA-4FF7-99B1-F9204FB4AC81}">
      <text>
        <r>
          <rPr>
            <sz val="9"/>
            <color indexed="81"/>
            <rFont val="Segoe UI"/>
            <family val="2"/>
          </rPr>
          <t xml:space="preserve">
1 -Orgão 
2 -Unidade 
3 -Nome do servidor 
4 -Matricula 
5 -Carga horária 
6 -produto 
7 -atividade 
8 -Regime de trabalho 
9 -Complexidade
10-Meta
11-Data inicial 
12-Data final 
13-Etiquetas 
14-Descrição 
15-anexo 
16 - Código Notificação
17 - Descrição Notificação
18 - Usuário
19 - Data Início
20 - Data Fim
21 - Título
22 - Tipo
23 - Status
24 - CMD
25 - MSG
</t>
        </r>
      </text>
    </comment>
    <comment ref="E127" authorId="1" shapeId="0" xr:uid="{E3066E00-A1BD-4478-B415-EC8FA538AE19}">
      <text>
        <r>
          <rPr>
            <sz val="9"/>
            <color indexed="81"/>
            <rFont val="Segoe UI"/>
            <family val="2"/>
          </rPr>
          <t>1 - Servidor
2 - Vínculo Atividade x Servidor
3 - Execução Atividade
4 - Atividade
5 - Regime de trabalho
6 - Notificação</t>
        </r>
      </text>
    </comment>
    <comment ref="D128" authorId="1" shapeId="0" xr:uid="{20BF47FA-8FD2-451D-BD59-77C1804B702B}">
      <text>
        <r>
          <rPr>
            <sz val="9"/>
            <color indexed="81"/>
            <rFont val="Segoe UI"/>
            <family val="2"/>
          </rPr>
          <t xml:space="preserve">
1 -Orgão 
2 -Unidade 
3 -Nome do servidor 
4 -Matricula 
5 -Carga horária 
6 -produto 
7 -atividade 
8 -Regime de trabalho 
9 -Complexidade
10-Meta
11-Data inicial 
12-Data final 
13-Etiquetas 
14-Descrição 
15-anexo 
</t>
        </r>
      </text>
    </comment>
    <comment ref="E128" authorId="1" shapeId="0" xr:uid="{03E5E7F6-3AD1-4CE1-885C-EB4BACEBFF42}">
      <text>
        <r>
          <rPr>
            <sz val="9"/>
            <color indexed="81"/>
            <rFont val="Segoe UI"/>
            <family val="2"/>
          </rPr>
          <t xml:space="preserve">1 - Servidor
2 - Vínculo Atividade x Servidor
3 - Execução Atividade
4 - Atividade
5 - Regime de trabalho
</t>
        </r>
      </text>
    </comment>
    <comment ref="D129" authorId="1" shapeId="0" xr:uid="{8577A4F4-E486-44E9-9DDC-E8946B5B064A}">
      <text>
        <r>
          <rPr>
            <sz val="9"/>
            <color indexed="81"/>
            <rFont val="Segoe UI"/>
            <family val="2"/>
          </rPr>
          <t xml:space="preserve">
1 -Orgão 
2 -Unidade 
3 -Nome do servidor 
4 -Matricula 
5 -Carga horária 
6 -produto 
7 -atividade 
8 -Regime de trabalho 
9 -Complexidade
10-Meta
11-Data inicial 
12-Data final 
13-Etiquetas 
14-Descrição 
15-anexo 
16-CMD
17-MSG
</t>
        </r>
      </text>
    </comment>
    <comment ref="E129" authorId="1" shapeId="0" xr:uid="{5DD7EC1F-C85A-434E-ACC3-35B2C7FE9D1D}">
      <text>
        <r>
          <rPr>
            <sz val="9"/>
            <color indexed="81"/>
            <rFont val="Segoe UI"/>
            <family val="2"/>
          </rPr>
          <t xml:space="preserve">1 - Servidor
2 - Vínculo Atividade x Servidor
3 - Execução Atividade
4 - Atividade
5 - Regime de trabalho
</t>
        </r>
      </text>
    </comment>
    <comment ref="D130" authorId="1" shapeId="0" xr:uid="{66A87FC4-C52B-44B5-89EE-929E0FABAEF4}">
      <text>
        <r>
          <rPr>
            <sz val="9"/>
            <color indexed="81"/>
            <rFont val="Segoe UI"/>
            <family val="2"/>
          </rPr>
          <t>1 - Codigo
2 - Comando
3 - Mensagem</t>
        </r>
      </text>
    </comment>
    <comment ref="E130" authorId="1" shapeId="0" xr:uid="{6CC98108-E485-498A-84C1-0BD68D524BBC}">
      <text>
        <r>
          <rPr>
            <sz val="9"/>
            <color indexed="81"/>
            <rFont val="Segoe UI"/>
            <family val="2"/>
          </rPr>
          <t xml:space="preserve">
1-Vínculo Atividade x Servidor</t>
        </r>
      </text>
    </comment>
    <comment ref="D131" authorId="1" shapeId="0" xr:uid="{B36E9A45-A49E-4E2D-8D1C-D22334DD2B92}">
      <text>
        <r>
          <rPr>
            <sz val="9"/>
            <color indexed="81"/>
            <rFont val="Segoe UI"/>
            <family val="2"/>
          </rPr>
          <t xml:space="preserve">
1 -Orgão 
2 -Unidade 
3 -Nome do servidor 
4 -Matricula 
5 -Carga horária 
6 -produto 
7 -atividade 
8 -Regime de trabalho 
9 -Complexidade
10-Meta
11-Data inicial 
12-Data final 
13-Etiquetas 
14-Descrição 
15-anexo 
16-CMD
17-MSG
</t>
        </r>
      </text>
    </comment>
    <comment ref="E131" authorId="1" shapeId="0" xr:uid="{379A935B-F941-44AF-A052-853A867F27DF}">
      <text>
        <r>
          <rPr>
            <sz val="9"/>
            <color indexed="81"/>
            <rFont val="Segoe UI"/>
            <family val="2"/>
          </rPr>
          <t xml:space="preserve">1 - Servidor
2 - Vínculo Atividade x Servidor
3 - Execução Atividade
4 - Atividade
5 - Regime de trabalho
</t>
        </r>
      </text>
    </comment>
    <comment ref="D132" authorId="1" shapeId="0" xr:uid="{513AC407-88B2-491E-B572-16056EEC56D7}">
      <text>
        <r>
          <rPr>
            <sz val="9"/>
            <color indexed="81"/>
            <rFont val="Segoe UI"/>
            <family val="2"/>
          </rPr>
          <t>1 - Situação
2 - Código Notificação
3 - Descrição Notificação
4 - Usuário
5 - Data Início
6 - Data Fim
7 - Título
8 - Tipo
9 - Status
10 - CMD
11 - MSG</t>
        </r>
      </text>
    </comment>
    <comment ref="E132" authorId="1" shapeId="0" xr:uid="{2097979A-84B1-4053-BB25-5AA5C3FA5788}">
      <text>
        <r>
          <rPr>
            <sz val="9"/>
            <color indexed="81"/>
            <rFont val="Segoe UI"/>
            <family val="2"/>
          </rPr>
          <t xml:space="preserve">
1-Vínculo Atividade x Servidor
2 - Notificação</t>
        </r>
      </text>
    </comment>
    <comment ref="D136" authorId="1" shapeId="0" xr:uid="{A64E8EFC-5629-4B0A-95F0-DCF344A44077}">
      <text>
        <r>
          <rPr>
            <sz val="9"/>
            <color indexed="81"/>
            <rFont val="Segoe UI"/>
            <family val="2"/>
          </rPr>
          <t>1 - Token
2 - Comando
3 - Mensagem</t>
        </r>
      </text>
    </comment>
    <comment ref="E136" authorId="1" shapeId="0" xr:uid="{6DEBF1C2-0579-4D3B-859F-40989867F598}">
      <text>
        <r>
          <rPr>
            <sz val="9"/>
            <color indexed="81"/>
            <rFont val="Segoe UI"/>
            <family val="2"/>
          </rPr>
          <t>1 - Usuário
2 - Perfil</t>
        </r>
      </text>
    </comment>
    <comment ref="D139" authorId="2" shapeId="0" xr:uid="{A24FD5ED-F885-4199-A1DA-FDA4A9BC8CE7}">
      <text>
        <r>
          <rPr>
            <sz val="9"/>
            <color indexed="81"/>
            <rFont val="Segoe UI"/>
            <family val="2"/>
          </rPr>
          <t>1 - Código
2 - Descrição
3 - Usuário
4 - Data Início
5 - Data Fim
6 - Título
7 - Tipo
8 - Exclusão Lógica
9 - Status</t>
        </r>
      </text>
    </comment>
    <comment ref="E139" authorId="2" shapeId="0" xr:uid="{C9AC058B-F9FD-4C55-96B9-2D53A9561FEB}">
      <text>
        <r>
          <rPr>
            <sz val="9"/>
            <color indexed="81"/>
            <rFont val="Segoe UI"/>
            <family val="2"/>
          </rPr>
          <t>1 - Notificação
2 - Usuário
3 - Tipo</t>
        </r>
      </text>
    </comment>
    <comment ref="D140" authorId="3" shapeId="0" xr:uid="{1A605564-D8B5-4215-939A-4D3F7E23CEFE}">
      <text>
        <r>
          <rPr>
            <sz val="9"/>
            <color indexed="81"/>
            <rFont val="Segoe UI"/>
            <family val="2"/>
          </rPr>
          <t xml:space="preserve">1. Título
2. CMD
3. Mensagem
</t>
        </r>
      </text>
    </comment>
    <comment ref="E140" authorId="3" shapeId="0" xr:uid="{44C2A292-ADC6-4DE4-9F32-CDD75DDCB0A8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141" authorId="3" shapeId="0" xr:uid="{36CE92D3-32BC-4B8B-B907-B956C0F7434B}">
      <text>
        <r>
          <rPr>
            <sz val="9"/>
            <color indexed="81"/>
            <rFont val="Segoe UI"/>
            <family val="2"/>
          </rPr>
          <t xml:space="preserve">1. Título
2. Descrição
3. CMD
4. Mensagem
</t>
        </r>
      </text>
    </comment>
    <comment ref="E141" authorId="3" shapeId="0" xr:uid="{6A02C6CD-03BD-41E8-816F-84737DF5920B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142" authorId="3" shapeId="0" xr:uid="{013BAB6C-5DDF-4DBE-AD0A-041BD85DA198}">
      <text>
        <r>
          <rPr>
            <sz val="9"/>
            <color indexed="81"/>
            <rFont val="Segoe UI"/>
            <family val="2"/>
          </rPr>
          <t>1. notificação
2. qtd
3. CMD
4. Mensagem</t>
        </r>
      </text>
    </comment>
    <comment ref="E142" authorId="3" shapeId="0" xr:uid="{8D89EDE1-6FF2-4581-8E52-5600CB54F0A4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143" authorId="3" shapeId="0" xr:uid="{BEA408D8-732F-4CA9-A2AC-6AACAAECA0D8}">
      <text>
        <r>
          <rPr>
            <sz val="9"/>
            <color indexed="81"/>
            <rFont val="Segoe UI"/>
            <family val="2"/>
          </rPr>
          <t>1. Status notificação
2. CMD
3. Mensagem</t>
        </r>
      </text>
    </comment>
    <comment ref="E143" authorId="3" shapeId="0" xr:uid="{6C5D1E7D-DB0C-4262-B992-06284881C3F6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144" authorId="3" shapeId="0" xr:uid="{BB651D3A-FD6C-47F9-8077-ABB6DD467EC6}">
      <text>
        <r>
          <rPr>
            <sz val="9"/>
            <color indexed="81"/>
            <rFont val="Segoe UI"/>
            <family val="2"/>
          </rPr>
          <t>1. Orgão 
2. Setor 
3. Usuario 
4. Descrição 
5. data inicio 
6. data fim status
7.CMD 
8.MSG</t>
        </r>
      </text>
    </comment>
    <comment ref="E144" authorId="3" shapeId="0" xr:uid="{F15DEB0A-951B-45BD-9600-30CFE92700AC}">
      <text>
        <r>
          <rPr>
            <sz val="9"/>
            <color indexed="81"/>
            <rFont val="Segoe UI"/>
            <family val="2"/>
          </rPr>
          <t>1. Notificação
2.Orgão
3.Setor
4-Usuario</t>
        </r>
      </text>
    </comment>
    <comment ref="D145" authorId="3" shapeId="0" xr:uid="{5E740A3E-8489-43CA-92E4-EAB7D8C3C3C7}">
      <text>
        <r>
          <rPr>
            <sz val="9"/>
            <color indexed="81"/>
            <rFont val="Segoe UI"/>
            <family val="2"/>
          </rPr>
          <t>1. Título
2. Descrição
3. CMD
4. Mensagem</t>
        </r>
      </text>
    </comment>
    <comment ref="E145" authorId="3" shapeId="0" xr:uid="{A4891852-6145-4F55-A7B7-F99A1FF5D8B1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146" authorId="3" shapeId="0" xr:uid="{6D2A2A98-6691-4569-9C09-A7132C0B40BE}">
      <text>
        <r>
          <rPr>
            <sz val="9"/>
            <color indexed="81"/>
            <rFont val="Segoe UI"/>
            <family val="2"/>
          </rPr>
          <t>1. Situação
2. CMD
3. Mensagem</t>
        </r>
      </text>
    </comment>
    <comment ref="E146" authorId="3" shapeId="0" xr:uid="{47F603AB-A65D-4D30-8F33-9D0174D19AFA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147" authorId="3" shapeId="0" xr:uid="{19B50343-9854-4111-9CC2-967EE58AF7D6}">
      <text>
        <r>
          <rPr>
            <sz val="9"/>
            <color indexed="81"/>
            <rFont val="Segoe UI"/>
            <family val="2"/>
          </rPr>
          <t>1. Data
2. Forma 
3.Visto por
4.Data visualização
5.CMD
6.Mensagem</t>
        </r>
      </text>
    </comment>
    <comment ref="E147" authorId="3" shapeId="0" xr:uid="{8C4AA415-BA33-4BBD-BDB1-54C72DA0A372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148" authorId="3" shapeId="0" xr:uid="{B12AE955-A3E0-463C-A1C6-50F2FD4A2D11}">
      <text>
        <r>
          <rPr>
            <sz val="9"/>
            <color indexed="81"/>
            <rFont val="Segoe UI"/>
            <family val="2"/>
          </rPr>
          <t>1. Título
2. Descrição
3. CMD
4. Mensagem</t>
        </r>
      </text>
    </comment>
    <comment ref="E148" authorId="3" shapeId="0" xr:uid="{C3451B57-F706-411F-84EF-5FAECCD81888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149" authorId="3" shapeId="0" xr:uid="{D96E9000-6EBF-44B0-BA6C-12F38A6D0F23}">
      <text>
        <r>
          <rPr>
            <sz val="9"/>
            <color indexed="81"/>
            <rFont val="Segoe UI"/>
            <family val="2"/>
          </rPr>
          <t>1. Título
2. Descrição
3. CMD
4. Mensagem</t>
        </r>
      </text>
    </comment>
    <comment ref="E149" authorId="3" shapeId="0" xr:uid="{D222B491-7C32-4B4E-BF0F-77A74648996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152" authorId="1" shapeId="0" xr:uid="{87BEFEA1-5AAF-4F40-B1EE-8A711A2B02D8}">
      <text>
        <r>
          <rPr>
            <sz val="9"/>
            <color indexed="81"/>
            <rFont val="Segoe UI"/>
            <family val="2"/>
          </rPr>
          <t xml:space="preserve">1 - Orgão
2 - Unidade lotação
3 - Nome 
4 - Registro de trabalho
5 - Data inicio
6 - Data final
7 - Total de dias
8 - % execução
9 - Matricula 
10 - Nome
11 - Total de pontos 
12- Qtd de atividade 
13- % produtividade individual
14 - %produtividade equipe
15 - Comando
16 - Mensagem
</t>
        </r>
      </text>
    </comment>
    <comment ref="E152" authorId="1" shapeId="0" xr:uid="{22344A6A-02AF-4C03-8FEF-DE45A1D4B866}">
      <text>
        <r>
          <rPr>
            <sz val="9"/>
            <color indexed="81"/>
            <rFont val="Segoe UI"/>
            <family val="2"/>
          </rPr>
          <t xml:space="preserve">1 - Vinculo Atividade x Servidor
2 - Execução
3 - Órgão
4 - Unidade
</t>
        </r>
      </text>
    </comment>
    <comment ref="D153" authorId="1" shapeId="0" xr:uid="{62B3403E-FE2F-4984-95EC-9AAD87BC0FEC}">
      <text>
        <r>
          <rPr>
            <sz val="9"/>
            <color indexed="81"/>
            <rFont val="Segoe UI"/>
            <family val="2"/>
          </rPr>
          <t>1 - Matricula
2 - Órgão
3 - Unidade
4 - Data inicio
5 - Data fim
6 - Total de Dias
7 - Total de Pontos
8 - Qtde Atividade
9 - % Produtividade
10 - CMD
11 - MSG</t>
        </r>
      </text>
    </comment>
    <comment ref="E153" authorId="1" shapeId="0" xr:uid="{A63A4653-01CA-4E0F-9F4F-AB1B82EB6985}">
      <text>
        <r>
          <rPr>
            <sz val="9"/>
            <color indexed="81"/>
            <rFont val="Segoe UI"/>
            <family val="2"/>
          </rPr>
          <t>1 - Vinculo Atividade x Servidor
2 - Execução
3 - Órgão
4 - Unidade</t>
        </r>
      </text>
    </comment>
    <comment ref="D156" authorId="1" shapeId="0" xr:uid="{9FF2B111-17C1-4E71-891A-7D9BB711DB97}">
      <text>
        <r>
          <rPr>
            <sz val="9"/>
            <color indexed="81"/>
            <rFont val="Segoe UI"/>
            <family val="2"/>
          </rPr>
          <t xml:space="preserve">01 - Código
02 - Servidor
03 - Data inicio
04 - Data fim
05 - Total Pontos
06 - Total Atividades
07 - Média Pontos
08 - Valor PPS
09 - Data Aprovação
10 - Usuário
11 - Senha
12 - Comando
13 - Mensagem
</t>
        </r>
      </text>
    </comment>
    <comment ref="E156" authorId="1" shapeId="0" xr:uid="{CE7868F1-0F10-4AF8-823D-9E3A693DA416}">
      <text>
        <r>
          <rPr>
            <sz val="9"/>
            <color indexed="81"/>
            <rFont val="Segoe UI"/>
            <family val="2"/>
          </rPr>
          <t>1 - Métrica Produtividade</t>
        </r>
      </text>
    </comment>
    <comment ref="D157" authorId="1" shapeId="0" xr:uid="{4BB791BF-DF3D-48D9-ADEB-A38BAFC3A9FD}">
      <text>
        <r>
          <rPr>
            <sz val="9"/>
            <color indexed="81"/>
            <rFont val="Segoe UI"/>
            <family val="2"/>
          </rPr>
          <t>1- Data e hora impressão
2 - Orgão
3 - Unidade
4 - Nome
5 - Matricula
6 - Período
7 - Regime de Trabalho
8 - % Prod Individual
9 - % Prod Final
10 - Pilar de Produtividade
11 - Assinatura
12 - Data e hora assinatura
13 - CMD
14 - MSG</t>
        </r>
      </text>
    </comment>
    <comment ref="E157" authorId="1" shapeId="0" xr:uid="{1DCAE094-6991-41F4-AD67-0F01473598E3}">
      <text>
        <r>
          <rPr>
            <sz val="9"/>
            <color indexed="81"/>
            <rFont val="Segoe UI"/>
            <family val="2"/>
          </rPr>
          <t>1 - Metrica Produtividade
2 - Órgão
3 - Unidade</t>
        </r>
      </text>
    </comment>
    <comment ref="D158" authorId="1" shapeId="0" xr:uid="{AD7ED88C-0901-441B-975B-CCE58C5A1BAA}">
      <text>
        <r>
          <rPr>
            <sz val="9"/>
            <color indexed="81"/>
            <rFont val="Segoe UI"/>
            <family val="2"/>
          </rPr>
          <t>1- Data e hora impressão
2 - Orgão
3 - Unidade
4 - Nome
5 - Matricula
6 - Período
7 - Regime de Trabalho
8 - % Prod Individual Chefia
9 - % Prod Equipe
10 - % Prod Chefia
11 - % Prod Individual
12 - Prod Final
13 - Pilar de Produtividade
14 - Assinatura
15 - Data e hora assinatura
16 - CMD
17 - MSG</t>
        </r>
      </text>
    </comment>
    <comment ref="E158" authorId="1" shapeId="0" xr:uid="{5A14B473-DB7C-4BAE-BFAB-CB5774A88C72}">
      <text>
        <r>
          <rPr>
            <sz val="9"/>
            <color indexed="81"/>
            <rFont val="Segoe UI"/>
            <family val="2"/>
          </rPr>
          <t>1 - Metrica Produtividade
2 - Órgão
3 - Unidade</t>
        </r>
      </text>
    </comment>
    <comment ref="D159" authorId="1" shapeId="0" xr:uid="{2A222C2A-B910-4C79-954B-F5D4906FCA21}">
      <text>
        <r>
          <rPr>
            <sz val="9"/>
            <color indexed="81"/>
            <rFont val="Segoe UI"/>
            <family val="2"/>
          </rPr>
          <t xml:space="preserve">1 - Orgão
2 - Unidade 
1 - Nome 
2 - Regime de trabalho
3 - Data inicio
4 - Data final
5 - Total de dias 
2 - % Execução
6 - Perfil - Chefia 
7 - Perfil - Liderado
8 - Perfil - Total de dias 
9 - % Produtividade
10- % Produtividade equipe 
11 - % Produtividade da chefia 
12 - % produtividade individual liderado
13 - % Produtividade final 
14 - Pilar 
15 - Comando
16 - Mensagem
</t>
        </r>
      </text>
    </comment>
    <comment ref="E159" authorId="1" shapeId="0" xr:uid="{FF472C73-25EF-4E3D-BA43-B17A16EEBD82}">
      <text>
        <r>
          <rPr>
            <sz val="9"/>
            <color indexed="81"/>
            <rFont val="Segoe UI"/>
            <family val="2"/>
          </rPr>
          <t>1 - Vinculo Atividade x Servidor
2 - Execução
3 - Órgão
4 - Unidade
5 - Produto
6 - Atividade</t>
        </r>
      </text>
    </comment>
    <comment ref="D160" authorId="1" shapeId="0" xr:uid="{687B7C45-D50D-43DF-830D-E8F12A0E8ACE}">
      <text>
        <r>
          <rPr>
            <b/>
            <sz val="9"/>
            <color indexed="81"/>
            <rFont val="Segoe UI"/>
            <family val="2"/>
          </rPr>
          <t>cleriston alvarenga:</t>
        </r>
        <r>
          <rPr>
            <sz val="9"/>
            <color indexed="81"/>
            <rFont val="Segoe UI"/>
            <family val="2"/>
          </rPr>
          <t xml:space="preserve">
1 - Orgão
2 - Unidade 
1 - Nome 
2 - Regime de trabalho
3 - Data inicio
4 - Data final
5 - Total de dias 
2 - liderado 
6 - Total de dias 
7 - % produtividade individual liderado
10- % Produtividade final 
11 - Pilar 
12 - Comando
13 - Mensagem</t>
        </r>
      </text>
    </comment>
    <comment ref="E160" authorId="1" shapeId="0" xr:uid="{A57FF561-4D47-4F2B-97B7-216A5270610D}">
      <text>
        <r>
          <rPr>
            <sz val="9"/>
            <color indexed="81"/>
            <rFont val="Segoe UI"/>
            <family val="2"/>
          </rPr>
          <t>1 - Vinculo Atividade x Servidor
2 - Execução
3 - Órgão
4 - Unidade
5 - Produto
6 - Atividade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 xr:uid="{00000000-0006-0000-0400-000002000000}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<sst xmlns="http://schemas.openxmlformats.org/spreadsheetml/2006/main" count="653" uniqueCount="320">
  <si>
    <t>Identificação da Contagem</t>
  </si>
  <si>
    <t>Empresa</t>
  </si>
  <si>
    <t>Secretaria de Estado de Planejamento e Gestão de Mato Grosso</t>
  </si>
  <si>
    <t>PF IFPUG</t>
  </si>
  <si>
    <t>Aplicação</t>
  </si>
  <si>
    <t>SIEP</t>
  </si>
  <si>
    <t>PF Local do EM</t>
  </si>
  <si>
    <t>Tipo de Contagem</t>
  </si>
  <si>
    <t>Projeto de Desenvolvimento</t>
  </si>
  <si>
    <t>PF Local da FS</t>
  </si>
  <si>
    <t>Nível de Detalhe</t>
  </si>
  <si>
    <t>Estimativa (NESMA)</t>
  </si>
  <si>
    <t>Tecnologia</t>
  </si>
  <si>
    <t>Java</t>
  </si>
  <si>
    <t>Projeto</t>
  </si>
  <si>
    <t>Desenvolvimento do produto SIEP</t>
  </si>
  <si>
    <t>Versão do Guia</t>
  </si>
  <si>
    <t>4.3.1</t>
  </si>
  <si>
    <t>Responsável</t>
  </si>
  <si>
    <t>Ana Karyna da Silva Teixeira</t>
  </si>
  <si>
    <t>Criação</t>
  </si>
  <si>
    <t>Revisor</t>
  </si>
  <si>
    <t>Jonathas</t>
  </si>
  <si>
    <t>Revisão</t>
  </si>
  <si>
    <t>Propósito da Contagem</t>
  </si>
  <si>
    <r>
      <t xml:space="preserve">Criar medição funcional para o produto de software </t>
    </r>
    <r>
      <rPr>
        <b/>
        <sz val="10"/>
        <color rgb="FF0070C0"/>
        <rFont val="Franklin Gothic Medium"/>
        <family val="2"/>
      </rPr>
      <t>SIEP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 Com destaque: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</si>
  <si>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Escopo da Contagem</t>
  </si>
  <si>
    <t>Documentação Utilizada na Análise</t>
  </si>
  <si>
    <t>História de Usuário - US01 - Regime de trabalho
História de Usuário - US02 - Consulta Atividade
História de Usuário - US03 - Manter Atividade
História de Usuário - US06 - Consultar Acompanhamento do Plano de Atividade
História de Usuário - US07 - Manter Vinculo Atividade
História de Usuário - US08 - Consulta da Execução do Plano de  Atividade
História de Usuário - US09 - Manter Execução do Plano de  Atividade
História de Usuário - US10 - Manter Aprovação do Vinculo da Atividade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</si>
  <si>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</si>
  <si>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</si>
  <si>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</si>
  <si>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</si>
  <si>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</si>
  <si>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</si>
  <si>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</si>
  <si>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</si>
  <si>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</si>
  <si>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</si>
  <si>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</si>
  <si>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</si>
  <si>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Observações</t>
  </si>
  <si>
    <t>Login</t>
  </si>
  <si>
    <t>Alteração Logo e Nome Sistema</t>
  </si>
  <si>
    <t>CE</t>
  </si>
  <si>
    <t>COS</t>
  </si>
  <si>
    <t>Login - Atribuição automática perfil</t>
  </si>
  <si>
    <t>EE</t>
  </si>
  <si>
    <t>I</t>
  </si>
  <si>
    <t>História de Usuário - US01 - Regime de trabalho</t>
  </si>
  <si>
    <t>Regime de trabalho do Servidor</t>
  </si>
  <si>
    <t>AIE</t>
  </si>
  <si>
    <t>Fronteira externa com o SEAP.</t>
  </si>
  <si>
    <t>Chefia Imediata SEAP</t>
  </si>
  <si>
    <t>Combo-box Órgão</t>
  </si>
  <si>
    <t>A50</t>
  </si>
  <si>
    <t>Combo-box Unidade Lotação</t>
  </si>
  <si>
    <t>Combo-box Servidor</t>
  </si>
  <si>
    <t>Combo-box Regime de Trabalho</t>
  </si>
  <si>
    <t>Presencial / Teletrabalho</t>
  </si>
  <si>
    <t>Regime de Trabalho - Listar</t>
  </si>
  <si>
    <t>Regime de Trabalho - Exportar</t>
  </si>
  <si>
    <t>História de Usuário - US02 - Consulta Atividade</t>
  </si>
  <si>
    <t>Atividade</t>
  </si>
  <si>
    <t>ALI</t>
  </si>
  <si>
    <t>Chefia Imediata Manopla</t>
  </si>
  <si>
    <t>Combo-box Produto</t>
  </si>
  <si>
    <t>Combo-box Status Atividade</t>
  </si>
  <si>
    <t>E</t>
  </si>
  <si>
    <t>Aprovado / Reprovado / Pendente Administrador</t>
  </si>
  <si>
    <t>Atividade - Listar</t>
  </si>
  <si>
    <t>Atividade - Exportar</t>
  </si>
  <si>
    <t>Atividade - Ativar / Inativar</t>
  </si>
  <si>
    <t>Atividade - Historico de Status</t>
  </si>
  <si>
    <t>Atividade - Excluir</t>
  </si>
  <si>
    <t>História de Usuário - US03 - Manter Atividade</t>
  </si>
  <si>
    <t>Auditoria Atividade</t>
  </si>
  <si>
    <t>Parametro</t>
  </si>
  <si>
    <t>Produto</t>
  </si>
  <si>
    <t>Atividade - Adicionar</t>
  </si>
  <si>
    <t>Atividade - Editar</t>
  </si>
  <si>
    <t>Editar - Consulta Implicita</t>
  </si>
  <si>
    <t>Atividade - Visualizar</t>
  </si>
  <si>
    <t>História de Usuário - US06 - Consultar Acompanhamento do Plano de Atividade</t>
  </si>
  <si>
    <t>Plano de Atividade - Vínculo Atividade x Servidor</t>
  </si>
  <si>
    <t>Servidor</t>
  </si>
  <si>
    <t>Registro atividade - busca</t>
  </si>
  <si>
    <t>Atividade vinculada - busca</t>
  </si>
  <si>
    <t>Servidor - Permite Edição</t>
  </si>
  <si>
    <t>Combo-box Situação Execução</t>
  </si>
  <si>
    <t>Presencial / Teletrabalho Híbrido / Teletrabalho Integal</t>
  </si>
  <si>
    <t>Acompanhamento do Plano de Atividade - Listar</t>
  </si>
  <si>
    <t>SE</t>
  </si>
  <si>
    <t>Exibir Observação da atividade vinculada</t>
  </si>
  <si>
    <t>Acompanhamento do Plano de Atividade - Exportar</t>
  </si>
  <si>
    <t>Acompanhamento do Atividade - Historico de Movimentação</t>
  </si>
  <si>
    <t>Acompanhamento do Atividade - Excluir</t>
  </si>
  <si>
    <t>Acompanhamento do Atividade - Modal Arquivos</t>
  </si>
  <si>
    <t>Acompanhamento do Atividade - upload Arquivos</t>
  </si>
  <si>
    <t>História de Usuário - US07 - Manter Vinculo Atividade</t>
  </si>
  <si>
    <t>Vínculo Atividade x Servidor - Adicionar</t>
  </si>
  <si>
    <t>Combo-box Atividade</t>
  </si>
  <si>
    <t>Combo-box Complexidade</t>
  </si>
  <si>
    <t>Não iniciado / Em andamento / Solicita Ajuste</t>
  </si>
  <si>
    <t>Vínculo Atividade x Servidor - Editar</t>
  </si>
  <si>
    <t>Consulta Implicita</t>
  </si>
  <si>
    <t>História de Usuário - US08 - Consulta da Execução do Plano de  Atividade</t>
  </si>
  <si>
    <t>Combo-box Unidade Lotação do Usuário</t>
  </si>
  <si>
    <t>Execução Atividade</t>
  </si>
  <si>
    <t>Execução Atividade - Listar</t>
  </si>
  <si>
    <t>Combo-box Atividade Executada</t>
  </si>
  <si>
    <t>Execução Atividade - Exportar</t>
  </si>
  <si>
    <t>Excluir</t>
  </si>
  <si>
    <t>História de Usuário - US09 - Manter Execução do Plano de  Atividade</t>
  </si>
  <si>
    <t>Auditoria Execução Atividade</t>
  </si>
  <si>
    <t>Execução do Plano de Atividade - Andamento</t>
  </si>
  <si>
    <t>Execução do Plano de Atividade - Consulta implicita</t>
  </si>
  <si>
    <t>História de Usuário - US10 - Manter Aprovação do Vinculo da Atividade</t>
  </si>
  <si>
    <t>Aprovação do Vinculo de atividade - Consulta Implicita</t>
  </si>
  <si>
    <t>Aprovação da Execução da Atividade - Salvar</t>
  </si>
  <si>
    <t>Combo-box Status</t>
  </si>
  <si>
    <t>Aprovada / Reprovada / Inativada (esse combo não havia sido cobrado na sprint 01)</t>
  </si>
  <si>
    <t>História de Usuário - US11 - Consultar Metricas</t>
  </si>
  <si>
    <t>Métrica Produtividade</t>
  </si>
  <si>
    <t>Combo-box % Execução</t>
  </si>
  <si>
    <t>Consultar Métricas</t>
  </si>
  <si>
    <t>Assinar</t>
  </si>
  <si>
    <t>Relatório PPS</t>
  </si>
  <si>
    <t>Relatório PPS - Exportar em PDF</t>
  </si>
  <si>
    <t>História de Usuário - US15 - Manter Liberação de Acesso</t>
  </si>
  <si>
    <t>Liberação de acesso</t>
  </si>
  <si>
    <t>Liberação de acesso - Incluir</t>
  </si>
  <si>
    <t>Liberação de acesso - Listar</t>
  </si>
  <si>
    <t>Liberação de acesso - Editar</t>
  </si>
  <si>
    <t>Editar liberação de acesso - Consulta implicita</t>
  </si>
  <si>
    <t>Liberação de acesso - Excluir</t>
  </si>
  <si>
    <t xml:space="preserve">História de Usuário - US16 - Manter Historico Acompanhamento do Plano de Atividade </t>
  </si>
  <si>
    <t>Execução Atividade - Consulta</t>
  </si>
  <si>
    <t>Vínculo Atividade - Excluir</t>
  </si>
  <si>
    <t>Vínculo Atividade - Reativar</t>
  </si>
  <si>
    <t>Acompanhamento do Plano Atividade - Modal Arquivos</t>
  </si>
  <si>
    <t>Acompanhamento do Plano Atividade - upload Arquivos</t>
  </si>
  <si>
    <t>Nome esta upload mas a ação é download, feito dessa forma para seguir a nomenclatura do requisito</t>
  </si>
  <si>
    <t>História de Usuário - US17 – Manter Histórico da Atividade</t>
  </si>
  <si>
    <t>Atividade - Consulta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</si>
  <si>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</si>
  <si>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</si>
  <si>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</si>
  <si>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</si>
  <si>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</si>
  <si>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</si>
  <si>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</si>
  <si>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</si>
  <si>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</si>
  <si>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</si>
  <si>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</si>
  <si>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</si>
  <si>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</si>
  <si>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</si>
  <si>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</si>
  <si>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</si>
  <si>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</si>
  <si>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</si>
  <si>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Alteração (50%) de função desenvolvida ou já alterada pela empresa atual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</si>
  <si>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</si>
  <si>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</si>
  <si>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</si>
  <si>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</si>
  <si>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</si>
  <si>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</si>
  <si>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</si>
  <si>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</si>
  <si>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</si>
  <si>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</si>
  <si>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</si>
  <si>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</si>
  <si>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</si>
  <si>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</si>
  <si>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</si>
  <si>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</si>
  <si>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</si>
  <si>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</si>
  <si>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</si>
  <si>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</si>
  <si>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</si>
  <si>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</si>
  <si>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</si>
  <si>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</si>
  <si>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</si>
  <si>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</si>
  <si>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</si>
  <si>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</si>
  <si>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</si>
  <si>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</si>
  <si>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</si>
  <si>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</si>
  <si>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</si>
  <si>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</si>
  <si>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</si>
  <si>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</si>
  <si>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</si>
  <si>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</si>
  <si>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</si>
  <si>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</si>
  <si>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</si>
  <si>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</si>
  <si>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</si>
  <si>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</si>
  <si>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</si>
  <si>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</si>
  <si>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</si>
  <si>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</si>
  <si>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</si>
  <si>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</si>
  <si>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</si>
  <si>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</si>
  <si>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</si>
  <si>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</si>
  <si>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</si>
  <si>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</si>
  <si>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</si>
  <si>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</si>
  <si>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</si>
  <si>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</si>
  <si>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</si>
  <si>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</si>
  <si>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</si>
  <si>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</si>
  <si>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</si>
  <si>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</si>
  <si>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</si>
  <si>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</si>
  <si>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</si>
  <si>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</si>
  <si>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</si>
  <si>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</si>
  <si>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</si>
  <si>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</si>
  <si>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</si>
  <si>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</si>
  <si>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</si>
  <si>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</si>
  <si>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</si>
  <si>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</si>
  <si>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</si>
  <si>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</si>
  <si>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</si>
  <si>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</si>
  <si>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</si>
  <si>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</si>
  <si>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</si>
  <si>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</si>
  <si>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</si>
  <si>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</si>
  <si>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</si>
  <si>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</si>
  <si>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</si>
  <si>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</si>
  <si>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</si>
  <si>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</si>
  <si>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</si>
  <si>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</si>
  <si>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</si>
  <si>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</si>
  <si>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</si>
  <si>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</si>
  <si>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</si>
  <si>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</si>
  <si>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</si>
  <si>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</si>
  <si>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</si>
  <si>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</si>
  <si>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</si>
  <si>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</si>
  <si>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</si>
  <si>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US18 – Manter Meu Quadro Kanban</t>
  </si>
  <si>
    <t>Criar atividade</t>
  </si>
  <si>
    <t>Editar atividade</t>
  </si>
  <si>
    <t>Visualizar atividade</t>
  </si>
  <si>
    <t>Excluir Card</t>
  </si>
  <si>
    <t>Replicar card</t>
  </si>
  <si>
    <t>Movimentar card</t>
  </si>
  <si>
    <t>Cards funcionalidades</t>
  </si>
  <si>
    <t>US19 - Pagina Inicial</t>
  </si>
  <si>
    <t>Combo-box Órgão para Atividade</t>
  </si>
  <si>
    <t>Combo-box Servidor para Atividade</t>
  </si>
  <si>
    <t>Combo-box Unidade Lotação para Atividade</t>
  </si>
  <si>
    <t>Combo-box Produto + Atividade</t>
  </si>
  <si>
    <t>Combo-box Órgão para Liberação de Acesso</t>
  </si>
  <si>
    <t>Combo-box Unidade Lotação para Liberação de Acesso</t>
  </si>
  <si>
    <t>Combo-box Servidor para Liberação de Acesso</t>
  </si>
  <si>
    <t>Listar quadro Kanban</t>
  </si>
  <si>
    <t xml:space="preserve">Listar quadro Kanban - Explandir </t>
  </si>
  <si>
    <t>Consulta Implícita</t>
  </si>
  <si>
    <t>Listar quadro Kanban -  Mininimizar raia</t>
  </si>
  <si>
    <t>Listar quadro Kanban -  Maximizar raia</t>
  </si>
  <si>
    <t>História de Usuário - US17 - Visualizar notificações</t>
  </si>
  <si>
    <t>Realizar SSO para o Catálogo</t>
  </si>
  <si>
    <t xml:space="preserve">Visualizar histórico da visualização com visto </t>
  </si>
  <si>
    <t>Notificação</t>
  </si>
  <si>
    <t>Visualizar notificações fixas (lateral)</t>
  </si>
  <si>
    <t>Visualizar notificações fixas (lateral expandida)</t>
  </si>
  <si>
    <t>Listar notificações (sino)</t>
  </si>
  <si>
    <t>Marcar notificações como lida</t>
  </si>
  <si>
    <t>Pesquisar notificações</t>
  </si>
  <si>
    <t>Visualizar notificações</t>
  </si>
  <si>
    <t>Excluir notificações</t>
  </si>
  <si>
    <t>Minimizar notificações</t>
  </si>
  <si>
    <t>Maximizar notificações</t>
  </si>
  <si>
    <t>História de Usuário - US21- Produtividade Da Equipe</t>
  </si>
  <si>
    <t>Consultar Produtividade da Equipe</t>
  </si>
  <si>
    <t xml:space="preserve">História de Usuário - US22 - Consultar Nota da Produtividade </t>
  </si>
  <si>
    <t xml:space="preserve">Consultar Nota de Produtividade - chefia </t>
  </si>
  <si>
    <t>Consultar Nota de Produtividade - subordinado</t>
  </si>
  <si>
    <t>Consultar Métricas Subordinado</t>
  </si>
  <si>
    <t>Consultar Métricas Chefe</t>
  </si>
  <si>
    <t>Combo-box Regime de Trabalho da Nota de Produtividade</t>
  </si>
  <si>
    <t>Exportar listagem métrica</t>
  </si>
  <si>
    <t>Relatório PPS - Subordinado</t>
  </si>
  <si>
    <t>Relatório PPS - Chefia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</si>
</sst>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8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  <font>
      <sz val="8"/>
      <color theme="1"/>
      <name val="Franklin Gothic Medium"/>
      <family val="2"/>
    </font>
    <font>
      <sz val="9"/>
      <color indexed="81"/>
      <name val="Segoe UI"/>
      <family val="2"/>
    </font>
    <font>
      <sz val="8"/>
      <color indexed="8"/>
      <name val="Franklin Gothic Medium"/>
      <family val="2"/>
    </font>
    <font>
      <b/>
      <sz val="9"/>
      <color indexed="81"/>
      <name val="Segoe UI"/>
      <family val="2"/>
    </font>
    <font>
      <sz val="8"/>
      <color rgb="FFFF0000"/>
      <name val="Franklin Gothic Medium"/>
      <family val="2"/>
    </font>
    <font>
      <sz val="8"/>
      <color rgb="FFEE0000"/>
      <name val="Franklin Gothic Medium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indexed="9"/>
        <bgColor indexed="35"/>
      </patternFill>
    </fill>
  </fills>
  <borders count="4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74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Border="1" applyAlignment="1" applyProtection="1"/>
    <xf numFmtId="167" fontId="5" fillId="0" borderId="14" xfId="1" applyNumberFormat="1" applyFont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14" fillId="0" borderId="21" xfId="0" applyFont="1" applyBorder="1" applyAlignment="1">
      <alignment horizontal="center"/>
    </xf>
    <xf numFmtId="0" fontId="5" fillId="0" borderId="0" xfId="0" applyFont="1"/>
    <xf numFmtId="0" fontId="5" fillId="0" borderId="1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/>
    <xf numFmtId="2" fontId="5" fillId="0" borderId="16" xfId="0" applyNumberFormat="1" applyFont="1" applyBorder="1" applyAlignment="1">
      <alignment vertical="center"/>
    </xf>
    <xf numFmtId="0" fontId="5" fillId="0" borderId="14" xfId="0" applyFont="1" applyBorder="1"/>
    <xf numFmtId="0" fontId="5" fillId="0" borderId="21" xfId="0" applyFont="1" applyBorder="1"/>
    <xf numFmtId="10" fontId="5" fillId="0" borderId="14" xfId="0" applyNumberFormat="1" applyFont="1" applyBorder="1"/>
    <xf numFmtId="2" fontId="5" fillId="0" borderId="0" xfId="0" applyNumberFormat="1" applyFont="1"/>
    <xf numFmtId="0" fontId="14" fillId="0" borderId="0" xfId="0" applyFont="1"/>
    <xf numFmtId="0" fontId="5" fillId="0" borderId="22" xfId="0" applyFont="1" applyBorder="1"/>
    <xf numFmtId="0" fontId="5" fillId="0" borderId="23" xfId="0" applyFont="1" applyBorder="1"/>
    <xf numFmtId="2" fontId="5" fillId="0" borderId="16" xfId="0" applyNumberFormat="1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5" fillId="0" borderId="0" xfId="3" applyFont="1" applyBorder="1" applyAlignment="1" applyProtection="1">
      <alignment horizontal="right"/>
    </xf>
    <xf numFmtId="2" fontId="5" fillId="0" borderId="0" xfId="0" applyNumberFormat="1" applyFont="1" applyAlignment="1">
      <alignment horizontal="center"/>
    </xf>
    <xf numFmtId="2" fontId="5" fillId="0" borderId="14" xfId="0" applyNumberFormat="1" applyFont="1" applyBorder="1"/>
    <xf numFmtId="0" fontId="0" fillId="0" borderId="21" xfId="0" applyBorder="1"/>
    <xf numFmtId="0" fontId="0" fillId="0" borderId="14" xfId="0" applyBorder="1"/>
    <xf numFmtId="0" fontId="14" fillId="0" borderId="0" xfId="0" applyFont="1" applyAlignment="1">
      <alignment horizontal="center"/>
    </xf>
    <xf numFmtId="0" fontId="0" fillId="0" borderId="24" xfId="0" applyBorder="1"/>
    <xf numFmtId="0" fontId="4" fillId="0" borderId="25" xfId="0" applyFont="1" applyBorder="1" applyAlignment="1">
      <alignment horizontal="center" vertical="center"/>
    </xf>
    <xf numFmtId="0" fontId="0" fillId="0" borderId="25" xfId="0" applyBorder="1"/>
    <xf numFmtId="0" fontId="4" fillId="0" borderId="25" xfId="0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2" fontId="5" fillId="0" borderId="25" xfId="1" applyNumberFormat="1" applyFont="1" applyBorder="1" applyAlignment="1" applyProtection="1">
      <alignment horizontal="center"/>
    </xf>
    <xf numFmtId="10" fontId="5" fillId="0" borderId="25" xfId="1" applyNumberFormat="1" applyFont="1" applyBorder="1" applyAlignment="1" applyProtection="1"/>
    <xf numFmtId="0" fontId="0" fillId="0" borderId="26" xfId="0" applyBorder="1"/>
    <xf numFmtId="10" fontId="0" fillId="0" borderId="0" xfId="0" applyNumberFormat="1"/>
    <xf numFmtId="2" fontId="5" fillId="0" borderId="0" xfId="1" applyNumberFormat="1" applyFont="1" applyBorder="1" applyAlignment="1" applyProtection="1"/>
    <xf numFmtId="0" fontId="5" fillId="0" borderId="0" xfId="0" applyFont="1" applyAlignment="1">
      <alignment horizontal="center" vertical="center"/>
    </xf>
    <xf numFmtId="2" fontId="5" fillId="0" borderId="0" xfId="1" applyNumberFormat="1" applyFont="1" applyBorder="1" applyAlignment="1" applyProtection="1">
      <alignment horizontal="center"/>
    </xf>
    <xf numFmtId="10" fontId="5" fillId="0" borderId="0" xfId="1" applyNumberFormat="1" applyFont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/>
    </xf>
    <xf numFmtId="0" fontId="10" fillId="0" borderId="34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left" vertical="center" wrapText="1"/>
    </xf>
    <xf numFmtId="4" fontId="10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wrapText="1" indent="1"/>
    </xf>
    <xf numFmtId="0" fontId="10" fillId="0" borderId="34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 indent="1"/>
    </xf>
    <xf numFmtId="0" fontId="27" fillId="0" borderId="6" xfId="0" applyFont="1" applyBorder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14" fillId="0" borderId="45" xfId="0" applyFont="1" applyBorder="1" applyAlignment="1">
      <alignment horizont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</cellXfs>
  <cellStyles count="4">
    <cellStyle name="Normal" xfId="0" builtinId="0"/>
    <cellStyle name="Porcentagem" xfId="1" builtinId="5"/>
    <cellStyle name="TableStyleLight1" xfId="2" xr:uid="{00000000-0005-0000-0000-000002000000}"/>
    <cellStyle name="Vírgula" xfId="3" builtinId="3"/>
  </cellStyles>
  <dxfs count="3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48B-44C7-BB9C-9A4018A6878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48B-44C7-BB9C-9A4018A6878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48B-44C7-BB9C-9A4018A6878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48B-44C7-BB9C-9A4018A6878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48B-44C7-BB9C-9A4018A68789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48B-44C7-BB9C-9A4018A68789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48B-44C7-BB9C-9A4018A68789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48B-44C7-BB9C-9A4018A68789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48B-44C7-BB9C-9A4018A68789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48B-44C7-BB9C-9A4018A6878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0.19816513761467891</c:v>
                </c:pt>
                <c:pt idx="1">
                  <c:v>0.12293577981651377</c:v>
                </c:pt>
                <c:pt idx="2">
                  <c:v>0.51376146788990829</c:v>
                </c:pt>
                <c:pt idx="3">
                  <c:v>0.10091743119266056</c:v>
                </c:pt>
                <c:pt idx="4">
                  <c:v>6.4220183486238536E-2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8B-44C7-BB9C-9A4018A6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133935</xdr:rowOff>
    </xdr:from>
    <xdr:to>
      <xdr:col>0</xdr:col>
      <xdr:colOff>1201063</xdr:colOff>
      <xdr:row>2</xdr:row>
      <xdr:rowOff>88899</xdr:rowOff>
    </xdr:to>
    <xdr:pic>
      <xdr:nvPicPr>
        <xdr:cNvPr id="66585" name="Figura 1">
          <a:extLst>
            <a:ext uri="{FF2B5EF4-FFF2-40B4-BE49-F238E27FC236}">
              <a16:creationId xmlns:a16="http://schemas.microsoft.com/office/drawing/2014/main" id="{00000000-0008-0000-0100-000019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>
          <a:extLst>
            <a:ext uri="{FF2B5EF4-FFF2-40B4-BE49-F238E27FC236}">
              <a16:creationId xmlns:a16="http://schemas.microsoft.com/office/drawing/2014/main" id="{00000000-0008-0000-0300-000089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V45"/>
  <sheetViews>
    <sheetView showGridLines="0" zoomScale="120" zoomScaleNormal="120" zoomScaleSheetLayoutView="100" workbookViewId="0">
      <pane ySplit="3" topLeftCell="A7" activePane="bottomLeft" state="frozen"/>
      <selection activeCell="B11" sqref="B11"/>
      <selection pane="bottomLeft" activeCell="F7" sqref="F7:N7"/>
    </sheetView>
  </sheetViews>
  <sheetFormatPr defaultRowHeight="13.5" x14ac:dyDescent="0.35"/>
  <cols>
    <col min="1" max="1" width="10.453125" style="1" customWidth="1"/>
    <col min="2" max="2" width="2.81640625" style="1" customWidth="1"/>
    <col min="3" max="3" width="8.54296875" style="1" customWidth="1"/>
    <col min="4" max="4" width="4.54296875" style="1" customWidth="1"/>
    <col min="5" max="5" width="4" style="1" customWidth="1"/>
    <col min="6" max="6" width="4.54296875" style="1" customWidth="1"/>
    <col min="7" max="12" width="6" style="1" customWidth="1"/>
    <col min="13" max="13" width="18.453125" style="1" customWidth="1"/>
    <col min="14" max="14" width="8.1796875" style="1" customWidth="1"/>
    <col min="15" max="15" width="11.54296875" style="1" customWidth="1"/>
    <col min="16" max="16" width="5.81640625" style="1" customWidth="1"/>
    <col min="17" max="18" width="2.81640625" style="1" customWidth="1"/>
    <col min="19" max="19" width="8" style="1" customWidth="1"/>
    <col min="20" max="22" width="2.81640625" style="1" customWidth="1"/>
  </cols>
  <sheetData>
    <row r="1" spans="1:22" ht="12.5" x14ac:dyDescent="0.25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</row>
    <row r="2" spans="1:22" ht="12.5" x14ac:dyDescent="0.2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1:22" ht="12.5" x14ac:dyDescent="0.2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</row>
    <row r="4" spans="1:22" x14ac:dyDescent="0.35">
      <c r="A4" s="135" t="s">
        <v>1</v>
      </c>
      <c r="B4" s="135"/>
      <c r="C4" s="135"/>
      <c r="D4" s="135"/>
      <c r="E4" s="135"/>
      <c r="F4" s="139" t="s">
        <v>2</v>
      </c>
      <c r="G4" s="139"/>
      <c r="H4" s="139"/>
      <c r="I4" s="139"/>
      <c r="J4" s="139"/>
      <c r="K4" s="139"/>
      <c r="L4" s="139"/>
      <c r="M4" s="139"/>
      <c r="N4" s="139"/>
      <c r="O4" s="144" t="s">
        <v>3</v>
      </c>
      <c r="P4" s="144"/>
      <c r="Q4" s="142">
        <f>Funções!L4</f>
        <v>555</v>
      </c>
      <c r="R4" s="142"/>
      <c r="S4" s="142"/>
      <c r="T4" s="142"/>
      <c r="U4" s="142"/>
      <c r="V4" s="142"/>
    </row>
    <row r="5" spans="1:22" x14ac:dyDescent="0.35">
      <c r="A5" s="135" t="s">
        <v>4</v>
      </c>
      <c r="B5" s="135"/>
      <c r="C5" s="135"/>
      <c r="D5" s="135"/>
      <c r="E5" s="135"/>
      <c r="F5" s="139" t="s">
        <v>5</v>
      </c>
      <c r="G5" s="139"/>
      <c r="H5" s="139"/>
      <c r="I5" s="139"/>
      <c r="J5" s="139"/>
      <c r="K5" s="139"/>
      <c r="L5" s="139"/>
      <c r="M5" s="139"/>
      <c r="N5" s="139"/>
      <c r="O5" s="140" t="s">
        <v>6</v>
      </c>
      <c r="P5" s="140"/>
      <c r="Q5" s="142">
        <f>Funções!L5</f>
        <v>555</v>
      </c>
      <c r="R5" s="142"/>
      <c r="S5" s="142"/>
      <c r="T5" s="142"/>
      <c r="U5" s="142"/>
      <c r="V5" s="142"/>
    </row>
    <row r="6" spans="1:22" x14ac:dyDescent="0.35">
      <c r="A6" s="135" t="s">
        <v>7</v>
      </c>
      <c r="B6" s="135"/>
      <c r="C6" s="135"/>
      <c r="D6" s="135"/>
      <c r="E6" s="135"/>
      <c r="F6" s="136" t="s">
        <v>8</v>
      </c>
      <c r="G6" s="136"/>
      <c r="H6" s="136"/>
      <c r="I6" s="136"/>
      <c r="J6" s="136"/>
      <c r="K6" s="136"/>
      <c r="L6" s="136"/>
      <c r="M6" s="136"/>
      <c r="N6" s="136"/>
      <c r="O6" s="140" t="s">
        <v>9</v>
      </c>
      <c r="P6" s="140"/>
      <c r="Q6" s="142">
        <f>Funções!L6</f>
        <v>513.20000000000005</v>
      </c>
      <c r="R6" s="142"/>
      <c r="S6" s="142"/>
      <c r="T6" s="142"/>
      <c r="U6" s="142"/>
      <c r="V6" s="142"/>
    </row>
    <row r="7" spans="1:22" ht="12.5" x14ac:dyDescent="0.25">
      <c r="A7" s="135" t="s">
        <v>10</v>
      </c>
      <c r="B7" s="135"/>
      <c r="C7" s="135"/>
      <c r="D7" s="135"/>
      <c r="E7" s="135"/>
      <c r="F7" s="139" t="s">
        <v>11</v>
      </c>
      <c r="G7" s="139"/>
      <c r="H7" s="139"/>
      <c r="I7" s="139"/>
      <c r="J7" s="139"/>
      <c r="K7" s="139"/>
      <c r="L7" s="139"/>
      <c r="M7" s="139"/>
      <c r="N7" s="139"/>
      <c r="O7" s="140" t="s">
        <v>12</v>
      </c>
      <c r="P7" s="140"/>
      <c r="Q7" s="140"/>
      <c r="R7" s="141" t="s">
        <v>13</v>
      </c>
      <c r="S7" s="141"/>
      <c r="T7" s="141"/>
      <c r="U7" s="141"/>
      <c r="V7" s="141"/>
    </row>
    <row r="8" spans="1:22" ht="12.5" x14ac:dyDescent="0.25">
      <c r="A8" s="135" t="s">
        <v>14</v>
      </c>
      <c r="B8" s="135"/>
      <c r="C8" s="135"/>
      <c r="D8" s="135"/>
      <c r="E8" s="135"/>
      <c r="F8" s="139" t="s">
        <v>15</v>
      </c>
      <c r="G8" s="139"/>
      <c r="H8" s="139"/>
      <c r="I8" s="139"/>
      <c r="J8" s="139"/>
      <c r="K8" s="139"/>
      <c r="L8" s="139"/>
      <c r="M8" s="139"/>
      <c r="N8" s="139"/>
      <c r="O8" s="140" t="s">
        <v>16</v>
      </c>
      <c r="P8" s="140"/>
      <c r="Q8" s="140"/>
      <c r="R8" s="141" t="s">
        <v>17</v>
      </c>
      <c r="S8" s="141"/>
      <c r="T8" s="141"/>
      <c r="U8" s="141"/>
      <c r="V8" s="141"/>
    </row>
    <row r="9" spans="1:22" x14ac:dyDescent="0.35">
      <c r="A9" s="135" t="s">
        <v>18</v>
      </c>
      <c r="B9" s="135"/>
      <c r="C9" s="135"/>
      <c r="D9" s="135"/>
      <c r="E9" s="135"/>
      <c r="F9" s="136" t="s">
        <v>19</v>
      </c>
      <c r="G9" s="136"/>
      <c r="H9" s="136"/>
      <c r="I9" s="136"/>
      <c r="J9" s="136"/>
      <c r="K9" s="136"/>
      <c r="L9" s="136"/>
      <c r="M9" s="136"/>
      <c r="N9" s="136"/>
      <c r="O9" s="137" t="s">
        <v>20</v>
      </c>
      <c r="P9" s="137"/>
      <c r="Q9" s="137"/>
      <c r="R9" s="138">
        <v>45141</v>
      </c>
      <c r="S9" s="138"/>
      <c r="T9" s="138"/>
      <c r="U9" s="138"/>
      <c r="V9" s="138"/>
    </row>
    <row r="10" spans="1:22" x14ac:dyDescent="0.35">
      <c r="A10" s="135" t="s">
        <v>21</v>
      </c>
      <c r="B10" s="135"/>
      <c r="C10" s="135"/>
      <c r="D10" s="135"/>
      <c r="E10" s="135"/>
      <c r="F10" s="136" t="s">
        <v>22</v>
      </c>
      <c r="G10" s="136"/>
      <c r="H10" s="136"/>
      <c r="I10" s="136"/>
      <c r="J10" s="136"/>
      <c r="K10" s="136"/>
      <c r="L10" s="136"/>
      <c r="M10" s="136"/>
      <c r="N10" s="136"/>
      <c r="O10" s="137" t="s">
        <v>23</v>
      </c>
      <c r="P10" s="137"/>
      <c r="Q10" s="137"/>
      <c r="R10" s="138">
        <v>45180</v>
      </c>
      <c r="S10" s="138"/>
      <c r="T10" s="138"/>
      <c r="U10" s="138"/>
      <c r="V10" s="138"/>
    </row>
    <row r="11" spans="1:22" x14ac:dyDescent="0.25">
      <c r="A11" s="130" t="s">
        <v>24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ht="12.5" x14ac:dyDescent="0.25">
      <c r="A12" s="132" t="s">
        <v>25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</row>
    <row r="13" spans="1:22" ht="12.5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</row>
    <row r="14" spans="1:22" ht="12.5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</row>
    <row r="15" spans="1:22" ht="90.75" customHeight="1" x14ac:dyDescent="0.25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</row>
    <row r="16" spans="1:22" x14ac:dyDescent="0.25">
      <c r="A16" s="130" t="s">
        <v>26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22" ht="12.5" x14ac:dyDescent="0.25">
      <c r="A17" s="131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</row>
    <row r="18" spans="1:22" ht="12.5" x14ac:dyDescent="0.25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</row>
    <row r="19" spans="1:22" ht="13.5" customHeight="1" x14ac:dyDescent="0.25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</row>
    <row r="20" spans="1:22" ht="19.5" customHeight="1" x14ac:dyDescent="0.25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</row>
    <row r="21" spans="1:22" x14ac:dyDescent="0.25">
      <c r="A21" s="130" t="s">
        <v>27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</row>
    <row r="22" spans="1:22" ht="12.5" x14ac:dyDescent="0.25">
      <c r="A22" s="133" t="s">
        <v>28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</row>
    <row r="23" spans="1:22" ht="12.5" x14ac:dyDescent="0.25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</row>
    <row r="24" spans="1:22" ht="12.5" x14ac:dyDescent="0.25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</row>
    <row r="25" spans="1:22" ht="12.5" x14ac:dyDescent="0.25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</row>
    <row r="26" spans="1:22" ht="12.5" x14ac:dyDescent="0.25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</row>
    <row r="27" spans="1:22" ht="12.5" x14ac:dyDescent="0.25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</row>
    <row r="28" spans="1:22" ht="12.5" x14ac:dyDescent="0.25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</row>
    <row r="29" spans="1:22" ht="12.5" x14ac:dyDescent="0.25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</row>
    <row r="30" spans="1:22" ht="12.5" x14ac:dyDescent="0.25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</row>
    <row r="31" spans="1:22" ht="12.5" x14ac:dyDescent="0.25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</row>
    <row r="32" spans="1:22" ht="12.5" x14ac:dyDescent="0.25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</row>
    <row r="33" spans="1:22" ht="12.5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</row>
    <row r="34" spans="1:22" ht="12.5" x14ac:dyDescent="0.25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</row>
    <row r="35" spans="1:22" ht="12.5" x14ac:dyDescent="0.25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</row>
    <row r="36" spans="1:22" ht="12.5" x14ac:dyDescent="0.25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</row>
    <row r="37" spans="1:22" ht="12.5" x14ac:dyDescent="0.25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</row>
    <row r="38" spans="1:22" ht="12.5" x14ac:dyDescent="0.25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</row>
    <row r="39" spans="1:22" ht="12.5" x14ac:dyDescent="0.25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</row>
    <row r="40" spans="1:22" ht="12.5" x14ac:dyDescent="0.25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</row>
    <row r="41" spans="1:22" ht="12.5" x14ac:dyDescent="0.25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</row>
    <row r="42" spans="1:22" ht="12.5" x14ac:dyDescent="0.25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</row>
    <row r="43" spans="1:22" ht="12.5" x14ac:dyDescent="0.25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</row>
    <row r="44" spans="1:22" ht="12.5" x14ac:dyDescent="0.25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</row>
    <row r="45" spans="1:22" ht="18" customHeight="1" x14ac:dyDescent="0.2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</row>
  </sheetData>
  <sheetProtection selectLockedCells="1" selectUnlockedCells="1"/>
  <mergeCells count="35">
    <mergeCell ref="A5:E5"/>
    <mergeCell ref="F5:N5"/>
    <mergeCell ref="O5:P5"/>
    <mergeCell ref="Q5:V5"/>
    <mergeCell ref="A1:V3"/>
    <mergeCell ref="A4:E4"/>
    <mergeCell ref="F4:N4"/>
    <mergeCell ref="O4:P4"/>
    <mergeCell ref="Q4:V4"/>
    <mergeCell ref="A6:E6"/>
    <mergeCell ref="F6:N6"/>
    <mergeCell ref="O6:P6"/>
    <mergeCell ref="Q6:V6"/>
    <mergeCell ref="A7:E7"/>
    <mergeCell ref="F7:N7"/>
    <mergeCell ref="O7:Q7"/>
    <mergeCell ref="R7:V7"/>
    <mergeCell ref="A8:E8"/>
    <mergeCell ref="F8:N8"/>
    <mergeCell ref="O8:Q8"/>
    <mergeCell ref="R8:V8"/>
    <mergeCell ref="A9:E9"/>
    <mergeCell ref="F9:N9"/>
    <mergeCell ref="O9:Q9"/>
    <mergeCell ref="R9:V9"/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</mergeCells>
  <dataValidations count="3">
    <dataValidation type="list" operator="equal" allowBlank="1" showErrorMessage="1" sqref="F6" xr:uid="{00000000-0002-0000-0000-000000000000}">
      <formula1>"Aplicação,Projeto de Desenvolvimento,Projeto de Melhoria"</formula1>
      <formula2>0</formula2>
    </dataValidation>
    <dataValidation type="list" operator="equal" allowBlank="1" showErrorMessage="1" sqref="G6:N7" xr:uid="{00000000-0002-0000-0000-000001000000}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 xr:uid="{00000000-0002-0000-0000-000002000000}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O682"/>
  <sheetViews>
    <sheetView showGridLines="0" tabSelected="1" zoomScale="90" zoomScaleNormal="90" zoomScaleSheetLayoutView="100" workbookViewId="0">
      <pane ySplit="7" topLeftCell="A70" activePane="bottomLeft" state="frozen"/>
      <selection activeCell="B11" sqref="B11"/>
      <selection pane="bottomLeft" activeCell="H79" sqref="H79"/>
    </sheetView>
  </sheetViews>
  <sheetFormatPr defaultRowHeight="12.5" x14ac:dyDescent="0.25"/>
  <cols>
    <col min="1" max="1" width="62" customWidth="1"/>
    <col min="2" max="2" width="5" customWidth="1"/>
    <col min="3" max="3" width="10.453125" customWidth="1"/>
    <col min="4" max="4" width="3.81640625" customWidth="1"/>
    <col min="5" max="5" width="6.1796875" customWidth="1"/>
    <col min="6" max="6" width="8" customWidth="1"/>
    <col min="7" max="7" width="3.81640625" hidden="1" customWidth="1"/>
    <col min="8" max="8" width="12" customWidth="1"/>
    <col min="9" max="9" width="4" hidden="1" customWidth="1"/>
    <col min="10" max="10" width="4.453125" hidden="1" customWidth="1"/>
    <col min="11" max="11" width="12.54296875" customWidth="1"/>
    <col min="12" max="12" width="12" customWidth="1"/>
    <col min="13" max="13" width="6.81640625" customWidth="1"/>
    <col min="14" max="14" width="7.453125" style="115" customWidth="1"/>
    <col min="15" max="15" width="37.453125" customWidth="1"/>
  </cols>
  <sheetData>
    <row r="1" spans="1:15" ht="13" thickBot="1" x14ac:dyDescent="0.3">
      <c r="A1" s="149" t="s">
        <v>29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ht="13" thickBot="1" x14ac:dyDescent="0.3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x14ac:dyDescent="0.25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</row>
    <row r="4" spans="1:15" x14ac:dyDescent="0.25">
      <c r="A4" s="3" t="str">
        <f>Contagem!A5&amp;" : "&amp;Contagem!F5</f>
        <v>Aplicação : SIEP</v>
      </c>
      <c r="B4" s="151" t="str">
        <f>Contagem!A8&amp;" : "&amp;Contagem!F8</f>
        <v>Projeto : Desenvolvimento do produto SIEP</v>
      </c>
      <c r="C4" s="152"/>
      <c r="D4" s="152"/>
      <c r="E4" s="152"/>
      <c r="F4" s="152"/>
      <c r="G4" s="152"/>
      <c r="H4" s="152"/>
      <c r="I4" s="152"/>
      <c r="J4" s="153"/>
      <c r="K4" s="100" t="s">
        <v>3</v>
      </c>
      <c r="L4" s="103">
        <f>SUM(H8:H682)</f>
        <v>555</v>
      </c>
      <c r="M4" s="148"/>
      <c r="N4" s="148"/>
      <c r="O4" s="148"/>
    </row>
    <row r="5" spans="1:15" x14ac:dyDescent="0.25">
      <c r="A5" s="3" t="str">
        <f>Contagem!A9&amp;" : "&amp;Contagem!F9</f>
        <v>Responsável : Ana Karyna da Silva Teixeira</v>
      </c>
      <c r="B5" s="151" t="str">
        <f>Contagem!A10&amp;" : "&amp;Contagem!F10</f>
        <v>Revisor : Jonathas</v>
      </c>
      <c r="C5" s="152"/>
      <c r="D5" s="152"/>
      <c r="E5" s="152"/>
      <c r="F5" s="152"/>
      <c r="G5" s="152"/>
      <c r="H5" s="152"/>
      <c r="I5" s="152"/>
      <c r="J5" s="153"/>
      <c r="K5" s="102" t="s">
        <v>6</v>
      </c>
      <c r="L5" s="103">
        <f>SUM(K8:K682)</f>
        <v>555</v>
      </c>
      <c r="M5" s="150"/>
      <c r="N5" s="150"/>
      <c r="O5" s="150"/>
    </row>
    <row r="6" spans="1:15" x14ac:dyDescent="0.25">
      <c r="A6" s="108" t="str">
        <f>Contagem!A4&amp;" : "&amp;Contagem!F4</f>
        <v>Empresa : Secretaria de Estado de Planejamento e Gestão de Mato Grosso</v>
      </c>
      <c r="B6" s="145" t="str">
        <f>"Tipo da Contagem : "&amp;Contagem!F6</f>
        <v>Tipo da Contagem : Projeto de Desenvolvimento</v>
      </c>
      <c r="C6" s="146"/>
      <c r="D6" s="146"/>
      <c r="E6" s="146"/>
      <c r="F6" s="146"/>
      <c r="G6" s="146"/>
      <c r="H6" s="146"/>
      <c r="I6" s="146"/>
      <c r="J6" s="147"/>
      <c r="K6" s="101" t="s">
        <v>9</v>
      </c>
      <c r="L6" s="103">
        <f>SUM(L8:L682)</f>
        <v>513.20000000000005</v>
      </c>
      <c r="M6" s="148"/>
      <c r="N6" s="148"/>
      <c r="O6" s="148"/>
    </row>
    <row r="7" spans="1:15" ht="13.5" customHeight="1" x14ac:dyDescent="0.3">
      <c r="A7" s="107" t="s">
        <v>30</v>
      </c>
      <c r="B7" s="60" t="s">
        <v>31</v>
      </c>
      <c r="C7" s="61" t="s">
        <v>32</v>
      </c>
      <c r="D7" s="62" t="s">
        <v>33</v>
      </c>
      <c r="E7" s="62" t="s">
        <v>34</v>
      </c>
      <c r="F7" s="62" t="s">
        <v>35</v>
      </c>
      <c r="G7" s="63" t="s">
        <v>36</v>
      </c>
      <c r="H7" s="63" t="s">
        <v>3</v>
      </c>
      <c r="I7" s="110" t="s">
        <v>37</v>
      </c>
      <c r="J7" s="110" t="s">
        <v>38</v>
      </c>
      <c r="K7" s="63" t="s">
        <v>6</v>
      </c>
      <c r="L7" s="64" t="s">
        <v>9</v>
      </c>
      <c r="M7" s="65" t="s">
        <v>39</v>
      </c>
      <c r="N7" s="114" t="s">
        <v>40</v>
      </c>
      <c r="O7" s="66" t="s">
        <v>41</v>
      </c>
    </row>
    <row r="8" spans="1:15" x14ac:dyDescent="0.25">
      <c r="A8" s="113" t="s">
        <v>42</v>
      </c>
      <c r="B8" s="4"/>
      <c r="C8" s="4"/>
      <c r="D8" s="6"/>
      <c r="E8" s="6"/>
      <c r="F8" s="109" t="str">
        <f t="shared" ref="F8" si="0">IF(ISBLANK(B8),"",IF(I8="L","Baixa",IF(I8="A","Média",IF(I8="","","Alta"))))</f>
        <v/>
      </c>
      <c r="G8" s="6" t="str">
        <f t="shared" ref="G8" si="1">CONCATENATE(B8,I8)</f>
        <v/>
      </c>
      <c r="H8" s="6" t="str">
        <f t="shared" ref="H8" si="2">IF(ISBLANK(B8),"",IF(B8="ALI",IF(I8="L",7,IF(I8="A",10,15)),IF(B8="AIE",IF(I8="L",5,IF(I8="A",7,10)),IF(B8="SE",IF(I8="L",4,IF(I8="A",5,7)),IF(OR(B8="EE",B8="CE"),IF(I8="L",3,IF(I8="A",4,6)),0)))))</f>
        <v/>
      </c>
      <c r="I8" s="109" t="str">
        <f t="shared" ref="I8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6" t="str">
        <f t="shared" ref="J8" si="4">CONCATENATE(B8,C8)</f>
        <v/>
      </c>
      <c r="K8" s="120" t="str">
        <f t="shared" ref="K8" si="5">IF(OR(H8="",H8=0),L8,H8)</f>
        <v/>
      </c>
      <c r="L8" s="120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7"/>
      <c r="N8" s="7"/>
      <c r="O8" s="5"/>
    </row>
    <row r="9" spans="1:15" x14ac:dyDescent="0.25">
      <c r="A9" s="111" t="s">
        <v>43</v>
      </c>
      <c r="B9" s="4" t="s">
        <v>44</v>
      </c>
      <c r="C9" s="4" t="s">
        <v>45</v>
      </c>
      <c r="D9" s="6"/>
      <c r="E9" s="6"/>
      <c r="F9" s="109" t="str">
        <f>IF(ISBLANK(B9),"",IF(I9="L","Baixa",IF(I9="A","Média",IF(I9="","","Alta"))))</f>
        <v>Média</v>
      </c>
      <c r="G9" s="6" t="str">
        <f>CONCATENATE(B9,I9)</f>
        <v>CEA</v>
      </c>
      <c r="H9" s="6">
        <f>IF(ISBLANK(B9),"",IF(B9="ALI",IF(I9="L",7,IF(I9="A",10,15)),IF(B9="AIE",IF(I9="L",5,IF(I9="A",7,10)),IF(B9="SE",IF(I9="L",4,IF(I9="A",5,7)),IF(OR(B9="EE",B9="CE"),IF(I9="L",3,IF(I9="A",4,6)),0)))))</f>
        <v>4</v>
      </c>
      <c r="I9" s="109" t="str">
        <f>IF(OR(ISBLANK(D9),ISBLANK(E9)),IF(OR(B9="ALI",B9="AIE"),"L",IF(OR(B9="EE",B9="SE",B9="CE"),"A","")),IF(B9="EE",IF(E9&gt;=3,IF(D9&gt;=5,"H","A"),IF(E9&gt;=2,IF(D9&gt;=16,"H",IF(D9&lt;=4,"L","A")),IF(D9&lt;=15,"L","A"))),IF(OR(B9="SE",B9="CE"),IF(E9&gt;=4,IF(D9&gt;=6,"H","A"),IF(E9&gt;=2,IF(D9&gt;=20,"H",IF(D9&lt;=5,"L","A")),IF(D9&lt;=19,"L","A"))),IF(OR(B9="ALI",B9="AIE"),IF(E9&gt;=6,IF(D9&gt;=20,"H","A"),IF(E9&gt;=2,IF(D9&gt;=51,"H",IF(D9&lt;=19,"L","A")),IF(D9&lt;=50,"L","A"))),""))))</f>
        <v>A</v>
      </c>
      <c r="J9" s="6" t="str">
        <f>CONCATENATE(B9,C9)</f>
        <v>CECOS</v>
      </c>
      <c r="K9" s="120">
        <f>IF(OR(H9="",H9=0),L9,H9)</f>
        <v>4</v>
      </c>
      <c r="L9" s="120">
        <f>IF(NOT(ISERROR(VLOOKUP(B9,Deflatores!G$42:H$64,2,FALSE))),VLOOKUP(B9,Deflatores!G$42:H$64,2,FALSE),IF(OR(ISBLANK(C9),ISBLANK(B9)),"",VLOOKUP(C9,Deflatores!G$4:H$38,2,FALSE)*H9+VLOOKUP(C9,Deflatores!G$4:I$38,3,FALSE)))</f>
        <v>0.6</v>
      </c>
      <c r="M9" s="7"/>
      <c r="N9" s="7"/>
      <c r="O9" s="5"/>
    </row>
    <row r="10" spans="1:15" x14ac:dyDescent="0.25">
      <c r="A10" s="124" t="s">
        <v>46</v>
      </c>
      <c r="B10" s="118" t="s">
        <v>47</v>
      </c>
      <c r="C10" s="4" t="s">
        <v>48</v>
      </c>
      <c r="D10" s="117">
        <v>5</v>
      </c>
      <c r="E10" s="117">
        <v>3</v>
      </c>
      <c r="F10" s="109" t="str">
        <f t="shared" ref="F10" si="6">IF(ISBLANK(B10),"",IF(I10="L","Baixa",IF(I10="A","Média",IF(I10="","","Alta"))))</f>
        <v>Alta</v>
      </c>
      <c r="G10" s="6" t="str">
        <f t="shared" ref="G10" si="7">CONCATENATE(B10,I10)</f>
        <v>EEH</v>
      </c>
      <c r="H10" s="6">
        <f t="shared" ref="H10" si="8">IF(ISBLANK(B10),"",IF(B10="ALI",IF(I10="L",7,IF(I10="A",10,15)),IF(B10="AIE",IF(I10="L",5,IF(I10="A",7,10)),IF(B10="SE",IF(I10="L",4,IF(I10="A",5,7)),IF(OR(B10="EE",B10="CE"),IF(I10="L",3,IF(I10="A",4,6)),0)))))</f>
        <v>6</v>
      </c>
      <c r="I10" s="109" t="str">
        <f t="shared" ref="I10" si="9">IF(OR(ISBLANK(D10),ISBLANK(E10)),IF(OR(B10="ALI",B10="AIE"),"L",IF(OR(B10="EE",B10="SE",B10="CE"),"A","")),IF(B10="EE",IF(E10&gt;=3,IF(D10&gt;=5,"H","A"),IF(E10&gt;=2,IF(D10&gt;=16,"H",IF(D10&lt;=4,"L","A")),IF(D10&lt;=15,"L","A"))),IF(OR(B10="SE",B10="CE"),IF(E10&gt;=4,IF(D10&gt;=6,"H","A"),IF(E10&gt;=2,IF(D10&gt;=20,"H",IF(D10&lt;=5,"L","A")),IF(D10&lt;=19,"L","A"))),IF(OR(B10="ALI",B10="AIE"),IF(E10&gt;=6,IF(D10&gt;=20,"H","A"),IF(E10&gt;=2,IF(D10&gt;=51,"H",IF(D10&lt;=19,"L","A")),IF(D10&lt;=50,"L","A"))),""))))</f>
        <v>H</v>
      </c>
      <c r="J10" s="6" t="str">
        <f t="shared" ref="J10" si="10">CONCATENATE(B10,C10)</f>
        <v>EEI</v>
      </c>
      <c r="K10" s="120">
        <f t="shared" ref="K10" si="11">IF(OR(H10="",H10=0),L10,H10)</f>
        <v>6</v>
      </c>
      <c r="L10" s="120">
        <f>IF(NOT(ISERROR(VLOOKUP(B10,Deflatores!G$42:H$64,2,FALSE))),VLOOKUP(B10,Deflatores!G$42:H$64,2,FALSE),IF(OR(ISBLANK(C10),ISBLANK(B10)),"",VLOOKUP(C10,Deflatores!G$4:H$38,2,FALSE)*H10+VLOOKUP(C10,Deflatores!G$4:I$38,3,FALSE)))</f>
        <v>6</v>
      </c>
      <c r="M10" s="7"/>
      <c r="N10" s="7"/>
      <c r="O10" s="5"/>
    </row>
    <row r="11" spans="1:15" x14ac:dyDescent="0.25">
      <c r="A11" s="111"/>
      <c r="B11" s="4"/>
      <c r="C11" s="4"/>
      <c r="D11" s="6"/>
      <c r="E11" s="6"/>
      <c r="F11" s="109" t="str">
        <f t="shared" ref="F11" si="12">IF(ISBLANK(B11),"",IF(I11="L","Baixa",IF(I11="A","Média",IF(I11="","","Alta"))))</f>
        <v/>
      </c>
      <c r="G11" s="6" t="str">
        <f t="shared" ref="G11" si="13">CONCATENATE(B11,I11)</f>
        <v/>
      </c>
      <c r="H11" s="6" t="str">
        <f t="shared" ref="H11" si="14">IF(ISBLANK(B11),"",IF(B11="ALI",IF(I11="L",7,IF(I11="A",10,15)),IF(B11="AIE",IF(I11="L",5,IF(I11="A",7,10)),IF(B11="SE",IF(I11="L",4,IF(I11="A",5,7)),IF(OR(B11="EE",B11="CE"),IF(I11="L",3,IF(I11="A",4,6)),0)))))</f>
        <v/>
      </c>
      <c r="I11" s="109" t="str">
        <f t="shared" ref="I11" si="15">IF(OR(ISBLANK(D11),ISBLANK(E11)),IF(OR(B11="ALI",B11="AIE"),"L",IF(OR(B11="EE",B11="SE",B11="CE"),"A","")),IF(B11="EE",IF(E11&gt;=3,IF(D11&gt;=5,"H","A"),IF(E11&gt;=2,IF(D11&gt;=16,"H",IF(D11&lt;=4,"L","A")),IF(D11&lt;=15,"L","A"))),IF(OR(B11="SE",B11="CE"),IF(E11&gt;=4,IF(D11&gt;=6,"H","A"),IF(E11&gt;=2,IF(D11&gt;=20,"H",IF(D11&lt;=5,"L","A")),IF(D11&lt;=19,"L","A"))),IF(OR(B11="ALI",B11="AIE"),IF(E11&gt;=6,IF(D11&gt;=20,"H","A"),IF(E11&gt;=2,IF(D11&gt;=51,"H",IF(D11&lt;=19,"L","A")),IF(D11&lt;=50,"L","A"))),""))))</f>
        <v/>
      </c>
      <c r="J11" s="6" t="str">
        <f t="shared" ref="J11" si="16">CONCATENATE(B11,C11)</f>
        <v/>
      </c>
      <c r="K11" s="120" t="str">
        <f t="shared" ref="K11" si="17">IF(OR(H11="",H11=0),L11,H11)</f>
        <v/>
      </c>
      <c r="L11" s="120" t="str">
        <f>IF(NOT(ISERROR(VLOOKUP(B11,Deflatores!G$42:H$64,2,FALSE))),VLOOKUP(B11,Deflatores!G$42:H$64,2,FALSE),IF(OR(ISBLANK(C11),ISBLANK(B11)),"",VLOOKUP(C11,Deflatores!G$4:H$38,2,FALSE)*H11+VLOOKUP(C11,Deflatores!G$4:I$38,3,FALSE)))</f>
        <v/>
      </c>
      <c r="M11" s="7"/>
      <c r="N11" s="7"/>
      <c r="O11" s="5"/>
    </row>
    <row r="12" spans="1:15" x14ac:dyDescent="0.25">
      <c r="A12" s="113" t="s">
        <v>49</v>
      </c>
      <c r="B12" s="4"/>
      <c r="C12" s="4"/>
      <c r="D12" s="6"/>
      <c r="E12" s="6"/>
      <c r="F12" s="109" t="str">
        <f t="shared" ref="F12:F27" si="18">IF(ISBLANK(B12),"",IF(I12="L","Baixa",IF(I12="A","Média",IF(I12="","","Alta"))))</f>
        <v/>
      </c>
      <c r="G12" s="6" t="str">
        <f t="shared" ref="G12:G27" si="19">CONCATENATE(B12,I12)</f>
        <v/>
      </c>
      <c r="H12" s="6" t="str">
        <f t="shared" ref="H12:H27" si="20">IF(ISBLANK(B12),"",IF(B12="ALI",IF(I12="L",7,IF(I12="A",10,15)),IF(B12="AIE",IF(I12="L",5,IF(I12="A",7,10)),IF(B12="SE",IF(I12="L",4,IF(I12="A",5,7)),IF(OR(B12="EE",B12="CE"),IF(I12="L",3,IF(I12="A",4,6)),0)))))</f>
        <v/>
      </c>
      <c r="I12" s="109" t="str">
        <f t="shared" ref="I12:I27" si="21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/>
      </c>
      <c r="J12" s="6" t="str">
        <f t="shared" ref="J12:J27" si="22">CONCATENATE(B12,C12)</f>
        <v/>
      </c>
      <c r="K12" s="120" t="str">
        <f t="shared" ref="K12:K27" si="23">IF(OR(H12="",H12=0),L12,H12)</f>
        <v/>
      </c>
      <c r="L12" s="120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7"/>
      <c r="N12" s="7"/>
      <c r="O12" s="5"/>
    </row>
    <row r="13" spans="1:15" x14ac:dyDescent="0.25">
      <c r="A13" s="111" t="s">
        <v>50</v>
      </c>
      <c r="B13" s="4" t="s">
        <v>51</v>
      </c>
      <c r="C13" s="4" t="s">
        <v>48</v>
      </c>
      <c r="D13" s="6">
        <v>2</v>
      </c>
      <c r="E13" s="6">
        <v>5</v>
      </c>
      <c r="F13" s="109" t="str">
        <f>IF(ISBLANK(B13),"",IF(I13="L","Baixa",IF(I13="A","Média",IF(I13="","","Alta"))))</f>
        <v>Baixa</v>
      </c>
      <c r="G13" s="6" t="str">
        <f>CONCATENATE(B13,I13)</f>
        <v>AIEL</v>
      </c>
      <c r="H13" s="6">
        <f>IF(ISBLANK(B13),"",IF(B13="ALI",IF(I13="L",7,IF(I13="A",10,15)),IF(B13="AIE",IF(I13="L",5,IF(I13="A",7,10)),IF(B13="SE",IF(I13="L",4,IF(I13="A",5,7)),IF(OR(B13="EE",B13="CE"),IF(I13="L",3,IF(I13="A",4,6)),0)))))</f>
        <v>5</v>
      </c>
      <c r="I13" s="109" t="str">
        <f>IF(OR(ISBLANK(D13),ISBLANK(E13)),IF(OR(B13="ALI",B13="AIE"),"L",IF(OR(B13="EE",B13="SE",B13="CE"),"A","")),IF(B13="EE",IF(E13&gt;=3,IF(D13&gt;=5,"H","A"),IF(E13&gt;=2,IF(D13&gt;=16,"H",IF(D13&lt;=4,"L","A")),IF(D13&lt;=15,"L","A"))),IF(OR(B13="SE",B13="CE"),IF(E13&gt;=4,IF(D13&gt;=6,"H","A"),IF(E13&gt;=2,IF(D13&gt;=20,"H",IF(D13&lt;=5,"L","A")),IF(D13&lt;=19,"L","A"))),IF(OR(B13="ALI",B13="AIE"),IF(E13&gt;=6,IF(D13&gt;=20,"H","A"),IF(E13&gt;=2,IF(D13&gt;=51,"H",IF(D13&lt;=19,"L","A")),IF(D13&lt;=50,"L","A"))),""))))</f>
        <v>L</v>
      </c>
      <c r="J13" s="6" t="str">
        <f>CONCATENATE(B13,C13)</f>
        <v>AIEI</v>
      </c>
      <c r="K13" s="120">
        <f>IF(OR(H13="",H13=0),L13,H13)</f>
        <v>5</v>
      </c>
      <c r="L13" s="120">
        <f>IF(NOT(ISERROR(VLOOKUP(B13,Deflatores!G$42:H$64,2,FALSE))),VLOOKUP(B13,Deflatores!G$42:H$64,2,FALSE),IF(OR(ISBLANK(C13),ISBLANK(B13)),"",VLOOKUP(C13,Deflatores!G$4:H$38,2,FALSE)*H13+VLOOKUP(C13,Deflatores!G$4:I$38,3,FALSE)))</f>
        <v>5</v>
      </c>
      <c r="M13" s="7"/>
      <c r="N13" s="7"/>
      <c r="O13" s="5" t="s">
        <v>52</v>
      </c>
    </row>
    <row r="14" spans="1:15" x14ac:dyDescent="0.25">
      <c r="A14" s="111" t="s">
        <v>53</v>
      </c>
      <c r="B14" s="4" t="s">
        <v>51</v>
      </c>
      <c r="C14" s="4" t="s">
        <v>48</v>
      </c>
      <c r="D14" s="6">
        <v>4</v>
      </c>
      <c r="E14" s="6">
        <v>1</v>
      </c>
      <c r="F14" s="109" t="str">
        <f>IF(ISBLANK(B14),"",IF(I14="L","Baixa",IF(I14="A","Média",IF(I14="","","Alta"))))</f>
        <v>Baixa</v>
      </c>
      <c r="G14" s="6" t="str">
        <f>CONCATENATE(B14,I14)</f>
        <v>AIEL</v>
      </c>
      <c r="H14" s="6">
        <f>IF(ISBLANK(B14),"",IF(B14="ALI",IF(I14="L",7,IF(I14="A",10,15)),IF(B14="AIE",IF(I14="L",5,IF(I14="A",7,10)),IF(B14="SE",IF(I14="L",4,IF(I14="A",5,7)),IF(OR(B14="EE",B14="CE"),IF(I14="L",3,IF(I14="A",4,6)),0)))))</f>
        <v>5</v>
      </c>
      <c r="I14" s="109" t="str">
        <f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L</v>
      </c>
      <c r="J14" s="6" t="str">
        <f>CONCATENATE(B14,C14)</f>
        <v>AIEI</v>
      </c>
      <c r="K14" s="120">
        <f>IF(OR(H14="",H14=0),L14,H14)</f>
        <v>5</v>
      </c>
      <c r="L14" s="120">
        <f>IF(NOT(ISERROR(VLOOKUP(B14,Deflatores!G$42:H$64,2,FALSE))),VLOOKUP(B14,Deflatores!G$42:H$64,2,FALSE),IF(OR(ISBLANK(C14),ISBLANK(B14)),"",VLOOKUP(C14,Deflatores!G$4:H$38,2,FALSE)*H14+VLOOKUP(C14,Deflatores!G$4:I$38,3,FALSE)))</f>
        <v>5</v>
      </c>
      <c r="M14" s="7"/>
      <c r="N14" s="7"/>
      <c r="O14" s="5" t="s">
        <v>52</v>
      </c>
    </row>
    <row r="15" spans="1:15" x14ac:dyDescent="0.25">
      <c r="A15" s="111" t="s">
        <v>54</v>
      </c>
      <c r="B15" s="4" t="s">
        <v>44</v>
      </c>
      <c r="C15" s="4" t="s">
        <v>48</v>
      </c>
      <c r="D15" s="117">
        <v>4</v>
      </c>
      <c r="E15" s="117">
        <v>1</v>
      </c>
      <c r="F15" s="109" t="str">
        <f t="shared" si="18"/>
        <v>Baixa</v>
      </c>
      <c r="G15" s="6" t="str">
        <f t="shared" si="19"/>
        <v>CEL</v>
      </c>
      <c r="H15" s="6">
        <f t="shared" si="20"/>
        <v>3</v>
      </c>
      <c r="I15" s="109" t="str">
        <f t="shared" si="21"/>
        <v>L</v>
      </c>
      <c r="J15" s="6" t="str">
        <f t="shared" si="22"/>
        <v>CEI</v>
      </c>
      <c r="K15" s="120">
        <f t="shared" si="23"/>
        <v>3</v>
      </c>
      <c r="L15" s="120">
        <f>IF(NOT(ISERROR(VLOOKUP(B15,Deflatores!G$42:H$64,2,FALSE))),VLOOKUP(B15,Deflatores!G$42:H$64,2,FALSE),IF(OR(ISBLANK(C15),ISBLANK(B15)),"",VLOOKUP(C15,Deflatores!G$4:H$38,2,FALSE)*H15+VLOOKUP(C15,Deflatores!G$4:I$38,3,FALSE)))</f>
        <v>3</v>
      </c>
      <c r="M15" s="7"/>
      <c r="N15" s="7"/>
      <c r="O15" s="5"/>
    </row>
    <row r="16" spans="1:15" x14ac:dyDescent="0.25">
      <c r="A16" s="111" t="s">
        <v>56</v>
      </c>
      <c r="B16" s="4" t="s">
        <v>44</v>
      </c>
      <c r="C16" s="4" t="s">
        <v>48</v>
      </c>
      <c r="D16" s="117">
        <v>4</v>
      </c>
      <c r="E16" s="117">
        <v>3</v>
      </c>
      <c r="F16" s="109" t="str">
        <f t="shared" si="18"/>
        <v>Baixa</v>
      </c>
      <c r="G16" s="6" t="str">
        <f t="shared" si="19"/>
        <v>CEL</v>
      </c>
      <c r="H16" s="6">
        <f t="shared" si="20"/>
        <v>3</v>
      </c>
      <c r="I16" s="109" t="str">
        <f t="shared" si="21"/>
        <v>L</v>
      </c>
      <c r="J16" s="6" t="str">
        <f t="shared" si="22"/>
        <v>CEI</v>
      </c>
      <c r="K16" s="120">
        <f t="shared" si="23"/>
        <v>3</v>
      </c>
      <c r="L16" s="120">
        <f>IF(NOT(ISERROR(VLOOKUP(B16,Deflatores!G$42:H$64,2,FALSE))),VLOOKUP(B16,Deflatores!G$42:H$64,2,FALSE),IF(OR(ISBLANK(C16),ISBLANK(B16)),"",VLOOKUP(C16,Deflatores!G$4:H$38,2,FALSE)*H16+VLOOKUP(C16,Deflatores!G$4:I$38,3,FALSE)))</f>
        <v>3</v>
      </c>
      <c r="M16" s="7"/>
      <c r="N16" s="7"/>
      <c r="O16" s="5"/>
    </row>
    <row r="17" spans="1:15" x14ac:dyDescent="0.25">
      <c r="A17" s="111" t="s">
        <v>57</v>
      </c>
      <c r="B17" s="4" t="s">
        <v>44</v>
      </c>
      <c r="C17" s="4" t="s">
        <v>48</v>
      </c>
      <c r="D17" s="117">
        <v>4</v>
      </c>
      <c r="E17" s="117">
        <v>2</v>
      </c>
      <c r="F17" s="109" t="str">
        <f t="shared" si="18"/>
        <v>Baixa</v>
      </c>
      <c r="G17" s="6" t="str">
        <f t="shared" si="19"/>
        <v>CEL</v>
      </c>
      <c r="H17" s="6">
        <f t="shared" si="20"/>
        <v>3</v>
      </c>
      <c r="I17" s="109" t="str">
        <f t="shared" si="21"/>
        <v>L</v>
      </c>
      <c r="J17" s="6" t="str">
        <f t="shared" si="22"/>
        <v>CEI</v>
      </c>
      <c r="K17" s="120">
        <f t="shared" si="23"/>
        <v>3</v>
      </c>
      <c r="L17" s="120">
        <f>IF(NOT(ISERROR(VLOOKUP(B17,Deflatores!G$42:H$64,2,FALSE))),VLOOKUP(B17,Deflatores!G$42:H$64,2,FALSE),IF(OR(ISBLANK(C17),ISBLANK(B17)),"",VLOOKUP(C17,Deflatores!G$4:H$38,2,FALSE)*H17+VLOOKUP(C17,Deflatores!G$4:I$38,3,FALSE)))</f>
        <v>3</v>
      </c>
      <c r="M17" s="7"/>
      <c r="N17" s="7"/>
      <c r="O17" s="5"/>
    </row>
    <row r="18" spans="1:15" x14ac:dyDescent="0.25">
      <c r="A18" s="111" t="s">
        <v>58</v>
      </c>
      <c r="B18" s="4" t="s">
        <v>44</v>
      </c>
      <c r="C18" s="4" t="s">
        <v>48</v>
      </c>
      <c r="D18" s="117">
        <v>3</v>
      </c>
      <c r="E18" s="117">
        <v>1</v>
      </c>
      <c r="F18" s="109" t="str">
        <f t="shared" si="18"/>
        <v>Baixa</v>
      </c>
      <c r="G18" s="6" t="str">
        <f t="shared" si="19"/>
        <v>CEL</v>
      </c>
      <c r="H18" s="6">
        <f t="shared" si="20"/>
        <v>3</v>
      </c>
      <c r="I18" s="109" t="str">
        <f t="shared" si="21"/>
        <v>L</v>
      </c>
      <c r="J18" s="6" t="str">
        <f t="shared" si="22"/>
        <v>CEI</v>
      </c>
      <c r="K18" s="120">
        <f t="shared" si="23"/>
        <v>3</v>
      </c>
      <c r="L18" s="120">
        <f>IF(NOT(ISERROR(VLOOKUP(B18,Deflatores!G$42:H$64,2,FALSE))),VLOOKUP(B18,Deflatores!G$42:H$64,2,FALSE),IF(OR(ISBLANK(C18),ISBLANK(B18)),"",VLOOKUP(C18,Deflatores!G$4:H$38,2,FALSE)*H18+VLOOKUP(C18,Deflatores!G$4:I$38,3,FALSE)))</f>
        <v>3</v>
      </c>
      <c r="M18" s="7"/>
      <c r="N18" s="7"/>
      <c r="O18" s="5" t="s">
        <v>59</v>
      </c>
    </row>
    <row r="19" spans="1:15" x14ac:dyDescent="0.25">
      <c r="A19" s="124" t="s">
        <v>60</v>
      </c>
      <c r="B19" s="4" t="s">
        <v>44</v>
      </c>
      <c r="C19" s="4" t="s">
        <v>48</v>
      </c>
      <c r="D19" s="117">
        <v>10</v>
      </c>
      <c r="E19" s="6">
        <v>5</v>
      </c>
      <c r="F19" s="109" t="str">
        <f t="shared" ref="F19" si="24">IF(ISBLANK(B19),"",IF(I19="L","Baixa",IF(I19="A","Média",IF(I19="","","Alta"))))</f>
        <v>Alta</v>
      </c>
      <c r="G19" s="6" t="str">
        <f t="shared" ref="G19" si="25">CONCATENATE(B19,I19)</f>
        <v>CEH</v>
      </c>
      <c r="H19" s="6">
        <f t="shared" ref="H19" si="26">IF(ISBLANK(B19),"",IF(B19="ALI",IF(I19="L",7,IF(I19="A",10,15)),IF(B19="AIE",IF(I19="L",5,IF(I19="A",7,10)),IF(B19="SE",IF(I19="L",4,IF(I19="A",5,7)),IF(OR(B19="EE",B19="CE"),IF(I19="L",3,IF(I19="A",4,6)),0)))))</f>
        <v>6</v>
      </c>
      <c r="I19" s="109" t="str">
        <f t="shared" ref="I19" si="27">IF(OR(ISBLANK(D19),ISBLANK(E19)),IF(OR(B19="ALI",B19="AIE"),"L",IF(OR(B19="EE",B19="SE",B19="CE"),"A","")),IF(B19="EE",IF(E19&gt;=3,IF(D19&gt;=5,"H","A"),IF(E19&gt;=2,IF(D19&gt;=16,"H",IF(D19&lt;=4,"L","A")),IF(D19&lt;=15,"L","A"))),IF(OR(B19="SE",B19="CE"),IF(E19&gt;=4,IF(D19&gt;=6,"H","A"),IF(E19&gt;=2,IF(D19&gt;=20,"H",IF(D19&lt;=5,"L","A")),IF(D19&lt;=19,"L","A"))),IF(OR(B19="ALI",B19="AIE"),IF(E19&gt;=6,IF(D19&gt;=20,"H","A"),IF(E19&gt;=2,IF(D19&gt;=51,"H",IF(D19&lt;=19,"L","A")),IF(D19&lt;=50,"L","A"))),""))))</f>
        <v>H</v>
      </c>
      <c r="J19" s="6" t="str">
        <f t="shared" ref="J19" si="28">CONCATENATE(B19,C19)</f>
        <v>CEI</v>
      </c>
      <c r="K19" s="120">
        <f t="shared" ref="K19" si="29">IF(OR(H19="",H19=0),L19,H19)</f>
        <v>6</v>
      </c>
      <c r="L19" s="120">
        <f>IF(NOT(ISERROR(VLOOKUP(B19,Deflatores!G$42:H$64,2,FALSE))),VLOOKUP(B19,Deflatores!G$42:H$64,2,FALSE),IF(OR(ISBLANK(C19),ISBLANK(B19)),"",VLOOKUP(C19,Deflatores!G$4:H$38,2,FALSE)*H19+VLOOKUP(C19,Deflatores!G$4:I$38,3,FALSE)))</f>
        <v>6</v>
      </c>
      <c r="M19" s="7"/>
      <c r="N19" s="7"/>
      <c r="O19" s="5"/>
    </row>
    <row r="20" spans="1:15" x14ac:dyDescent="0.25">
      <c r="A20" s="124" t="s">
        <v>61</v>
      </c>
      <c r="B20" s="4" t="s">
        <v>44</v>
      </c>
      <c r="C20" s="4" t="s">
        <v>48</v>
      </c>
      <c r="D20" s="117">
        <v>10</v>
      </c>
      <c r="E20" s="6">
        <v>5</v>
      </c>
      <c r="F20" s="109" t="str">
        <f t="shared" si="18"/>
        <v>Alta</v>
      </c>
      <c r="G20" s="6" t="str">
        <f t="shared" si="19"/>
        <v>CEH</v>
      </c>
      <c r="H20" s="6">
        <f t="shared" si="20"/>
        <v>6</v>
      </c>
      <c r="I20" s="109" t="str">
        <f t="shared" si="21"/>
        <v>H</v>
      </c>
      <c r="J20" s="6" t="str">
        <f t="shared" si="22"/>
        <v>CEI</v>
      </c>
      <c r="K20" s="120">
        <f t="shared" si="23"/>
        <v>6</v>
      </c>
      <c r="L20" s="120">
        <f>IF(NOT(ISERROR(VLOOKUP(B20,Deflatores!G$42:H$64,2,FALSE))),VLOOKUP(B20,Deflatores!G$42:H$64,2,FALSE),IF(OR(ISBLANK(C20),ISBLANK(B20)),"",VLOOKUP(C20,Deflatores!G$4:H$38,2,FALSE)*H20+VLOOKUP(C20,Deflatores!G$4:I$38,3,FALSE)))</f>
        <v>6</v>
      </c>
      <c r="M20" s="7"/>
      <c r="N20" s="7"/>
      <c r="O20" s="5"/>
    </row>
    <row r="21" spans="1:15" x14ac:dyDescent="0.25">
      <c r="A21" s="111"/>
      <c r="B21" s="4"/>
      <c r="C21" s="4"/>
      <c r="D21" s="6"/>
      <c r="E21" s="6"/>
      <c r="F21" s="109" t="str">
        <f t="shared" si="18"/>
        <v/>
      </c>
      <c r="G21" s="6" t="str">
        <f t="shared" si="19"/>
        <v/>
      </c>
      <c r="H21" s="6" t="str">
        <f t="shared" si="20"/>
        <v/>
      </c>
      <c r="I21" s="109" t="str">
        <f t="shared" si="21"/>
        <v/>
      </c>
      <c r="J21" s="6" t="str">
        <f t="shared" si="22"/>
        <v/>
      </c>
      <c r="K21" s="120" t="str">
        <f t="shared" si="23"/>
        <v/>
      </c>
      <c r="L21" s="120" t="str">
        <f>IF(NOT(ISERROR(VLOOKUP(B21,Deflatores!G$42:H$64,2,FALSE))),VLOOKUP(B21,Deflatores!G$42:H$64,2,FALSE),IF(OR(ISBLANK(C21),ISBLANK(B21)),"",VLOOKUP(C21,Deflatores!G$4:H$38,2,FALSE)*H21+VLOOKUP(C21,Deflatores!G$4:I$38,3,FALSE)))</f>
        <v/>
      </c>
      <c r="M21" s="7"/>
      <c r="N21" s="7"/>
      <c r="O21" s="5"/>
    </row>
    <row r="22" spans="1:15" x14ac:dyDescent="0.25">
      <c r="A22" s="113" t="s">
        <v>62</v>
      </c>
      <c r="B22" s="4"/>
      <c r="C22" s="4"/>
      <c r="D22" s="6"/>
      <c r="E22" s="6"/>
      <c r="F22" s="109" t="str">
        <f t="shared" si="18"/>
        <v/>
      </c>
      <c r="G22" s="6" t="str">
        <f t="shared" si="19"/>
        <v/>
      </c>
      <c r="H22" s="6" t="str">
        <f t="shared" si="20"/>
        <v/>
      </c>
      <c r="I22" s="109" t="str">
        <f t="shared" si="21"/>
        <v/>
      </c>
      <c r="J22" s="6" t="str">
        <f t="shared" si="22"/>
        <v/>
      </c>
      <c r="K22" s="120" t="str">
        <f t="shared" si="23"/>
        <v/>
      </c>
      <c r="L22" s="120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7"/>
      <c r="N22" s="7"/>
      <c r="O22" s="5"/>
    </row>
    <row r="23" spans="1:15" x14ac:dyDescent="0.25">
      <c r="A23" s="111" t="s">
        <v>63</v>
      </c>
      <c r="B23" s="4" t="s">
        <v>64</v>
      </c>
      <c r="C23" s="4" t="s">
        <v>48</v>
      </c>
      <c r="D23" s="117">
        <v>13</v>
      </c>
      <c r="E23" s="117">
        <v>6</v>
      </c>
      <c r="F23" s="109" t="str">
        <f>IF(ISBLANK(B23),"",IF(I23="L","Baixa",IF(I23="A","Média",IF(I23="","","Alta"))))</f>
        <v>Média</v>
      </c>
      <c r="G23" s="6" t="str">
        <f>CONCATENATE(B23,I23)</f>
        <v>ALIA</v>
      </c>
      <c r="H23" s="6">
        <f>IF(ISBLANK(B23),"",IF(B23="ALI",IF(I23="L",7,IF(I23="A",10,15)),IF(B23="AIE",IF(I23="L",5,IF(I23="A",7,10)),IF(B23="SE",IF(I23="L",4,IF(I23="A",5,7)),IF(OR(B23="EE",B23="CE"),IF(I23="L",3,IF(I23="A",4,6)),0)))))</f>
        <v>10</v>
      </c>
      <c r="I23" s="109" t="str">
        <f>IF(OR(ISBLANK(D23),ISBLANK(E23)),IF(OR(B23="ALI",B23="AIE"),"L",IF(OR(B23="EE",B23="SE",B23="CE"),"A","")),IF(B23="EE",IF(E23&gt;=3,IF(D23&gt;=5,"H","A"),IF(E23&gt;=2,IF(D23&gt;=16,"H",IF(D23&lt;=4,"L","A")),IF(D23&lt;=15,"L","A"))),IF(OR(B23="SE",B23="CE"),IF(E23&gt;=4,IF(D23&gt;=6,"H","A"),IF(E23&gt;=2,IF(D23&gt;=20,"H",IF(D23&lt;=5,"L","A")),IF(D23&lt;=19,"L","A"))),IF(OR(B23="ALI",B23="AIE"),IF(E23&gt;=6,IF(D23&gt;=20,"H","A"),IF(E23&gt;=2,IF(D23&gt;=51,"H",IF(D23&lt;=19,"L","A")),IF(D23&lt;=50,"L","A"))),""))))</f>
        <v>A</v>
      </c>
      <c r="J23" s="6" t="str">
        <f>CONCATENATE(B23,C23)</f>
        <v>ALII</v>
      </c>
      <c r="K23" s="120">
        <f>IF(OR(H23="",H23=0),L23,H23)</f>
        <v>10</v>
      </c>
      <c r="L23" s="120">
        <f>IF(NOT(ISERROR(VLOOKUP(B23,Deflatores!G$42:H$64,2,FALSE))),VLOOKUP(B23,Deflatores!G$42:H$64,2,FALSE),IF(OR(ISBLANK(C23),ISBLANK(B23)),"",VLOOKUP(C23,Deflatores!G$4:H$38,2,FALSE)*H23+VLOOKUP(C23,Deflatores!G$4:I$38,3,FALSE)))</f>
        <v>10</v>
      </c>
      <c r="M23" s="7"/>
      <c r="N23" s="7"/>
      <c r="O23" s="119"/>
    </row>
    <row r="24" spans="1:15" x14ac:dyDescent="0.25">
      <c r="A24" s="111" t="s">
        <v>65</v>
      </c>
      <c r="B24" s="4" t="s">
        <v>51</v>
      </c>
      <c r="C24" s="4" t="s">
        <v>48</v>
      </c>
      <c r="D24" s="6">
        <v>4</v>
      </c>
      <c r="E24" s="6">
        <v>1</v>
      </c>
      <c r="F24" s="109" t="str">
        <f>IF(ISBLANK(B24),"",IF(I24="L","Baixa",IF(I24="A","Média",IF(I24="","","Alta"))))</f>
        <v>Baixa</v>
      </c>
      <c r="G24" s="6" t="str">
        <f>CONCATENATE(B24,I24)</f>
        <v>AIEL</v>
      </c>
      <c r="H24" s="6">
        <f>IF(ISBLANK(B24),"",IF(B24="ALI",IF(I24="L",7,IF(I24="A",10,15)),IF(B24="AIE",IF(I24="L",5,IF(I24="A",7,10)),IF(B24="SE",IF(I24="L",4,IF(I24="A",5,7)),IF(OR(B24="EE",B24="CE"),IF(I24="L",3,IF(I24="A",4,6)),0)))))</f>
        <v>5</v>
      </c>
      <c r="I24" s="109" t="str">
        <f>IF(OR(ISBLANK(D24),ISBLANK(E24)),IF(OR(B24="ALI",B24="AIE"),"L",IF(OR(B24="EE",B24="SE",B24="CE"),"A","")),IF(B24="EE",IF(E24&gt;=3,IF(D24&gt;=5,"H","A"),IF(E24&gt;=2,IF(D24&gt;=16,"H",IF(D24&lt;=4,"L","A")),IF(D24&lt;=15,"L","A"))),IF(OR(B24="SE",B24="CE"),IF(E24&gt;=4,IF(D24&gt;=6,"H","A"),IF(E24&gt;=2,IF(D24&gt;=20,"H",IF(D24&lt;=5,"L","A")),IF(D24&lt;=19,"L","A"))),IF(OR(B24="ALI",B24="AIE"),IF(E24&gt;=6,IF(D24&gt;=20,"H","A"),IF(E24&gt;=2,IF(D24&gt;=51,"H",IF(D24&lt;=19,"L","A")),IF(D24&lt;=50,"L","A"))),""))))</f>
        <v>L</v>
      </c>
      <c r="J24" s="6" t="str">
        <f>CONCATENATE(B24,C24)</f>
        <v>AIEI</v>
      </c>
      <c r="K24" s="120">
        <f>IF(OR(H24="",H24=0),L24,H24)</f>
        <v>5</v>
      </c>
      <c r="L24" s="120">
        <f>IF(NOT(ISERROR(VLOOKUP(B24,Deflatores!G$42:H$64,2,FALSE))),VLOOKUP(B24,Deflatores!G$42:H$64,2,FALSE),IF(OR(ISBLANK(C24),ISBLANK(B24)),"",VLOOKUP(C24,Deflatores!G$4:H$38,2,FALSE)*H24+VLOOKUP(C24,Deflatores!G$4:I$38,3,FALSE)))</f>
        <v>5</v>
      </c>
      <c r="M24" s="7"/>
      <c r="N24" s="7"/>
      <c r="O24" s="5"/>
    </row>
    <row r="25" spans="1:15" x14ac:dyDescent="0.25">
      <c r="A25" s="111" t="s">
        <v>66</v>
      </c>
      <c r="B25" s="4" t="s">
        <v>44</v>
      </c>
      <c r="C25" s="4" t="s">
        <v>48</v>
      </c>
      <c r="D25" s="117">
        <v>7</v>
      </c>
      <c r="E25" s="117">
        <v>2</v>
      </c>
      <c r="F25" s="109" t="str">
        <f t="shared" ref="F25" si="30">IF(ISBLANK(B25),"",IF(I25="L","Baixa",IF(I25="A","Média",IF(I25="","","Alta"))))</f>
        <v>Média</v>
      </c>
      <c r="G25" s="6" t="str">
        <f t="shared" ref="G25" si="31">CONCATENATE(B25,I25)</f>
        <v>CEA</v>
      </c>
      <c r="H25" s="6">
        <f t="shared" ref="H25" si="32">IF(ISBLANK(B25),"",IF(B25="ALI",IF(I25="L",7,IF(I25="A",10,15)),IF(B25="AIE",IF(I25="L",5,IF(I25="A",7,10)),IF(B25="SE",IF(I25="L",4,IF(I25="A",5,7)),IF(OR(B25="EE",B25="CE"),IF(I25="L",3,IF(I25="A",4,6)),0)))))</f>
        <v>4</v>
      </c>
      <c r="I25" s="109" t="str">
        <f t="shared" ref="I25" si="33">IF(OR(ISBLANK(D25),ISBLANK(E25)),IF(OR(B25="ALI",B25="AIE"),"L",IF(OR(B25="EE",B25="SE",B25="CE"),"A","")),IF(B25="EE",IF(E25&gt;=3,IF(D25&gt;=5,"H","A"),IF(E25&gt;=2,IF(D25&gt;=16,"H",IF(D25&lt;=4,"L","A")),IF(D25&lt;=15,"L","A"))),IF(OR(B25="SE",B25="CE"),IF(E25&gt;=4,IF(D25&gt;=6,"H","A"),IF(E25&gt;=2,IF(D25&gt;=20,"H",IF(D25&lt;=5,"L","A")),IF(D25&lt;=19,"L","A"))),IF(OR(B25="ALI",B25="AIE"),IF(E25&gt;=6,IF(D25&gt;=20,"H","A"),IF(E25&gt;=2,IF(D25&gt;=51,"H",IF(D25&lt;=19,"L","A")),IF(D25&lt;=50,"L","A"))),""))))</f>
        <v>A</v>
      </c>
      <c r="J25" s="6" t="str">
        <f t="shared" ref="J25" si="34">CONCATENATE(B25,C25)</f>
        <v>CEI</v>
      </c>
      <c r="K25" s="120">
        <f t="shared" ref="K25" si="35">IF(OR(H25="",H25=0),L25,H25)</f>
        <v>4</v>
      </c>
      <c r="L25" s="120">
        <f>IF(NOT(ISERROR(VLOOKUP(B25,Deflatores!G$42:H$64,2,FALSE))),VLOOKUP(B25,Deflatores!G$42:H$64,2,FALSE),IF(OR(ISBLANK(C25),ISBLANK(B25)),"",VLOOKUP(C25,Deflatores!G$4:H$38,2,FALSE)*H25+VLOOKUP(C25,Deflatores!G$4:I$38,3,FALSE)))</f>
        <v>4</v>
      </c>
      <c r="M25" s="7"/>
      <c r="N25" s="7"/>
      <c r="O25" s="5"/>
    </row>
    <row r="26" spans="1:15" x14ac:dyDescent="0.25">
      <c r="A26" s="111" t="s">
        <v>67</v>
      </c>
      <c r="B26" s="4" t="s">
        <v>44</v>
      </c>
      <c r="C26" s="4" t="s">
        <v>68</v>
      </c>
      <c r="D26" s="117">
        <v>3</v>
      </c>
      <c r="E26" s="117">
        <v>1</v>
      </c>
      <c r="F26" s="109" t="str">
        <f t="shared" ref="F26" si="36">IF(ISBLANK(B26),"",IF(I26="L","Baixa",IF(I26="A","Média",IF(I26="","","Alta"))))</f>
        <v>Baixa</v>
      </c>
      <c r="G26" s="6" t="str">
        <f t="shared" ref="G26" si="37">CONCATENATE(B26,I26)</f>
        <v>CEL</v>
      </c>
      <c r="H26" s="6">
        <f t="shared" ref="H26" si="38">IF(ISBLANK(B26),"",IF(B26="ALI",IF(I26="L",7,IF(I26="A",10,15)),IF(B26="AIE",IF(I26="L",5,IF(I26="A",7,10)),IF(B26="SE",IF(I26="L",4,IF(I26="A",5,7)),IF(OR(B26="EE",B26="CE"),IF(I26="L",3,IF(I26="A",4,6)),0)))))</f>
        <v>3</v>
      </c>
      <c r="I26" s="109" t="str">
        <f t="shared" ref="I26" si="39">IF(OR(ISBLANK(D26),ISBLANK(E26)),IF(OR(B26="ALI",B26="AIE"),"L",IF(OR(B26="EE",B26="SE",B26="CE"),"A","")),IF(B26="EE",IF(E26&gt;=3,IF(D26&gt;=5,"H","A"),IF(E26&gt;=2,IF(D26&gt;=16,"H",IF(D26&lt;=4,"L","A")),IF(D26&lt;=15,"L","A"))),IF(OR(B26="SE",B26="CE"),IF(E26&gt;=4,IF(D26&gt;=6,"H","A"),IF(E26&gt;=2,IF(D26&gt;=20,"H",IF(D26&lt;=5,"L","A")),IF(D26&lt;=19,"L","A"))),IF(OR(B26="ALI",B26="AIE"),IF(E26&gt;=6,IF(D26&gt;=20,"H","A"),IF(E26&gt;=2,IF(D26&gt;=51,"H",IF(D26&lt;=19,"L","A")),IF(D26&lt;=50,"L","A"))),""))))</f>
        <v>L</v>
      </c>
      <c r="J26" s="6" t="str">
        <f t="shared" ref="J26" si="40">CONCATENATE(B26,C26)</f>
        <v>CEE</v>
      </c>
      <c r="K26" s="120">
        <f t="shared" ref="K26" si="41">IF(OR(H26="",H26=0),L26,H26)</f>
        <v>3</v>
      </c>
      <c r="L26" s="120">
        <f>IF(NOT(ISERROR(VLOOKUP(B26,Deflatores!G$42:H$64,2,FALSE))),VLOOKUP(B26,Deflatores!G$42:H$64,2,FALSE),IF(OR(ISBLANK(C26),ISBLANK(B26)),"",VLOOKUP(C26,Deflatores!G$4:H$38,2,FALSE)*H26+VLOOKUP(C26,Deflatores!G$4:I$38,3,FALSE)))</f>
        <v>1.2000000000000002</v>
      </c>
      <c r="M26" s="7"/>
      <c r="N26" s="7"/>
      <c r="O26" s="5" t="s">
        <v>69</v>
      </c>
    </row>
    <row r="27" spans="1:15" x14ac:dyDescent="0.25">
      <c r="A27" s="124" t="s">
        <v>70</v>
      </c>
      <c r="B27" s="118" t="s">
        <v>44</v>
      </c>
      <c r="C27" s="4" t="s">
        <v>48</v>
      </c>
      <c r="D27" s="117">
        <v>12</v>
      </c>
      <c r="E27" s="117">
        <v>3</v>
      </c>
      <c r="F27" s="109" t="str">
        <f t="shared" si="18"/>
        <v>Média</v>
      </c>
      <c r="G27" s="6" t="str">
        <f t="shared" si="19"/>
        <v>CEA</v>
      </c>
      <c r="H27" s="6">
        <f t="shared" si="20"/>
        <v>4</v>
      </c>
      <c r="I27" s="109" t="str">
        <f t="shared" si="21"/>
        <v>A</v>
      </c>
      <c r="J27" s="6" t="str">
        <f t="shared" si="22"/>
        <v>CEI</v>
      </c>
      <c r="K27" s="120">
        <f t="shared" si="23"/>
        <v>4</v>
      </c>
      <c r="L27" s="120">
        <f>IF(NOT(ISERROR(VLOOKUP(B27,Deflatores!G$42:H$64,2,FALSE))),VLOOKUP(B27,Deflatores!G$42:H$64,2,FALSE),IF(OR(ISBLANK(C27),ISBLANK(B27)),"",VLOOKUP(C27,Deflatores!G$4:H$38,2,FALSE)*H27+VLOOKUP(C27,Deflatores!G$4:I$38,3,FALSE)))</f>
        <v>4</v>
      </c>
      <c r="M27" s="7"/>
      <c r="N27" s="7"/>
      <c r="O27" s="5"/>
    </row>
    <row r="28" spans="1:15" x14ac:dyDescent="0.25">
      <c r="A28" s="124" t="s">
        <v>71</v>
      </c>
      <c r="B28" s="118" t="s">
        <v>44</v>
      </c>
      <c r="C28" s="4" t="s">
        <v>48</v>
      </c>
      <c r="D28" s="117">
        <v>12</v>
      </c>
      <c r="E28" s="117">
        <v>3</v>
      </c>
      <c r="F28" s="109" t="str">
        <f t="shared" ref="F28:F92" si="42">IF(ISBLANK(B28),"",IF(I28="L","Baixa",IF(I28="A","Média",IF(I28="","","Alta"))))</f>
        <v>Média</v>
      </c>
      <c r="G28" s="6" t="str">
        <f t="shared" ref="G28:G92" si="43">CONCATENATE(B28,I28)</f>
        <v>CEA</v>
      </c>
      <c r="H28" s="6">
        <f t="shared" ref="H28:H92" si="44">IF(ISBLANK(B28),"",IF(B28="ALI",IF(I28="L",7,IF(I28="A",10,15)),IF(B28="AIE",IF(I28="L",5,IF(I28="A",7,10)),IF(B28="SE",IF(I28="L",4,IF(I28="A",5,7)),IF(OR(B28="EE",B28="CE"),IF(I28="L",3,IF(I28="A",4,6)),0)))))</f>
        <v>4</v>
      </c>
      <c r="I28" s="109" t="str">
        <f t="shared" ref="I28:I92" si="45">IF(OR(ISBLANK(D28),ISBLANK(E28)),IF(OR(B28="ALI",B28="AIE"),"L",IF(OR(B28="EE",B28="SE",B28="CE"),"A","")),IF(B28="EE",IF(E28&gt;=3,IF(D28&gt;=5,"H","A"),IF(E28&gt;=2,IF(D28&gt;=16,"H",IF(D28&lt;=4,"L","A")),IF(D28&lt;=15,"L","A"))),IF(OR(B28="SE",B28="CE"),IF(E28&gt;=4,IF(D28&gt;=6,"H","A"),IF(E28&gt;=2,IF(D28&gt;=20,"H",IF(D28&lt;=5,"L","A")),IF(D28&lt;=19,"L","A"))),IF(OR(B28="ALI",B28="AIE"),IF(E28&gt;=6,IF(D28&gt;=20,"H","A"),IF(E28&gt;=2,IF(D28&gt;=51,"H",IF(D28&lt;=19,"L","A")),IF(D28&lt;=50,"L","A"))),""))))</f>
        <v>A</v>
      </c>
      <c r="J28" s="6" t="str">
        <f t="shared" ref="J28:J92" si="46">CONCATENATE(B28,C28)</f>
        <v>CEI</v>
      </c>
      <c r="K28" s="120">
        <f t="shared" ref="K28:K114" si="47">IF(OR(H28="",H28=0),L28,H28)</f>
        <v>4</v>
      </c>
      <c r="L28" s="120">
        <f>IF(NOT(ISERROR(VLOOKUP(B28,Deflatores!G$42:H$64,2,FALSE))),VLOOKUP(B28,Deflatores!G$42:H$64,2,FALSE),IF(OR(ISBLANK(C28),ISBLANK(B28)),"",VLOOKUP(C28,Deflatores!G$4:H$38,2,FALSE)*H28+VLOOKUP(C28,Deflatores!G$4:I$38,3,FALSE)))</f>
        <v>4</v>
      </c>
      <c r="M28" s="7"/>
      <c r="N28" s="7"/>
      <c r="O28" s="5"/>
    </row>
    <row r="29" spans="1:15" x14ac:dyDescent="0.25">
      <c r="A29" s="124" t="s">
        <v>72</v>
      </c>
      <c r="B29" s="118" t="s">
        <v>47</v>
      </c>
      <c r="C29" s="4" t="s">
        <v>48</v>
      </c>
      <c r="D29" s="117">
        <v>5</v>
      </c>
      <c r="E29" s="117">
        <v>1</v>
      </c>
      <c r="F29" s="109" t="str">
        <f t="shared" si="42"/>
        <v>Baixa</v>
      </c>
      <c r="G29" s="6" t="str">
        <f t="shared" si="43"/>
        <v>EEL</v>
      </c>
      <c r="H29" s="6">
        <f t="shared" si="44"/>
        <v>3</v>
      </c>
      <c r="I29" s="109" t="str">
        <f t="shared" si="45"/>
        <v>L</v>
      </c>
      <c r="J29" s="6" t="str">
        <f t="shared" si="46"/>
        <v>EEI</v>
      </c>
      <c r="K29" s="120">
        <f t="shared" si="47"/>
        <v>3</v>
      </c>
      <c r="L29" s="120">
        <f>IF(NOT(ISERROR(VLOOKUP(B29,Deflatores!G$42:H$64,2,FALSE))),VLOOKUP(B29,Deflatores!G$42:H$64,2,FALSE),IF(OR(ISBLANK(C29),ISBLANK(B29)),"",VLOOKUP(C29,Deflatores!G$4:H$38,2,FALSE)*H29+VLOOKUP(C29,Deflatores!G$4:I$38,3,FALSE)))</f>
        <v>3</v>
      </c>
      <c r="M29" s="7"/>
      <c r="N29" s="7"/>
      <c r="O29" s="5"/>
    </row>
    <row r="30" spans="1:15" x14ac:dyDescent="0.25">
      <c r="A30" s="124" t="s">
        <v>73</v>
      </c>
      <c r="B30" s="118" t="s">
        <v>44</v>
      </c>
      <c r="C30" s="4" t="s">
        <v>68</v>
      </c>
      <c r="D30" s="117">
        <v>7</v>
      </c>
      <c r="E30" s="117">
        <v>5</v>
      </c>
      <c r="F30" s="109" t="str">
        <f t="shared" ref="F30:F31" si="48">IF(ISBLANK(B30),"",IF(I30="L","Baixa",IF(I30="A","Média",IF(I30="","","Alta"))))</f>
        <v>Alta</v>
      </c>
      <c r="G30" s="6" t="str">
        <f t="shared" ref="G30:G31" si="49">CONCATENATE(B30,I30)</f>
        <v>CEH</v>
      </c>
      <c r="H30" s="6">
        <f t="shared" ref="H30:H31" si="50">IF(ISBLANK(B30),"",IF(B30="ALI",IF(I30="L",7,IF(I30="A",10,15)),IF(B30="AIE",IF(I30="L",5,IF(I30="A",7,10)),IF(B30="SE",IF(I30="L",4,IF(I30="A",5,7)),IF(OR(B30="EE",B30="CE"),IF(I30="L",3,IF(I30="A",4,6)),0)))))</f>
        <v>6</v>
      </c>
      <c r="I30" s="109" t="str">
        <f t="shared" ref="I30:I31" si="51"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>H</v>
      </c>
      <c r="J30" s="6" t="str">
        <f t="shared" ref="J30:J31" si="52">CONCATENATE(B30,C30)</f>
        <v>CEE</v>
      </c>
      <c r="K30" s="120">
        <f t="shared" ref="K30:K31" si="53">IF(OR(H30="",H30=0),L30,H30)</f>
        <v>6</v>
      </c>
      <c r="L30" s="120">
        <f>IF(NOT(ISERROR(VLOOKUP(B30,Deflatores!G$42:H$64,2,FALSE))),VLOOKUP(B30,Deflatores!G$42:H$64,2,FALSE),IF(OR(ISBLANK(C30),ISBLANK(B30)),"",VLOOKUP(C30,Deflatores!G$4:H$38,2,FALSE)*H30+VLOOKUP(C30,Deflatores!G$4:I$38,3,FALSE)))</f>
        <v>2.4000000000000004</v>
      </c>
      <c r="M30" s="7"/>
      <c r="N30" s="7"/>
      <c r="O30" s="119"/>
    </row>
    <row r="31" spans="1:15" x14ac:dyDescent="0.25">
      <c r="A31" s="124" t="s">
        <v>74</v>
      </c>
      <c r="B31" s="118" t="s">
        <v>47</v>
      </c>
      <c r="C31" s="4" t="s">
        <v>68</v>
      </c>
      <c r="D31" s="117">
        <v>4</v>
      </c>
      <c r="E31" s="117">
        <v>2</v>
      </c>
      <c r="F31" s="109" t="str">
        <f t="shared" si="48"/>
        <v>Baixa</v>
      </c>
      <c r="G31" s="6" t="str">
        <f t="shared" si="49"/>
        <v>EEL</v>
      </c>
      <c r="H31" s="6">
        <f t="shared" si="50"/>
        <v>3</v>
      </c>
      <c r="I31" s="109" t="str">
        <f t="shared" si="51"/>
        <v>L</v>
      </c>
      <c r="J31" s="6" t="str">
        <f t="shared" si="52"/>
        <v>EEE</v>
      </c>
      <c r="K31" s="120">
        <f t="shared" si="53"/>
        <v>3</v>
      </c>
      <c r="L31" s="120">
        <f>IF(NOT(ISERROR(VLOOKUP(B31,Deflatores!G$42:H$64,2,FALSE))),VLOOKUP(B31,Deflatores!G$42:H$64,2,FALSE),IF(OR(ISBLANK(C31),ISBLANK(B31)),"",VLOOKUP(C31,Deflatores!G$4:H$38,2,FALSE)*H31+VLOOKUP(C31,Deflatores!G$4:I$38,3,FALSE)))</f>
        <v>1.2000000000000002</v>
      </c>
      <c r="M31" s="7"/>
      <c r="N31" s="7"/>
      <c r="O31" s="119"/>
    </row>
    <row r="32" spans="1:15" x14ac:dyDescent="0.25">
      <c r="A32" s="111"/>
      <c r="B32" s="4"/>
      <c r="C32" s="4"/>
      <c r="D32" s="6"/>
      <c r="E32" s="6"/>
      <c r="F32" s="109" t="str">
        <f t="shared" si="42"/>
        <v/>
      </c>
      <c r="G32" s="6" t="str">
        <f t="shared" si="43"/>
        <v/>
      </c>
      <c r="H32" s="6" t="str">
        <f t="shared" si="44"/>
        <v/>
      </c>
      <c r="I32" s="109" t="str">
        <f t="shared" si="45"/>
        <v/>
      </c>
      <c r="J32" s="6" t="str">
        <f t="shared" si="46"/>
        <v/>
      </c>
      <c r="K32" s="120" t="str">
        <f t="shared" si="47"/>
        <v/>
      </c>
      <c r="L32" s="120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7"/>
      <c r="N32" s="7"/>
      <c r="O32" s="5"/>
    </row>
    <row r="33" spans="1:15" x14ac:dyDescent="0.25">
      <c r="A33" s="113" t="s">
        <v>75</v>
      </c>
      <c r="B33" s="4"/>
      <c r="C33" s="4"/>
      <c r="D33" s="6"/>
      <c r="E33" s="6"/>
      <c r="F33" s="109" t="str">
        <f t="shared" ref="F33:F37" si="54">IF(ISBLANK(B33),"",IF(I33="L","Baixa",IF(I33="A","Média",IF(I33="","","Alta"))))</f>
        <v/>
      </c>
      <c r="G33" s="6" t="str">
        <f t="shared" ref="G33:G37" si="55">CONCATENATE(B33,I33)</f>
        <v/>
      </c>
      <c r="H33" s="6" t="str">
        <f t="shared" ref="H33:H37" si="56">IF(ISBLANK(B33),"",IF(B33="ALI",IF(I33="L",7,IF(I33="A",10,15)),IF(B33="AIE",IF(I33="L",5,IF(I33="A",7,10)),IF(B33="SE",IF(I33="L",4,IF(I33="A",5,7)),IF(OR(B33="EE",B33="CE"),IF(I33="L",3,IF(I33="A",4,6)),0)))))</f>
        <v/>
      </c>
      <c r="I33" s="109" t="str">
        <f t="shared" ref="I33:I37" si="57"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/>
      </c>
      <c r="J33" s="6" t="str">
        <f t="shared" ref="J33:J37" si="58">CONCATENATE(B33,C33)</f>
        <v/>
      </c>
      <c r="K33" s="120" t="str">
        <f t="shared" ref="K33:K37" si="59">IF(OR(H33="",H33=0),L33,H33)</f>
        <v/>
      </c>
      <c r="L33" s="120" t="str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7"/>
      <c r="N33" s="7"/>
      <c r="O33" s="5"/>
    </row>
    <row r="34" spans="1:15" x14ac:dyDescent="0.25">
      <c r="A34" s="111" t="s">
        <v>76</v>
      </c>
      <c r="B34" s="118" t="s">
        <v>64</v>
      </c>
      <c r="C34" s="4" t="s">
        <v>48</v>
      </c>
      <c r="D34" s="117">
        <v>15</v>
      </c>
      <c r="E34" s="117">
        <v>2</v>
      </c>
      <c r="F34" s="109" t="str">
        <f t="shared" ref="F34" si="60">IF(ISBLANK(B34),"",IF(I34="L","Baixa",IF(I34="A","Média",IF(I34="","","Alta"))))</f>
        <v>Baixa</v>
      </c>
      <c r="G34" s="6" t="str">
        <f t="shared" ref="G34" si="61">CONCATENATE(B34,I34)</f>
        <v>ALIL</v>
      </c>
      <c r="H34" s="6">
        <f t="shared" ref="H34" si="62">IF(ISBLANK(B34),"",IF(B34="ALI",IF(I34="L",7,IF(I34="A",10,15)),IF(B34="AIE",IF(I34="L",5,IF(I34="A",7,10)),IF(B34="SE",IF(I34="L",4,IF(I34="A",5,7)),IF(OR(B34="EE",B34="CE"),IF(I34="L",3,IF(I34="A",4,6)),0)))))</f>
        <v>7</v>
      </c>
      <c r="I34" s="109" t="str">
        <f t="shared" ref="I34" si="63">IF(OR(ISBLANK(D34),ISBLANK(E34)),IF(OR(B34="ALI",B34="AIE"),"L",IF(OR(B34="EE",B34="SE",B34="CE"),"A","")),IF(B34="EE",IF(E34&gt;=3,IF(D34&gt;=5,"H","A"),IF(E34&gt;=2,IF(D34&gt;=16,"H",IF(D34&lt;=4,"L","A")),IF(D34&lt;=15,"L","A"))),IF(OR(B34="SE",B34="CE"),IF(E34&gt;=4,IF(D34&gt;=6,"H","A"),IF(E34&gt;=2,IF(D34&gt;=20,"H",IF(D34&lt;=5,"L","A")),IF(D34&lt;=19,"L","A"))),IF(OR(B34="ALI",B34="AIE"),IF(E34&gt;=6,IF(D34&gt;=20,"H","A"),IF(E34&gt;=2,IF(D34&gt;=51,"H",IF(D34&lt;=19,"L","A")),IF(D34&lt;=50,"L","A"))),""))))</f>
        <v>L</v>
      </c>
      <c r="J34" s="6" t="str">
        <f t="shared" ref="J34" si="64">CONCATENATE(B34,C34)</f>
        <v>ALII</v>
      </c>
      <c r="K34" s="120">
        <f t="shared" ref="K34" si="65">IF(OR(H34="",H34=0),L34,H34)</f>
        <v>7</v>
      </c>
      <c r="L34" s="120">
        <f>IF(NOT(ISERROR(VLOOKUP(B34,Deflatores!G$42:H$64,2,FALSE))),VLOOKUP(B34,Deflatores!G$42:H$64,2,FALSE),IF(OR(ISBLANK(C34),ISBLANK(B34)),"",VLOOKUP(C34,Deflatores!G$4:H$38,2,FALSE)*H34+VLOOKUP(C34,Deflatores!G$4:I$38,3,FALSE)))</f>
        <v>7</v>
      </c>
      <c r="M34" s="7"/>
      <c r="N34" s="7"/>
      <c r="O34" s="119"/>
    </row>
    <row r="35" spans="1:15" x14ac:dyDescent="0.25">
      <c r="A35" s="111" t="s">
        <v>77</v>
      </c>
      <c r="B35" s="118" t="s">
        <v>51</v>
      </c>
      <c r="C35" s="4" t="s">
        <v>48</v>
      </c>
      <c r="D35" s="117">
        <v>3</v>
      </c>
      <c r="E35" s="117">
        <v>1</v>
      </c>
      <c r="F35" s="109" t="str">
        <f t="shared" si="54"/>
        <v>Baixa</v>
      </c>
      <c r="G35" s="6" t="str">
        <f t="shared" si="55"/>
        <v>AIEL</v>
      </c>
      <c r="H35" s="6">
        <f t="shared" si="56"/>
        <v>5</v>
      </c>
      <c r="I35" s="109" t="str">
        <f t="shared" si="57"/>
        <v>L</v>
      </c>
      <c r="J35" s="6" t="str">
        <f t="shared" si="58"/>
        <v>AIEI</v>
      </c>
      <c r="K35" s="120">
        <f t="shared" si="59"/>
        <v>5</v>
      </c>
      <c r="L35" s="120">
        <f>IF(NOT(ISERROR(VLOOKUP(B35,Deflatores!G$42:H$64,2,FALSE))),VLOOKUP(B35,Deflatores!G$42:H$64,2,FALSE),IF(OR(ISBLANK(C35),ISBLANK(B35)),"",VLOOKUP(C35,Deflatores!G$4:H$38,2,FALSE)*H35+VLOOKUP(C35,Deflatores!G$4:I$38,3,FALSE)))</f>
        <v>5</v>
      </c>
      <c r="M35" s="7"/>
      <c r="N35" s="7"/>
      <c r="O35" s="119"/>
    </row>
    <row r="36" spans="1:15" x14ac:dyDescent="0.25">
      <c r="A36" s="111" t="s">
        <v>78</v>
      </c>
      <c r="B36" s="118" t="s">
        <v>51</v>
      </c>
      <c r="C36" s="4" t="s">
        <v>48</v>
      </c>
      <c r="D36" s="117">
        <v>6</v>
      </c>
      <c r="E36" s="117">
        <v>3</v>
      </c>
      <c r="F36" s="109" t="str">
        <f t="shared" ref="F36" si="66">IF(ISBLANK(B36),"",IF(I36="L","Baixa",IF(I36="A","Média",IF(I36="","","Alta"))))</f>
        <v>Baixa</v>
      </c>
      <c r="G36" s="6" t="str">
        <f t="shared" ref="G36" si="67">CONCATENATE(B36,I36)</f>
        <v>AIEL</v>
      </c>
      <c r="H36" s="6">
        <f t="shared" ref="H36" si="68">IF(ISBLANK(B36),"",IF(B36="ALI",IF(I36="L",7,IF(I36="A",10,15)),IF(B36="AIE",IF(I36="L",5,IF(I36="A",7,10)),IF(B36="SE",IF(I36="L",4,IF(I36="A",5,7)),IF(OR(B36="EE",B36="CE"),IF(I36="L",3,IF(I36="A",4,6)),0)))))</f>
        <v>5</v>
      </c>
      <c r="I36" s="109" t="str">
        <f t="shared" ref="I36" si="69">IF(OR(ISBLANK(D36),ISBLANK(E36)),IF(OR(B36="ALI",B36="AIE"),"L",IF(OR(B36="EE",B36="SE",B36="CE"),"A","")),IF(B36="EE",IF(E36&gt;=3,IF(D36&gt;=5,"H","A"),IF(E36&gt;=2,IF(D36&gt;=16,"H",IF(D36&lt;=4,"L","A")),IF(D36&lt;=15,"L","A"))),IF(OR(B36="SE",B36="CE"),IF(E36&gt;=4,IF(D36&gt;=6,"H","A"),IF(E36&gt;=2,IF(D36&gt;=20,"H",IF(D36&lt;=5,"L","A")),IF(D36&lt;=19,"L","A"))),IF(OR(B36="ALI",B36="AIE"),IF(E36&gt;=6,IF(D36&gt;=20,"H","A"),IF(E36&gt;=2,IF(D36&gt;=51,"H",IF(D36&lt;=19,"L","A")),IF(D36&lt;=50,"L","A"))),""))))</f>
        <v>L</v>
      </c>
      <c r="J36" s="6" t="str">
        <f t="shared" ref="J36" si="70">CONCATENATE(B36,C36)</f>
        <v>AIEI</v>
      </c>
      <c r="K36" s="120">
        <f t="shared" ref="K36" si="71">IF(OR(H36="",H36=0),L36,H36)</f>
        <v>5</v>
      </c>
      <c r="L36" s="120">
        <f>IF(NOT(ISERROR(VLOOKUP(B36,Deflatores!G$42:H$64,2,FALSE))),VLOOKUP(B36,Deflatores!G$42:H$64,2,FALSE),IF(OR(ISBLANK(C36),ISBLANK(B36)),"",VLOOKUP(C36,Deflatores!G$4:H$38,2,FALSE)*H36+VLOOKUP(C36,Deflatores!G$4:I$38,3,FALSE)))</f>
        <v>5</v>
      </c>
      <c r="M36" s="7"/>
      <c r="N36" s="7"/>
      <c r="O36" s="5"/>
    </row>
    <row r="37" spans="1:15" x14ac:dyDescent="0.25">
      <c r="A37" s="124" t="s">
        <v>79</v>
      </c>
      <c r="B37" s="118" t="s">
        <v>47</v>
      </c>
      <c r="C37" s="4" t="s">
        <v>48</v>
      </c>
      <c r="D37" s="117">
        <v>18</v>
      </c>
      <c r="E37" s="117">
        <v>8</v>
      </c>
      <c r="F37" s="109" t="str">
        <f t="shared" si="54"/>
        <v>Alta</v>
      </c>
      <c r="G37" s="6" t="str">
        <f t="shared" si="55"/>
        <v>EEH</v>
      </c>
      <c r="H37" s="6">
        <f t="shared" si="56"/>
        <v>6</v>
      </c>
      <c r="I37" s="109" t="str">
        <f t="shared" si="57"/>
        <v>H</v>
      </c>
      <c r="J37" s="6" t="str">
        <f t="shared" si="58"/>
        <v>EEI</v>
      </c>
      <c r="K37" s="120">
        <f t="shared" si="59"/>
        <v>6</v>
      </c>
      <c r="L37" s="120">
        <f>IF(NOT(ISERROR(VLOOKUP(B37,Deflatores!G$42:H$64,2,FALSE))),VLOOKUP(B37,Deflatores!G$42:H$64,2,FALSE),IF(OR(ISBLANK(C37),ISBLANK(B37)),"",VLOOKUP(C37,Deflatores!G$4:H$38,2,FALSE)*H37+VLOOKUP(C37,Deflatores!G$4:I$38,3,FALSE)))</f>
        <v>6</v>
      </c>
      <c r="M37" s="7"/>
      <c r="N37" s="7"/>
      <c r="O37" s="5"/>
    </row>
    <row r="38" spans="1:15" x14ac:dyDescent="0.25">
      <c r="A38" s="124" t="s">
        <v>80</v>
      </c>
      <c r="B38" s="118" t="s">
        <v>47</v>
      </c>
      <c r="C38" s="4" t="s">
        <v>48</v>
      </c>
      <c r="D38" s="117">
        <v>7</v>
      </c>
      <c r="E38" s="117">
        <v>4</v>
      </c>
      <c r="F38" s="109" t="str">
        <f t="shared" ref="F38:F39" si="72">IF(ISBLANK(B38),"",IF(I38="L","Baixa",IF(I38="A","Média",IF(I38="","","Alta"))))</f>
        <v>Alta</v>
      </c>
      <c r="G38" s="6" t="str">
        <f t="shared" ref="G38:G39" si="73">CONCATENATE(B38,I38)</f>
        <v>EEH</v>
      </c>
      <c r="H38" s="6">
        <f t="shared" ref="H38:H39" si="74">IF(ISBLANK(B38),"",IF(B38="ALI",IF(I38="L",7,IF(I38="A",10,15)),IF(B38="AIE",IF(I38="L",5,IF(I38="A",7,10)),IF(B38="SE",IF(I38="L",4,IF(I38="A",5,7)),IF(OR(B38="EE",B38="CE"),IF(I38="L",3,IF(I38="A",4,6)),0)))))</f>
        <v>6</v>
      </c>
      <c r="I38" s="109" t="str">
        <f t="shared" ref="I38:I39" si="75">IF(OR(ISBLANK(D38),ISBLANK(E38)),IF(OR(B38="ALI",B38="AIE"),"L",IF(OR(B38="EE",B38="SE",B38="CE"),"A","")),IF(B38="EE",IF(E38&gt;=3,IF(D38&gt;=5,"H","A"),IF(E38&gt;=2,IF(D38&gt;=16,"H",IF(D38&lt;=4,"L","A")),IF(D38&lt;=15,"L","A"))),IF(OR(B38="SE",B38="CE"),IF(E38&gt;=4,IF(D38&gt;=6,"H","A"),IF(E38&gt;=2,IF(D38&gt;=20,"H",IF(D38&lt;=5,"L","A")),IF(D38&lt;=19,"L","A"))),IF(OR(B38="ALI",B38="AIE"),IF(E38&gt;=6,IF(D38&gt;=20,"H","A"),IF(E38&gt;=2,IF(D38&gt;=51,"H",IF(D38&lt;=19,"L","A")),IF(D38&lt;=50,"L","A"))),""))))</f>
        <v>H</v>
      </c>
      <c r="J38" s="6" t="str">
        <f t="shared" ref="J38:J39" si="76">CONCATENATE(B38,C38)</f>
        <v>EEI</v>
      </c>
      <c r="K38" s="120">
        <f t="shared" ref="K38:K39" si="77">IF(OR(H38="",H38=0),L38,H38)</f>
        <v>6</v>
      </c>
      <c r="L38" s="120">
        <f>IF(NOT(ISERROR(VLOOKUP(B38,Deflatores!G$42:H$64,2,FALSE))),VLOOKUP(B38,Deflatores!G$42:H$64,2,FALSE),IF(OR(ISBLANK(C38),ISBLANK(B38)),"",VLOOKUP(C38,Deflatores!G$4:H$38,2,FALSE)*H38+VLOOKUP(C38,Deflatores!G$4:I$38,3,FALSE)))</f>
        <v>6</v>
      </c>
      <c r="M38" s="7"/>
      <c r="N38" s="7"/>
      <c r="O38" s="5"/>
    </row>
    <row r="39" spans="1:15" x14ac:dyDescent="0.25">
      <c r="A39" s="125" t="s">
        <v>81</v>
      </c>
      <c r="B39" s="118" t="s">
        <v>44</v>
      </c>
      <c r="C39" s="4" t="s">
        <v>48</v>
      </c>
      <c r="D39" s="117">
        <v>8</v>
      </c>
      <c r="E39" s="117">
        <v>5</v>
      </c>
      <c r="F39" s="109" t="str">
        <f t="shared" si="72"/>
        <v>Alta</v>
      </c>
      <c r="G39" s="6" t="str">
        <f t="shared" si="73"/>
        <v>CEH</v>
      </c>
      <c r="H39" s="6">
        <f t="shared" si="74"/>
        <v>6</v>
      </c>
      <c r="I39" s="109" t="str">
        <f t="shared" si="75"/>
        <v>H</v>
      </c>
      <c r="J39" s="6" t="str">
        <f t="shared" si="76"/>
        <v>CEI</v>
      </c>
      <c r="K39" s="120">
        <f t="shared" si="77"/>
        <v>6</v>
      </c>
      <c r="L39" s="120">
        <f>IF(NOT(ISERROR(VLOOKUP(B39,Deflatores!G$42:H$64,2,FALSE))),VLOOKUP(B39,Deflatores!G$42:H$64,2,FALSE),IF(OR(ISBLANK(C39),ISBLANK(B39)),"",VLOOKUP(C39,Deflatores!G$4:H$38,2,FALSE)*H39+VLOOKUP(C39,Deflatores!G$4:I$38,3,FALSE)))</f>
        <v>6</v>
      </c>
      <c r="M39" s="7"/>
      <c r="N39" s="7"/>
      <c r="O39" s="5"/>
    </row>
    <row r="40" spans="1:15" x14ac:dyDescent="0.25">
      <c r="A40" s="124" t="s">
        <v>82</v>
      </c>
      <c r="B40" s="118" t="s">
        <v>44</v>
      </c>
      <c r="C40" s="4" t="s">
        <v>68</v>
      </c>
      <c r="D40" s="117">
        <v>10</v>
      </c>
      <c r="E40" s="117">
        <v>5</v>
      </c>
      <c r="F40" s="109" t="str">
        <f t="shared" ref="F40" si="78">IF(ISBLANK(B40),"",IF(I40="L","Baixa",IF(I40="A","Média",IF(I40="","","Alta"))))</f>
        <v>Alta</v>
      </c>
      <c r="G40" s="6" t="str">
        <f t="shared" ref="G40" si="79">CONCATENATE(B40,I40)</f>
        <v>CEH</v>
      </c>
      <c r="H40" s="6">
        <f t="shared" ref="H40" si="80">IF(ISBLANK(B40),"",IF(B40="ALI",IF(I40="L",7,IF(I40="A",10,15)),IF(B40="AIE",IF(I40="L",5,IF(I40="A",7,10)),IF(B40="SE",IF(I40="L",4,IF(I40="A",5,7)),IF(OR(B40="EE",B40="CE"),IF(I40="L",3,IF(I40="A",4,6)),0)))))</f>
        <v>6</v>
      </c>
      <c r="I40" s="109" t="str">
        <f t="shared" ref="I40" si="81">IF(OR(ISBLANK(D40),ISBLANK(E40)),IF(OR(B40="ALI",B40="AIE"),"L",IF(OR(B40="EE",B40="SE",B40="CE"),"A","")),IF(B40="EE",IF(E40&gt;=3,IF(D40&gt;=5,"H","A"),IF(E40&gt;=2,IF(D40&gt;=16,"H",IF(D40&lt;=4,"L","A")),IF(D40&lt;=15,"L","A"))),IF(OR(B40="SE",B40="CE"),IF(E40&gt;=4,IF(D40&gt;=6,"H","A"),IF(E40&gt;=2,IF(D40&gt;=20,"H",IF(D40&lt;=5,"L","A")),IF(D40&lt;=19,"L","A"))),IF(OR(B40="ALI",B40="AIE"),IF(E40&gt;=6,IF(D40&gt;=20,"H","A"),IF(E40&gt;=2,IF(D40&gt;=51,"H",IF(D40&lt;=19,"L","A")),IF(D40&lt;=50,"L","A"))),""))))</f>
        <v>H</v>
      </c>
      <c r="J40" s="6" t="str">
        <f t="shared" ref="J40" si="82">CONCATENATE(B40,C40)</f>
        <v>CEE</v>
      </c>
      <c r="K40" s="120">
        <f t="shared" ref="K40" si="83">IF(OR(H40="",H40=0),L40,H40)</f>
        <v>6</v>
      </c>
      <c r="L40" s="120">
        <f>IF(NOT(ISERROR(VLOOKUP(B40,Deflatores!G$42:H$64,2,FALSE))),VLOOKUP(B40,Deflatores!G$42:H$64,2,FALSE),IF(OR(ISBLANK(C40),ISBLANK(B40)),"",VLOOKUP(C40,Deflatores!G$4:H$38,2,FALSE)*H40+VLOOKUP(C40,Deflatores!G$4:I$38,3,FALSE)))</f>
        <v>2.4000000000000004</v>
      </c>
      <c r="M40" s="7"/>
      <c r="N40" s="7"/>
      <c r="O40" s="5"/>
    </row>
    <row r="41" spans="1:15" x14ac:dyDescent="0.25">
      <c r="A41" s="111"/>
      <c r="B41" s="4"/>
      <c r="C41" s="4"/>
      <c r="D41" s="6"/>
      <c r="E41" s="6"/>
      <c r="F41" s="109" t="str">
        <f>IF(ISBLANK(B41),"",IF(I41="L","Baixa",IF(I41="A","Média",IF(I41="","","Alta"))))</f>
        <v/>
      </c>
      <c r="G41" s="6" t="str">
        <f>CONCATENATE(B41,I41)</f>
        <v/>
      </c>
      <c r="H41" s="6" t="str">
        <f>IF(ISBLANK(B41),"",IF(B41="ALI",IF(I41="L",7,IF(I41="A",10,15)),IF(B41="AIE",IF(I41="L",5,IF(I41="A",7,10)),IF(B41="SE",IF(I41="L",4,IF(I41="A",5,7)),IF(OR(B41="EE",B41="CE"),IF(I41="L",3,IF(I41="A",4,6)),0)))))</f>
        <v/>
      </c>
      <c r="I41" s="109" t="str">
        <f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/>
      </c>
      <c r="J41" s="6" t="str">
        <f>CONCATENATE(B41,C41)</f>
        <v/>
      </c>
      <c r="K41" s="120" t="str">
        <f>IF(OR(H41="",H41=0),L41,H41)</f>
        <v/>
      </c>
      <c r="L41" s="120" t="str">
        <f>IF(NOT(ISERROR(VLOOKUP(B41,Deflatores!G$42:H$64,2,FALSE))),VLOOKUP(B41,Deflatores!G$42:H$64,2,FALSE),IF(OR(ISBLANK(C41),ISBLANK(B41)),"",VLOOKUP(C41,Deflatores!G$4:H$38,2,FALSE)*H41+VLOOKUP(C41,Deflatores!G$4:I$38,3,FALSE)))</f>
        <v/>
      </c>
      <c r="M41" s="7"/>
      <c r="N41" s="7"/>
      <c r="O41" s="5"/>
    </row>
    <row r="42" spans="1:15" x14ac:dyDescent="0.25">
      <c r="A42" s="113" t="s">
        <v>83</v>
      </c>
      <c r="B42" s="4"/>
      <c r="C42" s="4"/>
      <c r="D42" s="6"/>
      <c r="E42" s="6"/>
      <c r="F42" s="109" t="str">
        <f>IF(ISBLANK(B42),"",IF(I42="L","Baixa",IF(I42="A","Média",IF(I42="","","Alta"))))</f>
        <v/>
      </c>
      <c r="G42" s="6" t="str">
        <f>CONCATENATE(B42,I42)</f>
        <v/>
      </c>
      <c r="H42" s="6" t="str">
        <f>IF(ISBLANK(B42),"",IF(B42="ALI",IF(I42="L",7,IF(I42="A",10,15)),IF(B42="AIE",IF(I42="L",5,IF(I42="A",7,10)),IF(B42="SE",IF(I42="L",4,IF(I42="A",5,7)),IF(OR(B42="EE",B42="CE"),IF(I42="L",3,IF(I42="A",4,6)),0)))))</f>
        <v/>
      </c>
      <c r="I42" s="109" t="str">
        <f>IF(OR(ISBLANK(D42),ISBLANK(E42)),IF(OR(B42="ALI",B42="AIE"),"L",IF(OR(B42="EE",B42="SE",B42="CE"),"A","")),IF(B42="EE",IF(E42&gt;=3,IF(D42&gt;=5,"H","A"),IF(E42&gt;=2,IF(D42&gt;=16,"H",IF(D42&lt;=4,"L","A")),IF(D42&lt;=15,"L","A"))),IF(OR(B42="SE",B42="CE"),IF(E42&gt;=4,IF(D42&gt;=6,"H","A"),IF(E42&gt;=2,IF(D42&gt;=20,"H",IF(D42&lt;=5,"L","A")),IF(D42&lt;=19,"L","A"))),IF(OR(B42="ALI",B42="AIE"),IF(E42&gt;=6,IF(D42&gt;=20,"H","A"),IF(E42&gt;=2,IF(D42&gt;=51,"H",IF(D42&lt;=19,"L","A")),IF(D42&lt;=50,"L","A"))),""))))</f>
        <v/>
      </c>
      <c r="J42" s="6" t="str">
        <f>CONCATENATE(B42,C42)</f>
        <v/>
      </c>
      <c r="K42" s="120" t="str">
        <f>IF(OR(H42="",H42=0),L42,H42)</f>
        <v/>
      </c>
      <c r="L42" s="120" t="str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7"/>
      <c r="N42" s="7"/>
      <c r="O42" s="5"/>
    </row>
    <row r="43" spans="1:15" x14ac:dyDescent="0.25">
      <c r="A43" s="111" t="s">
        <v>84</v>
      </c>
      <c r="B43" s="4" t="s">
        <v>64</v>
      </c>
      <c r="C43" s="4" t="s">
        <v>48</v>
      </c>
      <c r="D43" s="117">
        <v>21</v>
      </c>
      <c r="E43" s="117">
        <v>4</v>
      </c>
      <c r="F43" s="109" t="str">
        <f>IF(ISBLANK(B43),"",IF(I43="L","Baixa",IF(I43="A","Média",IF(I43="","","Alta"))))</f>
        <v>Média</v>
      </c>
      <c r="G43" s="6" t="str">
        <f>CONCATENATE(B43,I43)</f>
        <v>ALIA</v>
      </c>
      <c r="H43" s="6">
        <f>IF(ISBLANK(B43),"",IF(B43="ALI",IF(I43="L",7,IF(I43="A",10,15)),IF(B43="AIE",IF(I43="L",5,IF(I43="A",7,10)),IF(B43="SE",IF(I43="L",4,IF(I43="A",5,7)),IF(OR(B43="EE",B43="CE"),IF(I43="L",3,IF(I43="A",4,6)),0)))))</f>
        <v>10</v>
      </c>
      <c r="I43" s="109" t="str">
        <f>IF(OR(ISBLANK(D43),ISBLANK(E43)),IF(OR(B43="ALI",B43="AIE"),"L",IF(OR(B43="EE",B43="SE",B43="CE"),"A","")),IF(B43="EE",IF(E43&gt;=3,IF(D43&gt;=5,"H","A"),IF(E43&gt;=2,IF(D43&gt;=16,"H",IF(D43&lt;=4,"L","A")),IF(D43&lt;=15,"L","A"))),IF(OR(B43="SE",B43="CE"),IF(E43&gt;=4,IF(D43&gt;=6,"H","A"),IF(E43&gt;=2,IF(D43&gt;=20,"H",IF(D43&lt;=5,"L","A")),IF(D43&lt;=19,"L","A"))),IF(OR(B43="ALI",B43="AIE"),IF(E43&gt;=6,IF(D43&gt;=20,"H","A"),IF(E43&gt;=2,IF(D43&gt;=51,"H",IF(D43&lt;=19,"L","A")),IF(D43&lt;=50,"L","A"))),""))))</f>
        <v>A</v>
      </c>
      <c r="J43" s="6" t="str">
        <f>CONCATENATE(B43,C43)</f>
        <v>ALII</v>
      </c>
      <c r="K43" s="120">
        <f>IF(OR(H43="",H43=0),L43,H43)</f>
        <v>10</v>
      </c>
      <c r="L43" s="120">
        <f>IF(NOT(ISERROR(VLOOKUP(B43,Deflatores!G$42:H$64,2,FALSE))),VLOOKUP(B43,Deflatores!G$42:H$64,2,FALSE),IF(OR(ISBLANK(C43),ISBLANK(B43)),"",VLOOKUP(C43,Deflatores!G$4:H$38,2,FALSE)*H43+VLOOKUP(C43,Deflatores!G$4:I$38,3,FALSE)))</f>
        <v>10</v>
      </c>
      <c r="M43" s="7"/>
      <c r="N43" s="7"/>
      <c r="O43" s="5"/>
    </row>
    <row r="44" spans="1:15" x14ac:dyDescent="0.25">
      <c r="A44" s="111" t="s">
        <v>85</v>
      </c>
      <c r="B44" s="4" t="s">
        <v>51</v>
      </c>
      <c r="C44" s="4" t="s">
        <v>48</v>
      </c>
      <c r="D44" s="121">
        <v>3</v>
      </c>
      <c r="E44" s="121">
        <v>2</v>
      </c>
      <c r="F44" s="109" t="str">
        <f t="shared" ref="F44:F46" si="84">IF(ISBLANK(B44),"",IF(I44="L","Baixa",IF(I44="A","Média",IF(I44="","","Alta"))))</f>
        <v>Baixa</v>
      </c>
      <c r="G44" s="6" t="str">
        <f t="shared" ref="G44:G46" si="85">CONCATENATE(B44,I44)</f>
        <v>AIEL</v>
      </c>
      <c r="H44" s="6">
        <f t="shared" ref="H44:H46" si="86">IF(ISBLANK(B44),"",IF(B44="ALI",IF(I44="L",7,IF(I44="A",10,15)),IF(B44="AIE",IF(I44="L",5,IF(I44="A",7,10)),IF(B44="SE",IF(I44="L",4,IF(I44="A",5,7)),IF(OR(B44="EE",B44="CE"),IF(I44="L",3,IF(I44="A",4,6)),0)))))</f>
        <v>5</v>
      </c>
      <c r="I44" s="109" t="str">
        <f t="shared" ref="I44:I46" si="87">IF(OR(ISBLANK(D44),ISBLANK(E44)),IF(OR(B44="ALI",B44="AIE"),"L",IF(OR(B44="EE",B44="SE",B44="CE"),"A","")),IF(B44="EE",IF(E44&gt;=3,IF(D44&gt;=5,"H","A"),IF(E44&gt;=2,IF(D44&gt;=16,"H",IF(D44&lt;=4,"L","A")),IF(D44&lt;=15,"L","A"))),IF(OR(B44="SE",B44="CE"),IF(E44&gt;=4,IF(D44&gt;=6,"H","A"),IF(E44&gt;=2,IF(D44&gt;=20,"H",IF(D44&lt;=5,"L","A")),IF(D44&lt;=19,"L","A"))),IF(OR(B44="ALI",B44="AIE"),IF(E44&gt;=6,IF(D44&gt;=20,"H","A"),IF(E44&gt;=2,IF(D44&gt;=51,"H",IF(D44&lt;=19,"L","A")),IF(D44&lt;=50,"L","A"))),""))))</f>
        <v>L</v>
      </c>
      <c r="J44" s="6" t="str">
        <f t="shared" ref="J44:J46" si="88">CONCATENATE(B44,C44)</f>
        <v>AIEI</v>
      </c>
      <c r="K44" s="120">
        <f t="shared" ref="K44:K46" si="89">IF(OR(H44="",H44=0),L44,H44)</f>
        <v>5</v>
      </c>
      <c r="L44" s="120">
        <f>IF(NOT(ISERROR(VLOOKUP(B44,Deflatores!G$42:H$64,2,FALSE))),VLOOKUP(B44,Deflatores!G$42:H$64,2,FALSE),IF(OR(ISBLANK(C44),ISBLANK(B44)),"",VLOOKUP(C44,Deflatores!G$4:H$38,2,FALSE)*H44+VLOOKUP(C44,Deflatores!G$4:I$38,3,FALSE)))</f>
        <v>5</v>
      </c>
      <c r="M44" s="7"/>
      <c r="N44" s="7"/>
      <c r="O44" s="5"/>
    </row>
    <row r="45" spans="1:15" x14ac:dyDescent="0.25">
      <c r="A45" s="111" t="s">
        <v>86</v>
      </c>
      <c r="B45" s="4" t="s">
        <v>44</v>
      </c>
      <c r="C45" s="4" t="s">
        <v>48</v>
      </c>
      <c r="D45" s="121">
        <v>3</v>
      </c>
      <c r="E45" s="121">
        <v>1</v>
      </c>
      <c r="F45" s="109" t="str">
        <f t="shared" si="84"/>
        <v>Baixa</v>
      </c>
      <c r="G45" s="6" t="str">
        <f t="shared" si="85"/>
        <v>CEL</v>
      </c>
      <c r="H45" s="6">
        <f t="shared" si="86"/>
        <v>3</v>
      </c>
      <c r="I45" s="109" t="str">
        <f t="shared" si="87"/>
        <v>L</v>
      </c>
      <c r="J45" s="6" t="str">
        <f t="shared" si="88"/>
        <v>CEI</v>
      </c>
      <c r="K45" s="120">
        <f t="shared" si="89"/>
        <v>3</v>
      </c>
      <c r="L45" s="120">
        <f>IF(NOT(ISERROR(VLOOKUP(B45,Deflatores!G$42:H$64,2,FALSE))),VLOOKUP(B45,Deflatores!G$42:H$64,2,FALSE),IF(OR(ISBLANK(C45),ISBLANK(B45)),"",VLOOKUP(C45,Deflatores!G$4:H$38,2,FALSE)*H45+VLOOKUP(C45,Deflatores!G$4:I$38,3,FALSE)))</f>
        <v>3</v>
      </c>
      <c r="M45" s="7"/>
      <c r="N45" s="7"/>
      <c r="O45" s="5"/>
    </row>
    <row r="46" spans="1:15" x14ac:dyDescent="0.25">
      <c r="A46" s="111" t="s">
        <v>87</v>
      </c>
      <c r="B46" s="4" t="s">
        <v>44</v>
      </c>
      <c r="C46" s="4" t="s">
        <v>48</v>
      </c>
      <c r="D46" s="121">
        <v>3</v>
      </c>
      <c r="E46" s="121">
        <v>1</v>
      </c>
      <c r="F46" s="109" t="str">
        <f t="shared" si="84"/>
        <v>Baixa</v>
      </c>
      <c r="G46" s="6" t="str">
        <f t="shared" si="85"/>
        <v>CEL</v>
      </c>
      <c r="H46" s="6">
        <f t="shared" si="86"/>
        <v>3</v>
      </c>
      <c r="I46" s="109" t="str">
        <f t="shared" si="87"/>
        <v>L</v>
      </c>
      <c r="J46" s="6" t="str">
        <f t="shared" si="88"/>
        <v>CEI</v>
      </c>
      <c r="K46" s="120">
        <f t="shared" si="89"/>
        <v>3</v>
      </c>
      <c r="L46" s="120">
        <f>IF(NOT(ISERROR(VLOOKUP(B46,Deflatores!G$42:H$64,2,FALSE))),VLOOKUP(B46,Deflatores!G$42:H$64,2,FALSE),IF(OR(ISBLANK(C46),ISBLANK(B46)),"",VLOOKUP(C46,Deflatores!G$4:H$38,2,FALSE)*H46+VLOOKUP(C46,Deflatores!G$4:I$38,3,FALSE)))</f>
        <v>3</v>
      </c>
      <c r="M46" s="7"/>
      <c r="N46" s="7"/>
      <c r="O46" s="5"/>
    </row>
    <row r="47" spans="1:15" x14ac:dyDescent="0.25">
      <c r="A47" s="111" t="s">
        <v>88</v>
      </c>
      <c r="B47" s="4" t="s">
        <v>47</v>
      </c>
      <c r="C47" s="4" t="s">
        <v>48</v>
      </c>
      <c r="D47" s="117">
        <v>4</v>
      </c>
      <c r="E47" s="117">
        <v>3</v>
      </c>
      <c r="F47" s="109" t="str">
        <f t="shared" ref="F47" si="90">IF(ISBLANK(B47),"",IF(I47="L","Baixa",IF(I47="A","Média",IF(I47="","","Alta"))))</f>
        <v>Média</v>
      </c>
      <c r="G47" s="6" t="str">
        <f t="shared" ref="G47" si="91">CONCATENATE(B47,I47)</f>
        <v>EEA</v>
      </c>
      <c r="H47" s="6">
        <f t="shared" ref="H47" si="92">IF(ISBLANK(B47),"",IF(B47="ALI",IF(I47="L",7,IF(I47="A",10,15)),IF(B47="AIE",IF(I47="L",5,IF(I47="A",7,10)),IF(B47="SE",IF(I47="L",4,IF(I47="A",5,7)),IF(OR(B47="EE",B47="CE"),IF(I47="L",3,IF(I47="A",4,6)),0)))))</f>
        <v>4</v>
      </c>
      <c r="I47" s="109" t="str">
        <f t="shared" ref="I47" si="93">IF(OR(ISBLANK(D47),ISBLANK(E47)),IF(OR(B47="ALI",B47="AIE"),"L",IF(OR(B47="EE",B47="SE",B47="CE"),"A","")),IF(B47="EE",IF(E47&gt;=3,IF(D47&gt;=5,"H","A"),IF(E47&gt;=2,IF(D47&gt;=16,"H",IF(D47&lt;=4,"L","A")),IF(D47&lt;=15,"L","A"))),IF(OR(B47="SE",B47="CE"),IF(E47&gt;=4,IF(D47&gt;=6,"H","A"),IF(E47&gt;=2,IF(D47&gt;=20,"H",IF(D47&lt;=5,"L","A")),IF(D47&lt;=19,"L","A"))),IF(OR(B47="ALI",B47="AIE"),IF(E47&gt;=6,IF(D47&gt;=20,"H","A"),IF(E47&gt;=2,IF(D47&gt;=51,"H",IF(D47&lt;=19,"L","A")),IF(D47&lt;=50,"L","A"))),""))))</f>
        <v>A</v>
      </c>
      <c r="J47" s="6" t="str">
        <f t="shared" ref="J47" si="94">CONCATENATE(B47,C47)</f>
        <v>EEI</v>
      </c>
      <c r="K47" s="120">
        <f t="shared" ref="K47" si="95">IF(OR(H47="",H47=0),L47,H47)</f>
        <v>4</v>
      </c>
      <c r="L47" s="120">
        <f>IF(NOT(ISERROR(VLOOKUP(B47,Deflatores!G$42:H$64,2,FALSE))),VLOOKUP(B47,Deflatores!G$42:H$64,2,FALSE),IF(OR(ISBLANK(C47),ISBLANK(B47)),"",VLOOKUP(C47,Deflatores!G$4:H$38,2,FALSE)*H47+VLOOKUP(C47,Deflatores!G$4:I$38,3,FALSE)))</f>
        <v>4</v>
      </c>
      <c r="M47" s="7"/>
      <c r="N47" s="7"/>
      <c r="O47" s="5"/>
    </row>
    <row r="48" spans="1:15" x14ac:dyDescent="0.25">
      <c r="A48" s="111" t="s">
        <v>89</v>
      </c>
      <c r="B48" s="4" t="s">
        <v>44</v>
      </c>
      <c r="C48" s="4" t="s">
        <v>48</v>
      </c>
      <c r="D48" s="117">
        <v>3</v>
      </c>
      <c r="E48" s="117">
        <v>1</v>
      </c>
      <c r="F48" s="109" t="str">
        <f t="shared" ref="F48:F52" si="96">IF(ISBLANK(B48),"",IF(I48="L","Baixa",IF(I48="A","Média",IF(I48="","","Alta"))))</f>
        <v>Baixa</v>
      </c>
      <c r="G48" s="6" t="str">
        <f t="shared" ref="G48:G52" si="97">CONCATENATE(B48,I48)</f>
        <v>CEL</v>
      </c>
      <c r="H48" s="6">
        <f t="shared" ref="H48:H52" si="98">IF(ISBLANK(B48),"",IF(B48="ALI",IF(I48="L",7,IF(I48="A",10,15)),IF(B48="AIE",IF(I48="L",5,IF(I48="A",7,10)),IF(B48="SE",IF(I48="L",4,IF(I48="A",5,7)),IF(OR(B48="EE",B48="CE"),IF(I48="L",3,IF(I48="A",4,6)),0)))))</f>
        <v>3</v>
      </c>
      <c r="I48" s="109" t="str">
        <f t="shared" ref="I48:I52" si="99">IF(OR(ISBLANK(D48),ISBLANK(E48)),IF(OR(B48="ALI",B48="AIE"),"L",IF(OR(B48="EE",B48="SE",B48="CE"),"A","")),IF(B48="EE",IF(E48&gt;=3,IF(D48&gt;=5,"H","A"),IF(E48&gt;=2,IF(D48&gt;=16,"H",IF(D48&lt;=4,"L","A")),IF(D48&lt;=15,"L","A"))),IF(OR(B48="SE",B48="CE"),IF(E48&gt;=4,IF(D48&gt;=6,"H","A"),IF(E48&gt;=2,IF(D48&gt;=20,"H",IF(D48&lt;=5,"L","A")),IF(D48&lt;=19,"L","A"))),IF(OR(B48="ALI",B48="AIE"),IF(E48&gt;=6,IF(D48&gt;=20,"H","A"),IF(E48&gt;=2,IF(D48&gt;=51,"H",IF(D48&lt;=19,"L","A")),IF(D48&lt;=50,"L","A"))),""))))</f>
        <v>L</v>
      </c>
      <c r="J48" s="6" t="str">
        <f t="shared" ref="J48:J52" si="100">CONCATENATE(B48,C48)</f>
        <v>CEI</v>
      </c>
      <c r="K48" s="120">
        <f t="shared" ref="K48:K52" si="101">IF(OR(H48="",H48=0),L48,H48)</f>
        <v>3</v>
      </c>
      <c r="L48" s="120">
        <f>IF(NOT(ISERROR(VLOOKUP(B48,Deflatores!G$42:H$64,2,FALSE))),VLOOKUP(B48,Deflatores!G$42:H$64,2,FALSE),IF(OR(ISBLANK(C48),ISBLANK(B48)),"",VLOOKUP(C48,Deflatores!G$4:H$38,2,FALSE)*H48+VLOOKUP(C48,Deflatores!G$4:I$38,3,FALSE)))</f>
        <v>3</v>
      </c>
      <c r="M48" s="7"/>
      <c r="N48" s="7"/>
      <c r="O48" s="5"/>
    </row>
    <row r="49" spans="1:15" x14ac:dyDescent="0.25">
      <c r="A49" s="111" t="s">
        <v>58</v>
      </c>
      <c r="B49" s="4" t="s">
        <v>44</v>
      </c>
      <c r="C49" s="4" t="s">
        <v>48</v>
      </c>
      <c r="D49" s="117">
        <v>3</v>
      </c>
      <c r="E49" s="117">
        <v>1</v>
      </c>
      <c r="F49" s="109" t="str">
        <f t="shared" si="96"/>
        <v>Baixa</v>
      </c>
      <c r="G49" s="6" t="str">
        <f t="shared" si="97"/>
        <v>CEL</v>
      </c>
      <c r="H49" s="6">
        <f t="shared" si="98"/>
        <v>3</v>
      </c>
      <c r="I49" s="109" t="str">
        <f t="shared" si="99"/>
        <v>L</v>
      </c>
      <c r="J49" s="6" t="str">
        <f t="shared" si="100"/>
        <v>CEI</v>
      </c>
      <c r="K49" s="120">
        <f t="shared" si="101"/>
        <v>3</v>
      </c>
      <c r="L49" s="120">
        <f>IF(NOT(ISERROR(VLOOKUP(B49,Deflatores!G$42:H$64,2,FALSE))),VLOOKUP(B49,Deflatores!G$42:H$64,2,FALSE),IF(OR(ISBLANK(C49),ISBLANK(B49)),"",VLOOKUP(C49,Deflatores!G$4:H$38,2,FALSE)*H49+VLOOKUP(C49,Deflatores!G$4:I$38,3,FALSE)))</f>
        <v>3</v>
      </c>
      <c r="M49" s="7"/>
      <c r="N49" s="7"/>
      <c r="O49" s="5" t="s">
        <v>90</v>
      </c>
    </row>
    <row r="50" spans="1:15" x14ac:dyDescent="0.25">
      <c r="A50" s="111" t="s">
        <v>284</v>
      </c>
      <c r="B50" s="4" t="s">
        <v>44</v>
      </c>
      <c r="C50" s="4" t="s">
        <v>48</v>
      </c>
      <c r="D50" s="117">
        <v>4</v>
      </c>
      <c r="E50" s="117">
        <v>3</v>
      </c>
      <c r="F50" s="109" t="str">
        <f t="shared" si="96"/>
        <v>Baixa</v>
      </c>
      <c r="G50" s="6" t="str">
        <f t="shared" si="97"/>
        <v>CEL</v>
      </c>
      <c r="H50" s="6">
        <f t="shared" si="98"/>
        <v>3</v>
      </c>
      <c r="I50" s="109" t="str">
        <f t="shared" si="99"/>
        <v>L</v>
      </c>
      <c r="J50" s="6" t="str">
        <f t="shared" si="100"/>
        <v>CEI</v>
      </c>
      <c r="K50" s="120">
        <f t="shared" si="101"/>
        <v>3</v>
      </c>
      <c r="L50" s="120">
        <f>IF(NOT(ISERROR(VLOOKUP(B50,Deflatores!G$42:H$64,2,FALSE))),VLOOKUP(B50,Deflatores!G$42:H$64,2,FALSE),IF(OR(ISBLANK(C50),ISBLANK(B50)),"",VLOOKUP(C50,Deflatores!G$4:H$38,2,FALSE)*H50+VLOOKUP(C50,Deflatores!G$4:I$38,3,FALSE)))</f>
        <v>3</v>
      </c>
      <c r="M50" s="7"/>
      <c r="N50" s="7"/>
      <c r="O50" s="5"/>
    </row>
    <row r="51" spans="1:15" x14ac:dyDescent="0.25">
      <c r="A51" s="111" t="s">
        <v>286</v>
      </c>
      <c r="B51" s="4" t="s">
        <v>44</v>
      </c>
      <c r="C51" s="4" t="s">
        <v>48</v>
      </c>
      <c r="D51" s="117">
        <v>4</v>
      </c>
      <c r="E51" s="117">
        <v>3</v>
      </c>
      <c r="F51" s="109" t="str">
        <f t="shared" si="96"/>
        <v>Baixa</v>
      </c>
      <c r="G51" s="6" t="str">
        <f t="shared" si="97"/>
        <v>CEL</v>
      </c>
      <c r="H51" s="6">
        <f t="shared" si="98"/>
        <v>3</v>
      </c>
      <c r="I51" s="109" t="str">
        <f t="shared" si="99"/>
        <v>L</v>
      </c>
      <c r="J51" s="6" t="str">
        <f t="shared" si="100"/>
        <v>CEI</v>
      </c>
      <c r="K51" s="120">
        <f t="shared" si="101"/>
        <v>3</v>
      </c>
      <c r="L51" s="120">
        <f>IF(NOT(ISERROR(VLOOKUP(B51,Deflatores!G$42:H$64,2,FALSE))),VLOOKUP(B51,Deflatores!G$42:H$64,2,FALSE),IF(OR(ISBLANK(C51),ISBLANK(B51)),"",VLOOKUP(C51,Deflatores!G$4:H$38,2,FALSE)*H51+VLOOKUP(C51,Deflatores!G$4:I$38,3,FALSE)))</f>
        <v>3</v>
      </c>
      <c r="M51" s="7"/>
      <c r="N51" s="7"/>
      <c r="O51" s="5"/>
    </row>
    <row r="52" spans="1:15" x14ac:dyDescent="0.25">
      <c r="A52" s="111" t="s">
        <v>285</v>
      </c>
      <c r="B52" s="4" t="s">
        <v>44</v>
      </c>
      <c r="C52" s="4" t="s">
        <v>48</v>
      </c>
      <c r="D52" s="117">
        <v>4</v>
      </c>
      <c r="E52" s="117">
        <v>4</v>
      </c>
      <c r="F52" s="109" t="str">
        <f t="shared" si="96"/>
        <v>Média</v>
      </c>
      <c r="G52" s="6" t="str">
        <f t="shared" si="97"/>
        <v>CEA</v>
      </c>
      <c r="H52" s="6">
        <f t="shared" si="98"/>
        <v>4</v>
      </c>
      <c r="I52" s="109" t="str">
        <f t="shared" si="99"/>
        <v>A</v>
      </c>
      <c r="J52" s="6" t="str">
        <f t="shared" si="100"/>
        <v>CEI</v>
      </c>
      <c r="K52" s="120">
        <f t="shared" si="101"/>
        <v>4</v>
      </c>
      <c r="L52" s="120">
        <f>IF(NOT(ISERROR(VLOOKUP(B52,Deflatores!G$42:H$64,2,FALSE))),VLOOKUP(B52,Deflatores!G$42:H$64,2,FALSE),IF(OR(ISBLANK(C52),ISBLANK(B52)),"",VLOOKUP(C52,Deflatores!G$4:H$38,2,FALSE)*H52+VLOOKUP(C52,Deflatores!G$4:I$38,3,FALSE)))</f>
        <v>4</v>
      </c>
      <c r="M52" s="7"/>
      <c r="N52" s="7"/>
      <c r="O52" s="5"/>
    </row>
    <row r="53" spans="1:15" x14ac:dyDescent="0.25">
      <c r="A53" s="111" t="s">
        <v>91</v>
      </c>
      <c r="B53" s="118" t="s">
        <v>92</v>
      </c>
      <c r="C53" s="4" t="s">
        <v>48</v>
      </c>
      <c r="D53" s="117">
        <v>20</v>
      </c>
      <c r="E53" s="117">
        <v>5</v>
      </c>
      <c r="F53" s="109" t="str">
        <f>IF(ISBLANK(B53),"",IF(I53="L","Baixa",IF(I53="A","Média",IF(I53="","","Alta"))))</f>
        <v>Alta</v>
      </c>
      <c r="G53" s="6" t="str">
        <f>CONCATENATE(B53,I53)</f>
        <v>SEH</v>
      </c>
      <c r="H53" s="6">
        <f>IF(ISBLANK(B53),"",IF(B53="ALI",IF(I53="L",7,IF(I53="A",10,15)),IF(B53="AIE",IF(I53="L",5,IF(I53="A",7,10)),IF(B53="SE",IF(I53="L",4,IF(I53="A",5,7)),IF(OR(B53="EE",B53="CE"),IF(I53="L",3,IF(I53="A",4,6)),0)))))</f>
        <v>7</v>
      </c>
      <c r="I53" s="109" t="str">
        <f>IF(OR(ISBLANK(D53),ISBLANK(E53)),IF(OR(B53="ALI",B53="AIE"),"L",IF(OR(B53="EE",B53="SE",B53="CE"),"A","")),IF(B53="EE",IF(E53&gt;=3,IF(D53&gt;=5,"H","A"),IF(E53&gt;=2,IF(D53&gt;=16,"H",IF(D53&lt;=4,"L","A")),IF(D53&lt;=15,"L","A"))),IF(OR(B53="SE",B53="CE"),IF(E53&gt;=4,IF(D53&gt;=6,"H","A"),IF(E53&gt;=2,IF(D53&gt;=20,"H",IF(D53&lt;=5,"L","A")),IF(D53&lt;=19,"L","A"))),IF(OR(B53="ALI",B53="AIE"),IF(E53&gt;=6,IF(D53&gt;=20,"H","A"),IF(E53&gt;=2,IF(D53&gt;=51,"H",IF(D53&lt;=19,"L","A")),IF(D53&lt;=50,"L","A"))),""))))</f>
        <v>H</v>
      </c>
      <c r="J53" s="6" t="str">
        <f>CONCATENATE(B53,C53)</f>
        <v>SEI</v>
      </c>
      <c r="K53" s="120">
        <f>IF(OR(H53="",H53=0),L53,H53)</f>
        <v>7</v>
      </c>
      <c r="L53" s="120">
        <f>IF(NOT(ISERROR(VLOOKUP(B53,Deflatores!G$42:H$64,2,FALSE))),VLOOKUP(B53,Deflatores!G$42:H$64,2,FALSE),IF(OR(ISBLANK(C53),ISBLANK(B53)),"",VLOOKUP(C53,Deflatores!G$4:H$38,2,FALSE)*H53+VLOOKUP(C53,Deflatores!G$4:I$38,3,FALSE)))</f>
        <v>7</v>
      </c>
      <c r="M53" s="7"/>
      <c r="N53" s="7"/>
      <c r="O53" s="5"/>
    </row>
    <row r="54" spans="1:15" x14ac:dyDescent="0.25">
      <c r="A54" s="126" t="s">
        <v>93</v>
      </c>
      <c r="B54" s="118" t="s">
        <v>44</v>
      </c>
      <c r="C54" s="4" t="s">
        <v>48</v>
      </c>
      <c r="D54" s="117">
        <v>4</v>
      </c>
      <c r="E54" s="117">
        <v>1</v>
      </c>
      <c r="F54" s="109" t="str">
        <f>IF(ISBLANK(B54),"",IF(I54="L","Baixa",IF(I54="A","Média",IF(I54="","","Alta"))))</f>
        <v>Baixa</v>
      </c>
      <c r="G54" s="6" t="str">
        <f>CONCATENATE(B54,I54)</f>
        <v>CEL</v>
      </c>
      <c r="H54" s="6">
        <f>IF(ISBLANK(B54),"",IF(B54="ALI",IF(I54="L",7,IF(I54="A",10,15)),IF(B54="AIE",IF(I54="L",5,IF(I54="A",7,10)),IF(B54="SE",IF(I54="L",4,IF(I54="A",5,7)),IF(OR(B54="EE",B54="CE"),IF(I54="L",3,IF(I54="A",4,6)),0)))))</f>
        <v>3</v>
      </c>
      <c r="I54" s="109" t="str">
        <f>IF(OR(ISBLANK(D54),ISBLANK(E54)),IF(OR(B54="ALI",B54="AIE"),"L",IF(OR(B54="EE",B54="SE",B54="CE"),"A","")),IF(B54="EE",IF(E54&gt;=3,IF(D54&gt;=5,"H","A"),IF(E54&gt;=2,IF(D54&gt;=16,"H",IF(D54&lt;=4,"L","A")),IF(D54&lt;=15,"L","A"))),IF(OR(B54="SE",B54="CE"),IF(E54&gt;=4,IF(D54&gt;=6,"H","A"),IF(E54&gt;=2,IF(D54&gt;=20,"H",IF(D54&lt;=5,"L","A")),IF(D54&lt;=19,"L","A"))),IF(OR(B54="ALI",B54="AIE"),IF(E54&gt;=6,IF(D54&gt;=20,"H","A"),IF(E54&gt;=2,IF(D54&gt;=51,"H",IF(D54&lt;=19,"L","A")),IF(D54&lt;=50,"L","A"))),""))))</f>
        <v>L</v>
      </c>
      <c r="J54" s="6" t="str">
        <f>CONCATENATE(B54,C54)</f>
        <v>CEI</v>
      </c>
      <c r="K54" s="120">
        <f>IF(OR(H54="",H54=0),L54,H54)</f>
        <v>3</v>
      </c>
      <c r="L54" s="120">
        <f>IF(NOT(ISERROR(VLOOKUP(B54,Deflatores!G$42:H$64,2,FALSE))),VLOOKUP(B54,Deflatores!G$42:H$64,2,FALSE),IF(OR(ISBLANK(C54),ISBLANK(B54)),"",VLOOKUP(C54,Deflatores!G$4:H$38,2,FALSE)*H54+VLOOKUP(C54,Deflatores!G$4:I$38,3,FALSE)))</f>
        <v>3</v>
      </c>
      <c r="M54" s="7"/>
      <c r="N54" s="7"/>
      <c r="O54" s="119"/>
    </row>
    <row r="55" spans="1:15" x14ac:dyDescent="0.25">
      <c r="A55" s="111" t="s">
        <v>94</v>
      </c>
      <c r="B55" s="118" t="s">
        <v>44</v>
      </c>
      <c r="C55" s="4" t="s">
        <v>48</v>
      </c>
      <c r="D55" s="117">
        <v>16</v>
      </c>
      <c r="E55" s="117">
        <v>4</v>
      </c>
      <c r="F55" s="109" t="str">
        <f>IF(ISBLANK(B55),"",IF(I55="L","Baixa",IF(I55="A","Média",IF(I55="","","Alta"))))</f>
        <v>Alta</v>
      </c>
      <c r="G55" s="6" t="str">
        <f>CONCATENATE(B55,I55)</f>
        <v>CEH</v>
      </c>
      <c r="H55" s="6">
        <f>IF(ISBLANK(B55),"",IF(B55="ALI",IF(I55="L",7,IF(I55="A",10,15)),IF(B55="AIE",IF(I55="L",5,IF(I55="A",7,10)),IF(B55="SE",IF(I55="L",4,IF(I55="A",5,7)),IF(OR(B55="EE",B55="CE"),IF(I55="L",3,IF(I55="A",4,6)),0)))))</f>
        <v>6</v>
      </c>
      <c r="I55" s="109" t="str">
        <f>IF(OR(ISBLANK(D55),ISBLANK(E55)),IF(OR(B55="ALI",B55="AIE"),"L",IF(OR(B55="EE",B55="SE",B55="CE"),"A","")),IF(B55="EE",IF(E55&gt;=3,IF(D55&gt;=5,"H","A"),IF(E55&gt;=2,IF(D55&gt;=16,"H",IF(D55&lt;=4,"L","A")),IF(D55&lt;=15,"L","A"))),IF(OR(B55="SE",B55="CE"),IF(E55&gt;=4,IF(D55&gt;=6,"H","A"),IF(E55&gt;=2,IF(D55&gt;=20,"H",IF(D55&lt;=5,"L","A")),IF(D55&lt;=19,"L","A"))),IF(OR(B55="ALI",B55="AIE"),IF(E55&gt;=6,IF(D55&gt;=20,"H","A"),IF(E55&gt;=2,IF(D55&gt;=51,"H",IF(D55&lt;=19,"L","A")),IF(D55&lt;=50,"L","A"))),""))))</f>
        <v>H</v>
      </c>
      <c r="J55" s="6" t="str">
        <f>CONCATENATE(B55,C55)</f>
        <v>CEI</v>
      </c>
      <c r="K55" s="120">
        <f>IF(OR(H55="",H55=0),L55,H55)</f>
        <v>6</v>
      </c>
      <c r="L55" s="120">
        <f>IF(NOT(ISERROR(VLOOKUP(B55,Deflatores!G$42:H$64,2,FALSE))),VLOOKUP(B55,Deflatores!G$42:H$64,2,FALSE),IF(OR(ISBLANK(C55),ISBLANK(B55)),"",VLOOKUP(C55,Deflatores!G$4:H$38,2,FALSE)*H55+VLOOKUP(C55,Deflatores!G$4:I$38,3,FALSE)))</f>
        <v>6</v>
      </c>
      <c r="M55" s="7"/>
      <c r="N55" s="7"/>
      <c r="O55" s="119"/>
    </row>
    <row r="56" spans="1:15" x14ac:dyDescent="0.25">
      <c r="A56" s="111" t="s">
        <v>95</v>
      </c>
      <c r="B56" s="118" t="s">
        <v>44</v>
      </c>
      <c r="C56" s="4" t="s">
        <v>68</v>
      </c>
      <c r="D56" s="117">
        <v>11</v>
      </c>
      <c r="E56" s="117">
        <v>5</v>
      </c>
      <c r="F56" s="109" t="str">
        <f t="shared" si="42"/>
        <v>Alta</v>
      </c>
      <c r="G56" s="6" t="str">
        <f t="shared" si="43"/>
        <v>CEH</v>
      </c>
      <c r="H56" s="6">
        <f t="shared" si="44"/>
        <v>6</v>
      </c>
      <c r="I56" s="109" t="str">
        <f t="shared" si="45"/>
        <v>H</v>
      </c>
      <c r="J56" s="6" t="str">
        <f t="shared" si="46"/>
        <v>CEE</v>
      </c>
      <c r="K56" s="120">
        <f t="shared" si="47"/>
        <v>6</v>
      </c>
      <c r="L56" s="120">
        <f>IF(NOT(ISERROR(VLOOKUP(B56,Deflatores!G$42:H$64,2,FALSE))),VLOOKUP(B56,Deflatores!G$42:H$64,2,FALSE),IF(OR(ISBLANK(C56),ISBLANK(B56)),"",VLOOKUP(C56,Deflatores!G$4:H$38,2,FALSE)*H56+VLOOKUP(C56,Deflatores!G$4:I$38,3,FALSE)))</f>
        <v>2.4000000000000004</v>
      </c>
      <c r="M56" s="7"/>
      <c r="N56" s="7"/>
      <c r="O56" s="119"/>
    </row>
    <row r="57" spans="1:15" x14ac:dyDescent="0.25">
      <c r="A57" s="127" t="s">
        <v>96</v>
      </c>
      <c r="B57" s="117" t="s">
        <v>47</v>
      </c>
      <c r="C57" s="4" t="s">
        <v>68</v>
      </c>
      <c r="D57" s="117">
        <v>3</v>
      </c>
      <c r="E57" s="117">
        <v>1</v>
      </c>
      <c r="F57" s="109" t="str">
        <f t="shared" ref="F57:F58" si="102">IF(ISBLANK(B57),"",IF(I57="L","Baixa",IF(I57="A","Média",IF(I57="","","Alta"))))</f>
        <v>Baixa</v>
      </c>
      <c r="G57" s="6" t="str">
        <f t="shared" ref="G57:G58" si="103">CONCATENATE(B57,I57)</f>
        <v>EEL</v>
      </c>
      <c r="H57" s="6">
        <f t="shared" ref="H57:H58" si="104">IF(ISBLANK(B57),"",IF(B57="ALI",IF(I57="L",7,IF(I57="A",10,15)),IF(B57="AIE",IF(I57="L",5,IF(I57="A",7,10)),IF(B57="SE",IF(I57="L",4,IF(I57="A",5,7)),IF(OR(B57="EE",B57="CE"),IF(I57="L",3,IF(I57="A",4,6)),0)))))</f>
        <v>3</v>
      </c>
      <c r="I57" s="109" t="str">
        <f t="shared" ref="I57:I58" si="105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>L</v>
      </c>
      <c r="J57" s="6" t="str">
        <f t="shared" ref="J57:J58" si="106">CONCATENATE(B57,C57)</f>
        <v>EEE</v>
      </c>
      <c r="K57" s="120">
        <f t="shared" ref="K57:K58" si="107">IF(OR(H57="",H57=0),L57,H57)</f>
        <v>3</v>
      </c>
      <c r="L57" s="120">
        <f>IF(NOT(ISERROR(VLOOKUP(B57,Deflatores!G$42:H$64,2,FALSE))),VLOOKUP(B57,Deflatores!G$42:H$64,2,FALSE),IF(OR(ISBLANK(C57),ISBLANK(B57)),"",VLOOKUP(C57,Deflatores!G$4:H$38,2,FALSE)*H57+VLOOKUP(C57,Deflatores!G$4:I$38,3,FALSE)))</f>
        <v>1.2000000000000002</v>
      </c>
      <c r="M57" s="7"/>
      <c r="N57" s="7"/>
      <c r="O57" s="5"/>
    </row>
    <row r="58" spans="1:15" x14ac:dyDescent="0.25">
      <c r="A58" s="127" t="s">
        <v>97</v>
      </c>
      <c r="B58" s="118" t="s">
        <v>44</v>
      </c>
      <c r="C58" s="4" t="s">
        <v>68</v>
      </c>
      <c r="D58" s="117">
        <v>4</v>
      </c>
      <c r="E58" s="117">
        <v>1</v>
      </c>
      <c r="F58" s="109" t="str">
        <f t="shared" si="102"/>
        <v>Baixa</v>
      </c>
      <c r="G58" s="6" t="str">
        <f t="shared" si="103"/>
        <v>CEL</v>
      </c>
      <c r="H58" s="6">
        <f t="shared" si="104"/>
        <v>3</v>
      </c>
      <c r="I58" s="109" t="str">
        <f t="shared" si="105"/>
        <v>L</v>
      </c>
      <c r="J58" s="6" t="str">
        <f t="shared" si="106"/>
        <v>CEE</v>
      </c>
      <c r="K58" s="120">
        <f t="shared" si="107"/>
        <v>3</v>
      </c>
      <c r="L58" s="120">
        <f>IF(NOT(ISERROR(VLOOKUP(B58,Deflatores!G$42:H$64,2,FALSE))),VLOOKUP(B58,Deflatores!G$42:H$64,2,FALSE),IF(OR(ISBLANK(C58),ISBLANK(B58)),"",VLOOKUP(C58,Deflatores!G$4:H$38,2,FALSE)*H58+VLOOKUP(C58,Deflatores!G$4:I$38,3,FALSE)))</f>
        <v>1.2000000000000002</v>
      </c>
      <c r="M58" s="7"/>
      <c r="N58" s="7"/>
      <c r="O58" s="5"/>
    </row>
    <row r="59" spans="1:15" x14ac:dyDescent="0.25">
      <c r="A59" s="128" t="s">
        <v>98</v>
      </c>
      <c r="B59" s="122" t="s">
        <v>44</v>
      </c>
      <c r="C59" s="4" t="s">
        <v>68</v>
      </c>
      <c r="D59" s="121">
        <v>4</v>
      </c>
      <c r="E59" s="121">
        <v>1</v>
      </c>
      <c r="F59" s="109" t="str">
        <f t="shared" ref="F59" si="108">IF(ISBLANK(B59),"",IF(I59="L","Baixa",IF(I59="A","Média",IF(I59="","","Alta"))))</f>
        <v>Baixa</v>
      </c>
      <c r="G59" s="6" t="str">
        <f t="shared" ref="G59" si="109">CONCATENATE(B59,I59)</f>
        <v>CEL</v>
      </c>
      <c r="H59" s="6">
        <f t="shared" ref="H59" si="110">IF(ISBLANK(B59),"",IF(B59="ALI",IF(I59="L",7,IF(I59="A",10,15)),IF(B59="AIE",IF(I59="L",5,IF(I59="A",7,10)),IF(B59="SE",IF(I59="L",4,IF(I59="A",5,7)),IF(OR(B59="EE",B59="CE"),IF(I59="L",3,IF(I59="A",4,6)),0)))))</f>
        <v>3</v>
      </c>
      <c r="I59" s="109" t="str">
        <f t="shared" ref="I59" si="111">IF(OR(ISBLANK(D59),ISBLANK(E59)),IF(OR(B59="ALI",B59="AIE"),"L",IF(OR(B59="EE",B59="SE",B59="CE"),"A","")),IF(B59="EE",IF(E59&gt;=3,IF(D59&gt;=5,"H","A"),IF(E59&gt;=2,IF(D59&gt;=16,"H",IF(D59&lt;=4,"L","A")),IF(D59&lt;=15,"L","A"))),IF(OR(B59="SE",B59="CE"),IF(E59&gt;=4,IF(D59&gt;=6,"H","A"),IF(E59&gt;=2,IF(D59&gt;=20,"H",IF(D59&lt;=5,"L","A")),IF(D59&lt;=19,"L","A"))),IF(OR(B59="ALI",B59="AIE"),IF(E59&gt;=6,IF(D59&gt;=20,"H","A"),IF(E59&gt;=2,IF(D59&gt;=51,"H",IF(D59&lt;=19,"L","A")),IF(D59&lt;=50,"L","A"))),""))))</f>
        <v>L</v>
      </c>
      <c r="J59" s="6" t="str">
        <f t="shared" ref="J59" si="112">CONCATENATE(B59,C59)</f>
        <v>CEE</v>
      </c>
      <c r="K59" s="120">
        <f t="shared" ref="K59" si="113">IF(OR(H59="",H59=0),L59,H59)</f>
        <v>3</v>
      </c>
      <c r="L59" s="120">
        <f>IF(NOT(ISERROR(VLOOKUP(B59,Deflatores!G$42:H$64,2,FALSE))),VLOOKUP(B59,Deflatores!G$42:H$64,2,FALSE),IF(OR(ISBLANK(C59),ISBLANK(B59)),"",VLOOKUP(C59,Deflatores!G$4:H$38,2,FALSE)*H59+VLOOKUP(C59,Deflatores!G$4:I$38,3,FALSE)))</f>
        <v>1.2000000000000002</v>
      </c>
      <c r="M59" s="7"/>
      <c r="N59" s="7"/>
      <c r="O59" s="5"/>
    </row>
    <row r="60" spans="1:15" x14ac:dyDescent="0.25">
      <c r="A60" s="111"/>
      <c r="B60" s="116"/>
      <c r="C60" s="4"/>
      <c r="D60" s="6"/>
      <c r="E60" s="6"/>
      <c r="F60" s="109" t="str">
        <f t="shared" ref="F60" si="114">IF(ISBLANK(B60),"",IF(I60="L","Baixa",IF(I60="A","Média",IF(I60="","","Alta"))))</f>
        <v/>
      </c>
      <c r="G60" s="6" t="str">
        <f t="shared" ref="G60" si="115">CONCATENATE(B60,I60)</f>
        <v/>
      </c>
      <c r="H60" s="6" t="str">
        <f t="shared" ref="H60" si="116">IF(ISBLANK(B60),"",IF(B60="ALI",IF(I60="L",7,IF(I60="A",10,15)),IF(B60="AIE",IF(I60="L",5,IF(I60="A",7,10)),IF(B60="SE",IF(I60="L",4,IF(I60="A",5,7)),IF(OR(B60="EE",B60="CE"),IF(I60="L",3,IF(I60="A",4,6)),0)))))</f>
        <v/>
      </c>
      <c r="I60" s="109" t="str">
        <f t="shared" ref="I60" si="117">IF(OR(ISBLANK(D60),ISBLANK(E60)),IF(OR(B60="ALI",B60="AIE"),"L",IF(OR(B60="EE",B60="SE",B60="CE"),"A","")),IF(B60="EE",IF(E60&gt;=3,IF(D60&gt;=5,"H","A"),IF(E60&gt;=2,IF(D60&gt;=16,"H",IF(D60&lt;=4,"L","A")),IF(D60&lt;=15,"L","A"))),IF(OR(B60="SE",B60="CE"),IF(E60&gt;=4,IF(D60&gt;=6,"H","A"),IF(E60&gt;=2,IF(D60&gt;=20,"H",IF(D60&lt;=5,"L","A")),IF(D60&lt;=19,"L","A"))),IF(OR(B60="ALI",B60="AIE"),IF(E60&gt;=6,IF(D60&gt;=20,"H","A"),IF(E60&gt;=2,IF(D60&gt;=51,"H",IF(D60&lt;=19,"L","A")),IF(D60&lt;=50,"L","A"))),""))))</f>
        <v/>
      </c>
      <c r="J60" s="6" t="str">
        <f t="shared" ref="J60" si="118">CONCATENATE(B60,C60)</f>
        <v/>
      </c>
      <c r="K60" s="120" t="str">
        <f t="shared" ref="K60" si="119">IF(OR(H60="",H60=0),L60,H60)</f>
        <v/>
      </c>
      <c r="L60" s="120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7"/>
      <c r="N60" s="7"/>
      <c r="O60" s="5"/>
    </row>
    <row r="61" spans="1:15" x14ac:dyDescent="0.25">
      <c r="A61" s="113" t="s">
        <v>99</v>
      </c>
      <c r="B61" s="116"/>
      <c r="C61" s="4"/>
      <c r="D61" s="6"/>
      <c r="E61" s="6"/>
      <c r="F61" s="109" t="str">
        <f t="shared" ref="F61" si="120">IF(ISBLANK(B61),"",IF(I61="L","Baixa",IF(I61="A","Média",IF(I61="","","Alta"))))</f>
        <v/>
      </c>
      <c r="G61" s="6" t="str">
        <f t="shared" ref="G61" si="121">CONCATENATE(B61,I61)</f>
        <v/>
      </c>
      <c r="H61" s="6" t="str">
        <f t="shared" ref="H61" si="122">IF(ISBLANK(B61),"",IF(B61="ALI",IF(I61="L",7,IF(I61="A",10,15)),IF(B61="AIE",IF(I61="L",5,IF(I61="A",7,10)),IF(B61="SE",IF(I61="L",4,IF(I61="A",5,7)),IF(OR(B61="EE",B61="CE"),IF(I61="L",3,IF(I61="A",4,6)),0)))))</f>
        <v/>
      </c>
      <c r="I61" s="109" t="str">
        <f t="shared" ref="I61" si="123">IF(OR(ISBLANK(D61),ISBLANK(E61)),IF(OR(B61="ALI",B61="AIE"),"L",IF(OR(B61="EE",B61="SE",B61="CE"),"A","")),IF(B61="EE",IF(E61&gt;=3,IF(D61&gt;=5,"H","A"),IF(E61&gt;=2,IF(D61&gt;=16,"H",IF(D61&lt;=4,"L","A")),IF(D61&lt;=15,"L","A"))),IF(OR(B61="SE",B61="CE"),IF(E61&gt;=4,IF(D61&gt;=6,"H","A"),IF(E61&gt;=2,IF(D61&gt;=20,"H",IF(D61&lt;=5,"L","A")),IF(D61&lt;=19,"L","A"))),IF(OR(B61="ALI",B61="AIE"),IF(E61&gt;=6,IF(D61&gt;=20,"H","A"),IF(E61&gt;=2,IF(D61&gt;=51,"H",IF(D61&lt;=19,"L","A")),IF(D61&lt;=50,"L","A"))),""))))</f>
        <v/>
      </c>
      <c r="J61" s="6" t="str">
        <f t="shared" ref="J61" si="124">CONCATENATE(B61,C61)</f>
        <v/>
      </c>
      <c r="K61" s="120" t="str">
        <f t="shared" ref="K61" si="125">IF(OR(H61="",H61=0),L61,H61)</f>
        <v/>
      </c>
      <c r="L61" s="120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7"/>
      <c r="N61" s="7"/>
      <c r="O61" s="5"/>
    </row>
    <row r="62" spans="1:15" x14ac:dyDescent="0.25">
      <c r="A62" s="124" t="s">
        <v>100</v>
      </c>
      <c r="B62" s="118" t="s">
        <v>47</v>
      </c>
      <c r="C62" s="4" t="s">
        <v>48</v>
      </c>
      <c r="D62" s="117">
        <v>18</v>
      </c>
      <c r="E62" s="117">
        <v>6</v>
      </c>
      <c r="F62" s="109" t="str">
        <f t="shared" ref="F62:F66" si="126">IF(ISBLANK(B62),"",IF(I62="L","Baixa",IF(I62="A","Média",IF(I62="","","Alta"))))</f>
        <v>Alta</v>
      </c>
      <c r="G62" s="6" t="str">
        <f t="shared" ref="G62:G66" si="127">CONCATENATE(B62,I62)</f>
        <v>EEH</v>
      </c>
      <c r="H62" s="6">
        <f t="shared" ref="H62:H66" si="128">IF(ISBLANK(B62),"",IF(B62="ALI",IF(I62="L",7,IF(I62="A",10,15)),IF(B62="AIE",IF(I62="L",5,IF(I62="A",7,10)),IF(B62="SE",IF(I62="L",4,IF(I62="A",5,7)),IF(OR(B62="EE",B62="CE"),IF(I62="L",3,IF(I62="A",4,6)),0)))))</f>
        <v>6</v>
      </c>
      <c r="I62" s="109" t="str">
        <f t="shared" ref="I62:I66" si="129">IF(OR(ISBLANK(D62),ISBLANK(E62)),IF(OR(B62="ALI",B62="AIE"),"L",IF(OR(B62="EE",B62="SE",B62="CE"),"A","")),IF(B62="EE",IF(E62&gt;=3,IF(D62&gt;=5,"H","A"),IF(E62&gt;=2,IF(D62&gt;=16,"H",IF(D62&lt;=4,"L","A")),IF(D62&lt;=15,"L","A"))),IF(OR(B62="SE",B62="CE"),IF(E62&gt;=4,IF(D62&gt;=6,"H","A"),IF(E62&gt;=2,IF(D62&gt;=20,"H",IF(D62&lt;=5,"L","A")),IF(D62&lt;=19,"L","A"))),IF(OR(B62="ALI",B62="AIE"),IF(E62&gt;=6,IF(D62&gt;=20,"H","A"),IF(E62&gt;=2,IF(D62&gt;=51,"H",IF(D62&lt;=19,"L","A")),IF(D62&lt;=50,"L","A"))),""))))</f>
        <v>H</v>
      </c>
      <c r="J62" s="6" t="str">
        <f t="shared" ref="J62:J66" si="130">CONCATENATE(B62,C62)</f>
        <v>EEI</v>
      </c>
      <c r="K62" s="120">
        <f t="shared" ref="K62:K66" si="131">IF(OR(H62="",H62=0),L62,H62)</f>
        <v>6</v>
      </c>
      <c r="L62" s="120">
        <f>IF(NOT(ISERROR(VLOOKUP(B62,Deflatores!G$42:H$64,2,FALSE))),VLOOKUP(B62,Deflatores!G$42:H$64,2,FALSE),IF(OR(ISBLANK(C62),ISBLANK(B62)),"",VLOOKUP(C62,Deflatores!G$4:H$38,2,FALSE)*H62+VLOOKUP(C62,Deflatores!G$4:I$38,3,FALSE)))</f>
        <v>6</v>
      </c>
      <c r="M62" s="7"/>
      <c r="N62" s="7"/>
      <c r="O62" s="5"/>
    </row>
    <row r="63" spans="1:15" x14ac:dyDescent="0.25">
      <c r="A63" s="111" t="s">
        <v>287</v>
      </c>
      <c r="B63" s="4" t="s">
        <v>44</v>
      </c>
      <c r="C63" s="4" t="s">
        <v>48</v>
      </c>
      <c r="D63" s="117">
        <v>4</v>
      </c>
      <c r="E63" s="117">
        <v>1</v>
      </c>
      <c r="F63" s="109" t="str">
        <f t="shared" si="126"/>
        <v>Baixa</v>
      </c>
      <c r="G63" s="6" t="str">
        <f t="shared" si="127"/>
        <v>CEL</v>
      </c>
      <c r="H63" s="6">
        <f t="shared" si="128"/>
        <v>3</v>
      </c>
      <c r="I63" s="109" t="str">
        <f t="shared" si="129"/>
        <v>L</v>
      </c>
      <c r="J63" s="6" t="str">
        <f t="shared" si="130"/>
        <v>CEI</v>
      </c>
      <c r="K63" s="120">
        <f t="shared" si="131"/>
        <v>3</v>
      </c>
      <c r="L63" s="120">
        <f>IF(NOT(ISERROR(VLOOKUP(B63,Deflatores!G$42:H$64,2,FALSE))),VLOOKUP(B63,Deflatores!G$42:H$64,2,FALSE),IF(OR(ISBLANK(C63),ISBLANK(B63)),"",VLOOKUP(C63,Deflatores!G$4:H$38,2,FALSE)*H63+VLOOKUP(C63,Deflatores!G$4:I$38,3,FALSE)))</f>
        <v>3</v>
      </c>
      <c r="M63" s="7"/>
      <c r="N63" s="7"/>
      <c r="O63" s="5"/>
    </row>
    <row r="64" spans="1:15" x14ac:dyDescent="0.25">
      <c r="A64" s="111" t="s">
        <v>101</v>
      </c>
      <c r="B64" s="4" t="s">
        <v>44</v>
      </c>
      <c r="C64" s="4" t="s">
        <v>48</v>
      </c>
      <c r="D64" s="117">
        <v>5</v>
      </c>
      <c r="E64" s="117">
        <v>2</v>
      </c>
      <c r="F64" s="109" t="str">
        <f t="shared" ref="F64:F65" si="132">IF(ISBLANK(B64),"",IF(I64="L","Baixa",IF(I64="A","Média",IF(I64="","","Alta"))))</f>
        <v>Baixa</v>
      </c>
      <c r="G64" s="6" t="str">
        <f t="shared" ref="G64:G65" si="133">CONCATENATE(B64,I64)</f>
        <v>CEL</v>
      </c>
      <c r="H64" s="6">
        <f t="shared" ref="H64:H65" si="134">IF(ISBLANK(B64),"",IF(B64="ALI",IF(I64="L",7,IF(I64="A",10,15)),IF(B64="AIE",IF(I64="L",5,IF(I64="A",7,10)),IF(B64="SE",IF(I64="L",4,IF(I64="A",5,7)),IF(OR(B64="EE",B64="CE"),IF(I64="L",3,IF(I64="A",4,6)),0)))))</f>
        <v>3</v>
      </c>
      <c r="I64" s="109" t="str">
        <f t="shared" ref="I64:I65" si="135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>L</v>
      </c>
      <c r="J64" s="6" t="str">
        <f t="shared" ref="J64:J65" si="136">CONCATENATE(B64,C64)</f>
        <v>CEI</v>
      </c>
      <c r="K64" s="120">
        <f t="shared" ref="K64:K65" si="137">IF(OR(H64="",H64=0),L64,H64)</f>
        <v>3</v>
      </c>
      <c r="L64" s="120">
        <f>IF(NOT(ISERROR(VLOOKUP(B64,Deflatores!G$42:H$64,2,FALSE))),VLOOKUP(B64,Deflatores!G$42:H$64,2,FALSE),IF(OR(ISBLANK(C64),ISBLANK(B64)),"",VLOOKUP(C64,Deflatores!G$4:H$38,2,FALSE)*H64+VLOOKUP(C64,Deflatores!G$4:I$38,3,FALSE)))</f>
        <v>3</v>
      </c>
      <c r="M64" s="7"/>
      <c r="N64" s="7"/>
      <c r="O64" s="5"/>
    </row>
    <row r="65" spans="1:15" x14ac:dyDescent="0.25">
      <c r="A65" s="111" t="s">
        <v>102</v>
      </c>
      <c r="B65" s="4" t="s">
        <v>44</v>
      </c>
      <c r="C65" s="4" t="s">
        <v>48</v>
      </c>
      <c r="D65" s="117">
        <v>3</v>
      </c>
      <c r="E65" s="117">
        <v>1</v>
      </c>
      <c r="F65" s="109" t="str">
        <f t="shared" si="132"/>
        <v>Baixa</v>
      </c>
      <c r="G65" s="6" t="str">
        <f t="shared" si="133"/>
        <v>CEL</v>
      </c>
      <c r="H65" s="6">
        <f t="shared" si="134"/>
        <v>3</v>
      </c>
      <c r="I65" s="109" t="str">
        <f t="shared" si="135"/>
        <v>L</v>
      </c>
      <c r="J65" s="6" t="str">
        <f t="shared" si="136"/>
        <v>CEI</v>
      </c>
      <c r="K65" s="120">
        <f t="shared" si="137"/>
        <v>3</v>
      </c>
      <c r="L65" s="120">
        <f>IF(NOT(ISERROR(VLOOKUP(B65,Deflatores!G$42:H$64,2,FALSE))),VLOOKUP(B65,Deflatores!G$42:H$64,2,FALSE),IF(OR(ISBLANK(C65),ISBLANK(B65)),"",VLOOKUP(C65,Deflatores!G$4:H$38,2,FALSE)*H65+VLOOKUP(C65,Deflatores!G$4:I$38,3,FALSE)))</f>
        <v>3</v>
      </c>
      <c r="M65" s="7"/>
      <c r="N65" s="7"/>
      <c r="O65" s="5" t="s">
        <v>103</v>
      </c>
    </row>
    <row r="66" spans="1:15" x14ac:dyDescent="0.25">
      <c r="A66" s="124" t="s">
        <v>104</v>
      </c>
      <c r="B66" s="118" t="s">
        <v>47</v>
      </c>
      <c r="C66" s="4" t="s">
        <v>48</v>
      </c>
      <c r="D66" s="117">
        <v>19</v>
      </c>
      <c r="E66" s="117">
        <v>3</v>
      </c>
      <c r="F66" s="109" t="str">
        <f t="shared" si="126"/>
        <v>Alta</v>
      </c>
      <c r="G66" s="6" t="str">
        <f t="shared" si="127"/>
        <v>EEH</v>
      </c>
      <c r="H66" s="6">
        <f t="shared" si="128"/>
        <v>6</v>
      </c>
      <c r="I66" s="109" t="str">
        <f t="shared" si="129"/>
        <v>H</v>
      </c>
      <c r="J66" s="6" t="str">
        <f t="shared" si="130"/>
        <v>EEI</v>
      </c>
      <c r="K66" s="120">
        <f t="shared" si="131"/>
        <v>6</v>
      </c>
      <c r="L66" s="120">
        <f>IF(NOT(ISERROR(VLOOKUP(B66,Deflatores!G$42:H$64,2,FALSE))),VLOOKUP(B66,Deflatores!G$42:H$64,2,FALSE),IF(OR(ISBLANK(C66),ISBLANK(B66)),"",VLOOKUP(C66,Deflatores!G$4:H$38,2,FALSE)*H66+VLOOKUP(C66,Deflatores!G$4:I$38,3,FALSE)))</f>
        <v>6</v>
      </c>
      <c r="M66" s="7"/>
      <c r="N66" s="7"/>
      <c r="O66" s="5"/>
    </row>
    <row r="67" spans="1:15" x14ac:dyDescent="0.25">
      <c r="A67" s="125" t="s">
        <v>105</v>
      </c>
      <c r="B67" s="118" t="s">
        <v>44</v>
      </c>
      <c r="C67" s="4" t="s">
        <v>48</v>
      </c>
      <c r="D67" s="117">
        <v>16</v>
      </c>
      <c r="E67" s="117">
        <v>6</v>
      </c>
      <c r="F67" s="109" t="str">
        <f t="shared" si="42"/>
        <v>Alta</v>
      </c>
      <c r="G67" s="6" t="str">
        <f t="shared" si="43"/>
        <v>CEH</v>
      </c>
      <c r="H67" s="6">
        <f t="shared" si="44"/>
        <v>6</v>
      </c>
      <c r="I67" s="109" t="str">
        <f t="shared" si="45"/>
        <v>H</v>
      </c>
      <c r="J67" s="6" t="str">
        <f t="shared" si="46"/>
        <v>CEI</v>
      </c>
      <c r="K67" s="120">
        <f t="shared" si="47"/>
        <v>6</v>
      </c>
      <c r="L67" s="120">
        <f>IF(NOT(ISERROR(VLOOKUP(B67,Deflatores!G$42:H$64,2,FALSE))),VLOOKUP(B67,Deflatores!G$42:H$64,2,FALSE),IF(OR(ISBLANK(C67),ISBLANK(B67)),"",VLOOKUP(C67,Deflatores!G$4:H$38,2,FALSE)*H67+VLOOKUP(C67,Deflatores!G$4:I$38,3,FALSE)))</f>
        <v>6</v>
      </c>
      <c r="M67" s="7"/>
      <c r="N67" s="7"/>
      <c r="O67" s="5"/>
    </row>
    <row r="68" spans="1:15" x14ac:dyDescent="0.25">
      <c r="A68" s="111"/>
      <c r="B68" s="4"/>
      <c r="C68" s="4"/>
      <c r="D68" s="6"/>
      <c r="E68" s="6"/>
      <c r="F68" s="109" t="str">
        <f t="shared" ref="F68:F75" si="138">IF(ISBLANK(B68),"",IF(I68="L","Baixa",IF(I68="A","Média",IF(I68="","","Alta"))))</f>
        <v/>
      </c>
      <c r="G68" s="6" t="str">
        <f t="shared" ref="G68:G75" si="139">CONCATENATE(B68,I68)</f>
        <v/>
      </c>
      <c r="H68" s="6" t="str">
        <f t="shared" ref="H68:H75" si="140">IF(ISBLANK(B68),"",IF(B68="ALI",IF(I68="L",7,IF(I68="A",10,15)),IF(B68="AIE",IF(I68="L",5,IF(I68="A",7,10)),IF(B68="SE",IF(I68="L",4,IF(I68="A",5,7)),IF(OR(B68="EE",B68="CE"),IF(I68="L",3,IF(I68="A",4,6)),0)))))</f>
        <v/>
      </c>
      <c r="I68" s="109" t="str">
        <f t="shared" ref="I68:I75" si="141">IF(OR(ISBLANK(D68),ISBLANK(E68)),IF(OR(B68="ALI",B68="AIE"),"L",IF(OR(B68="EE",B68="SE",B68="CE"),"A","")),IF(B68="EE",IF(E68&gt;=3,IF(D68&gt;=5,"H","A"),IF(E68&gt;=2,IF(D68&gt;=16,"H",IF(D68&lt;=4,"L","A")),IF(D68&lt;=15,"L","A"))),IF(OR(B68="SE",B68="CE"),IF(E68&gt;=4,IF(D68&gt;=6,"H","A"),IF(E68&gt;=2,IF(D68&gt;=20,"H",IF(D68&lt;=5,"L","A")),IF(D68&lt;=19,"L","A"))),IF(OR(B68="ALI",B68="AIE"),IF(E68&gt;=6,IF(D68&gt;=20,"H","A"),IF(E68&gt;=2,IF(D68&gt;=51,"H",IF(D68&lt;=19,"L","A")),IF(D68&lt;=50,"L","A"))),""))))</f>
        <v/>
      </c>
      <c r="J68" s="6" t="str">
        <f t="shared" ref="J68:J75" si="142">CONCATENATE(B68,C68)</f>
        <v/>
      </c>
      <c r="K68" s="120" t="str">
        <f t="shared" ref="K68:K75" si="143">IF(OR(H68="",H68=0),L68,H68)</f>
        <v/>
      </c>
      <c r="L68" s="120" t="str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7"/>
      <c r="N68" s="7"/>
      <c r="O68" s="5"/>
    </row>
    <row r="69" spans="1:15" x14ac:dyDescent="0.25">
      <c r="A69" s="113" t="s">
        <v>106</v>
      </c>
      <c r="B69" s="4"/>
      <c r="C69" s="4"/>
      <c r="D69" s="6"/>
      <c r="E69" s="6"/>
      <c r="F69" s="109" t="str">
        <f t="shared" si="138"/>
        <v/>
      </c>
      <c r="G69" s="6" t="str">
        <f t="shared" si="139"/>
        <v/>
      </c>
      <c r="H69" s="6" t="str">
        <f t="shared" si="140"/>
        <v/>
      </c>
      <c r="I69" s="109" t="str">
        <f t="shared" si="141"/>
        <v/>
      </c>
      <c r="J69" s="6" t="str">
        <f t="shared" si="142"/>
        <v/>
      </c>
      <c r="K69" s="120" t="str">
        <f t="shared" si="143"/>
        <v/>
      </c>
      <c r="L69" s="120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7"/>
      <c r="N69" s="7"/>
      <c r="O69" s="5"/>
    </row>
    <row r="70" spans="1:15" x14ac:dyDescent="0.25">
      <c r="A70" s="111" t="s">
        <v>107</v>
      </c>
      <c r="B70" s="4" t="s">
        <v>44</v>
      </c>
      <c r="C70" s="4" t="s">
        <v>48</v>
      </c>
      <c r="D70" s="117">
        <v>6</v>
      </c>
      <c r="E70" s="117">
        <v>3</v>
      </c>
      <c r="F70" s="109" t="str">
        <f t="shared" si="138"/>
        <v>Média</v>
      </c>
      <c r="G70" s="6" t="str">
        <f t="shared" si="139"/>
        <v>CEA</v>
      </c>
      <c r="H70" s="6">
        <f t="shared" si="140"/>
        <v>4</v>
      </c>
      <c r="I70" s="109" t="str">
        <f t="shared" si="141"/>
        <v>A</v>
      </c>
      <c r="J70" s="6" t="str">
        <f t="shared" si="142"/>
        <v>CEI</v>
      </c>
      <c r="K70" s="120">
        <f t="shared" si="143"/>
        <v>4</v>
      </c>
      <c r="L70" s="120">
        <f>IF(NOT(ISERROR(VLOOKUP(B70,Deflatores!G$42:H$64,2,FALSE))),VLOOKUP(B70,Deflatores!G$42:H$64,2,FALSE),IF(OR(ISBLANK(C70),ISBLANK(B70)),"",VLOOKUP(C70,Deflatores!G$4:H$38,2,FALSE)*H70+VLOOKUP(C70,Deflatores!G$4:I$38,3,FALSE)))</f>
        <v>4</v>
      </c>
      <c r="M70" s="7"/>
      <c r="N70" s="7"/>
      <c r="O70" s="5"/>
    </row>
    <row r="71" spans="1:15" x14ac:dyDescent="0.25">
      <c r="A71" s="111" t="s">
        <v>108</v>
      </c>
      <c r="B71" s="4" t="s">
        <v>64</v>
      </c>
      <c r="C71" s="4" t="s">
        <v>48</v>
      </c>
      <c r="D71" s="117">
        <v>9</v>
      </c>
      <c r="E71" s="117">
        <v>3</v>
      </c>
      <c r="F71" s="109" t="str">
        <f>IF(ISBLANK(B71),"",IF(I71="L","Baixa",IF(I71="A","Média",IF(I71="","","Alta"))))</f>
        <v>Baixa</v>
      </c>
      <c r="G71" s="6" t="str">
        <f>CONCATENATE(B71,I71)</f>
        <v>ALIL</v>
      </c>
      <c r="H71" s="6">
        <f>IF(ISBLANK(B71),"",IF(B71="ALI",IF(I71="L",7,IF(I71="A",10,15)),IF(B71="AIE",IF(I71="L",5,IF(I71="A",7,10)),IF(B71="SE",IF(I71="L",4,IF(I71="A",5,7)),IF(OR(B71="EE",B71="CE"),IF(I71="L",3,IF(I71="A",4,6)),0)))))</f>
        <v>7</v>
      </c>
      <c r="I71" s="109" t="str">
        <f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>L</v>
      </c>
      <c r="J71" s="6" t="str">
        <f>CONCATENATE(B71,C71)</f>
        <v>ALII</v>
      </c>
      <c r="K71" s="120">
        <f>IF(OR(H71="",H71=0),L71,H71)</f>
        <v>7</v>
      </c>
      <c r="L71" s="120">
        <f>IF(NOT(ISERROR(VLOOKUP(B71,Deflatores!G$42:H$64,2,FALSE))),VLOOKUP(B71,Deflatores!G$42:H$64,2,FALSE),IF(OR(ISBLANK(C71),ISBLANK(B71)),"",VLOOKUP(C71,Deflatores!G$4:H$38,2,FALSE)*H71+VLOOKUP(C71,Deflatores!G$4:I$38,3,FALSE)))</f>
        <v>7</v>
      </c>
      <c r="M71" s="7"/>
      <c r="N71" s="7"/>
      <c r="O71" s="5"/>
    </row>
    <row r="72" spans="1:15" x14ac:dyDescent="0.25">
      <c r="A72" s="124" t="s">
        <v>109</v>
      </c>
      <c r="B72" s="4" t="s">
        <v>92</v>
      </c>
      <c r="C72" s="4" t="s">
        <v>48</v>
      </c>
      <c r="D72" s="117">
        <v>23</v>
      </c>
      <c r="E72" s="117">
        <v>9</v>
      </c>
      <c r="F72" s="109" t="str">
        <f t="shared" si="138"/>
        <v>Alta</v>
      </c>
      <c r="G72" s="6" t="str">
        <f t="shared" si="139"/>
        <v>SEH</v>
      </c>
      <c r="H72" s="6">
        <f t="shared" si="140"/>
        <v>7</v>
      </c>
      <c r="I72" s="109" t="str">
        <f t="shared" si="141"/>
        <v>H</v>
      </c>
      <c r="J72" s="6" t="str">
        <f t="shared" si="142"/>
        <v>SEI</v>
      </c>
      <c r="K72" s="120">
        <f t="shared" si="143"/>
        <v>7</v>
      </c>
      <c r="L72" s="120">
        <f>IF(NOT(ISERROR(VLOOKUP(B72,Deflatores!G$42:H$64,2,FALSE))),VLOOKUP(B72,Deflatores!G$42:H$64,2,FALSE),IF(OR(ISBLANK(C72),ISBLANK(B72)),"",VLOOKUP(C72,Deflatores!G$4:H$38,2,FALSE)*H72+VLOOKUP(C72,Deflatores!G$4:I$38,3,FALSE)))</f>
        <v>7</v>
      </c>
      <c r="M72" s="7"/>
      <c r="N72" s="7"/>
      <c r="O72" s="5"/>
    </row>
    <row r="73" spans="1:15" x14ac:dyDescent="0.25">
      <c r="A73" s="126" t="s">
        <v>110</v>
      </c>
      <c r="B73" s="4" t="s">
        <v>44</v>
      </c>
      <c r="C73" s="4" t="s">
        <v>48</v>
      </c>
      <c r="D73" s="117">
        <v>4</v>
      </c>
      <c r="E73" s="117">
        <v>2</v>
      </c>
      <c r="F73" s="109" t="str">
        <f t="shared" si="138"/>
        <v>Baixa</v>
      </c>
      <c r="G73" s="6" t="str">
        <f t="shared" si="139"/>
        <v>CEL</v>
      </c>
      <c r="H73" s="6">
        <f t="shared" si="140"/>
        <v>3</v>
      </c>
      <c r="I73" s="109" t="str">
        <f t="shared" si="141"/>
        <v>L</v>
      </c>
      <c r="J73" s="6" t="str">
        <f t="shared" si="142"/>
        <v>CEI</v>
      </c>
      <c r="K73" s="120">
        <f t="shared" si="143"/>
        <v>3</v>
      </c>
      <c r="L73" s="120">
        <f>IF(NOT(ISERROR(VLOOKUP(B73,Deflatores!G$42:H$64,2,FALSE))),VLOOKUP(B73,Deflatores!G$42:H$64,2,FALSE),IF(OR(ISBLANK(C73),ISBLANK(B73)),"",VLOOKUP(C73,Deflatores!G$4:H$38,2,FALSE)*H73+VLOOKUP(C73,Deflatores!G$4:I$38,3,FALSE)))</f>
        <v>3</v>
      </c>
      <c r="M73" s="7"/>
      <c r="N73" s="7"/>
      <c r="O73" s="5"/>
    </row>
    <row r="74" spans="1:15" x14ac:dyDescent="0.25">
      <c r="A74" s="124" t="s">
        <v>111</v>
      </c>
      <c r="B74" s="4" t="s">
        <v>44</v>
      </c>
      <c r="C74" s="4" t="s">
        <v>48</v>
      </c>
      <c r="D74" s="117">
        <v>17</v>
      </c>
      <c r="E74" s="117">
        <v>5</v>
      </c>
      <c r="F74" s="109" t="str">
        <f t="shared" ref="F74" si="144">IF(ISBLANK(B74),"",IF(I74="L","Baixa",IF(I74="A","Média",IF(I74="","","Alta"))))</f>
        <v>Alta</v>
      </c>
      <c r="G74" s="6" t="str">
        <f t="shared" ref="G74" si="145">CONCATENATE(B74,I74)</f>
        <v>CEH</v>
      </c>
      <c r="H74" s="6">
        <f t="shared" ref="H74" si="146">IF(ISBLANK(B74),"",IF(B74="ALI",IF(I74="L",7,IF(I74="A",10,15)),IF(B74="AIE",IF(I74="L",5,IF(I74="A",7,10)),IF(B74="SE",IF(I74="L",4,IF(I74="A",5,7)),IF(OR(B74="EE",B74="CE"),IF(I74="L",3,IF(I74="A",4,6)),0)))))</f>
        <v>6</v>
      </c>
      <c r="I74" s="109" t="str">
        <f t="shared" ref="I74" si="147">IF(OR(ISBLANK(D74),ISBLANK(E74)),IF(OR(B74="ALI",B74="AIE"),"L",IF(OR(B74="EE",B74="SE",B74="CE"),"A","")),IF(B74="EE",IF(E74&gt;=3,IF(D74&gt;=5,"H","A"),IF(E74&gt;=2,IF(D74&gt;=16,"H",IF(D74&lt;=4,"L","A")),IF(D74&lt;=15,"L","A"))),IF(OR(B74="SE",B74="CE"),IF(E74&gt;=4,IF(D74&gt;=6,"H","A"),IF(E74&gt;=2,IF(D74&gt;=20,"H",IF(D74&lt;=5,"L","A")),IF(D74&lt;=19,"L","A"))),IF(OR(B74="ALI",B74="AIE"),IF(E74&gt;=6,IF(D74&gt;=20,"H","A"),IF(E74&gt;=2,IF(D74&gt;=51,"H",IF(D74&lt;=19,"L","A")),IF(D74&lt;=50,"L","A"))),""))))</f>
        <v>H</v>
      </c>
      <c r="J74" s="6" t="str">
        <f t="shared" ref="J74" si="148">CONCATENATE(B74,C74)</f>
        <v>CEI</v>
      </c>
      <c r="K74" s="120">
        <f t="shared" ref="K74" si="149">IF(OR(H74="",H74=0),L74,H74)</f>
        <v>6</v>
      </c>
      <c r="L74" s="120">
        <f>IF(NOT(ISERROR(VLOOKUP(B74,Deflatores!G$42:H$64,2,FALSE))),VLOOKUP(B74,Deflatores!G$42:H$64,2,FALSE),IF(OR(ISBLANK(C74),ISBLANK(B74)),"",VLOOKUP(C74,Deflatores!G$4:H$38,2,FALSE)*H74+VLOOKUP(C74,Deflatores!G$4:I$38,3,FALSE)))</f>
        <v>6</v>
      </c>
      <c r="M74" s="7"/>
      <c r="N74" s="7"/>
      <c r="O74" s="119"/>
    </row>
    <row r="75" spans="1:15" x14ac:dyDescent="0.25">
      <c r="A75" s="127" t="s">
        <v>112</v>
      </c>
      <c r="B75" s="4" t="s">
        <v>47</v>
      </c>
      <c r="C75" s="4" t="s">
        <v>68</v>
      </c>
      <c r="D75" s="117">
        <v>3</v>
      </c>
      <c r="E75" s="117">
        <v>2</v>
      </c>
      <c r="F75" s="109" t="str">
        <f t="shared" si="138"/>
        <v>Baixa</v>
      </c>
      <c r="G75" s="6" t="str">
        <f t="shared" si="139"/>
        <v>EEL</v>
      </c>
      <c r="H75" s="6">
        <f t="shared" si="140"/>
        <v>3</v>
      </c>
      <c r="I75" s="109" t="str">
        <f t="shared" si="141"/>
        <v>L</v>
      </c>
      <c r="J75" s="6" t="str">
        <f t="shared" si="142"/>
        <v>EEE</v>
      </c>
      <c r="K75" s="120">
        <f t="shared" si="143"/>
        <v>3</v>
      </c>
      <c r="L75" s="120">
        <f>IF(NOT(ISERROR(VLOOKUP(B75,Deflatores!G$42:H$64,2,FALSE))),VLOOKUP(B75,Deflatores!G$42:H$64,2,FALSE),IF(OR(ISBLANK(C75),ISBLANK(B75)),"",VLOOKUP(C75,Deflatores!G$4:H$38,2,FALSE)*H75+VLOOKUP(C75,Deflatores!G$4:I$38,3,FALSE)))</f>
        <v>1.2000000000000002</v>
      </c>
      <c r="M75" s="7"/>
      <c r="N75" s="7"/>
      <c r="O75" s="5"/>
    </row>
    <row r="76" spans="1:15" x14ac:dyDescent="0.25">
      <c r="A76" s="111"/>
      <c r="B76" s="4"/>
      <c r="C76" s="4"/>
      <c r="D76" s="6"/>
      <c r="E76" s="6"/>
      <c r="F76" s="109" t="str">
        <f t="shared" ref="F76" si="150">IF(ISBLANK(B76),"",IF(I76="L","Baixa",IF(I76="A","Média",IF(I76="","","Alta"))))</f>
        <v/>
      </c>
      <c r="G76" s="6" t="str">
        <f t="shared" ref="G76" si="151">CONCATENATE(B76,I76)</f>
        <v/>
      </c>
      <c r="H76" s="6" t="str">
        <f t="shared" ref="H76" si="152">IF(ISBLANK(B76),"",IF(B76="ALI",IF(I76="L",7,IF(I76="A",10,15)),IF(B76="AIE",IF(I76="L",5,IF(I76="A",7,10)),IF(B76="SE",IF(I76="L",4,IF(I76="A",5,7)),IF(OR(B76="EE",B76="CE"),IF(I76="L",3,IF(I76="A",4,6)),0)))))</f>
        <v/>
      </c>
      <c r="I76" s="109" t="str">
        <f t="shared" ref="I76" si="153">IF(OR(ISBLANK(D76),ISBLANK(E76)),IF(OR(B76="ALI",B76="AIE"),"L",IF(OR(B76="EE",B76="SE",B76="CE"),"A","")),IF(B76="EE",IF(E76&gt;=3,IF(D76&gt;=5,"H","A"),IF(E76&gt;=2,IF(D76&gt;=16,"H",IF(D76&lt;=4,"L","A")),IF(D76&lt;=15,"L","A"))),IF(OR(B76="SE",B76="CE"),IF(E76&gt;=4,IF(D76&gt;=6,"H","A"),IF(E76&gt;=2,IF(D76&gt;=20,"H",IF(D76&lt;=5,"L","A")),IF(D76&lt;=19,"L","A"))),IF(OR(B76="ALI",B76="AIE"),IF(E76&gt;=6,IF(D76&gt;=20,"H","A"),IF(E76&gt;=2,IF(D76&gt;=51,"H",IF(D76&lt;=19,"L","A")),IF(D76&lt;=50,"L","A"))),""))))</f>
        <v/>
      </c>
      <c r="J76" s="6" t="str">
        <f t="shared" ref="J76" si="154">CONCATENATE(B76,C76)</f>
        <v/>
      </c>
      <c r="K76" s="120" t="str">
        <f t="shared" ref="K76" si="155">IF(OR(H76="",H76=0),L76,H76)</f>
        <v/>
      </c>
      <c r="L76" s="120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7"/>
      <c r="N76" s="7"/>
      <c r="O76" s="5"/>
    </row>
    <row r="77" spans="1:15" ht="22.5" customHeight="1" x14ac:dyDescent="0.25">
      <c r="A77" s="113" t="s">
        <v>113</v>
      </c>
      <c r="B77" s="4"/>
      <c r="C77" s="4"/>
      <c r="D77" s="6"/>
      <c r="E77" s="6"/>
      <c r="F77" s="109" t="str">
        <f t="shared" ref="F77:F78" si="156">IF(ISBLANK(B77),"",IF(I77="L","Baixa",IF(I77="A","Média",IF(I77="","","Alta"))))</f>
        <v/>
      </c>
      <c r="G77" s="6" t="str">
        <f t="shared" ref="G77:G78" si="157">CONCATENATE(B77,I77)</f>
        <v/>
      </c>
      <c r="H77" s="6" t="str">
        <f t="shared" ref="H77:H78" si="158">IF(ISBLANK(B77),"",IF(B77="ALI",IF(I77="L",7,IF(I77="A",10,15)),IF(B77="AIE",IF(I77="L",5,IF(I77="A",7,10)),IF(B77="SE",IF(I77="L",4,IF(I77="A",5,7)),IF(OR(B77="EE",B77="CE"),IF(I77="L",3,IF(I77="A",4,6)),0)))))</f>
        <v/>
      </c>
      <c r="I77" s="109" t="str">
        <f t="shared" ref="I77:I78" si="159">IF(OR(ISBLANK(D77),ISBLANK(E77)),IF(OR(B77="ALI",B77="AIE"),"L",IF(OR(B77="EE",B77="SE",B77="CE"),"A","")),IF(B77="EE",IF(E77&gt;=3,IF(D77&gt;=5,"H","A"),IF(E77&gt;=2,IF(D77&gt;=16,"H",IF(D77&lt;=4,"L","A")),IF(D77&lt;=15,"L","A"))),IF(OR(B77="SE",B77="CE"),IF(E77&gt;=4,IF(D77&gt;=6,"H","A"),IF(E77&gt;=2,IF(D77&gt;=20,"H",IF(D77&lt;=5,"L","A")),IF(D77&lt;=19,"L","A"))),IF(OR(B77="ALI",B77="AIE"),IF(E77&gt;=6,IF(D77&gt;=20,"H","A"),IF(E77&gt;=2,IF(D77&gt;=51,"H",IF(D77&lt;=19,"L","A")),IF(D77&lt;=50,"L","A"))),""))))</f>
        <v/>
      </c>
      <c r="J77" s="6" t="str">
        <f t="shared" ref="J77:J78" si="160">CONCATENATE(B77,C77)</f>
        <v/>
      </c>
      <c r="K77" s="120" t="str">
        <f t="shared" ref="K77:K78" si="161">IF(OR(H77="",H77=0),L77,H77)</f>
        <v/>
      </c>
      <c r="L77" s="120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7"/>
      <c r="N77" s="7"/>
      <c r="O77" s="5"/>
    </row>
    <row r="78" spans="1:15" x14ac:dyDescent="0.25">
      <c r="A78" s="111" t="s">
        <v>114</v>
      </c>
      <c r="B78" s="118" t="s">
        <v>64</v>
      </c>
      <c r="C78" s="4" t="s">
        <v>48</v>
      </c>
      <c r="D78" s="117">
        <v>11</v>
      </c>
      <c r="E78" s="117">
        <v>3</v>
      </c>
      <c r="F78" s="109" t="str">
        <f t="shared" si="156"/>
        <v>Baixa</v>
      </c>
      <c r="G78" s="6" t="str">
        <f t="shared" si="157"/>
        <v>ALIL</v>
      </c>
      <c r="H78" s="6">
        <f t="shared" si="158"/>
        <v>7</v>
      </c>
      <c r="I78" s="109" t="str">
        <f t="shared" si="159"/>
        <v>L</v>
      </c>
      <c r="J78" s="6" t="str">
        <f t="shared" si="160"/>
        <v>ALII</v>
      </c>
      <c r="K78" s="120">
        <f t="shared" si="161"/>
        <v>7</v>
      </c>
      <c r="L78" s="120">
        <f>IF(NOT(ISERROR(VLOOKUP(B78,Deflatores!G$42:H$64,2,FALSE))),VLOOKUP(B78,Deflatores!G$42:H$64,2,FALSE),IF(OR(ISBLANK(C78),ISBLANK(B78)),"",VLOOKUP(C78,Deflatores!G$4:H$38,2,FALSE)*H78+VLOOKUP(C78,Deflatores!G$4:I$38,3,FALSE)))</f>
        <v>7</v>
      </c>
      <c r="M78" s="7"/>
      <c r="N78" s="7"/>
      <c r="O78" s="5"/>
    </row>
    <row r="79" spans="1:15" x14ac:dyDescent="0.25">
      <c r="A79" s="124" t="s">
        <v>115</v>
      </c>
      <c r="B79" s="118" t="s">
        <v>47</v>
      </c>
      <c r="C79" s="4" t="s">
        <v>48</v>
      </c>
      <c r="D79" s="117">
        <v>30</v>
      </c>
      <c r="E79" s="117">
        <v>7</v>
      </c>
      <c r="F79" s="109" t="str">
        <f t="shared" ref="F79" si="162">IF(ISBLANK(B79),"",IF(I79="L","Baixa",IF(I79="A","Média",IF(I79="","","Alta"))))</f>
        <v>Alta</v>
      </c>
      <c r="G79" s="6" t="str">
        <f t="shared" ref="G79" si="163">CONCATENATE(B79,I79)</f>
        <v>EEH</v>
      </c>
      <c r="H79" s="6">
        <f t="shared" ref="H79" si="164">IF(ISBLANK(B79),"",IF(B79="ALI",IF(I79="L",7,IF(I79="A",10,15)),IF(B79="AIE",IF(I79="L",5,IF(I79="A",7,10)),IF(B79="SE",IF(I79="L",4,IF(I79="A",5,7)),IF(OR(B79="EE",B79="CE"),IF(I79="L",3,IF(I79="A",4,6)),0)))))</f>
        <v>6</v>
      </c>
      <c r="I79" s="109" t="str">
        <f t="shared" ref="I79" si="165">IF(OR(ISBLANK(D79),ISBLANK(E79)),IF(OR(B79="ALI",B79="AIE"),"L",IF(OR(B79="EE",B79="SE",B79="CE"),"A","")),IF(B79="EE",IF(E79&gt;=3,IF(D79&gt;=5,"H","A"),IF(E79&gt;=2,IF(D79&gt;=16,"H",IF(D79&lt;=4,"L","A")),IF(D79&lt;=15,"L","A"))),IF(OR(B79="SE",B79="CE"),IF(E79&gt;=4,IF(D79&gt;=6,"H","A"),IF(E79&gt;=2,IF(D79&gt;=20,"H",IF(D79&lt;=5,"L","A")),IF(D79&lt;=19,"L","A"))),IF(OR(B79="ALI",B79="AIE"),IF(E79&gt;=6,IF(D79&gt;=20,"H","A"),IF(E79&gt;=2,IF(D79&gt;=51,"H",IF(D79&lt;=19,"L","A")),IF(D79&lt;=50,"L","A"))),""))))</f>
        <v>H</v>
      </c>
      <c r="J79" s="6" t="str">
        <f t="shared" ref="J79" si="166">CONCATENATE(B79,C79)</f>
        <v>EEI</v>
      </c>
      <c r="K79" s="120">
        <f t="shared" ref="K79" si="167">IF(OR(H79="",H79=0),L79,H79)</f>
        <v>6</v>
      </c>
      <c r="L79" s="120">
        <f>IF(NOT(ISERROR(VLOOKUP(B79,Deflatores!G$42:H$64,2,FALSE))),VLOOKUP(B79,Deflatores!G$42:H$64,2,FALSE),IF(OR(ISBLANK(C79),ISBLANK(B79)),"",VLOOKUP(C79,Deflatores!G$4:H$38,2,FALSE)*H79+VLOOKUP(C79,Deflatores!G$4:I$38,3,FALSE)))</f>
        <v>6</v>
      </c>
      <c r="M79" s="7"/>
      <c r="N79" s="7"/>
      <c r="O79" s="5"/>
    </row>
    <row r="80" spans="1:15" x14ac:dyDescent="0.25">
      <c r="A80" s="125" t="s">
        <v>116</v>
      </c>
      <c r="B80" s="122" t="s">
        <v>44</v>
      </c>
      <c r="C80" s="4" t="s">
        <v>48</v>
      </c>
      <c r="D80" s="121">
        <v>21</v>
      </c>
      <c r="E80" s="121">
        <v>10</v>
      </c>
      <c r="F80" s="109" t="str">
        <f t="shared" ref="F80" si="168">IF(ISBLANK(B80),"",IF(I80="L","Baixa",IF(I80="A","Média",IF(I80="","","Alta"))))</f>
        <v>Alta</v>
      </c>
      <c r="G80" s="6" t="str">
        <f t="shared" ref="G80" si="169">CONCATENATE(B80,I80)</f>
        <v>CEH</v>
      </c>
      <c r="H80" s="6">
        <f t="shared" ref="H80" si="170">IF(ISBLANK(B80),"",IF(B80="ALI",IF(I80="L",7,IF(I80="A",10,15)),IF(B80="AIE",IF(I80="L",5,IF(I80="A",7,10)),IF(B80="SE",IF(I80="L",4,IF(I80="A",5,7)),IF(OR(B80="EE",B80="CE"),IF(I80="L",3,IF(I80="A",4,6)),0)))))</f>
        <v>6</v>
      </c>
      <c r="I80" s="109" t="str">
        <f t="shared" ref="I80" si="171">IF(OR(ISBLANK(D80),ISBLANK(E80)),IF(OR(B80="ALI",B80="AIE"),"L",IF(OR(B80="EE",B80="SE",B80="CE"),"A","")),IF(B80="EE",IF(E80&gt;=3,IF(D80&gt;=5,"H","A"),IF(E80&gt;=2,IF(D80&gt;=16,"H",IF(D80&lt;=4,"L","A")),IF(D80&lt;=15,"L","A"))),IF(OR(B80="SE",B80="CE"),IF(E80&gt;=4,IF(D80&gt;=6,"H","A"),IF(E80&gt;=2,IF(D80&gt;=20,"H",IF(D80&lt;=5,"L","A")),IF(D80&lt;=19,"L","A"))),IF(OR(B80="ALI",B80="AIE"),IF(E80&gt;=6,IF(D80&gt;=20,"H","A"),IF(E80&gt;=2,IF(D80&gt;=51,"H",IF(D80&lt;=19,"L","A")),IF(D80&lt;=50,"L","A"))),""))))</f>
        <v>H</v>
      </c>
      <c r="J80" s="6" t="str">
        <f t="shared" ref="J80" si="172">CONCATENATE(B80,C80)</f>
        <v>CEI</v>
      </c>
      <c r="K80" s="120">
        <f t="shared" ref="K80" si="173">IF(OR(H80="",H80=0),L80,H80)</f>
        <v>6</v>
      </c>
      <c r="L80" s="120">
        <f>IF(NOT(ISERROR(VLOOKUP(B80,Deflatores!G$42:H$64,2,FALSE))),VLOOKUP(B80,Deflatores!G$42:H$64,2,FALSE),IF(OR(ISBLANK(C80),ISBLANK(B80)),"",VLOOKUP(C80,Deflatores!G$4:H$38,2,FALSE)*H80+VLOOKUP(C80,Deflatores!G$4:I$38,3,FALSE)))</f>
        <v>6</v>
      </c>
      <c r="M80" s="7"/>
      <c r="N80" s="7"/>
      <c r="O80" s="5"/>
    </row>
    <row r="81" spans="1:15" x14ac:dyDescent="0.25">
      <c r="A81" s="111"/>
      <c r="B81" s="4"/>
      <c r="C81" s="4"/>
      <c r="D81" s="6"/>
      <c r="E81" s="6"/>
      <c r="F81" s="109" t="str">
        <f t="shared" ref="F81" si="174">IF(ISBLANK(B81),"",IF(I81="L","Baixa",IF(I81="A","Média",IF(I81="","","Alta"))))</f>
        <v/>
      </c>
      <c r="G81" s="6" t="str">
        <f t="shared" ref="G81" si="175">CONCATENATE(B81,I81)</f>
        <v/>
      </c>
      <c r="H81" s="6" t="str">
        <f t="shared" ref="H81" si="176">IF(ISBLANK(B81),"",IF(B81="ALI",IF(I81="L",7,IF(I81="A",10,15)),IF(B81="AIE",IF(I81="L",5,IF(I81="A",7,10)),IF(B81="SE",IF(I81="L",4,IF(I81="A",5,7)),IF(OR(B81="EE",B81="CE"),IF(I81="L",3,IF(I81="A",4,6)),0)))))</f>
        <v/>
      </c>
      <c r="I81" s="109" t="str">
        <f t="shared" ref="I81" si="177">IF(OR(ISBLANK(D81),ISBLANK(E81)),IF(OR(B81="ALI",B81="AIE"),"L",IF(OR(B81="EE",B81="SE",B81="CE"),"A","")),IF(B81="EE",IF(E81&gt;=3,IF(D81&gt;=5,"H","A"),IF(E81&gt;=2,IF(D81&gt;=16,"H",IF(D81&lt;=4,"L","A")),IF(D81&lt;=15,"L","A"))),IF(OR(B81="SE",B81="CE"),IF(E81&gt;=4,IF(D81&gt;=6,"H","A"),IF(E81&gt;=2,IF(D81&gt;=20,"H",IF(D81&lt;=5,"L","A")),IF(D81&lt;=19,"L","A"))),IF(OR(B81="ALI",B81="AIE"),IF(E81&gt;=6,IF(D81&gt;=20,"H","A"),IF(E81&gt;=2,IF(D81&gt;=51,"H",IF(D81&lt;=19,"L","A")),IF(D81&lt;=50,"L","A"))),""))))</f>
        <v/>
      </c>
      <c r="J81" s="6" t="str">
        <f t="shared" ref="J81" si="178">CONCATENATE(B81,C81)</f>
        <v/>
      </c>
      <c r="K81" s="120" t="str">
        <f t="shared" ref="K81" si="179">IF(OR(H81="",H81=0),L81,H81)</f>
        <v/>
      </c>
      <c r="L81" s="120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7"/>
      <c r="N81" s="7"/>
      <c r="O81" s="5"/>
    </row>
    <row r="82" spans="1:15" x14ac:dyDescent="0.25">
      <c r="A82" s="113" t="s">
        <v>117</v>
      </c>
      <c r="B82" s="4"/>
      <c r="C82" s="4"/>
      <c r="D82" s="6"/>
      <c r="E82" s="6"/>
      <c r="F82" s="109" t="str">
        <f t="shared" si="42"/>
        <v/>
      </c>
      <c r="G82" s="6" t="str">
        <f t="shared" si="43"/>
        <v/>
      </c>
      <c r="H82" s="6" t="str">
        <f t="shared" si="44"/>
        <v/>
      </c>
      <c r="I82" s="109" t="str">
        <f t="shared" si="45"/>
        <v/>
      </c>
      <c r="J82" s="6" t="str">
        <f t="shared" si="46"/>
        <v/>
      </c>
      <c r="K82" s="120" t="str">
        <f t="shared" si="47"/>
        <v/>
      </c>
      <c r="L82" s="120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7"/>
      <c r="N82" s="7"/>
      <c r="O82" s="5"/>
    </row>
    <row r="83" spans="1:15" x14ac:dyDescent="0.25">
      <c r="A83" s="124" t="s">
        <v>118</v>
      </c>
      <c r="B83" s="118" t="s">
        <v>44</v>
      </c>
      <c r="C83" s="4" t="s">
        <v>48</v>
      </c>
      <c r="D83" s="117">
        <v>18</v>
      </c>
      <c r="E83" s="117">
        <v>10</v>
      </c>
      <c r="F83" s="109" t="str">
        <f t="shared" si="42"/>
        <v>Alta</v>
      </c>
      <c r="G83" s="6" t="str">
        <f t="shared" si="43"/>
        <v>CEH</v>
      </c>
      <c r="H83" s="6">
        <f t="shared" si="44"/>
        <v>6</v>
      </c>
      <c r="I83" s="109" t="str">
        <f t="shared" si="45"/>
        <v>H</v>
      </c>
      <c r="J83" s="6" t="str">
        <f t="shared" si="46"/>
        <v>CEI</v>
      </c>
      <c r="K83" s="120">
        <f t="shared" si="47"/>
        <v>6</v>
      </c>
      <c r="L83" s="120">
        <f>IF(NOT(ISERROR(VLOOKUP(B83,Deflatores!G$42:H$64,2,FALSE))),VLOOKUP(B83,Deflatores!G$42:H$64,2,FALSE),IF(OR(ISBLANK(C83),ISBLANK(B83)),"",VLOOKUP(C83,Deflatores!G$4:H$38,2,FALSE)*H83+VLOOKUP(C83,Deflatores!G$4:I$38,3,FALSE)))</f>
        <v>6</v>
      </c>
      <c r="M83" s="7"/>
      <c r="N83" s="7"/>
      <c r="O83" s="5"/>
    </row>
    <row r="84" spans="1:15" x14ac:dyDescent="0.25">
      <c r="A84" s="124" t="s">
        <v>119</v>
      </c>
      <c r="B84" s="118" t="s">
        <v>47</v>
      </c>
      <c r="C84" s="4" t="s">
        <v>48</v>
      </c>
      <c r="D84" s="117">
        <v>17</v>
      </c>
      <c r="E84" s="117">
        <v>6</v>
      </c>
      <c r="F84" s="109" t="str">
        <f t="shared" si="42"/>
        <v>Alta</v>
      </c>
      <c r="G84" s="6" t="str">
        <f t="shared" si="43"/>
        <v>EEH</v>
      </c>
      <c r="H84" s="6">
        <f t="shared" si="44"/>
        <v>6</v>
      </c>
      <c r="I84" s="109" t="str">
        <f t="shared" si="45"/>
        <v>H</v>
      </c>
      <c r="J84" s="6" t="str">
        <f t="shared" si="46"/>
        <v>EEI</v>
      </c>
      <c r="K84" s="120">
        <f t="shared" si="47"/>
        <v>6</v>
      </c>
      <c r="L84" s="120">
        <f>IF(NOT(ISERROR(VLOOKUP(B84,Deflatores!G$42:H$64,2,FALSE))),VLOOKUP(B84,Deflatores!G$42:H$64,2,FALSE),IF(OR(ISBLANK(C84),ISBLANK(B84)),"",VLOOKUP(C84,Deflatores!G$4:H$38,2,FALSE)*H84+VLOOKUP(C84,Deflatores!G$4:I$38,3,FALSE)))</f>
        <v>6</v>
      </c>
      <c r="M84" s="7"/>
      <c r="N84" s="7"/>
      <c r="O84" s="5"/>
    </row>
    <row r="85" spans="1:15" ht="22" x14ac:dyDescent="0.25">
      <c r="A85" s="111" t="s">
        <v>120</v>
      </c>
      <c r="B85" s="4" t="s">
        <v>44</v>
      </c>
      <c r="C85" s="4" t="s">
        <v>48</v>
      </c>
      <c r="D85" s="117">
        <v>3</v>
      </c>
      <c r="E85" s="117">
        <v>1</v>
      </c>
      <c r="F85" s="109" t="str">
        <f t="shared" si="42"/>
        <v>Baixa</v>
      </c>
      <c r="G85" s="6" t="str">
        <f t="shared" si="43"/>
        <v>CEL</v>
      </c>
      <c r="H85" s="6">
        <f t="shared" si="44"/>
        <v>3</v>
      </c>
      <c r="I85" s="109" t="str">
        <f t="shared" si="45"/>
        <v>L</v>
      </c>
      <c r="J85" s="6" t="str">
        <f t="shared" si="46"/>
        <v>CEI</v>
      </c>
      <c r="K85" s="120">
        <f t="shared" si="47"/>
        <v>3</v>
      </c>
      <c r="L85" s="120">
        <f>IF(NOT(ISERROR(VLOOKUP(B85,Deflatores!G$42:H$64,2,FALSE))),VLOOKUP(B85,Deflatores!G$42:H$64,2,FALSE),IF(OR(ISBLANK(C85),ISBLANK(B85)),"",VLOOKUP(C85,Deflatores!G$4:H$38,2,FALSE)*H85+VLOOKUP(C85,Deflatores!G$4:I$38,3,FALSE)))</f>
        <v>3</v>
      </c>
      <c r="M85" s="7"/>
      <c r="N85" s="7"/>
      <c r="O85" s="5" t="s">
        <v>121</v>
      </c>
    </row>
    <row r="86" spans="1:15" x14ac:dyDescent="0.25">
      <c r="A86" s="111"/>
      <c r="B86" s="4"/>
      <c r="C86" s="4"/>
      <c r="D86" s="6"/>
      <c r="E86" s="6"/>
      <c r="F86" s="109" t="str">
        <f t="shared" si="42"/>
        <v/>
      </c>
      <c r="G86" s="6" t="str">
        <f t="shared" si="43"/>
        <v/>
      </c>
      <c r="H86" s="6" t="str">
        <f t="shared" si="44"/>
        <v/>
      </c>
      <c r="I86" s="109" t="str">
        <f t="shared" si="45"/>
        <v/>
      </c>
      <c r="J86" s="6" t="str">
        <f t="shared" si="46"/>
        <v/>
      </c>
      <c r="K86" s="120" t="str">
        <f t="shared" si="47"/>
        <v/>
      </c>
      <c r="L86" s="120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7"/>
      <c r="N86" s="7"/>
      <c r="O86" s="5"/>
    </row>
    <row r="87" spans="1:15" x14ac:dyDescent="0.25">
      <c r="A87" s="113" t="s">
        <v>122</v>
      </c>
      <c r="B87" s="4"/>
      <c r="C87" s="4"/>
      <c r="D87" s="6"/>
      <c r="E87" s="6"/>
      <c r="F87" s="109" t="str">
        <f t="shared" si="42"/>
        <v/>
      </c>
      <c r="G87" s="6" t="str">
        <f t="shared" si="43"/>
        <v/>
      </c>
      <c r="H87" s="6" t="str">
        <f t="shared" si="44"/>
        <v/>
      </c>
      <c r="I87" s="109" t="str">
        <f t="shared" si="45"/>
        <v/>
      </c>
      <c r="J87" s="6" t="str">
        <f t="shared" si="46"/>
        <v/>
      </c>
      <c r="K87" s="120" t="str">
        <f t="shared" si="47"/>
        <v/>
      </c>
      <c r="L87" s="120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7"/>
      <c r="N87" s="7"/>
      <c r="O87" s="5"/>
    </row>
    <row r="88" spans="1:15" x14ac:dyDescent="0.25">
      <c r="A88" s="111" t="s">
        <v>123</v>
      </c>
      <c r="B88" s="4" t="s">
        <v>64</v>
      </c>
      <c r="C88" s="4" t="s">
        <v>48</v>
      </c>
      <c r="D88" s="117">
        <v>9</v>
      </c>
      <c r="E88" s="117">
        <v>1</v>
      </c>
      <c r="F88" s="109" t="str">
        <f>IF(ISBLANK(B88),"",IF(I88="L","Baixa",IF(I88="A","Média",IF(I88="","","Alta"))))</f>
        <v>Baixa</v>
      </c>
      <c r="G88" s="6" t="str">
        <f>CONCATENATE(B88,I88)</f>
        <v>ALIL</v>
      </c>
      <c r="H88" s="6">
        <f>IF(ISBLANK(B88),"",IF(B88="ALI",IF(I88="L",7,IF(I88="A",10,15)),IF(B88="AIE",IF(I88="L",5,IF(I88="A",7,10)),IF(B88="SE",IF(I88="L",4,IF(I88="A",5,7)),IF(OR(B88="EE",B88="CE"),IF(I88="L",3,IF(I88="A",4,6)),0)))))</f>
        <v>7</v>
      </c>
      <c r="I88" s="109" t="str">
        <f>IF(OR(ISBLANK(D88),ISBLANK(E88)),IF(OR(B88="ALI",B88="AIE"),"L",IF(OR(B88="EE",B88="SE",B88="CE"),"A","")),IF(B88="EE",IF(E88&gt;=3,IF(D88&gt;=5,"H","A"),IF(E88&gt;=2,IF(D88&gt;=16,"H",IF(D88&lt;=4,"L","A")),IF(D88&lt;=15,"L","A"))),IF(OR(B88="SE",B88="CE"),IF(E88&gt;=4,IF(D88&gt;=6,"H","A"),IF(E88&gt;=2,IF(D88&gt;=20,"H",IF(D88&lt;=5,"L","A")),IF(D88&lt;=19,"L","A"))),IF(OR(B88="ALI",B88="AIE"),IF(E88&gt;=6,IF(D88&gt;=20,"H","A"),IF(E88&gt;=2,IF(D88&gt;=51,"H",IF(D88&lt;=19,"L","A")),IF(D88&lt;=50,"L","A"))),""))))</f>
        <v>L</v>
      </c>
      <c r="J88" s="6" t="str">
        <f>CONCATENATE(B88,C88)</f>
        <v>ALII</v>
      </c>
      <c r="K88" s="120">
        <f>IF(OR(H88="",H88=0),L88,H88)</f>
        <v>7</v>
      </c>
      <c r="L88" s="120">
        <f>IF(NOT(ISERROR(VLOOKUP(B88,Deflatores!G$42:H$64,2,FALSE))),VLOOKUP(B88,Deflatores!G$42:H$64,2,FALSE),IF(OR(ISBLANK(C88),ISBLANK(B88)),"",VLOOKUP(C88,Deflatores!G$4:H$38,2,FALSE)*H88+VLOOKUP(C88,Deflatores!G$4:I$38,3,FALSE)))</f>
        <v>7</v>
      </c>
      <c r="M88" s="7"/>
      <c r="N88" s="7"/>
      <c r="O88" s="5"/>
    </row>
    <row r="89" spans="1:15" x14ac:dyDescent="0.25">
      <c r="A89" s="111" t="s">
        <v>124</v>
      </c>
      <c r="B89" s="4" t="s">
        <v>44</v>
      </c>
      <c r="C89" s="4" t="s">
        <v>48</v>
      </c>
      <c r="D89" s="117">
        <v>3</v>
      </c>
      <c r="E89" s="6">
        <v>1</v>
      </c>
      <c r="F89" s="109" t="str">
        <f t="shared" si="42"/>
        <v>Baixa</v>
      </c>
      <c r="G89" s="6" t="str">
        <f t="shared" si="43"/>
        <v>CEL</v>
      </c>
      <c r="H89" s="6">
        <f t="shared" si="44"/>
        <v>3</v>
      </c>
      <c r="I89" s="109" t="str">
        <f t="shared" si="45"/>
        <v>L</v>
      </c>
      <c r="J89" s="6" t="str">
        <f t="shared" si="46"/>
        <v>CEI</v>
      </c>
      <c r="K89" s="120">
        <f t="shared" si="47"/>
        <v>3</v>
      </c>
      <c r="L89" s="120">
        <f>IF(NOT(ISERROR(VLOOKUP(B89,Deflatores!G$42:H$64,2,FALSE))),VLOOKUP(B89,Deflatores!G$42:H$64,2,FALSE),IF(OR(ISBLANK(C89),ISBLANK(B89)),"",VLOOKUP(C89,Deflatores!G$4:H$38,2,FALSE)*H89+VLOOKUP(C89,Deflatores!G$4:I$38,3,FALSE)))</f>
        <v>3</v>
      </c>
      <c r="M89" s="7"/>
      <c r="N89" s="7"/>
      <c r="O89" s="5"/>
    </row>
    <row r="90" spans="1:15" x14ac:dyDescent="0.25">
      <c r="A90" s="111" t="s">
        <v>125</v>
      </c>
      <c r="B90" s="4" t="s">
        <v>92</v>
      </c>
      <c r="C90" s="4" t="s">
        <v>48</v>
      </c>
      <c r="D90" s="6">
        <v>23</v>
      </c>
      <c r="E90" s="6">
        <v>6</v>
      </c>
      <c r="F90" s="109" t="str">
        <f t="shared" si="42"/>
        <v>Alta</v>
      </c>
      <c r="G90" s="6" t="str">
        <f t="shared" si="43"/>
        <v>SEH</v>
      </c>
      <c r="H90" s="6">
        <f t="shared" si="44"/>
        <v>7</v>
      </c>
      <c r="I90" s="109" t="str">
        <f t="shared" si="45"/>
        <v>H</v>
      </c>
      <c r="J90" s="6" t="str">
        <f t="shared" si="46"/>
        <v>SEI</v>
      </c>
      <c r="K90" s="120">
        <f t="shared" si="47"/>
        <v>7</v>
      </c>
      <c r="L90" s="120">
        <f>IF(NOT(ISERROR(VLOOKUP(B90,Deflatores!G$42:H$64,2,FALSE))),VLOOKUP(B90,Deflatores!G$42:H$64,2,FALSE),IF(OR(ISBLANK(C90),ISBLANK(B90)),"",VLOOKUP(C90,Deflatores!G$4:H$38,2,FALSE)*H90+VLOOKUP(C90,Deflatores!G$4:I$38,3,FALSE)))</f>
        <v>7</v>
      </c>
      <c r="M90" s="7"/>
      <c r="N90" s="7"/>
      <c r="O90" s="5"/>
    </row>
    <row r="91" spans="1:15" x14ac:dyDescent="0.25">
      <c r="A91" s="111" t="s">
        <v>126</v>
      </c>
      <c r="B91" s="4" t="s">
        <v>47</v>
      </c>
      <c r="C91" s="4" t="s">
        <v>68</v>
      </c>
      <c r="D91" s="6">
        <v>13</v>
      </c>
      <c r="E91" s="6">
        <v>1</v>
      </c>
      <c r="F91" s="109" t="str">
        <f t="shared" si="42"/>
        <v>Baixa</v>
      </c>
      <c r="G91" s="6" t="str">
        <f t="shared" si="43"/>
        <v>EEL</v>
      </c>
      <c r="H91" s="6">
        <f t="shared" si="44"/>
        <v>3</v>
      </c>
      <c r="I91" s="109" t="str">
        <f t="shared" si="45"/>
        <v>L</v>
      </c>
      <c r="J91" s="6" t="str">
        <f t="shared" si="46"/>
        <v>EEE</v>
      </c>
      <c r="K91" s="120">
        <f t="shared" si="47"/>
        <v>3</v>
      </c>
      <c r="L91" s="120">
        <f>IF(NOT(ISERROR(VLOOKUP(B91,Deflatores!G$42:H$64,2,FALSE))),VLOOKUP(B91,Deflatores!G$42:H$64,2,FALSE),IF(OR(ISBLANK(C91),ISBLANK(B91)),"",VLOOKUP(C91,Deflatores!G$4:H$38,2,FALSE)*H91+VLOOKUP(C91,Deflatores!G$4:I$38,3,FALSE)))</f>
        <v>1.2000000000000002</v>
      </c>
      <c r="M91" s="7"/>
      <c r="N91" s="7"/>
      <c r="O91" s="5"/>
    </row>
    <row r="92" spans="1:15" x14ac:dyDescent="0.25">
      <c r="A92" s="111" t="s">
        <v>127</v>
      </c>
      <c r="B92" s="4" t="s">
        <v>44</v>
      </c>
      <c r="C92" s="4" t="s">
        <v>68</v>
      </c>
      <c r="D92" s="6">
        <v>14</v>
      </c>
      <c r="E92" s="6">
        <v>3</v>
      </c>
      <c r="F92" s="109" t="str">
        <f t="shared" si="42"/>
        <v>Média</v>
      </c>
      <c r="G92" s="6" t="str">
        <f t="shared" si="43"/>
        <v>CEA</v>
      </c>
      <c r="H92" s="6">
        <f t="shared" si="44"/>
        <v>4</v>
      </c>
      <c r="I92" s="109" t="str">
        <f t="shared" si="45"/>
        <v>A</v>
      </c>
      <c r="J92" s="6" t="str">
        <f t="shared" si="46"/>
        <v>CEE</v>
      </c>
      <c r="K92" s="120">
        <f t="shared" si="47"/>
        <v>4</v>
      </c>
      <c r="L92" s="120">
        <f>IF(NOT(ISERROR(VLOOKUP(B92,Deflatores!G$42:H$64,2,FALSE))),VLOOKUP(B92,Deflatores!G$42:H$64,2,FALSE),IF(OR(ISBLANK(C92),ISBLANK(B92)),"",VLOOKUP(C92,Deflatores!G$4:H$38,2,FALSE)*H92+VLOOKUP(C92,Deflatores!G$4:I$38,3,FALSE)))</f>
        <v>1.6</v>
      </c>
      <c r="M92" s="7"/>
      <c r="N92" s="7"/>
      <c r="O92" s="5"/>
    </row>
    <row r="93" spans="1:15" x14ac:dyDescent="0.25">
      <c r="A93" s="111" t="s">
        <v>128</v>
      </c>
      <c r="B93" s="4" t="s">
        <v>44</v>
      </c>
      <c r="C93" s="4" t="s">
        <v>68</v>
      </c>
      <c r="D93" s="6">
        <v>14</v>
      </c>
      <c r="E93" s="6">
        <v>3</v>
      </c>
      <c r="F93" s="109" t="str">
        <f>IF(ISBLANK(B93),"",IF(I93="L","Baixa",IF(I93="A","Média",IF(I93="","","Alta"))))</f>
        <v>Média</v>
      </c>
      <c r="G93" s="6" t="str">
        <f>CONCATENATE(B93,I93)</f>
        <v>CEA</v>
      </c>
      <c r="H93" s="6">
        <f>IF(ISBLANK(B93),"",IF(B93="ALI",IF(I93="L",7,IF(I93="A",10,15)),IF(B93="AIE",IF(I93="L",5,IF(I93="A",7,10)),IF(B93="SE",IF(I93="L",4,IF(I93="A",5,7)),IF(OR(B93="EE",B93="CE"),IF(I93="L",3,IF(I93="A",4,6)),0)))))</f>
        <v>4</v>
      </c>
      <c r="I93" s="109" t="str">
        <f>IF(OR(ISBLANK(D93),ISBLANK(E93)),IF(OR(B93="ALI",B93="AIE"),"L",IF(OR(B93="EE",B93="SE",B93="CE"),"A","")),IF(B93="EE",IF(E93&gt;=3,IF(D93&gt;=5,"H","A"),IF(E93&gt;=2,IF(D93&gt;=16,"H",IF(D93&lt;=4,"L","A")),IF(D93&lt;=15,"L","A"))),IF(OR(B93="SE",B93="CE"),IF(E93&gt;=4,IF(D93&gt;=6,"H","A"),IF(E93&gt;=2,IF(D93&gt;=20,"H",IF(D93&lt;=5,"L","A")),IF(D93&lt;=19,"L","A"))),IF(OR(B93="ALI",B93="AIE"),IF(E93&gt;=6,IF(D93&gt;=20,"H","A"),IF(E93&gt;=2,IF(D93&gt;=51,"H",IF(D93&lt;=19,"L","A")),IF(D93&lt;=50,"L","A"))),""))))</f>
        <v>A</v>
      </c>
      <c r="J93" s="6" t="str">
        <f>CONCATENATE(B93,C93)</f>
        <v>CEE</v>
      </c>
      <c r="K93" s="120">
        <f>IF(OR(H93="",H93=0),L93,H93)</f>
        <v>4</v>
      </c>
      <c r="L93" s="120">
        <f>IF(NOT(ISERROR(VLOOKUP(B93,Deflatores!G$42:H$64,2,FALSE))),VLOOKUP(B93,Deflatores!G$42:H$64,2,FALSE),IF(OR(ISBLANK(C93),ISBLANK(B93)),"",VLOOKUP(C93,Deflatores!G$4:H$38,2,FALSE)*H93+VLOOKUP(C93,Deflatores!G$4:I$38,3,FALSE)))</f>
        <v>1.6</v>
      </c>
      <c r="M93" s="7"/>
      <c r="N93" s="7"/>
      <c r="O93" s="5"/>
    </row>
    <row r="94" spans="1:15" x14ac:dyDescent="0.25">
      <c r="A94" s="111" t="s">
        <v>314</v>
      </c>
      <c r="B94" s="4" t="s">
        <v>92</v>
      </c>
      <c r="C94" s="4" t="s">
        <v>48</v>
      </c>
      <c r="D94" s="6">
        <v>29</v>
      </c>
      <c r="E94" s="6">
        <v>6</v>
      </c>
      <c r="F94" s="109" t="str">
        <f t="shared" ref="F94:F95" si="180">IF(ISBLANK(B94),"",IF(I94="L","Baixa",IF(I94="A","Média",IF(I94="","","Alta"))))</f>
        <v>Alta</v>
      </c>
      <c r="G94" s="6" t="str">
        <f t="shared" ref="G94:G95" si="181">CONCATENATE(B94,I94)</f>
        <v>SEH</v>
      </c>
      <c r="H94" s="6">
        <f t="shared" ref="H94:H95" si="182">IF(ISBLANK(B94),"",IF(B94="ALI",IF(I94="L",7,IF(I94="A",10,15)),IF(B94="AIE",IF(I94="L",5,IF(I94="A",7,10)),IF(B94="SE",IF(I94="L",4,IF(I94="A",5,7)),IF(OR(B94="EE",B94="CE"),IF(I94="L",3,IF(I94="A",4,6)),0)))))</f>
        <v>7</v>
      </c>
      <c r="I94" s="109" t="str">
        <f t="shared" ref="I94:I95" si="183">IF(OR(ISBLANK(D94),ISBLANK(E94)),IF(OR(B94="ALI",B94="AIE"),"L",IF(OR(B94="EE",B94="SE",B94="CE"),"A","")),IF(B94="EE",IF(E94&gt;=3,IF(D94&gt;=5,"H","A"),IF(E94&gt;=2,IF(D94&gt;=16,"H",IF(D94&lt;=4,"L","A")),IF(D94&lt;=15,"L","A"))),IF(OR(B94="SE",B94="CE"),IF(E94&gt;=4,IF(D94&gt;=6,"H","A"),IF(E94&gt;=2,IF(D94&gt;=20,"H",IF(D94&lt;=5,"L","A")),IF(D94&lt;=19,"L","A"))),IF(OR(B94="ALI",B94="AIE"),IF(E94&gt;=6,IF(D94&gt;=20,"H","A"),IF(E94&gt;=2,IF(D94&gt;=51,"H",IF(D94&lt;=19,"L","A")),IF(D94&lt;=50,"L","A"))),""))))</f>
        <v>H</v>
      </c>
      <c r="J94" s="6" t="str">
        <f t="shared" ref="J94:J95" si="184">CONCATENATE(B94,C94)</f>
        <v>SEI</v>
      </c>
      <c r="K94" s="120">
        <f t="shared" ref="K94:K95" si="185">IF(OR(H94="",H94=0),L94,H94)</f>
        <v>7</v>
      </c>
      <c r="L94" s="120">
        <f>IF(NOT(ISERROR(VLOOKUP(B94,Deflatores!G$42:H$64,2,FALSE))),VLOOKUP(B94,Deflatores!G$42:H$64,2,FALSE),IF(OR(ISBLANK(C94),ISBLANK(B94)),"",VLOOKUP(C94,Deflatores!G$4:H$38,2,FALSE)*H94+VLOOKUP(C94,Deflatores!G$4:I$38,3,FALSE)))</f>
        <v>7</v>
      </c>
      <c r="M94" s="7"/>
      <c r="N94" s="7"/>
      <c r="O94" s="5"/>
    </row>
    <row r="95" spans="1:15" x14ac:dyDescent="0.25">
      <c r="A95" s="111" t="s">
        <v>315</v>
      </c>
      <c r="B95" s="4" t="s">
        <v>92</v>
      </c>
      <c r="C95" s="4" t="s">
        <v>48</v>
      </c>
      <c r="D95" s="6">
        <v>26</v>
      </c>
      <c r="E95" s="6">
        <v>6</v>
      </c>
      <c r="F95" s="109" t="str">
        <f t="shared" si="180"/>
        <v>Alta</v>
      </c>
      <c r="G95" s="6" t="str">
        <f t="shared" si="181"/>
        <v>SEH</v>
      </c>
      <c r="H95" s="6">
        <f t="shared" si="182"/>
        <v>7</v>
      </c>
      <c r="I95" s="109" t="str">
        <f t="shared" si="183"/>
        <v>H</v>
      </c>
      <c r="J95" s="6" t="str">
        <f t="shared" si="184"/>
        <v>SEI</v>
      </c>
      <c r="K95" s="120">
        <f t="shared" si="185"/>
        <v>7</v>
      </c>
      <c r="L95" s="120">
        <f>IF(NOT(ISERROR(VLOOKUP(B95,Deflatores!G$42:H$64,2,FALSE))),VLOOKUP(B95,Deflatores!G$42:H$64,2,FALSE),IF(OR(ISBLANK(C95),ISBLANK(B95)),"",VLOOKUP(C95,Deflatores!G$4:H$38,2,FALSE)*H95+VLOOKUP(C95,Deflatores!G$4:I$38,3,FALSE)))</f>
        <v>7</v>
      </c>
      <c r="M95" s="7"/>
      <c r="N95" s="7"/>
      <c r="O95" s="5"/>
    </row>
    <row r="96" spans="1:15" x14ac:dyDescent="0.25">
      <c r="A96" s="111" t="s">
        <v>316</v>
      </c>
      <c r="B96" s="4" t="s">
        <v>44</v>
      </c>
      <c r="C96" s="4" t="s">
        <v>48</v>
      </c>
      <c r="D96" s="117">
        <v>3</v>
      </c>
      <c r="E96" s="6">
        <v>1</v>
      </c>
      <c r="F96" s="109" t="str">
        <f t="shared" ref="F96:F97" si="186">IF(ISBLANK(B96),"",IF(I96="L","Baixa",IF(I96="A","Média",IF(I96="","","Alta"))))</f>
        <v>Baixa</v>
      </c>
      <c r="G96" s="6" t="str">
        <f t="shared" ref="G96:G97" si="187">CONCATENATE(B96,I96)</f>
        <v>CEL</v>
      </c>
      <c r="H96" s="6">
        <f t="shared" ref="H96:H97" si="188">IF(ISBLANK(B96),"",IF(B96="ALI",IF(I96="L",7,IF(I96="A",10,15)),IF(B96="AIE",IF(I96="L",5,IF(I96="A",7,10)),IF(B96="SE",IF(I96="L",4,IF(I96="A",5,7)),IF(OR(B96="EE",B96="CE"),IF(I96="L",3,IF(I96="A",4,6)),0)))))</f>
        <v>3</v>
      </c>
      <c r="I96" s="109" t="str">
        <f t="shared" ref="I96:I97" si="189">IF(OR(ISBLANK(D96),ISBLANK(E96)),IF(OR(B96="ALI",B96="AIE"),"L",IF(OR(B96="EE",B96="SE",B96="CE"),"A","")),IF(B96="EE",IF(E96&gt;=3,IF(D96&gt;=5,"H","A"),IF(E96&gt;=2,IF(D96&gt;=16,"H",IF(D96&lt;=4,"L","A")),IF(D96&lt;=15,"L","A"))),IF(OR(B96="SE",B96="CE"),IF(E96&gt;=4,IF(D96&gt;=6,"H","A"),IF(E96&gt;=2,IF(D96&gt;=20,"H",IF(D96&lt;=5,"L","A")),IF(D96&lt;=19,"L","A"))),IF(OR(B96="ALI",B96="AIE"),IF(E96&gt;=6,IF(D96&gt;=20,"H","A"),IF(E96&gt;=2,IF(D96&gt;=51,"H",IF(D96&lt;=19,"L","A")),IF(D96&lt;=50,"L","A"))),""))))</f>
        <v>L</v>
      </c>
      <c r="J96" s="6" t="str">
        <f t="shared" ref="J96:J97" si="190">CONCATENATE(B96,C96)</f>
        <v>CEI</v>
      </c>
      <c r="K96" s="120">
        <f t="shared" ref="K96:K97" si="191">IF(OR(H96="",H96=0),L96,H96)</f>
        <v>3</v>
      </c>
      <c r="L96" s="120">
        <f>IF(NOT(ISERROR(VLOOKUP(B96,Deflatores!G$42:H$64,2,FALSE))),VLOOKUP(B96,Deflatores!G$42:H$64,2,FALSE),IF(OR(ISBLANK(C96),ISBLANK(B96)),"",VLOOKUP(C96,Deflatores!G$4:H$38,2,FALSE)*H96+VLOOKUP(C96,Deflatores!G$4:I$38,3,FALSE)))</f>
        <v>3</v>
      </c>
      <c r="M96" s="7"/>
      <c r="N96" s="7"/>
      <c r="O96" s="5"/>
    </row>
    <row r="97" spans="1:15" x14ac:dyDescent="0.25">
      <c r="A97" s="111" t="s">
        <v>317</v>
      </c>
      <c r="B97" s="4" t="s">
        <v>44</v>
      </c>
      <c r="C97" s="4" t="s">
        <v>48</v>
      </c>
      <c r="D97" s="6">
        <v>17</v>
      </c>
      <c r="E97" s="6">
        <v>6</v>
      </c>
      <c r="F97" s="109" t="str">
        <f t="shared" si="186"/>
        <v>Alta</v>
      </c>
      <c r="G97" s="6" t="str">
        <f t="shared" si="187"/>
        <v>CEH</v>
      </c>
      <c r="H97" s="6">
        <f t="shared" si="188"/>
        <v>6</v>
      </c>
      <c r="I97" s="109" t="str">
        <f t="shared" si="189"/>
        <v>H</v>
      </c>
      <c r="J97" s="6" t="str">
        <f t="shared" si="190"/>
        <v>CEI</v>
      </c>
      <c r="K97" s="120">
        <f t="shared" si="191"/>
        <v>6</v>
      </c>
      <c r="L97" s="120">
        <f>IF(NOT(ISERROR(VLOOKUP(B97,Deflatores!G$42:H$64,2,FALSE))),VLOOKUP(B97,Deflatores!G$42:H$64,2,FALSE),IF(OR(ISBLANK(C97),ISBLANK(B97)),"",VLOOKUP(C97,Deflatores!G$4:H$38,2,FALSE)*H97+VLOOKUP(C97,Deflatores!G$4:I$38,3,FALSE)))</f>
        <v>6</v>
      </c>
      <c r="M97" s="7"/>
      <c r="N97" s="7"/>
      <c r="O97" s="5"/>
    </row>
    <row r="98" spans="1:15" x14ac:dyDescent="0.25">
      <c r="A98" s="111"/>
      <c r="B98" s="4"/>
      <c r="C98" s="4"/>
      <c r="D98" s="6"/>
      <c r="E98" s="6"/>
      <c r="F98" s="109" t="str">
        <f>IF(ISBLANK(B98),"",IF(I98="L","Baixa",IF(I98="A","Média",IF(I98="","","Alta"))))</f>
        <v/>
      </c>
      <c r="G98" s="6" t="str">
        <f>CONCATENATE(B98,I98)</f>
        <v/>
      </c>
      <c r="H98" s="6" t="str">
        <f>IF(ISBLANK(B98),"",IF(B98="ALI",IF(I98="L",7,IF(I98="A",10,15)),IF(B98="AIE",IF(I98="L",5,IF(I98="A",7,10)),IF(B98="SE",IF(I98="L",4,IF(I98="A",5,7)),IF(OR(B98="EE",B98="CE"),IF(I98="L",3,IF(I98="A",4,6)),0)))))</f>
        <v/>
      </c>
      <c r="I98" s="109" t="str">
        <f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/>
      </c>
      <c r="J98" s="6" t="str">
        <f>CONCATENATE(B98,C98)</f>
        <v/>
      </c>
      <c r="K98" s="120" t="str">
        <f>IF(OR(H98="",H98=0),L98,H98)</f>
        <v/>
      </c>
      <c r="L98" s="120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7"/>
      <c r="N98" s="7"/>
      <c r="O98" s="5"/>
    </row>
    <row r="99" spans="1:15" x14ac:dyDescent="0.25">
      <c r="A99" s="113" t="s">
        <v>129</v>
      </c>
      <c r="B99" s="4"/>
      <c r="C99" s="4"/>
      <c r="D99" s="6"/>
      <c r="E99" s="6"/>
      <c r="F99" s="109" t="str">
        <f>IF(ISBLANK(B99),"",IF(I99="L","Baixa",IF(I99="A","Média",IF(I99="","","Alta"))))</f>
        <v/>
      </c>
      <c r="G99" s="6" t="str">
        <f>CONCATENATE(B99,I99)</f>
        <v/>
      </c>
      <c r="H99" s="6" t="str">
        <f>IF(ISBLANK(B99),"",IF(B99="ALI",IF(I99="L",7,IF(I99="A",10,15)),IF(B99="AIE",IF(I99="L",5,IF(I99="A",7,10)),IF(B99="SE",IF(I99="L",4,IF(I99="A",5,7)),IF(OR(B99="EE",B99="CE"),IF(I99="L",3,IF(I99="A",4,6)),0)))))</f>
        <v/>
      </c>
      <c r="I99" s="109" t="str">
        <f>IF(OR(ISBLANK(D99),ISBLANK(E99)),IF(OR(B99="ALI",B99="AIE"),"L",IF(OR(B99="EE",B99="SE",B99="CE"),"A","")),IF(B99="EE",IF(E99&gt;=3,IF(D99&gt;=5,"H","A"),IF(E99&gt;=2,IF(D99&gt;=16,"H",IF(D99&lt;=4,"L","A")),IF(D99&lt;=15,"L","A"))),IF(OR(B99="SE",B99="CE"),IF(E99&gt;=4,IF(D99&gt;=6,"H","A"),IF(E99&gt;=2,IF(D99&gt;=20,"H",IF(D99&lt;=5,"L","A")),IF(D99&lt;=19,"L","A"))),IF(OR(B99="ALI",B99="AIE"),IF(E99&gt;=6,IF(D99&gt;=20,"H","A"),IF(E99&gt;=2,IF(D99&gt;=51,"H",IF(D99&lt;=19,"L","A")),IF(D99&lt;=50,"L","A"))),""))))</f>
        <v/>
      </c>
      <c r="J99" s="6" t="str">
        <f>CONCATENATE(B99,C99)</f>
        <v/>
      </c>
      <c r="K99" s="120" t="str">
        <f>IF(OR(H99="",H99=0),L99,H99)</f>
        <v/>
      </c>
      <c r="L99" s="120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7"/>
      <c r="N99" s="7"/>
      <c r="O99" s="5"/>
    </row>
    <row r="100" spans="1:15" ht="13.5" customHeight="1" x14ac:dyDescent="0.25">
      <c r="A100" s="111" t="s">
        <v>130</v>
      </c>
      <c r="B100" s="4" t="s">
        <v>64</v>
      </c>
      <c r="C100" s="4" t="s">
        <v>48</v>
      </c>
      <c r="D100" s="6">
        <v>9</v>
      </c>
      <c r="E100" s="6">
        <v>1</v>
      </c>
      <c r="F100" s="109" t="str">
        <f t="shared" ref="F100:F115" si="192">IF(ISBLANK(B100),"",IF(I100="L","Baixa",IF(I100="A","Média",IF(I100="","","Alta"))))</f>
        <v>Baixa</v>
      </c>
      <c r="G100" s="6" t="str">
        <f t="shared" ref="G100:G115" si="193">CONCATENATE(B100,I100)</f>
        <v>ALIL</v>
      </c>
      <c r="H100" s="6">
        <f t="shared" ref="H100:H115" si="194">IF(ISBLANK(B100),"",IF(B100="ALI",IF(I100="L",7,IF(I100="A",10,15)),IF(B100="AIE",IF(I100="L",5,IF(I100="A",7,10)),IF(B100="SE",IF(I100="L",4,IF(I100="A",5,7)),IF(OR(B100="EE",B100="CE"),IF(I100="L",3,IF(I100="A",4,6)),0)))))</f>
        <v>7</v>
      </c>
      <c r="I100" s="109" t="str">
        <f t="shared" ref="I100:I115" si="195">IF(OR(ISBLANK(D100),ISBLANK(E100)),IF(OR(B100="ALI",B100="AIE"),"L",IF(OR(B100="EE",B100="SE",B100="CE"),"A","")),IF(B100="EE",IF(E100&gt;=3,IF(D100&gt;=5,"H","A"),IF(E100&gt;=2,IF(D100&gt;=16,"H",IF(D100&lt;=4,"L","A")),IF(D100&lt;=15,"L","A"))),IF(OR(B100="SE",B100="CE"),IF(E100&gt;=4,IF(D100&gt;=6,"H","A"),IF(E100&gt;=2,IF(D100&gt;=20,"H",IF(D100&lt;=5,"L","A")),IF(D100&lt;=19,"L","A"))),IF(OR(B100="ALI",B100="AIE"),IF(E100&gt;=6,IF(D100&gt;=20,"H","A"),IF(E100&gt;=2,IF(D100&gt;=51,"H",IF(D100&lt;=19,"L","A")),IF(D100&lt;=50,"L","A"))),""))))</f>
        <v>L</v>
      </c>
      <c r="J100" s="6" t="str">
        <f t="shared" ref="J100:J115" si="196">CONCATENATE(B100,C100)</f>
        <v>ALII</v>
      </c>
      <c r="K100" s="120">
        <f t="shared" ref="K100:K103" si="197">IF(OR(H100="",H100=0),L100,H100)</f>
        <v>7</v>
      </c>
      <c r="L100" s="120">
        <f>IF(NOT(ISERROR(VLOOKUP(B100,Deflatores!G$42:H$64,2,FALSE))),VLOOKUP(B100,Deflatores!G$42:H$64,2,FALSE),IF(OR(ISBLANK(C100),ISBLANK(B100)),"",VLOOKUP(C100,Deflatores!G$4:H$38,2,FALSE)*H100+VLOOKUP(C100,Deflatores!G$4:I$38,3,FALSE)))</f>
        <v>7</v>
      </c>
      <c r="M100" s="7"/>
      <c r="N100" s="7"/>
      <c r="O100" s="5"/>
    </row>
    <row r="101" spans="1:15" x14ac:dyDescent="0.25">
      <c r="A101" s="111" t="s">
        <v>290</v>
      </c>
      <c r="B101" s="4" t="s">
        <v>44</v>
      </c>
      <c r="C101" s="4" t="s">
        <v>48</v>
      </c>
      <c r="D101" s="117">
        <v>4</v>
      </c>
      <c r="E101" s="117">
        <v>3</v>
      </c>
      <c r="F101" s="109" t="str">
        <f>IF(ISBLANK(B101),"",IF(I101="L","Baixa",IF(I101="A","Média",IF(I101="","","Alta"))))</f>
        <v>Baixa</v>
      </c>
      <c r="G101" s="6" t="str">
        <f>CONCATENATE(B101,I101)</f>
        <v>CEL</v>
      </c>
      <c r="H101" s="6">
        <f>IF(ISBLANK(B101),"",IF(B101="ALI",IF(I101="L",7,IF(I101="A",10,15)),IF(B101="AIE",IF(I101="L",5,IF(I101="A",7,10)),IF(B101="SE",IF(I101="L",4,IF(I101="A",5,7)),IF(OR(B101="EE",B101="CE"),IF(I101="L",3,IF(I101="A",4,6)),0)))))</f>
        <v>3</v>
      </c>
      <c r="I101" s="109" t="str">
        <f>IF(OR(ISBLANK(D101),ISBLANK(E101)),IF(OR(B101="ALI",B101="AIE"),"L",IF(OR(B101="EE",B101="SE",B101="CE"),"A","")),IF(B101="EE",IF(E101&gt;=3,IF(D101&gt;=5,"H","A"),IF(E101&gt;=2,IF(D101&gt;=16,"H",IF(D101&lt;=4,"L","A")),IF(D101&lt;=15,"L","A"))),IF(OR(B101="SE",B101="CE"),IF(E101&gt;=4,IF(D101&gt;=6,"H","A"),IF(E101&gt;=2,IF(D101&gt;=20,"H",IF(D101&lt;=5,"L","A")),IF(D101&lt;=19,"L","A"))),IF(OR(B101="ALI",B101="AIE"),IF(E101&gt;=6,IF(D101&gt;=20,"H","A"),IF(E101&gt;=2,IF(D101&gt;=51,"H",IF(D101&lt;=19,"L","A")),IF(D101&lt;=50,"L","A"))),""))))</f>
        <v>L</v>
      </c>
      <c r="J101" s="6" t="str">
        <f>CONCATENATE(B101,C101)</f>
        <v>CEI</v>
      </c>
      <c r="K101" s="120">
        <f>IF(OR(H101="",H101=0),L101,H101)</f>
        <v>3</v>
      </c>
      <c r="L101" s="120">
        <f>IF(NOT(ISERROR(VLOOKUP(B101,Deflatores!G$42:H$64,2,FALSE))),VLOOKUP(B101,Deflatores!G$42:H$64,2,FALSE),IF(OR(ISBLANK(C101),ISBLANK(B101)),"",VLOOKUP(C101,Deflatores!G$4:H$38,2,FALSE)*H101+VLOOKUP(C101,Deflatores!G$4:I$38,3,FALSE)))</f>
        <v>3</v>
      </c>
      <c r="M101" s="7"/>
      <c r="N101" s="7"/>
      <c r="O101" s="5"/>
    </row>
    <row r="102" spans="1:15" ht="55.5" customHeight="1" x14ac:dyDescent="0.25">
      <c r="A102" s="111" t="s">
        <v>288</v>
      </c>
      <c r="B102" s="4" t="s">
        <v>44</v>
      </c>
      <c r="C102" s="4" t="s">
        <v>48</v>
      </c>
      <c r="D102" s="117">
        <v>4</v>
      </c>
      <c r="E102" s="117">
        <v>3</v>
      </c>
      <c r="F102" s="109" t="str">
        <f t="shared" si="192"/>
        <v>Baixa</v>
      </c>
      <c r="G102" s="6" t="str">
        <f t="shared" si="193"/>
        <v>CEL</v>
      </c>
      <c r="H102" s="6">
        <f t="shared" si="194"/>
        <v>3</v>
      </c>
      <c r="I102" s="109" t="str">
        <f t="shared" si="195"/>
        <v>L</v>
      </c>
      <c r="J102" s="6" t="str">
        <f t="shared" si="196"/>
        <v>CEI</v>
      </c>
      <c r="K102" s="120">
        <f t="shared" si="197"/>
        <v>3</v>
      </c>
      <c r="L102" s="120">
        <f>IF(NOT(ISERROR(VLOOKUP(B102,Deflatores!G$42:H$64,2,FALSE))),VLOOKUP(B102,Deflatores!G$42:H$64,2,FALSE),IF(OR(ISBLANK(C102),ISBLANK(B102)),"",VLOOKUP(C102,Deflatores!G$4:H$38,2,FALSE)*H102+VLOOKUP(C102,Deflatores!G$4:I$38,3,FALSE)))</f>
        <v>3</v>
      </c>
      <c r="M102" s="7"/>
      <c r="N102" s="7"/>
      <c r="O102" s="5"/>
    </row>
    <row r="103" spans="1:15" x14ac:dyDescent="0.25">
      <c r="A103" s="111" t="s">
        <v>289</v>
      </c>
      <c r="B103" s="4" t="s">
        <v>44</v>
      </c>
      <c r="C103" s="4" t="s">
        <v>48</v>
      </c>
      <c r="D103" s="117">
        <v>4</v>
      </c>
      <c r="E103" s="117">
        <v>4</v>
      </c>
      <c r="F103" s="109" t="str">
        <f t="shared" si="192"/>
        <v>Média</v>
      </c>
      <c r="G103" s="6" t="str">
        <f t="shared" si="193"/>
        <v>CEA</v>
      </c>
      <c r="H103" s="6">
        <f t="shared" si="194"/>
        <v>4</v>
      </c>
      <c r="I103" s="109" t="str">
        <f t="shared" si="195"/>
        <v>A</v>
      </c>
      <c r="J103" s="6" t="str">
        <f t="shared" si="196"/>
        <v>CEI</v>
      </c>
      <c r="K103" s="120">
        <f t="shared" si="197"/>
        <v>4</v>
      </c>
      <c r="L103" s="120">
        <f>IF(NOT(ISERROR(VLOOKUP(B103,Deflatores!G$42:H$64,2,FALSE))),VLOOKUP(B103,Deflatores!G$42:H$64,2,FALSE),IF(OR(ISBLANK(C103),ISBLANK(B103)),"",VLOOKUP(C103,Deflatores!G$4:H$38,2,FALSE)*H103+VLOOKUP(C103,Deflatores!G$4:I$38,3,FALSE)))</f>
        <v>4</v>
      </c>
      <c r="M103" s="7"/>
      <c r="N103" s="7"/>
      <c r="O103" s="5"/>
    </row>
    <row r="104" spans="1:15" x14ac:dyDescent="0.25">
      <c r="A104" s="111" t="s">
        <v>131</v>
      </c>
      <c r="B104" s="4" t="s">
        <v>47</v>
      </c>
      <c r="C104" s="4" t="s">
        <v>48</v>
      </c>
      <c r="D104" s="6">
        <v>12</v>
      </c>
      <c r="E104" s="6">
        <v>4</v>
      </c>
      <c r="F104" s="109" t="str">
        <f t="shared" si="192"/>
        <v>Alta</v>
      </c>
      <c r="G104" s="6" t="str">
        <f t="shared" si="193"/>
        <v>EEH</v>
      </c>
      <c r="H104" s="6">
        <f t="shared" si="194"/>
        <v>6</v>
      </c>
      <c r="I104" s="109" t="str">
        <f t="shared" si="195"/>
        <v>H</v>
      </c>
      <c r="J104" s="6" t="str">
        <f t="shared" si="196"/>
        <v>EEI</v>
      </c>
      <c r="K104" s="120">
        <f t="shared" si="47"/>
        <v>6</v>
      </c>
      <c r="L104" s="120">
        <f>IF(NOT(ISERROR(VLOOKUP(B104,Deflatores!G$42:H$64,2,FALSE))),VLOOKUP(B104,Deflatores!G$42:H$64,2,FALSE),IF(OR(ISBLANK(C104),ISBLANK(B104)),"",VLOOKUP(C104,Deflatores!G$4:H$38,2,FALSE)*H104+VLOOKUP(C104,Deflatores!G$4:I$38,3,FALSE)))</f>
        <v>6</v>
      </c>
      <c r="M104" s="7"/>
      <c r="N104" s="7"/>
      <c r="O104" s="5"/>
    </row>
    <row r="105" spans="1:15" ht="15" customHeight="1" x14ac:dyDescent="0.25">
      <c r="A105" s="111" t="s">
        <v>132</v>
      </c>
      <c r="B105" s="4" t="s">
        <v>44</v>
      </c>
      <c r="C105" s="4" t="s">
        <v>48</v>
      </c>
      <c r="D105" s="6">
        <v>11</v>
      </c>
      <c r="E105" s="6">
        <v>4</v>
      </c>
      <c r="F105" s="109" t="str">
        <f>IF(ISBLANK(B105),"",IF(I105="L","Baixa",IF(I105="A","Média",IF(I105="","","Alta"))))</f>
        <v>Alta</v>
      </c>
      <c r="G105" s="6" t="str">
        <f>CONCATENATE(B105,I105)</f>
        <v>CEH</v>
      </c>
      <c r="H105" s="6">
        <f>IF(ISBLANK(B105),"",IF(B105="ALI",IF(I105="L",7,IF(I105="A",10,15)),IF(B105="AIE",IF(I105="L",5,IF(I105="A",7,10)),IF(B105="SE",IF(I105="L",4,IF(I105="A",5,7)),IF(OR(B105="EE",B105="CE"),IF(I105="L",3,IF(I105="A",4,6)),0)))))</f>
        <v>6</v>
      </c>
      <c r="I105" s="109" t="str">
        <f>IF(OR(ISBLANK(D105),ISBLANK(E105)),IF(OR(B105="ALI",B105="AIE"),"L",IF(OR(B105="EE",B105="SE",B105="CE"),"A","")),IF(B105="EE",IF(E105&gt;=3,IF(D105&gt;=5,"H","A"),IF(E105&gt;=2,IF(D105&gt;=16,"H",IF(D105&lt;=4,"L","A")),IF(D105&lt;=15,"L","A"))),IF(OR(B105="SE",B105="CE"),IF(E105&gt;=4,IF(D105&gt;=6,"H","A"),IF(E105&gt;=2,IF(D105&gt;=20,"H",IF(D105&lt;=5,"L","A")),IF(D105&lt;=19,"L","A"))),IF(OR(B105="ALI",B105="AIE"),IF(E105&gt;=6,IF(D105&gt;=20,"H","A"),IF(E105&gt;=2,IF(D105&gt;=51,"H",IF(D105&lt;=19,"L","A")),IF(D105&lt;=50,"L","A"))),""))))</f>
        <v>H</v>
      </c>
      <c r="J105" s="6" t="str">
        <f>CONCATENATE(B105,C105)</f>
        <v>CEI</v>
      </c>
      <c r="K105" s="120">
        <f>IF(OR(H105="",H105=0),L105,H105)</f>
        <v>6</v>
      </c>
      <c r="L105" s="120">
        <f>IF(NOT(ISERROR(VLOOKUP(B105,Deflatores!G$42:H$64,2,FALSE))),VLOOKUP(B105,Deflatores!G$42:H$64,2,FALSE),IF(OR(ISBLANK(C105),ISBLANK(B105)),"",VLOOKUP(C105,Deflatores!G$4:H$38,2,FALSE)*H105+VLOOKUP(C105,Deflatores!G$4:I$38,3,FALSE)))</f>
        <v>6</v>
      </c>
      <c r="M105" s="7"/>
      <c r="N105" s="7"/>
      <c r="O105" s="5"/>
    </row>
    <row r="106" spans="1:15" x14ac:dyDescent="0.25">
      <c r="A106" s="111" t="s">
        <v>133</v>
      </c>
      <c r="B106" s="4" t="s">
        <v>47</v>
      </c>
      <c r="C106" s="4" t="s">
        <v>48</v>
      </c>
      <c r="D106" s="6">
        <v>11</v>
      </c>
      <c r="E106" s="6">
        <v>4</v>
      </c>
      <c r="F106" s="109" t="str">
        <f t="shared" ref="F106" si="198">IF(ISBLANK(B106),"",IF(I106="L","Baixa",IF(I106="A","Média",IF(I106="","","Alta"))))</f>
        <v>Alta</v>
      </c>
      <c r="G106" s="6" t="str">
        <f t="shared" ref="G106" si="199">CONCATENATE(B106,I106)</f>
        <v>EEH</v>
      </c>
      <c r="H106" s="6">
        <f t="shared" ref="H106" si="200">IF(ISBLANK(B106),"",IF(B106="ALI",IF(I106="L",7,IF(I106="A",10,15)),IF(B106="AIE",IF(I106="L",5,IF(I106="A",7,10)),IF(B106="SE",IF(I106="L",4,IF(I106="A",5,7)),IF(OR(B106="EE",B106="CE"),IF(I106="L",3,IF(I106="A",4,6)),0)))))</f>
        <v>6</v>
      </c>
      <c r="I106" s="109" t="str">
        <f t="shared" ref="I106" si="201">IF(OR(ISBLANK(D106),ISBLANK(E106)),IF(OR(B106="ALI",B106="AIE"),"L",IF(OR(B106="EE",B106="SE",B106="CE"),"A","")),IF(B106="EE",IF(E106&gt;=3,IF(D106&gt;=5,"H","A"),IF(E106&gt;=2,IF(D106&gt;=16,"H",IF(D106&lt;=4,"L","A")),IF(D106&lt;=15,"L","A"))),IF(OR(B106="SE",B106="CE"),IF(E106&gt;=4,IF(D106&gt;=6,"H","A"),IF(E106&gt;=2,IF(D106&gt;=20,"H",IF(D106&lt;=5,"L","A")),IF(D106&lt;=19,"L","A"))),IF(OR(B106="ALI",B106="AIE"),IF(E106&gt;=6,IF(D106&gt;=20,"H","A"),IF(E106&gt;=2,IF(D106&gt;=51,"H",IF(D106&lt;=19,"L","A")),IF(D106&lt;=50,"L","A"))),""))))</f>
        <v>H</v>
      </c>
      <c r="J106" s="6" t="str">
        <f t="shared" ref="J106" si="202">CONCATENATE(B106,C106)</f>
        <v>EEI</v>
      </c>
      <c r="K106" s="120">
        <f t="shared" ref="K106" si="203">IF(OR(H106="",H106=0),L106,H106)</f>
        <v>6</v>
      </c>
      <c r="L106" s="120">
        <f>IF(NOT(ISERROR(VLOOKUP(B106,Deflatores!G$42:H$64,2,FALSE))),VLOOKUP(B106,Deflatores!G$42:H$64,2,FALSE),IF(OR(ISBLANK(C106),ISBLANK(B106)),"",VLOOKUP(C106,Deflatores!G$4:H$38,2,FALSE)*H106+VLOOKUP(C106,Deflatores!G$4:I$38,3,FALSE)))</f>
        <v>6</v>
      </c>
      <c r="M106" s="7"/>
      <c r="N106" s="7"/>
      <c r="O106" s="5"/>
    </row>
    <row r="107" spans="1:15" ht="15.75" customHeight="1" x14ac:dyDescent="0.25">
      <c r="A107" s="126" t="s">
        <v>134</v>
      </c>
      <c r="B107" s="4" t="s">
        <v>44</v>
      </c>
      <c r="C107" s="4" t="s">
        <v>48</v>
      </c>
      <c r="D107" s="6">
        <v>8</v>
      </c>
      <c r="E107" s="6">
        <v>4</v>
      </c>
      <c r="F107" s="109" t="str">
        <f t="shared" si="192"/>
        <v>Alta</v>
      </c>
      <c r="G107" s="6" t="str">
        <f t="shared" si="193"/>
        <v>CEH</v>
      </c>
      <c r="H107" s="6">
        <f t="shared" si="194"/>
        <v>6</v>
      </c>
      <c r="I107" s="109" t="str">
        <f t="shared" si="195"/>
        <v>H</v>
      </c>
      <c r="J107" s="6" t="str">
        <f t="shared" si="196"/>
        <v>CEI</v>
      </c>
      <c r="K107" s="120">
        <f t="shared" si="47"/>
        <v>6</v>
      </c>
      <c r="L107" s="120">
        <f>IF(NOT(ISERROR(VLOOKUP(B107,Deflatores!G$42:H$64,2,FALSE))),VLOOKUP(B107,Deflatores!G$42:H$64,2,FALSE),IF(OR(ISBLANK(C107),ISBLANK(B107)),"",VLOOKUP(C107,Deflatores!G$4:H$38,2,FALSE)*H107+VLOOKUP(C107,Deflatores!G$4:I$38,3,FALSE)))</f>
        <v>6</v>
      </c>
      <c r="M107" s="7"/>
      <c r="N107" s="7"/>
      <c r="O107" s="5"/>
    </row>
    <row r="108" spans="1:15" ht="13.5" customHeight="1" x14ac:dyDescent="0.25">
      <c r="A108" s="111" t="s">
        <v>135</v>
      </c>
      <c r="B108" s="4" t="s">
        <v>47</v>
      </c>
      <c r="C108" s="4" t="s">
        <v>48</v>
      </c>
      <c r="D108" s="6">
        <v>3</v>
      </c>
      <c r="E108" s="6">
        <v>1</v>
      </c>
      <c r="F108" s="109" t="str">
        <f t="shared" si="192"/>
        <v>Baixa</v>
      </c>
      <c r="G108" s="6" t="str">
        <f t="shared" si="193"/>
        <v>EEL</v>
      </c>
      <c r="H108" s="6">
        <f t="shared" si="194"/>
        <v>3</v>
      </c>
      <c r="I108" s="109" t="str">
        <f t="shared" si="195"/>
        <v>L</v>
      </c>
      <c r="J108" s="6" t="str">
        <f t="shared" si="196"/>
        <v>EEI</v>
      </c>
      <c r="K108" s="120">
        <f t="shared" si="47"/>
        <v>3</v>
      </c>
      <c r="L108" s="120">
        <f>IF(NOT(ISERROR(VLOOKUP(B108,Deflatores!G$42:H$64,2,FALSE))),VLOOKUP(B108,Deflatores!G$42:H$64,2,FALSE),IF(OR(ISBLANK(C108),ISBLANK(B108)),"",VLOOKUP(C108,Deflatores!G$4:H$38,2,FALSE)*H108+VLOOKUP(C108,Deflatores!G$4:I$38,3,FALSE)))</f>
        <v>3</v>
      </c>
      <c r="M108" s="7"/>
      <c r="N108" s="7"/>
      <c r="O108" s="5"/>
    </row>
    <row r="109" spans="1:15" x14ac:dyDescent="0.25">
      <c r="A109" s="111"/>
      <c r="B109" s="4"/>
      <c r="C109" s="4"/>
      <c r="D109" s="6"/>
      <c r="E109" s="6"/>
      <c r="F109" s="109" t="str">
        <f t="shared" si="192"/>
        <v/>
      </c>
      <c r="G109" s="6" t="str">
        <f t="shared" si="193"/>
        <v/>
      </c>
      <c r="H109" s="6" t="str">
        <f t="shared" si="194"/>
        <v/>
      </c>
      <c r="I109" s="109" t="str">
        <f t="shared" si="195"/>
        <v/>
      </c>
      <c r="J109" s="6" t="str">
        <f t="shared" si="196"/>
        <v/>
      </c>
      <c r="K109" s="120" t="str">
        <f t="shared" si="47"/>
        <v/>
      </c>
      <c r="L109" s="120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7"/>
      <c r="N109" s="7"/>
      <c r="O109" s="5"/>
    </row>
    <row r="110" spans="1:15" ht="22" x14ac:dyDescent="0.25">
      <c r="A110" s="113" t="s">
        <v>136</v>
      </c>
      <c r="B110" s="4"/>
      <c r="C110" s="4"/>
      <c r="D110" s="6"/>
      <c r="E110" s="6"/>
      <c r="F110" s="109" t="str">
        <f t="shared" si="192"/>
        <v/>
      </c>
      <c r="G110" s="6" t="str">
        <f t="shared" si="193"/>
        <v/>
      </c>
      <c r="H110" s="6" t="str">
        <f t="shared" si="194"/>
        <v/>
      </c>
      <c r="I110" s="109" t="str">
        <f t="shared" si="195"/>
        <v/>
      </c>
      <c r="J110" s="6" t="str">
        <f t="shared" si="196"/>
        <v/>
      </c>
      <c r="K110" s="120" t="str">
        <f t="shared" si="47"/>
        <v/>
      </c>
      <c r="L110" s="120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7"/>
      <c r="N110" s="7"/>
      <c r="O110" s="5"/>
    </row>
    <row r="111" spans="1:15" x14ac:dyDescent="0.25">
      <c r="A111" s="111" t="s">
        <v>137</v>
      </c>
      <c r="B111" s="4" t="s">
        <v>44</v>
      </c>
      <c r="C111" s="4" t="s">
        <v>48</v>
      </c>
      <c r="D111" s="117">
        <v>20</v>
      </c>
      <c r="E111" s="117">
        <v>6</v>
      </c>
      <c r="F111" s="109" t="str">
        <f t="shared" si="192"/>
        <v>Alta</v>
      </c>
      <c r="G111" s="6" t="str">
        <f t="shared" si="193"/>
        <v>CEH</v>
      </c>
      <c r="H111" s="6">
        <f t="shared" si="194"/>
        <v>6</v>
      </c>
      <c r="I111" s="109" t="str">
        <f t="shared" si="195"/>
        <v>H</v>
      </c>
      <c r="J111" s="6" t="str">
        <f t="shared" si="196"/>
        <v>CEI</v>
      </c>
      <c r="K111" s="120">
        <f t="shared" si="47"/>
        <v>6</v>
      </c>
      <c r="L111" s="120">
        <f>IF(NOT(ISERROR(VLOOKUP(B111,Deflatores!G$42:H$64,2,FALSE))),VLOOKUP(B111,Deflatores!G$42:H$64,2,FALSE),IF(OR(ISBLANK(C111),ISBLANK(B111)),"",VLOOKUP(C111,Deflatores!G$4:H$38,2,FALSE)*H111+VLOOKUP(C111,Deflatores!G$4:I$38,3,FALSE)))</f>
        <v>6</v>
      </c>
      <c r="M111" s="7"/>
      <c r="N111" s="7"/>
      <c r="O111" s="5"/>
    </row>
    <row r="112" spans="1:15" x14ac:dyDescent="0.25">
      <c r="A112" s="111" t="s">
        <v>138</v>
      </c>
      <c r="B112" s="118" t="s">
        <v>47</v>
      </c>
      <c r="C112" s="4" t="s">
        <v>48</v>
      </c>
      <c r="D112" s="117">
        <v>5</v>
      </c>
      <c r="E112" s="117">
        <v>2</v>
      </c>
      <c r="F112" s="109" t="str">
        <f t="shared" si="192"/>
        <v>Média</v>
      </c>
      <c r="G112" s="6" t="str">
        <f t="shared" si="193"/>
        <v>EEA</v>
      </c>
      <c r="H112" s="6">
        <f t="shared" si="194"/>
        <v>4</v>
      </c>
      <c r="I112" s="109" t="str">
        <f t="shared" si="195"/>
        <v>A</v>
      </c>
      <c r="J112" s="6" t="str">
        <f t="shared" si="196"/>
        <v>EEI</v>
      </c>
      <c r="K112" s="120">
        <f t="shared" si="47"/>
        <v>4</v>
      </c>
      <c r="L112" s="120">
        <f>IF(NOT(ISERROR(VLOOKUP(B112,Deflatores!G$42:H$64,2,FALSE))),VLOOKUP(B112,Deflatores!G$42:H$64,2,FALSE),IF(OR(ISBLANK(C112),ISBLANK(B112)),"",VLOOKUP(C112,Deflatores!G$4:H$38,2,FALSE)*H112+VLOOKUP(C112,Deflatores!G$4:I$38,3,FALSE)))</f>
        <v>4</v>
      </c>
      <c r="M112" s="7"/>
      <c r="N112" s="7"/>
      <c r="O112" s="5"/>
    </row>
    <row r="113" spans="1:15" x14ac:dyDescent="0.25">
      <c r="A113" s="111" t="s">
        <v>139</v>
      </c>
      <c r="B113" s="118" t="s">
        <v>47</v>
      </c>
      <c r="C113" s="4" t="s">
        <v>48</v>
      </c>
      <c r="D113" s="117">
        <v>4</v>
      </c>
      <c r="E113" s="117">
        <v>2</v>
      </c>
      <c r="F113" s="109" t="str">
        <f t="shared" ref="F113" si="204">IF(ISBLANK(B113),"",IF(I113="L","Baixa",IF(I113="A","Média",IF(I113="","","Alta"))))</f>
        <v>Baixa</v>
      </c>
      <c r="G113" s="6" t="str">
        <f t="shared" ref="G113" si="205">CONCATENATE(B113,I113)</f>
        <v>EEL</v>
      </c>
      <c r="H113" s="6">
        <f t="shared" ref="H113" si="206">IF(ISBLANK(B113),"",IF(B113="ALI",IF(I113="L",7,IF(I113="A",10,15)),IF(B113="AIE",IF(I113="L",5,IF(I113="A",7,10)),IF(B113="SE",IF(I113="L",4,IF(I113="A",5,7)),IF(OR(B113="EE",B113="CE"),IF(I113="L",3,IF(I113="A",4,6)),0)))))</f>
        <v>3</v>
      </c>
      <c r="I113" s="109" t="str">
        <f t="shared" ref="I113" si="207">IF(OR(ISBLANK(D113),ISBLANK(E113)),IF(OR(B113="ALI",B113="AIE"),"L",IF(OR(B113="EE",B113="SE",B113="CE"),"A","")),IF(B113="EE",IF(E113&gt;=3,IF(D113&gt;=5,"H","A"),IF(E113&gt;=2,IF(D113&gt;=16,"H",IF(D113&lt;=4,"L","A")),IF(D113&lt;=15,"L","A"))),IF(OR(B113="SE",B113="CE"),IF(E113&gt;=4,IF(D113&gt;=6,"H","A"),IF(E113&gt;=2,IF(D113&gt;=20,"H",IF(D113&lt;=5,"L","A")),IF(D113&lt;=19,"L","A"))),IF(OR(B113="ALI",B113="AIE"),IF(E113&gt;=6,IF(D113&gt;=20,"H","A"),IF(E113&gt;=2,IF(D113&gt;=51,"H",IF(D113&lt;=19,"L","A")),IF(D113&lt;=50,"L","A"))),""))))</f>
        <v>L</v>
      </c>
      <c r="J113" s="6" t="str">
        <f t="shared" ref="J113" si="208">CONCATENATE(B113,C113)</f>
        <v>EEI</v>
      </c>
      <c r="K113" s="120">
        <f t="shared" ref="K113" si="209">IF(OR(H113="",H113=0),L113,H113)</f>
        <v>3</v>
      </c>
      <c r="L113" s="120">
        <f>IF(NOT(ISERROR(VLOOKUP(B113,Deflatores!G$42:H$64,2,FALSE))),VLOOKUP(B113,Deflatores!G$42:H$64,2,FALSE),IF(OR(ISBLANK(C113),ISBLANK(B113)),"",VLOOKUP(C113,Deflatores!G$4:H$38,2,FALSE)*H113+VLOOKUP(C113,Deflatores!G$4:I$38,3,FALSE)))</f>
        <v>3</v>
      </c>
      <c r="M113" s="7"/>
      <c r="N113" s="7"/>
      <c r="O113" s="5"/>
    </row>
    <row r="114" spans="1:15" x14ac:dyDescent="0.25">
      <c r="A114" s="127" t="s">
        <v>140</v>
      </c>
      <c r="B114" s="118" t="s">
        <v>44</v>
      </c>
      <c r="C114" s="4" t="s">
        <v>48</v>
      </c>
      <c r="D114" s="117">
        <v>4</v>
      </c>
      <c r="E114" s="117">
        <v>1</v>
      </c>
      <c r="F114" s="109" t="str">
        <f t="shared" si="192"/>
        <v>Baixa</v>
      </c>
      <c r="G114" s="6" t="str">
        <f t="shared" si="193"/>
        <v>CEL</v>
      </c>
      <c r="H114" s="6">
        <f t="shared" si="194"/>
        <v>3</v>
      </c>
      <c r="I114" s="109" t="str">
        <f t="shared" si="195"/>
        <v>L</v>
      </c>
      <c r="J114" s="6" t="str">
        <f t="shared" si="196"/>
        <v>CEI</v>
      </c>
      <c r="K114" s="120">
        <f t="shared" si="47"/>
        <v>3</v>
      </c>
      <c r="L114" s="120">
        <f>IF(NOT(ISERROR(VLOOKUP(B114,Deflatores!G$42:H$64,2,FALSE))),VLOOKUP(B114,Deflatores!G$42:H$64,2,FALSE),IF(OR(ISBLANK(C114),ISBLANK(B114)),"",VLOOKUP(C114,Deflatores!G$4:H$38,2,FALSE)*H114+VLOOKUP(C114,Deflatores!G$4:I$38,3,FALSE)))</f>
        <v>3</v>
      </c>
      <c r="M114" s="7"/>
      <c r="N114" s="7"/>
      <c r="O114" s="5"/>
    </row>
    <row r="115" spans="1:15" ht="22" x14ac:dyDescent="0.25">
      <c r="A115" s="128" t="s">
        <v>141</v>
      </c>
      <c r="B115" s="122" t="s">
        <v>44</v>
      </c>
      <c r="C115" s="4" t="s">
        <v>48</v>
      </c>
      <c r="D115" s="121">
        <v>4</v>
      </c>
      <c r="E115" s="117">
        <v>1</v>
      </c>
      <c r="F115" s="109" t="str">
        <f t="shared" si="192"/>
        <v>Baixa</v>
      </c>
      <c r="G115" s="6" t="str">
        <f t="shared" si="193"/>
        <v>CEL</v>
      </c>
      <c r="H115" s="6">
        <f t="shared" si="194"/>
        <v>3</v>
      </c>
      <c r="I115" s="109" t="str">
        <f t="shared" si="195"/>
        <v>L</v>
      </c>
      <c r="J115" s="6" t="str">
        <f t="shared" si="196"/>
        <v>CEI</v>
      </c>
      <c r="K115" s="120">
        <f t="shared" ref="K115" si="210">IF(OR(H115="",H115=0),L115,H115)</f>
        <v>3</v>
      </c>
      <c r="L115" s="120">
        <f>IF(NOT(ISERROR(VLOOKUP(B115,Deflatores!G$42:H$64,2,FALSE))),VLOOKUP(B115,Deflatores!G$42:H$64,2,FALSE),IF(OR(ISBLANK(C115),ISBLANK(B115)),"",VLOOKUP(C115,Deflatores!G$4:H$38,2,FALSE)*H115+VLOOKUP(C115,Deflatores!G$4:I$38,3,FALSE)))</f>
        <v>3</v>
      </c>
      <c r="M115" s="7"/>
      <c r="N115" s="7"/>
      <c r="O115" s="5" t="s">
        <v>142</v>
      </c>
    </row>
    <row r="116" spans="1:15" x14ac:dyDescent="0.25">
      <c r="A116" s="111"/>
      <c r="B116" s="4"/>
      <c r="C116" s="4"/>
      <c r="D116" s="6"/>
      <c r="E116" s="6"/>
      <c r="F116" s="109" t="str">
        <f t="shared" ref="F116:F198" si="211">IF(ISBLANK(B116),"",IF(I116="L","Baixa",IF(I116="A","Média",IF(I116="","","Alta"))))</f>
        <v/>
      </c>
      <c r="G116" s="6" t="str">
        <f t="shared" ref="G116:G198" si="212">CONCATENATE(B116,I116)</f>
        <v/>
      </c>
      <c r="H116" s="6" t="str">
        <f t="shared" ref="H116:H198" si="213">IF(ISBLANK(B116),"",IF(B116="ALI",IF(I116="L",7,IF(I116="A",10,15)),IF(B116="AIE",IF(I116="L",5,IF(I116="A",7,10)),IF(B116="SE",IF(I116="L",4,IF(I116="A",5,7)),IF(OR(B116="EE",B116="CE"),IF(I116="L",3,IF(I116="A",4,6)),0)))))</f>
        <v/>
      </c>
      <c r="I116" s="109" t="str">
        <f t="shared" ref="I116:I198" si="214">IF(OR(ISBLANK(D116),ISBLANK(E116)),IF(OR(B116="ALI",B116="AIE"),"L",IF(OR(B116="EE",B116="SE",B116="CE"),"A","")),IF(B116="EE",IF(E116&gt;=3,IF(D116&gt;=5,"H","A"),IF(E116&gt;=2,IF(D116&gt;=16,"H",IF(D116&lt;=4,"L","A")),IF(D116&lt;=15,"L","A"))),IF(OR(B116="SE",B116="CE"),IF(E116&gt;=4,IF(D116&gt;=6,"H","A"),IF(E116&gt;=2,IF(D116&gt;=20,"H",IF(D116&lt;=5,"L","A")),IF(D116&lt;=19,"L","A"))),IF(OR(B116="ALI",B116="AIE"),IF(E116&gt;=6,IF(D116&gt;=20,"H","A"),IF(E116&gt;=2,IF(D116&gt;=51,"H",IF(D116&lt;=19,"L","A")),IF(D116&lt;=50,"L","A"))),""))))</f>
        <v/>
      </c>
      <c r="J116" s="6" t="str">
        <f t="shared" ref="J116:J198" si="215">CONCATENATE(B116,C116)</f>
        <v/>
      </c>
      <c r="K116" s="120" t="str">
        <f t="shared" ref="K116:K200" si="216">IF(OR(H116="",H116=0),L116,H116)</f>
        <v/>
      </c>
      <c r="L116" s="120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7"/>
      <c r="N116" s="7"/>
      <c r="O116" s="5"/>
    </row>
    <row r="117" spans="1:15" x14ac:dyDescent="0.25">
      <c r="A117" s="113" t="s">
        <v>143</v>
      </c>
      <c r="B117" s="4"/>
      <c r="C117" s="4"/>
      <c r="D117" s="6"/>
      <c r="E117" s="6"/>
      <c r="F117" s="109" t="str">
        <f t="shared" si="211"/>
        <v/>
      </c>
      <c r="G117" s="6" t="str">
        <f t="shared" si="212"/>
        <v/>
      </c>
      <c r="H117" s="6" t="str">
        <f t="shared" si="213"/>
        <v/>
      </c>
      <c r="I117" s="109" t="str">
        <f t="shared" si="214"/>
        <v/>
      </c>
      <c r="J117" s="6" t="str">
        <f t="shared" si="215"/>
        <v/>
      </c>
      <c r="K117" s="120" t="str">
        <f t="shared" si="216"/>
        <v/>
      </c>
      <c r="L117" s="120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7"/>
      <c r="N117" s="7"/>
      <c r="O117" s="5"/>
    </row>
    <row r="118" spans="1:15" x14ac:dyDescent="0.25">
      <c r="A118" s="111" t="s">
        <v>144</v>
      </c>
      <c r="B118" s="4" t="s">
        <v>44</v>
      </c>
      <c r="C118" s="4" t="s">
        <v>48</v>
      </c>
      <c r="D118" s="117">
        <v>18</v>
      </c>
      <c r="E118" s="117">
        <v>4</v>
      </c>
      <c r="F118" s="109" t="str">
        <f t="shared" si="211"/>
        <v>Alta</v>
      </c>
      <c r="G118" s="6" t="str">
        <f t="shared" si="212"/>
        <v>CEH</v>
      </c>
      <c r="H118" s="6">
        <f t="shared" si="213"/>
        <v>6</v>
      </c>
      <c r="I118" s="109" t="str">
        <f t="shared" si="214"/>
        <v>H</v>
      </c>
      <c r="J118" s="6" t="str">
        <f t="shared" si="215"/>
        <v>CEI</v>
      </c>
      <c r="K118" s="120">
        <f t="shared" si="216"/>
        <v>6</v>
      </c>
      <c r="L118" s="120">
        <f>IF(NOT(ISERROR(VLOOKUP(B118,Deflatores!G$42:H$64,2,FALSE))),VLOOKUP(B118,Deflatores!G$42:H$64,2,FALSE),IF(OR(ISBLANK(C118),ISBLANK(B118)),"",VLOOKUP(C118,Deflatores!G$4:H$38,2,FALSE)*H118+VLOOKUP(C118,Deflatores!G$4:I$38,3,FALSE)))</f>
        <v>6</v>
      </c>
      <c r="M118" s="7"/>
      <c r="N118" s="7"/>
      <c r="O118" s="5"/>
    </row>
    <row r="119" spans="1:15" x14ac:dyDescent="0.25">
      <c r="A119" s="111" t="s">
        <v>74</v>
      </c>
      <c r="B119" s="118" t="s">
        <v>47</v>
      </c>
      <c r="C119" s="4" t="s">
        <v>48</v>
      </c>
      <c r="D119" s="117">
        <v>4</v>
      </c>
      <c r="E119" s="117">
        <v>2</v>
      </c>
      <c r="F119" s="109" t="str">
        <f t="shared" si="211"/>
        <v>Baixa</v>
      </c>
      <c r="G119" s="6" t="str">
        <f t="shared" si="212"/>
        <v>EEL</v>
      </c>
      <c r="H119" s="6">
        <f t="shared" si="213"/>
        <v>3</v>
      </c>
      <c r="I119" s="109" t="str">
        <f t="shared" si="214"/>
        <v>L</v>
      </c>
      <c r="J119" s="6" t="str">
        <f t="shared" si="215"/>
        <v>EEI</v>
      </c>
      <c r="K119" s="120">
        <f t="shared" si="216"/>
        <v>3</v>
      </c>
      <c r="L119" s="120">
        <f>IF(NOT(ISERROR(VLOOKUP(B119,Deflatores!G$42:H$64,2,FALSE))),VLOOKUP(B119,Deflatores!G$42:H$64,2,FALSE),IF(OR(ISBLANK(C119),ISBLANK(B119)),"",VLOOKUP(C119,Deflatores!G$4:H$38,2,FALSE)*H119+VLOOKUP(C119,Deflatores!G$4:I$38,3,FALSE)))</f>
        <v>3</v>
      </c>
      <c r="M119" s="7"/>
      <c r="N119" s="7"/>
      <c r="O119" s="5"/>
    </row>
    <row r="120" spans="1:15" x14ac:dyDescent="0.25">
      <c r="A120" s="111"/>
      <c r="B120" s="4"/>
      <c r="C120" s="4"/>
      <c r="D120" s="6"/>
      <c r="E120" s="6"/>
      <c r="F120" s="109" t="str">
        <f t="shared" ref="F120" si="217">IF(ISBLANK(B120),"",IF(I120="L","Baixa",IF(I120="A","Média",IF(I120="","","Alta"))))</f>
        <v/>
      </c>
      <c r="G120" s="6" t="str">
        <f t="shared" ref="G120" si="218">CONCATENATE(B120,I120)</f>
        <v/>
      </c>
      <c r="H120" s="6" t="str">
        <f t="shared" ref="H120" si="219">IF(ISBLANK(B120),"",IF(B120="ALI",IF(I120="L",7,IF(I120="A",10,15)),IF(B120="AIE",IF(I120="L",5,IF(I120="A",7,10)),IF(B120="SE",IF(I120="L",4,IF(I120="A",5,7)),IF(OR(B120="EE",B120="CE"),IF(I120="L",3,IF(I120="A",4,6)),0)))))</f>
        <v/>
      </c>
      <c r="I120" s="109" t="str">
        <f t="shared" ref="I120" si="220">IF(OR(ISBLANK(D120),ISBLANK(E120)),IF(OR(B120="ALI",B120="AIE"),"L",IF(OR(B120="EE",B120="SE",B120="CE"),"A","")),IF(B120="EE",IF(E120&gt;=3,IF(D120&gt;=5,"H","A"),IF(E120&gt;=2,IF(D120&gt;=16,"H",IF(D120&lt;=4,"L","A")),IF(D120&lt;=15,"L","A"))),IF(OR(B120="SE",B120="CE"),IF(E120&gt;=4,IF(D120&gt;=6,"H","A"),IF(E120&gt;=2,IF(D120&gt;=20,"H",IF(D120&lt;=5,"L","A")),IF(D120&lt;=19,"L","A"))),IF(OR(B120="ALI",B120="AIE"),IF(E120&gt;=6,IF(D120&gt;=20,"H","A"),IF(E120&gt;=2,IF(D120&gt;=51,"H",IF(D120&lt;=19,"L","A")),IF(D120&lt;=50,"L","A"))),""))))</f>
        <v/>
      </c>
      <c r="J120" s="6" t="str">
        <f t="shared" ref="J120" si="221">CONCATENATE(B120,C120)</f>
        <v/>
      </c>
      <c r="K120" s="120" t="str">
        <f t="shared" ref="K120" si="222">IF(OR(H120="",H120=0),L120,H120)</f>
        <v/>
      </c>
      <c r="L120" s="120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7"/>
      <c r="N120" s="7"/>
      <c r="O120" s="5"/>
    </row>
    <row r="121" spans="1:15" x14ac:dyDescent="0.25">
      <c r="A121" s="113" t="s">
        <v>275</v>
      </c>
      <c r="B121" s="4"/>
      <c r="C121" s="4"/>
      <c r="D121" s="6"/>
      <c r="E121" s="6"/>
      <c r="F121" s="109" t="str">
        <f t="shared" si="211"/>
        <v/>
      </c>
      <c r="G121" s="6" t="str">
        <f t="shared" si="212"/>
        <v/>
      </c>
      <c r="H121" s="6" t="str">
        <f t="shared" si="213"/>
        <v/>
      </c>
      <c r="I121" s="109" t="str">
        <f t="shared" si="214"/>
        <v/>
      </c>
      <c r="J121" s="6" t="str">
        <f t="shared" si="215"/>
        <v/>
      </c>
      <c r="K121" s="120" t="str">
        <f t="shared" si="216"/>
        <v/>
      </c>
      <c r="L121" s="120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7"/>
      <c r="N121" s="7"/>
      <c r="O121" s="5"/>
    </row>
    <row r="122" spans="1:15" x14ac:dyDescent="0.25">
      <c r="A122" s="111" t="s">
        <v>291</v>
      </c>
      <c r="B122" s="4" t="s">
        <v>92</v>
      </c>
      <c r="C122" s="4" t="s">
        <v>48</v>
      </c>
      <c r="D122" s="6">
        <v>7</v>
      </c>
      <c r="E122" s="117">
        <v>5</v>
      </c>
      <c r="F122" s="109" t="str">
        <f t="shared" si="211"/>
        <v>Alta</v>
      </c>
      <c r="G122" s="6" t="str">
        <f t="shared" si="212"/>
        <v>SEH</v>
      </c>
      <c r="H122" s="6">
        <f t="shared" si="213"/>
        <v>7</v>
      </c>
      <c r="I122" s="109" t="str">
        <f t="shared" si="214"/>
        <v>H</v>
      </c>
      <c r="J122" s="6" t="str">
        <f t="shared" si="215"/>
        <v>SEI</v>
      </c>
      <c r="K122" s="120">
        <f t="shared" si="216"/>
        <v>7</v>
      </c>
      <c r="L122" s="120">
        <f>IF(NOT(ISERROR(VLOOKUP(B122,Deflatores!G$42:H$64,2,FALSE))),VLOOKUP(B122,Deflatores!G$42:H$64,2,FALSE),IF(OR(ISBLANK(C122),ISBLANK(B122)),"",VLOOKUP(C122,Deflatores!G$4:H$38,2,FALSE)*H122+VLOOKUP(C122,Deflatores!G$4:I$38,3,FALSE)))</f>
        <v>7</v>
      </c>
      <c r="M122" s="7"/>
      <c r="N122" s="7"/>
      <c r="O122" s="5"/>
    </row>
    <row r="123" spans="1:15" x14ac:dyDescent="0.25">
      <c r="A123" s="111" t="s">
        <v>294</v>
      </c>
      <c r="B123" s="4" t="s">
        <v>44</v>
      </c>
      <c r="C123" s="4" t="s">
        <v>45</v>
      </c>
      <c r="D123" s="117"/>
      <c r="E123" s="117"/>
      <c r="F123" s="109" t="str">
        <f t="shared" si="211"/>
        <v>Média</v>
      </c>
      <c r="G123" s="6" t="str">
        <f t="shared" si="212"/>
        <v>CEA</v>
      </c>
      <c r="H123" s="6">
        <f t="shared" si="213"/>
        <v>4</v>
      </c>
      <c r="I123" s="109" t="str">
        <f t="shared" si="214"/>
        <v>A</v>
      </c>
      <c r="J123" s="6" t="str">
        <f t="shared" si="215"/>
        <v>CECOS</v>
      </c>
      <c r="K123" s="120">
        <f t="shared" si="216"/>
        <v>4</v>
      </c>
      <c r="L123" s="120">
        <f>IF(NOT(ISERROR(VLOOKUP(B123,Deflatores!G$42:H$64,2,FALSE))),VLOOKUP(B123,Deflatores!G$42:H$64,2,FALSE),IF(OR(ISBLANK(C123),ISBLANK(B123)),"",VLOOKUP(C123,Deflatores!G$4:H$38,2,FALSE)*H123+VLOOKUP(C123,Deflatores!G$4:I$38,3,FALSE)))</f>
        <v>0.6</v>
      </c>
      <c r="M123" s="7"/>
      <c r="N123" s="7"/>
      <c r="O123" s="5"/>
    </row>
    <row r="124" spans="1:15" x14ac:dyDescent="0.25">
      <c r="A124" s="111" t="s">
        <v>295</v>
      </c>
      <c r="B124" s="4" t="s">
        <v>44</v>
      </c>
      <c r="C124" s="4" t="s">
        <v>45</v>
      </c>
      <c r="D124" s="117"/>
      <c r="E124" s="117"/>
      <c r="F124" s="109" t="str">
        <f t="shared" ref="F124" si="223">IF(ISBLANK(B124),"",IF(I124="L","Baixa",IF(I124="A","Média",IF(I124="","","Alta"))))</f>
        <v>Média</v>
      </c>
      <c r="G124" s="6" t="str">
        <f t="shared" ref="G124" si="224">CONCATENATE(B124,I124)</f>
        <v>CEA</v>
      </c>
      <c r="H124" s="6">
        <f t="shared" ref="H124" si="225">IF(ISBLANK(B124),"",IF(B124="ALI",IF(I124="L",7,IF(I124="A",10,15)),IF(B124="AIE",IF(I124="L",5,IF(I124="A",7,10)),IF(B124="SE",IF(I124="L",4,IF(I124="A",5,7)),IF(OR(B124="EE",B124="CE"),IF(I124="L",3,IF(I124="A",4,6)),0)))))</f>
        <v>4</v>
      </c>
      <c r="I124" s="109" t="str">
        <f t="shared" ref="I124" si="226">IF(OR(ISBLANK(D124),ISBLANK(E124)),IF(OR(B124="ALI",B124="AIE"),"L",IF(OR(B124="EE",B124="SE",B124="CE"),"A","")),IF(B124="EE",IF(E124&gt;=3,IF(D124&gt;=5,"H","A"),IF(E124&gt;=2,IF(D124&gt;=16,"H",IF(D124&lt;=4,"L","A")),IF(D124&lt;=15,"L","A"))),IF(OR(B124="SE",B124="CE"),IF(E124&gt;=4,IF(D124&gt;=6,"H","A"),IF(E124&gt;=2,IF(D124&gt;=20,"H",IF(D124&lt;=5,"L","A")),IF(D124&lt;=19,"L","A"))),IF(OR(B124="ALI",B124="AIE"),IF(E124&gt;=6,IF(D124&gt;=20,"H","A"),IF(E124&gt;=2,IF(D124&gt;=51,"H",IF(D124&lt;=19,"L","A")),IF(D124&lt;=50,"L","A"))),""))))</f>
        <v>A</v>
      </c>
      <c r="J124" s="6" t="str">
        <f t="shared" ref="J124" si="227">CONCATENATE(B124,C124)</f>
        <v>CECOS</v>
      </c>
      <c r="K124" s="120">
        <f t="shared" ref="K124" si="228">IF(OR(H124="",H124=0),L124,H124)</f>
        <v>4</v>
      </c>
      <c r="L124" s="120">
        <f>IF(NOT(ISERROR(VLOOKUP(B124,Deflatores!G$42:H$64,2,FALSE))),VLOOKUP(B124,Deflatores!G$42:H$64,2,FALSE),IF(OR(ISBLANK(C124),ISBLANK(B124)),"",VLOOKUP(C124,Deflatores!G$4:H$38,2,FALSE)*H124+VLOOKUP(C124,Deflatores!G$4:I$38,3,FALSE)))</f>
        <v>0.6</v>
      </c>
      <c r="M124" s="7"/>
      <c r="N124" s="7"/>
      <c r="O124" s="5"/>
    </row>
    <row r="125" spans="1:15" x14ac:dyDescent="0.25">
      <c r="A125" s="111" t="s">
        <v>292</v>
      </c>
      <c r="B125" s="4" t="s">
        <v>44</v>
      </c>
      <c r="C125" s="4" t="s">
        <v>48</v>
      </c>
      <c r="D125" s="117">
        <v>18</v>
      </c>
      <c r="E125" s="117">
        <v>6</v>
      </c>
      <c r="F125" s="109" t="str">
        <f t="shared" ref="F125:F144" si="229">IF(ISBLANK(B125),"",IF(I125="L","Baixa",IF(I125="A","Média",IF(I125="","","Alta"))))</f>
        <v>Alta</v>
      </c>
      <c r="G125" s="6" t="str">
        <f t="shared" ref="G125:G144" si="230">CONCATENATE(B125,I125)</f>
        <v>CEH</v>
      </c>
      <c r="H125" s="6">
        <f t="shared" ref="H125:H144" si="231">IF(ISBLANK(B125),"",IF(B125="ALI",IF(I125="L",7,IF(I125="A",10,15)),IF(B125="AIE",IF(I125="L",5,IF(I125="A",7,10)),IF(B125="SE",IF(I125="L",4,IF(I125="A",5,7)),IF(OR(B125="EE",B125="CE"),IF(I125="L",3,IF(I125="A",4,6)),0)))))</f>
        <v>6</v>
      </c>
      <c r="I125" s="109" t="str">
        <f t="shared" ref="I125:I144" si="232">IF(OR(ISBLANK(D125),ISBLANK(E125)),IF(OR(B125="ALI",B125="AIE"),"L",IF(OR(B125="EE",B125="SE",B125="CE"),"A","")),IF(B125="EE",IF(E125&gt;=3,IF(D125&gt;=5,"H","A"),IF(E125&gt;=2,IF(D125&gt;=16,"H",IF(D125&lt;=4,"L","A")),IF(D125&lt;=15,"L","A"))),IF(OR(B125="SE",B125="CE"),IF(E125&gt;=4,IF(D125&gt;=6,"H","A"),IF(E125&gt;=2,IF(D125&gt;=20,"H",IF(D125&lt;=5,"L","A")),IF(D125&lt;=19,"L","A"))),IF(OR(B125="ALI",B125="AIE"),IF(E125&gt;=6,IF(D125&gt;=20,"H","A"),IF(E125&gt;=2,IF(D125&gt;=51,"H",IF(D125&lt;=19,"L","A")),IF(D125&lt;=50,"L","A"))),""))))</f>
        <v>H</v>
      </c>
      <c r="J125" s="6" t="str">
        <f t="shared" ref="J125:J144" si="233">CONCATENATE(B125,C125)</f>
        <v>CEI</v>
      </c>
      <c r="K125" s="120">
        <f t="shared" ref="K125:K144" si="234">IF(OR(H125="",H125=0),L125,H125)</f>
        <v>6</v>
      </c>
      <c r="L125" s="120">
        <f>IF(NOT(ISERROR(VLOOKUP(B125,Deflatores!G$42:H$64,2,FALSE))),VLOOKUP(B125,Deflatores!G$42:H$64,2,FALSE),IF(OR(ISBLANK(C125),ISBLANK(B125)),"",VLOOKUP(C125,Deflatores!G$4:H$38,2,FALSE)*H125+VLOOKUP(C125,Deflatores!G$4:I$38,3,FALSE)))</f>
        <v>6</v>
      </c>
      <c r="M125" s="7"/>
      <c r="N125" s="7"/>
      <c r="O125" s="5"/>
    </row>
    <row r="126" spans="1:15" x14ac:dyDescent="0.25">
      <c r="A126" s="111" t="s">
        <v>276</v>
      </c>
      <c r="B126" s="4" t="s">
        <v>47</v>
      </c>
      <c r="C126" s="4" t="s">
        <v>48</v>
      </c>
      <c r="D126" s="6">
        <v>17</v>
      </c>
      <c r="E126" s="117">
        <v>5</v>
      </c>
      <c r="F126" s="109" t="str">
        <f>IF(ISBLANK(B126),"",IF(I126="L","Baixa",IF(I126="A","Média",IF(I126="","","Alta"))))</f>
        <v>Alta</v>
      </c>
      <c r="G126" s="6" t="str">
        <f>CONCATENATE(B126,I126)</f>
        <v>EEH</v>
      </c>
      <c r="H126" s="6">
        <f>IF(ISBLANK(B126),"",IF(B126="ALI",IF(I126="L",7,IF(I126="A",10,15)),IF(B126="AIE",IF(I126="L",5,IF(I126="A",7,10)),IF(B126="SE",IF(I126="L",4,IF(I126="A",5,7)),IF(OR(B126="EE",B126="CE"),IF(I126="L",3,IF(I126="A",4,6)),0)))))</f>
        <v>6</v>
      </c>
      <c r="I126" s="109" t="str">
        <f>IF(OR(ISBLANK(D126),ISBLANK(E126)),IF(OR(B126="ALI",B126="AIE"),"L",IF(OR(B126="EE",B126="SE",B126="CE"),"A","")),IF(B126="EE",IF(E126&gt;=3,IF(D126&gt;=5,"H","A"),IF(E126&gt;=2,IF(D126&gt;=16,"H",IF(D126&lt;=4,"L","A")),IF(D126&lt;=15,"L","A"))),IF(OR(B126="SE",B126="CE"),IF(E126&gt;=4,IF(D126&gt;=6,"H","A"),IF(E126&gt;=2,IF(D126&gt;=20,"H",IF(D126&lt;=5,"L","A")),IF(D126&lt;=19,"L","A"))),IF(OR(B126="ALI",B126="AIE"),IF(E126&gt;=6,IF(D126&gt;=20,"H","A"),IF(E126&gt;=2,IF(D126&gt;=51,"H",IF(D126&lt;=19,"L","A")),IF(D126&lt;=50,"L","A"))),""))))</f>
        <v>H</v>
      </c>
      <c r="J126" s="6" t="str">
        <f>CONCATENATE(B126,C126)</f>
        <v>EEI</v>
      </c>
      <c r="K126" s="120">
        <f>IF(OR(H126="",H126=0),L126,H126)</f>
        <v>6</v>
      </c>
      <c r="L126" s="120">
        <f>IF(NOT(ISERROR(VLOOKUP(B126,Deflatores!G$42:H$64,2,FALSE))),VLOOKUP(B126,Deflatores!G$42:H$64,2,FALSE),IF(OR(ISBLANK(C126),ISBLANK(B126)),"",VLOOKUP(C126,Deflatores!G$4:H$38,2,FALSE)*H126+VLOOKUP(C126,Deflatores!G$4:I$38,3,FALSE)))</f>
        <v>6</v>
      </c>
      <c r="M126" s="7"/>
      <c r="N126" s="7"/>
      <c r="O126" s="5"/>
    </row>
    <row r="127" spans="1:15" x14ac:dyDescent="0.25">
      <c r="A127" s="111" t="s">
        <v>277</v>
      </c>
      <c r="B127" s="4" t="s">
        <v>47</v>
      </c>
      <c r="C127" s="4" t="s">
        <v>48</v>
      </c>
      <c r="D127" s="6">
        <v>25</v>
      </c>
      <c r="E127" s="117">
        <v>6</v>
      </c>
      <c r="F127" s="109" t="str">
        <f t="shared" ref="F127:F128" si="235">IF(ISBLANK(B127),"",IF(I127="L","Baixa",IF(I127="A","Média",IF(I127="","","Alta"))))</f>
        <v>Alta</v>
      </c>
      <c r="G127" s="6" t="str">
        <f t="shared" ref="G127:G128" si="236">CONCATENATE(B127,I127)</f>
        <v>EEH</v>
      </c>
      <c r="H127" s="6">
        <f t="shared" ref="H127:H128" si="237">IF(ISBLANK(B127),"",IF(B127="ALI",IF(I127="L",7,IF(I127="A",10,15)),IF(B127="AIE",IF(I127="L",5,IF(I127="A",7,10)),IF(B127="SE",IF(I127="L",4,IF(I127="A",5,7)),IF(OR(B127="EE",B127="CE"),IF(I127="L",3,IF(I127="A",4,6)),0)))))</f>
        <v>6</v>
      </c>
      <c r="I127" s="109" t="str">
        <f t="shared" ref="I127:I128" si="238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>H</v>
      </c>
      <c r="J127" s="6" t="str">
        <f t="shared" ref="J127:J128" si="239">CONCATENATE(B127,C127)</f>
        <v>EEI</v>
      </c>
      <c r="K127" s="120">
        <f t="shared" ref="K127:K128" si="240">IF(OR(H127="",H127=0),L127,H127)</f>
        <v>6</v>
      </c>
      <c r="L127" s="120">
        <f>IF(NOT(ISERROR(VLOOKUP(B127,Deflatores!G$42:H$64,2,FALSE))),VLOOKUP(B127,Deflatores!G$42:H$64,2,FALSE),IF(OR(ISBLANK(C127),ISBLANK(B127)),"",VLOOKUP(C127,Deflatores!G$4:H$38,2,FALSE)*H127+VLOOKUP(C127,Deflatores!G$4:I$38,3,FALSE)))</f>
        <v>6</v>
      </c>
      <c r="M127" s="7"/>
      <c r="N127" s="7"/>
      <c r="O127" s="5"/>
    </row>
    <row r="128" spans="1:15" x14ac:dyDescent="0.25">
      <c r="A128" s="126" t="s">
        <v>293</v>
      </c>
      <c r="B128" s="4" t="s">
        <v>44</v>
      </c>
      <c r="C128" s="4" t="s">
        <v>48</v>
      </c>
      <c r="D128" s="6">
        <v>15</v>
      </c>
      <c r="E128" s="117">
        <v>5</v>
      </c>
      <c r="F128" s="109" t="str">
        <f t="shared" si="235"/>
        <v>Alta</v>
      </c>
      <c r="G128" s="6" t="str">
        <f t="shared" si="236"/>
        <v>CEH</v>
      </c>
      <c r="H128" s="6">
        <f t="shared" si="237"/>
        <v>6</v>
      </c>
      <c r="I128" s="109" t="str">
        <f t="shared" si="238"/>
        <v>H</v>
      </c>
      <c r="J128" s="6" t="str">
        <f t="shared" si="239"/>
        <v>CEI</v>
      </c>
      <c r="K128" s="120">
        <f t="shared" si="240"/>
        <v>6</v>
      </c>
      <c r="L128" s="120">
        <f>IF(NOT(ISERROR(VLOOKUP(B128,Deflatores!G$42:H$64,2,FALSE))),VLOOKUP(B128,Deflatores!G$42:H$64,2,FALSE),IF(OR(ISBLANK(C128),ISBLANK(B128)),"",VLOOKUP(C128,Deflatores!G$4:H$38,2,FALSE)*H128+VLOOKUP(C128,Deflatores!G$4:I$38,3,FALSE)))</f>
        <v>6</v>
      </c>
      <c r="M128" s="7"/>
      <c r="N128" s="7"/>
      <c r="O128" s="5"/>
    </row>
    <row r="129" spans="1:15" x14ac:dyDescent="0.25">
      <c r="A129" s="111" t="s">
        <v>278</v>
      </c>
      <c r="B129" s="4" t="s">
        <v>44</v>
      </c>
      <c r="C129" s="4" t="s">
        <v>48</v>
      </c>
      <c r="D129" s="6">
        <v>17</v>
      </c>
      <c r="E129" s="117">
        <v>5</v>
      </c>
      <c r="F129" s="109" t="str">
        <f t="shared" si="229"/>
        <v>Alta</v>
      </c>
      <c r="G129" s="6" t="str">
        <f t="shared" si="230"/>
        <v>CEH</v>
      </c>
      <c r="H129" s="6">
        <f t="shared" si="231"/>
        <v>6</v>
      </c>
      <c r="I129" s="109" t="str">
        <f t="shared" si="232"/>
        <v>H</v>
      </c>
      <c r="J129" s="6" t="str">
        <f t="shared" si="233"/>
        <v>CEI</v>
      </c>
      <c r="K129" s="120">
        <f t="shared" si="234"/>
        <v>6</v>
      </c>
      <c r="L129" s="120">
        <f>IF(NOT(ISERROR(VLOOKUP(B129,Deflatores!G$42:H$64,2,FALSE))),VLOOKUP(B129,Deflatores!G$42:H$64,2,FALSE),IF(OR(ISBLANK(C129),ISBLANK(B129)),"",VLOOKUP(C129,Deflatores!G$4:H$38,2,FALSE)*H129+VLOOKUP(C129,Deflatores!G$4:I$38,3,FALSE)))</f>
        <v>6</v>
      </c>
      <c r="M129" s="7"/>
      <c r="N129" s="7"/>
      <c r="O129" s="5"/>
    </row>
    <row r="130" spans="1:15" x14ac:dyDescent="0.25">
      <c r="A130" s="111" t="s">
        <v>279</v>
      </c>
      <c r="B130" s="4" t="s">
        <v>47</v>
      </c>
      <c r="C130" s="4" t="s">
        <v>48</v>
      </c>
      <c r="D130" s="6">
        <v>3</v>
      </c>
      <c r="E130" s="6">
        <v>1</v>
      </c>
      <c r="F130" s="109" t="str">
        <f t="shared" ref="F130:F132" si="241">IF(ISBLANK(B130),"",IF(I130="L","Baixa",IF(I130="A","Média",IF(I130="","","Alta"))))</f>
        <v>Baixa</v>
      </c>
      <c r="G130" s="6" t="str">
        <f t="shared" ref="G130:G132" si="242">CONCATENATE(B130,I130)</f>
        <v>EEL</v>
      </c>
      <c r="H130" s="6">
        <f t="shared" ref="H130:H132" si="243">IF(ISBLANK(B130),"",IF(B130="ALI",IF(I130="L",7,IF(I130="A",10,15)),IF(B130="AIE",IF(I130="L",5,IF(I130="A",7,10)),IF(B130="SE",IF(I130="L",4,IF(I130="A",5,7)),IF(OR(B130="EE",B130="CE"),IF(I130="L",3,IF(I130="A",4,6)),0)))))</f>
        <v>3</v>
      </c>
      <c r="I130" s="109" t="str">
        <f t="shared" ref="I130:I132" si="244">IF(OR(ISBLANK(D130),ISBLANK(E130)),IF(OR(B130="ALI",B130="AIE"),"L",IF(OR(B130="EE",B130="SE",B130="CE"),"A","")),IF(B130="EE",IF(E130&gt;=3,IF(D130&gt;=5,"H","A"),IF(E130&gt;=2,IF(D130&gt;=16,"H",IF(D130&lt;=4,"L","A")),IF(D130&lt;=15,"L","A"))),IF(OR(B130="SE",B130="CE"),IF(E130&gt;=4,IF(D130&gt;=6,"H","A"),IF(E130&gt;=2,IF(D130&gt;=20,"H",IF(D130&lt;=5,"L","A")),IF(D130&lt;=19,"L","A"))),IF(OR(B130="ALI",B130="AIE"),IF(E130&gt;=6,IF(D130&gt;=20,"H","A"),IF(E130&gt;=2,IF(D130&gt;=51,"H",IF(D130&lt;=19,"L","A")),IF(D130&lt;=50,"L","A"))),""))))</f>
        <v>L</v>
      </c>
      <c r="J130" s="6" t="str">
        <f t="shared" ref="J130:J132" si="245">CONCATENATE(B130,C130)</f>
        <v>EEI</v>
      </c>
      <c r="K130" s="120">
        <f t="shared" ref="K130:K132" si="246">IF(OR(H130="",H130=0),L130,H130)</f>
        <v>3</v>
      </c>
      <c r="L130" s="120">
        <f>IF(NOT(ISERROR(VLOOKUP(B130,Deflatores!G$42:H$64,2,FALSE))),VLOOKUP(B130,Deflatores!G$42:H$64,2,FALSE),IF(OR(ISBLANK(C130),ISBLANK(B130)),"",VLOOKUP(C130,Deflatores!G$4:H$38,2,FALSE)*H130+VLOOKUP(C130,Deflatores!G$4:I$38,3,FALSE)))</f>
        <v>3</v>
      </c>
      <c r="M130" s="7"/>
      <c r="N130" s="7"/>
      <c r="O130" s="5"/>
    </row>
    <row r="131" spans="1:15" x14ac:dyDescent="0.25">
      <c r="A131" s="111" t="s">
        <v>280</v>
      </c>
      <c r="B131" s="4" t="s">
        <v>44</v>
      </c>
      <c r="C131" s="4" t="s">
        <v>48</v>
      </c>
      <c r="D131" s="6">
        <v>17</v>
      </c>
      <c r="E131" s="117">
        <v>5</v>
      </c>
      <c r="F131" s="109" t="str">
        <f t="shared" ref="F131" si="247">IF(ISBLANK(B131),"",IF(I131="L","Baixa",IF(I131="A","Média",IF(I131="","","Alta"))))</f>
        <v>Alta</v>
      </c>
      <c r="G131" s="6" t="str">
        <f t="shared" ref="G131" si="248">CONCATENATE(B131,I131)</f>
        <v>CEH</v>
      </c>
      <c r="H131" s="6">
        <f t="shared" ref="H131" si="249">IF(ISBLANK(B131),"",IF(B131="ALI",IF(I131="L",7,IF(I131="A",10,15)),IF(B131="AIE",IF(I131="L",5,IF(I131="A",7,10)),IF(B131="SE",IF(I131="L",4,IF(I131="A",5,7)),IF(OR(B131="EE",B131="CE"),IF(I131="L",3,IF(I131="A",4,6)),0)))))</f>
        <v>6</v>
      </c>
      <c r="I131" s="109" t="str">
        <f t="shared" ref="I131" si="250">IF(OR(ISBLANK(D131),ISBLANK(E131)),IF(OR(B131="ALI",B131="AIE"),"L",IF(OR(B131="EE",B131="SE",B131="CE"),"A","")),IF(B131="EE",IF(E131&gt;=3,IF(D131&gt;=5,"H","A"),IF(E131&gt;=2,IF(D131&gt;=16,"H",IF(D131&lt;=4,"L","A")),IF(D131&lt;=15,"L","A"))),IF(OR(B131="SE",B131="CE"),IF(E131&gt;=4,IF(D131&gt;=6,"H","A"),IF(E131&gt;=2,IF(D131&gt;=20,"H",IF(D131&lt;=5,"L","A")),IF(D131&lt;=19,"L","A"))),IF(OR(B131="ALI",B131="AIE"),IF(E131&gt;=6,IF(D131&gt;=20,"H","A"),IF(E131&gt;=2,IF(D131&gt;=51,"H",IF(D131&lt;=19,"L","A")),IF(D131&lt;=50,"L","A"))),""))))</f>
        <v>H</v>
      </c>
      <c r="J131" s="6" t="str">
        <f t="shared" ref="J131" si="251">CONCATENATE(B131,C131)</f>
        <v>CEI</v>
      </c>
      <c r="K131" s="120">
        <f t="shared" ref="K131" si="252">IF(OR(H131="",H131=0),L131,H131)</f>
        <v>6</v>
      </c>
      <c r="L131" s="120">
        <f>IF(NOT(ISERROR(VLOOKUP(B131,Deflatores!G$42:H$64,2,FALSE))),VLOOKUP(B131,Deflatores!G$42:H$64,2,FALSE),IF(OR(ISBLANK(C131),ISBLANK(B131)),"",VLOOKUP(C131,Deflatores!G$4:H$38,2,FALSE)*H131+VLOOKUP(C131,Deflatores!G$4:I$38,3,FALSE)))</f>
        <v>6</v>
      </c>
      <c r="M131" s="7"/>
      <c r="N131" s="7"/>
      <c r="O131" s="5"/>
    </row>
    <row r="132" spans="1:15" x14ac:dyDescent="0.25">
      <c r="A132" s="111" t="s">
        <v>281</v>
      </c>
      <c r="B132" s="4" t="s">
        <v>47</v>
      </c>
      <c r="C132" s="4" t="s">
        <v>48</v>
      </c>
      <c r="D132" s="6">
        <v>11</v>
      </c>
      <c r="E132" s="6">
        <v>2</v>
      </c>
      <c r="F132" s="109" t="str">
        <f t="shared" si="241"/>
        <v>Média</v>
      </c>
      <c r="G132" s="6" t="str">
        <f t="shared" si="242"/>
        <v>EEA</v>
      </c>
      <c r="H132" s="6">
        <f t="shared" si="243"/>
        <v>4</v>
      </c>
      <c r="I132" s="109" t="str">
        <f t="shared" si="244"/>
        <v>A</v>
      </c>
      <c r="J132" s="6" t="str">
        <f t="shared" si="245"/>
        <v>EEI</v>
      </c>
      <c r="K132" s="120">
        <f t="shared" si="246"/>
        <v>4</v>
      </c>
      <c r="L132" s="120">
        <f>IF(NOT(ISERROR(VLOOKUP(B132,Deflatores!G$42:H$64,2,FALSE))),VLOOKUP(B132,Deflatores!G$42:H$64,2,FALSE),IF(OR(ISBLANK(C132),ISBLANK(B132)),"",VLOOKUP(C132,Deflatores!G$4:H$38,2,FALSE)*H132+VLOOKUP(C132,Deflatores!G$4:I$38,3,FALSE)))</f>
        <v>4</v>
      </c>
      <c r="M132" s="7"/>
      <c r="N132" s="7"/>
      <c r="O132" s="5"/>
    </row>
    <row r="133" spans="1:15" x14ac:dyDescent="0.25">
      <c r="A133" s="111"/>
      <c r="B133" s="4"/>
      <c r="C133" s="4"/>
      <c r="D133" s="6"/>
      <c r="E133" s="6"/>
      <c r="F133" s="109" t="str">
        <f t="shared" si="229"/>
        <v/>
      </c>
      <c r="G133" s="6" t="str">
        <f t="shared" si="230"/>
        <v/>
      </c>
      <c r="H133" s="6" t="str">
        <f t="shared" si="231"/>
        <v/>
      </c>
      <c r="I133" s="109" t="str">
        <f t="shared" si="232"/>
        <v/>
      </c>
      <c r="J133" s="6" t="str">
        <f t="shared" si="233"/>
        <v/>
      </c>
      <c r="K133" s="120" t="str">
        <f t="shared" si="234"/>
        <v/>
      </c>
      <c r="L133" s="120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7"/>
      <c r="N133" s="7"/>
      <c r="O133" s="5"/>
    </row>
    <row r="134" spans="1:15" x14ac:dyDescent="0.25">
      <c r="A134" s="113" t="s">
        <v>283</v>
      </c>
      <c r="B134" s="4"/>
      <c r="C134" s="4"/>
      <c r="D134" s="6"/>
      <c r="E134" s="6"/>
      <c r="F134" s="109" t="str">
        <f t="shared" si="229"/>
        <v/>
      </c>
      <c r="G134" s="6" t="str">
        <f t="shared" si="230"/>
        <v/>
      </c>
      <c r="H134" s="6" t="str">
        <f t="shared" si="231"/>
        <v/>
      </c>
      <c r="I134" s="109" t="str">
        <f t="shared" si="232"/>
        <v/>
      </c>
      <c r="J134" s="6" t="str">
        <f t="shared" si="233"/>
        <v/>
      </c>
      <c r="K134" s="120" t="str">
        <f t="shared" si="234"/>
        <v/>
      </c>
      <c r="L134" s="120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7"/>
      <c r="N134" s="7"/>
      <c r="O134" s="5"/>
    </row>
    <row r="135" spans="1:15" x14ac:dyDescent="0.25">
      <c r="A135" s="111" t="s">
        <v>282</v>
      </c>
      <c r="B135" s="4" t="s">
        <v>44</v>
      </c>
      <c r="C135" s="4" t="s">
        <v>45</v>
      </c>
      <c r="D135" s="6"/>
      <c r="E135" s="6"/>
      <c r="F135" s="109" t="str">
        <f t="shared" si="229"/>
        <v>Média</v>
      </c>
      <c r="G135" s="6" t="str">
        <f t="shared" si="230"/>
        <v>CEA</v>
      </c>
      <c r="H135" s="6">
        <f t="shared" si="231"/>
        <v>4</v>
      </c>
      <c r="I135" s="109" t="str">
        <f t="shared" si="232"/>
        <v>A</v>
      </c>
      <c r="J135" s="6" t="str">
        <f t="shared" si="233"/>
        <v>CECOS</v>
      </c>
      <c r="K135" s="120">
        <f t="shared" si="234"/>
        <v>4</v>
      </c>
      <c r="L135" s="120">
        <f>IF(NOT(ISERROR(VLOOKUP(B135,Deflatores!G$42:H$64,2,FALSE))),VLOOKUP(B135,Deflatores!G$42:H$64,2,FALSE),IF(OR(ISBLANK(C135),ISBLANK(B135)),"",VLOOKUP(C135,Deflatores!G$4:H$38,2,FALSE)*H135+VLOOKUP(C135,Deflatores!G$4:I$38,3,FALSE)))</f>
        <v>0.6</v>
      </c>
      <c r="M135" s="7"/>
      <c r="N135" s="7"/>
      <c r="O135" s="5"/>
    </row>
    <row r="136" spans="1:15" x14ac:dyDescent="0.25">
      <c r="A136" s="124" t="s">
        <v>297</v>
      </c>
      <c r="B136" s="118" t="s">
        <v>44</v>
      </c>
      <c r="C136" s="4" t="s">
        <v>48</v>
      </c>
      <c r="D136" s="117">
        <v>3</v>
      </c>
      <c r="E136" s="117">
        <v>2</v>
      </c>
      <c r="F136" s="109" t="str">
        <f t="shared" si="229"/>
        <v>Baixa</v>
      </c>
      <c r="G136" s="6" t="str">
        <f t="shared" si="230"/>
        <v>CEL</v>
      </c>
      <c r="H136" s="6">
        <f t="shared" si="231"/>
        <v>3</v>
      </c>
      <c r="I136" s="109" t="str">
        <f t="shared" si="232"/>
        <v>L</v>
      </c>
      <c r="J136" s="6" t="str">
        <f t="shared" si="233"/>
        <v>CEI</v>
      </c>
      <c r="K136" s="120">
        <f t="shared" si="234"/>
        <v>3</v>
      </c>
      <c r="L136" s="120">
        <f>IF(NOT(ISERROR(VLOOKUP(B136,Deflatores!G$42:H$64,2,FALSE))),VLOOKUP(B136,Deflatores!G$42:H$64,2,FALSE),IF(OR(ISBLANK(C136),ISBLANK(B136)),"",VLOOKUP(C136,Deflatores!G$4:H$38,2,FALSE)*H136+VLOOKUP(C136,Deflatores!G$4:I$38,3,FALSE)))</f>
        <v>3</v>
      </c>
      <c r="M136" s="7"/>
      <c r="N136" s="7"/>
      <c r="O136" s="5"/>
    </row>
    <row r="137" spans="1:15" x14ac:dyDescent="0.25">
      <c r="A137" s="113"/>
      <c r="B137" s="4"/>
      <c r="C137" s="4"/>
      <c r="D137" s="6"/>
      <c r="E137" s="6"/>
      <c r="F137" s="109" t="str">
        <f t="shared" ref="F137" si="253">IF(ISBLANK(B137),"",IF(I137="L","Baixa",IF(I137="A","Média",IF(I137="","","Alta"))))</f>
        <v/>
      </c>
      <c r="G137" s="6" t="str">
        <f t="shared" ref="G137" si="254">CONCATENATE(B137,I137)</f>
        <v/>
      </c>
      <c r="H137" s="6" t="str">
        <f t="shared" ref="H137" si="255">IF(ISBLANK(B137),"",IF(B137="ALI",IF(I137="L",7,IF(I137="A",10,15)),IF(B137="AIE",IF(I137="L",5,IF(I137="A",7,10)),IF(B137="SE",IF(I137="L",4,IF(I137="A",5,7)),IF(OR(B137="EE",B137="CE"),IF(I137="L",3,IF(I137="A",4,6)),0)))))</f>
        <v/>
      </c>
      <c r="I137" s="109" t="str">
        <f t="shared" ref="I137" si="256"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/>
      </c>
      <c r="J137" s="6" t="str">
        <f t="shared" ref="J137" si="257">CONCATENATE(B137,C137)</f>
        <v/>
      </c>
      <c r="K137" s="120" t="str">
        <f t="shared" ref="K137" si="258">IF(OR(H137="",H137=0),L137,H137)</f>
        <v/>
      </c>
      <c r="L137" s="120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7"/>
      <c r="N137" s="7"/>
      <c r="O137" s="5"/>
    </row>
    <row r="138" spans="1:15" x14ac:dyDescent="0.25">
      <c r="A138" s="113" t="s">
        <v>296</v>
      </c>
      <c r="B138" s="4"/>
      <c r="C138" s="4"/>
      <c r="D138" s="6"/>
      <c r="E138" s="6"/>
      <c r="F138" s="109" t="str">
        <f t="shared" si="229"/>
        <v/>
      </c>
      <c r="G138" s="6" t="str">
        <f t="shared" si="230"/>
        <v/>
      </c>
      <c r="H138" s="6" t="str">
        <f t="shared" si="231"/>
        <v/>
      </c>
      <c r="I138" s="109" t="str">
        <f t="shared" si="232"/>
        <v/>
      </c>
      <c r="J138" s="6" t="str">
        <f t="shared" si="233"/>
        <v/>
      </c>
      <c r="K138" s="120" t="str">
        <f t="shared" si="234"/>
        <v/>
      </c>
      <c r="L138" s="120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7"/>
      <c r="N138" s="7"/>
      <c r="O138" s="5"/>
    </row>
    <row r="139" spans="1:15" x14ac:dyDescent="0.25">
      <c r="A139" s="111" t="s">
        <v>299</v>
      </c>
      <c r="B139" s="4" t="s">
        <v>51</v>
      </c>
      <c r="C139" s="4" t="s">
        <v>48</v>
      </c>
      <c r="D139" s="6">
        <v>9</v>
      </c>
      <c r="E139" s="6">
        <v>3</v>
      </c>
      <c r="F139" s="109" t="str">
        <f t="shared" si="229"/>
        <v>Baixa</v>
      </c>
      <c r="G139" s="6" t="str">
        <f t="shared" si="230"/>
        <v>AIEL</v>
      </c>
      <c r="H139" s="6">
        <f t="shared" si="231"/>
        <v>5</v>
      </c>
      <c r="I139" s="109" t="str">
        <f t="shared" si="232"/>
        <v>L</v>
      </c>
      <c r="J139" s="6" t="str">
        <f t="shared" si="233"/>
        <v>AIEI</v>
      </c>
      <c r="K139" s="120">
        <f t="shared" si="234"/>
        <v>5</v>
      </c>
      <c r="L139" s="120">
        <f>IF(NOT(ISERROR(VLOOKUP(B139,Deflatores!G$42:H$64,2,FALSE))),VLOOKUP(B139,Deflatores!G$42:H$64,2,FALSE),IF(OR(ISBLANK(C139),ISBLANK(B139)),"",VLOOKUP(C139,Deflatores!G$4:H$38,2,FALSE)*H139+VLOOKUP(C139,Deflatores!G$4:I$38,3,FALSE)))</f>
        <v>5</v>
      </c>
      <c r="M139" s="7"/>
      <c r="N139" s="7"/>
      <c r="O139" s="5"/>
    </row>
    <row r="140" spans="1:15" x14ac:dyDescent="0.25">
      <c r="A140" s="111" t="s">
        <v>300</v>
      </c>
      <c r="B140" s="4" t="s">
        <v>44</v>
      </c>
      <c r="C140" s="4" t="s">
        <v>48</v>
      </c>
      <c r="D140" s="6">
        <v>3</v>
      </c>
      <c r="E140" s="6">
        <v>1</v>
      </c>
      <c r="F140" s="109" t="str">
        <f t="shared" si="229"/>
        <v>Baixa</v>
      </c>
      <c r="G140" s="6" t="str">
        <f t="shared" si="230"/>
        <v>CEL</v>
      </c>
      <c r="H140" s="6">
        <f t="shared" si="231"/>
        <v>3</v>
      </c>
      <c r="I140" s="109" t="str">
        <f t="shared" si="232"/>
        <v>L</v>
      </c>
      <c r="J140" s="6" t="str">
        <f t="shared" si="233"/>
        <v>CEI</v>
      </c>
      <c r="K140" s="120">
        <f t="shared" si="234"/>
        <v>3</v>
      </c>
      <c r="L140" s="120">
        <f>IF(NOT(ISERROR(VLOOKUP(B140,Deflatores!G$42:H$64,2,FALSE))),VLOOKUP(B140,Deflatores!G$42:H$64,2,FALSE),IF(OR(ISBLANK(C140),ISBLANK(B140)),"",VLOOKUP(C140,Deflatores!G$4:H$38,2,FALSE)*H140+VLOOKUP(C140,Deflatores!G$4:I$38,3,FALSE)))</f>
        <v>3</v>
      </c>
      <c r="M140" s="7"/>
      <c r="N140" s="7"/>
      <c r="O140" s="5"/>
    </row>
    <row r="141" spans="1:15" x14ac:dyDescent="0.25">
      <c r="A141" s="111" t="s">
        <v>301</v>
      </c>
      <c r="B141" s="4" t="s">
        <v>44</v>
      </c>
      <c r="C141" s="4" t="s">
        <v>48</v>
      </c>
      <c r="D141" s="6">
        <v>4</v>
      </c>
      <c r="E141" s="6">
        <v>1</v>
      </c>
      <c r="F141" s="109" t="str">
        <f t="shared" si="229"/>
        <v>Baixa</v>
      </c>
      <c r="G141" s="6" t="str">
        <f t="shared" si="230"/>
        <v>CEL</v>
      </c>
      <c r="H141" s="6">
        <f t="shared" si="231"/>
        <v>3</v>
      </c>
      <c r="I141" s="109" t="str">
        <f t="shared" si="232"/>
        <v>L</v>
      </c>
      <c r="J141" s="6" t="str">
        <f t="shared" si="233"/>
        <v>CEI</v>
      </c>
      <c r="K141" s="120">
        <f t="shared" si="234"/>
        <v>3</v>
      </c>
      <c r="L141" s="120">
        <f>IF(NOT(ISERROR(VLOOKUP(B141,Deflatores!G$42:H$64,2,FALSE))),VLOOKUP(B141,Deflatores!G$42:H$64,2,FALSE),IF(OR(ISBLANK(C141),ISBLANK(B141)),"",VLOOKUP(C141,Deflatores!G$4:H$38,2,FALSE)*H141+VLOOKUP(C141,Deflatores!G$4:I$38,3,FALSE)))</f>
        <v>3</v>
      </c>
      <c r="M141" s="7"/>
      <c r="N141" s="7"/>
      <c r="O141" s="5"/>
    </row>
    <row r="142" spans="1:15" x14ac:dyDescent="0.25">
      <c r="A142" s="111" t="s">
        <v>302</v>
      </c>
      <c r="B142" s="4" t="s">
        <v>92</v>
      </c>
      <c r="C142" s="4" t="s">
        <v>48</v>
      </c>
      <c r="D142" s="6">
        <v>4</v>
      </c>
      <c r="E142" s="6">
        <v>1</v>
      </c>
      <c r="F142" s="109" t="str">
        <f t="shared" si="229"/>
        <v>Baixa</v>
      </c>
      <c r="G142" s="6" t="str">
        <f t="shared" si="230"/>
        <v>SEL</v>
      </c>
      <c r="H142" s="6">
        <f t="shared" si="231"/>
        <v>4</v>
      </c>
      <c r="I142" s="109" t="str">
        <f t="shared" si="232"/>
        <v>L</v>
      </c>
      <c r="J142" s="6" t="str">
        <f t="shared" si="233"/>
        <v>SEI</v>
      </c>
      <c r="K142" s="120">
        <f t="shared" si="234"/>
        <v>4</v>
      </c>
      <c r="L142" s="120">
        <f>IF(NOT(ISERROR(VLOOKUP(B142,Deflatores!G$42:H$64,2,FALSE))),VLOOKUP(B142,Deflatores!G$42:H$64,2,FALSE),IF(OR(ISBLANK(C142),ISBLANK(B142)),"",VLOOKUP(C142,Deflatores!G$4:H$38,2,FALSE)*H142+VLOOKUP(C142,Deflatores!G$4:I$38,3,FALSE)))</f>
        <v>4</v>
      </c>
      <c r="M142" s="7"/>
      <c r="N142" s="7"/>
      <c r="O142" s="5"/>
    </row>
    <row r="143" spans="1:15" x14ac:dyDescent="0.25">
      <c r="A143" s="111" t="s">
        <v>303</v>
      </c>
      <c r="B143" s="4" t="s">
        <v>47</v>
      </c>
      <c r="C143" s="4" t="s">
        <v>48</v>
      </c>
      <c r="D143" s="6">
        <v>3</v>
      </c>
      <c r="E143" s="6">
        <v>1</v>
      </c>
      <c r="F143" s="109" t="str">
        <f t="shared" si="229"/>
        <v>Baixa</v>
      </c>
      <c r="G143" s="6" t="str">
        <f t="shared" si="230"/>
        <v>EEL</v>
      </c>
      <c r="H143" s="6">
        <f t="shared" si="231"/>
        <v>3</v>
      </c>
      <c r="I143" s="109" t="str">
        <f t="shared" si="232"/>
        <v>L</v>
      </c>
      <c r="J143" s="6" t="str">
        <f t="shared" si="233"/>
        <v>EEI</v>
      </c>
      <c r="K143" s="120">
        <f t="shared" si="234"/>
        <v>3</v>
      </c>
      <c r="L143" s="120">
        <f>IF(NOT(ISERROR(VLOOKUP(B143,Deflatores!G$42:H$64,2,FALSE))),VLOOKUP(B143,Deflatores!G$42:H$64,2,FALSE),IF(OR(ISBLANK(C143),ISBLANK(B143)),"",VLOOKUP(C143,Deflatores!G$4:H$38,2,FALSE)*H143+VLOOKUP(C143,Deflatores!G$4:I$38,3,FALSE)))</f>
        <v>3</v>
      </c>
      <c r="M143" s="7"/>
      <c r="N143" s="7"/>
      <c r="O143" s="5"/>
    </row>
    <row r="144" spans="1:15" x14ac:dyDescent="0.25">
      <c r="A144" s="111" t="s">
        <v>304</v>
      </c>
      <c r="B144" s="4" t="s">
        <v>44</v>
      </c>
      <c r="C144" s="4" t="s">
        <v>48</v>
      </c>
      <c r="D144" s="6">
        <v>8</v>
      </c>
      <c r="E144" s="6">
        <v>4</v>
      </c>
      <c r="F144" s="109" t="str">
        <f t="shared" si="229"/>
        <v>Alta</v>
      </c>
      <c r="G144" s="6" t="str">
        <f t="shared" si="230"/>
        <v>CEH</v>
      </c>
      <c r="H144" s="6">
        <f t="shared" si="231"/>
        <v>6</v>
      </c>
      <c r="I144" s="109" t="str">
        <f t="shared" si="232"/>
        <v>H</v>
      </c>
      <c r="J144" s="6" t="str">
        <f t="shared" si="233"/>
        <v>CEI</v>
      </c>
      <c r="K144" s="120">
        <f t="shared" si="234"/>
        <v>6</v>
      </c>
      <c r="L144" s="120">
        <f>IF(NOT(ISERROR(VLOOKUP(B144,Deflatores!G$42:H$64,2,FALSE))),VLOOKUP(B144,Deflatores!G$42:H$64,2,FALSE),IF(OR(ISBLANK(C144),ISBLANK(B144)),"",VLOOKUP(C144,Deflatores!G$4:H$38,2,FALSE)*H144+VLOOKUP(C144,Deflatores!G$4:I$38,3,FALSE)))</f>
        <v>6</v>
      </c>
      <c r="M144" s="7"/>
      <c r="N144" s="7"/>
      <c r="O144" s="5"/>
    </row>
    <row r="145" spans="1:15" x14ac:dyDescent="0.25">
      <c r="A145" s="111" t="s">
        <v>305</v>
      </c>
      <c r="B145" s="4" t="s">
        <v>44</v>
      </c>
      <c r="C145" s="4" t="s">
        <v>48</v>
      </c>
      <c r="D145" s="6">
        <v>4</v>
      </c>
      <c r="E145" s="6">
        <v>1</v>
      </c>
      <c r="F145" s="109" t="str">
        <f t="shared" ref="F145:F146" si="259">IF(ISBLANK(B145),"",IF(I145="L","Baixa",IF(I145="A","Média",IF(I145="","","Alta"))))</f>
        <v>Baixa</v>
      </c>
      <c r="G145" s="6" t="str">
        <f t="shared" ref="G145:G146" si="260">CONCATENATE(B145,I145)</f>
        <v>CEL</v>
      </c>
      <c r="H145" s="6">
        <f t="shared" ref="H145:H146" si="261">IF(ISBLANK(B145),"",IF(B145="ALI",IF(I145="L",7,IF(I145="A",10,15)),IF(B145="AIE",IF(I145="L",5,IF(I145="A",7,10)),IF(B145="SE",IF(I145="L",4,IF(I145="A",5,7)),IF(OR(B145="EE",B145="CE"),IF(I145="L",3,IF(I145="A",4,6)),0)))))</f>
        <v>3</v>
      </c>
      <c r="I145" s="109" t="str">
        <f t="shared" ref="I145:I146" si="262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>L</v>
      </c>
      <c r="J145" s="6" t="str">
        <f t="shared" ref="J145:J146" si="263">CONCATENATE(B145,C145)</f>
        <v>CEI</v>
      </c>
      <c r="K145" s="120">
        <f t="shared" ref="K145:K146" si="264">IF(OR(H145="",H145=0),L145,H145)</f>
        <v>3</v>
      </c>
      <c r="L145" s="120">
        <f>IF(NOT(ISERROR(VLOOKUP(B145,Deflatores!G$42:H$64,2,FALSE))),VLOOKUP(B145,Deflatores!G$42:H$64,2,FALSE),IF(OR(ISBLANK(C145),ISBLANK(B145)),"",VLOOKUP(C145,Deflatores!G$4:H$38,2,FALSE)*H145+VLOOKUP(C145,Deflatores!G$4:I$38,3,FALSE)))</f>
        <v>3</v>
      </c>
      <c r="M145" s="7"/>
      <c r="N145" s="7"/>
      <c r="O145" s="5"/>
    </row>
    <row r="146" spans="1:15" x14ac:dyDescent="0.25">
      <c r="A146" s="111" t="s">
        <v>306</v>
      </c>
      <c r="B146" s="4" t="s">
        <v>47</v>
      </c>
      <c r="C146" s="4" t="s">
        <v>48</v>
      </c>
      <c r="D146" s="6">
        <v>3</v>
      </c>
      <c r="E146" s="6">
        <v>1</v>
      </c>
      <c r="F146" s="109" t="str">
        <f t="shared" si="259"/>
        <v>Baixa</v>
      </c>
      <c r="G146" s="6" t="str">
        <f t="shared" si="260"/>
        <v>EEL</v>
      </c>
      <c r="H146" s="6">
        <f t="shared" si="261"/>
        <v>3</v>
      </c>
      <c r="I146" s="109" t="str">
        <f t="shared" si="262"/>
        <v>L</v>
      </c>
      <c r="J146" s="6" t="str">
        <f t="shared" si="263"/>
        <v>EEI</v>
      </c>
      <c r="K146" s="120">
        <f t="shared" si="264"/>
        <v>3</v>
      </c>
      <c r="L146" s="120">
        <f>IF(NOT(ISERROR(VLOOKUP(B146,Deflatores!G$42:H$64,2,FALSE))),VLOOKUP(B146,Deflatores!G$42:H$64,2,FALSE),IF(OR(ISBLANK(C146),ISBLANK(B146)),"",VLOOKUP(C146,Deflatores!G$4:H$38,2,FALSE)*H146+VLOOKUP(C146,Deflatores!G$4:I$38,3,FALSE)))</f>
        <v>3</v>
      </c>
      <c r="M146" s="7"/>
      <c r="N146" s="7"/>
      <c r="O146" s="5"/>
    </row>
    <row r="147" spans="1:15" x14ac:dyDescent="0.25">
      <c r="A147" s="111" t="s">
        <v>298</v>
      </c>
      <c r="B147" s="4" t="s">
        <v>44</v>
      </c>
      <c r="C147" s="4" t="s">
        <v>48</v>
      </c>
      <c r="D147" s="6">
        <v>6</v>
      </c>
      <c r="E147" s="6">
        <v>1</v>
      </c>
      <c r="F147" s="109" t="str">
        <f t="shared" ref="F147" si="265">IF(ISBLANK(B147),"",IF(I147="L","Baixa",IF(I147="A","Média",IF(I147="","","Alta"))))</f>
        <v>Baixa</v>
      </c>
      <c r="G147" s="6" t="str">
        <f t="shared" ref="G147" si="266">CONCATENATE(B147,I147)</f>
        <v>CEL</v>
      </c>
      <c r="H147" s="6">
        <f t="shared" ref="H147" si="267">IF(ISBLANK(B147),"",IF(B147="ALI",IF(I147="L",7,IF(I147="A",10,15)),IF(B147="AIE",IF(I147="L",5,IF(I147="A",7,10)),IF(B147="SE",IF(I147="L",4,IF(I147="A",5,7)),IF(OR(B147="EE",B147="CE"),IF(I147="L",3,IF(I147="A",4,6)),0)))))</f>
        <v>3</v>
      </c>
      <c r="I147" s="109" t="str">
        <f t="shared" ref="I147" si="268">IF(OR(ISBLANK(D147),ISBLANK(E147)),IF(OR(B147="ALI",B147="AIE"),"L",IF(OR(B147="EE",B147="SE",B147="CE"),"A","")),IF(B147="EE",IF(E147&gt;=3,IF(D147&gt;=5,"H","A"),IF(E147&gt;=2,IF(D147&gt;=16,"H",IF(D147&lt;=4,"L","A")),IF(D147&lt;=15,"L","A"))),IF(OR(B147="SE",B147="CE"),IF(E147&gt;=4,IF(D147&gt;=6,"H","A"),IF(E147&gt;=2,IF(D147&gt;=20,"H",IF(D147&lt;=5,"L","A")),IF(D147&lt;=19,"L","A"))),IF(OR(B147="ALI",B147="AIE"),IF(E147&gt;=6,IF(D147&gt;=20,"H","A"),IF(E147&gt;=2,IF(D147&gt;=51,"H",IF(D147&lt;=19,"L","A")),IF(D147&lt;=50,"L","A"))),""))))</f>
        <v>L</v>
      </c>
      <c r="J147" s="6" t="str">
        <f t="shared" ref="J147" si="269">CONCATENATE(B147,C147)</f>
        <v>CEI</v>
      </c>
      <c r="K147" s="120">
        <f t="shared" ref="K147" si="270">IF(OR(H147="",H147=0),L147,H147)</f>
        <v>3</v>
      </c>
      <c r="L147" s="120">
        <f>IF(NOT(ISERROR(VLOOKUP(B147,Deflatores!G$42:H$64,2,FALSE))),VLOOKUP(B147,Deflatores!G$42:H$64,2,FALSE),IF(OR(ISBLANK(C147),ISBLANK(B147)),"",VLOOKUP(C147,Deflatores!G$4:H$38,2,FALSE)*H147+VLOOKUP(C147,Deflatores!G$4:I$38,3,FALSE)))</f>
        <v>3</v>
      </c>
      <c r="M147" s="7"/>
      <c r="N147" s="7"/>
      <c r="O147" s="5"/>
    </row>
    <row r="148" spans="1:15" x14ac:dyDescent="0.25">
      <c r="A148" s="111" t="s">
        <v>307</v>
      </c>
      <c r="B148" s="4" t="s">
        <v>44</v>
      </c>
      <c r="C148" s="4" t="s">
        <v>48</v>
      </c>
      <c r="D148" s="6">
        <v>4</v>
      </c>
      <c r="E148" s="6">
        <v>2</v>
      </c>
      <c r="F148" s="109" t="str">
        <f>IF(ISBLANK(B148),"",IF(I148="L","Baixa",IF(I148="A","Média",IF(I148="","","Alta"))))</f>
        <v>Baixa</v>
      </c>
      <c r="G148" s="6" t="str">
        <f>CONCATENATE(B148,I148)</f>
        <v>CEL</v>
      </c>
      <c r="H148" s="6">
        <f>IF(ISBLANK(B148),"",IF(B148="ALI",IF(I148="L",7,IF(I148="A",10,15)),IF(B148="AIE",IF(I148="L",5,IF(I148="A",7,10)),IF(B148="SE",IF(I148="L",4,IF(I148="A",5,7)),IF(OR(B148="EE",B148="CE"),IF(I148="L",3,IF(I148="A",4,6)),0)))))</f>
        <v>3</v>
      </c>
      <c r="I148" s="109" t="str">
        <f>IF(OR(ISBLANK(D148),ISBLANK(E148)),IF(OR(B148="ALI",B148="AIE"),"L",IF(OR(B148="EE",B148="SE",B148="CE"),"A","")),IF(B148="EE",IF(E148&gt;=3,IF(D148&gt;=5,"H","A"),IF(E148&gt;=2,IF(D148&gt;=16,"H",IF(D148&lt;=4,"L","A")),IF(D148&lt;=15,"L","A"))),IF(OR(B148="SE",B148="CE"),IF(E148&gt;=4,IF(D148&gt;=6,"H","A"),IF(E148&gt;=2,IF(D148&gt;=20,"H",IF(D148&lt;=5,"L","A")),IF(D148&lt;=19,"L","A"))),IF(OR(B148="ALI",B148="AIE"),IF(E148&gt;=6,IF(D148&gt;=20,"H","A"),IF(E148&gt;=2,IF(D148&gt;=51,"H",IF(D148&lt;=19,"L","A")),IF(D148&lt;=50,"L","A"))),""))))</f>
        <v>L</v>
      </c>
      <c r="J148" s="6" t="str">
        <f>CONCATENATE(B148,C148)</f>
        <v>CEI</v>
      </c>
      <c r="K148" s="120">
        <f>IF(OR(H148="",H148=0),L148,H148)</f>
        <v>3</v>
      </c>
      <c r="L148" s="120">
        <f>IF(NOT(ISERROR(VLOOKUP(B148,Deflatores!G$42:H$64,2,FALSE))),VLOOKUP(B148,Deflatores!G$42:H$64,2,FALSE),IF(OR(ISBLANK(C148),ISBLANK(B148)),"",VLOOKUP(C148,Deflatores!G$4:H$38,2,FALSE)*H148+VLOOKUP(C148,Deflatores!G$4:I$38,3,FALSE)))</f>
        <v>3</v>
      </c>
      <c r="M148" s="7"/>
      <c r="N148" s="7"/>
      <c r="O148" s="5"/>
    </row>
    <row r="149" spans="1:15" x14ac:dyDescent="0.25">
      <c r="A149" s="111" t="s">
        <v>308</v>
      </c>
      <c r="B149" s="4" t="s">
        <v>44</v>
      </c>
      <c r="C149" s="4" t="s">
        <v>48</v>
      </c>
      <c r="D149" s="6">
        <v>4</v>
      </c>
      <c r="E149" s="6">
        <v>2</v>
      </c>
      <c r="F149" s="109" t="str">
        <f>IF(ISBLANK(B149),"",IF(I149="L","Baixa",IF(I149="A","Média",IF(I149="","","Alta"))))</f>
        <v>Baixa</v>
      </c>
      <c r="G149" s="6" t="str">
        <f>CONCATENATE(B149,I149)</f>
        <v>CEL</v>
      </c>
      <c r="H149" s="6">
        <f>IF(ISBLANK(B149),"",IF(B149="ALI",IF(I149="L",7,IF(I149="A",10,15)),IF(B149="AIE",IF(I149="L",5,IF(I149="A",7,10)),IF(B149="SE",IF(I149="L",4,IF(I149="A",5,7)),IF(OR(B149="EE",B149="CE"),IF(I149="L",3,IF(I149="A",4,6)),0)))))</f>
        <v>3</v>
      </c>
      <c r="I149" s="109" t="str">
        <f>IF(OR(ISBLANK(D149),ISBLANK(E149)),IF(OR(B149="ALI",B149="AIE"),"L",IF(OR(B149="EE",B149="SE",B149="CE"),"A","")),IF(B149="EE",IF(E149&gt;=3,IF(D149&gt;=5,"H","A"),IF(E149&gt;=2,IF(D149&gt;=16,"H",IF(D149&lt;=4,"L","A")),IF(D149&lt;=15,"L","A"))),IF(OR(B149="SE",B149="CE"),IF(E149&gt;=4,IF(D149&gt;=6,"H","A"),IF(E149&gt;=2,IF(D149&gt;=20,"H",IF(D149&lt;=5,"L","A")),IF(D149&lt;=19,"L","A"))),IF(OR(B149="ALI",B149="AIE"),IF(E149&gt;=6,IF(D149&gt;=20,"H","A"),IF(E149&gt;=2,IF(D149&gt;=51,"H",IF(D149&lt;=19,"L","A")),IF(D149&lt;=50,"L","A"))),""))))</f>
        <v>L</v>
      </c>
      <c r="J149" s="6" t="str">
        <f>CONCATENATE(B149,C149)</f>
        <v>CEI</v>
      </c>
      <c r="K149" s="120">
        <f>IF(OR(H149="",H149=0),L149,H149)</f>
        <v>3</v>
      </c>
      <c r="L149" s="120">
        <f>IF(NOT(ISERROR(VLOOKUP(B149,Deflatores!G$42:H$64,2,FALSE))),VLOOKUP(B149,Deflatores!G$42:H$64,2,FALSE),IF(OR(ISBLANK(C149),ISBLANK(B149)),"",VLOOKUP(C149,Deflatores!G$4:H$38,2,FALSE)*H149+VLOOKUP(C149,Deflatores!G$4:I$38,3,FALSE)))</f>
        <v>3</v>
      </c>
      <c r="M149" s="7"/>
      <c r="N149" s="7"/>
      <c r="O149" s="5"/>
    </row>
    <row r="150" spans="1:15" x14ac:dyDescent="0.25">
      <c r="A150" s="113"/>
      <c r="B150" s="4"/>
      <c r="C150" s="4"/>
      <c r="D150" s="6"/>
      <c r="E150" s="6"/>
      <c r="F150" s="109" t="str">
        <f t="shared" si="211"/>
        <v/>
      </c>
      <c r="G150" s="6" t="str">
        <f t="shared" si="212"/>
        <v/>
      </c>
      <c r="H150" s="6" t="str">
        <f t="shared" si="213"/>
        <v/>
      </c>
      <c r="I150" s="109" t="str">
        <f t="shared" si="214"/>
        <v/>
      </c>
      <c r="J150" s="6" t="str">
        <f t="shared" si="215"/>
        <v/>
      </c>
      <c r="K150" s="120" t="str">
        <f t="shared" si="216"/>
        <v/>
      </c>
      <c r="L150" s="120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7"/>
      <c r="N150" s="7"/>
      <c r="O150" s="5"/>
    </row>
    <row r="151" spans="1:15" x14ac:dyDescent="0.25">
      <c r="A151" s="113" t="s">
        <v>309</v>
      </c>
      <c r="B151" s="4"/>
      <c r="C151" s="4"/>
      <c r="D151" s="6"/>
      <c r="E151" s="6"/>
      <c r="F151" s="109" t="str">
        <f>IF(ISBLANK(B151),"",IF(I151="L","Baixa",IF(I151="A","Média",IF(I151="","","Alta"))))</f>
        <v/>
      </c>
      <c r="G151" s="6" t="str">
        <f>CONCATENATE(B151,I151)</f>
        <v/>
      </c>
      <c r="H151" s="6" t="str">
        <f>IF(ISBLANK(B151),"",IF(B151="ALI",IF(I151="L",7,IF(I151="A",10,15)),IF(B151="AIE",IF(I151="L",5,IF(I151="A",7,10)),IF(B151="SE",IF(I151="L",4,IF(I151="A",5,7)),IF(OR(B151="EE",B151="CE"),IF(I151="L",3,IF(I151="A",4,6)),0)))))</f>
        <v/>
      </c>
      <c r="I151" s="109" t="str">
        <f>IF(OR(ISBLANK(D151),ISBLANK(E151)),IF(OR(B151="ALI",B151="AIE"),"L",IF(OR(B151="EE",B151="SE",B151="CE"),"A","")),IF(B151="EE",IF(E151&gt;=3,IF(D151&gt;=5,"H","A"),IF(E151&gt;=2,IF(D151&gt;=16,"H",IF(D151&lt;=4,"L","A")),IF(D151&lt;=15,"L","A"))),IF(OR(B151="SE",B151="CE"),IF(E151&gt;=4,IF(D151&gt;=6,"H","A"),IF(E151&gt;=2,IF(D151&gt;=20,"H",IF(D151&lt;=5,"L","A")),IF(D151&lt;=19,"L","A"))),IF(OR(B151="ALI",B151="AIE"),IF(E151&gt;=6,IF(D151&gt;=20,"H","A"),IF(E151&gt;=2,IF(D151&gt;=51,"H",IF(D151&lt;=19,"L","A")),IF(D151&lt;=50,"L","A"))),""))))</f>
        <v/>
      </c>
      <c r="J151" s="6" t="str">
        <f>CONCATENATE(B151,C151)</f>
        <v/>
      </c>
      <c r="K151" s="120" t="str">
        <f>IF(OR(H151="",H151=0),L151,H151)</f>
        <v/>
      </c>
      <c r="L151" s="120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7"/>
      <c r="N151" s="7"/>
      <c r="O151" s="5"/>
    </row>
    <row r="152" spans="1:15" x14ac:dyDescent="0.25">
      <c r="A152" s="111" t="s">
        <v>310</v>
      </c>
      <c r="B152" s="4" t="s">
        <v>92</v>
      </c>
      <c r="C152" s="4" t="s">
        <v>48</v>
      </c>
      <c r="D152" s="6">
        <v>16</v>
      </c>
      <c r="E152" s="6">
        <v>4</v>
      </c>
      <c r="F152" s="109" t="str">
        <f>IF(ISBLANK(B152),"",IF(I152="L","Baixa",IF(I152="A","Média",IF(I152="","","Alta"))))</f>
        <v>Alta</v>
      </c>
      <c r="G152" s="6" t="str">
        <f>CONCATENATE(B152,I152)</f>
        <v>SEH</v>
      </c>
      <c r="H152" s="6">
        <f>IF(ISBLANK(B152),"",IF(B152="ALI",IF(I152="L",7,IF(I152="A",10,15)),IF(B152="AIE",IF(I152="L",5,IF(I152="A",7,10)),IF(B152="SE",IF(I152="L",4,IF(I152="A",5,7)),IF(OR(B152="EE",B152="CE"),IF(I152="L",3,IF(I152="A",4,6)),0)))))</f>
        <v>7</v>
      </c>
      <c r="I152" s="109" t="str">
        <f>IF(OR(ISBLANK(D152),ISBLANK(E152)),IF(OR(B152="ALI",B152="AIE"),"L",IF(OR(B152="EE",B152="SE",B152="CE"),"A","")),IF(B152="EE",IF(E152&gt;=3,IF(D152&gt;=5,"H","A"),IF(E152&gt;=2,IF(D152&gt;=16,"H",IF(D152&lt;=4,"L","A")),IF(D152&lt;=15,"L","A"))),IF(OR(B152="SE",B152="CE"),IF(E152&gt;=4,IF(D152&gt;=6,"H","A"),IF(E152&gt;=2,IF(D152&gt;=20,"H",IF(D152&lt;=5,"L","A")),IF(D152&lt;=19,"L","A"))),IF(OR(B152="ALI",B152="AIE"),IF(E152&gt;=6,IF(D152&gt;=20,"H","A"),IF(E152&gt;=2,IF(D152&gt;=51,"H",IF(D152&lt;=19,"L","A")),IF(D152&lt;=50,"L","A"))),""))))</f>
        <v>H</v>
      </c>
      <c r="J152" s="6" t="str">
        <f>CONCATENATE(B152,C152)</f>
        <v>SEI</v>
      </c>
      <c r="K152" s="120">
        <f>IF(OR(H152="",H152=0),L152,H152)</f>
        <v>7</v>
      </c>
      <c r="L152" s="120">
        <f>IF(NOT(ISERROR(VLOOKUP(B152,Deflatores!G$42:H$64,2,FALSE))),VLOOKUP(B152,Deflatores!G$42:H$64,2,FALSE),IF(OR(ISBLANK(C152),ISBLANK(B152)),"",VLOOKUP(C152,Deflatores!G$4:H$38,2,FALSE)*H152+VLOOKUP(C152,Deflatores!G$4:I$38,3,FALSE)))</f>
        <v>7</v>
      </c>
      <c r="M152" s="7"/>
      <c r="N152" s="7"/>
      <c r="O152" s="5"/>
    </row>
    <row r="153" spans="1:15" x14ac:dyDescent="0.25">
      <c r="A153" s="111" t="s">
        <v>317</v>
      </c>
      <c r="B153" s="4" t="s">
        <v>44</v>
      </c>
      <c r="C153" s="4" t="s">
        <v>48</v>
      </c>
      <c r="D153" s="6">
        <v>11</v>
      </c>
      <c r="E153" s="6">
        <v>4</v>
      </c>
      <c r="F153" s="109" t="str">
        <f t="shared" ref="F153" si="271">IF(ISBLANK(B153),"",IF(I153="L","Baixa",IF(I153="A","Média",IF(I153="","","Alta"))))</f>
        <v>Alta</v>
      </c>
      <c r="G153" s="6" t="str">
        <f t="shared" ref="G153" si="272">CONCATENATE(B153,I153)</f>
        <v>CEH</v>
      </c>
      <c r="H153" s="6">
        <f t="shared" ref="H153" si="273">IF(ISBLANK(B153),"",IF(B153="ALI",IF(I153="L",7,IF(I153="A",10,15)),IF(B153="AIE",IF(I153="L",5,IF(I153="A",7,10)),IF(B153="SE",IF(I153="L",4,IF(I153="A",5,7)),IF(OR(B153="EE",B153="CE"),IF(I153="L",3,IF(I153="A",4,6)),0)))))</f>
        <v>6</v>
      </c>
      <c r="I153" s="109" t="str">
        <f t="shared" ref="I153" si="274">IF(OR(ISBLANK(D153),ISBLANK(E153)),IF(OR(B153="ALI",B153="AIE"),"L",IF(OR(B153="EE",B153="SE",B153="CE"),"A","")),IF(B153="EE",IF(E153&gt;=3,IF(D153&gt;=5,"H","A"),IF(E153&gt;=2,IF(D153&gt;=16,"H",IF(D153&lt;=4,"L","A")),IF(D153&lt;=15,"L","A"))),IF(OR(B153="SE",B153="CE"),IF(E153&gt;=4,IF(D153&gt;=6,"H","A"),IF(E153&gt;=2,IF(D153&gt;=20,"H",IF(D153&lt;=5,"L","A")),IF(D153&lt;=19,"L","A"))),IF(OR(B153="ALI",B153="AIE"),IF(E153&gt;=6,IF(D153&gt;=20,"H","A"),IF(E153&gt;=2,IF(D153&gt;=51,"H",IF(D153&lt;=19,"L","A")),IF(D153&lt;=50,"L","A"))),""))))</f>
        <v>H</v>
      </c>
      <c r="J153" s="6" t="str">
        <f t="shared" ref="J153" si="275">CONCATENATE(B153,C153)</f>
        <v>CEI</v>
      </c>
      <c r="K153" s="120">
        <f t="shared" ref="K153" si="276">IF(OR(H153="",H153=0),L153,H153)</f>
        <v>6</v>
      </c>
      <c r="L153" s="120">
        <f>IF(NOT(ISERROR(VLOOKUP(B153,Deflatores!G$42:H$64,2,FALSE))),VLOOKUP(B153,Deflatores!G$42:H$64,2,FALSE),IF(OR(ISBLANK(C153),ISBLANK(B153)),"",VLOOKUP(C153,Deflatores!G$4:H$38,2,FALSE)*H153+VLOOKUP(C153,Deflatores!G$4:I$38,3,FALSE)))</f>
        <v>6</v>
      </c>
      <c r="M153" s="7"/>
      <c r="N153" s="7"/>
      <c r="O153" s="5"/>
    </row>
    <row r="154" spans="1:15" x14ac:dyDescent="0.25">
      <c r="A154" s="113"/>
      <c r="B154" s="4"/>
      <c r="C154" s="4"/>
      <c r="D154" s="6"/>
      <c r="E154" s="6"/>
      <c r="F154" s="109" t="str">
        <f>IF(ISBLANK(B154),"",IF(I154="L","Baixa",IF(I154="A","Média",IF(I154="","","Alta"))))</f>
        <v/>
      </c>
      <c r="G154" s="6" t="str">
        <f>CONCATENATE(B154,I154)</f>
        <v/>
      </c>
      <c r="H154" s="6" t="str">
        <f>IF(ISBLANK(B154),"",IF(B154="ALI",IF(I154="L",7,IF(I154="A",10,15)),IF(B154="AIE",IF(I154="L",5,IF(I154="A",7,10)),IF(B154="SE",IF(I154="L",4,IF(I154="A",5,7)),IF(OR(B154="EE",B154="CE"),IF(I154="L",3,IF(I154="A",4,6)),0)))))</f>
        <v/>
      </c>
      <c r="I154" s="109" t="str">
        <f>IF(OR(ISBLANK(D154),ISBLANK(E154)),IF(OR(B154="ALI",B154="AIE"),"L",IF(OR(B154="EE",B154="SE",B154="CE"),"A","")),IF(B154="EE",IF(E154&gt;=3,IF(D154&gt;=5,"H","A"),IF(E154&gt;=2,IF(D154&gt;=16,"H",IF(D154&lt;=4,"L","A")),IF(D154&lt;=15,"L","A"))),IF(OR(B154="SE",B154="CE"),IF(E154&gt;=4,IF(D154&gt;=6,"H","A"),IF(E154&gt;=2,IF(D154&gt;=20,"H",IF(D154&lt;=5,"L","A")),IF(D154&lt;=19,"L","A"))),IF(OR(B154="ALI",B154="AIE"),IF(E154&gt;=6,IF(D154&gt;=20,"H","A"),IF(E154&gt;=2,IF(D154&gt;=51,"H",IF(D154&lt;=19,"L","A")),IF(D154&lt;=50,"L","A"))),""))))</f>
        <v/>
      </c>
      <c r="J154" s="6" t="str">
        <f>CONCATENATE(B154,C154)</f>
        <v/>
      </c>
      <c r="K154" s="120" t="str">
        <f>IF(OR(H154="",H154=0),L154,H154)</f>
        <v/>
      </c>
      <c r="L154" s="120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7"/>
      <c r="N154" s="7"/>
      <c r="O154" s="5"/>
    </row>
    <row r="155" spans="1:15" x14ac:dyDescent="0.25">
      <c r="A155" s="113" t="s">
        <v>311</v>
      </c>
      <c r="B155" s="4"/>
      <c r="C155" s="4"/>
      <c r="D155" s="6"/>
      <c r="E155" s="6"/>
      <c r="F155" s="109" t="str">
        <f>IF(ISBLANK(B155),"",IF(I155="L","Baixa",IF(I155="A","Média",IF(I155="","","Alta"))))</f>
        <v/>
      </c>
      <c r="G155" s="6" t="str">
        <f>CONCATENATE(B155,I155)</f>
        <v/>
      </c>
      <c r="H155" s="6" t="str">
        <f>IF(ISBLANK(B155),"",IF(B155="ALI",IF(I155="L",7,IF(I155="A",10,15)),IF(B155="AIE",IF(I155="L",5,IF(I155="A",7,10)),IF(B155="SE",IF(I155="L",4,IF(I155="A",5,7)),IF(OR(B155="EE",B155="CE"),IF(I155="L",3,IF(I155="A",4,6)),0)))))</f>
        <v/>
      </c>
      <c r="I155" s="109" t="str">
        <f>IF(OR(ISBLANK(D155),ISBLANK(E155)),IF(OR(B155="ALI",B155="AIE"),"L",IF(OR(B155="EE",B155="SE",B155="CE"),"A","")),IF(B155="EE",IF(E155&gt;=3,IF(D155&gt;=5,"H","A"),IF(E155&gt;=2,IF(D155&gt;=16,"H",IF(D155&lt;=4,"L","A")),IF(D155&lt;=15,"L","A"))),IF(OR(B155="SE",B155="CE"),IF(E155&gt;=4,IF(D155&gt;=6,"H","A"),IF(E155&gt;=2,IF(D155&gt;=20,"H",IF(D155&lt;=5,"L","A")),IF(D155&lt;=19,"L","A"))),IF(OR(B155="ALI",B155="AIE"),IF(E155&gt;=6,IF(D155&gt;=20,"H","A"),IF(E155&gt;=2,IF(D155&gt;=51,"H",IF(D155&lt;=19,"L","A")),IF(D155&lt;=50,"L","A"))),""))))</f>
        <v/>
      </c>
      <c r="J155" s="6" t="str">
        <f>CONCATENATE(B155,C155)</f>
        <v/>
      </c>
      <c r="K155" s="120" t="str">
        <f>IF(OR(H155="",H155=0),L155,H155)</f>
        <v/>
      </c>
      <c r="L155" s="120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7"/>
      <c r="N155" s="7"/>
      <c r="O155" s="5"/>
    </row>
    <row r="156" spans="1:15" x14ac:dyDescent="0.25">
      <c r="A156" s="111" t="s">
        <v>126</v>
      </c>
      <c r="B156" s="4" t="s">
        <v>47</v>
      </c>
      <c r="C156" s="4" t="s">
        <v>48</v>
      </c>
      <c r="D156" s="6">
        <v>13</v>
      </c>
      <c r="E156" s="6">
        <v>1</v>
      </c>
      <c r="F156" s="109" t="str">
        <f t="shared" ref="F156" si="277">IF(ISBLANK(B156),"",IF(I156="L","Baixa",IF(I156="A","Média",IF(I156="","","Alta"))))</f>
        <v>Baixa</v>
      </c>
      <c r="G156" s="6" t="str">
        <f t="shared" ref="G156" si="278">CONCATENATE(B156,I156)</f>
        <v>EEL</v>
      </c>
      <c r="H156" s="6">
        <f t="shared" ref="H156" si="279">IF(ISBLANK(B156),"",IF(B156="ALI",IF(I156="L",7,IF(I156="A",10,15)),IF(B156="AIE",IF(I156="L",5,IF(I156="A",7,10)),IF(B156="SE",IF(I156="L",4,IF(I156="A",5,7)),IF(OR(B156="EE",B156="CE"),IF(I156="L",3,IF(I156="A",4,6)),0)))))</f>
        <v>3</v>
      </c>
      <c r="I156" s="109" t="str">
        <f t="shared" ref="I156" si="280">IF(OR(ISBLANK(D156),ISBLANK(E156)),IF(OR(B156="ALI",B156="AIE"),"L",IF(OR(B156="EE",B156="SE",B156="CE"),"A","")),IF(B156="EE",IF(E156&gt;=3,IF(D156&gt;=5,"H","A"),IF(E156&gt;=2,IF(D156&gt;=16,"H",IF(D156&lt;=4,"L","A")),IF(D156&lt;=15,"L","A"))),IF(OR(B156="SE",B156="CE"),IF(E156&gt;=4,IF(D156&gt;=6,"H","A"),IF(E156&gt;=2,IF(D156&gt;=20,"H",IF(D156&lt;=5,"L","A")),IF(D156&lt;=19,"L","A"))),IF(OR(B156="ALI",B156="AIE"),IF(E156&gt;=6,IF(D156&gt;=20,"H","A"),IF(E156&gt;=2,IF(D156&gt;=51,"H",IF(D156&lt;=19,"L","A")),IF(D156&lt;=50,"L","A"))),""))))</f>
        <v>L</v>
      </c>
      <c r="J156" s="6" t="str">
        <f t="shared" ref="J156" si="281">CONCATENATE(B156,C156)</f>
        <v>EEI</v>
      </c>
      <c r="K156" s="120">
        <f t="shared" ref="K156" si="282">IF(OR(H156="",H156=0),L156,H156)</f>
        <v>3</v>
      </c>
      <c r="L156" s="120">
        <f>IF(NOT(ISERROR(VLOOKUP(B156,Deflatores!G$42:H$64,2,FALSE))),VLOOKUP(B156,Deflatores!G$42:H$64,2,FALSE),IF(OR(ISBLANK(C156),ISBLANK(B156)),"",VLOOKUP(C156,Deflatores!G$4:H$38,2,FALSE)*H156+VLOOKUP(C156,Deflatores!G$4:I$38,3,FALSE)))</f>
        <v>3</v>
      </c>
      <c r="M156" s="7"/>
      <c r="N156" s="7"/>
      <c r="O156" s="5"/>
    </row>
    <row r="157" spans="1:15" x14ac:dyDescent="0.25">
      <c r="A157" s="111" t="s">
        <v>318</v>
      </c>
      <c r="B157" s="4" t="s">
        <v>44</v>
      </c>
      <c r="C157" s="4" t="s">
        <v>48</v>
      </c>
      <c r="D157" s="6">
        <v>14</v>
      </c>
      <c r="E157" s="6">
        <v>3</v>
      </c>
      <c r="F157" s="109" t="str">
        <f>IF(ISBLANK(B157),"",IF(I157="L","Baixa",IF(I157="A","Média",IF(I157="","","Alta"))))</f>
        <v>Média</v>
      </c>
      <c r="G157" s="6" t="str">
        <f>CONCATENATE(B157,I157)</f>
        <v>CEA</v>
      </c>
      <c r="H157" s="6">
        <f>IF(ISBLANK(B157),"",IF(B157="ALI",IF(I157="L",7,IF(I157="A",10,15)),IF(B157="AIE",IF(I157="L",5,IF(I157="A",7,10)),IF(B157="SE",IF(I157="L",4,IF(I157="A",5,7)),IF(OR(B157="EE",B157="CE"),IF(I157="L",3,IF(I157="A",4,6)),0)))))</f>
        <v>4</v>
      </c>
      <c r="I157" s="109" t="str">
        <f>IF(OR(ISBLANK(D157),ISBLANK(E157)),IF(OR(B157="ALI",B157="AIE"),"L",IF(OR(B157="EE",B157="SE",B157="CE"),"A","")),IF(B157="EE",IF(E157&gt;=3,IF(D157&gt;=5,"H","A"),IF(E157&gt;=2,IF(D157&gt;=16,"H",IF(D157&lt;=4,"L","A")),IF(D157&lt;=15,"L","A"))),IF(OR(B157="SE",B157="CE"),IF(E157&gt;=4,IF(D157&gt;=6,"H","A"),IF(E157&gt;=2,IF(D157&gt;=20,"H",IF(D157&lt;=5,"L","A")),IF(D157&lt;=19,"L","A"))),IF(OR(B157="ALI",B157="AIE"),IF(E157&gt;=6,IF(D157&gt;=20,"H","A"),IF(E157&gt;=2,IF(D157&gt;=51,"H",IF(D157&lt;=19,"L","A")),IF(D157&lt;=50,"L","A"))),""))))</f>
        <v>A</v>
      </c>
      <c r="J157" s="6" t="str">
        <f>CONCATENATE(B157,C157)</f>
        <v>CEI</v>
      </c>
      <c r="K157" s="120">
        <f>IF(OR(H157="",H157=0),L157,H157)</f>
        <v>4</v>
      </c>
      <c r="L157" s="120">
        <f>IF(NOT(ISERROR(VLOOKUP(B157,Deflatores!G$42:H$64,2,FALSE))),VLOOKUP(B157,Deflatores!G$42:H$64,2,FALSE),IF(OR(ISBLANK(C157),ISBLANK(B157)),"",VLOOKUP(C157,Deflatores!G$4:H$38,2,FALSE)*H157+VLOOKUP(C157,Deflatores!G$4:I$38,3,FALSE)))</f>
        <v>4</v>
      </c>
      <c r="M157" s="7"/>
      <c r="N157" s="7"/>
      <c r="O157" s="129"/>
    </row>
    <row r="158" spans="1:15" x14ac:dyDescent="0.25">
      <c r="A158" s="111" t="s">
        <v>319</v>
      </c>
      <c r="B158" s="4" t="s">
        <v>44</v>
      </c>
      <c r="C158" s="4" t="s">
        <v>48</v>
      </c>
      <c r="D158" s="6">
        <v>17</v>
      </c>
      <c r="E158" s="6">
        <v>3</v>
      </c>
      <c r="F158" s="109" t="str">
        <f t="shared" si="211"/>
        <v>Média</v>
      </c>
      <c r="G158" s="6" t="str">
        <f t="shared" si="212"/>
        <v>CEA</v>
      </c>
      <c r="H158" s="6">
        <f t="shared" si="213"/>
        <v>4</v>
      </c>
      <c r="I158" s="109" t="str">
        <f t="shared" si="214"/>
        <v>A</v>
      </c>
      <c r="J158" s="6" t="str">
        <f t="shared" si="215"/>
        <v>CEI</v>
      </c>
      <c r="K158" s="120">
        <f t="shared" si="216"/>
        <v>4</v>
      </c>
      <c r="L158" s="120">
        <f>IF(NOT(ISERROR(VLOOKUP(B158,Deflatores!G$42:H$64,2,FALSE))),VLOOKUP(B158,Deflatores!G$42:H$64,2,FALSE),IF(OR(ISBLANK(C158),ISBLANK(B158)),"",VLOOKUP(C158,Deflatores!G$4:H$38,2,FALSE)*H158+VLOOKUP(C158,Deflatores!G$4:I$38,3,FALSE)))</f>
        <v>4</v>
      </c>
      <c r="M158" s="7"/>
      <c r="N158" s="7"/>
      <c r="O158" s="129"/>
    </row>
    <row r="159" spans="1:15" x14ac:dyDescent="0.25">
      <c r="A159" s="111" t="s">
        <v>312</v>
      </c>
      <c r="B159" s="4" t="s">
        <v>92</v>
      </c>
      <c r="C159" s="4" t="s">
        <v>48</v>
      </c>
      <c r="D159" s="6">
        <v>16</v>
      </c>
      <c r="E159" s="6">
        <v>6</v>
      </c>
      <c r="F159" s="109" t="str">
        <f t="shared" si="211"/>
        <v>Alta</v>
      </c>
      <c r="G159" s="6" t="str">
        <f t="shared" si="212"/>
        <v>SEH</v>
      </c>
      <c r="H159" s="6">
        <f t="shared" si="213"/>
        <v>7</v>
      </c>
      <c r="I159" s="109" t="str">
        <f t="shared" si="214"/>
        <v>H</v>
      </c>
      <c r="J159" s="6" t="str">
        <f t="shared" si="215"/>
        <v>SEI</v>
      </c>
      <c r="K159" s="120">
        <f t="shared" si="216"/>
        <v>7</v>
      </c>
      <c r="L159" s="120">
        <f>IF(NOT(ISERROR(VLOOKUP(B159,Deflatores!G$42:H$64,2,FALSE))),VLOOKUP(B159,Deflatores!G$42:H$64,2,FALSE),IF(OR(ISBLANK(C159),ISBLANK(B159)),"",VLOOKUP(C159,Deflatores!G$4:H$38,2,FALSE)*H159+VLOOKUP(C159,Deflatores!G$4:I$38,3,FALSE)))</f>
        <v>7</v>
      </c>
      <c r="M159" s="7"/>
      <c r="N159" s="7"/>
      <c r="O159" s="5"/>
    </row>
    <row r="160" spans="1:15" x14ac:dyDescent="0.25">
      <c r="A160" s="111" t="s">
        <v>313</v>
      </c>
      <c r="B160" s="4" t="s">
        <v>92</v>
      </c>
      <c r="C160" s="4" t="s">
        <v>48</v>
      </c>
      <c r="D160" s="6">
        <v>13</v>
      </c>
      <c r="E160" s="6">
        <v>6</v>
      </c>
      <c r="F160" s="109" t="str">
        <f t="shared" si="211"/>
        <v>Alta</v>
      </c>
      <c r="G160" s="6" t="str">
        <f t="shared" si="212"/>
        <v>SEH</v>
      </c>
      <c r="H160" s="6">
        <f t="shared" si="213"/>
        <v>7</v>
      </c>
      <c r="I160" s="109" t="str">
        <f t="shared" si="214"/>
        <v>H</v>
      </c>
      <c r="J160" s="6" t="str">
        <f t="shared" si="215"/>
        <v>SEI</v>
      </c>
      <c r="K160" s="120">
        <f t="shared" si="216"/>
        <v>7</v>
      </c>
      <c r="L160" s="120">
        <f>IF(NOT(ISERROR(VLOOKUP(B160,Deflatores!G$42:H$64,2,FALSE))),VLOOKUP(B160,Deflatores!G$42:H$64,2,FALSE),IF(OR(ISBLANK(C160),ISBLANK(B160)),"",VLOOKUP(C160,Deflatores!G$4:H$38,2,FALSE)*H160+VLOOKUP(C160,Deflatores!G$4:I$38,3,FALSE)))</f>
        <v>7</v>
      </c>
      <c r="M160" s="7"/>
      <c r="N160" s="7"/>
      <c r="O160" s="5"/>
    </row>
    <row r="161" spans="1:15" x14ac:dyDescent="0.25">
      <c r="A161" s="111"/>
      <c r="B161" s="4"/>
      <c r="C161" s="4"/>
      <c r="D161" s="6"/>
      <c r="E161" s="6"/>
      <c r="F161" s="109" t="str">
        <f t="shared" si="211"/>
        <v/>
      </c>
      <c r="G161" s="6" t="str">
        <f t="shared" si="212"/>
        <v/>
      </c>
      <c r="H161" s="6" t="str">
        <f t="shared" si="213"/>
        <v/>
      </c>
      <c r="I161" s="109" t="str">
        <f t="shared" si="214"/>
        <v/>
      </c>
      <c r="J161" s="6" t="str">
        <f t="shared" si="215"/>
        <v/>
      </c>
      <c r="K161" s="120" t="str">
        <f t="shared" si="216"/>
        <v/>
      </c>
      <c r="L161" s="120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7"/>
      <c r="N161" s="7"/>
      <c r="O161" s="5"/>
    </row>
    <row r="162" spans="1:15" x14ac:dyDescent="0.25">
      <c r="A162" s="111"/>
      <c r="B162" s="4"/>
      <c r="C162" s="4"/>
      <c r="D162" s="6"/>
      <c r="E162" s="6"/>
      <c r="F162" s="109" t="str">
        <f t="shared" si="211"/>
        <v/>
      </c>
      <c r="G162" s="6" t="str">
        <f t="shared" si="212"/>
        <v/>
      </c>
      <c r="H162" s="6" t="str">
        <f t="shared" si="213"/>
        <v/>
      </c>
      <c r="I162" s="109" t="str">
        <f t="shared" si="214"/>
        <v/>
      </c>
      <c r="J162" s="6" t="str">
        <f t="shared" si="215"/>
        <v/>
      </c>
      <c r="K162" s="120" t="str">
        <f t="shared" si="216"/>
        <v/>
      </c>
      <c r="L162" s="120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7"/>
      <c r="N162" s="7"/>
      <c r="O162" s="5"/>
    </row>
    <row r="163" spans="1:15" x14ac:dyDescent="0.25">
      <c r="A163" s="111"/>
      <c r="B163" s="4"/>
      <c r="C163" s="4"/>
      <c r="D163" s="6"/>
      <c r="E163" s="6"/>
      <c r="F163" s="109" t="str">
        <f t="shared" si="211"/>
        <v/>
      </c>
      <c r="G163" s="6" t="str">
        <f t="shared" si="212"/>
        <v/>
      </c>
      <c r="H163" s="6" t="str">
        <f t="shared" si="213"/>
        <v/>
      </c>
      <c r="I163" s="109" t="str">
        <f t="shared" si="214"/>
        <v/>
      </c>
      <c r="J163" s="6" t="str">
        <f t="shared" si="215"/>
        <v/>
      </c>
      <c r="K163" s="120" t="str">
        <f t="shared" si="216"/>
        <v/>
      </c>
      <c r="L163" s="120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7"/>
      <c r="N163" s="7"/>
      <c r="O163" s="5"/>
    </row>
    <row r="164" spans="1:15" x14ac:dyDescent="0.25">
      <c r="A164" s="111"/>
      <c r="B164" s="4"/>
      <c r="C164" s="4"/>
      <c r="D164" s="6"/>
      <c r="E164" s="6"/>
      <c r="F164" s="109" t="str">
        <f t="shared" si="211"/>
        <v/>
      </c>
      <c r="G164" s="6" t="str">
        <f t="shared" si="212"/>
        <v/>
      </c>
      <c r="H164" s="6" t="str">
        <f t="shared" si="213"/>
        <v/>
      </c>
      <c r="I164" s="109" t="str">
        <f t="shared" si="214"/>
        <v/>
      </c>
      <c r="J164" s="6" t="str">
        <f t="shared" si="215"/>
        <v/>
      </c>
      <c r="K164" s="120" t="str">
        <f t="shared" si="216"/>
        <v/>
      </c>
      <c r="L164" s="120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7"/>
      <c r="N164" s="7"/>
      <c r="O164" s="5"/>
    </row>
    <row r="165" spans="1:15" x14ac:dyDescent="0.25">
      <c r="A165" s="111"/>
      <c r="B165" s="4"/>
      <c r="C165" s="4"/>
      <c r="D165" s="6"/>
      <c r="E165" s="6"/>
      <c r="F165" s="109" t="str">
        <f t="shared" si="211"/>
        <v/>
      </c>
      <c r="G165" s="6" t="str">
        <f t="shared" si="212"/>
        <v/>
      </c>
      <c r="H165" s="6" t="str">
        <f t="shared" si="213"/>
        <v/>
      </c>
      <c r="I165" s="109" t="str">
        <f t="shared" si="214"/>
        <v/>
      </c>
      <c r="J165" s="6" t="str">
        <f t="shared" si="215"/>
        <v/>
      </c>
      <c r="K165" s="120" t="str">
        <f t="shared" si="216"/>
        <v/>
      </c>
      <c r="L165" s="120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7"/>
      <c r="N165" s="7"/>
      <c r="O165" s="5"/>
    </row>
    <row r="166" spans="1:15" x14ac:dyDescent="0.25">
      <c r="A166" s="111"/>
      <c r="B166" s="4"/>
      <c r="C166" s="4"/>
      <c r="D166" s="6"/>
      <c r="E166" s="6"/>
      <c r="F166" s="109" t="str">
        <f t="shared" si="211"/>
        <v/>
      </c>
      <c r="G166" s="6" t="str">
        <f t="shared" si="212"/>
        <v/>
      </c>
      <c r="H166" s="6" t="str">
        <f t="shared" si="213"/>
        <v/>
      </c>
      <c r="I166" s="109" t="str">
        <f t="shared" si="214"/>
        <v/>
      </c>
      <c r="J166" s="6" t="str">
        <f t="shared" si="215"/>
        <v/>
      </c>
      <c r="K166" s="120" t="str">
        <f t="shared" si="216"/>
        <v/>
      </c>
      <c r="L166" s="120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7"/>
      <c r="N166" s="7"/>
      <c r="O166" s="5"/>
    </row>
    <row r="167" spans="1:15" x14ac:dyDescent="0.25">
      <c r="A167" s="111"/>
      <c r="B167" s="4"/>
      <c r="C167" s="4"/>
      <c r="D167" s="6"/>
      <c r="E167" s="6"/>
      <c r="F167" s="109" t="str">
        <f t="shared" si="211"/>
        <v/>
      </c>
      <c r="G167" s="6" t="str">
        <f t="shared" si="212"/>
        <v/>
      </c>
      <c r="H167" s="6" t="str">
        <f t="shared" si="213"/>
        <v/>
      </c>
      <c r="I167" s="109" t="str">
        <f t="shared" si="214"/>
        <v/>
      </c>
      <c r="J167" s="6" t="str">
        <f t="shared" si="215"/>
        <v/>
      </c>
      <c r="K167" s="120" t="str">
        <f t="shared" si="216"/>
        <v/>
      </c>
      <c r="L167" s="120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7"/>
      <c r="N167" s="7"/>
      <c r="O167" s="5"/>
    </row>
    <row r="168" spans="1:15" x14ac:dyDescent="0.25">
      <c r="A168" s="111"/>
      <c r="B168" s="4"/>
      <c r="C168" s="4"/>
      <c r="D168" s="6"/>
      <c r="E168" s="6"/>
      <c r="F168" s="109" t="str">
        <f t="shared" si="211"/>
        <v/>
      </c>
      <c r="G168" s="6" t="str">
        <f t="shared" si="212"/>
        <v/>
      </c>
      <c r="H168" s="6" t="str">
        <f t="shared" si="213"/>
        <v/>
      </c>
      <c r="I168" s="109" t="str">
        <f t="shared" si="214"/>
        <v/>
      </c>
      <c r="J168" s="6" t="str">
        <f t="shared" si="215"/>
        <v/>
      </c>
      <c r="K168" s="120" t="str">
        <f t="shared" si="216"/>
        <v/>
      </c>
      <c r="L168" s="120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7"/>
      <c r="N168" s="7"/>
      <c r="O168" s="5"/>
    </row>
    <row r="169" spans="1:15" x14ac:dyDescent="0.25">
      <c r="A169" s="113"/>
      <c r="B169" s="4"/>
      <c r="C169" s="4"/>
      <c r="D169" s="6"/>
      <c r="E169" s="6"/>
      <c r="F169" s="109" t="str">
        <f t="shared" si="211"/>
        <v/>
      </c>
      <c r="G169" s="6" t="str">
        <f t="shared" si="212"/>
        <v/>
      </c>
      <c r="H169" s="6" t="str">
        <f t="shared" si="213"/>
        <v/>
      </c>
      <c r="I169" s="109" t="str">
        <f t="shared" si="214"/>
        <v/>
      </c>
      <c r="J169" s="6" t="str">
        <f t="shared" si="215"/>
        <v/>
      </c>
      <c r="K169" s="120" t="str">
        <f t="shared" si="216"/>
        <v/>
      </c>
      <c r="L169" s="120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7"/>
      <c r="N169" s="7"/>
      <c r="O169" s="5"/>
    </row>
    <row r="170" spans="1:15" x14ac:dyDescent="0.25">
      <c r="A170" s="111"/>
      <c r="B170" s="4"/>
      <c r="C170" s="4"/>
      <c r="D170" s="6"/>
      <c r="E170" s="6"/>
      <c r="F170" s="109" t="str">
        <f t="shared" si="211"/>
        <v/>
      </c>
      <c r="G170" s="6" t="str">
        <f t="shared" si="212"/>
        <v/>
      </c>
      <c r="H170" s="6" t="str">
        <f t="shared" si="213"/>
        <v/>
      </c>
      <c r="I170" s="109" t="str">
        <f t="shared" si="214"/>
        <v/>
      </c>
      <c r="J170" s="6" t="str">
        <f t="shared" si="215"/>
        <v/>
      </c>
      <c r="K170" s="120" t="str">
        <f t="shared" si="216"/>
        <v/>
      </c>
      <c r="L170" s="120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7"/>
      <c r="N170" s="7"/>
      <c r="O170" s="5"/>
    </row>
    <row r="171" spans="1:15" x14ac:dyDescent="0.25">
      <c r="A171" s="111"/>
      <c r="B171" s="4"/>
      <c r="C171" s="4"/>
      <c r="D171" s="6"/>
      <c r="E171" s="6"/>
      <c r="F171" s="109" t="str">
        <f>IF(ISBLANK(B171),"",IF(I171="L","Baixa",IF(I171="A","Média",IF(I171="","","Alta"))))</f>
        <v/>
      </c>
      <c r="G171" s="6" t="str">
        <f>CONCATENATE(B171,I171)</f>
        <v/>
      </c>
      <c r="H171" s="6" t="str">
        <f>IF(ISBLANK(B171),"",IF(B171="ALI",IF(I171="L",7,IF(I171="A",10,15)),IF(B171="AIE",IF(I171="L",5,IF(I171="A",7,10)),IF(B171="SE",IF(I171="L",4,IF(I171="A",5,7)),IF(OR(B171="EE",B171="CE"),IF(I171="L",3,IF(I171="A",4,6)),0)))))</f>
        <v/>
      </c>
      <c r="I171" s="109" t="str">
        <f>IF(OR(ISBLANK(D171),ISBLANK(E171)),IF(OR(B171="ALI",B171="AIE"),"L",IF(OR(B171="EE",B171="SE",B171="CE"),"A","")),IF(B171="EE",IF(E171&gt;=3,IF(D171&gt;=5,"H","A"),IF(E171&gt;=2,IF(D171&gt;=16,"H",IF(D171&lt;=4,"L","A")),IF(D171&lt;=15,"L","A"))),IF(OR(B171="SE",B171="CE"),IF(E171&gt;=4,IF(D171&gt;=6,"H","A"),IF(E171&gt;=2,IF(D171&gt;=20,"H",IF(D171&lt;=5,"L","A")),IF(D171&lt;=19,"L","A"))),IF(OR(B171="ALI",B171="AIE"),IF(E171&gt;=6,IF(D171&gt;=20,"H","A"),IF(E171&gt;=2,IF(D171&gt;=51,"H",IF(D171&lt;=19,"L","A")),IF(D171&lt;=50,"L","A"))),""))))</f>
        <v/>
      </c>
      <c r="J171" s="6" t="str">
        <f>CONCATENATE(B171,C171)</f>
        <v/>
      </c>
      <c r="K171" s="120" t="str">
        <f>IF(OR(H171="",H171=0),L171,H171)</f>
        <v/>
      </c>
      <c r="L171" s="120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7"/>
      <c r="N171" s="7"/>
      <c r="O171" s="5"/>
    </row>
    <row r="172" spans="1:15" x14ac:dyDescent="0.25">
      <c r="A172" s="111"/>
      <c r="B172" s="4"/>
      <c r="C172" s="4"/>
      <c r="D172" s="6"/>
      <c r="E172" s="6"/>
      <c r="F172" s="109" t="str">
        <f>IF(ISBLANK(B172),"",IF(I172="L","Baixa",IF(I172="A","Média",IF(I172="","","Alta"))))</f>
        <v/>
      </c>
      <c r="G172" s="6" t="str">
        <f>CONCATENATE(B172,I172)</f>
        <v/>
      </c>
      <c r="H172" s="6" t="str">
        <f>IF(ISBLANK(B172),"",IF(B172="ALI",IF(I172="L",7,IF(I172="A",10,15)),IF(B172="AIE",IF(I172="L",5,IF(I172="A",7,10)),IF(B172="SE",IF(I172="L",4,IF(I172="A",5,7)),IF(OR(B172="EE",B172="CE"),IF(I172="L",3,IF(I172="A",4,6)),0)))))</f>
        <v/>
      </c>
      <c r="I172" s="109" t="str">
        <f>IF(OR(ISBLANK(D172),ISBLANK(E172)),IF(OR(B172="ALI",B172="AIE"),"L",IF(OR(B172="EE",B172="SE",B172="CE"),"A","")),IF(B172="EE",IF(E172&gt;=3,IF(D172&gt;=5,"H","A"),IF(E172&gt;=2,IF(D172&gt;=16,"H",IF(D172&lt;=4,"L","A")),IF(D172&lt;=15,"L","A"))),IF(OR(B172="SE",B172="CE"),IF(E172&gt;=4,IF(D172&gt;=6,"H","A"),IF(E172&gt;=2,IF(D172&gt;=20,"H",IF(D172&lt;=5,"L","A")),IF(D172&lt;=19,"L","A"))),IF(OR(B172="ALI",B172="AIE"),IF(E172&gt;=6,IF(D172&gt;=20,"H","A"),IF(E172&gt;=2,IF(D172&gt;=51,"H",IF(D172&lt;=19,"L","A")),IF(D172&lt;=50,"L","A"))),""))))</f>
        <v/>
      </c>
      <c r="J172" s="6" t="str">
        <f>CONCATENATE(B172,C172)</f>
        <v/>
      </c>
      <c r="K172" s="120" t="str">
        <f>IF(OR(H172="",H172=0),L172,H172)</f>
        <v/>
      </c>
      <c r="L172" s="120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7"/>
      <c r="N172" s="7"/>
      <c r="O172" s="5"/>
    </row>
    <row r="173" spans="1:15" x14ac:dyDescent="0.25">
      <c r="A173" s="111"/>
      <c r="B173" s="4"/>
      <c r="C173" s="4"/>
      <c r="D173" s="6"/>
      <c r="E173" s="6"/>
      <c r="F173" s="109" t="str">
        <f t="shared" si="211"/>
        <v/>
      </c>
      <c r="G173" s="6" t="str">
        <f t="shared" si="212"/>
        <v/>
      </c>
      <c r="H173" s="6" t="str">
        <f t="shared" si="213"/>
        <v/>
      </c>
      <c r="I173" s="109" t="str">
        <f t="shared" si="214"/>
        <v/>
      </c>
      <c r="J173" s="6" t="str">
        <f t="shared" si="215"/>
        <v/>
      </c>
      <c r="K173" s="120" t="str">
        <f t="shared" si="216"/>
        <v/>
      </c>
      <c r="L173" s="120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7"/>
      <c r="N173" s="7"/>
      <c r="O173" s="5"/>
    </row>
    <row r="174" spans="1:15" x14ac:dyDescent="0.25">
      <c r="A174" s="111"/>
      <c r="B174" s="4"/>
      <c r="C174" s="4"/>
      <c r="D174" s="6"/>
      <c r="E174" s="6"/>
      <c r="F174" s="109" t="str">
        <f>IF(ISBLANK(B174),"",IF(I174="L","Baixa",IF(I174="A","Média",IF(I174="","","Alta"))))</f>
        <v/>
      </c>
      <c r="G174" s="6" t="str">
        <f>CONCATENATE(B174,I174)</f>
        <v/>
      </c>
      <c r="H174" s="6" t="str">
        <f>IF(ISBLANK(B174),"",IF(B174="ALI",IF(I174="L",7,IF(I174="A",10,15)),IF(B174="AIE",IF(I174="L",5,IF(I174="A",7,10)),IF(B174="SE",IF(I174="L",4,IF(I174="A",5,7)),IF(OR(B174="EE",B174="CE"),IF(I174="L",3,IF(I174="A",4,6)),0)))))</f>
        <v/>
      </c>
      <c r="I174" s="109" t="str">
        <f>IF(OR(ISBLANK(D174),ISBLANK(E174)),IF(OR(B174="ALI",B174="AIE"),"L",IF(OR(B174="EE",B174="SE",B174="CE"),"A","")),IF(B174="EE",IF(E174&gt;=3,IF(D174&gt;=5,"H","A"),IF(E174&gt;=2,IF(D174&gt;=16,"H",IF(D174&lt;=4,"L","A")),IF(D174&lt;=15,"L","A"))),IF(OR(B174="SE",B174="CE"),IF(E174&gt;=4,IF(D174&gt;=6,"H","A"),IF(E174&gt;=2,IF(D174&gt;=20,"H",IF(D174&lt;=5,"L","A")),IF(D174&lt;=19,"L","A"))),IF(OR(B174="ALI",B174="AIE"),IF(E174&gt;=6,IF(D174&gt;=20,"H","A"),IF(E174&gt;=2,IF(D174&gt;=51,"H",IF(D174&lt;=19,"L","A")),IF(D174&lt;=50,"L","A"))),""))))</f>
        <v/>
      </c>
      <c r="J174" s="6" t="str">
        <f>CONCATENATE(B174,C174)</f>
        <v/>
      </c>
      <c r="K174" s="120" t="str">
        <f>IF(OR(H174="",H174=0),L174,H174)</f>
        <v/>
      </c>
      <c r="L174" s="120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7"/>
      <c r="N174" s="7"/>
      <c r="O174" s="5"/>
    </row>
    <row r="175" spans="1:15" x14ac:dyDescent="0.25">
      <c r="A175" s="111"/>
      <c r="B175" s="4"/>
      <c r="C175" s="4"/>
      <c r="D175" s="6"/>
      <c r="E175" s="6"/>
      <c r="F175" s="109" t="str">
        <f t="shared" si="211"/>
        <v/>
      </c>
      <c r="G175" s="6" t="str">
        <f t="shared" si="212"/>
        <v/>
      </c>
      <c r="H175" s="6" t="str">
        <f t="shared" si="213"/>
        <v/>
      </c>
      <c r="I175" s="109" t="str">
        <f t="shared" si="214"/>
        <v/>
      </c>
      <c r="J175" s="6" t="str">
        <f t="shared" si="215"/>
        <v/>
      </c>
      <c r="K175" s="120" t="str">
        <f t="shared" si="216"/>
        <v/>
      </c>
      <c r="L175" s="120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7"/>
      <c r="N175" s="7"/>
      <c r="O175" s="5"/>
    </row>
    <row r="176" spans="1:15" x14ac:dyDescent="0.25">
      <c r="A176" s="111"/>
      <c r="B176" s="4"/>
      <c r="C176" s="4"/>
      <c r="D176" s="6"/>
      <c r="E176" s="6"/>
      <c r="F176" s="109" t="str">
        <f t="shared" si="211"/>
        <v/>
      </c>
      <c r="G176" s="6" t="str">
        <f t="shared" si="212"/>
        <v/>
      </c>
      <c r="H176" s="6" t="str">
        <f t="shared" si="213"/>
        <v/>
      </c>
      <c r="I176" s="109" t="str">
        <f t="shared" si="214"/>
        <v/>
      </c>
      <c r="J176" s="6" t="str">
        <f t="shared" si="215"/>
        <v/>
      </c>
      <c r="K176" s="120" t="str">
        <f t="shared" si="216"/>
        <v/>
      </c>
      <c r="L176" s="120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7"/>
      <c r="N176" s="7"/>
      <c r="O176" s="5"/>
    </row>
    <row r="177" spans="1:15" x14ac:dyDescent="0.25">
      <c r="A177" s="111"/>
      <c r="B177" s="4"/>
      <c r="C177" s="4"/>
      <c r="D177" s="6"/>
      <c r="E177" s="6"/>
      <c r="F177" s="109" t="str">
        <f>IF(ISBLANK(B177),"",IF(I177="L","Baixa",IF(I177="A","Média",IF(I177="","","Alta"))))</f>
        <v/>
      </c>
      <c r="G177" s="6" t="str">
        <f>CONCATENATE(B177,I177)</f>
        <v/>
      </c>
      <c r="H177" s="6" t="str">
        <f>IF(ISBLANK(B177),"",IF(B177="ALI",IF(I177="L",7,IF(I177="A",10,15)),IF(B177="AIE",IF(I177="L",5,IF(I177="A",7,10)),IF(B177="SE",IF(I177="L",4,IF(I177="A",5,7)),IF(OR(B177="EE",B177="CE"),IF(I177="L",3,IF(I177="A",4,6)),0)))))</f>
        <v/>
      </c>
      <c r="I177" s="109" t="str">
        <f>IF(OR(ISBLANK(D177),ISBLANK(E177)),IF(OR(B177="ALI",B177="AIE"),"L",IF(OR(B177="EE",B177="SE",B177="CE"),"A","")),IF(B177="EE",IF(E177&gt;=3,IF(D177&gt;=5,"H","A"),IF(E177&gt;=2,IF(D177&gt;=16,"H",IF(D177&lt;=4,"L","A")),IF(D177&lt;=15,"L","A"))),IF(OR(B177="SE",B177="CE"),IF(E177&gt;=4,IF(D177&gt;=6,"H","A"),IF(E177&gt;=2,IF(D177&gt;=20,"H",IF(D177&lt;=5,"L","A")),IF(D177&lt;=19,"L","A"))),IF(OR(B177="ALI",B177="AIE"),IF(E177&gt;=6,IF(D177&gt;=20,"H","A"),IF(E177&gt;=2,IF(D177&gt;=51,"H",IF(D177&lt;=19,"L","A")),IF(D177&lt;=50,"L","A"))),""))))</f>
        <v/>
      </c>
      <c r="J177" s="6" t="str">
        <f>CONCATENATE(B177,C177)</f>
        <v/>
      </c>
      <c r="K177" s="120" t="str">
        <f>IF(OR(H177="",H177=0),L177,H177)</f>
        <v/>
      </c>
      <c r="L177" s="120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7"/>
      <c r="N177" s="7"/>
      <c r="O177" s="5"/>
    </row>
    <row r="178" spans="1:15" x14ac:dyDescent="0.25">
      <c r="A178" s="111"/>
      <c r="B178" s="4"/>
      <c r="C178" s="4"/>
      <c r="D178" s="6"/>
      <c r="E178" s="6"/>
      <c r="F178" s="109" t="str">
        <f t="shared" si="211"/>
        <v/>
      </c>
      <c r="G178" s="6" t="str">
        <f t="shared" si="212"/>
        <v/>
      </c>
      <c r="H178" s="6" t="str">
        <f t="shared" si="213"/>
        <v/>
      </c>
      <c r="I178" s="109" t="str">
        <f t="shared" si="214"/>
        <v/>
      </c>
      <c r="J178" s="6" t="str">
        <f t="shared" si="215"/>
        <v/>
      </c>
      <c r="K178" s="120" t="str">
        <f t="shared" si="216"/>
        <v/>
      </c>
      <c r="L178" s="120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7"/>
      <c r="N178" s="7"/>
      <c r="O178" s="5"/>
    </row>
    <row r="179" spans="1:15" x14ac:dyDescent="0.25">
      <c r="A179" s="113"/>
      <c r="B179" s="4"/>
      <c r="C179" s="4"/>
      <c r="D179" s="6"/>
      <c r="E179" s="6"/>
      <c r="F179" s="109" t="str">
        <f t="shared" si="211"/>
        <v/>
      </c>
      <c r="G179" s="6" t="str">
        <f t="shared" si="212"/>
        <v/>
      </c>
      <c r="H179" s="6" t="str">
        <f t="shared" si="213"/>
        <v/>
      </c>
      <c r="I179" s="109" t="str">
        <f t="shared" si="214"/>
        <v/>
      </c>
      <c r="J179" s="6" t="str">
        <f t="shared" si="215"/>
        <v/>
      </c>
      <c r="K179" s="120" t="str">
        <f t="shared" si="216"/>
        <v/>
      </c>
      <c r="L179" s="120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7"/>
      <c r="N179" s="7"/>
      <c r="O179" s="5"/>
    </row>
    <row r="180" spans="1:15" x14ac:dyDescent="0.25">
      <c r="A180" s="111"/>
      <c r="B180" s="4"/>
      <c r="C180" s="4"/>
      <c r="D180" s="6"/>
      <c r="E180" s="6"/>
      <c r="F180" s="109" t="str">
        <f t="shared" si="211"/>
        <v/>
      </c>
      <c r="G180" s="6" t="str">
        <f t="shared" si="212"/>
        <v/>
      </c>
      <c r="H180" s="6" t="str">
        <f t="shared" si="213"/>
        <v/>
      </c>
      <c r="I180" s="109" t="str">
        <f t="shared" si="214"/>
        <v/>
      </c>
      <c r="J180" s="6" t="str">
        <f t="shared" si="215"/>
        <v/>
      </c>
      <c r="K180" s="120" t="str">
        <f t="shared" si="216"/>
        <v/>
      </c>
      <c r="L180" s="120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7"/>
      <c r="N180" s="7"/>
      <c r="O180" s="5"/>
    </row>
    <row r="181" spans="1:15" x14ac:dyDescent="0.25">
      <c r="A181" s="111"/>
      <c r="B181" s="4"/>
      <c r="C181" s="4"/>
      <c r="D181" s="6"/>
      <c r="E181" s="6"/>
      <c r="F181" s="109" t="str">
        <f t="shared" si="211"/>
        <v/>
      </c>
      <c r="G181" s="6" t="str">
        <f t="shared" si="212"/>
        <v/>
      </c>
      <c r="H181" s="6" t="str">
        <f t="shared" si="213"/>
        <v/>
      </c>
      <c r="I181" s="109" t="str">
        <f t="shared" si="214"/>
        <v/>
      </c>
      <c r="J181" s="6" t="str">
        <f t="shared" si="215"/>
        <v/>
      </c>
      <c r="K181" s="120" t="str">
        <f t="shared" si="216"/>
        <v/>
      </c>
      <c r="L181" s="120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7"/>
      <c r="N181" s="7"/>
      <c r="O181" s="5"/>
    </row>
    <row r="182" spans="1:15" x14ac:dyDescent="0.25">
      <c r="A182" s="111"/>
      <c r="B182" s="4"/>
      <c r="C182" s="4"/>
      <c r="D182" s="6"/>
      <c r="E182" s="6"/>
      <c r="F182" s="109" t="str">
        <f t="shared" si="211"/>
        <v/>
      </c>
      <c r="G182" s="6" t="str">
        <f t="shared" si="212"/>
        <v/>
      </c>
      <c r="H182" s="6" t="str">
        <f t="shared" si="213"/>
        <v/>
      </c>
      <c r="I182" s="109" t="str">
        <f t="shared" si="214"/>
        <v/>
      </c>
      <c r="J182" s="6" t="str">
        <f t="shared" si="215"/>
        <v/>
      </c>
      <c r="K182" s="120" t="str">
        <f t="shared" si="216"/>
        <v/>
      </c>
      <c r="L182" s="120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7"/>
      <c r="N182" s="7"/>
      <c r="O182" s="5"/>
    </row>
    <row r="183" spans="1:15" x14ac:dyDescent="0.25">
      <c r="A183" s="111"/>
      <c r="B183" s="4"/>
      <c r="C183" s="4"/>
      <c r="D183" s="6"/>
      <c r="E183" s="6"/>
      <c r="F183" s="109" t="str">
        <f>IF(ISBLANK(B183),"",IF(I183="L","Baixa",IF(I183="A","Média",IF(I183="","","Alta"))))</f>
        <v/>
      </c>
      <c r="G183" s="6" t="str">
        <f>CONCATENATE(B183,I183)</f>
        <v/>
      </c>
      <c r="H183" s="6" t="str">
        <f>IF(ISBLANK(B183),"",IF(B183="ALI",IF(I183="L",7,IF(I183="A",10,15)),IF(B183="AIE",IF(I183="L",5,IF(I183="A",7,10)),IF(B183="SE",IF(I183="L",4,IF(I183="A",5,7)),IF(OR(B183="EE",B183="CE"),IF(I183="L",3,IF(I183="A",4,6)),0)))))</f>
        <v/>
      </c>
      <c r="I183" s="109" t="str">
        <f>IF(OR(ISBLANK(D183),ISBLANK(E183)),IF(OR(B183="ALI",B183="AIE"),"L",IF(OR(B183="EE",B183="SE",B183="CE"),"A","")),IF(B183="EE",IF(E183&gt;=3,IF(D183&gt;=5,"H","A"),IF(E183&gt;=2,IF(D183&gt;=16,"H",IF(D183&lt;=4,"L","A")),IF(D183&lt;=15,"L","A"))),IF(OR(B183="SE",B183="CE"),IF(E183&gt;=4,IF(D183&gt;=6,"H","A"),IF(E183&gt;=2,IF(D183&gt;=20,"H",IF(D183&lt;=5,"L","A")),IF(D183&lt;=19,"L","A"))),IF(OR(B183="ALI",B183="AIE"),IF(E183&gt;=6,IF(D183&gt;=20,"H","A"),IF(E183&gt;=2,IF(D183&gt;=51,"H",IF(D183&lt;=19,"L","A")),IF(D183&lt;=50,"L","A"))),""))))</f>
        <v/>
      </c>
      <c r="J183" s="6" t="str">
        <f>CONCATENATE(B183,C183)</f>
        <v/>
      </c>
      <c r="K183" s="120" t="str">
        <f>IF(OR(H183="",H183=0),L183,H183)</f>
        <v/>
      </c>
      <c r="L183" s="120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7"/>
      <c r="N183" s="7"/>
      <c r="O183" s="5"/>
    </row>
    <row r="184" spans="1:15" x14ac:dyDescent="0.25">
      <c r="A184" s="111"/>
      <c r="B184" s="4"/>
      <c r="C184" s="4"/>
      <c r="D184" s="6"/>
      <c r="E184" s="6"/>
      <c r="F184" s="109" t="str">
        <f t="shared" si="211"/>
        <v/>
      </c>
      <c r="G184" s="6" t="str">
        <f t="shared" si="212"/>
        <v/>
      </c>
      <c r="H184" s="6" t="str">
        <f t="shared" si="213"/>
        <v/>
      </c>
      <c r="I184" s="109" t="str">
        <f t="shared" si="214"/>
        <v/>
      </c>
      <c r="J184" s="6" t="str">
        <f t="shared" si="215"/>
        <v/>
      </c>
      <c r="K184" s="120" t="str">
        <f t="shared" si="216"/>
        <v/>
      </c>
      <c r="L184" s="120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7"/>
      <c r="N184" s="7"/>
      <c r="O184" s="5"/>
    </row>
    <row r="185" spans="1:15" x14ac:dyDescent="0.25">
      <c r="A185" s="111"/>
      <c r="B185" s="4"/>
      <c r="C185" s="4"/>
      <c r="D185" s="6"/>
      <c r="E185" s="6"/>
      <c r="F185" s="109" t="str">
        <f t="shared" si="211"/>
        <v/>
      </c>
      <c r="G185" s="6" t="str">
        <f t="shared" si="212"/>
        <v/>
      </c>
      <c r="H185" s="6" t="str">
        <f t="shared" si="213"/>
        <v/>
      </c>
      <c r="I185" s="109" t="str">
        <f t="shared" si="214"/>
        <v/>
      </c>
      <c r="J185" s="6" t="str">
        <f t="shared" si="215"/>
        <v/>
      </c>
      <c r="K185" s="120" t="str">
        <f t="shared" si="216"/>
        <v/>
      </c>
      <c r="L185" s="120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7"/>
      <c r="N185" s="7"/>
      <c r="O185" s="5"/>
    </row>
    <row r="186" spans="1:15" x14ac:dyDescent="0.25">
      <c r="A186" s="111"/>
      <c r="B186" s="4"/>
      <c r="C186" s="4"/>
      <c r="D186" s="6"/>
      <c r="E186" s="6"/>
      <c r="F186" s="109" t="str">
        <f t="shared" si="211"/>
        <v/>
      </c>
      <c r="G186" s="6" t="str">
        <f t="shared" si="212"/>
        <v/>
      </c>
      <c r="H186" s="6" t="str">
        <f t="shared" si="213"/>
        <v/>
      </c>
      <c r="I186" s="109" t="str">
        <f t="shared" si="214"/>
        <v/>
      </c>
      <c r="J186" s="6" t="str">
        <f t="shared" si="215"/>
        <v/>
      </c>
      <c r="K186" s="120" t="str">
        <f t="shared" si="216"/>
        <v/>
      </c>
      <c r="L186" s="120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7"/>
      <c r="N186" s="7"/>
      <c r="O186" s="5"/>
    </row>
    <row r="187" spans="1:15" x14ac:dyDescent="0.25">
      <c r="A187" s="113"/>
      <c r="B187" s="4"/>
      <c r="C187" s="4"/>
      <c r="D187" s="6"/>
      <c r="E187" s="6"/>
      <c r="F187" s="109" t="str">
        <f t="shared" si="211"/>
        <v/>
      </c>
      <c r="G187" s="6" t="str">
        <f t="shared" si="212"/>
        <v/>
      </c>
      <c r="H187" s="6" t="str">
        <f t="shared" si="213"/>
        <v/>
      </c>
      <c r="I187" s="109" t="str">
        <f t="shared" si="214"/>
        <v/>
      </c>
      <c r="J187" s="6" t="str">
        <f t="shared" si="215"/>
        <v/>
      </c>
      <c r="K187" s="120" t="str">
        <f t="shared" si="216"/>
        <v/>
      </c>
      <c r="L187" s="120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7"/>
      <c r="N187" s="7"/>
      <c r="O187" s="5"/>
    </row>
    <row r="188" spans="1:15" x14ac:dyDescent="0.25">
      <c r="A188" s="111"/>
      <c r="B188" s="4"/>
      <c r="C188" s="4"/>
      <c r="D188" s="6"/>
      <c r="E188" s="6"/>
      <c r="F188" s="109" t="str">
        <f t="shared" si="211"/>
        <v/>
      </c>
      <c r="G188" s="6" t="str">
        <f t="shared" si="212"/>
        <v/>
      </c>
      <c r="H188" s="6" t="str">
        <f t="shared" si="213"/>
        <v/>
      </c>
      <c r="I188" s="109" t="str">
        <f t="shared" si="214"/>
        <v/>
      </c>
      <c r="J188" s="6" t="str">
        <f t="shared" si="215"/>
        <v/>
      </c>
      <c r="K188" s="120" t="str">
        <f t="shared" si="216"/>
        <v/>
      </c>
      <c r="L188" s="120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7"/>
      <c r="N188" s="7"/>
      <c r="O188" s="5"/>
    </row>
    <row r="189" spans="1:15" x14ac:dyDescent="0.25">
      <c r="A189" s="111"/>
      <c r="B189" s="4"/>
      <c r="C189" s="4"/>
      <c r="D189" s="6"/>
      <c r="E189" s="6"/>
      <c r="F189" s="109" t="str">
        <f t="shared" si="211"/>
        <v/>
      </c>
      <c r="G189" s="6" t="str">
        <f t="shared" si="212"/>
        <v/>
      </c>
      <c r="H189" s="6" t="str">
        <f t="shared" si="213"/>
        <v/>
      </c>
      <c r="I189" s="109" t="str">
        <f t="shared" si="214"/>
        <v/>
      </c>
      <c r="J189" s="6" t="str">
        <f t="shared" si="215"/>
        <v/>
      </c>
      <c r="K189" s="120" t="str">
        <f t="shared" si="216"/>
        <v/>
      </c>
      <c r="L189" s="120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7"/>
      <c r="N189" s="7"/>
      <c r="O189" s="5"/>
    </row>
    <row r="190" spans="1:15" x14ac:dyDescent="0.25">
      <c r="A190" s="111"/>
      <c r="B190" s="4"/>
      <c r="C190" s="4"/>
      <c r="D190" s="6"/>
      <c r="E190" s="6"/>
      <c r="F190" s="109" t="str">
        <f t="shared" si="211"/>
        <v/>
      </c>
      <c r="G190" s="6" t="str">
        <f t="shared" si="212"/>
        <v/>
      </c>
      <c r="H190" s="6" t="str">
        <f t="shared" si="213"/>
        <v/>
      </c>
      <c r="I190" s="109" t="str">
        <f t="shared" si="214"/>
        <v/>
      </c>
      <c r="J190" s="6" t="str">
        <f t="shared" si="215"/>
        <v/>
      </c>
      <c r="K190" s="120" t="str">
        <f t="shared" si="216"/>
        <v/>
      </c>
      <c r="L190" s="120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7"/>
      <c r="N190" s="7"/>
      <c r="O190" s="5"/>
    </row>
    <row r="191" spans="1:15" x14ac:dyDescent="0.25">
      <c r="A191" s="111"/>
      <c r="B191" s="4"/>
      <c r="C191" s="4"/>
      <c r="D191" s="6"/>
      <c r="E191" s="6"/>
      <c r="F191" s="109" t="str">
        <f t="shared" si="211"/>
        <v/>
      </c>
      <c r="G191" s="6" t="str">
        <f t="shared" si="212"/>
        <v/>
      </c>
      <c r="H191" s="6" t="str">
        <f t="shared" si="213"/>
        <v/>
      </c>
      <c r="I191" s="109" t="str">
        <f t="shared" si="214"/>
        <v/>
      </c>
      <c r="J191" s="6" t="str">
        <f t="shared" si="215"/>
        <v/>
      </c>
      <c r="K191" s="120" t="str">
        <f t="shared" si="216"/>
        <v/>
      </c>
      <c r="L191" s="120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7"/>
      <c r="N191" s="7"/>
      <c r="O191" s="5"/>
    </row>
    <row r="192" spans="1:15" x14ac:dyDescent="0.25">
      <c r="A192" s="111"/>
      <c r="B192" s="4"/>
      <c r="C192" s="4"/>
      <c r="D192" s="6"/>
      <c r="E192" s="6"/>
      <c r="F192" s="109" t="str">
        <f t="shared" si="211"/>
        <v/>
      </c>
      <c r="G192" s="6" t="str">
        <f t="shared" si="212"/>
        <v/>
      </c>
      <c r="H192" s="6" t="str">
        <f t="shared" si="213"/>
        <v/>
      </c>
      <c r="I192" s="109" t="str">
        <f t="shared" si="214"/>
        <v/>
      </c>
      <c r="J192" s="6" t="str">
        <f t="shared" si="215"/>
        <v/>
      </c>
      <c r="K192" s="120" t="str">
        <f t="shared" si="216"/>
        <v/>
      </c>
      <c r="L192" s="120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7"/>
      <c r="N192" s="7"/>
      <c r="O192" s="5"/>
    </row>
    <row r="193" spans="1:15" x14ac:dyDescent="0.25">
      <c r="A193" s="111"/>
      <c r="B193" s="4"/>
      <c r="C193" s="4"/>
      <c r="D193" s="6"/>
      <c r="E193" s="6"/>
      <c r="F193" s="109" t="str">
        <f t="shared" si="211"/>
        <v/>
      </c>
      <c r="G193" s="6" t="str">
        <f t="shared" si="212"/>
        <v/>
      </c>
      <c r="H193" s="6" t="str">
        <f t="shared" si="213"/>
        <v/>
      </c>
      <c r="I193" s="109" t="str">
        <f t="shared" si="214"/>
        <v/>
      </c>
      <c r="J193" s="6" t="str">
        <f t="shared" si="215"/>
        <v/>
      </c>
      <c r="K193" s="120" t="str">
        <f t="shared" si="216"/>
        <v/>
      </c>
      <c r="L193" s="120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7"/>
      <c r="N193" s="7"/>
      <c r="O193" s="5"/>
    </row>
    <row r="194" spans="1:15" x14ac:dyDescent="0.25">
      <c r="A194" s="111"/>
      <c r="B194" s="4"/>
      <c r="C194" s="4"/>
      <c r="D194" s="6"/>
      <c r="E194" s="6"/>
      <c r="F194" s="109" t="str">
        <f t="shared" si="211"/>
        <v/>
      </c>
      <c r="G194" s="6" t="str">
        <f t="shared" si="212"/>
        <v/>
      </c>
      <c r="H194" s="6" t="str">
        <f t="shared" si="213"/>
        <v/>
      </c>
      <c r="I194" s="109" t="str">
        <f t="shared" si="214"/>
        <v/>
      </c>
      <c r="J194" s="6" t="str">
        <f t="shared" si="215"/>
        <v/>
      </c>
      <c r="K194" s="120" t="str">
        <f t="shared" si="216"/>
        <v/>
      </c>
      <c r="L194" s="120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7"/>
      <c r="N194" s="7"/>
      <c r="O194" s="5"/>
    </row>
    <row r="195" spans="1:15" x14ac:dyDescent="0.25">
      <c r="A195" s="113"/>
      <c r="B195" s="4"/>
      <c r="C195" s="4"/>
      <c r="D195" s="6"/>
      <c r="E195" s="6"/>
      <c r="F195" s="109" t="str">
        <f t="shared" si="211"/>
        <v/>
      </c>
      <c r="G195" s="6" t="str">
        <f t="shared" si="212"/>
        <v/>
      </c>
      <c r="H195" s="6" t="str">
        <f t="shared" si="213"/>
        <v/>
      </c>
      <c r="I195" s="109" t="str">
        <f t="shared" si="214"/>
        <v/>
      </c>
      <c r="J195" s="6" t="str">
        <f t="shared" si="215"/>
        <v/>
      </c>
      <c r="K195" s="120" t="str">
        <f t="shared" si="216"/>
        <v/>
      </c>
      <c r="L195" s="120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7"/>
      <c r="N195" s="7"/>
      <c r="O195" s="5"/>
    </row>
    <row r="196" spans="1:15" x14ac:dyDescent="0.25">
      <c r="A196" s="111"/>
      <c r="B196" s="4"/>
      <c r="C196" s="4"/>
      <c r="D196" s="6"/>
      <c r="E196" s="6"/>
      <c r="F196" s="109" t="str">
        <f t="shared" si="211"/>
        <v/>
      </c>
      <c r="G196" s="6" t="str">
        <f t="shared" si="212"/>
        <v/>
      </c>
      <c r="H196" s="6" t="str">
        <f t="shared" si="213"/>
        <v/>
      </c>
      <c r="I196" s="109" t="str">
        <f t="shared" si="214"/>
        <v/>
      </c>
      <c r="J196" s="6" t="str">
        <f t="shared" si="215"/>
        <v/>
      </c>
      <c r="K196" s="120" t="str">
        <f t="shared" si="216"/>
        <v/>
      </c>
      <c r="L196" s="120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7"/>
      <c r="N196" s="7"/>
      <c r="O196" s="5"/>
    </row>
    <row r="197" spans="1:15" x14ac:dyDescent="0.25">
      <c r="A197" s="111"/>
      <c r="B197" s="4"/>
      <c r="C197" s="4"/>
      <c r="D197" s="6"/>
      <c r="E197" s="6"/>
      <c r="F197" s="109" t="str">
        <f t="shared" si="211"/>
        <v/>
      </c>
      <c r="G197" s="6" t="str">
        <f t="shared" si="212"/>
        <v/>
      </c>
      <c r="H197" s="6" t="str">
        <f t="shared" si="213"/>
        <v/>
      </c>
      <c r="I197" s="109" t="str">
        <f t="shared" si="214"/>
        <v/>
      </c>
      <c r="J197" s="6" t="str">
        <f t="shared" si="215"/>
        <v/>
      </c>
      <c r="K197" s="120" t="str">
        <f t="shared" si="216"/>
        <v/>
      </c>
      <c r="L197" s="120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7"/>
      <c r="N197" s="7"/>
      <c r="O197" s="5"/>
    </row>
    <row r="198" spans="1:15" x14ac:dyDescent="0.25">
      <c r="A198" s="111"/>
      <c r="B198" s="4"/>
      <c r="C198" s="4"/>
      <c r="D198" s="6"/>
      <c r="E198" s="6"/>
      <c r="F198" s="109" t="str">
        <f t="shared" si="211"/>
        <v/>
      </c>
      <c r="G198" s="6" t="str">
        <f t="shared" si="212"/>
        <v/>
      </c>
      <c r="H198" s="6" t="str">
        <f t="shared" si="213"/>
        <v/>
      </c>
      <c r="I198" s="109" t="str">
        <f t="shared" si="214"/>
        <v/>
      </c>
      <c r="J198" s="6" t="str">
        <f t="shared" si="215"/>
        <v/>
      </c>
      <c r="K198" s="120" t="str">
        <f t="shared" si="216"/>
        <v/>
      </c>
      <c r="L198" s="120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7"/>
      <c r="N198" s="7"/>
      <c r="O198" s="5"/>
    </row>
    <row r="199" spans="1:15" x14ac:dyDescent="0.25">
      <c r="A199" s="111"/>
      <c r="B199" s="4"/>
      <c r="C199" s="4"/>
      <c r="D199" s="6"/>
      <c r="E199" s="6"/>
      <c r="F199" s="109" t="str">
        <f t="shared" ref="F199:F267" si="283">IF(ISBLANK(B199),"",IF(I199="L","Baixa",IF(I199="A","Média",IF(I199="","","Alta"))))</f>
        <v/>
      </c>
      <c r="G199" s="6" t="str">
        <f t="shared" ref="G199:G267" si="284">CONCATENATE(B199,I199)</f>
        <v/>
      </c>
      <c r="H199" s="6" t="str">
        <f t="shared" ref="H199:H267" si="285">IF(ISBLANK(B199),"",IF(B199="ALI",IF(I199="L",7,IF(I199="A",10,15)),IF(B199="AIE",IF(I199="L",5,IF(I199="A",7,10)),IF(B199="SE",IF(I199="L",4,IF(I199="A",5,7)),IF(OR(B199="EE",B199="CE"),IF(I199="L",3,IF(I199="A",4,6)),0)))))</f>
        <v/>
      </c>
      <c r="I199" s="109" t="str">
        <f t="shared" ref="I199:I267" si="286">IF(OR(ISBLANK(D199),ISBLANK(E199)),IF(OR(B199="ALI",B199="AIE"),"L",IF(OR(B199="EE",B199="SE",B199="CE"),"A","")),IF(B199="EE",IF(E199&gt;=3,IF(D199&gt;=5,"H","A"),IF(E199&gt;=2,IF(D199&gt;=16,"H",IF(D199&lt;=4,"L","A")),IF(D199&lt;=15,"L","A"))),IF(OR(B199="SE",B199="CE"),IF(E199&gt;=4,IF(D199&gt;=6,"H","A"),IF(E199&gt;=2,IF(D199&gt;=20,"H",IF(D199&lt;=5,"L","A")),IF(D199&lt;=19,"L","A"))),IF(OR(B199="ALI",B199="AIE"),IF(E199&gt;=6,IF(D199&gt;=20,"H","A"),IF(E199&gt;=2,IF(D199&gt;=51,"H",IF(D199&lt;=19,"L","A")),IF(D199&lt;=50,"L","A"))),""))))</f>
        <v/>
      </c>
      <c r="J199" s="6" t="str">
        <f t="shared" ref="J199:J267" si="287">CONCATENATE(B199,C199)</f>
        <v/>
      </c>
      <c r="K199" s="120" t="str">
        <f t="shared" si="216"/>
        <v/>
      </c>
      <c r="L199" s="120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7"/>
      <c r="N199" s="7"/>
      <c r="O199" s="5"/>
    </row>
    <row r="200" spans="1:15" x14ac:dyDescent="0.25">
      <c r="A200" s="111"/>
      <c r="B200" s="4"/>
      <c r="C200" s="4"/>
      <c r="D200" s="6"/>
      <c r="E200" s="6"/>
      <c r="F200" s="109" t="str">
        <f t="shared" si="283"/>
        <v/>
      </c>
      <c r="G200" s="6" t="str">
        <f t="shared" si="284"/>
        <v/>
      </c>
      <c r="H200" s="6" t="str">
        <f t="shared" si="285"/>
        <v/>
      </c>
      <c r="I200" s="109" t="str">
        <f t="shared" si="286"/>
        <v/>
      </c>
      <c r="J200" s="6" t="str">
        <f t="shared" si="287"/>
        <v/>
      </c>
      <c r="K200" s="120" t="str">
        <f t="shared" si="216"/>
        <v/>
      </c>
      <c r="L200" s="120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7"/>
      <c r="N200" s="7"/>
      <c r="O200" s="5"/>
    </row>
    <row r="201" spans="1:15" x14ac:dyDescent="0.25">
      <c r="A201" s="111"/>
      <c r="B201" s="4"/>
      <c r="C201" s="4"/>
      <c r="D201" s="6"/>
      <c r="E201" s="6"/>
      <c r="F201" s="109" t="str">
        <f t="shared" si="283"/>
        <v/>
      </c>
      <c r="G201" s="6" t="str">
        <f t="shared" si="284"/>
        <v/>
      </c>
      <c r="H201" s="6" t="str">
        <f t="shared" si="285"/>
        <v/>
      </c>
      <c r="I201" s="109" t="str">
        <f t="shared" si="286"/>
        <v/>
      </c>
      <c r="J201" s="6" t="str">
        <f t="shared" si="287"/>
        <v/>
      </c>
      <c r="K201" s="120" t="str">
        <f t="shared" ref="K201:K276" si="288">IF(OR(H201="",H201=0),L201,H201)</f>
        <v/>
      </c>
      <c r="L201" s="120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7"/>
      <c r="N201" s="7"/>
      <c r="O201" s="5"/>
    </row>
    <row r="202" spans="1:15" x14ac:dyDescent="0.25">
      <c r="A202" s="111"/>
      <c r="B202" s="4"/>
      <c r="C202" s="4"/>
      <c r="D202" s="6"/>
      <c r="E202" s="6"/>
      <c r="F202" s="109" t="str">
        <f t="shared" si="283"/>
        <v/>
      </c>
      <c r="G202" s="6" t="str">
        <f t="shared" si="284"/>
        <v/>
      </c>
      <c r="H202" s="6" t="str">
        <f t="shared" si="285"/>
        <v/>
      </c>
      <c r="I202" s="109" t="str">
        <f t="shared" si="286"/>
        <v/>
      </c>
      <c r="J202" s="6" t="str">
        <f t="shared" si="287"/>
        <v/>
      </c>
      <c r="K202" s="120" t="str">
        <f t="shared" si="288"/>
        <v/>
      </c>
      <c r="L202" s="120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7"/>
      <c r="N202" s="7"/>
      <c r="O202" s="5"/>
    </row>
    <row r="203" spans="1:15" x14ac:dyDescent="0.25">
      <c r="A203" s="113"/>
      <c r="B203" s="4"/>
      <c r="C203" s="4"/>
      <c r="D203" s="6"/>
      <c r="E203" s="6"/>
      <c r="F203" s="109" t="str">
        <f>IF(ISBLANK(B203),"",IF(I203="L","Baixa",IF(I203="A","Média",IF(I203="","","Alta"))))</f>
        <v/>
      </c>
      <c r="G203" s="6" t="str">
        <f>CONCATENATE(B203,I203)</f>
        <v/>
      </c>
      <c r="H203" s="6" t="str">
        <f>IF(ISBLANK(B203),"",IF(B203="ALI",IF(I203="L",7,IF(I203="A",10,15)),IF(B203="AIE",IF(I203="L",5,IF(I203="A",7,10)),IF(B203="SE",IF(I203="L",4,IF(I203="A",5,7)),IF(OR(B203="EE",B203="CE"),IF(I203="L",3,IF(I203="A",4,6)),0)))))</f>
        <v/>
      </c>
      <c r="I203" s="109" t="str">
        <f>IF(OR(ISBLANK(D203),ISBLANK(E203)),IF(OR(B203="ALI",B203="AIE"),"L",IF(OR(B203="EE",B203="SE",B203="CE"),"A","")),IF(B203="EE",IF(E203&gt;=3,IF(D203&gt;=5,"H","A"),IF(E203&gt;=2,IF(D203&gt;=16,"H",IF(D203&lt;=4,"L","A")),IF(D203&lt;=15,"L","A"))),IF(OR(B203="SE",B203="CE"),IF(E203&gt;=4,IF(D203&gt;=6,"H","A"),IF(E203&gt;=2,IF(D203&gt;=20,"H",IF(D203&lt;=5,"L","A")),IF(D203&lt;=19,"L","A"))),IF(OR(B203="ALI",B203="AIE"),IF(E203&gt;=6,IF(D203&gt;=20,"H","A"),IF(E203&gt;=2,IF(D203&gt;=51,"H",IF(D203&lt;=19,"L","A")),IF(D203&lt;=50,"L","A"))),""))))</f>
        <v/>
      </c>
      <c r="J203" s="6" t="str">
        <f>CONCATENATE(B203,C203)</f>
        <v/>
      </c>
      <c r="K203" s="120" t="str">
        <f>IF(OR(H203="",H203=0),L203,H203)</f>
        <v/>
      </c>
      <c r="L203" s="120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7"/>
      <c r="N203" s="7"/>
      <c r="O203" s="5"/>
    </row>
    <row r="204" spans="1:15" x14ac:dyDescent="0.25">
      <c r="A204" s="111"/>
      <c r="B204" s="4"/>
      <c r="C204" s="4"/>
      <c r="D204" s="6"/>
      <c r="E204" s="6"/>
      <c r="F204" s="109" t="str">
        <f t="shared" si="283"/>
        <v/>
      </c>
      <c r="G204" s="6" t="str">
        <f t="shared" si="284"/>
        <v/>
      </c>
      <c r="H204" s="6" t="str">
        <f t="shared" si="285"/>
        <v/>
      </c>
      <c r="I204" s="109" t="str">
        <f t="shared" si="286"/>
        <v/>
      </c>
      <c r="J204" s="6" t="str">
        <f t="shared" si="287"/>
        <v/>
      </c>
      <c r="K204" s="120" t="str">
        <f t="shared" si="288"/>
        <v/>
      </c>
      <c r="L204" s="120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7"/>
      <c r="N204" s="7"/>
      <c r="O204" s="5"/>
    </row>
    <row r="205" spans="1:15" x14ac:dyDescent="0.25">
      <c r="A205" s="111"/>
      <c r="B205" s="4"/>
      <c r="C205" s="4"/>
      <c r="D205" s="6"/>
      <c r="E205" s="6"/>
      <c r="F205" s="109" t="str">
        <f t="shared" si="283"/>
        <v/>
      </c>
      <c r="G205" s="6" t="str">
        <f t="shared" si="284"/>
        <v/>
      </c>
      <c r="H205" s="6" t="str">
        <f t="shared" si="285"/>
        <v/>
      </c>
      <c r="I205" s="109" t="str">
        <f t="shared" si="286"/>
        <v/>
      </c>
      <c r="J205" s="6" t="str">
        <f t="shared" si="287"/>
        <v/>
      </c>
      <c r="K205" s="120" t="str">
        <f t="shared" si="288"/>
        <v/>
      </c>
      <c r="L205" s="120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7"/>
      <c r="N205" s="7"/>
      <c r="O205" s="5"/>
    </row>
    <row r="206" spans="1:15" x14ac:dyDescent="0.25">
      <c r="A206" s="111"/>
      <c r="B206" s="4"/>
      <c r="C206" s="4"/>
      <c r="D206" s="6"/>
      <c r="E206" s="6"/>
      <c r="F206" s="109" t="str">
        <f t="shared" si="283"/>
        <v/>
      </c>
      <c r="G206" s="6" t="str">
        <f t="shared" si="284"/>
        <v/>
      </c>
      <c r="H206" s="6" t="str">
        <f t="shared" si="285"/>
        <v/>
      </c>
      <c r="I206" s="109" t="str">
        <f t="shared" si="286"/>
        <v/>
      </c>
      <c r="J206" s="6" t="str">
        <f t="shared" si="287"/>
        <v/>
      </c>
      <c r="K206" s="120" t="str">
        <f t="shared" si="288"/>
        <v/>
      </c>
      <c r="L206" s="120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7"/>
      <c r="N206" s="7"/>
      <c r="O206" s="5"/>
    </row>
    <row r="207" spans="1:15" x14ac:dyDescent="0.25">
      <c r="A207" s="111"/>
      <c r="B207" s="4"/>
      <c r="C207" s="4"/>
      <c r="D207" s="6"/>
      <c r="E207" s="6"/>
      <c r="F207" s="109" t="str">
        <f t="shared" si="283"/>
        <v/>
      </c>
      <c r="G207" s="6" t="str">
        <f t="shared" si="284"/>
        <v/>
      </c>
      <c r="H207" s="6" t="str">
        <f t="shared" si="285"/>
        <v/>
      </c>
      <c r="I207" s="109" t="str">
        <f t="shared" si="286"/>
        <v/>
      </c>
      <c r="J207" s="6" t="str">
        <f t="shared" si="287"/>
        <v/>
      </c>
      <c r="K207" s="120" t="str">
        <f t="shared" si="288"/>
        <v/>
      </c>
      <c r="L207" s="120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7"/>
      <c r="N207" s="7"/>
      <c r="O207" s="5"/>
    </row>
    <row r="208" spans="1:15" x14ac:dyDescent="0.25">
      <c r="A208" s="111"/>
      <c r="B208" s="4"/>
      <c r="C208" s="4"/>
      <c r="D208" s="6"/>
      <c r="E208" s="6"/>
      <c r="F208" s="109" t="str">
        <f t="shared" si="283"/>
        <v/>
      </c>
      <c r="G208" s="6" t="str">
        <f t="shared" si="284"/>
        <v/>
      </c>
      <c r="H208" s="6" t="str">
        <f t="shared" si="285"/>
        <v/>
      </c>
      <c r="I208" s="109" t="str">
        <f t="shared" si="286"/>
        <v/>
      </c>
      <c r="J208" s="6" t="str">
        <f t="shared" si="287"/>
        <v/>
      </c>
      <c r="K208" s="120" t="str">
        <f t="shared" si="288"/>
        <v/>
      </c>
      <c r="L208" s="120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7"/>
      <c r="N208" s="7"/>
      <c r="O208" s="5"/>
    </row>
    <row r="209" spans="1:15" x14ac:dyDescent="0.25">
      <c r="A209" s="111"/>
      <c r="B209" s="4"/>
      <c r="C209" s="4"/>
      <c r="D209" s="6"/>
      <c r="E209" s="6"/>
      <c r="F209" s="109" t="str">
        <f t="shared" si="283"/>
        <v/>
      </c>
      <c r="G209" s="6" t="str">
        <f t="shared" si="284"/>
        <v/>
      </c>
      <c r="H209" s="6" t="str">
        <f t="shared" si="285"/>
        <v/>
      </c>
      <c r="I209" s="109" t="str">
        <f t="shared" si="286"/>
        <v/>
      </c>
      <c r="J209" s="6" t="str">
        <f t="shared" si="287"/>
        <v/>
      </c>
      <c r="K209" s="120" t="str">
        <f t="shared" si="288"/>
        <v/>
      </c>
      <c r="L209" s="120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7"/>
      <c r="N209" s="7"/>
      <c r="O209" s="5"/>
    </row>
    <row r="210" spans="1:15" x14ac:dyDescent="0.25">
      <c r="A210" s="111"/>
      <c r="B210" s="4"/>
      <c r="C210" s="4"/>
      <c r="D210" s="6"/>
      <c r="E210" s="6"/>
      <c r="F210" s="109" t="str">
        <f t="shared" si="283"/>
        <v/>
      </c>
      <c r="G210" s="6" t="str">
        <f t="shared" si="284"/>
        <v/>
      </c>
      <c r="H210" s="6" t="str">
        <f t="shared" si="285"/>
        <v/>
      </c>
      <c r="I210" s="109" t="str">
        <f t="shared" si="286"/>
        <v/>
      </c>
      <c r="J210" s="6" t="str">
        <f t="shared" si="287"/>
        <v/>
      </c>
      <c r="K210" s="120" t="str">
        <f t="shared" si="288"/>
        <v/>
      </c>
      <c r="L210" s="120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7"/>
      <c r="N210" s="7"/>
      <c r="O210" s="5"/>
    </row>
    <row r="211" spans="1:15" x14ac:dyDescent="0.25">
      <c r="A211" s="113"/>
      <c r="B211" s="4"/>
      <c r="C211" s="4"/>
      <c r="D211" s="6"/>
      <c r="E211" s="6"/>
      <c r="F211" s="109" t="str">
        <f t="shared" si="283"/>
        <v/>
      </c>
      <c r="G211" s="6" t="str">
        <f t="shared" si="284"/>
        <v/>
      </c>
      <c r="H211" s="6" t="str">
        <f t="shared" si="285"/>
        <v/>
      </c>
      <c r="I211" s="109" t="str">
        <f t="shared" si="286"/>
        <v/>
      </c>
      <c r="J211" s="6" t="str">
        <f t="shared" si="287"/>
        <v/>
      </c>
      <c r="K211" s="120" t="str">
        <f t="shared" si="288"/>
        <v/>
      </c>
      <c r="L211" s="120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7"/>
      <c r="N211" s="7"/>
      <c r="O211" s="5"/>
    </row>
    <row r="212" spans="1:15" x14ac:dyDescent="0.25">
      <c r="A212" s="111"/>
      <c r="B212" s="4"/>
      <c r="C212" s="4"/>
      <c r="D212" s="6"/>
      <c r="E212" s="6"/>
      <c r="F212" s="109" t="str">
        <f t="shared" si="283"/>
        <v/>
      </c>
      <c r="G212" s="6" t="str">
        <f t="shared" si="284"/>
        <v/>
      </c>
      <c r="H212" s="6" t="str">
        <f t="shared" si="285"/>
        <v/>
      </c>
      <c r="I212" s="109" t="str">
        <f t="shared" si="286"/>
        <v/>
      </c>
      <c r="J212" s="6" t="str">
        <f t="shared" si="287"/>
        <v/>
      </c>
      <c r="K212" s="120" t="str">
        <f t="shared" si="288"/>
        <v/>
      </c>
      <c r="L212" s="120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7"/>
      <c r="N212" s="7"/>
      <c r="O212" s="5"/>
    </row>
    <row r="213" spans="1:15" x14ac:dyDescent="0.25">
      <c r="A213" s="111"/>
      <c r="B213" s="4"/>
      <c r="C213" s="4"/>
      <c r="D213" s="6"/>
      <c r="E213" s="6"/>
      <c r="F213" s="109" t="str">
        <f t="shared" si="283"/>
        <v/>
      </c>
      <c r="G213" s="6" t="str">
        <f t="shared" si="284"/>
        <v/>
      </c>
      <c r="H213" s="6" t="str">
        <f t="shared" si="285"/>
        <v/>
      </c>
      <c r="I213" s="109" t="str">
        <f t="shared" si="286"/>
        <v/>
      </c>
      <c r="J213" s="6" t="str">
        <f t="shared" si="287"/>
        <v/>
      </c>
      <c r="K213" s="120" t="str">
        <f t="shared" si="288"/>
        <v/>
      </c>
      <c r="L213" s="120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7"/>
      <c r="N213" s="7"/>
      <c r="O213" s="5"/>
    </row>
    <row r="214" spans="1:15" x14ac:dyDescent="0.25">
      <c r="A214" s="111"/>
      <c r="B214" s="4"/>
      <c r="C214" s="4"/>
      <c r="D214" s="6"/>
      <c r="E214" s="6"/>
      <c r="F214" s="109" t="str">
        <f t="shared" si="283"/>
        <v/>
      </c>
      <c r="G214" s="6" t="str">
        <f t="shared" si="284"/>
        <v/>
      </c>
      <c r="H214" s="6" t="str">
        <f t="shared" si="285"/>
        <v/>
      </c>
      <c r="I214" s="109" t="str">
        <f t="shared" si="286"/>
        <v/>
      </c>
      <c r="J214" s="6" t="str">
        <f t="shared" si="287"/>
        <v/>
      </c>
      <c r="K214" s="120" t="str">
        <f t="shared" si="288"/>
        <v/>
      </c>
      <c r="L214" s="120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7"/>
      <c r="N214" s="7"/>
      <c r="O214" s="5"/>
    </row>
    <row r="215" spans="1:15" x14ac:dyDescent="0.25">
      <c r="A215" s="111"/>
      <c r="B215" s="4"/>
      <c r="C215" s="4"/>
      <c r="D215" s="6"/>
      <c r="E215" s="6"/>
      <c r="F215" s="109" t="str">
        <f t="shared" si="283"/>
        <v/>
      </c>
      <c r="G215" s="6" t="str">
        <f t="shared" si="284"/>
        <v/>
      </c>
      <c r="H215" s="6" t="str">
        <f t="shared" si="285"/>
        <v/>
      </c>
      <c r="I215" s="109" t="str">
        <f t="shared" si="286"/>
        <v/>
      </c>
      <c r="J215" s="6" t="str">
        <f t="shared" si="287"/>
        <v/>
      </c>
      <c r="K215" s="120" t="str">
        <f t="shared" si="288"/>
        <v/>
      </c>
      <c r="L215" s="120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7"/>
      <c r="N215" s="7"/>
      <c r="O215" s="5"/>
    </row>
    <row r="216" spans="1:15" x14ac:dyDescent="0.25">
      <c r="A216" s="111"/>
      <c r="B216" s="4"/>
      <c r="C216" s="4"/>
      <c r="D216" s="6"/>
      <c r="E216" s="6"/>
      <c r="F216" s="109" t="str">
        <f t="shared" si="283"/>
        <v/>
      </c>
      <c r="G216" s="6" t="str">
        <f t="shared" si="284"/>
        <v/>
      </c>
      <c r="H216" s="6" t="str">
        <f t="shared" si="285"/>
        <v/>
      </c>
      <c r="I216" s="109" t="str">
        <f t="shared" si="286"/>
        <v/>
      </c>
      <c r="J216" s="6" t="str">
        <f t="shared" si="287"/>
        <v/>
      </c>
      <c r="K216" s="120" t="str">
        <f t="shared" si="288"/>
        <v/>
      </c>
      <c r="L216" s="120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7"/>
      <c r="N216" s="7"/>
      <c r="O216" s="5"/>
    </row>
    <row r="217" spans="1:15" x14ac:dyDescent="0.25">
      <c r="A217" s="111"/>
      <c r="B217" s="4"/>
      <c r="C217" s="4"/>
      <c r="D217" s="6"/>
      <c r="E217" s="6"/>
      <c r="F217" s="109" t="str">
        <f t="shared" si="283"/>
        <v/>
      </c>
      <c r="G217" s="6" t="str">
        <f t="shared" si="284"/>
        <v/>
      </c>
      <c r="H217" s="6" t="str">
        <f t="shared" si="285"/>
        <v/>
      </c>
      <c r="I217" s="109" t="str">
        <f t="shared" si="286"/>
        <v/>
      </c>
      <c r="J217" s="6" t="str">
        <f t="shared" si="287"/>
        <v/>
      </c>
      <c r="K217" s="120" t="str">
        <f t="shared" si="288"/>
        <v/>
      </c>
      <c r="L217" s="120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7"/>
      <c r="N217" s="7"/>
      <c r="O217" s="5"/>
    </row>
    <row r="218" spans="1:15" x14ac:dyDescent="0.25">
      <c r="A218" s="111"/>
      <c r="B218" s="4"/>
      <c r="C218" s="4"/>
      <c r="D218" s="6"/>
      <c r="E218" s="6"/>
      <c r="F218" s="109" t="str">
        <f t="shared" si="283"/>
        <v/>
      </c>
      <c r="G218" s="6" t="str">
        <f t="shared" si="284"/>
        <v/>
      </c>
      <c r="H218" s="6" t="str">
        <f t="shared" si="285"/>
        <v/>
      </c>
      <c r="I218" s="109" t="str">
        <f t="shared" si="286"/>
        <v/>
      </c>
      <c r="J218" s="6" t="str">
        <f t="shared" si="287"/>
        <v/>
      </c>
      <c r="K218" s="120" t="str">
        <f t="shared" si="288"/>
        <v/>
      </c>
      <c r="L218" s="120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7"/>
      <c r="N218" s="7"/>
      <c r="O218" s="5"/>
    </row>
    <row r="219" spans="1:15" x14ac:dyDescent="0.25">
      <c r="A219" s="111"/>
      <c r="B219" s="4"/>
      <c r="C219" s="4"/>
      <c r="D219" s="6"/>
      <c r="E219" s="6"/>
      <c r="F219" s="109" t="str">
        <f t="shared" si="283"/>
        <v/>
      </c>
      <c r="G219" s="6" t="str">
        <f t="shared" si="284"/>
        <v/>
      </c>
      <c r="H219" s="6" t="str">
        <f t="shared" si="285"/>
        <v/>
      </c>
      <c r="I219" s="109" t="str">
        <f t="shared" si="286"/>
        <v/>
      </c>
      <c r="J219" s="6" t="str">
        <f t="shared" si="287"/>
        <v/>
      </c>
      <c r="K219" s="120" t="str">
        <f t="shared" si="288"/>
        <v/>
      </c>
      <c r="L219" s="120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7"/>
      <c r="N219" s="7"/>
      <c r="O219" s="5"/>
    </row>
    <row r="220" spans="1:15" x14ac:dyDescent="0.25">
      <c r="A220" s="111"/>
      <c r="B220" s="4"/>
      <c r="C220" s="4"/>
      <c r="D220" s="6"/>
      <c r="E220" s="6"/>
      <c r="F220" s="109" t="str">
        <f t="shared" si="283"/>
        <v/>
      </c>
      <c r="G220" s="6" t="str">
        <f t="shared" si="284"/>
        <v/>
      </c>
      <c r="H220" s="6" t="str">
        <f t="shared" si="285"/>
        <v/>
      </c>
      <c r="I220" s="109" t="str">
        <f t="shared" si="286"/>
        <v/>
      </c>
      <c r="J220" s="6" t="str">
        <f t="shared" si="287"/>
        <v/>
      </c>
      <c r="K220" s="120" t="str">
        <f t="shared" si="288"/>
        <v/>
      </c>
      <c r="L220" s="120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7"/>
      <c r="N220" s="7"/>
      <c r="O220" s="5"/>
    </row>
    <row r="221" spans="1:15" x14ac:dyDescent="0.25">
      <c r="A221" s="113"/>
      <c r="B221" s="4"/>
      <c r="C221" s="4"/>
      <c r="D221" s="6"/>
      <c r="E221" s="6"/>
      <c r="F221" s="109" t="str">
        <f t="shared" si="283"/>
        <v/>
      </c>
      <c r="G221" s="6" t="str">
        <f t="shared" si="284"/>
        <v/>
      </c>
      <c r="H221" s="6" t="str">
        <f t="shared" si="285"/>
        <v/>
      </c>
      <c r="I221" s="109" t="str">
        <f t="shared" si="286"/>
        <v/>
      </c>
      <c r="J221" s="6" t="str">
        <f t="shared" si="287"/>
        <v/>
      </c>
      <c r="K221" s="120" t="str">
        <f t="shared" si="288"/>
        <v/>
      </c>
      <c r="L221" s="120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7"/>
      <c r="N221" s="7"/>
      <c r="O221" s="5"/>
    </row>
    <row r="222" spans="1:15" x14ac:dyDescent="0.25">
      <c r="A222" s="111"/>
      <c r="B222" s="4"/>
      <c r="C222" s="4"/>
      <c r="D222" s="6"/>
      <c r="E222" s="6"/>
      <c r="F222" s="109" t="str">
        <f t="shared" si="283"/>
        <v/>
      </c>
      <c r="G222" s="6" t="str">
        <f t="shared" si="284"/>
        <v/>
      </c>
      <c r="H222" s="6" t="str">
        <f t="shared" si="285"/>
        <v/>
      </c>
      <c r="I222" s="109" t="str">
        <f t="shared" si="286"/>
        <v/>
      </c>
      <c r="J222" s="6" t="str">
        <f t="shared" si="287"/>
        <v/>
      </c>
      <c r="K222" s="120" t="str">
        <f t="shared" si="288"/>
        <v/>
      </c>
      <c r="L222" s="120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7"/>
      <c r="N222" s="7"/>
      <c r="O222" s="5"/>
    </row>
    <row r="223" spans="1:15" x14ac:dyDescent="0.25">
      <c r="A223" s="111"/>
      <c r="B223" s="4"/>
      <c r="C223" s="4"/>
      <c r="D223" s="6"/>
      <c r="E223" s="6"/>
      <c r="F223" s="109" t="str">
        <f t="shared" si="283"/>
        <v/>
      </c>
      <c r="G223" s="6" t="str">
        <f t="shared" si="284"/>
        <v/>
      </c>
      <c r="H223" s="6" t="str">
        <f t="shared" si="285"/>
        <v/>
      </c>
      <c r="I223" s="109" t="str">
        <f t="shared" si="286"/>
        <v/>
      </c>
      <c r="J223" s="6" t="str">
        <f t="shared" si="287"/>
        <v/>
      </c>
      <c r="K223" s="120" t="str">
        <f t="shared" si="288"/>
        <v/>
      </c>
      <c r="L223" s="120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7"/>
      <c r="N223" s="7"/>
      <c r="O223" s="5"/>
    </row>
    <row r="224" spans="1:15" x14ac:dyDescent="0.25">
      <c r="A224" s="111"/>
      <c r="B224" s="4"/>
      <c r="C224" s="4"/>
      <c r="D224" s="6"/>
      <c r="E224" s="6"/>
      <c r="F224" s="109" t="str">
        <f t="shared" si="283"/>
        <v/>
      </c>
      <c r="G224" s="6" t="str">
        <f t="shared" si="284"/>
        <v/>
      </c>
      <c r="H224" s="6" t="str">
        <f t="shared" si="285"/>
        <v/>
      </c>
      <c r="I224" s="109" t="str">
        <f t="shared" si="286"/>
        <v/>
      </c>
      <c r="J224" s="6" t="str">
        <f t="shared" si="287"/>
        <v/>
      </c>
      <c r="K224" s="120" t="str">
        <f t="shared" si="288"/>
        <v/>
      </c>
      <c r="L224" s="120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7"/>
      <c r="N224" s="7"/>
      <c r="O224" s="5"/>
    </row>
    <row r="225" spans="1:15" x14ac:dyDescent="0.25">
      <c r="A225" s="113"/>
      <c r="B225" s="4"/>
      <c r="C225" s="4"/>
      <c r="D225" s="6"/>
      <c r="E225" s="6"/>
      <c r="F225" s="109" t="str">
        <f t="shared" si="283"/>
        <v/>
      </c>
      <c r="G225" s="6" t="str">
        <f t="shared" si="284"/>
        <v/>
      </c>
      <c r="H225" s="6" t="str">
        <f t="shared" si="285"/>
        <v/>
      </c>
      <c r="I225" s="109" t="str">
        <f t="shared" si="286"/>
        <v/>
      </c>
      <c r="J225" s="6" t="str">
        <f t="shared" si="287"/>
        <v/>
      </c>
      <c r="K225" s="120" t="str">
        <f t="shared" si="288"/>
        <v/>
      </c>
      <c r="L225" s="120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7"/>
      <c r="N225" s="7"/>
      <c r="O225" s="5"/>
    </row>
    <row r="226" spans="1:15" x14ac:dyDescent="0.25">
      <c r="A226" s="111"/>
      <c r="B226" s="4"/>
      <c r="C226" s="4"/>
      <c r="D226" s="6"/>
      <c r="E226" s="6"/>
      <c r="F226" s="109" t="str">
        <f t="shared" si="283"/>
        <v/>
      </c>
      <c r="G226" s="6" t="str">
        <f t="shared" si="284"/>
        <v/>
      </c>
      <c r="H226" s="6" t="str">
        <f t="shared" si="285"/>
        <v/>
      </c>
      <c r="I226" s="109" t="str">
        <f t="shared" si="286"/>
        <v/>
      </c>
      <c r="J226" s="6" t="str">
        <f t="shared" si="287"/>
        <v/>
      </c>
      <c r="K226" s="120" t="str">
        <f t="shared" si="288"/>
        <v/>
      </c>
      <c r="L226" s="120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7"/>
      <c r="N226" s="7"/>
      <c r="O226" s="5"/>
    </row>
    <row r="227" spans="1:15" x14ac:dyDescent="0.25">
      <c r="A227" s="111"/>
      <c r="B227" s="4"/>
      <c r="C227" s="4"/>
      <c r="D227" s="6"/>
      <c r="E227" s="6"/>
      <c r="F227" s="109" t="str">
        <f t="shared" si="283"/>
        <v/>
      </c>
      <c r="G227" s="6" t="str">
        <f t="shared" si="284"/>
        <v/>
      </c>
      <c r="H227" s="6" t="str">
        <f t="shared" si="285"/>
        <v/>
      </c>
      <c r="I227" s="109" t="str">
        <f t="shared" si="286"/>
        <v/>
      </c>
      <c r="J227" s="6" t="str">
        <f t="shared" si="287"/>
        <v/>
      </c>
      <c r="K227" s="120" t="str">
        <f t="shared" si="288"/>
        <v/>
      </c>
      <c r="L227" s="120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7"/>
      <c r="N227" s="7"/>
      <c r="O227" s="5"/>
    </row>
    <row r="228" spans="1:15" ht="14.25" customHeight="1" x14ac:dyDescent="0.25">
      <c r="A228" s="111"/>
      <c r="B228" s="4"/>
      <c r="C228" s="4"/>
      <c r="D228" s="6"/>
      <c r="E228" s="6"/>
      <c r="F228" s="109" t="str">
        <f t="shared" si="283"/>
        <v/>
      </c>
      <c r="G228" s="6" t="str">
        <f t="shared" si="284"/>
        <v/>
      </c>
      <c r="H228" s="6" t="str">
        <f t="shared" si="285"/>
        <v/>
      </c>
      <c r="I228" s="109" t="str">
        <f t="shared" si="286"/>
        <v/>
      </c>
      <c r="J228" s="6" t="str">
        <f t="shared" si="287"/>
        <v/>
      </c>
      <c r="K228" s="120" t="str">
        <f t="shared" si="288"/>
        <v/>
      </c>
      <c r="L228" s="120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7"/>
      <c r="N228" s="7"/>
      <c r="O228" s="5"/>
    </row>
    <row r="229" spans="1:15" x14ac:dyDescent="0.25">
      <c r="A229" s="111"/>
      <c r="B229" s="4"/>
      <c r="C229" s="4"/>
      <c r="D229" s="6"/>
      <c r="E229" s="6"/>
      <c r="F229" s="109" t="str">
        <f t="shared" ref="F229:F245" si="289">IF(ISBLANK(B229),"",IF(I229="L","Baixa",IF(I229="A","Média",IF(I229="","","Alta"))))</f>
        <v/>
      </c>
      <c r="G229" s="6" t="str">
        <f t="shared" ref="G229:G245" si="290">CONCATENATE(B229,I229)</f>
        <v/>
      </c>
      <c r="H229" s="6" t="str">
        <f t="shared" ref="H229:H245" si="291">IF(ISBLANK(B229),"",IF(B229="ALI",IF(I229="L",7,IF(I229="A",10,15)),IF(B229="AIE",IF(I229="L",5,IF(I229="A",7,10)),IF(B229="SE",IF(I229="L",4,IF(I229="A",5,7)),IF(OR(B229="EE",B229="CE"),IF(I229="L",3,IF(I229="A",4,6)),0)))))</f>
        <v/>
      </c>
      <c r="I229" s="109" t="str">
        <f t="shared" ref="I229:I245" si="292">IF(OR(ISBLANK(D229),ISBLANK(E229)),IF(OR(B229="ALI",B229="AIE"),"L",IF(OR(B229="EE",B229="SE",B229="CE"),"A","")),IF(B229="EE",IF(E229&gt;=3,IF(D229&gt;=5,"H","A"),IF(E229&gt;=2,IF(D229&gt;=16,"H",IF(D229&lt;=4,"L","A")),IF(D229&lt;=15,"L","A"))),IF(OR(B229="SE",B229="CE"),IF(E229&gt;=4,IF(D229&gt;=6,"H","A"),IF(E229&gt;=2,IF(D229&gt;=20,"H",IF(D229&lt;=5,"L","A")),IF(D229&lt;=19,"L","A"))),IF(OR(B229="ALI",B229="AIE"),IF(E229&gt;=6,IF(D229&gt;=20,"H","A"),IF(E229&gt;=2,IF(D229&gt;=51,"H",IF(D229&lt;=19,"L","A")),IF(D229&lt;=50,"L","A"))),""))))</f>
        <v/>
      </c>
      <c r="J229" s="6" t="str">
        <f t="shared" ref="J229:J245" si="293">CONCATENATE(B229,C229)</f>
        <v/>
      </c>
      <c r="K229" s="120" t="str">
        <f t="shared" ref="K229:K245" si="294">IF(OR(H229="",H229=0),L229,H229)</f>
        <v/>
      </c>
      <c r="L229" s="120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7"/>
      <c r="N229" s="7"/>
      <c r="O229" s="5"/>
    </row>
    <row r="230" spans="1:15" x14ac:dyDescent="0.25">
      <c r="A230" s="111"/>
      <c r="B230" s="4"/>
      <c r="C230" s="4"/>
      <c r="D230" s="6"/>
      <c r="E230" s="6"/>
      <c r="F230" s="109" t="str">
        <f t="shared" si="289"/>
        <v/>
      </c>
      <c r="G230" s="6" t="str">
        <f t="shared" si="290"/>
        <v/>
      </c>
      <c r="H230" s="6" t="str">
        <f t="shared" si="291"/>
        <v/>
      </c>
      <c r="I230" s="109" t="str">
        <f t="shared" si="292"/>
        <v/>
      </c>
      <c r="J230" s="6" t="str">
        <f t="shared" si="293"/>
        <v/>
      </c>
      <c r="K230" s="120" t="str">
        <f t="shared" si="294"/>
        <v/>
      </c>
      <c r="L230" s="120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7"/>
      <c r="N230" s="7"/>
      <c r="O230" s="5"/>
    </row>
    <row r="231" spans="1:15" x14ac:dyDescent="0.25">
      <c r="A231" s="111"/>
      <c r="B231" s="4"/>
      <c r="C231" s="4"/>
      <c r="D231" s="6"/>
      <c r="E231" s="6"/>
      <c r="F231" s="109" t="str">
        <f t="shared" si="289"/>
        <v/>
      </c>
      <c r="G231" s="6" t="str">
        <f t="shared" si="290"/>
        <v/>
      </c>
      <c r="H231" s="6" t="str">
        <f t="shared" si="291"/>
        <v/>
      </c>
      <c r="I231" s="109" t="str">
        <f t="shared" si="292"/>
        <v/>
      </c>
      <c r="J231" s="6" t="str">
        <f t="shared" si="293"/>
        <v/>
      </c>
      <c r="K231" s="120" t="str">
        <f t="shared" si="294"/>
        <v/>
      </c>
      <c r="L231" s="120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7"/>
      <c r="N231" s="7"/>
      <c r="O231" s="5"/>
    </row>
    <row r="232" spans="1:15" x14ac:dyDescent="0.25">
      <c r="A232" s="111"/>
      <c r="B232" s="4"/>
      <c r="C232" s="4"/>
      <c r="D232" s="6"/>
      <c r="E232" s="6"/>
      <c r="F232" s="109" t="str">
        <f t="shared" si="289"/>
        <v/>
      </c>
      <c r="G232" s="6" t="str">
        <f t="shared" si="290"/>
        <v/>
      </c>
      <c r="H232" s="6" t="str">
        <f t="shared" si="291"/>
        <v/>
      </c>
      <c r="I232" s="109" t="str">
        <f t="shared" si="292"/>
        <v/>
      </c>
      <c r="J232" s="6" t="str">
        <f t="shared" si="293"/>
        <v/>
      </c>
      <c r="K232" s="120" t="str">
        <f t="shared" si="294"/>
        <v/>
      </c>
      <c r="L232" s="120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7"/>
      <c r="N232" s="7"/>
      <c r="O232" s="5"/>
    </row>
    <row r="233" spans="1:15" x14ac:dyDescent="0.25">
      <c r="A233" s="111"/>
      <c r="B233" s="4"/>
      <c r="C233" s="4"/>
      <c r="D233" s="6"/>
      <c r="E233" s="6"/>
      <c r="F233" s="109" t="str">
        <f t="shared" si="289"/>
        <v/>
      </c>
      <c r="G233" s="6" t="str">
        <f t="shared" si="290"/>
        <v/>
      </c>
      <c r="H233" s="6" t="str">
        <f t="shared" si="291"/>
        <v/>
      </c>
      <c r="I233" s="109" t="str">
        <f t="shared" si="292"/>
        <v/>
      </c>
      <c r="J233" s="6" t="str">
        <f t="shared" si="293"/>
        <v/>
      </c>
      <c r="K233" s="120" t="str">
        <f t="shared" si="294"/>
        <v/>
      </c>
      <c r="L233" s="120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7"/>
      <c r="N233" s="7"/>
      <c r="O233" s="5"/>
    </row>
    <row r="234" spans="1:15" ht="14.25" customHeight="1" x14ac:dyDescent="0.25">
      <c r="A234" s="111"/>
      <c r="B234" s="4"/>
      <c r="C234" s="4"/>
      <c r="D234" s="6"/>
      <c r="E234" s="6"/>
      <c r="F234" s="109" t="str">
        <f t="shared" si="289"/>
        <v/>
      </c>
      <c r="G234" s="6" t="str">
        <f t="shared" si="290"/>
        <v/>
      </c>
      <c r="H234" s="6" t="str">
        <f t="shared" si="291"/>
        <v/>
      </c>
      <c r="I234" s="109" t="str">
        <f t="shared" si="292"/>
        <v/>
      </c>
      <c r="J234" s="6" t="str">
        <f t="shared" si="293"/>
        <v/>
      </c>
      <c r="K234" s="120" t="str">
        <f t="shared" si="294"/>
        <v/>
      </c>
      <c r="L234" s="120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7"/>
      <c r="N234" s="7"/>
      <c r="O234" s="5"/>
    </row>
    <row r="235" spans="1:15" ht="14.25" customHeight="1" x14ac:dyDescent="0.25">
      <c r="A235" s="111"/>
      <c r="B235" s="4"/>
      <c r="C235" s="4"/>
      <c r="D235" s="6"/>
      <c r="E235" s="6"/>
      <c r="F235" s="109" t="str">
        <f t="shared" si="289"/>
        <v/>
      </c>
      <c r="G235" s="6" t="str">
        <f t="shared" si="290"/>
        <v/>
      </c>
      <c r="H235" s="6" t="str">
        <f t="shared" si="291"/>
        <v/>
      </c>
      <c r="I235" s="109" t="str">
        <f t="shared" si="292"/>
        <v/>
      </c>
      <c r="J235" s="6" t="str">
        <f t="shared" si="293"/>
        <v/>
      </c>
      <c r="K235" s="120" t="str">
        <f t="shared" si="294"/>
        <v/>
      </c>
      <c r="L235" s="120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7"/>
      <c r="N235" s="7"/>
      <c r="O235" s="5"/>
    </row>
    <row r="236" spans="1:15" ht="14.25" customHeight="1" x14ac:dyDescent="0.25">
      <c r="A236" s="111"/>
      <c r="B236" s="4"/>
      <c r="C236" s="4"/>
      <c r="D236" s="6"/>
      <c r="E236" s="6"/>
      <c r="F236" s="109" t="str">
        <f t="shared" si="289"/>
        <v/>
      </c>
      <c r="G236" s="6" t="str">
        <f t="shared" si="290"/>
        <v/>
      </c>
      <c r="H236" s="6" t="str">
        <f t="shared" si="291"/>
        <v/>
      </c>
      <c r="I236" s="109" t="str">
        <f t="shared" si="292"/>
        <v/>
      </c>
      <c r="J236" s="6" t="str">
        <f t="shared" si="293"/>
        <v/>
      </c>
      <c r="K236" s="120" t="str">
        <f t="shared" si="294"/>
        <v/>
      </c>
      <c r="L236" s="120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7"/>
      <c r="N236" s="7"/>
      <c r="O236" s="5"/>
    </row>
    <row r="237" spans="1:15" ht="14.25" customHeight="1" x14ac:dyDescent="0.25">
      <c r="A237" s="111"/>
      <c r="B237" s="4"/>
      <c r="C237" s="4"/>
      <c r="D237" s="6"/>
      <c r="E237" s="6"/>
      <c r="F237" s="109" t="str">
        <f t="shared" si="289"/>
        <v/>
      </c>
      <c r="G237" s="6" t="str">
        <f t="shared" si="290"/>
        <v/>
      </c>
      <c r="H237" s="6" t="str">
        <f t="shared" si="291"/>
        <v/>
      </c>
      <c r="I237" s="109" t="str">
        <f t="shared" si="292"/>
        <v/>
      </c>
      <c r="J237" s="6" t="str">
        <f t="shared" si="293"/>
        <v/>
      </c>
      <c r="K237" s="120" t="str">
        <f t="shared" si="294"/>
        <v/>
      </c>
      <c r="L237" s="120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7"/>
      <c r="N237" s="7"/>
      <c r="O237" s="5"/>
    </row>
    <row r="238" spans="1:15" ht="14.25" customHeight="1" x14ac:dyDescent="0.25">
      <c r="A238" s="111"/>
      <c r="B238" s="4"/>
      <c r="C238" s="4"/>
      <c r="D238" s="6"/>
      <c r="E238" s="6"/>
      <c r="F238" s="109" t="str">
        <f t="shared" si="289"/>
        <v/>
      </c>
      <c r="G238" s="6" t="str">
        <f t="shared" si="290"/>
        <v/>
      </c>
      <c r="H238" s="6" t="str">
        <f t="shared" si="291"/>
        <v/>
      </c>
      <c r="I238" s="109" t="str">
        <f t="shared" si="292"/>
        <v/>
      </c>
      <c r="J238" s="6" t="str">
        <f t="shared" si="293"/>
        <v/>
      </c>
      <c r="K238" s="120" t="str">
        <f t="shared" si="294"/>
        <v/>
      </c>
      <c r="L238" s="120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7"/>
      <c r="N238" s="7"/>
      <c r="O238" s="5"/>
    </row>
    <row r="239" spans="1:15" ht="14.25" customHeight="1" x14ac:dyDescent="0.25">
      <c r="A239" s="111"/>
      <c r="B239" s="4"/>
      <c r="C239" s="4"/>
      <c r="D239" s="6"/>
      <c r="E239" s="6"/>
      <c r="F239" s="109" t="str">
        <f t="shared" si="289"/>
        <v/>
      </c>
      <c r="G239" s="6" t="str">
        <f t="shared" si="290"/>
        <v/>
      </c>
      <c r="H239" s="6" t="str">
        <f t="shared" si="291"/>
        <v/>
      </c>
      <c r="I239" s="109" t="str">
        <f t="shared" si="292"/>
        <v/>
      </c>
      <c r="J239" s="6" t="str">
        <f t="shared" si="293"/>
        <v/>
      </c>
      <c r="K239" s="120" t="str">
        <f t="shared" si="294"/>
        <v/>
      </c>
      <c r="L239" s="120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7"/>
      <c r="N239" s="7"/>
      <c r="O239" s="5"/>
    </row>
    <row r="240" spans="1:15" ht="14.25" customHeight="1" x14ac:dyDescent="0.25">
      <c r="A240" s="111"/>
      <c r="B240" s="4"/>
      <c r="C240" s="4"/>
      <c r="D240" s="6"/>
      <c r="E240" s="6"/>
      <c r="F240" s="109" t="str">
        <f t="shared" si="289"/>
        <v/>
      </c>
      <c r="G240" s="6" t="str">
        <f t="shared" si="290"/>
        <v/>
      </c>
      <c r="H240" s="6" t="str">
        <f t="shared" si="291"/>
        <v/>
      </c>
      <c r="I240" s="109" t="str">
        <f t="shared" si="292"/>
        <v/>
      </c>
      <c r="J240" s="6" t="str">
        <f t="shared" si="293"/>
        <v/>
      </c>
      <c r="K240" s="120" t="str">
        <f t="shared" si="294"/>
        <v/>
      </c>
      <c r="L240" s="120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7"/>
      <c r="N240" s="7"/>
      <c r="O240" s="5"/>
    </row>
    <row r="241" spans="1:15" ht="14.25" customHeight="1" x14ac:dyDescent="0.25">
      <c r="A241" s="111"/>
      <c r="B241" s="4"/>
      <c r="C241" s="4"/>
      <c r="D241" s="6"/>
      <c r="E241" s="6"/>
      <c r="F241" s="109" t="str">
        <f t="shared" si="289"/>
        <v/>
      </c>
      <c r="G241" s="6" t="str">
        <f t="shared" si="290"/>
        <v/>
      </c>
      <c r="H241" s="6" t="str">
        <f t="shared" si="291"/>
        <v/>
      </c>
      <c r="I241" s="109" t="str">
        <f t="shared" si="292"/>
        <v/>
      </c>
      <c r="J241" s="6" t="str">
        <f t="shared" si="293"/>
        <v/>
      </c>
      <c r="K241" s="120" t="str">
        <f t="shared" si="294"/>
        <v/>
      </c>
      <c r="L241" s="120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7"/>
      <c r="N241" s="7"/>
      <c r="O241" s="5"/>
    </row>
    <row r="242" spans="1:15" ht="14.25" customHeight="1" x14ac:dyDescent="0.25">
      <c r="A242" s="111"/>
      <c r="B242" s="4"/>
      <c r="C242" s="4"/>
      <c r="D242" s="6"/>
      <c r="E242" s="6"/>
      <c r="F242" s="109" t="str">
        <f t="shared" si="289"/>
        <v/>
      </c>
      <c r="G242" s="6" t="str">
        <f t="shared" si="290"/>
        <v/>
      </c>
      <c r="H242" s="6" t="str">
        <f t="shared" si="291"/>
        <v/>
      </c>
      <c r="I242" s="109" t="str">
        <f t="shared" si="292"/>
        <v/>
      </c>
      <c r="J242" s="6" t="str">
        <f t="shared" si="293"/>
        <v/>
      </c>
      <c r="K242" s="120" t="str">
        <f t="shared" si="294"/>
        <v/>
      </c>
      <c r="L242" s="120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7"/>
      <c r="N242" s="7"/>
      <c r="O242" s="5"/>
    </row>
    <row r="243" spans="1:15" ht="14.25" customHeight="1" x14ac:dyDescent="0.25">
      <c r="A243" s="111"/>
      <c r="B243" s="4"/>
      <c r="C243" s="4"/>
      <c r="D243" s="6"/>
      <c r="E243" s="6"/>
      <c r="F243" s="109" t="str">
        <f t="shared" si="289"/>
        <v/>
      </c>
      <c r="G243" s="6" t="str">
        <f t="shared" si="290"/>
        <v/>
      </c>
      <c r="H243" s="6" t="str">
        <f t="shared" si="291"/>
        <v/>
      </c>
      <c r="I243" s="109" t="str">
        <f t="shared" si="292"/>
        <v/>
      </c>
      <c r="J243" s="6" t="str">
        <f t="shared" si="293"/>
        <v/>
      </c>
      <c r="K243" s="120" t="str">
        <f t="shared" si="294"/>
        <v/>
      </c>
      <c r="L243" s="120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7"/>
      <c r="N243" s="7"/>
      <c r="O243" s="5"/>
    </row>
    <row r="244" spans="1:15" ht="14.25" customHeight="1" x14ac:dyDescent="0.25">
      <c r="A244" s="111"/>
      <c r="B244" s="4"/>
      <c r="C244" s="4"/>
      <c r="D244" s="6"/>
      <c r="E244" s="6"/>
      <c r="F244" s="109" t="str">
        <f t="shared" si="289"/>
        <v/>
      </c>
      <c r="G244" s="6" t="str">
        <f t="shared" si="290"/>
        <v/>
      </c>
      <c r="H244" s="6" t="str">
        <f t="shared" si="291"/>
        <v/>
      </c>
      <c r="I244" s="109" t="str">
        <f t="shared" si="292"/>
        <v/>
      </c>
      <c r="J244" s="6" t="str">
        <f t="shared" si="293"/>
        <v/>
      </c>
      <c r="K244" s="120" t="str">
        <f t="shared" si="294"/>
        <v/>
      </c>
      <c r="L244" s="120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7"/>
      <c r="N244" s="7"/>
      <c r="O244" s="5"/>
    </row>
    <row r="245" spans="1:15" ht="14.25" customHeight="1" x14ac:dyDescent="0.25">
      <c r="A245" s="113"/>
      <c r="B245" s="4"/>
      <c r="C245" s="4"/>
      <c r="D245" s="6"/>
      <c r="E245" s="6"/>
      <c r="F245" s="109" t="str">
        <f t="shared" si="289"/>
        <v/>
      </c>
      <c r="G245" s="6" t="str">
        <f t="shared" si="290"/>
        <v/>
      </c>
      <c r="H245" s="6" t="str">
        <f t="shared" si="291"/>
        <v/>
      </c>
      <c r="I245" s="109" t="str">
        <f t="shared" si="292"/>
        <v/>
      </c>
      <c r="J245" s="6" t="str">
        <f t="shared" si="293"/>
        <v/>
      </c>
      <c r="K245" s="120" t="str">
        <f t="shared" si="294"/>
        <v/>
      </c>
      <c r="L245" s="120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7"/>
      <c r="N245" s="7"/>
      <c r="O245" s="5"/>
    </row>
    <row r="246" spans="1:15" x14ac:dyDescent="0.25">
      <c r="A246" s="113"/>
      <c r="B246" s="4"/>
      <c r="C246" s="4"/>
      <c r="D246" s="6"/>
      <c r="E246" s="6"/>
      <c r="F246" s="109" t="str">
        <f t="shared" si="283"/>
        <v/>
      </c>
      <c r="G246" s="6" t="str">
        <f t="shared" si="284"/>
        <v/>
      </c>
      <c r="H246" s="6" t="str">
        <f t="shared" si="285"/>
        <v/>
      </c>
      <c r="I246" s="109" t="str">
        <f t="shared" si="286"/>
        <v/>
      </c>
      <c r="J246" s="6" t="str">
        <f t="shared" si="287"/>
        <v/>
      </c>
      <c r="K246" s="120" t="str">
        <f t="shared" si="288"/>
        <v/>
      </c>
      <c r="L246" s="120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7"/>
      <c r="N246" s="7"/>
      <c r="O246" s="5"/>
    </row>
    <row r="247" spans="1:15" x14ac:dyDescent="0.25">
      <c r="A247" s="111"/>
      <c r="B247" s="4"/>
      <c r="C247" s="4"/>
      <c r="D247" s="6"/>
      <c r="E247" s="6"/>
      <c r="F247" s="109" t="str">
        <f t="shared" si="283"/>
        <v/>
      </c>
      <c r="G247" s="6" t="str">
        <f t="shared" si="284"/>
        <v/>
      </c>
      <c r="H247" s="6" t="str">
        <f t="shared" si="285"/>
        <v/>
      </c>
      <c r="I247" s="109" t="str">
        <f t="shared" si="286"/>
        <v/>
      </c>
      <c r="J247" s="6" t="str">
        <f t="shared" si="287"/>
        <v/>
      </c>
      <c r="K247" s="120" t="str">
        <f t="shared" si="288"/>
        <v/>
      </c>
      <c r="L247" s="120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7"/>
      <c r="N247" s="7"/>
      <c r="O247" s="5"/>
    </row>
    <row r="248" spans="1:15" x14ac:dyDescent="0.25">
      <c r="A248" s="111"/>
      <c r="B248" s="4"/>
      <c r="C248" s="4"/>
      <c r="D248" s="6"/>
      <c r="E248" s="6"/>
      <c r="F248" s="109" t="str">
        <f t="shared" si="283"/>
        <v/>
      </c>
      <c r="G248" s="6" t="str">
        <f t="shared" si="284"/>
        <v/>
      </c>
      <c r="H248" s="6" t="str">
        <f t="shared" si="285"/>
        <v/>
      </c>
      <c r="I248" s="109" t="str">
        <f t="shared" si="286"/>
        <v/>
      </c>
      <c r="J248" s="6" t="str">
        <f t="shared" si="287"/>
        <v/>
      </c>
      <c r="K248" s="120" t="str">
        <f t="shared" si="288"/>
        <v/>
      </c>
      <c r="L248" s="120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7"/>
      <c r="N248" s="7"/>
      <c r="O248" s="5"/>
    </row>
    <row r="249" spans="1:15" x14ac:dyDescent="0.25">
      <c r="A249" s="111"/>
      <c r="B249" s="4"/>
      <c r="C249" s="4"/>
      <c r="D249" s="6"/>
      <c r="E249" s="6"/>
      <c r="F249" s="109" t="str">
        <f t="shared" si="283"/>
        <v/>
      </c>
      <c r="G249" s="6" t="str">
        <f t="shared" si="284"/>
        <v/>
      </c>
      <c r="H249" s="6" t="str">
        <f t="shared" si="285"/>
        <v/>
      </c>
      <c r="I249" s="109" t="str">
        <f t="shared" si="286"/>
        <v/>
      </c>
      <c r="J249" s="6" t="str">
        <f t="shared" si="287"/>
        <v/>
      </c>
      <c r="K249" s="120" t="str">
        <f t="shared" si="288"/>
        <v/>
      </c>
      <c r="L249" s="120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7"/>
      <c r="N249" s="7"/>
      <c r="O249" s="5"/>
    </row>
    <row r="250" spans="1:15" ht="14.25" customHeight="1" x14ac:dyDescent="0.25">
      <c r="A250" s="111"/>
      <c r="B250" s="4"/>
      <c r="C250" s="4"/>
      <c r="D250" s="6"/>
      <c r="E250" s="6"/>
      <c r="F250" s="109" t="str">
        <f t="shared" si="283"/>
        <v/>
      </c>
      <c r="G250" s="6" t="str">
        <f t="shared" si="284"/>
        <v/>
      </c>
      <c r="H250" s="6" t="str">
        <f t="shared" si="285"/>
        <v/>
      </c>
      <c r="I250" s="109" t="str">
        <f t="shared" si="286"/>
        <v/>
      </c>
      <c r="J250" s="6" t="str">
        <f t="shared" si="287"/>
        <v/>
      </c>
      <c r="K250" s="120" t="str">
        <f t="shared" si="288"/>
        <v/>
      </c>
      <c r="L250" s="120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7"/>
      <c r="N250" s="7"/>
      <c r="O250" s="5"/>
    </row>
    <row r="251" spans="1:15" x14ac:dyDescent="0.25">
      <c r="A251" s="111"/>
      <c r="B251" s="4"/>
      <c r="C251" s="4"/>
      <c r="D251" s="6"/>
      <c r="E251" s="6"/>
      <c r="F251" s="109" t="str">
        <f t="shared" si="283"/>
        <v/>
      </c>
      <c r="G251" s="6" t="str">
        <f t="shared" si="284"/>
        <v/>
      </c>
      <c r="H251" s="6" t="str">
        <f t="shared" si="285"/>
        <v/>
      </c>
      <c r="I251" s="109" t="str">
        <f t="shared" si="286"/>
        <v/>
      </c>
      <c r="J251" s="6" t="str">
        <f t="shared" si="287"/>
        <v/>
      </c>
      <c r="K251" s="120" t="str">
        <f t="shared" si="288"/>
        <v/>
      </c>
      <c r="L251" s="120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7"/>
      <c r="N251" s="7"/>
      <c r="O251" s="5"/>
    </row>
    <row r="252" spans="1:15" x14ac:dyDescent="0.25">
      <c r="A252" s="113"/>
      <c r="B252" s="4"/>
      <c r="C252" s="4"/>
      <c r="D252" s="6"/>
      <c r="E252" s="6"/>
      <c r="F252" s="109" t="str">
        <f t="shared" si="283"/>
        <v/>
      </c>
      <c r="G252" s="6" t="str">
        <f t="shared" si="284"/>
        <v/>
      </c>
      <c r="H252" s="6" t="str">
        <f t="shared" si="285"/>
        <v/>
      </c>
      <c r="I252" s="109" t="str">
        <f t="shared" si="286"/>
        <v/>
      </c>
      <c r="J252" s="6" t="str">
        <f t="shared" si="287"/>
        <v/>
      </c>
      <c r="K252" s="120" t="str">
        <f t="shared" si="288"/>
        <v/>
      </c>
      <c r="L252" s="120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7"/>
      <c r="N252" s="7"/>
      <c r="O252" s="5"/>
    </row>
    <row r="253" spans="1:15" x14ac:dyDescent="0.25">
      <c r="A253" s="111"/>
      <c r="B253" s="4"/>
      <c r="C253" s="4"/>
      <c r="D253" s="6"/>
      <c r="E253" s="6"/>
      <c r="F253" s="109" t="str">
        <f t="shared" si="283"/>
        <v/>
      </c>
      <c r="G253" s="6" t="str">
        <f t="shared" si="284"/>
        <v/>
      </c>
      <c r="H253" s="6" t="str">
        <f t="shared" si="285"/>
        <v/>
      </c>
      <c r="I253" s="109" t="str">
        <f t="shared" si="286"/>
        <v/>
      </c>
      <c r="J253" s="6" t="str">
        <f t="shared" si="287"/>
        <v/>
      </c>
      <c r="K253" s="120" t="str">
        <f t="shared" si="288"/>
        <v/>
      </c>
      <c r="L253" s="120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7"/>
      <c r="N253" s="7"/>
      <c r="O253" s="5"/>
    </row>
    <row r="254" spans="1:15" x14ac:dyDescent="0.25">
      <c r="A254" s="111"/>
      <c r="B254" s="4"/>
      <c r="C254" s="4"/>
      <c r="D254" s="6"/>
      <c r="E254" s="6"/>
      <c r="F254" s="109" t="str">
        <f t="shared" si="283"/>
        <v/>
      </c>
      <c r="G254" s="6" t="str">
        <f t="shared" si="284"/>
        <v/>
      </c>
      <c r="H254" s="6" t="str">
        <f t="shared" si="285"/>
        <v/>
      </c>
      <c r="I254" s="109" t="str">
        <f t="shared" si="286"/>
        <v/>
      </c>
      <c r="J254" s="6" t="str">
        <f t="shared" si="287"/>
        <v/>
      </c>
      <c r="K254" s="120" t="str">
        <f t="shared" si="288"/>
        <v/>
      </c>
      <c r="L254" s="120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7"/>
      <c r="N254" s="7"/>
      <c r="O254" s="5"/>
    </row>
    <row r="255" spans="1:15" x14ac:dyDescent="0.25">
      <c r="A255" s="111"/>
      <c r="B255" s="4"/>
      <c r="C255" s="4"/>
      <c r="D255" s="6"/>
      <c r="E255" s="6"/>
      <c r="F255" s="109" t="str">
        <f t="shared" si="283"/>
        <v/>
      </c>
      <c r="G255" s="6" t="str">
        <f t="shared" si="284"/>
        <v/>
      </c>
      <c r="H255" s="6" t="str">
        <f t="shared" si="285"/>
        <v/>
      </c>
      <c r="I255" s="109" t="str">
        <f t="shared" si="286"/>
        <v/>
      </c>
      <c r="J255" s="6" t="str">
        <f t="shared" si="287"/>
        <v/>
      </c>
      <c r="K255" s="120" t="str">
        <f t="shared" si="288"/>
        <v/>
      </c>
      <c r="L255" s="120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7"/>
      <c r="N255" s="7"/>
      <c r="O255" s="5"/>
    </row>
    <row r="256" spans="1:15" x14ac:dyDescent="0.25">
      <c r="A256" s="111"/>
      <c r="B256" s="4"/>
      <c r="C256" s="4"/>
      <c r="D256" s="6"/>
      <c r="E256" s="6"/>
      <c r="F256" s="109" t="str">
        <f t="shared" si="283"/>
        <v/>
      </c>
      <c r="G256" s="6" t="str">
        <f t="shared" si="284"/>
        <v/>
      </c>
      <c r="H256" s="6" t="str">
        <f t="shared" si="285"/>
        <v/>
      </c>
      <c r="I256" s="109" t="str">
        <f t="shared" si="286"/>
        <v/>
      </c>
      <c r="J256" s="6" t="str">
        <f t="shared" si="287"/>
        <v/>
      </c>
      <c r="K256" s="120" t="str">
        <f t="shared" si="288"/>
        <v/>
      </c>
      <c r="L256" s="120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7"/>
      <c r="N256" s="7"/>
      <c r="O256" s="5"/>
    </row>
    <row r="257" spans="1:15" x14ac:dyDescent="0.25">
      <c r="A257" s="111"/>
      <c r="B257" s="4"/>
      <c r="C257" s="4"/>
      <c r="D257" s="6"/>
      <c r="E257" s="6"/>
      <c r="F257" s="109" t="str">
        <f t="shared" si="283"/>
        <v/>
      </c>
      <c r="G257" s="6" t="str">
        <f t="shared" si="284"/>
        <v/>
      </c>
      <c r="H257" s="6" t="str">
        <f t="shared" si="285"/>
        <v/>
      </c>
      <c r="I257" s="109" t="str">
        <f t="shared" si="286"/>
        <v/>
      </c>
      <c r="J257" s="6" t="str">
        <f t="shared" si="287"/>
        <v/>
      </c>
      <c r="K257" s="120" t="str">
        <f t="shared" si="288"/>
        <v/>
      </c>
      <c r="L257" s="120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7"/>
      <c r="N257" s="7"/>
      <c r="O257" s="5"/>
    </row>
    <row r="258" spans="1:15" x14ac:dyDescent="0.25">
      <c r="A258" s="113"/>
      <c r="B258" s="4"/>
      <c r="C258" s="4"/>
      <c r="D258" s="6"/>
      <c r="E258" s="6"/>
      <c r="F258" s="109" t="str">
        <f t="shared" si="283"/>
        <v/>
      </c>
      <c r="G258" s="6" t="str">
        <f t="shared" si="284"/>
        <v/>
      </c>
      <c r="H258" s="6" t="str">
        <f t="shared" si="285"/>
        <v/>
      </c>
      <c r="I258" s="109" t="str">
        <f t="shared" si="286"/>
        <v/>
      </c>
      <c r="J258" s="6" t="str">
        <f t="shared" si="287"/>
        <v/>
      </c>
      <c r="K258" s="120" t="str">
        <f t="shared" si="288"/>
        <v/>
      </c>
      <c r="L258" s="120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7"/>
      <c r="N258" s="7"/>
      <c r="O258" s="5"/>
    </row>
    <row r="259" spans="1:15" x14ac:dyDescent="0.25">
      <c r="A259" s="111"/>
      <c r="B259" s="4"/>
      <c r="C259" s="4"/>
      <c r="D259" s="6"/>
      <c r="E259" s="6"/>
      <c r="F259" s="109" t="str">
        <f t="shared" si="283"/>
        <v/>
      </c>
      <c r="G259" s="6" t="str">
        <f t="shared" si="284"/>
        <v/>
      </c>
      <c r="H259" s="6" t="str">
        <f t="shared" si="285"/>
        <v/>
      </c>
      <c r="I259" s="109" t="str">
        <f t="shared" si="286"/>
        <v/>
      </c>
      <c r="J259" s="6" t="str">
        <f t="shared" si="287"/>
        <v/>
      </c>
      <c r="K259" s="120" t="str">
        <f t="shared" si="288"/>
        <v/>
      </c>
      <c r="L259" s="120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7"/>
      <c r="N259" s="7"/>
      <c r="O259" s="5"/>
    </row>
    <row r="260" spans="1:15" x14ac:dyDescent="0.25">
      <c r="A260" s="111"/>
      <c r="B260" s="4"/>
      <c r="C260" s="4"/>
      <c r="D260" s="6"/>
      <c r="E260" s="6"/>
      <c r="F260" s="109" t="str">
        <f t="shared" si="283"/>
        <v/>
      </c>
      <c r="G260" s="6" t="str">
        <f t="shared" si="284"/>
        <v/>
      </c>
      <c r="H260" s="6" t="str">
        <f t="shared" si="285"/>
        <v/>
      </c>
      <c r="I260" s="109" t="str">
        <f t="shared" si="286"/>
        <v/>
      </c>
      <c r="J260" s="6" t="str">
        <f t="shared" si="287"/>
        <v/>
      </c>
      <c r="K260" s="120" t="str">
        <f t="shared" si="288"/>
        <v/>
      </c>
      <c r="L260" s="120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7"/>
      <c r="N260" s="7"/>
      <c r="O260" s="5"/>
    </row>
    <row r="261" spans="1:15" x14ac:dyDescent="0.25">
      <c r="A261" s="111"/>
      <c r="B261" s="4"/>
      <c r="C261" s="4"/>
      <c r="D261" s="6"/>
      <c r="E261" s="6"/>
      <c r="F261" s="109" t="str">
        <f t="shared" si="283"/>
        <v/>
      </c>
      <c r="G261" s="6" t="str">
        <f t="shared" si="284"/>
        <v/>
      </c>
      <c r="H261" s="6" t="str">
        <f t="shared" si="285"/>
        <v/>
      </c>
      <c r="I261" s="109" t="str">
        <f t="shared" si="286"/>
        <v/>
      </c>
      <c r="J261" s="6" t="str">
        <f t="shared" si="287"/>
        <v/>
      </c>
      <c r="K261" s="120" t="str">
        <f t="shared" si="288"/>
        <v/>
      </c>
      <c r="L261" s="120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7"/>
      <c r="N261" s="7"/>
      <c r="O261" s="5"/>
    </row>
    <row r="262" spans="1:15" x14ac:dyDescent="0.25">
      <c r="A262" s="111"/>
      <c r="B262" s="4"/>
      <c r="C262" s="4"/>
      <c r="D262" s="6"/>
      <c r="E262" s="6"/>
      <c r="F262" s="109" t="str">
        <f t="shared" si="283"/>
        <v/>
      </c>
      <c r="G262" s="6" t="str">
        <f t="shared" si="284"/>
        <v/>
      </c>
      <c r="H262" s="6" t="str">
        <f t="shared" si="285"/>
        <v/>
      </c>
      <c r="I262" s="109" t="str">
        <f t="shared" si="286"/>
        <v/>
      </c>
      <c r="J262" s="6" t="str">
        <f t="shared" si="287"/>
        <v/>
      </c>
      <c r="K262" s="120" t="str">
        <f t="shared" si="288"/>
        <v/>
      </c>
      <c r="L262" s="120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7"/>
      <c r="N262" s="7"/>
      <c r="O262" s="5"/>
    </row>
    <row r="263" spans="1:15" x14ac:dyDescent="0.25">
      <c r="A263" s="111"/>
      <c r="B263" s="4"/>
      <c r="C263" s="4"/>
      <c r="D263" s="6"/>
      <c r="E263" s="6"/>
      <c r="F263" s="109" t="str">
        <f t="shared" si="283"/>
        <v/>
      </c>
      <c r="G263" s="6" t="str">
        <f t="shared" si="284"/>
        <v/>
      </c>
      <c r="H263" s="6" t="str">
        <f t="shared" si="285"/>
        <v/>
      </c>
      <c r="I263" s="109" t="str">
        <f t="shared" si="286"/>
        <v/>
      </c>
      <c r="J263" s="6" t="str">
        <f t="shared" si="287"/>
        <v/>
      </c>
      <c r="K263" s="120" t="str">
        <f t="shared" si="288"/>
        <v/>
      </c>
      <c r="L263" s="120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7"/>
      <c r="N263" s="7"/>
      <c r="O263" s="5"/>
    </row>
    <row r="264" spans="1:15" ht="13.5" customHeight="1" x14ac:dyDescent="0.25">
      <c r="A264" s="111"/>
      <c r="B264" s="4"/>
      <c r="C264" s="4"/>
      <c r="D264" s="6"/>
      <c r="E264" s="6"/>
      <c r="F264" s="109" t="str">
        <f t="shared" si="283"/>
        <v/>
      </c>
      <c r="G264" s="6" t="str">
        <f t="shared" si="284"/>
        <v/>
      </c>
      <c r="H264" s="6" t="str">
        <f t="shared" si="285"/>
        <v/>
      </c>
      <c r="I264" s="109" t="str">
        <f t="shared" si="286"/>
        <v/>
      </c>
      <c r="J264" s="6" t="str">
        <f t="shared" si="287"/>
        <v/>
      </c>
      <c r="K264" s="120" t="str">
        <f t="shared" si="288"/>
        <v/>
      </c>
      <c r="L264" s="120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7"/>
      <c r="N264" s="7"/>
      <c r="O264" s="5"/>
    </row>
    <row r="265" spans="1:15" ht="14.25" customHeight="1" x14ac:dyDescent="0.25">
      <c r="A265" s="111"/>
      <c r="B265" s="4"/>
      <c r="C265" s="4"/>
      <c r="D265" s="6"/>
      <c r="E265" s="6"/>
      <c r="F265" s="109" t="str">
        <f t="shared" si="283"/>
        <v/>
      </c>
      <c r="G265" s="6" t="str">
        <f t="shared" si="284"/>
        <v/>
      </c>
      <c r="H265" s="6" t="str">
        <f t="shared" si="285"/>
        <v/>
      </c>
      <c r="I265" s="109" t="str">
        <f t="shared" si="286"/>
        <v/>
      </c>
      <c r="J265" s="6" t="str">
        <f t="shared" si="287"/>
        <v/>
      </c>
      <c r="K265" s="120" t="str">
        <f t="shared" si="288"/>
        <v/>
      </c>
      <c r="L265" s="120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7"/>
      <c r="N265" s="7"/>
      <c r="O265" s="5"/>
    </row>
    <row r="266" spans="1:15" ht="15" customHeight="1" x14ac:dyDescent="0.25">
      <c r="A266" s="111"/>
      <c r="B266" s="4"/>
      <c r="C266" s="4"/>
      <c r="D266" s="6"/>
      <c r="E266" s="6"/>
      <c r="F266" s="109" t="str">
        <f t="shared" si="283"/>
        <v/>
      </c>
      <c r="G266" s="6" t="str">
        <f t="shared" si="284"/>
        <v/>
      </c>
      <c r="H266" s="6" t="str">
        <f t="shared" si="285"/>
        <v/>
      </c>
      <c r="I266" s="109" t="str">
        <f t="shared" si="286"/>
        <v/>
      </c>
      <c r="J266" s="6" t="str">
        <f t="shared" si="287"/>
        <v/>
      </c>
      <c r="K266" s="120" t="str">
        <f t="shared" si="288"/>
        <v/>
      </c>
      <c r="L266" s="120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7"/>
      <c r="N266" s="7"/>
      <c r="O266" s="5"/>
    </row>
    <row r="267" spans="1:15" x14ac:dyDescent="0.25">
      <c r="A267" s="111"/>
      <c r="B267" s="4"/>
      <c r="C267" s="4"/>
      <c r="D267" s="6"/>
      <c r="E267" s="6"/>
      <c r="F267" s="109" t="str">
        <f t="shared" si="283"/>
        <v/>
      </c>
      <c r="G267" s="6" t="str">
        <f t="shared" si="284"/>
        <v/>
      </c>
      <c r="H267" s="6" t="str">
        <f t="shared" si="285"/>
        <v/>
      </c>
      <c r="I267" s="109" t="str">
        <f t="shared" si="286"/>
        <v/>
      </c>
      <c r="J267" s="6" t="str">
        <f t="shared" si="287"/>
        <v/>
      </c>
      <c r="K267" s="120" t="str">
        <f t="shared" si="288"/>
        <v/>
      </c>
      <c r="L267" s="120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7"/>
      <c r="N267" s="7"/>
      <c r="O267" s="5"/>
    </row>
    <row r="268" spans="1:15" x14ac:dyDescent="0.25">
      <c r="A268" s="111"/>
      <c r="B268" s="4"/>
      <c r="C268" s="4"/>
      <c r="D268" s="6"/>
      <c r="E268" s="6"/>
      <c r="F268" s="109" t="str">
        <f t="shared" ref="F268:F273" si="295">IF(ISBLANK(B268),"",IF(I268="L","Baixa",IF(I268="A","Média",IF(I268="","","Alta"))))</f>
        <v/>
      </c>
      <c r="G268" s="6" t="str">
        <f t="shared" ref="G268:G273" si="296">CONCATENATE(B268,I268)</f>
        <v/>
      </c>
      <c r="H268" s="6" t="str">
        <f t="shared" ref="H268:H273" si="297">IF(ISBLANK(B268),"",IF(B268="ALI",IF(I268="L",7,IF(I268="A",10,15)),IF(B268="AIE",IF(I268="L",5,IF(I268="A",7,10)),IF(B268="SE",IF(I268="L",4,IF(I268="A",5,7)),IF(OR(B268="EE",B268="CE"),IF(I268="L",3,IF(I268="A",4,6)),0)))))</f>
        <v/>
      </c>
      <c r="I268" s="109" t="str">
        <f t="shared" ref="I268:I273" si="298">IF(OR(ISBLANK(D268),ISBLANK(E268)),IF(OR(B268="ALI",B268="AIE"),"L",IF(OR(B268="EE",B268="SE",B268="CE"),"A","")),IF(B268="EE",IF(E268&gt;=3,IF(D268&gt;=5,"H","A"),IF(E268&gt;=2,IF(D268&gt;=16,"H",IF(D268&lt;=4,"L","A")),IF(D268&lt;=15,"L","A"))),IF(OR(B268="SE",B268="CE"),IF(E268&gt;=4,IF(D268&gt;=6,"H","A"),IF(E268&gt;=2,IF(D268&gt;=20,"H",IF(D268&lt;=5,"L","A")),IF(D268&lt;=19,"L","A"))),IF(OR(B268="ALI",B268="AIE"),IF(E268&gt;=6,IF(D268&gt;=20,"H","A"),IF(E268&gt;=2,IF(D268&gt;=51,"H",IF(D268&lt;=19,"L","A")),IF(D268&lt;=50,"L","A"))),""))))</f>
        <v/>
      </c>
      <c r="J268" s="6" t="str">
        <f t="shared" ref="J268:J273" si="299">CONCATENATE(B268,C268)</f>
        <v/>
      </c>
      <c r="K268" s="120" t="str">
        <f t="shared" ref="K268:K273" si="300">IF(OR(H268="",H268=0),L268,H268)</f>
        <v/>
      </c>
      <c r="L268" s="120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7"/>
      <c r="N268" s="7"/>
      <c r="O268" s="5"/>
    </row>
    <row r="269" spans="1:15" x14ac:dyDescent="0.25">
      <c r="A269" s="111"/>
      <c r="B269" s="4"/>
      <c r="C269" s="4"/>
      <c r="D269" s="6"/>
      <c r="E269" s="6"/>
      <c r="F269" s="109" t="str">
        <f t="shared" si="295"/>
        <v/>
      </c>
      <c r="G269" s="6" t="str">
        <f t="shared" si="296"/>
        <v/>
      </c>
      <c r="H269" s="6" t="str">
        <f t="shared" si="297"/>
        <v/>
      </c>
      <c r="I269" s="109" t="str">
        <f t="shared" si="298"/>
        <v/>
      </c>
      <c r="J269" s="6" t="str">
        <f t="shared" si="299"/>
        <v/>
      </c>
      <c r="K269" s="120" t="str">
        <f t="shared" si="300"/>
        <v/>
      </c>
      <c r="L269" s="120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7"/>
      <c r="N269" s="7"/>
      <c r="O269" s="5"/>
    </row>
    <row r="270" spans="1:15" x14ac:dyDescent="0.25">
      <c r="A270" s="111"/>
      <c r="B270" s="4"/>
      <c r="C270" s="4"/>
      <c r="D270" s="6"/>
      <c r="E270" s="6"/>
      <c r="F270" s="109" t="str">
        <f t="shared" si="295"/>
        <v/>
      </c>
      <c r="G270" s="6" t="str">
        <f t="shared" si="296"/>
        <v/>
      </c>
      <c r="H270" s="6" t="str">
        <f t="shared" si="297"/>
        <v/>
      </c>
      <c r="I270" s="109" t="str">
        <f t="shared" si="298"/>
        <v/>
      </c>
      <c r="J270" s="6" t="str">
        <f t="shared" si="299"/>
        <v/>
      </c>
      <c r="K270" s="120" t="str">
        <f t="shared" si="300"/>
        <v/>
      </c>
      <c r="L270" s="120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7"/>
      <c r="N270" s="7"/>
      <c r="O270" s="5"/>
    </row>
    <row r="271" spans="1:15" x14ac:dyDescent="0.25">
      <c r="A271" s="111"/>
      <c r="B271" s="4"/>
      <c r="C271" s="4"/>
      <c r="D271" s="6"/>
      <c r="E271" s="6"/>
      <c r="F271" s="109" t="str">
        <f t="shared" si="295"/>
        <v/>
      </c>
      <c r="G271" s="6" t="str">
        <f t="shared" si="296"/>
        <v/>
      </c>
      <c r="H271" s="6" t="str">
        <f t="shared" si="297"/>
        <v/>
      </c>
      <c r="I271" s="109" t="str">
        <f t="shared" si="298"/>
        <v/>
      </c>
      <c r="J271" s="6" t="str">
        <f t="shared" si="299"/>
        <v/>
      </c>
      <c r="K271" s="120" t="str">
        <f t="shared" si="300"/>
        <v/>
      </c>
      <c r="L271" s="120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7"/>
      <c r="N271" s="7"/>
      <c r="O271" s="5"/>
    </row>
    <row r="272" spans="1:15" x14ac:dyDescent="0.25">
      <c r="A272" s="111"/>
      <c r="B272" s="4"/>
      <c r="C272" s="4"/>
      <c r="D272" s="6"/>
      <c r="E272" s="6"/>
      <c r="F272" s="109" t="str">
        <f t="shared" si="295"/>
        <v/>
      </c>
      <c r="G272" s="6" t="str">
        <f t="shared" si="296"/>
        <v/>
      </c>
      <c r="H272" s="6" t="str">
        <f t="shared" si="297"/>
        <v/>
      </c>
      <c r="I272" s="109" t="str">
        <f t="shared" si="298"/>
        <v/>
      </c>
      <c r="J272" s="6" t="str">
        <f t="shared" si="299"/>
        <v/>
      </c>
      <c r="K272" s="120" t="str">
        <f t="shared" si="300"/>
        <v/>
      </c>
      <c r="L272" s="120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7"/>
      <c r="N272" s="7"/>
      <c r="O272" s="5"/>
    </row>
    <row r="273" spans="1:15" x14ac:dyDescent="0.25">
      <c r="A273" s="111"/>
      <c r="B273" s="4"/>
      <c r="C273" s="4"/>
      <c r="D273" s="6"/>
      <c r="E273" s="6"/>
      <c r="F273" s="109" t="str">
        <f t="shared" si="295"/>
        <v/>
      </c>
      <c r="G273" s="6" t="str">
        <f t="shared" si="296"/>
        <v/>
      </c>
      <c r="H273" s="6" t="str">
        <f t="shared" si="297"/>
        <v/>
      </c>
      <c r="I273" s="109" t="str">
        <f t="shared" si="298"/>
        <v/>
      </c>
      <c r="J273" s="6" t="str">
        <f t="shared" si="299"/>
        <v/>
      </c>
      <c r="K273" s="120" t="str">
        <f t="shared" si="300"/>
        <v/>
      </c>
      <c r="L273" s="120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7"/>
      <c r="N273" s="7"/>
      <c r="O273" s="5"/>
    </row>
    <row r="274" spans="1:15" x14ac:dyDescent="0.25">
      <c r="A274" s="111"/>
      <c r="B274" s="4"/>
      <c r="C274" s="4"/>
      <c r="D274" s="6"/>
      <c r="E274" s="6"/>
      <c r="F274" s="109" t="str">
        <f>IF(ISBLANK(B274),"",IF(I274="L","Baixa",IF(I274="A","Média",IF(I274="","","Alta"))))</f>
        <v/>
      </c>
      <c r="G274" s="6" t="str">
        <f>CONCATENATE(B274,I274)</f>
        <v/>
      </c>
      <c r="H274" s="6" t="str">
        <f>IF(ISBLANK(B274),"",IF(B274="ALI",IF(I274="L",7,IF(I274="A",10,15)),IF(B274="AIE",IF(I274="L",5,IF(I274="A",7,10)),IF(B274="SE",IF(I274="L",4,IF(I274="A",5,7)),IF(OR(B274="EE",B274="CE"),IF(I274="L",3,IF(I274="A",4,6)),0)))))</f>
        <v/>
      </c>
      <c r="I274" s="109" t="str">
        <f>IF(OR(ISBLANK(D274),ISBLANK(E274)),IF(OR(B274="ALI",B274="AIE"),"L",IF(OR(B274="EE",B274="SE",B274="CE"),"A","")),IF(B274="EE",IF(E274&gt;=3,IF(D274&gt;=5,"H","A"),IF(E274&gt;=2,IF(D274&gt;=16,"H",IF(D274&lt;=4,"L","A")),IF(D274&lt;=15,"L","A"))),IF(OR(B274="SE",B274="CE"),IF(E274&gt;=4,IF(D274&gt;=6,"H","A"),IF(E274&gt;=2,IF(D274&gt;=20,"H",IF(D274&lt;=5,"L","A")),IF(D274&lt;=19,"L","A"))),IF(OR(B274="ALI",B274="AIE"),IF(E274&gt;=6,IF(D274&gt;=20,"H","A"),IF(E274&gt;=2,IF(D274&gt;=51,"H",IF(D274&lt;=19,"L","A")),IF(D274&lt;=50,"L","A"))),""))))</f>
        <v/>
      </c>
      <c r="J274" s="6" t="str">
        <f>CONCATENATE(B274,C274)</f>
        <v/>
      </c>
      <c r="K274" s="120" t="str">
        <f t="shared" si="288"/>
        <v/>
      </c>
      <c r="L274" s="120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7"/>
      <c r="N274" s="7"/>
      <c r="O274" s="5"/>
    </row>
    <row r="275" spans="1:15" x14ac:dyDescent="0.25">
      <c r="A275" s="123"/>
      <c r="B275" s="4"/>
      <c r="C275" s="4"/>
      <c r="D275" s="6"/>
      <c r="E275" s="6"/>
      <c r="F275" s="109" t="str">
        <f t="shared" ref="F275:F338" si="301">IF(ISBLANK(B275),"",IF(I275="L","Baixa",IF(I275="A","Média",IF(I275="","","Alta"))))</f>
        <v/>
      </c>
      <c r="G275" s="6" t="str">
        <f t="shared" ref="G275:G338" si="302">CONCATENATE(B275,I275)</f>
        <v/>
      </c>
      <c r="H275" s="6" t="str">
        <f t="shared" ref="H275:H338" si="303">IF(ISBLANK(B275),"",IF(B275="ALI",IF(I275="L",7,IF(I275="A",10,15)),IF(B275="AIE",IF(I275="L",5,IF(I275="A",7,10)),IF(B275="SE",IF(I275="L",4,IF(I275="A",5,7)),IF(OR(B275="EE",B275="CE"),IF(I275="L",3,IF(I275="A",4,6)),0)))))</f>
        <v/>
      </c>
      <c r="I275" s="109" t="str">
        <f t="shared" ref="I275:I338" si="304">IF(OR(ISBLANK(D275),ISBLANK(E275)),IF(OR(B275="ALI",B275="AIE"),"L",IF(OR(B275="EE",B275="SE",B275="CE"),"A","")),IF(B275="EE",IF(E275&gt;=3,IF(D275&gt;=5,"H","A"),IF(E275&gt;=2,IF(D275&gt;=16,"H",IF(D275&lt;=4,"L","A")),IF(D275&lt;=15,"L","A"))),IF(OR(B275="SE",B275="CE"),IF(E275&gt;=4,IF(D275&gt;=6,"H","A"),IF(E275&gt;=2,IF(D275&gt;=20,"H",IF(D275&lt;=5,"L","A")),IF(D275&lt;=19,"L","A"))),IF(OR(B275="ALI",B275="AIE"),IF(E275&gt;=6,IF(D275&gt;=20,"H","A"),IF(E275&gt;=2,IF(D275&gt;=51,"H",IF(D275&lt;=19,"L","A")),IF(D275&lt;=50,"L","A"))),""))))</f>
        <v/>
      </c>
      <c r="J275" s="6" t="str">
        <f t="shared" ref="J275:J338" si="305">CONCATENATE(B275,C275)</f>
        <v/>
      </c>
      <c r="K275" s="120" t="str">
        <f t="shared" si="288"/>
        <v/>
      </c>
      <c r="L275" s="120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7"/>
      <c r="N275" s="7"/>
      <c r="O275" s="5"/>
    </row>
    <row r="276" spans="1:15" x14ac:dyDescent="0.25">
      <c r="A276" s="113"/>
      <c r="B276" s="4"/>
      <c r="C276" s="4"/>
      <c r="D276" s="6"/>
      <c r="E276" s="6"/>
      <c r="F276" s="109" t="str">
        <f t="shared" si="301"/>
        <v/>
      </c>
      <c r="G276" s="6" t="str">
        <f t="shared" si="302"/>
        <v/>
      </c>
      <c r="H276" s="6" t="str">
        <f t="shared" si="303"/>
        <v/>
      </c>
      <c r="I276" s="109" t="str">
        <f t="shared" si="304"/>
        <v/>
      </c>
      <c r="J276" s="6" t="str">
        <f t="shared" si="305"/>
        <v/>
      </c>
      <c r="K276" s="120" t="str">
        <f t="shared" si="288"/>
        <v/>
      </c>
      <c r="L276" s="120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7"/>
      <c r="N276" s="7"/>
      <c r="O276" s="5"/>
    </row>
    <row r="277" spans="1:15" x14ac:dyDescent="0.25">
      <c r="A277" s="111"/>
      <c r="B277" s="4"/>
      <c r="C277" s="4"/>
      <c r="D277" s="6"/>
      <c r="E277" s="6"/>
      <c r="F277" s="109" t="str">
        <f t="shared" si="301"/>
        <v/>
      </c>
      <c r="G277" s="6" t="str">
        <f t="shared" si="302"/>
        <v/>
      </c>
      <c r="H277" s="6" t="str">
        <f t="shared" si="303"/>
        <v/>
      </c>
      <c r="I277" s="109" t="str">
        <f t="shared" si="304"/>
        <v/>
      </c>
      <c r="J277" s="6" t="str">
        <f t="shared" si="305"/>
        <v/>
      </c>
      <c r="K277" s="120" t="str">
        <f t="shared" ref="K277:K340" si="306">IF(OR(H277="",H277=0),L277,H277)</f>
        <v/>
      </c>
      <c r="L277" s="120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7"/>
      <c r="N277" s="7"/>
      <c r="O277" s="5"/>
    </row>
    <row r="278" spans="1:15" x14ac:dyDescent="0.25">
      <c r="A278" s="111"/>
      <c r="B278" s="4"/>
      <c r="C278" s="4"/>
      <c r="D278" s="6"/>
      <c r="E278" s="6"/>
      <c r="F278" s="109" t="str">
        <f t="shared" si="301"/>
        <v/>
      </c>
      <c r="G278" s="6" t="str">
        <f t="shared" si="302"/>
        <v/>
      </c>
      <c r="H278" s="6" t="str">
        <f t="shared" si="303"/>
        <v/>
      </c>
      <c r="I278" s="109" t="str">
        <f t="shared" si="304"/>
        <v/>
      </c>
      <c r="J278" s="6" t="str">
        <f t="shared" si="305"/>
        <v/>
      </c>
      <c r="K278" s="120" t="str">
        <f t="shared" si="306"/>
        <v/>
      </c>
      <c r="L278" s="120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7"/>
      <c r="N278" s="7"/>
      <c r="O278" s="5"/>
    </row>
    <row r="279" spans="1:15" x14ac:dyDescent="0.25">
      <c r="A279" s="111"/>
      <c r="B279" s="4"/>
      <c r="C279" s="4"/>
      <c r="D279" s="6"/>
      <c r="E279" s="6"/>
      <c r="F279" s="109" t="str">
        <f t="shared" si="301"/>
        <v/>
      </c>
      <c r="G279" s="6" t="str">
        <f t="shared" si="302"/>
        <v/>
      </c>
      <c r="H279" s="6" t="str">
        <f t="shared" si="303"/>
        <v/>
      </c>
      <c r="I279" s="109" t="str">
        <f t="shared" si="304"/>
        <v/>
      </c>
      <c r="J279" s="6" t="str">
        <f t="shared" si="305"/>
        <v/>
      </c>
      <c r="K279" s="120" t="str">
        <f t="shared" si="306"/>
        <v/>
      </c>
      <c r="L279" s="120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7"/>
      <c r="N279" s="7"/>
      <c r="O279" s="5"/>
    </row>
    <row r="280" spans="1:15" x14ac:dyDescent="0.25">
      <c r="A280" s="113"/>
      <c r="B280" s="4"/>
      <c r="C280" s="4"/>
      <c r="D280" s="6"/>
      <c r="E280" s="6"/>
      <c r="F280" s="109" t="str">
        <f t="shared" si="301"/>
        <v/>
      </c>
      <c r="G280" s="6" t="str">
        <f t="shared" si="302"/>
        <v/>
      </c>
      <c r="H280" s="6" t="str">
        <f t="shared" si="303"/>
        <v/>
      </c>
      <c r="I280" s="109" t="str">
        <f t="shared" si="304"/>
        <v/>
      </c>
      <c r="J280" s="6" t="str">
        <f t="shared" si="305"/>
        <v/>
      </c>
      <c r="K280" s="120" t="str">
        <f t="shared" si="306"/>
        <v/>
      </c>
      <c r="L280" s="120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7"/>
      <c r="N280" s="7"/>
      <c r="O280" s="5"/>
    </row>
    <row r="281" spans="1:15" x14ac:dyDescent="0.25">
      <c r="A281" s="111"/>
      <c r="B281" s="4"/>
      <c r="C281" s="4"/>
      <c r="D281" s="6"/>
      <c r="E281" s="6"/>
      <c r="F281" s="109" t="str">
        <f t="shared" si="301"/>
        <v/>
      </c>
      <c r="G281" s="6" t="str">
        <f t="shared" si="302"/>
        <v/>
      </c>
      <c r="H281" s="6" t="str">
        <f t="shared" si="303"/>
        <v/>
      </c>
      <c r="I281" s="109" t="str">
        <f t="shared" si="304"/>
        <v/>
      </c>
      <c r="J281" s="6" t="str">
        <f t="shared" si="305"/>
        <v/>
      </c>
      <c r="K281" s="120" t="str">
        <f t="shared" si="306"/>
        <v/>
      </c>
      <c r="L281" s="120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7"/>
      <c r="N281" s="7"/>
      <c r="O281" s="5"/>
    </row>
    <row r="282" spans="1:15" x14ac:dyDescent="0.25">
      <c r="A282" s="111"/>
      <c r="B282" s="4"/>
      <c r="C282" s="4"/>
      <c r="D282" s="6"/>
      <c r="E282" s="6"/>
      <c r="F282" s="109" t="str">
        <f t="shared" si="301"/>
        <v/>
      </c>
      <c r="G282" s="6" t="str">
        <f t="shared" si="302"/>
        <v/>
      </c>
      <c r="H282" s="6" t="str">
        <f t="shared" si="303"/>
        <v/>
      </c>
      <c r="I282" s="109" t="str">
        <f t="shared" si="304"/>
        <v/>
      </c>
      <c r="J282" s="6" t="str">
        <f t="shared" si="305"/>
        <v/>
      </c>
      <c r="K282" s="120" t="str">
        <f t="shared" si="306"/>
        <v/>
      </c>
      <c r="L282" s="120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7"/>
      <c r="N282" s="7"/>
      <c r="O282" s="5"/>
    </row>
    <row r="283" spans="1:15" x14ac:dyDescent="0.25">
      <c r="A283" s="111"/>
      <c r="B283" s="4"/>
      <c r="C283" s="4"/>
      <c r="D283" s="6"/>
      <c r="E283" s="6"/>
      <c r="F283" s="109" t="str">
        <f t="shared" si="301"/>
        <v/>
      </c>
      <c r="G283" s="6" t="str">
        <f t="shared" si="302"/>
        <v/>
      </c>
      <c r="H283" s="6" t="str">
        <f t="shared" si="303"/>
        <v/>
      </c>
      <c r="I283" s="109" t="str">
        <f t="shared" si="304"/>
        <v/>
      </c>
      <c r="J283" s="6" t="str">
        <f t="shared" si="305"/>
        <v/>
      </c>
      <c r="K283" s="120" t="str">
        <f t="shared" si="306"/>
        <v/>
      </c>
      <c r="L283" s="120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7"/>
      <c r="N283" s="7"/>
      <c r="O283" s="5"/>
    </row>
    <row r="284" spans="1:15" x14ac:dyDescent="0.25">
      <c r="A284" s="111"/>
      <c r="B284" s="4"/>
      <c r="C284" s="4"/>
      <c r="D284" s="6"/>
      <c r="E284" s="6"/>
      <c r="F284" s="109" t="str">
        <f t="shared" si="301"/>
        <v/>
      </c>
      <c r="G284" s="6" t="str">
        <f t="shared" si="302"/>
        <v/>
      </c>
      <c r="H284" s="6" t="str">
        <f t="shared" si="303"/>
        <v/>
      </c>
      <c r="I284" s="109" t="str">
        <f t="shared" si="304"/>
        <v/>
      </c>
      <c r="J284" s="6" t="str">
        <f t="shared" si="305"/>
        <v/>
      </c>
      <c r="K284" s="120" t="str">
        <f t="shared" si="306"/>
        <v/>
      </c>
      <c r="L284" s="120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7"/>
      <c r="N284" s="7"/>
      <c r="O284" s="5"/>
    </row>
    <row r="285" spans="1:15" x14ac:dyDescent="0.25">
      <c r="A285" s="111"/>
      <c r="B285" s="4"/>
      <c r="C285" s="4"/>
      <c r="D285" s="6"/>
      <c r="E285" s="6"/>
      <c r="F285" s="109" t="str">
        <f t="shared" si="301"/>
        <v/>
      </c>
      <c r="G285" s="6" t="str">
        <f t="shared" si="302"/>
        <v/>
      </c>
      <c r="H285" s="6" t="str">
        <f t="shared" si="303"/>
        <v/>
      </c>
      <c r="I285" s="109" t="str">
        <f t="shared" si="304"/>
        <v/>
      </c>
      <c r="J285" s="6" t="str">
        <f t="shared" si="305"/>
        <v/>
      </c>
      <c r="K285" s="120" t="str">
        <f t="shared" si="306"/>
        <v/>
      </c>
      <c r="L285" s="120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7"/>
      <c r="N285" s="7"/>
      <c r="O285" s="5"/>
    </row>
    <row r="286" spans="1:15" x14ac:dyDescent="0.25">
      <c r="A286" s="111"/>
      <c r="B286" s="4"/>
      <c r="C286" s="4"/>
      <c r="D286" s="6"/>
      <c r="E286" s="6"/>
      <c r="F286" s="109" t="str">
        <f t="shared" si="301"/>
        <v/>
      </c>
      <c r="G286" s="6" t="str">
        <f t="shared" si="302"/>
        <v/>
      </c>
      <c r="H286" s="6" t="str">
        <f t="shared" si="303"/>
        <v/>
      </c>
      <c r="I286" s="109" t="str">
        <f t="shared" si="304"/>
        <v/>
      </c>
      <c r="J286" s="6" t="str">
        <f t="shared" si="305"/>
        <v/>
      </c>
      <c r="K286" s="120" t="str">
        <f t="shared" si="306"/>
        <v/>
      </c>
      <c r="L286" s="120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7"/>
      <c r="N286" s="7"/>
      <c r="O286" s="5"/>
    </row>
    <row r="287" spans="1:15" x14ac:dyDescent="0.25">
      <c r="A287" s="111"/>
      <c r="B287" s="4"/>
      <c r="C287" s="4"/>
      <c r="D287" s="6"/>
      <c r="E287" s="6"/>
      <c r="F287" s="109" t="str">
        <f t="shared" si="301"/>
        <v/>
      </c>
      <c r="G287" s="6" t="str">
        <f t="shared" si="302"/>
        <v/>
      </c>
      <c r="H287" s="6" t="str">
        <f t="shared" si="303"/>
        <v/>
      </c>
      <c r="I287" s="109" t="str">
        <f t="shared" si="304"/>
        <v/>
      </c>
      <c r="J287" s="6" t="str">
        <f t="shared" si="305"/>
        <v/>
      </c>
      <c r="K287" s="120" t="str">
        <f t="shared" si="306"/>
        <v/>
      </c>
      <c r="L287" s="120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7"/>
      <c r="N287" s="7"/>
      <c r="O287" s="5"/>
    </row>
    <row r="288" spans="1:15" x14ac:dyDescent="0.25">
      <c r="A288" s="111"/>
      <c r="B288" s="4"/>
      <c r="C288" s="4"/>
      <c r="D288" s="6"/>
      <c r="E288" s="6"/>
      <c r="F288" s="109" t="str">
        <f t="shared" si="301"/>
        <v/>
      </c>
      <c r="G288" s="6" t="str">
        <f t="shared" si="302"/>
        <v/>
      </c>
      <c r="H288" s="6" t="str">
        <f t="shared" si="303"/>
        <v/>
      </c>
      <c r="I288" s="109" t="str">
        <f t="shared" si="304"/>
        <v/>
      </c>
      <c r="J288" s="6" t="str">
        <f t="shared" si="305"/>
        <v/>
      </c>
      <c r="K288" s="120" t="str">
        <f t="shared" si="306"/>
        <v/>
      </c>
      <c r="L288" s="120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7"/>
      <c r="N288" s="7"/>
      <c r="O288" s="5"/>
    </row>
    <row r="289" spans="1:15" x14ac:dyDescent="0.25">
      <c r="A289" s="111"/>
      <c r="B289" s="4"/>
      <c r="C289" s="4"/>
      <c r="D289" s="6"/>
      <c r="E289" s="6"/>
      <c r="F289" s="109" t="str">
        <f t="shared" si="301"/>
        <v/>
      </c>
      <c r="G289" s="6" t="str">
        <f t="shared" si="302"/>
        <v/>
      </c>
      <c r="H289" s="6" t="str">
        <f t="shared" si="303"/>
        <v/>
      </c>
      <c r="I289" s="109" t="str">
        <f t="shared" si="304"/>
        <v/>
      </c>
      <c r="J289" s="6" t="str">
        <f t="shared" si="305"/>
        <v/>
      </c>
      <c r="K289" s="120" t="str">
        <f t="shared" si="306"/>
        <v/>
      </c>
      <c r="L289" s="120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7"/>
      <c r="N289" s="7"/>
      <c r="O289" s="5"/>
    </row>
    <row r="290" spans="1:15" x14ac:dyDescent="0.25">
      <c r="A290" s="111"/>
      <c r="B290" s="4"/>
      <c r="C290" s="4"/>
      <c r="D290" s="6"/>
      <c r="E290" s="6"/>
      <c r="F290" s="109" t="str">
        <f t="shared" si="301"/>
        <v/>
      </c>
      <c r="G290" s="6" t="str">
        <f t="shared" si="302"/>
        <v/>
      </c>
      <c r="H290" s="6" t="str">
        <f t="shared" si="303"/>
        <v/>
      </c>
      <c r="I290" s="109" t="str">
        <f t="shared" si="304"/>
        <v/>
      </c>
      <c r="J290" s="6" t="str">
        <f t="shared" si="305"/>
        <v/>
      </c>
      <c r="K290" s="120" t="str">
        <f t="shared" si="306"/>
        <v/>
      </c>
      <c r="L290" s="120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7"/>
      <c r="N290" s="7"/>
      <c r="O290" s="5"/>
    </row>
    <row r="291" spans="1:15" x14ac:dyDescent="0.25">
      <c r="A291" s="111"/>
      <c r="B291" s="4"/>
      <c r="C291" s="4"/>
      <c r="D291" s="6"/>
      <c r="E291" s="6"/>
      <c r="F291" s="109" t="str">
        <f t="shared" si="301"/>
        <v/>
      </c>
      <c r="G291" s="6" t="str">
        <f t="shared" si="302"/>
        <v/>
      </c>
      <c r="H291" s="6" t="str">
        <f t="shared" si="303"/>
        <v/>
      </c>
      <c r="I291" s="109" t="str">
        <f t="shared" si="304"/>
        <v/>
      </c>
      <c r="J291" s="6" t="str">
        <f t="shared" si="305"/>
        <v/>
      </c>
      <c r="K291" s="120" t="str">
        <f t="shared" si="306"/>
        <v/>
      </c>
      <c r="L291" s="120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7"/>
      <c r="N291" s="7"/>
      <c r="O291" s="5"/>
    </row>
    <row r="292" spans="1:15" x14ac:dyDescent="0.25">
      <c r="A292" s="111"/>
      <c r="B292" s="4"/>
      <c r="C292" s="4"/>
      <c r="D292" s="6"/>
      <c r="E292" s="6"/>
      <c r="F292" s="109" t="str">
        <f t="shared" si="301"/>
        <v/>
      </c>
      <c r="G292" s="6" t="str">
        <f t="shared" si="302"/>
        <v/>
      </c>
      <c r="H292" s="6" t="str">
        <f t="shared" si="303"/>
        <v/>
      </c>
      <c r="I292" s="109" t="str">
        <f t="shared" si="304"/>
        <v/>
      </c>
      <c r="J292" s="6" t="str">
        <f t="shared" si="305"/>
        <v/>
      </c>
      <c r="K292" s="120" t="str">
        <f t="shared" si="306"/>
        <v/>
      </c>
      <c r="L292" s="120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7"/>
      <c r="N292" s="7"/>
      <c r="O292" s="5"/>
    </row>
    <row r="293" spans="1:15" x14ac:dyDescent="0.25">
      <c r="A293" s="111"/>
      <c r="B293" s="4"/>
      <c r="C293" s="4"/>
      <c r="D293" s="6"/>
      <c r="E293" s="6"/>
      <c r="F293" s="109" t="str">
        <f t="shared" si="301"/>
        <v/>
      </c>
      <c r="G293" s="6" t="str">
        <f t="shared" si="302"/>
        <v/>
      </c>
      <c r="H293" s="6" t="str">
        <f t="shared" si="303"/>
        <v/>
      </c>
      <c r="I293" s="109" t="str">
        <f t="shared" si="304"/>
        <v/>
      </c>
      <c r="J293" s="6" t="str">
        <f t="shared" si="305"/>
        <v/>
      </c>
      <c r="K293" s="120" t="str">
        <f t="shared" si="306"/>
        <v/>
      </c>
      <c r="L293" s="120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7"/>
      <c r="N293" s="7"/>
      <c r="O293" s="5"/>
    </row>
    <row r="294" spans="1:15" x14ac:dyDescent="0.25">
      <c r="A294" s="111"/>
      <c r="B294" s="4"/>
      <c r="C294" s="4"/>
      <c r="D294" s="6"/>
      <c r="E294" s="6"/>
      <c r="F294" s="109" t="str">
        <f t="shared" si="301"/>
        <v/>
      </c>
      <c r="G294" s="6" t="str">
        <f t="shared" si="302"/>
        <v/>
      </c>
      <c r="H294" s="6" t="str">
        <f t="shared" si="303"/>
        <v/>
      </c>
      <c r="I294" s="109" t="str">
        <f t="shared" si="304"/>
        <v/>
      </c>
      <c r="J294" s="6" t="str">
        <f t="shared" si="305"/>
        <v/>
      </c>
      <c r="K294" s="120" t="str">
        <f t="shared" si="306"/>
        <v/>
      </c>
      <c r="L294" s="120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7"/>
      <c r="N294" s="7"/>
      <c r="O294" s="5"/>
    </row>
    <row r="295" spans="1:15" x14ac:dyDescent="0.25">
      <c r="A295" s="111"/>
      <c r="B295" s="4"/>
      <c r="C295" s="4"/>
      <c r="D295" s="6"/>
      <c r="E295" s="6"/>
      <c r="F295" s="109" t="str">
        <f t="shared" si="301"/>
        <v/>
      </c>
      <c r="G295" s="6" t="str">
        <f t="shared" si="302"/>
        <v/>
      </c>
      <c r="H295" s="6" t="str">
        <f t="shared" si="303"/>
        <v/>
      </c>
      <c r="I295" s="109" t="str">
        <f t="shared" si="304"/>
        <v/>
      </c>
      <c r="J295" s="6" t="str">
        <f t="shared" si="305"/>
        <v/>
      </c>
      <c r="K295" s="120" t="str">
        <f t="shared" si="306"/>
        <v/>
      </c>
      <c r="L295" s="120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7"/>
      <c r="N295" s="7"/>
      <c r="O295" s="5"/>
    </row>
    <row r="296" spans="1:15" x14ac:dyDescent="0.25">
      <c r="A296" s="111"/>
      <c r="B296" s="4"/>
      <c r="C296" s="4"/>
      <c r="D296" s="6"/>
      <c r="E296" s="6"/>
      <c r="F296" s="109" t="str">
        <f t="shared" si="301"/>
        <v/>
      </c>
      <c r="G296" s="6" t="str">
        <f t="shared" si="302"/>
        <v/>
      </c>
      <c r="H296" s="6" t="str">
        <f t="shared" si="303"/>
        <v/>
      </c>
      <c r="I296" s="109" t="str">
        <f t="shared" si="304"/>
        <v/>
      </c>
      <c r="J296" s="6" t="str">
        <f t="shared" si="305"/>
        <v/>
      </c>
      <c r="K296" s="120" t="str">
        <f t="shared" si="306"/>
        <v/>
      </c>
      <c r="L296" s="120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7"/>
      <c r="N296" s="7"/>
      <c r="O296" s="5"/>
    </row>
    <row r="297" spans="1:15" x14ac:dyDescent="0.25">
      <c r="A297" s="111"/>
      <c r="B297" s="4"/>
      <c r="C297" s="4"/>
      <c r="D297" s="6"/>
      <c r="E297" s="6"/>
      <c r="F297" s="109" t="str">
        <f t="shared" si="301"/>
        <v/>
      </c>
      <c r="G297" s="6" t="str">
        <f t="shared" si="302"/>
        <v/>
      </c>
      <c r="H297" s="6" t="str">
        <f t="shared" si="303"/>
        <v/>
      </c>
      <c r="I297" s="109" t="str">
        <f t="shared" si="304"/>
        <v/>
      </c>
      <c r="J297" s="6" t="str">
        <f t="shared" si="305"/>
        <v/>
      </c>
      <c r="K297" s="120" t="str">
        <f t="shared" si="306"/>
        <v/>
      </c>
      <c r="L297" s="120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7"/>
      <c r="N297" s="7"/>
      <c r="O297" s="5"/>
    </row>
    <row r="298" spans="1:15" x14ac:dyDescent="0.25">
      <c r="A298" s="111"/>
      <c r="B298" s="4"/>
      <c r="C298" s="4"/>
      <c r="D298" s="6"/>
      <c r="E298" s="6"/>
      <c r="F298" s="109" t="str">
        <f t="shared" si="301"/>
        <v/>
      </c>
      <c r="G298" s="6" t="str">
        <f t="shared" si="302"/>
        <v/>
      </c>
      <c r="H298" s="6" t="str">
        <f t="shared" si="303"/>
        <v/>
      </c>
      <c r="I298" s="109" t="str">
        <f t="shared" si="304"/>
        <v/>
      </c>
      <c r="J298" s="6" t="str">
        <f t="shared" si="305"/>
        <v/>
      </c>
      <c r="K298" s="120" t="str">
        <f t="shared" si="306"/>
        <v/>
      </c>
      <c r="L298" s="120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7"/>
      <c r="N298" s="7"/>
      <c r="O298" s="5"/>
    </row>
    <row r="299" spans="1:15" x14ac:dyDescent="0.25">
      <c r="A299" s="111"/>
      <c r="B299" s="4"/>
      <c r="C299" s="4"/>
      <c r="D299" s="6"/>
      <c r="E299" s="6"/>
      <c r="F299" s="109" t="str">
        <f t="shared" si="301"/>
        <v/>
      </c>
      <c r="G299" s="6" t="str">
        <f t="shared" si="302"/>
        <v/>
      </c>
      <c r="H299" s="6" t="str">
        <f t="shared" si="303"/>
        <v/>
      </c>
      <c r="I299" s="109" t="str">
        <f t="shared" si="304"/>
        <v/>
      </c>
      <c r="J299" s="6" t="str">
        <f t="shared" si="305"/>
        <v/>
      </c>
      <c r="K299" s="120" t="str">
        <f t="shared" si="306"/>
        <v/>
      </c>
      <c r="L299" s="120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7"/>
      <c r="N299" s="7"/>
      <c r="O299" s="5"/>
    </row>
    <row r="300" spans="1:15" x14ac:dyDescent="0.25">
      <c r="A300" s="111"/>
      <c r="B300" s="4"/>
      <c r="C300" s="4"/>
      <c r="D300" s="6"/>
      <c r="E300" s="6"/>
      <c r="F300" s="109" t="str">
        <f t="shared" si="301"/>
        <v/>
      </c>
      <c r="G300" s="6" t="str">
        <f t="shared" si="302"/>
        <v/>
      </c>
      <c r="H300" s="6" t="str">
        <f t="shared" si="303"/>
        <v/>
      </c>
      <c r="I300" s="109" t="str">
        <f t="shared" si="304"/>
        <v/>
      </c>
      <c r="J300" s="6" t="str">
        <f t="shared" si="305"/>
        <v/>
      </c>
      <c r="K300" s="120" t="str">
        <f t="shared" si="306"/>
        <v/>
      </c>
      <c r="L300" s="120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7"/>
      <c r="N300" s="7"/>
      <c r="O300" s="5"/>
    </row>
    <row r="301" spans="1:15" x14ac:dyDescent="0.25">
      <c r="A301" s="111"/>
      <c r="B301" s="4"/>
      <c r="C301" s="4"/>
      <c r="D301" s="6"/>
      <c r="E301" s="6"/>
      <c r="F301" s="109" t="str">
        <f t="shared" si="301"/>
        <v/>
      </c>
      <c r="G301" s="6" t="str">
        <f t="shared" si="302"/>
        <v/>
      </c>
      <c r="H301" s="6" t="str">
        <f t="shared" si="303"/>
        <v/>
      </c>
      <c r="I301" s="109" t="str">
        <f t="shared" si="304"/>
        <v/>
      </c>
      <c r="J301" s="6" t="str">
        <f t="shared" si="305"/>
        <v/>
      </c>
      <c r="K301" s="120" t="str">
        <f t="shared" si="306"/>
        <v/>
      </c>
      <c r="L301" s="120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7"/>
      <c r="N301" s="7"/>
      <c r="O301" s="5"/>
    </row>
    <row r="302" spans="1:15" x14ac:dyDescent="0.25">
      <c r="A302" s="111"/>
      <c r="B302" s="4"/>
      <c r="C302" s="4"/>
      <c r="D302" s="6"/>
      <c r="E302" s="6"/>
      <c r="F302" s="109" t="str">
        <f t="shared" si="301"/>
        <v/>
      </c>
      <c r="G302" s="6" t="str">
        <f t="shared" si="302"/>
        <v/>
      </c>
      <c r="H302" s="6" t="str">
        <f t="shared" si="303"/>
        <v/>
      </c>
      <c r="I302" s="109" t="str">
        <f t="shared" si="304"/>
        <v/>
      </c>
      <c r="J302" s="6" t="str">
        <f t="shared" si="305"/>
        <v/>
      </c>
      <c r="K302" s="120" t="str">
        <f t="shared" si="306"/>
        <v/>
      </c>
      <c r="L302" s="120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7"/>
      <c r="N302" s="7"/>
      <c r="O302" s="5"/>
    </row>
    <row r="303" spans="1:15" x14ac:dyDescent="0.25">
      <c r="A303" s="111"/>
      <c r="B303" s="4"/>
      <c r="C303" s="4"/>
      <c r="D303" s="6"/>
      <c r="E303" s="6"/>
      <c r="F303" s="109" t="str">
        <f t="shared" si="301"/>
        <v/>
      </c>
      <c r="G303" s="6" t="str">
        <f t="shared" si="302"/>
        <v/>
      </c>
      <c r="H303" s="6" t="str">
        <f t="shared" si="303"/>
        <v/>
      </c>
      <c r="I303" s="109" t="str">
        <f t="shared" si="304"/>
        <v/>
      </c>
      <c r="J303" s="6" t="str">
        <f t="shared" si="305"/>
        <v/>
      </c>
      <c r="K303" s="120" t="str">
        <f t="shared" si="306"/>
        <v/>
      </c>
      <c r="L303" s="120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7"/>
      <c r="N303" s="7"/>
      <c r="O303" s="5"/>
    </row>
    <row r="304" spans="1:15" x14ac:dyDescent="0.25">
      <c r="A304" s="111"/>
      <c r="B304" s="4"/>
      <c r="C304" s="4"/>
      <c r="D304" s="6"/>
      <c r="E304" s="6"/>
      <c r="F304" s="109" t="str">
        <f t="shared" si="301"/>
        <v/>
      </c>
      <c r="G304" s="6" t="str">
        <f t="shared" si="302"/>
        <v/>
      </c>
      <c r="H304" s="6" t="str">
        <f t="shared" si="303"/>
        <v/>
      </c>
      <c r="I304" s="109" t="str">
        <f t="shared" si="304"/>
        <v/>
      </c>
      <c r="J304" s="6" t="str">
        <f t="shared" si="305"/>
        <v/>
      </c>
      <c r="K304" s="120" t="str">
        <f t="shared" si="306"/>
        <v/>
      </c>
      <c r="L304" s="120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7"/>
      <c r="N304" s="7"/>
      <c r="O304" s="5"/>
    </row>
    <row r="305" spans="1:15" x14ac:dyDescent="0.25">
      <c r="A305" s="111"/>
      <c r="B305" s="4"/>
      <c r="C305" s="4"/>
      <c r="D305" s="6"/>
      <c r="E305" s="6"/>
      <c r="F305" s="109" t="str">
        <f t="shared" si="301"/>
        <v/>
      </c>
      <c r="G305" s="6" t="str">
        <f t="shared" si="302"/>
        <v/>
      </c>
      <c r="H305" s="6" t="str">
        <f t="shared" si="303"/>
        <v/>
      </c>
      <c r="I305" s="109" t="str">
        <f t="shared" si="304"/>
        <v/>
      </c>
      <c r="J305" s="6" t="str">
        <f t="shared" si="305"/>
        <v/>
      </c>
      <c r="K305" s="120" t="str">
        <f t="shared" si="306"/>
        <v/>
      </c>
      <c r="L305" s="120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7"/>
      <c r="N305" s="7"/>
      <c r="O305" s="5"/>
    </row>
    <row r="306" spans="1:15" x14ac:dyDescent="0.25">
      <c r="A306" s="111"/>
      <c r="B306" s="4"/>
      <c r="C306" s="4"/>
      <c r="D306" s="6"/>
      <c r="E306" s="6"/>
      <c r="F306" s="109" t="str">
        <f t="shared" si="301"/>
        <v/>
      </c>
      <c r="G306" s="6" t="str">
        <f t="shared" si="302"/>
        <v/>
      </c>
      <c r="H306" s="6" t="str">
        <f t="shared" si="303"/>
        <v/>
      </c>
      <c r="I306" s="109" t="str">
        <f t="shared" si="304"/>
        <v/>
      </c>
      <c r="J306" s="6" t="str">
        <f t="shared" si="305"/>
        <v/>
      </c>
      <c r="K306" s="120" t="str">
        <f t="shared" si="306"/>
        <v/>
      </c>
      <c r="L306" s="120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7"/>
      <c r="N306" s="7"/>
      <c r="O306" s="5"/>
    </row>
    <row r="307" spans="1:15" x14ac:dyDescent="0.25">
      <c r="A307" s="111"/>
      <c r="B307" s="4"/>
      <c r="C307" s="4"/>
      <c r="D307" s="6"/>
      <c r="E307" s="6"/>
      <c r="F307" s="109" t="str">
        <f t="shared" si="301"/>
        <v/>
      </c>
      <c r="G307" s="6" t="str">
        <f t="shared" si="302"/>
        <v/>
      </c>
      <c r="H307" s="6" t="str">
        <f t="shared" si="303"/>
        <v/>
      </c>
      <c r="I307" s="109" t="str">
        <f t="shared" si="304"/>
        <v/>
      </c>
      <c r="J307" s="6" t="str">
        <f t="shared" si="305"/>
        <v/>
      </c>
      <c r="K307" s="120" t="str">
        <f t="shared" si="306"/>
        <v/>
      </c>
      <c r="L307" s="120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7"/>
      <c r="N307" s="7"/>
      <c r="O307" s="5"/>
    </row>
    <row r="308" spans="1:15" x14ac:dyDescent="0.25">
      <c r="A308" s="111"/>
      <c r="B308" s="4"/>
      <c r="C308" s="4"/>
      <c r="D308" s="6"/>
      <c r="E308" s="6"/>
      <c r="F308" s="109" t="str">
        <f t="shared" si="301"/>
        <v/>
      </c>
      <c r="G308" s="6" t="str">
        <f t="shared" si="302"/>
        <v/>
      </c>
      <c r="H308" s="6" t="str">
        <f t="shared" si="303"/>
        <v/>
      </c>
      <c r="I308" s="109" t="str">
        <f t="shared" si="304"/>
        <v/>
      </c>
      <c r="J308" s="6" t="str">
        <f t="shared" si="305"/>
        <v/>
      </c>
      <c r="K308" s="120" t="str">
        <f t="shared" si="306"/>
        <v/>
      </c>
      <c r="L308" s="120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7"/>
      <c r="N308" s="7"/>
      <c r="O308" s="5"/>
    </row>
    <row r="309" spans="1:15" x14ac:dyDescent="0.25">
      <c r="A309" s="111"/>
      <c r="B309" s="4"/>
      <c r="C309" s="4"/>
      <c r="D309" s="6"/>
      <c r="E309" s="6"/>
      <c r="F309" s="109" t="str">
        <f t="shared" si="301"/>
        <v/>
      </c>
      <c r="G309" s="6" t="str">
        <f t="shared" si="302"/>
        <v/>
      </c>
      <c r="H309" s="6" t="str">
        <f t="shared" si="303"/>
        <v/>
      </c>
      <c r="I309" s="109" t="str">
        <f t="shared" si="304"/>
        <v/>
      </c>
      <c r="J309" s="6" t="str">
        <f t="shared" si="305"/>
        <v/>
      </c>
      <c r="K309" s="120" t="str">
        <f t="shared" si="306"/>
        <v/>
      </c>
      <c r="L309" s="120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7"/>
      <c r="N309" s="7"/>
      <c r="O309" s="5"/>
    </row>
    <row r="310" spans="1:15" x14ac:dyDescent="0.25">
      <c r="A310" s="111"/>
      <c r="B310" s="4"/>
      <c r="C310" s="4"/>
      <c r="D310" s="6"/>
      <c r="E310" s="6"/>
      <c r="F310" s="109" t="str">
        <f t="shared" si="301"/>
        <v/>
      </c>
      <c r="G310" s="6" t="str">
        <f t="shared" si="302"/>
        <v/>
      </c>
      <c r="H310" s="6" t="str">
        <f t="shared" si="303"/>
        <v/>
      </c>
      <c r="I310" s="109" t="str">
        <f t="shared" si="304"/>
        <v/>
      </c>
      <c r="J310" s="6" t="str">
        <f t="shared" si="305"/>
        <v/>
      </c>
      <c r="K310" s="120" t="str">
        <f t="shared" si="306"/>
        <v/>
      </c>
      <c r="L310" s="120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7"/>
      <c r="N310" s="7"/>
      <c r="O310" s="5"/>
    </row>
    <row r="311" spans="1:15" x14ac:dyDescent="0.25">
      <c r="A311" s="111"/>
      <c r="B311" s="4"/>
      <c r="C311" s="4"/>
      <c r="D311" s="6"/>
      <c r="E311" s="6"/>
      <c r="F311" s="109" t="str">
        <f t="shared" si="301"/>
        <v/>
      </c>
      <c r="G311" s="6" t="str">
        <f t="shared" si="302"/>
        <v/>
      </c>
      <c r="H311" s="6" t="str">
        <f t="shared" si="303"/>
        <v/>
      </c>
      <c r="I311" s="109" t="str">
        <f t="shared" si="304"/>
        <v/>
      </c>
      <c r="J311" s="6" t="str">
        <f t="shared" si="305"/>
        <v/>
      </c>
      <c r="K311" s="120" t="str">
        <f t="shared" si="306"/>
        <v/>
      </c>
      <c r="L311" s="120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7"/>
      <c r="N311" s="7"/>
      <c r="O311" s="5"/>
    </row>
    <row r="312" spans="1:15" x14ac:dyDescent="0.25">
      <c r="A312" s="111"/>
      <c r="B312" s="4"/>
      <c r="C312" s="4"/>
      <c r="D312" s="6"/>
      <c r="E312" s="6"/>
      <c r="F312" s="109" t="str">
        <f t="shared" si="301"/>
        <v/>
      </c>
      <c r="G312" s="6" t="str">
        <f t="shared" si="302"/>
        <v/>
      </c>
      <c r="H312" s="6" t="str">
        <f t="shared" si="303"/>
        <v/>
      </c>
      <c r="I312" s="109" t="str">
        <f t="shared" si="304"/>
        <v/>
      </c>
      <c r="J312" s="6" t="str">
        <f t="shared" si="305"/>
        <v/>
      </c>
      <c r="K312" s="120" t="str">
        <f t="shared" si="306"/>
        <v/>
      </c>
      <c r="L312" s="120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7"/>
      <c r="N312" s="7"/>
      <c r="O312" s="5"/>
    </row>
    <row r="313" spans="1:15" x14ac:dyDescent="0.25">
      <c r="A313" s="111"/>
      <c r="B313" s="4"/>
      <c r="C313" s="4"/>
      <c r="D313" s="6"/>
      <c r="E313" s="6"/>
      <c r="F313" s="109" t="str">
        <f t="shared" si="301"/>
        <v/>
      </c>
      <c r="G313" s="6" t="str">
        <f t="shared" si="302"/>
        <v/>
      </c>
      <c r="H313" s="6" t="str">
        <f t="shared" si="303"/>
        <v/>
      </c>
      <c r="I313" s="109" t="str">
        <f t="shared" si="304"/>
        <v/>
      </c>
      <c r="J313" s="6" t="str">
        <f t="shared" si="305"/>
        <v/>
      </c>
      <c r="K313" s="120" t="str">
        <f t="shared" si="306"/>
        <v/>
      </c>
      <c r="L313" s="120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7"/>
      <c r="N313" s="7"/>
      <c r="O313" s="5"/>
    </row>
    <row r="314" spans="1:15" x14ac:dyDescent="0.25">
      <c r="A314" s="111"/>
      <c r="B314" s="4"/>
      <c r="C314" s="4"/>
      <c r="D314" s="6"/>
      <c r="E314" s="6"/>
      <c r="F314" s="109" t="str">
        <f t="shared" si="301"/>
        <v/>
      </c>
      <c r="G314" s="6" t="str">
        <f t="shared" si="302"/>
        <v/>
      </c>
      <c r="H314" s="6" t="str">
        <f t="shared" si="303"/>
        <v/>
      </c>
      <c r="I314" s="109" t="str">
        <f t="shared" si="304"/>
        <v/>
      </c>
      <c r="J314" s="6" t="str">
        <f t="shared" si="305"/>
        <v/>
      </c>
      <c r="K314" s="120" t="str">
        <f t="shared" si="306"/>
        <v/>
      </c>
      <c r="L314" s="120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7"/>
      <c r="N314" s="7"/>
      <c r="O314" s="5"/>
    </row>
    <row r="315" spans="1:15" x14ac:dyDescent="0.25">
      <c r="A315" s="111"/>
      <c r="B315" s="4"/>
      <c r="C315" s="4"/>
      <c r="D315" s="6"/>
      <c r="E315" s="6"/>
      <c r="F315" s="109" t="str">
        <f t="shared" si="301"/>
        <v/>
      </c>
      <c r="G315" s="6" t="str">
        <f t="shared" si="302"/>
        <v/>
      </c>
      <c r="H315" s="6" t="str">
        <f t="shared" si="303"/>
        <v/>
      </c>
      <c r="I315" s="109" t="str">
        <f t="shared" si="304"/>
        <v/>
      </c>
      <c r="J315" s="6" t="str">
        <f t="shared" si="305"/>
        <v/>
      </c>
      <c r="K315" s="120" t="str">
        <f t="shared" si="306"/>
        <v/>
      </c>
      <c r="L315" s="120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7"/>
      <c r="N315" s="7"/>
      <c r="O315" s="5"/>
    </row>
    <row r="316" spans="1:15" x14ac:dyDescent="0.25">
      <c r="A316" s="111"/>
      <c r="B316" s="4"/>
      <c r="C316" s="4"/>
      <c r="D316" s="6"/>
      <c r="E316" s="6"/>
      <c r="F316" s="109" t="str">
        <f t="shared" si="301"/>
        <v/>
      </c>
      <c r="G316" s="6" t="str">
        <f t="shared" si="302"/>
        <v/>
      </c>
      <c r="H316" s="6" t="str">
        <f t="shared" si="303"/>
        <v/>
      </c>
      <c r="I316" s="109" t="str">
        <f t="shared" si="304"/>
        <v/>
      </c>
      <c r="J316" s="6" t="str">
        <f t="shared" si="305"/>
        <v/>
      </c>
      <c r="K316" s="120" t="str">
        <f t="shared" si="306"/>
        <v/>
      </c>
      <c r="L316" s="120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7"/>
      <c r="N316" s="7"/>
      <c r="O316" s="5"/>
    </row>
    <row r="317" spans="1:15" x14ac:dyDescent="0.25">
      <c r="A317" s="111"/>
      <c r="B317" s="4"/>
      <c r="C317" s="4"/>
      <c r="D317" s="6"/>
      <c r="E317" s="6"/>
      <c r="F317" s="109" t="str">
        <f t="shared" si="301"/>
        <v/>
      </c>
      <c r="G317" s="6" t="str">
        <f t="shared" si="302"/>
        <v/>
      </c>
      <c r="H317" s="6" t="str">
        <f t="shared" si="303"/>
        <v/>
      </c>
      <c r="I317" s="109" t="str">
        <f t="shared" si="304"/>
        <v/>
      </c>
      <c r="J317" s="6" t="str">
        <f t="shared" si="305"/>
        <v/>
      </c>
      <c r="K317" s="120" t="str">
        <f t="shared" si="306"/>
        <v/>
      </c>
      <c r="L317" s="120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7"/>
      <c r="N317" s="7"/>
      <c r="O317" s="5"/>
    </row>
    <row r="318" spans="1:15" x14ac:dyDescent="0.25">
      <c r="A318" s="111"/>
      <c r="B318" s="4"/>
      <c r="C318" s="4"/>
      <c r="D318" s="6"/>
      <c r="E318" s="6"/>
      <c r="F318" s="109" t="str">
        <f t="shared" si="301"/>
        <v/>
      </c>
      <c r="G318" s="6" t="str">
        <f t="shared" si="302"/>
        <v/>
      </c>
      <c r="H318" s="6" t="str">
        <f t="shared" si="303"/>
        <v/>
      </c>
      <c r="I318" s="109" t="str">
        <f t="shared" si="304"/>
        <v/>
      </c>
      <c r="J318" s="6" t="str">
        <f t="shared" si="305"/>
        <v/>
      </c>
      <c r="K318" s="120" t="str">
        <f t="shared" si="306"/>
        <v/>
      </c>
      <c r="L318" s="120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7"/>
      <c r="N318" s="7"/>
      <c r="O318" s="5"/>
    </row>
    <row r="319" spans="1:15" x14ac:dyDescent="0.25">
      <c r="A319" s="111"/>
      <c r="B319" s="4"/>
      <c r="C319" s="4"/>
      <c r="D319" s="6"/>
      <c r="E319" s="6"/>
      <c r="F319" s="109" t="str">
        <f t="shared" si="301"/>
        <v/>
      </c>
      <c r="G319" s="6" t="str">
        <f t="shared" si="302"/>
        <v/>
      </c>
      <c r="H319" s="6" t="str">
        <f t="shared" si="303"/>
        <v/>
      </c>
      <c r="I319" s="109" t="str">
        <f t="shared" si="304"/>
        <v/>
      </c>
      <c r="J319" s="6" t="str">
        <f t="shared" si="305"/>
        <v/>
      </c>
      <c r="K319" s="120" t="str">
        <f t="shared" si="306"/>
        <v/>
      </c>
      <c r="L319" s="120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7"/>
      <c r="N319" s="7"/>
      <c r="O319" s="5"/>
    </row>
    <row r="320" spans="1:15" x14ac:dyDescent="0.25">
      <c r="A320" s="111"/>
      <c r="B320" s="4"/>
      <c r="C320" s="4"/>
      <c r="D320" s="6"/>
      <c r="E320" s="6"/>
      <c r="F320" s="109" t="str">
        <f t="shared" si="301"/>
        <v/>
      </c>
      <c r="G320" s="6" t="str">
        <f t="shared" si="302"/>
        <v/>
      </c>
      <c r="H320" s="6" t="str">
        <f t="shared" si="303"/>
        <v/>
      </c>
      <c r="I320" s="109" t="str">
        <f t="shared" si="304"/>
        <v/>
      </c>
      <c r="J320" s="6" t="str">
        <f t="shared" si="305"/>
        <v/>
      </c>
      <c r="K320" s="120" t="str">
        <f t="shared" si="306"/>
        <v/>
      </c>
      <c r="L320" s="120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7"/>
      <c r="N320" s="7"/>
      <c r="O320" s="5"/>
    </row>
    <row r="321" spans="1:15" x14ac:dyDescent="0.25">
      <c r="A321" s="111"/>
      <c r="B321" s="4"/>
      <c r="C321" s="4"/>
      <c r="D321" s="6"/>
      <c r="E321" s="6"/>
      <c r="F321" s="109" t="str">
        <f t="shared" si="301"/>
        <v/>
      </c>
      <c r="G321" s="6" t="str">
        <f t="shared" si="302"/>
        <v/>
      </c>
      <c r="H321" s="6" t="str">
        <f t="shared" si="303"/>
        <v/>
      </c>
      <c r="I321" s="109" t="str">
        <f t="shared" si="304"/>
        <v/>
      </c>
      <c r="J321" s="6" t="str">
        <f t="shared" si="305"/>
        <v/>
      </c>
      <c r="K321" s="120" t="str">
        <f t="shared" si="306"/>
        <v/>
      </c>
      <c r="L321" s="120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7"/>
      <c r="N321" s="7"/>
      <c r="O321" s="5"/>
    </row>
    <row r="322" spans="1:15" x14ac:dyDescent="0.25">
      <c r="A322" s="111"/>
      <c r="B322" s="4"/>
      <c r="C322" s="4"/>
      <c r="D322" s="6"/>
      <c r="E322" s="6"/>
      <c r="F322" s="109" t="str">
        <f t="shared" si="301"/>
        <v/>
      </c>
      <c r="G322" s="6" t="str">
        <f t="shared" si="302"/>
        <v/>
      </c>
      <c r="H322" s="6" t="str">
        <f t="shared" si="303"/>
        <v/>
      </c>
      <c r="I322" s="109" t="str">
        <f t="shared" si="304"/>
        <v/>
      </c>
      <c r="J322" s="6" t="str">
        <f t="shared" si="305"/>
        <v/>
      </c>
      <c r="K322" s="120" t="str">
        <f t="shared" si="306"/>
        <v/>
      </c>
      <c r="L322" s="120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7"/>
      <c r="N322" s="7"/>
      <c r="O322" s="5"/>
    </row>
    <row r="323" spans="1:15" x14ac:dyDescent="0.25">
      <c r="A323" s="111"/>
      <c r="B323" s="4"/>
      <c r="C323" s="4"/>
      <c r="D323" s="6"/>
      <c r="E323" s="6"/>
      <c r="F323" s="109" t="str">
        <f t="shared" si="301"/>
        <v/>
      </c>
      <c r="G323" s="6" t="str">
        <f t="shared" si="302"/>
        <v/>
      </c>
      <c r="H323" s="6" t="str">
        <f t="shared" si="303"/>
        <v/>
      </c>
      <c r="I323" s="109" t="str">
        <f t="shared" si="304"/>
        <v/>
      </c>
      <c r="J323" s="6" t="str">
        <f t="shared" si="305"/>
        <v/>
      </c>
      <c r="K323" s="120" t="str">
        <f t="shared" si="306"/>
        <v/>
      </c>
      <c r="L323" s="120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7"/>
      <c r="N323" s="7"/>
      <c r="O323" s="5"/>
    </row>
    <row r="324" spans="1:15" x14ac:dyDescent="0.25">
      <c r="A324" s="111"/>
      <c r="B324" s="4"/>
      <c r="C324" s="4"/>
      <c r="D324" s="6"/>
      <c r="E324" s="6"/>
      <c r="F324" s="109" t="str">
        <f t="shared" si="301"/>
        <v/>
      </c>
      <c r="G324" s="6" t="str">
        <f t="shared" si="302"/>
        <v/>
      </c>
      <c r="H324" s="6" t="str">
        <f t="shared" si="303"/>
        <v/>
      </c>
      <c r="I324" s="109" t="str">
        <f t="shared" si="304"/>
        <v/>
      </c>
      <c r="J324" s="6" t="str">
        <f t="shared" si="305"/>
        <v/>
      </c>
      <c r="K324" s="120" t="str">
        <f t="shared" si="306"/>
        <v/>
      </c>
      <c r="L324" s="120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7"/>
      <c r="N324" s="7"/>
      <c r="O324" s="5"/>
    </row>
    <row r="325" spans="1:15" x14ac:dyDescent="0.25">
      <c r="A325" s="111"/>
      <c r="B325" s="4"/>
      <c r="C325" s="4"/>
      <c r="D325" s="6"/>
      <c r="E325" s="6"/>
      <c r="F325" s="109" t="str">
        <f t="shared" si="301"/>
        <v/>
      </c>
      <c r="G325" s="6" t="str">
        <f t="shared" si="302"/>
        <v/>
      </c>
      <c r="H325" s="6" t="str">
        <f t="shared" si="303"/>
        <v/>
      </c>
      <c r="I325" s="109" t="str">
        <f t="shared" si="304"/>
        <v/>
      </c>
      <c r="J325" s="6" t="str">
        <f t="shared" si="305"/>
        <v/>
      </c>
      <c r="K325" s="120" t="str">
        <f t="shared" si="306"/>
        <v/>
      </c>
      <c r="L325" s="120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7"/>
      <c r="N325" s="7"/>
      <c r="O325" s="5"/>
    </row>
    <row r="326" spans="1:15" x14ac:dyDescent="0.25">
      <c r="A326" s="111"/>
      <c r="B326" s="4"/>
      <c r="C326" s="4"/>
      <c r="D326" s="6"/>
      <c r="E326" s="6"/>
      <c r="F326" s="109" t="str">
        <f t="shared" si="301"/>
        <v/>
      </c>
      <c r="G326" s="6" t="str">
        <f t="shared" si="302"/>
        <v/>
      </c>
      <c r="H326" s="6" t="str">
        <f t="shared" si="303"/>
        <v/>
      </c>
      <c r="I326" s="109" t="str">
        <f t="shared" si="304"/>
        <v/>
      </c>
      <c r="J326" s="6" t="str">
        <f t="shared" si="305"/>
        <v/>
      </c>
      <c r="K326" s="120" t="str">
        <f t="shared" si="306"/>
        <v/>
      </c>
      <c r="L326" s="120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7"/>
      <c r="N326" s="7"/>
      <c r="O326" s="5"/>
    </row>
    <row r="327" spans="1:15" x14ac:dyDescent="0.25">
      <c r="A327" s="111"/>
      <c r="B327" s="4"/>
      <c r="C327" s="4"/>
      <c r="D327" s="6"/>
      <c r="E327" s="6"/>
      <c r="F327" s="109" t="str">
        <f t="shared" si="301"/>
        <v/>
      </c>
      <c r="G327" s="6" t="str">
        <f t="shared" si="302"/>
        <v/>
      </c>
      <c r="H327" s="6" t="str">
        <f t="shared" si="303"/>
        <v/>
      </c>
      <c r="I327" s="109" t="str">
        <f t="shared" si="304"/>
        <v/>
      </c>
      <c r="J327" s="6" t="str">
        <f t="shared" si="305"/>
        <v/>
      </c>
      <c r="K327" s="120" t="str">
        <f t="shared" si="306"/>
        <v/>
      </c>
      <c r="L327" s="120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7"/>
      <c r="N327" s="7"/>
      <c r="O327" s="5"/>
    </row>
    <row r="328" spans="1:15" x14ac:dyDescent="0.25">
      <c r="A328" s="111"/>
      <c r="B328" s="4"/>
      <c r="C328" s="4"/>
      <c r="D328" s="6"/>
      <c r="E328" s="6"/>
      <c r="F328" s="109" t="str">
        <f t="shared" si="301"/>
        <v/>
      </c>
      <c r="G328" s="6" t="str">
        <f t="shared" si="302"/>
        <v/>
      </c>
      <c r="H328" s="6" t="str">
        <f t="shared" si="303"/>
        <v/>
      </c>
      <c r="I328" s="109" t="str">
        <f t="shared" si="304"/>
        <v/>
      </c>
      <c r="J328" s="6" t="str">
        <f t="shared" si="305"/>
        <v/>
      </c>
      <c r="K328" s="120" t="str">
        <f t="shared" si="306"/>
        <v/>
      </c>
      <c r="L328" s="120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7"/>
      <c r="N328" s="7"/>
      <c r="O328" s="5"/>
    </row>
    <row r="329" spans="1:15" x14ac:dyDescent="0.25">
      <c r="A329" s="111"/>
      <c r="B329" s="4"/>
      <c r="C329" s="4"/>
      <c r="D329" s="6"/>
      <c r="E329" s="6"/>
      <c r="F329" s="109" t="str">
        <f t="shared" si="301"/>
        <v/>
      </c>
      <c r="G329" s="6" t="str">
        <f t="shared" si="302"/>
        <v/>
      </c>
      <c r="H329" s="6" t="str">
        <f t="shared" si="303"/>
        <v/>
      </c>
      <c r="I329" s="109" t="str">
        <f t="shared" si="304"/>
        <v/>
      </c>
      <c r="J329" s="6" t="str">
        <f t="shared" si="305"/>
        <v/>
      </c>
      <c r="K329" s="120" t="str">
        <f t="shared" si="306"/>
        <v/>
      </c>
      <c r="L329" s="120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7"/>
      <c r="N329" s="7"/>
      <c r="O329" s="5"/>
    </row>
    <row r="330" spans="1:15" x14ac:dyDescent="0.25">
      <c r="A330" s="111"/>
      <c r="B330" s="4"/>
      <c r="C330" s="4"/>
      <c r="D330" s="6"/>
      <c r="E330" s="6"/>
      <c r="F330" s="109" t="str">
        <f t="shared" si="301"/>
        <v/>
      </c>
      <c r="G330" s="6" t="str">
        <f t="shared" si="302"/>
        <v/>
      </c>
      <c r="H330" s="6" t="str">
        <f t="shared" si="303"/>
        <v/>
      </c>
      <c r="I330" s="109" t="str">
        <f t="shared" si="304"/>
        <v/>
      </c>
      <c r="J330" s="6" t="str">
        <f t="shared" si="305"/>
        <v/>
      </c>
      <c r="K330" s="120" t="str">
        <f t="shared" si="306"/>
        <v/>
      </c>
      <c r="L330" s="120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7"/>
      <c r="N330" s="7"/>
      <c r="O330" s="5"/>
    </row>
    <row r="331" spans="1:15" x14ac:dyDescent="0.25">
      <c r="A331" s="111"/>
      <c r="B331" s="4"/>
      <c r="C331" s="4"/>
      <c r="D331" s="6"/>
      <c r="E331" s="6"/>
      <c r="F331" s="109" t="str">
        <f t="shared" si="301"/>
        <v/>
      </c>
      <c r="G331" s="6" t="str">
        <f t="shared" si="302"/>
        <v/>
      </c>
      <c r="H331" s="6" t="str">
        <f t="shared" si="303"/>
        <v/>
      </c>
      <c r="I331" s="109" t="str">
        <f t="shared" si="304"/>
        <v/>
      </c>
      <c r="J331" s="6" t="str">
        <f t="shared" si="305"/>
        <v/>
      </c>
      <c r="K331" s="120" t="str">
        <f t="shared" si="306"/>
        <v/>
      </c>
      <c r="L331" s="120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7"/>
      <c r="N331" s="7"/>
      <c r="O331" s="5"/>
    </row>
    <row r="332" spans="1:15" x14ac:dyDescent="0.25">
      <c r="A332" s="111"/>
      <c r="B332" s="4"/>
      <c r="C332" s="4"/>
      <c r="D332" s="6"/>
      <c r="E332" s="6"/>
      <c r="F332" s="109" t="str">
        <f t="shared" si="301"/>
        <v/>
      </c>
      <c r="G332" s="6" t="str">
        <f t="shared" si="302"/>
        <v/>
      </c>
      <c r="H332" s="6" t="str">
        <f t="shared" si="303"/>
        <v/>
      </c>
      <c r="I332" s="109" t="str">
        <f t="shared" si="304"/>
        <v/>
      </c>
      <c r="J332" s="6" t="str">
        <f t="shared" si="305"/>
        <v/>
      </c>
      <c r="K332" s="120" t="str">
        <f t="shared" si="306"/>
        <v/>
      </c>
      <c r="L332" s="120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7"/>
      <c r="N332" s="7"/>
      <c r="O332" s="5"/>
    </row>
    <row r="333" spans="1:15" x14ac:dyDescent="0.25">
      <c r="A333" s="111"/>
      <c r="B333" s="4"/>
      <c r="C333" s="4"/>
      <c r="D333" s="6"/>
      <c r="E333" s="6"/>
      <c r="F333" s="109" t="str">
        <f t="shared" si="301"/>
        <v/>
      </c>
      <c r="G333" s="6" t="str">
        <f t="shared" si="302"/>
        <v/>
      </c>
      <c r="H333" s="6" t="str">
        <f t="shared" si="303"/>
        <v/>
      </c>
      <c r="I333" s="109" t="str">
        <f t="shared" si="304"/>
        <v/>
      </c>
      <c r="J333" s="6" t="str">
        <f t="shared" si="305"/>
        <v/>
      </c>
      <c r="K333" s="120" t="str">
        <f t="shared" si="306"/>
        <v/>
      </c>
      <c r="L333" s="120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7"/>
      <c r="N333" s="7"/>
      <c r="O333" s="5"/>
    </row>
    <row r="334" spans="1:15" x14ac:dyDescent="0.25">
      <c r="A334" s="111"/>
      <c r="B334" s="4"/>
      <c r="C334" s="4"/>
      <c r="D334" s="6"/>
      <c r="E334" s="6"/>
      <c r="F334" s="109" t="str">
        <f t="shared" si="301"/>
        <v/>
      </c>
      <c r="G334" s="6" t="str">
        <f t="shared" si="302"/>
        <v/>
      </c>
      <c r="H334" s="6" t="str">
        <f t="shared" si="303"/>
        <v/>
      </c>
      <c r="I334" s="109" t="str">
        <f t="shared" si="304"/>
        <v/>
      </c>
      <c r="J334" s="6" t="str">
        <f t="shared" si="305"/>
        <v/>
      </c>
      <c r="K334" s="120" t="str">
        <f t="shared" si="306"/>
        <v/>
      </c>
      <c r="L334" s="120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7"/>
      <c r="N334" s="7"/>
      <c r="O334" s="5"/>
    </row>
    <row r="335" spans="1:15" x14ac:dyDescent="0.25">
      <c r="A335" s="111"/>
      <c r="B335" s="4"/>
      <c r="C335" s="4"/>
      <c r="D335" s="6"/>
      <c r="E335" s="6"/>
      <c r="F335" s="109" t="str">
        <f t="shared" si="301"/>
        <v/>
      </c>
      <c r="G335" s="6" t="str">
        <f t="shared" si="302"/>
        <v/>
      </c>
      <c r="H335" s="6" t="str">
        <f t="shared" si="303"/>
        <v/>
      </c>
      <c r="I335" s="109" t="str">
        <f t="shared" si="304"/>
        <v/>
      </c>
      <c r="J335" s="6" t="str">
        <f t="shared" si="305"/>
        <v/>
      </c>
      <c r="K335" s="120" t="str">
        <f t="shared" si="306"/>
        <v/>
      </c>
      <c r="L335" s="120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7"/>
      <c r="N335" s="7"/>
      <c r="O335" s="5"/>
    </row>
    <row r="336" spans="1:15" x14ac:dyDescent="0.25">
      <c r="A336" s="111"/>
      <c r="B336" s="4"/>
      <c r="C336" s="4"/>
      <c r="D336" s="6"/>
      <c r="E336" s="6"/>
      <c r="F336" s="109" t="str">
        <f t="shared" si="301"/>
        <v/>
      </c>
      <c r="G336" s="6" t="str">
        <f t="shared" si="302"/>
        <v/>
      </c>
      <c r="H336" s="6" t="str">
        <f t="shared" si="303"/>
        <v/>
      </c>
      <c r="I336" s="109" t="str">
        <f t="shared" si="304"/>
        <v/>
      </c>
      <c r="J336" s="6" t="str">
        <f t="shared" si="305"/>
        <v/>
      </c>
      <c r="K336" s="120" t="str">
        <f t="shared" si="306"/>
        <v/>
      </c>
      <c r="L336" s="120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7"/>
      <c r="N336" s="7"/>
      <c r="O336" s="5"/>
    </row>
    <row r="337" spans="1:15" x14ac:dyDescent="0.25">
      <c r="A337" s="111"/>
      <c r="B337" s="4"/>
      <c r="C337" s="4"/>
      <c r="D337" s="6"/>
      <c r="E337" s="6"/>
      <c r="F337" s="109" t="str">
        <f t="shared" si="301"/>
        <v/>
      </c>
      <c r="G337" s="6" t="str">
        <f t="shared" si="302"/>
        <v/>
      </c>
      <c r="H337" s="6" t="str">
        <f t="shared" si="303"/>
        <v/>
      </c>
      <c r="I337" s="109" t="str">
        <f t="shared" si="304"/>
        <v/>
      </c>
      <c r="J337" s="6" t="str">
        <f t="shared" si="305"/>
        <v/>
      </c>
      <c r="K337" s="120" t="str">
        <f t="shared" si="306"/>
        <v/>
      </c>
      <c r="L337" s="120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7"/>
      <c r="N337" s="7"/>
      <c r="O337" s="5"/>
    </row>
    <row r="338" spans="1:15" x14ac:dyDescent="0.25">
      <c r="A338" s="111"/>
      <c r="B338" s="4"/>
      <c r="C338" s="4"/>
      <c r="D338" s="6"/>
      <c r="E338" s="6"/>
      <c r="F338" s="109" t="str">
        <f t="shared" si="301"/>
        <v/>
      </c>
      <c r="G338" s="6" t="str">
        <f t="shared" si="302"/>
        <v/>
      </c>
      <c r="H338" s="6" t="str">
        <f t="shared" si="303"/>
        <v/>
      </c>
      <c r="I338" s="109" t="str">
        <f t="shared" si="304"/>
        <v/>
      </c>
      <c r="J338" s="6" t="str">
        <f t="shared" si="305"/>
        <v/>
      </c>
      <c r="K338" s="120" t="str">
        <f t="shared" si="306"/>
        <v/>
      </c>
      <c r="L338" s="120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7"/>
      <c r="N338" s="7"/>
      <c r="O338" s="5"/>
    </row>
    <row r="339" spans="1:15" x14ac:dyDescent="0.25">
      <c r="A339" s="111"/>
      <c r="B339" s="4"/>
      <c r="C339" s="4"/>
      <c r="D339" s="6"/>
      <c r="E339" s="6"/>
      <c r="F339" s="109" t="str">
        <f t="shared" ref="F339:F402" si="307">IF(ISBLANK(B339),"",IF(I339="L","Baixa",IF(I339="A","Média",IF(I339="","","Alta"))))</f>
        <v/>
      </c>
      <c r="G339" s="6" t="str">
        <f t="shared" ref="G339:G402" si="308">CONCATENATE(B339,I339)</f>
        <v/>
      </c>
      <c r="H339" s="6" t="str">
        <f t="shared" ref="H339:H402" si="309">IF(ISBLANK(B339),"",IF(B339="ALI",IF(I339="L",7,IF(I339="A",10,15)),IF(B339="AIE",IF(I339="L",5,IF(I339="A",7,10)),IF(B339="SE",IF(I339="L",4,IF(I339="A",5,7)),IF(OR(B339="EE",B339="CE"),IF(I339="L",3,IF(I339="A",4,6)),0)))))</f>
        <v/>
      </c>
      <c r="I339" s="109" t="str">
        <f t="shared" ref="I339:I402" si="310">IF(OR(ISBLANK(D339),ISBLANK(E339)),IF(OR(B339="ALI",B339="AIE"),"L",IF(OR(B339="EE",B339="SE",B339="CE"),"A","")),IF(B339="EE",IF(E339&gt;=3,IF(D339&gt;=5,"H","A"),IF(E339&gt;=2,IF(D339&gt;=16,"H",IF(D339&lt;=4,"L","A")),IF(D339&lt;=15,"L","A"))),IF(OR(B339="SE",B339="CE"),IF(E339&gt;=4,IF(D339&gt;=6,"H","A"),IF(E339&gt;=2,IF(D339&gt;=20,"H",IF(D339&lt;=5,"L","A")),IF(D339&lt;=19,"L","A"))),IF(OR(B339="ALI",B339="AIE"),IF(E339&gt;=6,IF(D339&gt;=20,"H","A"),IF(E339&gt;=2,IF(D339&gt;=51,"H",IF(D339&lt;=19,"L","A")),IF(D339&lt;=50,"L","A"))),""))))</f>
        <v/>
      </c>
      <c r="J339" s="6" t="str">
        <f t="shared" ref="J339:J402" si="311">CONCATENATE(B339,C339)</f>
        <v/>
      </c>
      <c r="K339" s="120" t="str">
        <f t="shared" si="306"/>
        <v/>
      </c>
      <c r="L339" s="120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7"/>
      <c r="N339" s="7"/>
      <c r="O339" s="5"/>
    </row>
    <row r="340" spans="1:15" x14ac:dyDescent="0.25">
      <c r="A340" s="111"/>
      <c r="B340" s="4"/>
      <c r="C340" s="4"/>
      <c r="D340" s="6"/>
      <c r="E340" s="6"/>
      <c r="F340" s="109" t="str">
        <f t="shared" si="307"/>
        <v/>
      </c>
      <c r="G340" s="6" t="str">
        <f t="shared" si="308"/>
        <v/>
      </c>
      <c r="H340" s="6" t="str">
        <f t="shared" si="309"/>
        <v/>
      </c>
      <c r="I340" s="109" t="str">
        <f t="shared" si="310"/>
        <v/>
      </c>
      <c r="J340" s="6" t="str">
        <f t="shared" si="311"/>
        <v/>
      </c>
      <c r="K340" s="120" t="str">
        <f t="shared" si="306"/>
        <v/>
      </c>
      <c r="L340" s="120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7"/>
      <c r="N340" s="7"/>
      <c r="O340" s="5"/>
    </row>
    <row r="341" spans="1:15" x14ac:dyDescent="0.25">
      <c r="A341" s="111"/>
      <c r="B341" s="4"/>
      <c r="C341" s="4"/>
      <c r="D341" s="6"/>
      <c r="E341" s="6"/>
      <c r="F341" s="109" t="str">
        <f t="shared" si="307"/>
        <v/>
      </c>
      <c r="G341" s="6" t="str">
        <f t="shared" si="308"/>
        <v/>
      </c>
      <c r="H341" s="6" t="str">
        <f t="shared" si="309"/>
        <v/>
      </c>
      <c r="I341" s="109" t="str">
        <f t="shared" si="310"/>
        <v/>
      </c>
      <c r="J341" s="6" t="str">
        <f t="shared" si="311"/>
        <v/>
      </c>
      <c r="K341" s="120" t="str">
        <f t="shared" ref="K341:K404" si="312">IF(OR(H341="",H341=0),L341,H341)</f>
        <v/>
      </c>
      <c r="L341" s="120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7"/>
      <c r="N341" s="7"/>
      <c r="O341" s="5"/>
    </row>
    <row r="342" spans="1:15" x14ac:dyDescent="0.25">
      <c r="A342" s="111"/>
      <c r="B342" s="4"/>
      <c r="C342" s="4"/>
      <c r="D342" s="6"/>
      <c r="E342" s="6"/>
      <c r="F342" s="109" t="str">
        <f t="shared" si="307"/>
        <v/>
      </c>
      <c r="G342" s="6" t="str">
        <f t="shared" si="308"/>
        <v/>
      </c>
      <c r="H342" s="6" t="str">
        <f t="shared" si="309"/>
        <v/>
      </c>
      <c r="I342" s="109" t="str">
        <f t="shared" si="310"/>
        <v/>
      </c>
      <c r="J342" s="6" t="str">
        <f t="shared" si="311"/>
        <v/>
      </c>
      <c r="K342" s="120" t="str">
        <f t="shared" si="312"/>
        <v/>
      </c>
      <c r="L342" s="120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7"/>
      <c r="N342" s="7"/>
      <c r="O342" s="5"/>
    </row>
    <row r="343" spans="1:15" x14ac:dyDescent="0.25">
      <c r="A343" s="111"/>
      <c r="B343" s="4"/>
      <c r="C343" s="4"/>
      <c r="D343" s="6"/>
      <c r="E343" s="6"/>
      <c r="F343" s="109" t="str">
        <f t="shared" si="307"/>
        <v/>
      </c>
      <c r="G343" s="6" t="str">
        <f t="shared" si="308"/>
        <v/>
      </c>
      <c r="H343" s="6" t="str">
        <f t="shared" si="309"/>
        <v/>
      </c>
      <c r="I343" s="109" t="str">
        <f t="shared" si="310"/>
        <v/>
      </c>
      <c r="J343" s="6" t="str">
        <f t="shared" si="311"/>
        <v/>
      </c>
      <c r="K343" s="120" t="str">
        <f t="shared" si="312"/>
        <v/>
      </c>
      <c r="L343" s="120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7"/>
      <c r="N343" s="7"/>
      <c r="O343" s="5"/>
    </row>
    <row r="344" spans="1:15" x14ac:dyDescent="0.25">
      <c r="A344" s="111"/>
      <c r="B344" s="4"/>
      <c r="C344" s="4"/>
      <c r="D344" s="6"/>
      <c r="E344" s="6"/>
      <c r="F344" s="109" t="str">
        <f t="shared" si="307"/>
        <v/>
      </c>
      <c r="G344" s="6" t="str">
        <f t="shared" si="308"/>
        <v/>
      </c>
      <c r="H344" s="6" t="str">
        <f t="shared" si="309"/>
        <v/>
      </c>
      <c r="I344" s="109" t="str">
        <f t="shared" si="310"/>
        <v/>
      </c>
      <c r="J344" s="6" t="str">
        <f t="shared" si="311"/>
        <v/>
      </c>
      <c r="K344" s="120" t="str">
        <f t="shared" si="312"/>
        <v/>
      </c>
      <c r="L344" s="120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7"/>
      <c r="N344" s="7"/>
      <c r="O344" s="5"/>
    </row>
    <row r="345" spans="1:15" x14ac:dyDescent="0.25">
      <c r="A345" s="111"/>
      <c r="B345" s="4"/>
      <c r="C345" s="4"/>
      <c r="D345" s="6"/>
      <c r="E345" s="6"/>
      <c r="F345" s="109" t="str">
        <f t="shared" si="307"/>
        <v/>
      </c>
      <c r="G345" s="6" t="str">
        <f t="shared" si="308"/>
        <v/>
      </c>
      <c r="H345" s="6" t="str">
        <f t="shared" si="309"/>
        <v/>
      </c>
      <c r="I345" s="109" t="str">
        <f t="shared" si="310"/>
        <v/>
      </c>
      <c r="J345" s="6" t="str">
        <f t="shared" si="311"/>
        <v/>
      </c>
      <c r="K345" s="120" t="str">
        <f t="shared" si="312"/>
        <v/>
      </c>
      <c r="L345" s="120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7"/>
      <c r="N345" s="7"/>
      <c r="O345" s="5"/>
    </row>
    <row r="346" spans="1:15" x14ac:dyDescent="0.25">
      <c r="A346" s="111"/>
      <c r="B346" s="4"/>
      <c r="C346" s="4"/>
      <c r="D346" s="6"/>
      <c r="E346" s="6"/>
      <c r="F346" s="109" t="str">
        <f t="shared" si="307"/>
        <v/>
      </c>
      <c r="G346" s="6" t="str">
        <f t="shared" si="308"/>
        <v/>
      </c>
      <c r="H346" s="6" t="str">
        <f t="shared" si="309"/>
        <v/>
      </c>
      <c r="I346" s="109" t="str">
        <f t="shared" si="310"/>
        <v/>
      </c>
      <c r="J346" s="6" t="str">
        <f t="shared" si="311"/>
        <v/>
      </c>
      <c r="K346" s="120" t="str">
        <f t="shared" si="312"/>
        <v/>
      </c>
      <c r="L346" s="120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7"/>
      <c r="N346" s="7"/>
      <c r="O346" s="5"/>
    </row>
    <row r="347" spans="1:15" x14ac:dyDescent="0.25">
      <c r="A347" s="111"/>
      <c r="B347" s="4"/>
      <c r="C347" s="4"/>
      <c r="D347" s="6"/>
      <c r="E347" s="6"/>
      <c r="F347" s="109" t="str">
        <f t="shared" si="307"/>
        <v/>
      </c>
      <c r="G347" s="6" t="str">
        <f t="shared" si="308"/>
        <v/>
      </c>
      <c r="H347" s="6" t="str">
        <f t="shared" si="309"/>
        <v/>
      </c>
      <c r="I347" s="109" t="str">
        <f t="shared" si="310"/>
        <v/>
      </c>
      <c r="J347" s="6" t="str">
        <f t="shared" si="311"/>
        <v/>
      </c>
      <c r="K347" s="120" t="str">
        <f t="shared" si="312"/>
        <v/>
      </c>
      <c r="L347" s="120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7"/>
      <c r="N347" s="7"/>
      <c r="O347" s="5"/>
    </row>
    <row r="348" spans="1:15" x14ac:dyDescent="0.25">
      <c r="A348" s="111"/>
      <c r="B348" s="4"/>
      <c r="C348" s="4"/>
      <c r="D348" s="6"/>
      <c r="E348" s="6"/>
      <c r="F348" s="109" t="str">
        <f t="shared" si="307"/>
        <v/>
      </c>
      <c r="G348" s="6" t="str">
        <f t="shared" si="308"/>
        <v/>
      </c>
      <c r="H348" s="6" t="str">
        <f t="shared" si="309"/>
        <v/>
      </c>
      <c r="I348" s="109" t="str">
        <f t="shared" si="310"/>
        <v/>
      </c>
      <c r="J348" s="6" t="str">
        <f t="shared" si="311"/>
        <v/>
      </c>
      <c r="K348" s="120" t="str">
        <f t="shared" si="312"/>
        <v/>
      </c>
      <c r="L348" s="120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7"/>
      <c r="N348" s="7"/>
      <c r="O348" s="5"/>
    </row>
    <row r="349" spans="1:15" x14ac:dyDescent="0.25">
      <c r="A349" s="111"/>
      <c r="B349" s="4"/>
      <c r="C349" s="4"/>
      <c r="D349" s="6"/>
      <c r="E349" s="6"/>
      <c r="F349" s="109" t="str">
        <f t="shared" si="307"/>
        <v/>
      </c>
      <c r="G349" s="6" t="str">
        <f t="shared" si="308"/>
        <v/>
      </c>
      <c r="H349" s="6" t="str">
        <f t="shared" si="309"/>
        <v/>
      </c>
      <c r="I349" s="109" t="str">
        <f t="shared" si="310"/>
        <v/>
      </c>
      <c r="J349" s="6" t="str">
        <f t="shared" si="311"/>
        <v/>
      </c>
      <c r="K349" s="120" t="str">
        <f t="shared" si="312"/>
        <v/>
      </c>
      <c r="L349" s="120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7"/>
      <c r="N349" s="7"/>
      <c r="O349" s="5"/>
    </row>
    <row r="350" spans="1:15" x14ac:dyDescent="0.25">
      <c r="A350" s="111"/>
      <c r="B350" s="4"/>
      <c r="C350" s="4"/>
      <c r="D350" s="6"/>
      <c r="E350" s="6"/>
      <c r="F350" s="109" t="str">
        <f t="shared" si="307"/>
        <v/>
      </c>
      <c r="G350" s="6" t="str">
        <f t="shared" si="308"/>
        <v/>
      </c>
      <c r="H350" s="6" t="str">
        <f t="shared" si="309"/>
        <v/>
      </c>
      <c r="I350" s="109" t="str">
        <f t="shared" si="310"/>
        <v/>
      </c>
      <c r="J350" s="6" t="str">
        <f t="shared" si="311"/>
        <v/>
      </c>
      <c r="K350" s="120" t="str">
        <f t="shared" si="312"/>
        <v/>
      </c>
      <c r="L350" s="120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7"/>
      <c r="N350" s="7"/>
      <c r="O350" s="5"/>
    </row>
    <row r="351" spans="1:15" x14ac:dyDescent="0.25">
      <c r="A351" s="111"/>
      <c r="B351" s="4"/>
      <c r="C351" s="4"/>
      <c r="D351" s="6"/>
      <c r="E351" s="6"/>
      <c r="F351" s="109" t="str">
        <f t="shared" si="307"/>
        <v/>
      </c>
      <c r="G351" s="6" t="str">
        <f t="shared" si="308"/>
        <v/>
      </c>
      <c r="H351" s="6" t="str">
        <f t="shared" si="309"/>
        <v/>
      </c>
      <c r="I351" s="109" t="str">
        <f t="shared" si="310"/>
        <v/>
      </c>
      <c r="J351" s="6" t="str">
        <f t="shared" si="311"/>
        <v/>
      </c>
      <c r="K351" s="120" t="str">
        <f t="shared" si="312"/>
        <v/>
      </c>
      <c r="L351" s="120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7"/>
      <c r="N351" s="7"/>
      <c r="O351" s="5"/>
    </row>
    <row r="352" spans="1:15" x14ac:dyDescent="0.25">
      <c r="A352" s="111"/>
      <c r="B352" s="4"/>
      <c r="C352" s="4"/>
      <c r="D352" s="6"/>
      <c r="E352" s="6"/>
      <c r="F352" s="109" t="str">
        <f t="shared" si="307"/>
        <v/>
      </c>
      <c r="G352" s="6" t="str">
        <f t="shared" si="308"/>
        <v/>
      </c>
      <c r="H352" s="6" t="str">
        <f t="shared" si="309"/>
        <v/>
      </c>
      <c r="I352" s="109" t="str">
        <f t="shared" si="310"/>
        <v/>
      </c>
      <c r="J352" s="6" t="str">
        <f t="shared" si="311"/>
        <v/>
      </c>
      <c r="K352" s="120" t="str">
        <f t="shared" si="312"/>
        <v/>
      </c>
      <c r="L352" s="120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7"/>
      <c r="N352" s="7"/>
      <c r="O352" s="5"/>
    </row>
    <row r="353" spans="1:15" x14ac:dyDescent="0.25">
      <c r="A353" s="111"/>
      <c r="B353" s="4"/>
      <c r="C353" s="4"/>
      <c r="D353" s="6"/>
      <c r="E353" s="6"/>
      <c r="F353" s="109" t="str">
        <f t="shared" si="307"/>
        <v/>
      </c>
      <c r="G353" s="6" t="str">
        <f t="shared" si="308"/>
        <v/>
      </c>
      <c r="H353" s="6" t="str">
        <f t="shared" si="309"/>
        <v/>
      </c>
      <c r="I353" s="109" t="str">
        <f t="shared" si="310"/>
        <v/>
      </c>
      <c r="J353" s="6" t="str">
        <f t="shared" si="311"/>
        <v/>
      </c>
      <c r="K353" s="120" t="str">
        <f t="shared" si="312"/>
        <v/>
      </c>
      <c r="L353" s="120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7"/>
      <c r="N353" s="7"/>
      <c r="O353" s="5"/>
    </row>
    <row r="354" spans="1:15" x14ac:dyDescent="0.25">
      <c r="A354" s="111"/>
      <c r="B354" s="4"/>
      <c r="C354" s="4"/>
      <c r="D354" s="6"/>
      <c r="E354" s="6"/>
      <c r="F354" s="109" t="str">
        <f t="shared" si="307"/>
        <v/>
      </c>
      <c r="G354" s="6" t="str">
        <f t="shared" si="308"/>
        <v/>
      </c>
      <c r="H354" s="6" t="str">
        <f t="shared" si="309"/>
        <v/>
      </c>
      <c r="I354" s="109" t="str">
        <f t="shared" si="310"/>
        <v/>
      </c>
      <c r="J354" s="6" t="str">
        <f t="shared" si="311"/>
        <v/>
      </c>
      <c r="K354" s="120" t="str">
        <f t="shared" si="312"/>
        <v/>
      </c>
      <c r="L354" s="120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7"/>
      <c r="N354" s="7"/>
      <c r="O354" s="5"/>
    </row>
    <row r="355" spans="1:15" x14ac:dyDescent="0.25">
      <c r="A355" s="111"/>
      <c r="B355" s="4"/>
      <c r="C355" s="4"/>
      <c r="D355" s="6"/>
      <c r="E355" s="6"/>
      <c r="F355" s="109" t="str">
        <f t="shared" si="307"/>
        <v/>
      </c>
      <c r="G355" s="6" t="str">
        <f t="shared" si="308"/>
        <v/>
      </c>
      <c r="H355" s="6" t="str">
        <f t="shared" si="309"/>
        <v/>
      </c>
      <c r="I355" s="109" t="str">
        <f t="shared" si="310"/>
        <v/>
      </c>
      <c r="J355" s="6" t="str">
        <f t="shared" si="311"/>
        <v/>
      </c>
      <c r="K355" s="120" t="str">
        <f t="shared" si="312"/>
        <v/>
      </c>
      <c r="L355" s="120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7"/>
      <c r="N355" s="7"/>
      <c r="O355" s="5"/>
    </row>
    <row r="356" spans="1:15" x14ac:dyDescent="0.25">
      <c r="A356" s="111"/>
      <c r="B356" s="4"/>
      <c r="C356" s="4"/>
      <c r="D356" s="6"/>
      <c r="E356" s="6"/>
      <c r="F356" s="109" t="str">
        <f t="shared" si="307"/>
        <v/>
      </c>
      <c r="G356" s="6" t="str">
        <f t="shared" si="308"/>
        <v/>
      </c>
      <c r="H356" s="6" t="str">
        <f t="shared" si="309"/>
        <v/>
      </c>
      <c r="I356" s="109" t="str">
        <f t="shared" si="310"/>
        <v/>
      </c>
      <c r="J356" s="6" t="str">
        <f t="shared" si="311"/>
        <v/>
      </c>
      <c r="K356" s="120" t="str">
        <f t="shared" si="312"/>
        <v/>
      </c>
      <c r="L356" s="120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7"/>
      <c r="N356" s="7"/>
      <c r="O356" s="5"/>
    </row>
    <row r="357" spans="1:15" x14ac:dyDescent="0.25">
      <c r="A357" s="111"/>
      <c r="B357" s="4"/>
      <c r="C357" s="4"/>
      <c r="D357" s="6"/>
      <c r="E357" s="6"/>
      <c r="F357" s="109" t="str">
        <f t="shared" si="307"/>
        <v/>
      </c>
      <c r="G357" s="6" t="str">
        <f t="shared" si="308"/>
        <v/>
      </c>
      <c r="H357" s="6" t="str">
        <f t="shared" si="309"/>
        <v/>
      </c>
      <c r="I357" s="109" t="str">
        <f t="shared" si="310"/>
        <v/>
      </c>
      <c r="J357" s="6" t="str">
        <f t="shared" si="311"/>
        <v/>
      </c>
      <c r="K357" s="120" t="str">
        <f t="shared" si="312"/>
        <v/>
      </c>
      <c r="L357" s="120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7"/>
      <c r="N357" s="7"/>
      <c r="O357" s="5"/>
    </row>
    <row r="358" spans="1:15" x14ac:dyDescent="0.25">
      <c r="A358" s="111"/>
      <c r="B358" s="4"/>
      <c r="C358" s="4"/>
      <c r="D358" s="6"/>
      <c r="E358" s="6"/>
      <c r="F358" s="109" t="str">
        <f t="shared" si="307"/>
        <v/>
      </c>
      <c r="G358" s="6" t="str">
        <f t="shared" si="308"/>
        <v/>
      </c>
      <c r="H358" s="6" t="str">
        <f t="shared" si="309"/>
        <v/>
      </c>
      <c r="I358" s="109" t="str">
        <f t="shared" si="310"/>
        <v/>
      </c>
      <c r="J358" s="6" t="str">
        <f t="shared" si="311"/>
        <v/>
      </c>
      <c r="K358" s="120" t="str">
        <f t="shared" si="312"/>
        <v/>
      </c>
      <c r="L358" s="120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7"/>
      <c r="N358" s="7"/>
      <c r="O358" s="5"/>
    </row>
    <row r="359" spans="1:15" x14ac:dyDescent="0.25">
      <c r="A359" s="111"/>
      <c r="B359" s="4"/>
      <c r="C359" s="4"/>
      <c r="D359" s="6"/>
      <c r="E359" s="6"/>
      <c r="F359" s="109" t="str">
        <f t="shared" si="307"/>
        <v/>
      </c>
      <c r="G359" s="6" t="str">
        <f t="shared" si="308"/>
        <v/>
      </c>
      <c r="H359" s="6" t="str">
        <f t="shared" si="309"/>
        <v/>
      </c>
      <c r="I359" s="109" t="str">
        <f t="shared" si="310"/>
        <v/>
      </c>
      <c r="J359" s="6" t="str">
        <f t="shared" si="311"/>
        <v/>
      </c>
      <c r="K359" s="120" t="str">
        <f t="shared" si="312"/>
        <v/>
      </c>
      <c r="L359" s="120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7"/>
      <c r="N359" s="7"/>
      <c r="O359" s="5"/>
    </row>
    <row r="360" spans="1:15" x14ac:dyDescent="0.25">
      <c r="A360" s="111"/>
      <c r="B360" s="4"/>
      <c r="C360" s="4"/>
      <c r="D360" s="6"/>
      <c r="E360" s="6"/>
      <c r="F360" s="109" t="str">
        <f t="shared" si="307"/>
        <v/>
      </c>
      <c r="G360" s="6" t="str">
        <f t="shared" si="308"/>
        <v/>
      </c>
      <c r="H360" s="6" t="str">
        <f t="shared" si="309"/>
        <v/>
      </c>
      <c r="I360" s="109" t="str">
        <f t="shared" si="310"/>
        <v/>
      </c>
      <c r="J360" s="6" t="str">
        <f t="shared" si="311"/>
        <v/>
      </c>
      <c r="K360" s="120" t="str">
        <f t="shared" si="312"/>
        <v/>
      </c>
      <c r="L360" s="120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7"/>
      <c r="N360" s="7"/>
      <c r="O360" s="5"/>
    </row>
    <row r="361" spans="1:15" x14ac:dyDescent="0.25">
      <c r="A361" s="111"/>
      <c r="B361" s="4"/>
      <c r="C361" s="4"/>
      <c r="D361" s="6"/>
      <c r="E361" s="6"/>
      <c r="F361" s="109" t="str">
        <f t="shared" si="307"/>
        <v/>
      </c>
      <c r="G361" s="6" t="str">
        <f t="shared" si="308"/>
        <v/>
      </c>
      <c r="H361" s="6" t="str">
        <f t="shared" si="309"/>
        <v/>
      </c>
      <c r="I361" s="109" t="str">
        <f t="shared" si="310"/>
        <v/>
      </c>
      <c r="J361" s="6" t="str">
        <f t="shared" si="311"/>
        <v/>
      </c>
      <c r="K361" s="120" t="str">
        <f t="shared" si="312"/>
        <v/>
      </c>
      <c r="L361" s="120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7"/>
      <c r="N361" s="7"/>
      <c r="O361" s="5"/>
    </row>
    <row r="362" spans="1:15" x14ac:dyDescent="0.25">
      <c r="A362" s="111"/>
      <c r="B362" s="4"/>
      <c r="C362" s="4"/>
      <c r="D362" s="6"/>
      <c r="E362" s="6"/>
      <c r="F362" s="109" t="str">
        <f t="shared" si="307"/>
        <v/>
      </c>
      <c r="G362" s="6" t="str">
        <f t="shared" si="308"/>
        <v/>
      </c>
      <c r="H362" s="6" t="str">
        <f t="shared" si="309"/>
        <v/>
      </c>
      <c r="I362" s="109" t="str">
        <f t="shared" si="310"/>
        <v/>
      </c>
      <c r="J362" s="6" t="str">
        <f t="shared" si="311"/>
        <v/>
      </c>
      <c r="K362" s="120" t="str">
        <f t="shared" si="312"/>
        <v/>
      </c>
      <c r="L362" s="120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7"/>
      <c r="N362" s="7"/>
      <c r="O362" s="5"/>
    </row>
    <row r="363" spans="1:15" x14ac:dyDescent="0.25">
      <c r="A363" s="111"/>
      <c r="B363" s="4"/>
      <c r="C363" s="4"/>
      <c r="D363" s="6"/>
      <c r="E363" s="6"/>
      <c r="F363" s="109" t="str">
        <f t="shared" si="307"/>
        <v/>
      </c>
      <c r="G363" s="6" t="str">
        <f t="shared" si="308"/>
        <v/>
      </c>
      <c r="H363" s="6" t="str">
        <f t="shared" si="309"/>
        <v/>
      </c>
      <c r="I363" s="109" t="str">
        <f t="shared" si="310"/>
        <v/>
      </c>
      <c r="J363" s="6" t="str">
        <f t="shared" si="311"/>
        <v/>
      </c>
      <c r="K363" s="120" t="str">
        <f t="shared" si="312"/>
        <v/>
      </c>
      <c r="L363" s="120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7"/>
      <c r="N363" s="7"/>
      <c r="O363" s="5"/>
    </row>
    <row r="364" spans="1:15" x14ac:dyDescent="0.25">
      <c r="A364" s="111"/>
      <c r="B364" s="4"/>
      <c r="C364" s="4"/>
      <c r="D364" s="6"/>
      <c r="E364" s="6"/>
      <c r="F364" s="109" t="str">
        <f t="shared" si="307"/>
        <v/>
      </c>
      <c r="G364" s="6" t="str">
        <f t="shared" si="308"/>
        <v/>
      </c>
      <c r="H364" s="6" t="str">
        <f t="shared" si="309"/>
        <v/>
      </c>
      <c r="I364" s="109" t="str">
        <f t="shared" si="310"/>
        <v/>
      </c>
      <c r="J364" s="6" t="str">
        <f t="shared" si="311"/>
        <v/>
      </c>
      <c r="K364" s="120" t="str">
        <f t="shared" si="312"/>
        <v/>
      </c>
      <c r="L364" s="120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7"/>
      <c r="N364" s="7"/>
      <c r="O364" s="5"/>
    </row>
    <row r="365" spans="1:15" x14ac:dyDescent="0.25">
      <c r="A365" s="111"/>
      <c r="B365" s="4"/>
      <c r="C365" s="4"/>
      <c r="D365" s="6"/>
      <c r="E365" s="6"/>
      <c r="F365" s="109" t="str">
        <f t="shared" si="307"/>
        <v/>
      </c>
      <c r="G365" s="6" t="str">
        <f t="shared" si="308"/>
        <v/>
      </c>
      <c r="H365" s="6" t="str">
        <f t="shared" si="309"/>
        <v/>
      </c>
      <c r="I365" s="109" t="str">
        <f t="shared" si="310"/>
        <v/>
      </c>
      <c r="J365" s="6" t="str">
        <f t="shared" si="311"/>
        <v/>
      </c>
      <c r="K365" s="120" t="str">
        <f t="shared" si="312"/>
        <v/>
      </c>
      <c r="L365" s="120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7"/>
      <c r="N365" s="7"/>
      <c r="O365" s="5"/>
    </row>
    <row r="366" spans="1:15" x14ac:dyDescent="0.25">
      <c r="A366" s="111"/>
      <c r="B366" s="4"/>
      <c r="C366" s="4"/>
      <c r="D366" s="6"/>
      <c r="E366" s="6"/>
      <c r="F366" s="109" t="str">
        <f t="shared" si="307"/>
        <v/>
      </c>
      <c r="G366" s="6" t="str">
        <f t="shared" si="308"/>
        <v/>
      </c>
      <c r="H366" s="6" t="str">
        <f t="shared" si="309"/>
        <v/>
      </c>
      <c r="I366" s="109" t="str">
        <f t="shared" si="310"/>
        <v/>
      </c>
      <c r="J366" s="6" t="str">
        <f t="shared" si="311"/>
        <v/>
      </c>
      <c r="K366" s="120" t="str">
        <f t="shared" si="312"/>
        <v/>
      </c>
      <c r="L366" s="120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7"/>
      <c r="N366" s="7"/>
      <c r="O366" s="5"/>
    </row>
    <row r="367" spans="1:15" x14ac:dyDescent="0.25">
      <c r="A367" s="111"/>
      <c r="B367" s="4"/>
      <c r="C367" s="4"/>
      <c r="D367" s="6"/>
      <c r="E367" s="6"/>
      <c r="F367" s="109" t="str">
        <f t="shared" si="307"/>
        <v/>
      </c>
      <c r="G367" s="6" t="str">
        <f t="shared" si="308"/>
        <v/>
      </c>
      <c r="H367" s="6" t="str">
        <f t="shared" si="309"/>
        <v/>
      </c>
      <c r="I367" s="109" t="str">
        <f t="shared" si="310"/>
        <v/>
      </c>
      <c r="J367" s="6" t="str">
        <f t="shared" si="311"/>
        <v/>
      </c>
      <c r="K367" s="120" t="str">
        <f t="shared" si="312"/>
        <v/>
      </c>
      <c r="L367" s="120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7"/>
      <c r="N367" s="7"/>
      <c r="O367" s="5"/>
    </row>
    <row r="368" spans="1:15" x14ac:dyDescent="0.25">
      <c r="A368" s="111"/>
      <c r="B368" s="4"/>
      <c r="C368" s="4"/>
      <c r="D368" s="6"/>
      <c r="E368" s="6"/>
      <c r="F368" s="109" t="str">
        <f t="shared" si="307"/>
        <v/>
      </c>
      <c r="G368" s="6" t="str">
        <f t="shared" si="308"/>
        <v/>
      </c>
      <c r="H368" s="6" t="str">
        <f t="shared" si="309"/>
        <v/>
      </c>
      <c r="I368" s="109" t="str">
        <f t="shared" si="310"/>
        <v/>
      </c>
      <c r="J368" s="6" t="str">
        <f t="shared" si="311"/>
        <v/>
      </c>
      <c r="K368" s="120" t="str">
        <f t="shared" si="312"/>
        <v/>
      </c>
      <c r="L368" s="120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7"/>
      <c r="N368" s="7"/>
      <c r="O368" s="5"/>
    </row>
    <row r="369" spans="1:15" x14ac:dyDescent="0.25">
      <c r="A369" s="111"/>
      <c r="B369" s="4"/>
      <c r="C369" s="4"/>
      <c r="D369" s="6"/>
      <c r="E369" s="6"/>
      <c r="F369" s="109" t="str">
        <f t="shared" si="307"/>
        <v/>
      </c>
      <c r="G369" s="6" t="str">
        <f t="shared" si="308"/>
        <v/>
      </c>
      <c r="H369" s="6" t="str">
        <f t="shared" si="309"/>
        <v/>
      </c>
      <c r="I369" s="109" t="str">
        <f t="shared" si="310"/>
        <v/>
      </c>
      <c r="J369" s="6" t="str">
        <f t="shared" si="311"/>
        <v/>
      </c>
      <c r="K369" s="120" t="str">
        <f t="shared" si="312"/>
        <v/>
      </c>
      <c r="L369" s="120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7"/>
      <c r="N369" s="7"/>
      <c r="O369" s="5"/>
    </row>
    <row r="370" spans="1:15" x14ac:dyDescent="0.25">
      <c r="A370" s="111"/>
      <c r="B370" s="4"/>
      <c r="C370" s="4"/>
      <c r="D370" s="6"/>
      <c r="E370" s="6"/>
      <c r="F370" s="109" t="str">
        <f t="shared" si="307"/>
        <v/>
      </c>
      <c r="G370" s="6" t="str">
        <f t="shared" si="308"/>
        <v/>
      </c>
      <c r="H370" s="6" t="str">
        <f t="shared" si="309"/>
        <v/>
      </c>
      <c r="I370" s="109" t="str">
        <f t="shared" si="310"/>
        <v/>
      </c>
      <c r="J370" s="6" t="str">
        <f t="shared" si="311"/>
        <v/>
      </c>
      <c r="K370" s="120" t="str">
        <f t="shared" si="312"/>
        <v/>
      </c>
      <c r="L370" s="120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7"/>
      <c r="N370" s="7"/>
      <c r="O370" s="5"/>
    </row>
    <row r="371" spans="1:15" x14ac:dyDescent="0.25">
      <c r="A371" s="111"/>
      <c r="B371" s="4"/>
      <c r="C371" s="4"/>
      <c r="D371" s="6"/>
      <c r="E371" s="6"/>
      <c r="F371" s="109" t="str">
        <f t="shared" si="307"/>
        <v/>
      </c>
      <c r="G371" s="6" t="str">
        <f t="shared" si="308"/>
        <v/>
      </c>
      <c r="H371" s="6" t="str">
        <f t="shared" si="309"/>
        <v/>
      </c>
      <c r="I371" s="109" t="str">
        <f t="shared" si="310"/>
        <v/>
      </c>
      <c r="J371" s="6" t="str">
        <f t="shared" si="311"/>
        <v/>
      </c>
      <c r="K371" s="120" t="str">
        <f t="shared" si="312"/>
        <v/>
      </c>
      <c r="L371" s="120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7"/>
      <c r="N371" s="7"/>
      <c r="O371" s="5"/>
    </row>
    <row r="372" spans="1:15" x14ac:dyDescent="0.25">
      <c r="A372" s="111"/>
      <c r="B372" s="4"/>
      <c r="C372" s="4"/>
      <c r="D372" s="6"/>
      <c r="E372" s="6"/>
      <c r="F372" s="109" t="str">
        <f t="shared" si="307"/>
        <v/>
      </c>
      <c r="G372" s="6" t="str">
        <f t="shared" si="308"/>
        <v/>
      </c>
      <c r="H372" s="6" t="str">
        <f t="shared" si="309"/>
        <v/>
      </c>
      <c r="I372" s="109" t="str">
        <f t="shared" si="310"/>
        <v/>
      </c>
      <c r="J372" s="6" t="str">
        <f t="shared" si="311"/>
        <v/>
      </c>
      <c r="K372" s="120" t="str">
        <f t="shared" si="312"/>
        <v/>
      </c>
      <c r="L372" s="120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7"/>
      <c r="N372" s="7"/>
      <c r="O372" s="5"/>
    </row>
    <row r="373" spans="1:15" x14ac:dyDescent="0.25">
      <c r="A373" s="111"/>
      <c r="B373" s="4"/>
      <c r="C373" s="4"/>
      <c r="D373" s="6"/>
      <c r="E373" s="6"/>
      <c r="F373" s="109" t="str">
        <f t="shared" si="307"/>
        <v/>
      </c>
      <c r="G373" s="6" t="str">
        <f t="shared" si="308"/>
        <v/>
      </c>
      <c r="H373" s="6" t="str">
        <f t="shared" si="309"/>
        <v/>
      </c>
      <c r="I373" s="109" t="str">
        <f t="shared" si="310"/>
        <v/>
      </c>
      <c r="J373" s="6" t="str">
        <f t="shared" si="311"/>
        <v/>
      </c>
      <c r="K373" s="120" t="str">
        <f t="shared" si="312"/>
        <v/>
      </c>
      <c r="L373" s="120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7"/>
      <c r="N373" s="7"/>
      <c r="O373" s="5"/>
    </row>
    <row r="374" spans="1:15" x14ac:dyDescent="0.25">
      <c r="A374" s="111"/>
      <c r="B374" s="4"/>
      <c r="C374" s="4"/>
      <c r="D374" s="6"/>
      <c r="E374" s="6"/>
      <c r="F374" s="109" t="str">
        <f t="shared" si="307"/>
        <v/>
      </c>
      <c r="G374" s="6" t="str">
        <f t="shared" si="308"/>
        <v/>
      </c>
      <c r="H374" s="6" t="str">
        <f t="shared" si="309"/>
        <v/>
      </c>
      <c r="I374" s="109" t="str">
        <f t="shared" si="310"/>
        <v/>
      </c>
      <c r="J374" s="6" t="str">
        <f t="shared" si="311"/>
        <v/>
      </c>
      <c r="K374" s="120" t="str">
        <f t="shared" si="312"/>
        <v/>
      </c>
      <c r="L374" s="120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7"/>
      <c r="N374" s="7"/>
      <c r="O374" s="5"/>
    </row>
    <row r="375" spans="1:15" x14ac:dyDescent="0.25">
      <c r="A375" s="111"/>
      <c r="B375" s="4"/>
      <c r="C375" s="4"/>
      <c r="D375" s="6"/>
      <c r="E375" s="6"/>
      <c r="F375" s="109" t="str">
        <f t="shared" si="307"/>
        <v/>
      </c>
      <c r="G375" s="6" t="str">
        <f t="shared" si="308"/>
        <v/>
      </c>
      <c r="H375" s="6" t="str">
        <f t="shared" si="309"/>
        <v/>
      </c>
      <c r="I375" s="109" t="str">
        <f t="shared" si="310"/>
        <v/>
      </c>
      <c r="J375" s="6" t="str">
        <f t="shared" si="311"/>
        <v/>
      </c>
      <c r="K375" s="120" t="str">
        <f t="shared" si="312"/>
        <v/>
      </c>
      <c r="L375" s="120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7"/>
      <c r="N375" s="7"/>
      <c r="O375" s="5"/>
    </row>
    <row r="376" spans="1:15" x14ac:dyDescent="0.25">
      <c r="A376" s="111"/>
      <c r="B376" s="4"/>
      <c r="C376" s="4"/>
      <c r="D376" s="6"/>
      <c r="E376" s="6"/>
      <c r="F376" s="109" t="str">
        <f t="shared" si="307"/>
        <v/>
      </c>
      <c r="G376" s="6" t="str">
        <f t="shared" si="308"/>
        <v/>
      </c>
      <c r="H376" s="6" t="str">
        <f t="shared" si="309"/>
        <v/>
      </c>
      <c r="I376" s="109" t="str">
        <f t="shared" si="310"/>
        <v/>
      </c>
      <c r="J376" s="6" t="str">
        <f t="shared" si="311"/>
        <v/>
      </c>
      <c r="K376" s="120" t="str">
        <f t="shared" si="312"/>
        <v/>
      </c>
      <c r="L376" s="120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7"/>
      <c r="N376" s="7"/>
      <c r="O376" s="5"/>
    </row>
    <row r="377" spans="1:15" x14ac:dyDescent="0.25">
      <c r="A377" s="111"/>
      <c r="B377" s="4"/>
      <c r="C377" s="4"/>
      <c r="D377" s="6"/>
      <c r="E377" s="6"/>
      <c r="F377" s="109" t="str">
        <f t="shared" si="307"/>
        <v/>
      </c>
      <c r="G377" s="6" t="str">
        <f t="shared" si="308"/>
        <v/>
      </c>
      <c r="H377" s="6" t="str">
        <f t="shared" si="309"/>
        <v/>
      </c>
      <c r="I377" s="109" t="str">
        <f t="shared" si="310"/>
        <v/>
      </c>
      <c r="J377" s="6" t="str">
        <f t="shared" si="311"/>
        <v/>
      </c>
      <c r="K377" s="120" t="str">
        <f t="shared" si="312"/>
        <v/>
      </c>
      <c r="L377" s="120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7"/>
      <c r="N377" s="7"/>
      <c r="O377" s="5"/>
    </row>
    <row r="378" spans="1:15" x14ac:dyDescent="0.25">
      <c r="A378" s="111"/>
      <c r="B378" s="4"/>
      <c r="C378" s="4"/>
      <c r="D378" s="6"/>
      <c r="E378" s="6"/>
      <c r="F378" s="109" t="str">
        <f t="shared" si="307"/>
        <v/>
      </c>
      <c r="G378" s="6" t="str">
        <f t="shared" si="308"/>
        <v/>
      </c>
      <c r="H378" s="6" t="str">
        <f t="shared" si="309"/>
        <v/>
      </c>
      <c r="I378" s="109" t="str">
        <f t="shared" si="310"/>
        <v/>
      </c>
      <c r="J378" s="6" t="str">
        <f t="shared" si="311"/>
        <v/>
      </c>
      <c r="K378" s="120" t="str">
        <f t="shared" si="312"/>
        <v/>
      </c>
      <c r="L378" s="120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7"/>
      <c r="N378" s="7"/>
      <c r="O378" s="5"/>
    </row>
    <row r="379" spans="1:15" x14ac:dyDescent="0.25">
      <c r="A379" s="111"/>
      <c r="B379" s="4"/>
      <c r="C379" s="4"/>
      <c r="D379" s="6"/>
      <c r="E379" s="6"/>
      <c r="F379" s="109" t="str">
        <f t="shared" si="307"/>
        <v/>
      </c>
      <c r="G379" s="6" t="str">
        <f t="shared" si="308"/>
        <v/>
      </c>
      <c r="H379" s="6" t="str">
        <f t="shared" si="309"/>
        <v/>
      </c>
      <c r="I379" s="109" t="str">
        <f t="shared" si="310"/>
        <v/>
      </c>
      <c r="J379" s="6" t="str">
        <f t="shared" si="311"/>
        <v/>
      </c>
      <c r="K379" s="120" t="str">
        <f t="shared" si="312"/>
        <v/>
      </c>
      <c r="L379" s="120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7"/>
      <c r="N379" s="7"/>
      <c r="O379" s="5"/>
    </row>
    <row r="380" spans="1:15" x14ac:dyDescent="0.25">
      <c r="A380" s="111"/>
      <c r="B380" s="4"/>
      <c r="C380" s="4"/>
      <c r="D380" s="6"/>
      <c r="E380" s="6"/>
      <c r="F380" s="109" t="str">
        <f t="shared" si="307"/>
        <v/>
      </c>
      <c r="G380" s="6" t="str">
        <f t="shared" si="308"/>
        <v/>
      </c>
      <c r="H380" s="6" t="str">
        <f t="shared" si="309"/>
        <v/>
      </c>
      <c r="I380" s="109" t="str">
        <f t="shared" si="310"/>
        <v/>
      </c>
      <c r="J380" s="6" t="str">
        <f t="shared" si="311"/>
        <v/>
      </c>
      <c r="K380" s="120" t="str">
        <f t="shared" si="312"/>
        <v/>
      </c>
      <c r="L380" s="120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7"/>
      <c r="N380" s="7"/>
      <c r="O380" s="5"/>
    </row>
    <row r="381" spans="1:15" x14ac:dyDescent="0.25">
      <c r="A381" s="111"/>
      <c r="B381" s="4"/>
      <c r="C381" s="4"/>
      <c r="D381" s="6"/>
      <c r="E381" s="6"/>
      <c r="F381" s="109" t="str">
        <f t="shared" si="307"/>
        <v/>
      </c>
      <c r="G381" s="6" t="str">
        <f t="shared" si="308"/>
        <v/>
      </c>
      <c r="H381" s="6" t="str">
        <f t="shared" si="309"/>
        <v/>
      </c>
      <c r="I381" s="109" t="str">
        <f t="shared" si="310"/>
        <v/>
      </c>
      <c r="J381" s="6" t="str">
        <f t="shared" si="311"/>
        <v/>
      </c>
      <c r="K381" s="120" t="str">
        <f t="shared" si="312"/>
        <v/>
      </c>
      <c r="L381" s="120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7"/>
      <c r="N381" s="7"/>
      <c r="O381" s="5"/>
    </row>
    <row r="382" spans="1:15" x14ac:dyDescent="0.25">
      <c r="A382" s="111"/>
      <c r="B382" s="4"/>
      <c r="C382" s="4"/>
      <c r="D382" s="6"/>
      <c r="E382" s="6"/>
      <c r="F382" s="109" t="str">
        <f t="shared" si="307"/>
        <v/>
      </c>
      <c r="G382" s="6" t="str">
        <f t="shared" si="308"/>
        <v/>
      </c>
      <c r="H382" s="6" t="str">
        <f t="shared" si="309"/>
        <v/>
      </c>
      <c r="I382" s="109" t="str">
        <f t="shared" si="310"/>
        <v/>
      </c>
      <c r="J382" s="6" t="str">
        <f t="shared" si="311"/>
        <v/>
      </c>
      <c r="K382" s="120" t="str">
        <f t="shared" si="312"/>
        <v/>
      </c>
      <c r="L382" s="120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7"/>
      <c r="N382" s="7"/>
      <c r="O382" s="5"/>
    </row>
    <row r="383" spans="1:15" x14ac:dyDescent="0.25">
      <c r="A383" s="111"/>
      <c r="B383" s="4"/>
      <c r="C383" s="4"/>
      <c r="D383" s="6"/>
      <c r="E383" s="6"/>
      <c r="F383" s="109" t="str">
        <f t="shared" si="307"/>
        <v/>
      </c>
      <c r="G383" s="6" t="str">
        <f t="shared" si="308"/>
        <v/>
      </c>
      <c r="H383" s="6" t="str">
        <f t="shared" si="309"/>
        <v/>
      </c>
      <c r="I383" s="109" t="str">
        <f t="shared" si="310"/>
        <v/>
      </c>
      <c r="J383" s="6" t="str">
        <f t="shared" si="311"/>
        <v/>
      </c>
      <c r="K383" s="120" t="str">
        <f t="shared" si="312"/>
        <v/>
      </c>
      <c r="L383" s="120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7"/>
      <c r="N383" s="7"/>
      <c r="O383" s="5"/>
    </row>
    <row r="384" spans="1:15" x14ac:dyDescent="0.25">
      <c r="A384" s="111"/>
      <c r="B384" s="4"/>
      <c r="C384" s="4"/>
      <c r="D384" s="6"/>
      <c r="E384" s="6"/>
      <c r="F384" s="109" t="str">
        <f t="shared" si="307"/>
        <v/>
      </c>
      <c r="G384" s="6" t="str">
        <f t="shared" si="308"/>
        <v/>
      </c>
      <c r="H384" s="6" t="str">
        <f t="shared" si="309"/>
        <v/>
      </c>
      <c r="I384" s="109" t="str">
        <f t="shared" si="310"/>
        <v/>
      </c>
      <c r="J384" s="6" t="str">
        <f t="shared" si="311"/>
        <v/>
      </c>
      <c r="K384" s="120" t="str">
        <f t="shared" si="312"/>
        <v/>
      </c>
      <c r="L384" s="120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7"/>
      <c r="N384" s="7"/>
      <c r="O384" s="5"/>
    </row>
    <row r="385" spans="1:15" x14ac:dyDescent="0.25">
      <c r="A385" s="111"/>
      <c r="B385" s="4"/>
      <c r="C385" s="4"/>
      <c r="D385" s="6"/>
      <c r="E385" s="6"/>
      <c r="F385" s="109" t="str">
        <f t="shared" si="307"/>
        <v/>
      </c>
      <c r="G385" s="6" t="str">
        <f t="shared" si="308"/>
        <v/>
      </c>
      <c r="H385" s="6" t="str">
        <f t="shared" si="309"/>
        <v/>
      </c>
      <c r="I385" s="109" t="str">
        <f t="shared" si="310"/>
        <v/>
      </c>
      <c r="J385" s="6" t="str">
        <f t="shared" si="311"/>
        <v/>
      </c>
      <c r="K385" s="120" t="str">
        <f t="shared" si="312"/>
        <v/>
      </c>
      <c r="L385" s="120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7"/>
      <c r="N385" s="7"/>
      <c r="O385" s="5"/>
    </row>
    <row r="386" spans="1:15" x14ac:dyDescent="0.25">
      <c r="A386" s="111"/>
      <c r="B386" s="4"/>
      <c r="C386" s="4"/>
      <c r="D386" s="6"/>
      <c r="E386" s="6"/>
      <c r="F386" s="109" t="str">
        <f t="shared" si="307"/>
        <v/>
      </c>
      <c r="G386" s="6" t="str">
        <f t="shared" si="308"/>
        <v/>
      </c>
      <c r="H386" s="6" t="str">
        <f t="shared" si="309"/>
        <v/>
      </c>
      <c r="I386" s="109" t="str">
        <f t="shared" si="310"/>
        <v/>
      </c>
      <c r="J386" s="6" t="str">
        <f t="shared" si="311"/>
        <v/>
      </c>
      <c r="K386" s="120" t="str">
        <f t="shared" si="312"/>
        <v/>
      </c>
      <c r="L386" s="120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7"/>
      <c r="N386" s="7"/>
      <c r="O386" s="5"/>
    </row>
    <row r="387" spans="1:15" x14ac:dyDescent="0.25">
      <c r="A387" s="111"/>
      <c r="B387" s="4"/>
      <c r="C387" s="4"/>
      <c r="D387" s="6"/>
      <c r="E387" s="6"/>
      <c r="F387" s="109" t="str">
        <f t="shared" si="307"/>
        <v/>
      </c>
      <c r="G387" s="6" t="str">
        <f t="shared" si="308"/>
        <v/>
      </c>
      <c r="H387" s="6" t="str">
        <f t="shared" si="309"/>
        <v/>
      </c>
      <c r="I387" s="109" t="str">
        <f t="shared" si="310"/>
        <v/>
      </c>
      <c r="J387" s="6" t="str">
        <f t="shared" si="311"/>
        <v/>
      </c>
      <c r="K387" s="120" t="str">
        <f t="shared" si="312"/>
        <v/>
      </c>
      <c r="L387" s="120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7"/>
      <c r="N387" s="7"/>
      <c r="O387" s="5"/>
    </row>
    <row r="388" spans="1:15" x14ac:dyDescent="0.25">
      <c r="A388" s="111"/>
      <c r="B388" s="4"/>
      <c r="C388" s="4"/>
      <c r="D388" s="6"/>
      <c r="E388" s="6"/>
      <c r="F388" s="109" t="str">
        <f t="shared" si="307"/>
        <v/>
      </c>
      <c r="G388" s="6" t="str">
        <f t="shared" si="308"/>
        <v/>
      </c>
      <c r="H388" s="6" t="str">
        <f t="shared" si="309"/>
        <v/>
      </c>
      <c r="I388" s="109" t="str">
        <f t="shared" si="310"/>
        <v/>
      </c>
      <c r="J388" s="6" t="str">
        <f t="shared" si="311"/>
        <v/>
      </c>
      <c r="K388" s="120" t="str">
        <f t="shared" si="312"/>
        <v/>
      </c>
      <c r="L388" s="120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7"/>
      <c r="N388" s="7"/>
      <c r="O388" s="5"/>
    </row>
    <row r="389" spans="1:15" x14ac:dyDescent="0.25">
      <c r="A389" s="111"/>
      <c r="B389" s="4"/>
      <c r="C389" s="4"/>
      <c r="D389" s="6"/>
      <c r="E389" s="6"/>
      <c r="F389" s="109" t="str">
        <f t="shared" si="307"/>
        <v/>
      </c>
      <c r="G389" s="6" t="str">
        <f t="shared" si="308"/>
        <v/>
      </c>
      <c r="H389" s="6" t="str">
        <f t="shared" si="309"/>
        <v/>
      </c>
      <c r="I389" s="109" t="str">
        <f t="shared" si="310"/>
        <v/>
      </c>
      <c r="J389" s="6" t="str">
        <f t="shared" si="311"/>
        <v/>
      </c>
      <c r="K389" s="120" t="str">
        <f t="shared" si="312"/>
        <v/>
      </c>
      <c r="L389" s="120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7"/>
      <c r="N389" s="7"/>
      <c r="O389" s="5"/>
    </row>
    <row r="390" spans="1:15" x14ac:dyDescent="0.25">
      <c r="A390" s="111"/>
      <c r="B390" s="4"/>
      <c r="C390" s="4"/>
      <c r="D390" s="6"/>
      <c r="E390" s="6"/>
      <c r="F390" s="109" t="str">
        <f t="shared" si="307"/>
        <v/>
      </c>
      <c r="G390" s="6" t="str">
        <f t="shared" si="308"/>
        <v/>
      </c>
      <c r="H390" s="6" t="str">
        <f t="shared" si="309"/>
        <v/>
      </c>
      <c r="I390" s="109" t="str">
        <f t="shared" si="310"/>
        <v/>
      </c>
      <c r="J390" s="6" t="str">
        <f t="shared" si="311"/>
        <v/>
      </c>
      <c r="K390" s="120" t="str">
        <f t="shared" si="312"/>
        <v/>
      </c>
      <c r="L390" s="120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7"/>
      <c r="N390" s="7"/>
      <c r="O390" s="5"/>
    </row>
    <row r="391" spans="1:15" x14ac:dyDescent="0.25">
      <c r="A391" s="111"/>
      <c r="B391" s="4"/>
      <c r="C391" s="4"/>
      <c r="D391" s="6"/>
      <c r="E391" s="6"/>
      <c r="F391" s="109" t="str">
        <f t="shared" si="307"/>
        <v/>
      </c>
      <c r="G391" s="6" t="str">
        <f t="shared" si="308"/>
        <v/>
      </c>
      <c r="H391" s="6" t="str">
        <f t="shared" si="309"/>
        <v/>
      </c>
      <c r="I391" s="109" t="str">
        <f t="shared" si="310"/>
        <v/>
      </c>
      <c r="J391" s="6" t="str">
        <f t="shared" si="311"/>
        <v/>
      </c>
      <c r="K391" s="120" t="str">
        <f t="shared" si="312"/>
        <v/>
      </c>
      <c r="L391" s="120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7"/>
      <c r="N391" s="7"/>
      <c r="O391" s="5"/>
    </row>
    <row r="392" spans="1:15" x14ac:dyDescent="0.25">
      <c r="A392" s="111"/>
      <c r="B392" s="4"/>
      <c r="C392" s="4"/>
      <c r="D392" s="6"/>
      <c r="E392" s="6"/>
      <c r="F392" s="109" t="str">
        <f t="shared" si="307"/>
        <v/>
      </c>
      <c r="G392" s="6" t="str">
        <f t="shared" si="308"/>
        <v/>
      </c>
      <c r="H392" s="6" t="str">
        <f t="shared" si="309"/>
        <v/>
      </c>
      <c r="I392" s="109" t="str">
        <f t="shared" si="310"/>
        <v/>
      </c>
      <c r="J392" s="6" t="str">
        <f t="shared" si="311"/>
        <v/>
      </c>
      <c r="K392" s="120" t="str">
        <f t="shared" si="312"/>
        <v/>
      </c>
      <c r="L392" s="120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7"/>
      <c r="N392" s="7"/>
      <c r="O392" s="5"/>
    </row>
    <row r="393" spans="1:15" x14ac:dyDescent="0.25">
      <c r="A393" s="111"/>
      <c r="B393" s="4"/>
      <c r="C393" s="4"/>
      <c r="D393" s="6"/>
      <c r="E393" s="6"/>
      <c r="F393" s="109" t="str">
        <f t="shared" si="307"/>
        <v/>
      </c>
      <c r="G393" s="6" t="str">
        <f t="shared" si="308"/>
        <v/>
      </c>
      <c r="H393" s="6" t="str">
        <f t="shared" si="309"/>
        <v/>
      </c>
      <c r="I393" s="109" t="str">
        <f t="shared" si="310"/>
        <v/>
      </c>
      <c r="J393" s="6" t="str">
        <f t="shared" si="311"/>
        <v/>
      </c>
      <c r="K393" s="120" t="str">
        <f t="shared" si="312"/>
        <v/>
      </c>
      <c r="L393" s="120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7"/>
      <c r="N393" s="7"/>
      <c r="O393" s="5"/>
    </row>
    <row r="394" spans="1:15" x14ac:dyDescent="0.25">
      <c r="A394" s="111"/>
      <c r="B394" s="4"/>
      <c r="C394" s="4"/>
      <c r="D394" s="6"/>
      <c r="E394" s="6"/>
      <c r="F394" s="109" t="str">
        <f t="shared" si="307"/>
        <v/>
      </c>
      <c r="G394" s="6" t="str">
        <f t="shared" si="308"/>
        <v/>
      </c>
      <c r="H394" s="6" t="str">
        <f t="shared" si="309"/>
        <v/>
      </c>
      <c r="I394" s="109" t="str">
        <f t="shared" si="310"/>
        <v/>
      </c>
      <c r="J394" s="6" t="str">
        <f t="shared" si="311"/>
        <v/>
      </c>
      <c r="K394" s="120" t="str">
        <f t="shared" si="312"/>
        <v/>
      </c>
      <c r="L394" s="120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7"/>
      <c r="N394" s="7"/>
      <c r="O394" s="5"/>
    </row>
    <row r="395" spans="1:15" x14ac:dyDescent="0.25">
      <c r="A395" s="111"/>
      <c r="B395" s="4"/>
      <c r="C395" s="4"/>
      <c r="D395" s="6"/>
      <c r="E395" s="6"/>
      <c r="F395" s="109" t="str">
        <f t="shared" si="307"/>
        <v/>
      </c>
      <c r="G395" s="6" t="str">
        <f t="shared" si="308"/>
        <v/>
      </c>
      <c r="H395" s="6" t="str">
        <f t="shared" si="309"/>
        <v/>
      </c>
      <c r="I395" s="109" t="str">
        <f t="shared" si="310"/>
        <v/>
      </c>
      <c r="J395" s="6" t="str">
        <f t="shared" si="311"/>
        <v/>
      </c>
      <c r="K395" s="120" t="str">
        <f t="shared" si="312"/>
        <v/>
      </c>
      <c r="L395" s="120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7"/>
      <c r="N395" s="7"/>
      <c r="O395" s="5"/>
    </row>
    <row r="396" spans="1:15" x14ac:dyDescent="0.25">
      <c r="A396" s="111"/>
      <c r="B396" s="4"/>
      <c r="C396" s="4"/>
      <c r="D396" s="6"/>
      <c r="E396" s="6"/>
      <c r="F396" s="109" t="str">
        <f t="shared" si="307"/>
        <v/>
      </c>
      <c r="G396" s="6" t="str">
        <f t="shared" si="308"/>
        <v/>
      </c>
      <c r="H396" s="6" t="str">
        <f t="shared" si="309"/>
        <v/>
      </c>
      <c r="I396" s="109" t="str">
        <f t="shared" si="310"/>
        <v/>
      </c>
      <c r="J396" s="6" t="str">
        <f t="shared" si="311"/>
        <v/>
      </c>
      <c r="K396" s="120" t="str">
        <f t="shared" si="312"/>
        <v/>
      </c>
      <c r="L396" s="120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7"/>
      <c r="N396" s="7"/>
      <c r="O396" s="5"/>
    </row>
    <row r="397" spans="1:15" x14ac:dyDescent="0.25">
      <c r="A397" s="111"/>
      <c r="B397" s="4"/>
      <c r="C397" s="4"/>
      <c r="D397" s="6"/>
      <c r="E397" s="6"/>
      <c r="F397" s="109" t="str">
        <f t="shared" si="307"/>
        <v/>
      </c>
      <c r="G397" s="6" t="str">
        <f t="shared" si="308"/>
        <v/>
      </c>
      <c r="H397" s="6" t="str">
        <f t="shared" si="309"/>
        <v/>
      </c>
      <c r="I397" s="109" t="str">
        <f t="shared" si="310"/>
        <v/>
      </c>
      <c r="J397" s="6" t="str">
        <f t="shared" si="311"/>
        <v/>
      </c>
      <c r="K397" s="120" t="str">
        <f t="shared" si="312"/>
        <v/>
      </c>
      <c r="L397" s="120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7"/>
      <c r="N397" s="7"/>
      <c r="O397" s="5"/>
    </row>
    <row r="398" spans="1:15" x14ac:dyDescent="0.25">
      <c r="A398" s="111"/>
      <c r="B398" s="4"/>
      <c r="C398" s="4"/>
      <c r="D398" s="6"/>
      <c r="E398" s="6"/>
      <c r="F398" s="109" t="str">
        <f t="shared" si="307"/>
        <v/>
      </c>
      <c r="G398" s="6" t="str">
        <f t="shared" si="308"/>
        <v/>
      </c>
      <c r="H398" s="6" t="str">
        <f t="shared" si="309"/>
        <v/>
      </c>
      <c r="I398" s="109" t="str">
        <f t="shared" si="310"/>
        <v/>
      </c>
      <c r="J398" s="6" t="str">
        <f t="shared" si="311"/>
        <v/>
      </c>
      <c r="K398" s="120" t="str">
        <f t="shared" si="312"/>
        <v/>
      </c>
      <c r="L398" s="120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7"/>
      <c r="N398" s="7"/>
      <c r="O398" s="5"/>
    </row>
    <row r="399" spans="1:15" x14ac:dyDescent="0.25">
      <c r="A399" s="111"/>
      <c r="B399" s="4"/>
      <c r="C399" s="4"/>
      <c r="D399" s="6"/>
      <c r="E399" s="6"/>
      <c r="F399" s="109" t="str">
        <f t="shared" si="307"/>
        <v/>
      </c>
      <c r="G399" s="6" t="str">
        <f t="shared" si="308"/>
        <v/>
      </c>
      <c r="H399" s="6" t="str">
        <f t="shared" si="309"/>
        <v/>
      </c>
      <c r="I399" s="109" t="str">
        <f t="shared" si="310"/>
        <v/>
      </c>
      <c r="J399" s="6" t="str">
        <f t="shared" si="311"/>
        <v/>
      </c>
      <c r="K399" s="120" t="str">
        <f t="shared" si="312"/>
        <v/>
      </c>
      <c r="L399" s="120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7"/>
      <c r="N399" s="7"/>
      <c r="O399" s="5"/>
    </row>
    <row r="400" spans="1:15" x14ac:dyDescent="0.25">
      <c r="A400" s="111"/>
      <c r="B400" s="4"/>
      <c r="C400" s="4"/>
      <c r="D400" s="6"/>
      <c r="E400" s="6"/>
      <c r="F400" s="109" t="str">
        <f t="shared" si="307"/>
        <v/>
      </c>
      <c r="G400" s="6" t="str">
        <f t="shared" si="308"/>
        <v/>
      </c>
      <c r="H400" s="6" t="str">
        <f t="shared" si="309"/>
        <v/>
      </c>
      <c r="I400" s="109" t="str">
        <f t="shared" si="310"/>
        <v/>
      </c>
      <c r="J400" s="6" t="str">
        <f t="shared" si="311"/>
        <v/>
      </c>
      <c r="K400" s="120" t="str">
        <f t="shared" si="312"/>
        <v/>
      </c>
      <c r="L400" s="120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7"/>
      <c r="N400" s="7"/>
      <c r="O400" s="5"/>
    </row>
    <row r="401" spans="1:15" x14ac:dyDescent="0.25">
      <c r="A401" s="111"/>
      <c r="B401" s="4"/>
      <c r="C401" s="4"/>
      <c r="D401" s="6"/>
      <c r="E401" s="6"/>
      <c r="F401" s="109" t="str">
        <f t="shared" si="307"/>
        <v/>
      </c>
      <c r="G401" s="6" t="str">
        <f t="shared" si="308"/>
        <v/>
      </c>
      <c r="H401" s="6" t="str">
        <f t="shared" si="309"/>
        <v/>
      </c>
      <c r="I401" s="109" t="str">
        <f t="shared" si="310"/>
        <v/>
      </c>
      <c r="J401" s="6" t="str">
        <f t="shared" si="311"/>
        <v/>
      </c>
      <c r="K401" s="120" t="str">
        <f t="shared" si="312"/>
        <v/>
      </c>
      <c r="L401" s="120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7"/>
      <c r="N401" s="7"/>
      <c r="O401" s="5"/>
    </row>
    <row r="402" spans="1:15" x14ac:dyDescent="0.25">
      <c r="A402" s="111"/>
      <c r="B402" s="4"/>
      <c r="C402" s="4"/>
      <c r="D402" s="6"/>
      <c r="E402" s="6"/>
      <c r="F402" s="109" t="str">
        <f t="shared" si="307"/>
        <v/>
      </c>
      <c r="G402" s="6" t="str">
        <f t="shared" si="308"/>
        <v/>
      </c>
      <c r="H402" s="6" t="str">
        <f t="shared" si="309"/>
        <v/>
      </c>
      <c r="I402" s="109" t="str">
        <f t="shared" si="310"/>
        <v/>
      </c>
      <c r="J402" s="6" t="str">
        <f t="shared" si="311"/>
        <v/>
      </c>
      <c r="K402" s="120" t="str">
        <f t="shared" si="312"/>
        <v/>
      </c>
      <c r="L402" s="120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7"/>
      <c r="N402" s="7"/>
      <c r="O402" s="5"/>
    </row>
    <row r="403" spans="1:15" x14ac:dyDescent="0.25">
      <c r="A403" s="111"/>
      <c r="B403" s="4"/>
      <c r="C403" s="4"/>
      <c r="D403" s="6"/>
      <c r="E403" s="6"/>
      <c r="F403" s="109" t="str">
        <f t="shared" ref="F403:F466" si="313">IF(ISBLANK(B403),"",IF(I403="L","Baixa",IF(I403="A","Média",IF(I403="","","Alta"))))</f>
        <v/>
      </c>
      <c r="G403" s="6" t="str">
        <f t="shared" ref="G403:G466" si="314">CONCATENATE(B403,I403)</f>
        <v/>
      </c>
      <c r="H403" s="6" t="str">
        <f t="shared" ref="H403:H466" si="315">IF(ISBLANK(B403),"",IF(B403="ALI",IF(I403="L",7,IF(I403="A",10,15)),IF(B403="AIE",IF(I403="L",5,IF(I403="A",7,10)),IF(B403="SE",IF(I403="L",4,IF(I403="A",5,7)),IF(OR(B403="EE",B403="CE"),IF(I403="L",3,IF(I403="A",4,6)),0)))))</f>
        <v/>
      </c>
      <c r="I403" s="109" t="str">
        <f t="shared" ref="I403:I466" si="316">IF(OR(ISBLANK(D403),ISBLANK(E403)),IF(OR(B403="ALI",B403="AIE"),"L",IF(OR(B403="EE",B403="SE",B403="CE"),"A","")),IF(B403="EE",IF(E403&gt;=3,IF(D403&gt;=5,"H","A"),IF(E403&gt;=2,IF(D403&gt;=16,"H",IF(D403&lt;=4,"L","A")),IF(D403&lt;=15,"L","A"))),IF(OR(B403="SE",B403="CE"),IF(E403&gt;=4,IF(D403&gt;=6,"H","A"),IF(E403&gt;=2,IF(D403&gt;=20,"H",IF(D403&lt;=5,"L","A")),IF(D403&lt;=19,"L","A"))),IF(OR(B403="ALI",B403="AIE"),IF(E403&gt;=6,IF(D403&gt;=20,"H","A"),IF(E403&gt;=2,IF(D403&gt;=51,"H",IF(D403&lt;=19,"L","A")),IF(D403&lt;=50,"L","A"))),""))))</f>
        <v/>
      </c>
      <c r="J403" s="6" t="str">
        <f t="shared" ref="J403:J466" si="317">CONCATENATE(B403,C403)</f>
        <v/>
      </c>
      <c r="K403" s="120" t="str">
        <f t="shared" si="312"/>
        <v/>
      </c>
      <c r="L403" s="120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7"/>
      <c r="N403" s="7"/>
      <c r="O403" s="5"/>
    </row>
    <row r="404" spans="1:15" x14ac:dyDescent="0.25">
      <c r="A404" s="111"/>
      <c r="B404" s="4"/>
      <c r="C404" s="4"/>
      <c r="D404" s="6"/>
      <c r="E404" s="6"/>
      <c r="F404" s="109" t="str">
        <f t="shared" si="313"/>
        <v/>
      </c>
      <c r="G404" s="6" t="str">
        <f t="shared" si="314"/>
        <v/>
      </c>
      <c r="H404" s="6" t="str">
        <f t="shared" si="315"/>
        <v/>
      </c>
      <c r="I404" s="109" t="str">
        <f t="shared" si="316"/>
        <v/>
      </c>
      <c r="J404" s="6" t="str">
        <f t="shared" si="317"/>
        <v/>
      </c>
      <c r="K404" s="120" t="str">
        <f t="shared" si="312"/>
        <v/>
      </c>
      <c r="L404" s="120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7"/>
      <c r="N404" s="7"/>
      <c r="O404" s="5"/>
    </row>
    <row r="405" spans="1:15" x14ac:dyDescent="0.25">
      <c r="A405" s="111"/>
      <c r="B405" s="4"/>
      <c r="C405" s="4"/>
      <c r="D405" s="6"/>
      <c r="E405" s="6"/>
      <c r="F405" s="109" t="str">
        <f t="shared" si="313"/>
        <v/>
      </c>
      <c r="G405" s="6" t="str">
        <f t="shared" si="314"/>
        <v/>
      </c>
      <c r="H405" s="6" t="str">
        <f t="shared" si="315"/>
        <v/>
      </c>
      <c r="I405" s="109" t="str">
        <f t="shared" si="316"/>
        <v/>
      </c>
      <c r="J405" s="6" t="str">
        <f t="shared" si="317"/>
        <v/>
      </c>
      <c r="K405" s="120" t="str">
        <f t="shared" ref="K405:K468" si="318">IF(OR(H405="",H405=0),L405,H405)</f>
        <v/>
      </c>
      <c r="L405" s="120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7"/>
      <c r="N405" s="7"/>
      <c r="O405" s="5"/>
    </row>
    <row r="406" spans="1:15" x14ac:dyDescent="0.25">
      <c r="A406" s="111"/>
      <c r="B406" s="4"/>
      <c r="C406" s="4"/>
      <c r="D406" s="6"/>
      <c r="E406" s="6"/>
      <c r="F406" s="109" t="str">
        <f t="shared" si="313"/>
        <v/>
      </c>
      <c r="G406" s="6" t="str">
        <f t="shared" si="314"/>
        <v/>
      </c>
      <c r="H406" s="6" t="str">
        <f t="shared" si="315"/>
        <v/>
      </c>
      <c r="I406" s="109" t="str">
        <f t="shared" si="316"/>
        <v/>
      </c>
      <c r="J406" s="6" t="str">
        <f t="shared" si="317"/>
        <v/>
      </c>
      <c r="K406" s="120" t="str">
        <f t="shared" si="318"/>
        <v/>
      </c>
      <c r="L406" s="120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7"/>
      <c r="N406" s="7"/>
      <c r="O406" s="5"/>
    </row>
    <row r="407" spans="1:15" x14ac:dyDescent="0.25">
      <c r="A407" s="111"/>
      <c r="B407" s="4"/>
      <c r="C407" s="4"/>
      <c r="D407" s="6"/>
      <c r="E407" s="6"/>
      <c r="F407" s="109" t="str">
        <f t="shared" si="313"/>
        <v/>
      </c>
      <c r="G407" s="6" t="str">
        <f t="shared" si="314"/>
        <v/>
      </c>
      <c r="H407" s="6" t="str">
        <f t="shared" si="315"/>
        <v/>
      </c>
      <c r="I407" s="109" t="str">
        <f t="shared" si="316"/>
        <v/>
      </c>
      <c r="J407" s="6" t="str">
        <f t="shared" si="317"/>
        <v/>
      </c>
      <c r="K407" s="120" t="str">
        <f t="shared" si="318"/>
        <v/>
      </c>
      <c r="L407" s="120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7"/>
      <c r="N407" s="7"/>
      <c r="O407" s="5"/>
    </row>
    <row r="408" spans="1:15" x14ac:dyDescent="0.25">
      <c r="A408" s="111"/>
      <c r="B408" s="4"/>
      <c r="C408" s="4"/>
      <c r="D408" s="6"/>
      <c r="E408" s="6"/>
      <c r="F408" s="109" t="str">
        <f t="shared" si="313"/>
        <v/>
      </c>
      <c r="G408" s="6" t="str">
        <f t="shared" si="314"/>
        <v/>
      </c>
      <c r="H408" s="6" t="str">
        <f t="shared" si="315"/>
        <v/>
      </c>
      <c r="I408" s="109" t="str">
        <f t="shared" si="316"/>
        <v/>
      </c>
      <c r="J408" s="6" t="str">
        <f t="shared" si="317"/>
        <v/>
      </c>
      <c r="K408" s="120" t="str">
        <f t="shared" si="318"/>
        <v/>
      </c>
      <c r="L408" s="120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7"/>
      <c r="N408" s="7"/>
      <c r="O408" s="5"/>
    </row>
    <row r="409" spans="1:15" x14ac:dyDescent="0.25">
      <c r="A409" s="111"/>
      <c r="B409" s="4"/>
      <c r="C409" s="4"/>
      <c r="D409" s="6"/>
      <c r="E409" s="6"/>
      <c r="F409" s="109" t="str">
        <f t="shared" si="313"/>
        <v/>
      </c>
      <c r="G409" s="6" t="str">
        <f t="shared" si="314"/>
        <v/>
      </c>
      <c r="H409" s="6" t="str">
        <f t="shared" si="315"/>
        <v/>
      </c>
      <c r="I409" s="109" t="str">
        <f t="shared" si="316"/>
        <v/>
      </c>
      <c r="J409" s="6" t="str">
        <f t="shared" si="317"/>
        <v/>
      </c>
      <c r="K409" s="120" t="str">
        <f t="shared" si="318"/>
        <v/>
      </c>
      <c r="L409" s="120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7"/>
      <c r="N409" s="7"/>
      <c r="O409" s="5"/>
    </row>
    <row r="410" spans="1:15" x14ac:dyDescent="0.25">
      <c r="A410" s="111"/>
      <c r="B410" s="4"/>
      <c r="C410" s="4"/>
      <c r="D410" s="6"/>
      <c r="E410" s="6"/>
      <c r="F410" s="109" t="str">
        <f t="shared" si="313"/>
        <v/>
      </c>
      <c r="G410" s="6" t="str">
        <f t="shared" si="314"/>
        <v/>
      </c>
      <c r="H410" s="6" t="str">
        <f t="shared" si="315"/>
        <v/>
      </c>
      <c r="I410" s="109" t="str">
        <f t="shared" si="316"/>
        <v/>
      </c>
      <c r="J410" s="6" t="str">
        <f t="shared" si="317"/>
        <v/>
      </c>
      <c r="K410" s="120" t="str">
        <f t="shared" si="318"/>
        <v/>
      </c>
      <c r="L410" s="120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7"/>
      <c r="N410" s="7"/>
      <c r="O410" s="5"/>
    </row>
    <row r="411" spans="1:15" x14ac:dyDescent="0.25">
      <c r="A411" s="111"/>
      <c r="B411" s="4"/>
      <c r="C411" s="4"/>
      <c r="D411" s="6"/>
      <c r="E411" s="6"/>
      <c r="F411" s="109" t="str">
        <f t="shared" si="313"/>
        <v/>
      </c>
      <c r="G411" s="6" t="str">
        <f t="shared" si="314"/>
        <v/>
      </c>
      <c r="H411" s="6" t="str">
        <f t="shared" si="315"/>
        <v/>
      </c>
      <c r="I411" s="109" t="str">
        <f t="shared" si="316"/>
        <v/>
      </c>
      <c r="J411" s="6" t="str">
        <f t="shared" si="317"/>
        <v/>
      </c>
      <c r="K411" s="120" t="str">
        <f t="shared" si="318"/>
        <v/>
      </c>
      <c r="L411" s="120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7"/>
      <c r="N411" s="7"/>
      <c r="O411" s="5"/>
    </row>
    <row r="412" spans="1:15" x14ac:dyDescent="0.25">
      <c r="A412" s="111"/>
      <c r="B412" s="4"/>
      <c r="C412" s="4"/>
      <c r="D412" s="6"/>
      <c r="E412" s="6"/>
      <c r="F412" s="109" t="str">
        <f t="shared" si="313"/>
        <v/>
      </c>
      <c r="G412" s="6" t="str">
        <f t="shared" si="314"/>
        <v/>
      </c>
      <c r="H412" s="6" t="str">
        <f t="shared" si="315"/>
        <v/>
      </c>
      <c r="I412" s="109" t="str">
        <f t="shared" si="316"/>
        <v/>
      </c>
      <c r="J412" s="6" t="str">
        <f t="shared" si="317"/>
        <v/>
      </c>
      <c r="K412" s="120" t="str">
        <f t="shared" si="318"/>
        <v/>
      </c>
      <c r="L412" s="120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7"/>
      <c r="N412" s="7"/>
      <c r="O412" s="5"/>
    </row>
    <row r="413" spans="1:15" x14ac:dyDescent="0.25">
      <c r="A413" s="111"/>
      <c r="B413" s="4"/>
      <c r="C413" s="4"/>
      <c r="D413" s="6"/>
      <c r="E413" s="6"/>
      <c r="F413" s="109" t="str">
        <f t="shared" si="313"/>
        <v/>
      </c>
      <c r="G413" s="6" t="str">
        <f t="shared" si="314"/>
        <v/>
      </c>
      <c r="H413" s="6" t="str">
        <f t="shared" si="315"/>
        <v/>
      </c>
      <c r="I413" s="109" t="str">
        <f t="shared" si="316"/>
        <v/>
      </c>
      <c r="J413" s="6" t="str">
        <f t="shared" si="317"/>
        <v/>
      </c>
      <c r="K413" s="120" t="str">
        <f t="shared" si="318"/>
        <v/>
      </c>
      <c r="L413" s="120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7"/>
      <c r="N413" s="7"/>
      <c r="O413" s="5"/>
    </row>
    <row r="414" spans="1:15" x14ac:dyDescent="0.25">
      <c r="A414" s="111"/>
      <c r="B414" s="4"/>
      <c r="C414" s="4"/>
      <c r="D414" s="6"/>
      <c r="E414" s="6"/>
      <c r="F414" s="109" t="str">
        <f t="shared" si="313"/>
        <v/>
      </c>
      <c r="G414" s="6" t="str">
        <f t="shared" si="314"/>
        <v/>
      </c>
      <c r="H414" s="6" t="str">
        <f t="shared" si="315"/>
        <v/>
      </c>
      <c r="I414" s="109" t="str">
        <f t="shared" si="316"/>
        <v/>
      </c>
      <c r="J414" s="6" t="str">
        <f t="shared" si="317"/>
        <v/>
      </c>
      <c r="K414" s="120" t="str">
        <f t="shared" si="318"/>
        <v/>
      </c>
      <c r="L414" s="120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7"/>
      <c r="N414" s="7"/>
      <c r="O414" s="5"/>
    </row>
    <row r="415" spans="1:15" x14ac:dyDescent="0.25">
      <c r="A415" s="111"/>
      <c r="B415" s="4"/>
      <c r="C415" s="4"/>
      <c r="D415" s="6"/>
      <c r="E415" s="6"/>
      <c r="F415" s="109" t="str">
        <f t="shared" si="313"/>
        <v/>
      </c>
      <c r="G415" s="6" t="str">
        <f t="shared" si="314"/>
        <v/>
      </c>
      <c r="H415" s="6" t="str">
        <f t="shared" si="315"/>
        <v/>
      </c>
      <c r="I415" s="109" t="str">
        <f t="shared" si="316"/>
        <v/>
      </c>
      <c r="J415" s="6" t="str">
        <f t="shared" si="317"/>
        <v/>
      </c>
      <c r="K415" s="120" t="str">
        <f t="shared" si="318"/>
        <v/>
      </c>
      <c r="L415" s="120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7"/>
      <c r="N415" s="7"/>
      <c r="O415" s="5"/>
    </row>
    <row r="416" spans="1:15" x14ac:dyDescent="0.25">
      <c r="A416" s="111"/>
      <c r="B416" s="4"/>
      <c r="C416" s="4"/>
      <c r="D416" s="6"/>
      <c r="E416" s="6"/>
      <c r="F416" s="109" t="str">
        <f t="shared" si="313"/>
        <v/>
      </c>
      <c r="G416" s="6" t="str">
        <f t="shared" si="314"/>
        <v/>
      </c>
      <c r="H416" s="6" t="str">
        <f t="shared" si="315"/>
        <v/>
      </c>
      <c r="I416" s="109" t="str">
        <f t="shared" si="316"/>
        <v/>
      </c>
      <c r="J416" s="6" t="str">
        <f t="shared" si="317"/>
        <v/>
      </c>
      <c r="K416" s="120" t="str">
        <f t="shared" si="318"/>
        <v/>
      </c>
      <c r="L416" s="120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7"/>
      <c r="N416" s="7"/>
      <c r="O416" s="5"/>
    </row>
    <row r="417" spans="1:15" x14ac:dyDescent="0.25">
      <c r="A417" s="111"/>
      <c r="B417" s="4"/>
      <c r="C417" s="4"/>
      <c r="D417" s="6"/>
      <c r="E417" s="6"/>
      <c r="F417" s="109" t="str">
        <f t="shared" si="313"/>
        <v/>
      </c>
      <c r="G417" s="6" t="str">
        <f t="shared" si="314"/>
        <v/>
      </c>
      <c r="H417" s="6" t="str">
        <f t="shared" si="315"/>
        <v/>
      </c>
      <c r="I417" s="109" t="str">
        <f t="shared" si="316"/>
        <v/>
      </c>
      <c r="J417" s="6" t="str">
        <f t="shared" si="317"/>
        <v/>
      </c>
      <c r="K417" s="120" t="str">
        <f t="shared" si="318"/>
        <v/>
      </c>
      <c r="L417" s="120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7"/>
      <c r="N417" s="7"/>
      <c r="O417" s="5"/>
    </row>
    <row r="418" spans="1:15" x14ac:dyDescent="0.25">
      <c r="A418" s="111"/>
      <c r="B418" s="4"/>
      <c r="C418" s="4"/>
      <c r="D418" s="6"/>
      <c r="E418" s="6"/>
      <c r="F418" s="109" t="str">
        <f t="shared" si="313"/>
        <v/>
      </c>
      <c r="G418" s="6" t="str">
        <f t="shared" si="314"/>
        <v/>
      </c>
      <c r="H418" s="6" t="str">
        <f t="shared" si="315"/>
        <v/>
      </c>
      <c r="I418" s="109" t="str">
        <f t="shared" si="316"/>
        <v/>
      </c>
      <c r="J418" s="6" t="str">
        <f t="shared" si="317"/>
        <v/>
      </c>
      <c r="K418" s="120" t="str">
        <f t="shared" si="318"/>
        <v/>
      </c>
      <c r="L418" s="120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7"/>
      <c r="N418" s="7"/>
      <c r="O418" s="5"/>
    </row>
    <row r="419" spans="1:15" x14ac:dyDescent="0.25">
      <c r="A419" s="111"/>
      <c r="B419" s="4"/>
      <c r="C419" s="4"/>
      <c r="D419" s="6"/>
      <c r="E419" s="6"/>
      <c r="F419" s="109" t="str">
        <f t="shared" si="313"/>
        <v/>
      </c>
      <c r="G419" s="6" t="str">
        <f t="shared" si="314"/>
        <v/>
      </c>
      <c r="H419" s="6" t="str">
        <f t="shared" si="315"/>
        <v/>
      </c>
      <c r="I419" s="109" t="str">
        <f t="shared" si="316"/>
        <v/>
      </c>
      <c r="J419" s="6" t="str">
        <f t="shared" si="317"/>
        <v/>
      </c>
      <c r="K419" s="120" t="str">
        <f t="shared" si="318"/>
        <v/>
      </c>
      <c r="L419" s="120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7"/>
      <c r="N419" s="7"/>
      <c r="O419" s="5"/>
    </row>
    <row r="420" spans="1:15" x14ac:dyDescent="0.25">
      <c r="A420" s="111"/>
      <c r="B420" s="4"/>
      <c r="C420" s="4"/>
      <c r="D420" s="6"/>
      <c r="E420" s="6"/>
      <c r="F420" s="109" t="str">
        <f t="shared" si="313"/>
        <v/>
      </c>
      <c r="G420" s="6" t="str">
        <f t="shared" si="314"/>
        <v/>
      </c>
      <c r="H420" s="6" t="str">
        <f t="shared" si="315"/>
        <v/>
      </c>
      <c r="I420" s="109" t="str">
        <f t="shared" si="316"/>
        <v/>
      </c>
      <c r="J420" s="6" t="str">
        <f t="shared" si="317"/>
        <v/>
      </c>
      <c r="K420" s="120" t="str">
        <f t="shared" si="318"/>
        <v/>
      </c>
      <c r="L420" s="120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7"/>
      <c r="N420" s="7"/>
      <c r="O420" s="5"/>
    </row>
    <row r="421" spans="1:15" x14ac:dyDescent="0.25">
      <c r="A421" s="111"/>
      <c r="B421" s="4"/>
      <c r="C421" s="4"/>
      <c r="D421" s="6"/>
      <c r="E421" s="6"/>
      <c r="F421" s="109" t="str">
        <f t="shared" si="313"/>
        <v/>
      </c>
      <c r="G421" s="6" t="str">
        <f t="shared" si="314"/>
        <v/>
      </c>
      <c r="H421" s="6" t="str">
        <f t="shared" si="315"/>
        <v/>
      </c>
      <c r="I421" s="109" t="str">
        <f t="shared" si="316"/>
        <v/>
      </c>
      <c r="J421" s="6" t="str">
        <f t="shared" si="317"/>
        <v/>
      </c>
      <c r="K421" s="120" t="str">
        <f t="shared" si="318"/>
        <v/>
      </c>
      <c r="L421" s="120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7"/>
      <c r="N421" s="7"/>
      <c r="O421" s="5"/>
    </row>
    <row r="422" spans="1:15" x14ac:dyDescent="0.25">
      <c r="A422" s="111"/>
      <c r="B422" s="4"/>
      <c r="C422" s="4"/>
      <c r="D422" s="6"/>
      <c r="E422" s="6"/>
      <c r="F422" s="109" t="str">
        <f t="shared" si="313"/>
        <v/>
      </c>
      <c r="G422" s="6" t="str">
        <f t="shared" si="314"/>
        <v/>
      </c>
      <c r="H422" s="6" t="str">
        <f t="shared" si="315"/>
        <v/>
      </c>
      <c r="I422" s="109" t="str">
        <f t="shared" si="316"/>
        <v/>
      </c>
      <c r="J422" s="6" t="str">
        <f t="shared" si="317"/>
        <v/>
      </c>
      <c r="K422" s="120" t="str">
        <f t="shared" si="318"/>
        <v/>
      </c>
      <c r="L422" s="120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7"/>
      <c r="N422" s="7"/>
      <c r="O422" s="5"/>
    </row>
    <row r="423" spans="1:15" x14ac:dyDescent="0.25">
      <c r="A423" s="111"/>
      <c r="B423" s="4"/>
      <c r="C423" s="4"/>
      <c r="D423" s="6"/>
      <c r="E423" s="6"/>
      <c r="F423" s="109" t="str">
        <f t="shared" si="313"/>
        <v/>
      </c>
      <c r="G423" s="6" t="str">
        <f t="shared" si="314"/>
        <v/>
      </c>
      <c r="H423" s="6" t="str">
        <f t="shared" si="315"/>
        <v/>
      </c>
      <c r="I423" s="109" t="str">
        <f t="shared" si="316"/>
        <v/>
      </c>
      <c r="J423" s="6" t="str">
        <f t="shared" si="317"/>
        <v/>
      </c>
      <c r="K423" s="120" t="str">
        <f t="shared" si="318"/>
        <v/>
      </c>
      <c r="L423" s="120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7"/>
      <c r="N423" s="7"/>
      <c r="O423" s="5"/>
    </row>
    <row r="424" spans="1:15" x14ac:dyDescent="0.25">
      <c r="A424" s="111"/>
      <c r="B424" s="4"/>
      <c r="C424" s="4"/>
      <c r="D424" s="6"/>
      <c r="E424" s="6"/>
      <c r="F424" s="109" t="str">
        <f t="shared" si="313"/>
        <v/>
      </c>
      <c r="G424" s="6" t="str">
        <f t="shared" si="314"/>
        <v/>
      </c>
      <c r="H424" s="6" t="str">
        <f t="shared" si="315"/>
        <v/>
      </c>
      <c r="I424" s="109" t="str">
        <f t="shared" si="316"/>
        <v/>
      </c>
      <c r="J424" s="6" t="str">
        <f t="shared" si="317"/>
        <v/>
      </c>
      <c r="K424" s="120" t="str">
        <f t="shared" si="318"/>
        <v/>
      </c>
      <c r="L424" s="120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7"/>
      <c r="N424" s="7"/>
      <c r="O424" s="5"/>
    </row>
    <row r="425" spans="1:15" x14ac:dyDescent="0.25">
      <c r="A425" s="111"/>
      <c r="B425" s="4"/>
      <c r="C425" s="4"/>
      <c r="D425" s="6"/>
      <c r="E425" s="6"/>
      <c r="F425" s="109" t="str">
        <f t="shared" si="313"/>
        <v/>
      </c>
      <c r="G425" s="6" t="str">
        <f t="shared" si="314"/>
        <v/>
      </c>
      <c r="H425" s="6" t="str">
        <f t="shared" si="315"/>
        <v/>
      </c>
      <c r="I425" s="109" t="str">
        <f t="shared" si="316"/>
        <v/>
      </c>
      <c r="J425" s="6" t="str">
        <f t="shared" si="317"/>
        <v/>
      </c>
      <c r="K425" s="120" t="str">
        <f t="shared" si="318"/>
        <v/>
      </c>
      <c r="L425" s="120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7"/>
      <c r="N425" s="7"/>
      <c r="O425" s="5"/>
    </row>
    <row r="426" spans="1:15" x14ac:dyDescent="0.25">
      <c r="A426" s="111"/>
      <c r="B426" s="4"/>
      <c r="C426" s="4"/>
      <c r="D426" s="6"/>
      <c r="E426" s="6"/>
      <c r="F426" s="109" t="str">
        <f t="shared" si="313"/>
        <v/>
      </c>
      <c r="G426" s="6" t="str">
        <f t="shared" si="314"/>
        <v/>
      </c>
      <c r="H426" s="6" t="str">
        <f t="shared" si="315"/>
        <v/>
      </c>
      <c r="I426" s="109" t="str">
        <f t="shared" si="316"/>
        <v/>
      </c>
      <c r="J426" s="6" t="str">
        <f t="shared" si="317"/>
        <v/>
      </c>
      <c r="K426" s="120" t="str">
        <f t="shared" si="318"/>
        <v/>
      </c>
      <c r="L426" s="120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7"/>
      <c r="N426" s="7"/>
      <c r="O426" s="5"/>
    </row>
    <row r="427" spans="1:15" x14ac:dyDescent="0.25">
      <c r="A427" s="111"/>
      <c r="B427" s="4"/>
      <c r="C427" s="4"/>
      <c r="D427" s="6"/>
      <c r="E427" s="6"/>
      <c r="F427" s="109" t="str">
        <f t="shared" si="313"/>
        <v/>
      </c>
      <c r="G427" s="6" t="str">
        <f t="shared" si="314"/>
        <v/>
      </c>
      <c r="H427" s="6" t="str">
        <f t="shared" si="315"/>
        <v/>
      </c>
      <c r="I427" s="109" t="str">
        <f t="shared" si="316"/>
        <v/>
      </c>
      <c r="J427" s="6" t="str">
        <f t="shared" si="317"/>
        <v/>
      </c>
      <c r="K427" s="120" t="str">
        <f t="shared" si="318"/>
        <v/>
      </c>
      <c r="L427" s="120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7"/>
      <c r="N427" s="7"/>
      <c r="O427" s="5"/>
    </row>
    <row r="428" spans="1:15" x14ac:dyDescent="0.25">
      <c r="A428" s="111"/>
      <c r="B428" s="4"/>
      <c r="C428" s="4"/>
      <c r="D428" s="6"/>
      <c r="E428" s="6"/>
      <c r="F428" s="109" t="str">
        <f t="shared" si="313"/>
        <v/>
      </c>
      <c r="G428" s="6" t="str">
        <f t="shared" si="314"/>
        <v/>
      </c>
      <c r="H428" s="6" t="str">
        <f t="shared" si="315"/>
        <v/>
      </c>
      <c r="I428" s="109" t="str">
        <f t="shared" si="316"/>
        <v/>
      </c>
      <c r="J428" s="6" t="str">
        <f t="shared" si="317"/>
        <v/>
      </c>
      <c r="K428" s="120" t="str">
        <f t="shared" si="318"/>
        <v/>
      </c>
      <c r="L428" s="120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7"/>
      <c r="N428" s="7"/>
      <c r="O428" s="5"/>
    </row>
    <row r="429" spans="1:15" x14ac:dyDescent="0.25">
      <c r="A429" s="111"/>
      <c r="B429" s="4"/>
      <c r="C429" s="4"/>
      <c r="D429" s="6"/>
      <c r="E429" s="6"/>
      <c r="F429" s="109" t="str">
        <f t="shared" si="313"/>
        <v/>
      </c>
      <c r="G429" s="6" t="str">
        <f t="shared" si="314"/>
        <v/>
      </c>
      <c r="H429" s="6" t="str">
        <f t="shared" si="315"/>
        <v/>
      </c>
      <c r="I429" s="109" t="str">
        <f t="shared" si="316"/>
        <v/>
      </c>
      <c r="J429" s="6" t="str">
        <f t="shared" si="317"/>
        <v/>
      </c>
      <c r="K429" s="120" t="str">
        <f t="shared" si="318"/>
        <v/>
      </c>
      <c r="L429" s="120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7"/>
      <c r="N429" s="7"/>
      <c r="O429" s="5"/>
    </row>
    <row r="430" spans="1:15" x14ac:dyDescent="0.25">
      <c r="A430" s="111"/>
      <c r="B430" s="4"/>
      <c r="C430" s="4"/>
      <c r="D430" s="6"/>
      <c r="E430" s="6"/>
      <c r="F430" s="109" t="str">
        <f t="shared" si="313"/>
        <v/>
      </c>
      <c r="G430" s="6" t="str">
        <f t="shared" si="314"/>
        <v/>
      </c>
      <c r="H430" s="6" t="str">
        <f t="shared" si="315"/>
        <v/>
      </c>
      <c r="I430" s="109" t="str">
        <f t="shared" si="316"/>
        <v/>
      </c>
      <c r="J430" s="6" t="str">
        <f t="shared" si="317"/>
        <v/>
      </c>
      <c r="K430" s="120" t="str">
        <f t="shared" si="318"/>
        <v/>
      </c>
      <c r="L430" s="120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7"/>
      <c r="N430" s="7"/>
      <c r="O430" s="5"/>
    </row>
    <row r="431" spans="1:15" x14ac:dyDescent="0.25">
      <c r="A431" s="111"/>
      <c r="B431" s="4"/>
      <c r="C431" s="4"/>
      <c r="D431" s="6"/>
      <c r="E431" s="6"/>
      <c r="F431" s="109" t="str">
        <f t="shared" si="313"/>
        <v/>
      </c>
      <c r="G431" s="6" t="str">
        <f t="shared" si="314"/>
        <v/>
      </c>
      <c r="H431" s="6" t="str">
        <f t="shared" si="315"/>
        <v/>
      </c>
      <c r="I431" s="109" t="str">
        <f t="shared" si="316"/>
        <v/>
      </c>
      <c r="J431" s="6" t="str">
        <f t="shared" si="317"/>
        <v/>
      </c>
      <c r="K431" s="120" t="str">
        <f t="shared" si="318"/>
        <v/>
      </c>
      <c r="L431" s="120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7"/>
      <c r="N431" s="7"/>
      <c r="O431" s="5"/>
    </row>
    <row r="432" spans="1:15" x14ac:dyDescent="0.25">
      <c r="A432" s="111"/>
      <c r="B432" s="4"/>
      <c r="C432" s="4"/>
      <c r="D432" s="6"/>
      <c r="E432" s="6"/>
      <c r="F432" s="109" t="str">
        <f t="shared" si="313"/>
        <v/>
      </c>
      <c r="G432" s="6" t="str">
        <f t="shared" si="314"/>
        <v/>
      </c>
      <c r="H432" s="6" t="str">
        <f t="shared" si="315"/>
        <v/>
      </c>
      <c r="I432" s="109" t="str">
        <f t="shared" si="316"/>
        <v/>
      </c>
      <c r="J432" s="6" t="str">
        <f t="shared" si="317"/>
        <v/>
      </c>
      <c r="K432" s="120" t="str">
        <f t="shared" si="318"/>
        <v/>
      </c>
      <c r="L432" s="120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7"/>
      <c r="N432" s="7"/>
      <c r="O432" s="5"/>
    </row>
    <row r="433" spans="1:15" x14ac:dyDescent="0.25">
      <c r="A433" s="111"/>
      <c r="B433" s="4"/>
      <c r="C433" s="4"/>
      <c r="D433" s="6"/>
      <c r="E433" s="6"/>
      <c r="F433" s="109" t="str">
        <f t="shared" si="313"/>
        <v/>
      </c>
      <c r="G433" s="6" t="str">
        <f t="shared" si="314"/>
        <v/>
      </c>
      <c r="H433" s="6" t="str">
        <f t="shared" si="315"/>
        <v/>
      </c>
      <c r="I433" s="109" t="str">
        <f t="shared" si="316"/>
        <v/>
      </c>
      <c r="J433" s="6" t="str">
        <f t="shared" si="317"/>
        <v/>
      </c>
      <c r="K433" s="120" t="str">
        <f t="shared" si="318"/>
        <v/>
      </c>
      <c r="L433" s="120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7"/>
      <c r="N433" s="7"/>
      <c r="O433" s="5"/>
    </row>
    <row r="434" spans="1:15" x14ac:dyDescent="0.25">
      <c r="A434" s="111"/>
      <c r="B434" s="4"/>
      <c r="C434" s="4"/>
      <c r="D434" s="6"/>
      <c r="E434" s="6"/>
      <c r="F434" s="109" t="str">
        <f t="shared" si="313"/>
        <v/>
      </c>
      <c r="G434" s="6" t="str">
        <f t="shared" si="314"/>
        <v/>
      </c>
      <c r="H434" s="6" t="str">
        <f t="shared" si="315"/>
        <v/>
      </c>
      <c r="I434" s="109" t="str">
        <f t="shared" si="316"/>
        <v/>
      </c>
      <c r="J434" s="6" t="str">
        <f t="shared" si="317"/>
        <v/>
      </c>
      <c r="K434" s="120" t="str">
        <f t="shared" si="318"/>
        <v/>
      </c>
      <c r="L434" s="120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7"/>
      <c r="N434" s="7"/>
      <c r="O434" s="5"/>
    </row>
    <row r="435" spans="1:15" x14ac:dyDescent="0.25">
      <c r="A435" s="111"/>
      <c r="B435" s="4"/>
      <c r="C435" s="4"/>
      <c r="D435" s="6"/>
      <c r="E435" s="6"/>
      <c r="F435" s="109" t="str">
        <f t="shared" si="313"/>
        <v/>
      </c>
      <c r="G435" s="6" t="str">
        <f t="shared" si="314"/>
        <v/>
      </c>
      <c r="H435" s="6" t="str">
        <f t="shared" si="315"/>
        <v/>
      </c>
      <c r="I435" s="109" t="str">
        <f t="shared" si="316"/>
        <v/>
      </c>
      <c r="J435" s="6" t="str">
        <f t="shared" si="317"/>
        <v/>
      </c>
      <c r="K435" s="120" t="str">
        <f t="shared" si="318"/>
        <v/>
      </c>
      <c r="L435" s="120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7"/>
      <c r="N435" s="7"/>
      <c r="O435" s="5"/>
    </row>
    <row r="436" spans="1:15" x14ac:dyDescent="0.25">
      <c r="A436" s="111"/>
      <c r="B436" s="4"/>
      <c r="C436" s="4"/>
      <c r="D436" s="6"/>
      <c r="E436" s="6"/>
      <c r="F436" s="109" t="str">
        <f t="shared" si="313"/>
        <v/>
      </c>
      <c r="G436" s="6" t="str">
        <f t="shared" si="314"/>
        <v/>
      </c>
      <c r="H436" s="6" t="str">
        <f t="shared" si="315"/>
        <v/>
      </c>
      <c r="I436" s="109" t="str">
        <f t="shared" si="316"/>
        <v/>
      </c>
      <c r="J436" s="6" t="str">
        <f t="shared" si="317"/>
        <v/>
      </c>
      <c r="K436" s="120" t="str">
        <f t="shared" si="318"/>
        <v/>
      </c>
      <c r="L436" s="120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7"/>
      <c r="N436" s="7"/>
      <c r="O436" s="5"/>
    </row>
    <row r="437" spans="1:15" x14ac:dyDescent="0.25">
      <c r="A437" s="111"/>
      <c r="B437" s="4"/>
      <c r="C437" s="4"/>
      <c r="D437" s="6"/>
      <c r="E437" s="6"/>
      <c r="F437" s="109" t="str">
        <f t="shared" si="313"/>
        <v/>
      </c>
      <c r="G437" s="6" t="str">
        <f t="shared" si="314"/>
        <v/>
      </c>
      <c r="H437" s="6" t="str">
        <f t="shared" si="315"/>
        <v/>
      </c>
      <c r="I437" s="109" t="str">
        <f t="shared" si="316"/>
        <v/>
      </c>
      <c r="J437" s="6" t="str">
        <f t="shared" si="317"/>
        <v/>
      </c>
      <c r="K437" s="120" t="str">
        <f t="shared" si="318"/>
        <v/>
      </c>
      <c r="L437" s="120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7"/>
      <c r="N437" s="7"/>
      <c r="O437" s="5"/>
    </row>
    <row r="438" spans="1:15" x14ac:dyDescent="0.25">
      <c r="A438" s="111"/>
      <c r="B438" s="4"/>
      <c r="C438" s="4"/>
      <c r="D438" s="6"/>
      <c r="E438" s="6"/>
      <c r="F438" s="109" t="str">
        <f t="shared" si="313"/>
        <v/>
      </c>
      <c r="G438" s="6" t="str">
        <f t="shared" si="314"/>
        <v/>
      </c>
      <c r="H438" s="6" t="str">
        <f t="shared" si="315"/>
        <v/>
      </c>
      <c r="I438" s="109" t="str">
        <f t="shared" si="316"/>
        <v/>
      </c>
      <c r="J438" s="6" t="str">
        <f t="shared" si="317"/>
        <v/>
      </c>
      <c r="K438" s="120" t="str">
        <f t="shared" si="318"/>
        <v/>
      </c>
      <c r="L438" s="120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7"/>
      <c r="N438" s="7"/>
      <c r="O438" s="5"/>
    </row>
    <row r="439" spans="1:15" x14ac:dyDescent="0.25">
      <c r="A439" s="111"/>
      <c r="B439" s="4"/>
      <c r="C439" s="4"/>
      <c r="D439" s="6"/>
      <c r="E439" s="6"/>
      <c r="F439" s="109" t="str">
        <f t="shared" si="313"/>
        <v/>
      </c>
      <c r="G439" s="6" t="str">
        <f t="shared" si="314"/>
        <v/>
      </c>
      <c r="H439" s="6" t="str">
        <f t="shared" si="315"/>
        <v/>
      </c>
      <c r="I439" s="109" t="str">
        <f t="shared" si="316"/>
        <v/>
      </c>
      <c r="J439" s="6" t="str">
        <f t="shared" si="317"/>
        <v/>
      </c>
      <c r="K439" s="120" t="str">
        <f t="shared" si="318"/>
        <v/>
      </c>
      <c r="L439" s="120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7"/>
      <c r="N439" s="7"/>
      <c r="O439" s="5"/>
    </row>
    <row r="440" spans="1:15" x14ac:dyDescent="0.25">
      <c r="A440" s="111"/>
      <c r="B440" s="4"/>
      <c r="C440" s="4"/>
      <c r="D440" s="6"/>
      <c r="E440" s="6"/>
      <c r="F440" s="109" t="str">
        <f t="shared" si="313"/>
        <v/>
      </c>
      <c r="G440" s="6" t="str">
        <f t="shared" si="314"/>
        <v/>
      </c>
      <c r="H440" s="6" t="str">
        <f t="shared" si="315"/>
        <v/>
      </c>
      <c r="I440" s="109" t="str">
        <f t="shared" si="316"/>
        <v/>
      </c>
      <c r="J440" s="6" t="str">
        <f t="shared" si="317"/>
        <v/>
      </c>
      <c r="K440" s="120" t="str">
        <f t="shared" si="318"/>
        <v/>
      </c>
      <c r="L440" s="120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7"/>
      <c r="N440" s="7"/>
      <c r="O440" s="5"/>
    </row>
    <row r="441" spans="1:15" x14ac:dyDescent="0.25">
      <c r="A441" s="111"/>
      <c r="B441" s="4"/>
      <c r="C441" s="4"/>
      <c r="D441" s="6"/>
      <c r="E441" s="6"/>
      <c r="F441" s="109" t="str">
        <f t="shared" si="313"/>
        <v/>
      </c>
      <c r="G441" s="6" t="str">
        <f t="shared" si="314"/>
        <v/>
      </c>
      <c r="H441" s="6" t="str">
        <f t="shared" si="315"/>
        <v/>
      </c>
      <c r="I441" s="109" t="str">
        <f t="shared" si="316"/>
        <v/>
      </c>
      <c r="J441" s="6" t="str">
        <f t="shared" si="317"/>
        <v/>
      </c>
      <c r="K441" s="120" t="str">
        <f t="shared" si="318"/>
        <v/>
      </c>
      <c r="L441" s="120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7"/>
      <c r="N441" s="7"/>
      <c r="O441" s="5"/>
    </row>
    <row r="442" spans="1:15" x14ac:dyDescent="0.25">
      <c r="A442" s="111"/>
      <c r="B442" s="4"/>
      <c r="C442" s="4"/>
      <c r="D442" s="6"/>
      <c r="E442" s="6"/>
      <c r="F442" s="109" t="str">
        <f t="shared" si="313"/>
        <v/>
      </c>
      <c r="G442" s="6" t="str">
        <f t="shared" si="314"/>
        <v/>
      </c>
      <c r="H442" s="6" t="str">
        <f t="shared" si="315"/>
        <v/>
      </c>
      <c r="I442" s="109" t="str">
        <f t="shared" si="316"/>
        <v/>
      </c>
      <c r="J442" s="6" t="str">
        <f t="shared" si="317"/>
        <v/>
      </c>
      <c r="K442" s="120" t="str">
        <f t="shared" si="318"/>
        <v/>
      </c>
      <c r="L442" s="120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7"/>
      <c r="N442" s="7"/>
      <c r="O442" s="5"/>
    </row>
    <row r="443" spans="1:15" x14ac:dyDescent="0.25">
      <c r="A443" s="111"/>
      <c r="B443" s="4"/>
      <c r="C443" s="4"/>
      <c r="D443" s="6"/>
      <c r="E443" s="6"/>
      <c r="F443" s="109" t="str">
        <f t="shared" si="313"/>
        <v/>
      </c>
      <c r="G443" s="6" t="str">
        <f t="shared" si="314"/>
        <v/>
      </c>
      <c r="H443" s="6" t="str">
        <f t="shared" si="315"/>
        <v/>
      </c>
      <c r="I443" s="109" t="str">
        <f t="shared" si="316"/>
        <v/>
      </c>
      <c r="J443" s="6" t="str">
        <f t="shared" si="317"/>
        <v/>
      </c>
      <c r="K443" s="120" t="str">
        <f t="shared" si="318"/>
        <v/>
      </c>
      <c r="L443" s="120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7"/>
      <c r="N443" s="7"/>
      <c r="O443" s="5"/>
    </row>
    <row r="444" spans="1:15" x14ac:dyDescent="0.25">
      <c r="A444" s="111"/>
      <c r="B444" s="4"/>
      <c r="C444" s="4"/>
      <c r="D444" s="6"/>
      <c r="E444" s="6"/>
      <c r="F444" s="109" t="str">
        <f t="shared" si="313"/>
        <v/>
      </c>
      <c r="G444" s="6" t="str">
        <f t="shared" si="314"/>
        <v/>
      </c>
      <c r="H444" s="6" t="str">
        <f t="shared" si="315"/>
        <v/>
      </c>
      <c r="I444" s="109" t="str">
        <f t="shared" si="316"/>
        <v/>
      </c>
      <c r="J444" s="6" t="str">
        <f t="shared" si="317"/>
        <v/>
      </c>
      <c r="K444" s="120" t="str">
        <f t="shared" si="318"/>
        <v/>
      </c>
      <c r="L444" s="120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7"/>
      <c r="N444" s="7"/>
      <c r="O444" s="5"/>
    </row>
    <row r="445" spans="1:15" x14ac:dyDescent="0.25">
      <c r="A445" s="111"/>
      <c r="B445" s="4"/>
      <c r="C445" s="4"/>
      <c r="D445" s="6"/>
      <c r="E445" s="6"/>
      <c r="F445" s="109" t="str">
        <f t="shared" si="313"/>
        <v/>
      </c>
      <c r="G445" s="6" t="str">
        <f t="shared" si="314"/>
        <v/>
      </c>
      <c r="H445" s="6" t="str">
        <f t="shared" si="315"/>
        <v/>
      </c>
      <c r="I445" s="109" t="str">
        <f t="shared" si="316"/>
        <v/>
      </c>
      <c r="J445" s="6" t="str">
        <f t="shared" si="317"/>
        <v/>
      </c>
      <c r="K445" s="120" t="str">
        <f t="shared" si="318"/>
        <v/>
      </c>
      <c r="L445" s="120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7"/>
      <c r="N445" s="7"/>
      <c r="O445" s="5"/>
    </row>
    <row r="446" spans="1:15" x14ac:dyDescent="0.25">
      <c r="A446" s="111"/>
      <c r="B446" s="4"/>
      <c r="C446" s="4"/>
      <c r="D446" s="6"/>
      <c r="E446" s="6"/>
      <c r="F446" s="109" t="str">
        <f t="shared" si="313"/>
        <v/>
      </c>
      <c r="G446" s="6" t="str">
        <f t="shared" si="314"/>
        <v/>
      </c>
      <c r="H446" s="6" t="str">
        <f t="shared" si="315"/>
        <v/>
      </c>
      <c r="I446" s="109" t="str">
        <f t="shared" si="316"/>
        <v/>
      </c>
      <c r="J446" s="6" t="str">
        <f t="shared" si="317"/>
        <v/>
      </c>
      <c r="K446" s="120" t="str">
        <f t="shared" si="318"/>
        <v/>
      </c>
      <c r="L446" s="120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7"/>
      <c r="N446" s="7"/>
      <c r="O446" s="5"/>
    </row>
    <row r="447" spans="1:15" x14ac:dyDescent="0.25">
      <c r="A447" s="111"/>
      <c r="B447" s="4"/>
      <c r="C447" s="4"/>
      <c r="D447" s="6"/>
      <c r="E447" s="6"/>
      <c r="F447" s="109" t="str">
        <f t="shared" si="313"/>
        <v/>
      </c>
      <c r="G447" s="6" t="str">
        <f t="shared" si="314"/>
        <v/>
      </c>
      <c r="H447" s="6" t="str">
        <f t="shared" si="315"/>
        <v/>
      </c>
      <c r="I447" s="109" t="str">
        <f t="shared" si="316"/>
        <v/>
      </c>
      <c r="J447" s="6" t="str">
        <f t="shared" si="317"/>
        <v/>
      </c>
      <c r="K447" s="120" t="str">
        <f t="shared" si="318"/>
        <v/>
      </c>
      <c r="L447" s="120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7"/>
      <c r="N447" s="7"/>
      <c r="O447" s="5"/>
    </row>
    <row r="448" spans="1:15" x14ac:dyDescent="0.25">
      <c r="A448" s="111"/>
      <c r="B448" s="4"/>
      <c r="C448" s="4"/>
      <c r="D448" s="6"/>
      <c r="E448" s="6"/>
      <c r="F448" s="109" t="str">
        <f t="shared" si="313"/>
        <v/>
      </c>
      <c r="G448" s="6" t="str">
        <f t="shared" si="314"/>
        <v/>
      </c>
      <c r="H448" s="6" t="str">
        <f t="shared" si="315"/>
        <v/>
      </c>
      <c r="I448" s="109" t="str">
        <f t="shared" si="316"/>
        <v/>
      </c>
      <c r="J448" s="6" t="str">
        <f t="shared" si="317"/>
        <v/>
      </c>
      <c r="K448" s="120" t="str">
        <f t="shared" si="318"/>
        <v/>
      </c>
      <c r="L448" s="120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7"/>
      <c r="N448" s="7"/>
      <c r="O448" s="5"/>
    </row>
    <row r="449" spans="1:15" x14ac:dyDescent="0.25">
      <c r="A449" s="111"/>
      <c r="B449" s="4"/>
      <c r="C449" s="4"/>
      <c r="D449" s="6"/>
      <c r="E449" s="6"/>
      <c r="F449" s="109" t="str">
        <f t="shared" si="313"/>
        <v/>
      </c>
      <c r="G449" s="6" t="str">
        <f t="shared" si="314"/>
        <v/>
      </c>
      <c r="H449" s="6" t="str">
        <f t="shared" si="315"/>
        <v/>
      </c>
      <c r="I449" s="109" t="str">
        <f t="shared" si="316"/>
        <v/>
      </c>
      <c r="J449" s="6" t="str">
        <f t="shared" si="317"/>
        <v/>
      </c>
      <c r="K449" s="120" t="str">
        <f t="shared" si="318"/>
        <v/>
      </c>
      <c r="L449" s="120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7"/>
      <c r="N449" s="7"/>
      <c r="O449" s="5"/>
    </row>
    <row r="450" spans="1:15" x14ac:dyDescent="0.25">
      <c r="A450" s="111"/>
      <c r="B450" s="4"/>
      <c r="C450" s="4"/>
      <c r="D450" s="6"/>
      <c r="E450" s="6"/>
      <c r="F450" s="109" t="str">
        <f t="shared" si="313"/>
        <v/>
      </c>
      <c r="G450" s="6" t="str">
        <f t="shared" si="314"/>
        <v/>
      </c>
      <c r="H450" s="6" t="str">
        <f t="shared" si="315"/>
        <v/>
      </c>
      <c r="I450" s="109" t="str">
        <f t="shared" si="316"/>
        <v/>
      </c>
      <c r="J450" s="6" t="str">
        <f t="shared" si="317"/>
        <v/>
      </c>
      <c r="K450" s="120" t="str">
        <f t="shared" si="318"/>
        <v/>
      </c>
      <c r="L450" s="120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7"/>
      <c r="N450" s="7"/>
      <c r="O450" s="5"/>
    </row>
    <row r="451" spans="1:15" x14ac:dyDescent="0.25">
      <c r="A451" s="111"/>
      <c r="B451" s="4"/>
      <c r="C451" s="4"/>
      <c r="D451" s="6"/>
      <c r="E451" s="6"/>
      <c r="F451" s="109" t="str">
        <f t="shared" si="313"/>
        <v/>
      </c>
      <c r="G451" s="6" t="str">
        <f t="shared" si="314"/>
        <v/>
      </c>
      <c r="H451" s="6" t="str">
        <f t="shared" si="315"/>
        <v/>
      </c>
      <c r="I451" s="109" t="str">
        <f t="shared" si="316"/>
        <v/>
      </c>
      <c r="J451" s="6" t="str">
        <f t="shared" si="317"/>
        <v/>
      </c>
      <c r="K451" s="120" t="str">
        <f t="shared" si="318"/>
        <v/>
      </c>
      <c r="L451" s="120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7"/>
      <c r="N451" s="7"/>
      <c r="O451" s="5"/>
    </row>
    <row r="452" spans="1:15" x14ac:dyDescent="0.25">
      <c r="A452" s="111"/>
      <c r="B452" s="4"/>
      <c r="C452" s="4"/>
      <c r="D452" s="6"/>
      <c r="E452" s="6"/>
      <c r="F452" s="109" t="str">
        <f t="shared" si="313"/>
        <v/>
      </c>
      <c r="G452" s="6" t="str">
        <f t="shared" si="314"/>
        <v/>
      </c>
      <c r="H452" s="6" t="str">
        <f t="shared" si="315"/>
        <v/>
      </c>
      <c r="I452" s="109" t="str">
        <f t="shared" si="316"/>
        <v/>
      </c>
      <c r="J452" s="6" t="str">
        <f t="shared" si="317"/>
        <v/>
      </c>
      <c r="K452" s="120" t="str">
        <f t="shared" si="318"/>
        <v/>
      </c>
      <c r="L452" s="120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7"/>
      <c r="N452" s="7"/>
      <c r="O452" s="5"/>
    </row>
    <row r="453" spans="1:15" x14ac:dyDescent="0.25">
      <c r="A453" s="111"/>
      <c r="B453" s="4"/>
      <c r="C453" s="4"/>
      <c r="D453" s="6"/>
      <c r="E453" s="6"/>
      <c r="F453" s="109" t="str">
        <f t="shared" si="313"/>
        <v/>
      </c>
      <c r="G453" s="6" t="str">
        <f t="shared" si="314"/>
        <v/>
      </c>
      <c r="H453" s="6" t="str">
        <f t="shared" si="315"/>
        <v/>
      </c>
      <c r="I453" s="109" t="str">
        <f t="shared" si="316"/>
        <v/>
      </c>
      <c r="J453" s="6" t="str">
        <f t="shared" si="317"/>
        <v/>
      </c>
      <c r="K453" s="120" t="str">
        <f t="shared" si="318"/>
        <v/>
      </c>
      <c r="L453" s="120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7"/>
      <c r="N453" s="7"/>
      <c r="O453" s="5"/>
    </row>
    <row r="454" spans="1:15" x14ac:dyDescent="0.25">
      <c r="A454" s="111"/>
      <c r="B454" s="4"/>
      <c r="C454" s="4"/>
      <c r="D454" s="6"/>
      <c r="E454" s="6"/>
      <c r="F454" s="109" t="str">
        <f t="shared" si="313"/>
        <v/>
      </c>
      <c r="G454" s="6" t="str">
        <f t="shared" si="314"/>
        <v/>
      </c>
      <c r="H454" s="6" t="str">
        <f t="shared" si="315"/>
        <v/>
      </c>
      <c r="I454" s="109" t="str">
        <f t="shared" si="316"/>
        <v/>
      </c>
      <c r="J454" s="6" t="str">
        <f t="shared" si="317"/>
        <v/>
      </c>
      <c r="K454" s="120" t="str">
        <f t="shared" si="318"/>
        <v/>
      </c>
      <c r="L454" s="120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7"/>
      <c r="N454" s="7"/>
      <c r="O454" s="5"/>
    </row>
    <row r="455" spans="1:15" x14ac:dyDescent="0.25">
      <c r="A455" s="111"/>
      <c r="B455" s="4"/>
      <c r="C455" s="4"/>
      <c r="D455" s="6"/>
      <c r="E455" s="6"/>
      <c r="F455" s="109" t="str">
        <f t="shared" si="313"/>
        <v/>
      </c>
      <c r="G455" s="6" t="str">
        <f t="shared" si="314"/>
        <v/>
      </c>
      <c r="H455" s="6" t="str">
        <f t="shared" si="315"/>
        <v/>
      </c>
      <c r="I455" s="109" t="str">
        <f t="shared" si="316"/>
        <v/>
      </c>
      <c r="J455" s="6" t="str">
        <f t="shared" si="317"/>
        <v/>
      </c>
      <c r="K455" s="120" t="str">
        <f t="shared" si="318"/>
        <v/>
      </c>
      <c r="L455" s="120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7"/>
      <c r="N455" s="7"/>
      <c r="O455" s="5"/>
    </row>
    <row r="456" spans="1:15" x14ac:dyDescent="0.25">
      <c r="A456" s="111"/>
      <c r="B456" s="4"/>
      <c r="C456" s="4"/>
      <c r="D456" s="6"/>
      <c r="E456" s="6"/>
      <c r="F456" s="109" t="str">
        <f t="shared" si="313"/>
        <v/>
      </c>
      <c r="G456" s="6" t="str">
        <f t="shared" si="314"/>
        <v/>
      </c>
      <c r="H456" s="6" t="str">
        <f t="shared" si="315"/>
        <v/>
      </c>
      <c r="I456" s="109" t="str">
        <f t="shared" si="316"/>
        <v/>
      </c>
      <c r="J456" s="6" t="str">
        <f t="shared" si="317"/>
        <v/>
      </c>
      <c r="K456" s="120" t="str">
        <f t="shared" si="318"/>
        <v/>
      </c>
      <c r="L456" s="120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7"/>
      <c r="N456" s="7"/>
      <c r="O456" s="5"/>
    </row>
    <row r="457" spans="1:15" x14ac:dyDescent="0.25">
      <c r="A457" s="111"/>
      <c r="B457" s="4"/>
      <c r="C457" s="4"/>
      <c r="D457" s="6"/>
      <c r="E457" s="6"/>
      <c r="F457" s="109" t="str">
        <f t="shared" si="313"/>
        <v/>
      </c>
      <c r="G457" s="6" t="str">
        <f t="shared" si="314"/>
        <v/>
      </c>
      <c r="H457" s="6" t="str">
        <f t="shared" si="315"/>
        <v/>
      </c>
      <c r="I457" s="109" t="str">
        <f t="shared" si="316"/>
        <v/>
      </c>
      <c r="J457" s="6" t="str">
        <f t="shared" si="317"/>
        <v/>
      </c>
      <c r="K457" s="120" t="str">
        <f t="shared" si="318"/>
        <v/>
      </c>
      <c r="L457" s="120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7"/>
      <c r="N457" s="7"/>
      <c r="O457" s="5"/>
    </row>
    <row r="458" spans="1:15" x14ac:dyDescent="0.25">
      <c r="A458" s="111"/>
      <c r="B458" s="4"/>
      <c r="C458" s="4"/>
      <c r="D458" s="6"/>
      <c r="E458" s="6"/>
      <c r="F458" s="109" t="str">
        <f t="shared" si="313"/>
        <v/>
      </c>
      <c r="G458" s="6" t="str">
        <f t="shared" si="314"/>
        <v/>
      </c>
      <c r="H458" s="6" t="str">
        <f t="shared" si="315"/>
        <v/>
      </c>
      <c r="I458" s="109" t="str">
        <f t="shared" si="316"/>
        <v/>
      </c>
      <c r="J458" s="6" t="str">
        <f t="shared" si="317"/>
        <v/>
      </c>
      <c r="K458" s="120" t="str">
        <f t="shared" si="318"/>
        <v/>
      </c>
      <c r="L458" s="120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7"/>
      <c r="N458" s="7"/>
      <c r="O458" s="5"/>
    </row>
    <row r="459" spans="1:15" x14ac:dyDescent="0.25">
      <c r="A459" s="111"/>
      <c r="B459" s="4"/>
      <c r="C459" s="4"/>
      <c r="D459" s="6"/>
      <c r="E459" s="6"/>
      <c r="F459" s="109" t="str">
        <f t="shared" si="313"/>
        <v/>
      </c>
      <c r="G459" s="6" t="str">
        <f t="shared" si="314"/>
        <v/>
      </c>
      <c r="H459" s="6" t="str">
        <f t="shared" si="315"/>
        <v/>
      </c>
      <c r="I459" s="109" t="str">
        <f t="shared" si="316"/>
        <v/>
      </c>
      <c r="J459" s="6" t="str">
        <f t="shared" si="317"/>
        <v/>
      </c>
      <c r="K459" s="120" t="str">
        <f t="shared" si="318"/>
        <v/>
      </c>
      <c r="L459" s="120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7"/>
      <c r="N459" s="7"/>
      <c r="O459" s="5"/>
    </row>
    <row r="460" spans="1:15" x14ac:dyDescent="0.25">
      <c r="A460" s="111"/>
      <c r="B460" s="4"/>
      <c r="C460" s="4"/>
      <c r="D460" s="6"/>
      <c r="E460" s="6"/>
      <c r="F460" s="109" t="str">
        <f t="shared" si="313"/>
        <v/>
      </c>
      <c r="G460" s="6" t="str">
        <f t="shared" si="314"/>
        <v/>
      </c>
      <c r="H460" s="6" t="str">
        <f t="shared" si="315"/>
        <v/>
      </c>
      <c r="I460" s="109" t="str">
        <f t="shared" si="316"/>
        <v/>
      </c>
      <c r="J460" s="6" t="str">
        <f t="shared" si="317"/>
        <v/>
      </c>
      <c r="K460" s="120" t="str">
        <f t="shared" si="318"/>
        <v/>
      </c>
      <c r="L460" s="120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7"/>
      <c r="N460" s="7"/>
      <c r="O460" s="5"/>
    </row>
    <row r="461" spans="1:15" x14ac:dyDescent="0.25">
      <c r="A461" s="111"/>
      <c r="B461" s="4"/>
      <c r="C461" s="4"/>
      <c r="D461" s="6"/>
      <c r="E461" s="6"/>
      <c r="F461" s="109" t="str">
        <f t="shared" si="313"/>
        <v/>
      </c>
      <c r="G461" s="6" t="str">
        <f t="shared" si="314"/>
        <v/>
      </c>
      <c r="H461" s="6" t="str">
        <f t="shared" si="315"/>
        <v/>
      </c>
      <c r="I461" s="109" t="str">
        <f t="shared" si="316"/>
        <v/>
      </c>
      <c r="J461" s="6" t="str">
        <f t="shared" si="317"/>
        <v/>
      </c>
      <c r="K461" s="120" t="str">
        <f t="shared" si="318"/>
        <v/>
      </c>
      <c r="L461" s="120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7"/>
      <c r="N461" s="7"/>
      <c r="O461" s="5"/>
    </row>
    <row r="462" spans="1:15" x14ac:dyDescent="0.25">
      <c r="A462" s="111"/>
      <c r="B462" s="4"/>
      <c r="C462" s="4"/>
      <c r="D462" s="6"/>
      <c r="E462" s="6"/>
      <c r="F462" s="109" t="str">
        <f t="shared" si="313"/>
        <v/>
      </c>
      <c r="G462" s="6" t="str">
        <f t="shared" si="314"/>
        <v/>
      </c>
      <c r="H462" s="6" t="str">
        <f t="shared" si="315"/>
        <v/>
      </c>
      <c r="I462" s="109" t="str">
        <f t="shared" si="316"/>
        <v/>
      </c>
      <c r="J462" s="6" t="str">
        <f t="shared" si="317"/>
        <v/>
      </c>
      <c r="K462" s="120" t="str">
        <f t="shared" si="318"/>
        <v/>
      </c>
      <c r="L462" s="120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7"/>
      <c r="N462" s="7"/>
      <c r="O462" s="5"/>
    </row>
    <row r="463" spans="1:15" x14ac:dyDescent="0.25">
      <c r="A463" s="111"/>
      <c r="B463" s="4"/>
      <c r="C463" s="4"/>
      <c r="D463" s="6"/>
      <c r="E463" s="6"/>
      <c r="F463" s="109" t="str">
        <f t="shared" si="313"/>
        <v/>
      </c>
      <c r="G463" s="6" t="str">
        <f t="shared" si="314"/>
        <v/>
      </c>
      <c r="H463" s="6" t="str">
        <f t="shared" si="315"/>
        <v/>
      </c>
      <c r="I463" s="109" t="str">
        <f t="shared" si="316"/>
        <v/>
      </c>
      <c r="J463" s="6" t="str">
        <f t="shared" si="317"/>
        <v/>
      </c>
      <c r="K463" s="120" t="str">
        <f t="shared" si="318"/>
        <v/>
      </c>
      <c r="L463" s="120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7"/>
      <c r="N463" s="7"/>
      <c r="O463" s="5"/>
    </row>
    <row r="464" spans="1:15" x14ac:dyDescent="0.25">
      <c r="A464" s="111"/>
      <c r="B464" s="4"/>
      <c r="C464" s="4"/>
      <c r="D464" s="6"/>
      <c r="E464" s="6"/>
      <c r="F464" s="109" t="str">
        <f t="shared" si="313"/>
        <v/>
      </c>
      <c r="G464" s="6" t="str">
        <f t="shared" si="314"/>
        <v/>
      </c>
      <c r="H464" s="6" t="str">
        <f t="shared" si="315"/>
        <v/>
      </c>
      <c r="I464" s="109" t="str">
        <f t="shared" si="316"/>
        <v/>
      </c>
      <c r="J464" s="6" t="str">
        <f t="shared" si="317"/>
        <v/>
      </c>
      <c r="K464" s="120" t="str">
        <f t="shared" si="318"/>
        <v/>
      </c>
      <c r="L464" s="120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7"/>
      <c r="N464" s="7"/>
      <c r="O464" s="5"/>
    </row>
    <row r="465" spans="1:15" x14ac:dyDescent="0.25">
      <c r="A465" s="111"/>
      <c r="B465" s="4"/>
      <c r="C465" s="4"/>
      <c r="D465" s="6"/>
      <c r="E465" s="6"/>
      <c r="F465" s="109" t="str">
        <f t="shared" si="313"/>
        <v/>
      </c>
      <c r="G465" s="6" t="str">
        <f t="shared" si="314"/>
        <v/>
      </c>
      <c r="H465" s="6" t="str">
        <f t="shared" si="315"/>
        <v/>
      </c>
      <c r="I465" s="109" t="str">
        <f t="shared" si="316"/>
        <v/>
      </c>
      <c r="J465" s="6" t="str">
        <f t="shared" si="317"/>
        <v/>
      </c>
      <c r="K465" s="120" t="str">
        <f t="shared" si="318"/>
        <v/>
      </c>
      <c r="L465" s="120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7"/>
      <c r="N465" s="7"/>
      <c r="O465" s="5"/>
    </row>
    <row r="466" spans="1:15" x14ac:dyDescent="0.25">
      <c r="A466" s="111"/>
      <c r="B466" s="4"/>
      <c r="C466" s="4"/>
      <c r="D466" s="6"/>
      <c r="E466" s="6"/>
      <c r="F466" s="109" t="str">
        <f t="shared" si="313"/>
        <v/>
      </c>
      <c r="G466" s="6" t="str">
        <f t="shared" si="314"/>
        <v/>
      </c>
      <c r="H466" s="6" t="str">
        <f t="shared" si="315"/>
        <v/>
      </c>
      <c r="I466" s="109" t="str">
        <f t="shared" si="316"/>
        <v/>
      </c>
      <c r="J466" s="6" t="str">
        <f t="shared" si="317"/>
        <v/>
      </c>
      <c r="K466" s="120" t="str">
        <f t="shared" si="318"/>
        <v/>
      </c>
      <c r="L466" s="120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7"/>
      <c r="N466" s="7"/>
      <c r="O466" s="5"/>
    </row>
    <row r="467" spans="1:15" x14ac:dyDescent="0.25">
      <c r="A467" s="111"/>
      <c r="B467" s="4"/>
      <c r="C467" s="4"/>
      <c r="D467" s="6"/>
      <c r="E467" s="6"/>
      <c r="F467" s="109" t="str">
        <f t="shared" ref="F467:F530" si="319">IF(ISBLANK(B467),"",IF(I467="L","Baixa",IF(I467="A","Média",IF(I467="","","Alta"))))</f>
        <v/>
      </c>
      <c r="G467" s="6" t="str">
        <f t="shared" ref="G467:G530" si="320">CONCATENATE(B467,I467)</f>
        <v/>
      </c>
      <c r="H467" s="6" t="str">
        <f t="shared" ref="H467:H530" si="321">IF(ISBLANK(B467),"",IF(B467="ALI",IF(I467="L",7,IF(I467="A",10,15)),IF(B467="AIE",IF(I467="L",5,IF(I467="A",7,10)),IF(B467="SE",IF(I467="L",4,IF(I467="A",5,7)),IF(OR(B467="EE",B467="CE"),IF(I467="L",3,IF(I467="A",4,6)),0)))))</f>
        <v/>
      </c>
      <c r="I467" s="109" t="str">
        <f t="shared" ref="I467:I530" si="322">IF(OR(ISBLANK(D467),ISBLANK(E467)),IF(OR(B467="ALI",B467="AIE"),"L",IF(OR(B467="EE",B467="SE",B467="CE"),"A","")),IF(B467="EE",IF(E467&gt;=3,IF(D467&gt;=5,"H","A"),IF(E467&gt;=2,IF(D467&gt;=16,"H",IF(D467&lt;=4,"L","A")),IF(D467&lt;=15,"L","A"))),IF(OR(B467="SE",B467="CE"),IF(E467&gt;=4,IF(D467&gt;=6,"H","A"),IF(E467&gt;=2,IF(D467&gt;=20,"H",IF(D467&lt;=5,"L","A")),IF(D467&lt;=19,"L","A"))),IF(OR(B467="ALI",B467="AIE"),IF(E467&gt;=6,IF(D467&gt;=20,"H","A"),IF(E467&gt;=2,IF(D467&gt;=51,"H",IF(D467&lt;=19,"L","A")),IF(D467&lt;=50,"L","A"))),""))))</f>
        <v/>
      </c>
      <c r="J467" s="6" t="str">
        <f t="shared" ref="J467:J530" si="323">CONCATENATE(B467,C467)</f>
        <v/>
      </c>
      <c r="K467" s="120" t="str">
        <f t="shared" si="318"/>
        <v/>
      </c>
      <c r="L467" s="120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7"/>
      <c r="N467" s="7"/>
      <c r="O467" s="5"/>
    </row>
    <row r="468" spans="1:15" x14ac:dyDescent="0.25">
      <c r="A468" s="111"/>
      <c r="B468" s="4"/>
      <c r="C468" s="4"/>
      <c r="D468" s="6"/>
      <c r="E468" s="6"/>
      <c r="F468" s="109" t="str">
        <f t="shared" si="319"/>
        <v/>
      </c>
      <c r="G468" s="6" t="str">
        <f t="shared" si="320"/>
        <v/>
      </c>
      <c r="H468" s="6" t="str">
        <f t="shared" si="321"/>
        <v/>
      </c>
      <c r="I468" s="109" t="str">
        <f t="shared" si="322"/>
        <v/>
      </c>
      <c r="J468" s="6" t="str">
        <f t="shared" si="323"/>
        <v/>
      </c>
      <c r="K468" s="120" t="str">
        <f t="shared" si="318"/>
        <v/>
      </c>
      <c r="L468" s="120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7"/>
      <c r="N468" s="7"/>
      <c r="O468" s="5"/>
    </row>
    <row r="469" spans="1:15" x14ac:dyDescent="0.25">
      <c r="A469" s="111"/>
      <c r="B469" s="4"/>
      <c r="C469" s="4"/>
      <c r="D469" s="6"/>
      <c r="E469" s="6"/>
      <c r="F469" s="109" t="str">
        <f t="shared" si="319"/>
        <v/>
      </c>
      <c r="G469" s="6" t="str">
        <f t="shared" si="320"/>
        <v/>
      </c>
      <c r="H469" s="6" t="str">
        <f t="shared" si="321"/>
        <v/>
      </c>
      <c r="I469" s="109" t="str">
        <f t="shared" si="322"/>
        <v/>
      </c>
      <c r="J469" s="6" t="str">
        <f t="shared" si="323"/>
        <v/>
      </c>
      <c r="K469" s="120" t="str">
        <f t="shared" ref="K469:K532" si="324">IF(OR(H469="",H469=0),L469,H469)</f>
        <v/>
      </c>
      <c r="L469" s="120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7"/>
      <c r="N469" s="7"/>
      <c r="O469" s="5"/>
    </row>
    <row r="470" spans="1:15" x14ac:dyDescent="0.25">
      <c r="A470" s="111"/>
      <c r="B470" s="4"/>
      <c r="C470" s="4"/>
      <c r="D470" s="6"/>
      <c r="E470" s="6"/>
      <c r="F470" s="109" t="str">
        <f t="shared" si="319"/>
        <v/>
      </c>
      <c r="G470" s="6" t="str">
        <f t="shared" si="320"/>
        <v/>
      </c>
      <c r="H470" s="6" t="str">
        <f t="shared" si="321"/>
        <v/>
      </c>
      <c r="I470" s="109" t="str">
        <f t="shared" si="322"/>
        <v/>
      </c>
      <c r="J470" s="6" t="str">
        <f t="shared" si="323"/>
        <v/>
      </c>
      <c r="K470" s="120" t="str">
        <f t="shared" si="324"/>
        <v/>
      </c>
      <c r="L470" s="120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7"/>
      <c r="N470" s="7"/>
      <c r="O470" s="5"/>
    </row>
    <row r="471" spans="1:15" x14ac:dyDescent="0.25">
      <c r="A471" s="111"/>
      <c r="B471" s="4"/>
      <c r="C471" s="4"/>
      <c r="D471" s="6"/>
      <c r="E471" s="6"/>
      <c r="F471" s="109" t="str">
        <f t="shared" si="319"/>
        <v/>
      </c>
      <c r="G471" s="6" t="str">
        <f t="shared" si="320"/>
        <v/>
      </c>
      <c r="H471" s="6" t="str">
        <f t="shared" si="321"/>
        <v/>
      </c>
      <c r="I471" s="109" t="str">
        <f t="shared" si="322"/>
        <v/>
      </c>
      <c r="J471" s="6" t="str">
        <f t="shared" si="323"/>
        <v/>
      </c>
      <c r="K471" s="120" t="str">
        <f t="shared" si="324"/>
        <v/>
      </c>
      <c r="L471" s="120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7"/>
      <c r="N471" s="7"/>
      <c r="O471" s="5"/>
    </row>
    <row r="472" spans="1:15" x14ac:dyDescent="0.25">
      <c r="A472" s="111"/>
      <c r="B472" s="4"/>
      <c r="C472" s="4"/>
      <c r="D472" s="6"/>
      <c r="E472" s="6"/>
      <c r="F472" s="109" t="str">
        <f t="shared" si="319"/>
        <v/>
      </c>
      <c r="G472" s="6" t="str">
        <f t="shared" si="320"/>
        <v/>
      </c>
      <c r="H472" s="6" t="str">
        <f t="shared" si="321"/>
        <v/>
      </c>
      <c r="I472" s="109" t="str">
        <f t="shared" si="322"/>
        <v/>
      </c>
      <c r="J472" s="6" t="str">
        <f t="shared" si="323"/>
        <v/>
      </c>
      <c r="K472" s="120" t="str">
        <f t="shared" si="324"/>
        <v/>
      </c>
      <c r="L472" s="120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7"/>
      <c r="N472" s="7"/>
      <c r="O472" s="5"/>
    </row>
    <row r="473" spans="1:15" x14ac:dyDescent="0.25">
      <c r="A473" s="111"/>
      <c r="B473" s="4"/>
      <c r="C473" s="4"/>
      <c r="D473" s="6"/>
      <c r="E473" s="6"/>
      <c r="F473" s="109" t="str">
        <f t="shared" si="319"/>
        <v/>
      </c>
      <c r="G473" s="6" t="str">
        <f t="shared" si="320"/>
        <v/>
      </c>
      <c r="H473" s="6" t="str">
        <f t="shared" si="321"/>
        <v/>
      </c>
      <c r="I473" s="109" t="str">
        <f t="shared" si="322"/>
        <v/>
      </c>
      <c r="J473" s="6" t="str">
        <f t="shared" si="323"/>
        <v/>
      </c>
      <c r="K473" s="120" t="str">
        <f t="shared" si="324"/>
        <v/>
      </c>
      <c r="L473" s="120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7"/>
      <c r="N473" s="7"/>
      <c r="O473" s="5"/>
    </row>
    <row r="474" spans="1:15" x14ac:dyDescent="0.25">
      <c r="A474" s="111"/>
      <c r="B474" s="4"/>
      <c r="C474" s="4"/>
      <c r="D474" s="6"/>
      <c r="E474" s="6"/>
      <c r="F474" s="109" t="str">
        <f t="shared" si="319"/>
        <v/>
      </c>
      <c r="G474" s="6" t="str">
        <f t="shared" si="320"/>
        <v/>
      </c>
      <c r="H474" s="6" t="str">
        <f t="shared" si="321"/>
        <v/>
      </c>
      <c r="I474" s="109" t="str">
        <f t="shared" si="322"/>
        <v/>
      </c>
      <c r="J474" s="6" t="str">
        <f t="shared" si="323"/>
        <v/>
      </c>
      <c r="K474" s="120" t="str">
        <f t="shared" si="324"/>
        <v/>
      </c>
      <c r="L474" s="120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7"/>
      <c r="N474" s="7"/>
      <c r="O474" s="5"/>
    </row>
    <row r="475" spans="1:15" x14ac:dyDescent="0.25">
      <c r="A475" s="111"/>
      <c r="B475" s="4"/>
      <c r="C475" s="4"/>
      <c r="D475" s="6"/>
      <c r="E475" s="6"/>
      <c r="F475" s="109" t="str">
        <f t="shared" si="319"/>
        <v/>
      </c>
      <c r="G475" s="6" t="str">
        <f t="shared" si="320"/>
        <v/>
      </c>
      <c r="H475" s="6" t="str">
        <f t="shared" si="321"/>
        <v/>
      </c>
      <c r="I475" s="109" t="str">
        <f t="shared" si="322"/>
        <v/>
      </c>
      <c r="J475" s="6" t="str">
        <f t="shared" si="323"/>
        <v/>
      </c>
      <c r="K475" s="120" t="str">
        <f t="shared" si="324"/>
        <v/>
      </c>
      <c r="L475" s="120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7"/>
      <c r="N475" s="7"/>
      <c r="O475" s="5"/>
    </row>
    <row r="476" spans="1:15" x14ac:dyDescent="0.25">
      <c r="A476" s="111"/>
      <c r="B476" s="4"/>
      <c r="C476" s="4"/>
      <c r="D476" s="6"/>
      <c r="E476" s="6"/>
      <c r="F476" s="109" t="str">
        <f t="shared" si="319"/>
        <v/>
      </c>
      <c r="G476" s="6" t="str">
        <f t="shared" si="320"/>
        <v/>
      </c>
      <c r="H476" s="6" t="str">
        <f t="shared" si="321"/>
        <v/>
      </c>
      <c r="I476" s="109" t="str">
        <f t="shared" si="322"/>
        <v/>
      </c>
      <c r="J476" s="6" t="str">
        <f t="shared" si="323"/>
        <v/>
      </c>
      <c r="K476" s="120" t="str">
        <f t="shared" si="324"/>
        <v/>
      </c>
      <c r="L476" s="120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7"/>
      <c r="N476" s="7"/>
      <c r="O476" s="5"/>
    </row>
    <row r="477" spans="1:15" x14ac:dyDescent="0.25">
      <c r="A477" s="111"/>
      <c r="B477" s="4"/>
      <c r="C477" s="4"/>
      <c r="D477" s="6"/>
      <c r="E477" s="6"/>
      <c r="F477" s="109" t="str">
        <f t="shared" si="319"/>
        <v/>
      </c>
      <c r="G477" s="6" t="str">
        <f t="shared" si="320"/>
        <v/>
      </c>
      <c r="H477" s="6" t="str">
        <f t="shared" si="321"/>
        <v/>
      </c>
      <c r="I477" s="109" t="str">
        <f t="shared" si="322"/>
        <v/>
      </c>
      <c r="J477" s="6" t="str">
        <f t="shared" si="323"/>
        <v/>
      </c>
      <c r="K477" s="120" t="str">
        <f t="shared" si="324"/>
        <v/>
      </c>
      <c r="L477" s="120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7"/>
      <c r="N477" s="7"/>
      <c r="O477" s="5"/>
    </row>
    <row r="478" spans="1:15" x14ac:dyDescent="0.25">
      <c r="A478" s="111"/>
      <c r="B478" s="4"/>
      <c r="C478" s="4"/>
      <c r="D478" s="6"/>
      <c r="E478" s="6"/>
      <c r="F478" s="109" t="str">
        <f t="shared" si="319"/>
        <v/>
      </c>
      <c r="G478" s="6" t="str">
        <f t="shared" si="320"/>
        <v/>
      </c>
      <c r="H478" s="6" t="str">
        <f t="shared" si="321"/>
        <v/>
      </c>
      <c r="I478" s="109" t="str">
        <f t="shared" si="322"/>
        <v/>
      </c>
      <c r="J478" s="6" t="str">
        <f t="shared" si="323"/>
        <v/>
      </c>
      <c r="K478" s="120" t="str">
        <f t="shared" si="324"/>
        <v/>
      </c>
      <c r="L478" s="120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7"/>
      <c r="N478" s="7"/>
      <c r="O478" s="5"/>
    </row>
    <row r="479" spans="1:15" x14ac:dyDescent="0.25">
      <c r="A479" s="111"/>
      <c r="B479" s="4"/>
      <c r="C479" s="4"/>
      <c r="D479" s="6"/>
      <c r="E479" s="6"/>
      <c r="F479" s="109" t="str">
        <f t="shared" si="319"/>
        <v/>
      </c>
      <c r="G479" s="6" t="str">
        <f t="shared" si="320"/>
        <v/>
      </c>
      <c r="H479" s="6" t="str">
        <f t="shared" si="321"/>
        <v/>
      </c>
      <c r="I479" s="109" t="str">
        <f t="shared" si="322"/>
        <v/>
      </c>
      <c r="J479" s="6" t="str">
        <f t="shared" si="323"/>
        <v/>
      </c>
      <c r="K479" s="120" t="str">
        <f t="shared" si="324"/>
        <v/>
      </c>
      <c r="L479" s="120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7"/>
      <c r="N479" s="7"/>
      <c r="O479" s="5"/>
    </row>
    <row r="480" spans="1:15" x14ac:dyDescent="0.25">
      <c r="A480" s="111"/>
      <c r="B480" s="4"/>
      <c r="C480" s="4"/>
      <c r="D480" s="6"/>
      <c r="E480" s="6"/>
      <c r="F480" s="109" t="str">
        <f t="shared" si="319"/>
        <v/>
      </c>
      <c r="G480" s="6" t="str">
        <f t="shared" si="320"/>
        <v/>
      </c>
      <c r="H480" s="6" t="str">
        <f t="shared" si="321"/>
        <v/>
      </c>
      <c r="I480" s="109" t="str">
        <f t="shared" si="322"/>
        <v/>
      </c>
      <c r="J480" s="6" t="str">
        <f t="shared" si="323"/>
        <v/>
      </c>
      <c r="K480" s="120" t="str">
        <f t="shared" si="324"/>
        <v/>
      </c>
      <c r="L480" s="120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7"/>
      <c r="N480" s="7"/>
      <c r="O480" s="5"/>
    </row>
    <row r="481" spans="1:15" x14ac:dyDescent="0.25">
      <c r="A481" s="111"/>
      <c r="B481" s="4"/>
      <c r="C481" s="4"/>
      <c r="D481" s="6"/>
      <c r="E481" s="6"/>
      <c r="F481" s="109" t="str">
        <f t="shared" si="319"/>
        <v/>
      </c>
      <c r="G481" s="6" t="str">
        <f t="shared" si="320"/>
        <v/>
      </c>
      <c r="H481" s="6" t="str">
        <f t="shared" si="321"/>
        <v/>
      </c>
      <c r="I481" s="109" t="str">
        <f t="shared" si="322"/>
        <v/>
      </c>
      <c r="J481" s="6" t="str">
        <f t="shared" si="323"/>
        <v/>
      </c>
      <c r="K481" s="120" t="str">
        <f t="shared" si="324"/>
        <v/>
      </c>
      <c r="L481" s="120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7"/>
      <c r="N481" s="7"/>
      <c r="O481" s="5"/>
    </row>
    <row r="482" spans="1:15" x14ac:dyDescent="0.25">
      <c r="A482" s="111"/>
      <c r="B482" s="4"/>
      <c r="C482" s="4"/>
      <c r="D482" s="6"/>
      <c r="E482" s="6"/>
      <c r="F482" s="109" t="str">
        <f t="shared" si="319"/>
        <v/>
      </c>
      <c r="G482" s="6" t="str">
        <f t="shared" si="320"/>
        <v/>
      </c>
      <c r="H482" s="6" t="str">
        <f t="shared" si="321"/>
        <v/>
      </c>
      <c r="I482" s="109" t="str">
        <f t="shared" si="322"/>
        <v/>
      </c>
      <c r="J482" s="6" t="str">
        <f t="shared" si="323"/>
        <v/>
      </c>
      <c r="K482" s="120" t="str">
        <f t="shared" si="324"/>
        <v/>
      </c>
      <c r="L482" s="120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7"/>
      <c r="N482" s="7"/>
      <c r="O482" s="5"/>
    </row>
    <row r="483" spans="1:15" x14ac:dyDescent="0.25">
      <c r="A483" s="111"/>
      <c r="B483" s="4"/>
      <c r="C483" s="4"/>
      <c r="D483" s="6"/>
      <c r="E483" s="6"/>
      <c r="F483" s="109" t="str">
        <f t="shared" si="319"/>
        <v/>
      </c>
      <c r="G483" s="6" t="str">
        <f t="shared" si="320"/>
        <v/>
      </c>
      <c r="H483" s="6" t="str">
        <f t="shared" si="321"/>
        <v/>
      </c>
      <c r="I483" s="109" t="str">
        <f t="shared" si="322"/>
        <v/>
      </c>
      <c r="J483" s="6" t="str">
        <f t="shared" si="323"/>
        <v/>
      </c>
      <c r="K483" s="120" t="str">
        <f t="shared" si="324"/>
        <v/>
      </c>
      <c r="L483" s="120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7"/>
      <c r="N483" s="7"/>
      <c r="O483" s="5"/>
    </row>
    <row r="484" spans="1:15" x14ac:dyDescent="0.25">
      <c r="A484" s="111"/>
      <c r="B484" s="4"/>
      <c r="C484" s="4"/>
      <c r="D484" s="6"/>
      <c r="E484" s="6"/>
      <c r="F484" s="109" t="str">
        <f t="shared" si="319"/>
        <v/>
      </c>
      <c r="G484" s="6" t="str">
        <f t="shared" si="320"/>
        <v/>
      </c>
      <c r="H484" s="6" t="str">
        <f t="shared" si="321"/>
        <v/>
      </c>
      <c r="I484" s="109" t="str">
        <f t="shared" si="322"/>
        <v/>
      </c>
      <c r="J484" s="6" t="str">
        <f t="shared" si="323"/>
        <v/>
      </c>
      <c r="K484" s="120" t="str">
        <f t="shared" si="324"/>
        <v/>
      </c>
      <c r="L484" s="120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7"/>
      <c r="N484" s="7"/>
      <c r="O484" s="5"/>
    </row>
    <row r="485" spans="1:15" x14ac:dyDescent="0.25">
      <c r="A485" s="111"/>
      <c r="B485" s="4"/>
      <c r="C485" s="4"/>
      <c r="D485" s="6"/>
      <c r="E485" s="6"/>
      <c r="F485" s="109" t="str">
        <f t="shared" si="319"/>
        <v/>
      </c>
      <c r="G485" s="6" t="str">
        <f t="shared" si="320"/>
        <v/>
      </c>
      <c r="H485" s="6" t="str">
        <f t="shared" si="321"/>
        <v/>
      </c>
      <c r="I485" s="109" t="str">
        <f t="shared" si="322"/>
        <v/>
      </c>
      <c r="J485" s="6" t="str">
        <f t="shared" si="323"/>
        <v/>
      </c>
      <c r="K485" s="120" t="str">
        <f t="shared" si="324"/>
        <v/>
      </c>
      <c r="L485" s="120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7"/>
      <c r="N485" s="7"/>
      <c r="O485" s="5"/>
    </row>
    <row r="486" spans="1:15" x14ac:dyDescent="0.25">
      <c r="A486" s="111"/>
      <c r="B486" s="4"/>
      <c r="C486" s="4"/>
      <c r="D486" s="6"/>
      <c r="E486" s="6"/>
      <c r="F486" s="109" t="str">
        <f t="shared" si="319"/>
        <v/>
      </c>
      <c r="G486" s="6" t="str">
        <f t="shared" si="320"/>
        <v/>
      </c>
      <c r="H486" s="6" t="str">
        <f t="shared" si="321"/>
        <v/>
      </c>
      <c r="I486" s="109" t="str">
        <f t="shared" si="322"/>
        <v/>
      </c>
      <c r="J486" s="6" t="str">
        <f t="shared" si="323"/>
        <v/>
      </c>
      <c r="K486" s="120" t="str">
        <f t="shared" si="324"/>
        <v/>
      </c>
      <c r="L486" s="120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7"/>
      <c r="N486" s="7"/>
      <c r="O486" s="5"/>
    </row>
    <row r="487" spans="1:15" x14ac:dyDescent="0.25">
      <c r="A487" s="111"/>
      <c r="B487" s="4"/>
      <c r="C487" s="4"/>
      <c r="D487" s="6"/>
      <c r="E487" s="6"/>
      <c r="F487" s="109" t="str">
        <f t="shared" si="319"/>
        <v/>
      </c>
      <c r="G487" s="6" t="str">
        <f t="shared" si="320"/>
        <v/>
      </c>
      <c r="H487" s="6" t="str">
        <f t="shared" si="321"/>
        <v/>
      </c>
      <c r="I487" s="109" t="str">
        <f t="shared" si="322"/>
        <v/>
      </c>
      <c r="J487" s="6" t="str">
        <f t="shared" si="323"/>
        <v/>
      </c>
      <c r="K487" s="120" t="str">
        <f t="shared" si="324"/>
        <v/>
      </c>
      <c r="L487" s="120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7"/>
      <c r="N487" s="7"/>
      <c r="O487" s="5"/>
    </row>
    <row r="488" spans="1:15" x14ac:dyDescent="0.25">
      <c r="A488" s="111"/>
      <c r="B488" s="4"/>
      <c r="C488" s="4"/>
      <c r="D488" s="6"/>
      <c r="E488" s="6"/>
      <c r="F488" s="109" t="str">
        <f t="shared" si="319"/>
        <v/>
      </c>
      <c r="G488" s="6" t="str">
        <f t="shared" si="320"/>
        <v/>
      </c>
      <c r="H488" s="6" t="str">
        <f t="shared" si="321"/>
        <v/>
      </c>
      <c r="I488" s="109" t="str">
        <f t="shared" si="322"/>
        <v/>
      </c>
      <c r="J488" s="6" t="str">
        <f t="shared" si="323"/>
        <v/>
      </c>
      <c r="K488" s="120" t="str">
        <f t="shared" si="324"/>
        <v/>
      </c>
      <c r="L488" s="120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7"/>
      <c r="N488" s="7"/>
      <c r="O488" s="5"/>
    </row>
    <row r="489" spans="1:15" x14ac:dyDescent="0.25">
      <c r="A489" s="111"/>
      <c r="B489" s="4"/>
      <c r="C489" s="4"/>
      <c r="D489" s="6"/>
      <c r="E489" s="6"/>
      <c r="F489" s="109" t="str">
        <f t="shared" si="319"/>
        <v/>
      </c>
      <c r="G489" s="6" t="str">
        <f t="shared" si="320"/>
        <v/>
      </c>
      <c r="H489" s="6" t="str">
        <f t="shared" si="321"/>
        <v/>
      </c>
      <c r="I489" s="109" t="str">
        <f t="shared" si="322"/>
        <v/>
      </c>
      <c r="J489" s="6" t="str">
        <f t="shared" si="323"/>
        <v/>
      </c>
      <c r="K489" s="120" t="str">
        <f t="shared" si="324"/>
        <v/>
      </c>
      <c r="L489" s="120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7"/>
      <c r="N489" s="7"/>
      <c r="O489" s="5"/>
    </row>
    <row r="490" spans="1:15" x14ac:dyDescent="0.25">
      <c r="A490" s="111"/>
      <c r="B490" s="4"/>
      <c r="C490" s="4"/>
      <c r="D490" s="6"/>
      <c r="E490" s="6"/>
      <c r="F490" s="109" t="str">
        <f t="shared" si="319"/>
        <v/>
      </c>
      <c r="G490" s="6" t="str">
        <f t="shared" si="320"/>
        <v/>
      </c>
      <c r="H490" s="6" t="str">
        <f t="shared" si="321"/>
        <v/>
      </c>
      <c r="I490" s="109" t="str">
        <f t="shared" si="322"/>
        <v/>
      </c>
      <c r="J490" s="6" t="str">
        <f t="shared" si="323"/>
        <v/>
      </c>
      <c r="K490" s="120" t="str">
        <f t="shared" si="324"/>
        <v/>
      </c>
      <c r="L490" s="120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7"/>
      <c r="N490" s="7"/>
      <c r="O490" s="5"/>
    </row>
    <row r="491" spans="1:15" x14ac:dyDescent="0.25">
      <c r="A491" s="111"/>
      <c r="B491" s="4"/>
      <c r="C491" s="4"/>
      <c r="D491" s="6"/>
      <c r="E491" s="6"/>
      <c r="F491" s="109" t="str">
        <f t="shared" si="319"/>
        <v/>
      </c>
      <c r="G491" s="6" t="str">
        <f t="shared" si="320"/>
        <v/>
      </c>
      <c r="H491" s="6" t="str">
        <f t="shared" si="321"/>
        <v/>
      </c>
      <c r="I491" s="109" t="str">
        <f t="shared" si="322"/>
        <v/>
      </c>
      <c r="J491" s="6" t="str">
        <f t="shared" si="323"/>
        <v/>
      </c>
      <c r="K491" s="120" t="str">
        <f t="shared" si="324"/>
        <v/>
      </c>
      <c r="L491" s="120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7"/>
      <c r="N491" s="7"/>
      <c r="O491" s="5"/>
    </row>
    <row r="492" spans="1:15" x14ac:dyDescent="0.25">
      <c r="A492" s="111"/>
      <c r="B492" s="4"/>
      <c r="C492" s="4"/>
      <c r="D492" s="6"/>
      <c r="E492" s="6"/>
      <c r="F492" s="109" t="str">
        <f t="shared" si="319"/>
        <v/>
      </c>
      <c r="G492" s="6" t="str">
        <f t="shared" si="320"/>
        <v/>
      </c>
      <c r="H492" s="6" t="str">
        <f t="shared" si="321"/>
        <v/>
      </c>
      <c r="I492" s="109" t="str">
        <f t="shared" si="322"/>
        <v/>
      </c>
      <c r="J492" s="6" t="str">
        <f t="shared" si="323"/>
        <v/>
      </c>
      <c r="K492" s="120" t="str">
        <f t="shared" si="324"/>
        <v/>
      </c>
      <c r="L492" s="120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7"/>
      <c r="N492" s="7"/>
      <c r="O492" s="5"/>
    </row>
    <row r="493" spans="1:15" x14ac:dyDescent="0.25">
      <c r="A493" s="111"/>
      <c r="B493" s="4"/>
      <c r="C493" s="4"/>
      <c r="D493" s="6"/>
      <c r="E493" s="6"/>
      <c r="F493" s="109" t="str">
        <f t="shared" si="319"/>
        <v/>
      </c>
      <c r="G493" s="6" t="str">
        <f t="shared" si="320"/>
        <v/>
      </c>
      <c r="H493" s="6" t="str">
        <f t="shared" si="321"/>
        <v/>
      </c>
      <c r="I493" s="109" t="str">
        <f t="shared" si="322"/>
        <v/>
      </c>
      <c r="J493" s="6" t="str">
        <f t="shared" si="323"/>
        <v/>
      </c>
      <c r="K493" s="120" t="str">
        <f t="shared" si="324"/>
        <v/>
      </c>
      <c r="L493" s="120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7"/>
      <c r="N493" s="7"/>
      <c r="O493" s="5"/>
    </row>
    <row r="494" spans="1:15" x14ac:dyDescent="0.25">
      <c r="A494" s="111"/>
      <c r="B494" s="4"/>
      <c r="C494" s="4"/>
      <c r="D494" s="6"/>
      <c r="E494" s="6"/>
      <c r="F494" s="109" t="str">
        <f t="shared" si="319"/>
        <v/>
      </c>
      <c r="G494" s="6" t="str">
        <f t="shared" si="320"/>
        <v/>
      </c>
      <c r="H494" s="6" t="str">
        <f t="shared" si="321"/>
        <v/>
      </c>
      <c r="I494" s="109" t="str">
        <f t="shared" si="322"/>
        <v/>
      </c>
      <c r="J494" s="6" t="str">
        <f t="shared" si="323"/>
        <v/>
      </c>
      <c r="K494" s="120" t="str">
        <f t="shared" si="324"/>
        <v/>
      </c>
      <c r="L494" s="120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7"/>
      <c r="N494" s="7"/>
      <c r="O494" s="5"/>
    </row>
    <row r="495" spans="1:15" x14ac:dyDescent="0.25">
      <c r="A495" s="111"/>
      <c r="B495" s="4"/>
      <c r="C495" s="4"/>
      <c r="D495" s="6"/>
      <c r="E495" s="6"/>
      <c r="F495" s="109" t="str">
        <f t="shared" si="319"/>
        <v/>
      </c>
      <c r="G495" s="6" t="str">
        <f t="shared" si="320"/>
        <v/>
      </c>
      <c r="H495" s="6" t="str">
        <f t="shared" si="321"/>
        <v/>
      </c>
      <c r="I495" s="109" t="str">
        <f t="shared" si="322"/>
        <v/>
      </c>
      <c r="J495" s="6" t="str">
        <f t="shared" si="323"/>
        <v/>
      </c>
      <c r="K495" s="120" t="str">
        <f t="shared" si="324"/>
        <v/>
      </c>
      <c r="L495" s="120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7"/>
      <c r="N495" s="7"/>
      <c r="O495" s="5"/>
    </row>
    <row r="496" spans="1:15" x14ac:dyDescent="0.25">
      <c r="A496" s="111"/>
      <c r="B496" s="4"/>
      <c r="C496" s="4"/>
      <c r="D496" s="6"/>
      <c r="E496" s="6"/>
      <c r="F496" s="109" t="str">
        <f t="shared" si="319"/>
        <v/>
      </c>
      <c r="G496" s="6" t="str">
        <f t="shared" si="320"/>
        <v/>
      </c>
      <c r="H496" s="6" t="str">
        <f t="shared" si="321"/>
        <v/>
      </c>
      <c r="I496" s="109" t="str">
        <f t="shared" si="322"/>
        <v/>
      </c>
      <c r="J496" s="6" t="str">
        <f t="shared" si="323"/>
        <v/>
      </c>
      <c r="K496" s="120" t="str">
        <f t="shared" si="324"/>
        <v/>
      </c>
      <c r="L496" s="120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7"/>
      <c r="N496" s="7"/>
      <c r="O496" s="5"/>
    </row>
    <row r="497" spans="1:15" x14ac:dyDescent="0.25">
      <c r="A497" s="111"/>
      <c r="B497" s="4"/>
      <c r="C497" s="4"/>
      <c r="D497" s="6"/>
      <c r="E497" s="6"/>
      <c r="F497" s="109" t="str">
        <f t="shared" si="319"/>
        <v/>
      </c>
      <c r="G497" s="6" t="str">
        <f t="shared" si="320"/>
        <v/>
      </c>
      <c r="H497" s="6" t="str">
        <f t="shared" si="321"/>
        <v/>
      </c>
      <c r="I497" s="109" t="str">
        <f t="shared" si="322"/>
        <v/>
      </c>
      <c r="J497" s="6" t="str">
        <f t="shared" si="323"/>
        <v/>
      </c>
      <c r="K497" s="120" t="str">
        <f t="shared" si="324"/>
        <v/>
      </c>
      <c r="L497" s="120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7"/>
      <c r="N497" s="7"/>
      <c r="O497" s="5"/>
    </row>
    <row r="498" spans="1:15" x14ac:dyDescent="0.25">
      <c r="A498" s="111"/>
      <c r="B498" s="4"/>
      <c r="C498" s="4"/>
      <c r="D498" s="6"/>
      <c r="E498" s="6"/>
      <c r="F498" s="109" t="str">
        <f t="shared" si="319"/>
        <v/>
      </c>
      <c r="G498" s="6" t="str">
        <f t="shared" si="320"/>
        <v/>
      </c>
      <c r="H498" s="6" t="str">
        <f t="shared" si="321"/>
        <v/>
      </c>
      <c r="I498" s="109" t="str">
        <f t="shared" si="322"/>
        <v/>
      </c>
      <c r="J498" s="6" t="str">
        <f t="shared" si="323"/>
        <v/>
      </c>
      <c r="K498" s="120" t="str">
        <f t="shared" si="324"/>
        <v/>
      </c>
      <c r="L498" s="120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7"/>
      <c r="N498" s="7"/>
      <c r="O498" s="5"/>
    </row>
    <row r="499" spans="1:15" x14ac:dyDescent="0.25">
      <c r="A499" s="111"/>
      <c r="B499" s="4"/>
      <c r="C499" s="4"/>
      <c r="D499" s="6"/>
      <c r="E499" s="6"/>
      <c r="F499" s="109" t="str">
        <f t="shared" si="319"/>
        <v/>
      </c>
      <c r="G499" s="6" t="str">
        <f t="shared" si="320"/>
        <v/>
      </c>
      <c r="H499" s="6" t="str">
        <f t="shared" si="321"/>
        <v/>
      </c>
      <c r="I499" s="109" t="str">
        <f t="shared" si="322"/>
        <v/>
      </c>
      <c r="J499" s="6" t="str">
        <f t="shared" si="323"/>
        <v/>
      </c>
      <c r="K499" s="120" t="str">
        <f t="shared" si="324"/>
        <v/>
      </c>
      <c r="L499" s="120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7"/>
      <c r="N499" s="7"/>
      <c r="O499" s="5"/>
    </row>
    <row r="500" spans="1:15" x14ac:dyDescent="0.25">
      <c r="A500" s="111"/>
      <c r="B500" s="4"/>
      <c r="C500" s="4"/>
      <c r="D500" s="6"/>
      <c r="E500" s="6"/>
      <c r="F500" s="109" t="str">
        <f t="shared" si="319"/>
        <v/>
      </c>
      <c r="G500" s="6" t="str">
        <f t="shared" si="320"/>
        <v/>
      </c>
      <c r="H500" s="6" t="str">
        <f t="shared" si="321"/>
        <v/>
      </c>
      <c r="I500" s="109" t="str">
        <f t="shared" si="322"/>
        <v/>
      </c>
      <c r="J500" s="6" t="str">
        <f t="shared" si="323"/>
        <v/>
      </c>
      <c r="K500" s="120" t="str">
        <f t="shared" si="324"/>
        <v/>
      </c>
      <c r="L500" s="120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7"/>
      <c r="N500" s="7"/>
      <c r="O500" s="5"/>
    </row>
    <row r="501" spans="1:15" x14ac:dyDescent="0.25">
      <c r="A501" s="111"/>
      <c r="B501" s="4"/>
      <c r="C501" s="4"/>
      <c r="D501" s="6"/>
      <c r="E501" s="6"/>
      <c r="F501" s="109" t="str">
        <f t="shared" si="319"/>
        <v/>
      </c>
      <c r="G501" s="6" t="str">
        <f t="shared" si="320"/>
        <v/>
      </c>
      <c r="H501" s="6" t="str">
        <f t="shared" si="321"/>
        <v/>
      </c>
      <c r="I501" s="109" t="str">
        <f t="shared" si="322"/>
        <v/>
      </c>
      <c r="J501" s="6" t="str">
        <f t="shared" si="323"/>
        <v/>
      </c>
      <c r="K501" s="120" t="str">
        <f t="shared" si="324"/>
        <v/>
      </c>
      <c r="L501" s="120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7"/>
      <c r="N501" s="7"/>
      <c r="O501" s="5"/>
    </row>
    <row r="502" spans="1:15" x14ac:dyDescent="0.25">
      <c r="A502" s="111"/>
      <c r="B502" s="4"/>
      <c r="C502" s="4"/>
      <c r="D502" s="6"/>
      <c r="E502" s="6"/>
      <c r="F502" s="109" t="str">
        <f t="shared" si="319"/>
        <v/>
      </c>
      <c r="G502" s="6" t="str">
        <f t="shared" si="320"/>
        <v/>
      </c>
      <c r="H502" s="6" t="str">
        <f t="shared" si="321"/>
        <v/>
      </c>
      <c r="I502" s="109" t="str">
        <f t="shared" si="322"/>
        <v/>
      </c>
      <c r="J502" s="6" t="str">
        <f t="shared" si="323"/>
        <v/>
      </c>
      <c r="K502" s="120" t="str">
        <f t="shared" si="324"/>
        <v/>
      </c>
      <c r="L502" s="120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7"/>
      <c r="N502" s="7"/>
      <c r="O502" s="5"/>
    </row>
    <row r="503" spans="1:15" x14ac:dyDescent="0.25">
      <c r="A503" s="111"/>
      <c r="B503" s="4"/>
      <c r="C503" s="4"/>
      <c r="D503" s="6"/>
      <c r="E503" s="6"/>
      <c r="F503" s="109" t="str">
        <f t="shared" si="319"/>
        <v/>
      </c>
      <c r="G503" s="6" t="str">
        <f t="shared" si="320"/>
        <v/>
      </c>
      <c r="H503" s="6" t="str">
        <f t="shared" si="321"/>
        <v/>
      </c>
      <c r="I503" s="109" t="str">
        <f t="shared" si="322"/>
        <v/>
      </c>
      <c r="J503" s="6" t="str">
        <f t="shared" si="323"/>
        <v/>
      </c>
      <c r="K503" s="120" t="str">
        <f t="shared" si="324"/>
        <v/>
      </c>
      <c r="L503" s="120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7"/>
      <c r="N503" s="7"/>
      <c r="O503" s="5"/>
    </row>
    <row r="504" spans="1:15" x14ac:dyDescent="0.25">
      <c r="A504" s="111"/>
      <c r="B504" s="4"/>
      <c r="C504" s="4"/>
      <c r="D504" s="6"/>
      <c r="E504" s="6"/>
      <c r="F504" s="109" t="str">
        <f t="shared" si="319"/>
        <v/>
      </c>
      <c r="G504" s="6" t="str">
        <f t="shared" si="320"/>
        <v/>
      </c>
      <c r="H504" s="6" t="str">
        <f t="shared" si="321"/>
        <v/>
      </c>
      <c r="I504" s="109" t="str">
        <f t="shared" si="322"/>
        <v/>
      </c>
      <c r="J504" s="6" t="str">
        <f t="shared" si="323"/>
        <v/>
      </c>
      <c r="K504" s="120" t="str">
        <f t="shared" si="324"/>
        <v/>
      </c>
      <c r="L504" s="120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7"/>
      <c r="N504" s="7"/>
      <c r="O504" s="5"/>
    </row>
    <row r="505" spans="1:15" x14ac:dyDescent="0.25">
      <c r="A505" s="111"/>
      <c r="B505" s="4"/>
      <c r="C505" s="4"/>
      <c r="D505" s="6"/>
      <c r="E505" s="6"/>
      <c r="F505" s="109" t="str">
        <f t="shared" si="319"/>
        <v/>
      </c>
      <c r="G505" s="6" t="str">
        <f t="shared" si="320"/>
        <v/>
      </c>
      <c r="H505" s="6" t="str">
        <f t="shared" si="321"/>
        <v/>
      </c>
      <c r="I505" s="109" t="str">
        <f t="shared" si="322"/>
        <v/>
      </c>
      <c r="J505" s="6" t="str">
        <f t="shared" si="323"/>
        <v/>
      </c>
      <c r="K505" s="120" t="str">
        <f t="shared" si="324"/>
        <v/>
      </c>
      <c r="L505" s="120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7"/>
      <c r="N505" s="7"/>
      <c r="O505" s="5"/>
    </row>
    <row r="506" spans="1:15" x14ac:dyDescent="0.25">
      <c r="A506" s="111"/>
      <c r="B506" s="4"/>
      <c r="C506" s="4"/>
      <c r="D506" s="6"/>
      <c r="E506" s="6"/>
      <c r="F506" s="109" t="str">
        <f t="shared" si="319"/>
        <v/>
      </c>
      <c r="G506" s="6" t="str">
        <f t="shared" si="320"/>
        <v/>
      </c>
      <c r="H506" s="6" t="str">
        <f t="shared" si="321"/>
        <v/>
      </c>
      <c r="I506" s="109" t="str">
        <f t="shared" si="322"/>
        <v/>
      </c>
      <c r="J506" s="6" t="str">
        <f t="shared" si="323"/>
        <v/>
      </c>
      <c r="K506" s="120" t="str">
        <f t="shared" si="324"/>
        <v/>
      </c>
      <c r="L506" s="120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7"/>
      <c r="N506" s="7"/>
      <c r="O506" s="5"/>
    </row>
    <row r="507" spans="1:15" x14ac:dyDescent="0.25">
      <c r="A507" s="111"/>
      <c r="B507" s="4"/>
      <c r="C507" s="4"/>
      <c r="D507" s="6"/>
      <c r="E507" s="6"/>
      <c r="F507" s="109" t="str">
        <f t="shared" si="319"/>
        <v/>
      </c>
      <c r="G507" s="6" t="str">
        <f t="shared" si="320"/>
        <v/>
      </c>
      <c r="H507" s="6" t="str">
        <f t="shared" si="321"/>
        <v/>
      </c>
      <c r="I507" s="109" t="str">
        <f t="shared" si="322"/>
        <v/>
      </c>
      <c r="J507" s="6" t="str">
        <f t="shared" si="323"/>
        <v/>
      </c>
      <c r="K507" s="120" t="str">
        <f t="shared" si="324"/>
        <v/>
      </c>
      <c r="L507" s="120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7"/>
      <c r="N507" s="7"/>
      <c r="O507" s="5"/>
    </row>
    <row r="508" spans="1:15" x14ac:dyDescent="0.25">
      <c r="A508" s="111"/>
      <c r="B508" s="4"/>
      <c r="C508" s="4"/>
      <c r="D508" s="6"/>
      <c r="E508" s="6"/>
      <c r="F508" s="109" t="str">
        <f t="shared" si="319"/>
        <v/>
      </c>
      <c r="G508" s="6" t="str">
        <f t="shared" si="320"/>
        <v/>
      </c>
      <c r="H508" s="6" t="str">
        <f t="shared" si="321"/>
        <v/>
      </c>
      <c r="I508" s="109" t="str">
        <f t="shared" si="322"/>
        <v/>
      </c>
      <c r="J508" s="6" t="str">
        <f t="shared" si="323"/>
        <v/>
      </c>
      <c r="K508" s="120" t="str">
        <f t="shared" si="324"/>
        <v/>
      </c>
      <c r="L508" s="120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7"/>
      <c r="N508" s="7"/>
      <c r="O508" s="5"/>
    </row>
    <row r="509" spans="1:15" x14ac:dyDescent="0.25">
      <c r="A509" s="111"/>
      <c r="B509" s="4"/>
      <c r="C509" s="4"/>
      <c r="D509" s="6"/>
      <c r="E509" s="6"/>
      <c r="F509" s="109" t="str">
        <f t="shared" si="319"/>
        <v/>
      </c>
      <c r="G509" s="6" t="str">
        <f t="shared" si="320"/>
        <v/>
      </c>
      <c r="H509" s="6" t="str">
        <f t="shared" si="321"/>
        <v/>
      </c>
      <c r="I509" s="109" t="str">
        <f t="shared" si="322"/>
        <v/>
      </c>
      <c r="J509" s="6" t="str">
        <f t="shared" si="323"/>
        <v/>
      </c>
      <c r="K509" s="120" t="str">
        <f t="shared" si="324"/>
        <v/>
      </c>
      <c r="L509" s="120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7"/>
      <c r="N509" s="7"/>
      <c r="O509" s="5"/>
    </row>
    <row r="510" spans="1:15" x14ac:dyDescent="0.25">
      <c r="A510" s="111"/>
      <c r="B510" s="4"/>
      <c r="C510" s="4"/>
      <c r="D510" s="6"/>
      <c r="E510" s="6"/>
      <c r="F510" s="109" t="str">
        <f t="shared" si="319"/>
        <v/>
      </c>
      <c r="G510" s="6" t="str">
        <f t="shared" si="320"/>
        <v/>
      </c>
      <c r="H510" s="6" t="str">
        <f t="shared" si="321"/>
        <v/>
      </c>
      <c r="I510" s="109" t="str">
        <f t="shared" si="322"/>
        <v/>
      </c>
      <c r="J510" s="6" t="str">
        <f t="shared" si="323"/>
        <v/>
      </c>
      <c r="K510" s="120" t="str">
        <f t="shared" si="324"/>
        <v/>
      </c>
      <c r="L510" s="120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7"/>
      <c r="N510" s="7"/>
      <c r="O510" s="5"/>
    </row>
    <row r="511" spans="1:15" x14ac:dyDescent="0.25">
      <c r="A511" s="111"/>
      <c r="B511" s="4"/>
      <c r="C511" s="4"/>
      <c r="D511" s="6"/>
      <c r="E511" s="6"/>
      <c r="F511" s="109" t="str">
        <f t="shared" si="319"/>
        <v/>
      </c>
      <c r="G511" s="6" t="str">
        <f t="shared" si="320"/>
        <v/>
      </c>
      <c r="H511" s="6" t="str">
        <f t="shared" si="321"/>
        <v/>
      </c>
      <c r="I511" s="109" t="str">
        <f t="shared" si="322"/>
        <v/>
      </c>
      <c r="J511" s="6" t="str">
        <f t="shared" si="323"/>
        <v/>
      </c>
      <c r="K511" s="120" t="str">
        <f t="shared" si="324"/>
        <v/>
      </c>
      <c r="L511" s="120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7"/>
      <c r="N511" s="7"/>
      <c r="O511" s="5"/>
    </row>
    <row r="512" spans="1:15" x14ac:dyDescent="0.25">
      <c r="A512" s="111"/>
      <c r="B512" s="4"/>
      <c r="C512" s="4"/>
      <c r="D512" s="6"/>
      <c r="E512" s="6"/>
      <c r="F512" s="109" t="str">
        <f t="shared" si="319"/>
        <v/>
      </c>
      <c r="G512" s="6" t="str">
        <f t="shared" si="320"/>
        <v/>
      </c>
      <c r="H512" s="6" t="str">
        <f t="shared" si="321"/>
        <v/>
      </c>
      <c r="I512" s="109" t="str">
        <f t="shared" si="322"/>
        <v/>
      </c>
      <c r="J512" s="6" t="str">
        <f t="shared" si="323"/>
        <v/>
      </c>
      <c r="K512" s="120" t="str">
        <f t="shared" si="324"/>
        <v/>
      </c>
      <c r="L512" s="120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7"/>
      <c r="N512" s="7"/>
      <c r="O512" s="5"/>
    </row>
    <row r="513" spans="1:15" x14ac:dyDescent="0.25">
      <c r="A513" s="111"/>
      <c r="B513" s="4"/>
      <c r="C513" s="4"/>
      <c r="D513" s="6"/>
      <c r="E513" s="6"/>
      <c r="F513" s="109" t="str">
        <f t="shared" si="319"/>
        <v/>
      </c>
      <c r="G513" s="6" t="str">
        <f t="shared" si="320"/>
        <v/>
      </c>
      <c r="H513" s="6" t="str">
        <f t="shared" si="321"/>
        <v/>
      </c>
      <c r="I513" s="109" t="str">
        <f t="shared" si="322"/>
        <v/>
      </c>
      <c r="J513" s="6" t="str">
        <f t="shared" si="323"/>
        <v/>
      </c>
      <c r="K513" s="120" t="str">
        <f t="shared" si="324"/>
        <v/>
      </c>
      <c r="L513" s="120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7"/>
      <c r="N513" s="7"/>
      <c r="O513" s="5"/>
    </row>
    <row r="514" spans="1:15" x14ac:dyDescent="0.25">
      <c r="A514" s="111"/>
      <c r="B514" s="4"/>
      <c r="C514" s="4"/>
      <c r="D514" s="6"/>
      <c r="E514" s="6"/>
      <c r="F514" s="109" t="str">
        <f t="shared" si="319"/>
        <v/>
      </c>
      <c r="G514" s="6" t="str">
        <f t="shared" si="320"/>
        <v/>
      </c>
      <c r="H514" s="6" t="str">
        <f t="shared" si="321"/>
        <v/>
      </c>
      <c r="I514" s="109" t="str">
        <f t="shared" si="322"/>
        <v/>
      </c>
      <c r="J514" s="6" t="str">
        <f t="shared" si="323"/>
        <v/>
      </c>
      <c r="K514" s="120" t="str">
        <f t="shared" si="324"/>
        <v/>
      </c>
      <c r="L514" s="120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7"/>
      <c r="N514" s="7"/>
      <c r="O514" s="5"/>
    </row>
    <row r="515" spans="1:15" x14ac:dyDescent="0.25">
      <c r="A515" s="111"/>
      <c r="B515" s="4"/>
      <c r="C515" s="4"/>
      <c r="D515" s="6"/>
      <c r="E515" s="6"/>
      <c r="F515" s="109" t="str">
        <f t="shared" si="319"/>
        <v/>
      </c>
      <c r="G515" s="6" t="str">
        <f t="shared" si="320"/>
        <v/>
      </c>
      <c r="H515" s="6" t="str">
        <f t="shared" si="321"/>
        <v/>
      </c>
      <c r="I515" s="109" t="str">
        <f t="shared" si="322"/>
        <v/>
      </c>
      <c r="J515" s="6" t="str">
        <f t="shared" si="323"/>
        <v/>
      </c>
      <c r="K515" s="120" t="str">
        <f t="shared" si="324"/>
        <v/>
      </c>
      <c r="L515" s="120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7"/>
      <c r="N515" s="7"/>
      <c r="O515" s="5"/>
    </row>
    <row r="516" spans="1:15" x14ac:dyDescent="0.25">
      <c r="A516" s="111"/>
      <c r="B516" s="4"/>
      <c r="C516" s="4"/>
      <c r="D516" s="6"/>
      <c r="E516" s="6"/>
      <c r="F516" s="109" t="str">
        <f t="shared" si="319"/>
        <v/>
      </c>
      <c r="G516" s="6" t="str">
        <f t="shared" si="320"/>
        <v/>
      </c>
      <c r="H516" s="6" t="str">
        <f t="shared" si="321"/>
        <v/>
      </c>
      <c r="I516" s="109" t="str">
        <f t="shared" si="322"/>
        <v/>
      </c>
      <c r="J516" s="6" t="str">
        <f t="shared" si="323"/>
        <v/>
      </c>
      <c r="K516" s="120" t="str">
        <f t="shared" si="324"/>
        <v/>
      </c>
      <c r="L516" s="120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7"/>
      <c r="N516" s="7"/>
      <c r="O516" s="5"/>
    </row>
    <row r="517" spans="1:15" x14ac:dyDescent="0.25">
      <c r="A517" s="111"/>
      <c r="B517" s="4"/>
      <c r="C517" s="4"/>
      <c r="D517" s="6"/>
      <c r="E517" s="6"/>
      <c r="F517" s="109" t="str">
        <f t="shared" si="319"/>
        <v/>
      </c>
      <c r="G517" s="6" t="str">
        <f t="shared" si="320"/>
        <v/>
      </c>
      <c r="H517" s="6" t="str">
        <f t="shared" si="321"/>
        <v/>
      </c>
      <c r="I517" s="109" t="str">
        <f t="shared" si="322"/>
        <v/>
      </c>
      <c r="J517" s="6" t="str">
        <f t="shared" si="323"/>
        <v/>
      </c>
      <c r="K517" s="120" t="str">
        <f t="shared" si="324"/>
        <v/>
      </c>
      <c r="L517" s="120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7"/>
      <c r="N517" s="7"/>
      <c r="O517" s="5"/>
    </row>
    <row r="518" spans="1:15" x14ac:dyDescent="0.25">
      <c r="A518" s="111"/>
      <c r="B518" s="4"/>
      <c r="C518" s="4"/>
      <c r="D518" s="6"/>
      <c r="E518" s="6"/>
      <c r="F518" s="109" t="str">
        <f t="shared" si="319"/>
        <v/>
      </c>
      <c r="G518" s="6" t="str">
        <f t="shared" si="320"/>
        <v/>
      </c>
      <c r="H518" s="6" t="str">
        <f t="shared" si="321"/>
        <v/>
      </c>
      <c r="I518" s="109" t="str">
        <f t="shared" si="322"/>
        <v/>
      </c>
      <c r="J518" s="6" t="str">
        <f t="shared" si="323"/>
        <v/>
      </c>
      <c r="K518" s="120" t="str">
        <f t="shared" si="324"/>
        <v/>
      </c>
      <c r="L518" s="120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7"/>
      <c r="N518" s="7"/>
      <c r="O518" s="5"/>
    </row>
    <row r="519" spans="1:15" x14ac:dyDescent="0.25">
      <c r="A519" s="111"/>
      <c r="B519" s="4"/>
      <c r="C519" s="4"/>
      <c r="D519" s="6"/>
      <c r="E519" s="6"/>
      <c r="F519" s="109" t="str">
        <f t="shared" si="319"/>
        <v/>
      </c>
      <c r="G519" s="6" t="str">
        <f t="shared" si="320"/>
        <v/>
      </c>
      <c r="H519" s="6" t="str">
        <f t="shared" si="321"/>
        <v/>
      </c>
      <c r="I519" s="109" t="str">
        <f t="shared" si="322"/>
        <v/>
      </c>
      <c r="J519" s="6" t="str">
        <f t="shared" si="323"/>
        <v/>
      </c>
      <c r="K519" s="120" t="str">
        <f t="shared" si="324"/>
        <v/>
      </c>
      <c r="L519" s="120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7"/>
      <c r="N519" s="7"/>
      <c r="O519" s="5"/>
    </row>
    <row r="520" spans="1:15" x14ac:dyDescent="0.25">
      <c r="A520" s="111"/>
      <c r="B520" s="4"/>
      <c r="C520" s="4"/>
      <c r="D520" s="6"/>
      <c r="E520" s="6"/>
      <c r="F520" s="109" t="str">
        <f t="shared" si="319"/>
        <v/>
      </c>
      <c r="G520" s="6" t="str">
        <f t="shared" si="320"/>
        <v/>
      </c>
      <c r="H520" s="6" t="str">
        <f t="shared" si="321"/>
        <v/>
      </c>
      <c r="I520" s="109" t="str">
        <f t="shared" si="322"/>
        <v/>
      </c>
      <c r="J520" s="6" t="str">
        <f t="shared" si="323"/>
        <v/>
      </c>
      <c r="K520" s="120" t="str">
        <f t="shared" si="324"/>
        <v/>
      </c>
      <c r="L520" s="120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7"/>
      <c r="N520" s="7"/>
      <c r="O520" s="5"/>
    </row>
    <row r="521" spans="1:15" x14ac:dyDescent="0.25">
      <c r="A521" s="111"/>
      <c r="B521" s="4"/>
      <c r="C521" s="4"/>
      <c r="D521" s="6"/>
      <c r="E521" s="6"/>
      <c r="F521" s="109" t="str">
        <f t="shared" si="319"/>
        <v/>
      </c>
      <c r="G521" s="6" t="str">
        <f t="shared" si="320"/>
        <v/>
      </c>
      <c r="H521" s="6" t="str">
        <f t="shared" si="321"/>
        <v/>
      </c>
      <c r="I521" s="109" t="str">
        <f t="shared" si="322"/>
        <v/>
      </c>
      <c r="J521" s="6" t="str">
        <f t="shared" si="323"/>
        <v/>
      </c>
      <c r="K521" s="120" t="str">
        <f t="shared" si="324"/>
        <v/>
      </c>
      <c r="L521" s="120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7"/>
      <c r="N521" s="7"/>
      <c r="O521" s="5"/>
    </row>
    <row r="522" spans="1:15" x14ac:dyDescent="0.25">
      <c r="A522" s="111"/>
      <c r="B522" s="4"/>
      <c r="C522" s="4"/>
      <c r="D522" s="6"/>
      <c r="E522" s="6"/>
      <c r="F522" s="109" t="str">
        <f t="shared" si="319"/>
        <v/>
      </c>
      <c r="G522" s="6" t="str">
        <f t="shared" si="320"/>
        <v/>
      </c>
      <c r="H522" s="6" t="str">
        <f t="shared" si="321"/>
        <v/>
      </c>
      <c r="I522" s="109" t="str">
        <f t="shared" si="322"/>
        <v/>
      </c>
      <c r="J522" s="6" t="str">
        <f t="shared" si="323"/>
        <v/>
      </c>
      <c r="K522" s="120" t="str">
        <f t="shared" si="324"/>
        <v/>
      </c>
      <c r="L522" s="120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7"/>
      <c r="N522" s="7"/>
      <c r="O522" s="5"/>
    </row>
    <row r="523" spans="1:15" x14ac:dyDescent="0.25">
      <c r="A523" s="111"/>
      <c r="B523" s="4"/>
      <c r="C523" s="4"/>
      <c r="D523" s="6"/>
      <c r="E523" s="6"/>
      <c r="F523" s="109" t="str">
        <f t="shared" si="319"/>
        <v/>
      </c>
      <c r="G523" s="6" t="str">
        <f t="shared" si="320"/>
        <v/>
      </c>
      <c r="H523" s="6" t="str">
        <f t="shared" si="321"/>
        <v/>
      </c>
      <c r="I523" s="109" t="str">
        <f t="shared" si="322"/>
        <v/>
      </c>
      <c r="J523" s="6" t="str">
        <f t="shared" si="323"/>
        <v/>
      </c>
      <c r="K523" s="120" t="str">
        <f t="shared" si="324"/>
        <v/>
      </c>
      <c r="L523" s="120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7"/>
      <c r="N523" s="7"/>
      <c r="O523" s="5"/>
    </row>
    <row r="524" spans="1:15" x14ac:dyDescent="0.25">
      <c r="A524" s="111"/>
      <c r="B524" s="4"/>
      <c r="C524" s="4"/>
      <c r="D524" s="6"/>
      <c r="E524" s="6"/>
      <c r="F524" s="109" t="str">
        <f t="shared" si="319"/>
        <v/>
      </c>
      <c r="G524" s="6" t="str">
        <f t="shared" si="320"/>
        <v/>
      </c>
      <c r="H524" s="6" t="str">
        <f t="shared" si="321"/>
        <v/>
      </c>
      <c r="I524" s="109" t="str">
        <f t="shared" si="322"/>
        <v/>
      </c>
      <c r="J524" s="6" t="str">
        <f t="shared" si="323"/>
        <v/>
      </c>
      <c r="K524" s="120" t="str">
        <f t="shared" si="324"/>
        <v/>
      </c>
      <c r="L524" s="120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7"/>
      <c r="N524" s="7"/>
      <c r="O524" s="5"/>
    </row>
    <row r="525" spans="1:15" x14ac:dyDescent="0.25">
      <c r="A525" s="111"/>
      <c r="B525" s="4"/>
      <c r="C525" s="4"/>
      <c r="D525" s="6"/>
      <c r="E525" s="6"/>
      <c r="F525" s="109" t="str">
        <f t="shared" si="319"/>
        <v/>
      </c>
      <c r="G525" s="6" t="str">
        <f t="shared" si="320"/>
        <v/>
      </c>
      <c r="H525" s="6" t="str">
        <f t="shared" si="321"/>
        <v/>
      </c>
      <c r="I525" s="109" t="str">
        <f t="shared" si="322"/>
        <v/>
      </c>
      <c r="J525" s="6" t="str">
        <f t="shared" si="323"/>
        <v/>
      </c>
      <c r="K525" s="120" t="str">
        <f t="shared" si="324"/>
        <v/>
      </c>
      <c r="L525" s="120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7"/>
      <c r="N525" s="7"/>
      <c r="O525" s="5"/>
    </row>
    <row r="526" spans="1:15" x14ac:dyDescent="0.25">
      <c r="A526" s="111"/>
      <c r="B526" s="4"/>
      <c r="C526" s="4"/>
      <c r="D526" s="6"/>
      <c r="E526" s="6"/>
      <c r="F526" s="109" t="str">
        <f t="shared" si="319"/>
        <v/>
      </c>
      <c r="G526" s="6" t="str">
        <f t="shared" si="320"/>
        <v/>
      </c>
      <c r="H526" s="6" t="str">
        <f t="shared" si="321"/>
        <v/>
      </c>
      <c r="I526" s="109" t="str">
        <f t="shared" si="322"/>
        <v/>
      </c>
      <c r="J526" s="6" t="str">
        <f t="shared" si="323"/>
        <v/>
      </c>
      <c r="K526" s="120" t="str">
        <f t="shared" si="324"/>
        <v/>
      </c>
      <c r="L526" s="120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7"/>
      <c r="N526" s="7"/>
      <c r="O526" s="5"/>
    </row>
    <row r="527" spans="1:15" x14ac:dyDescent="0.25">
      <c r="A527" s="111"/>
      <c r="B527" s="4"/>
      <c r="C527" s="4"/>
      <c r="D527" s="6"/>
      <c r="E527" s="6"/>
      <c r="F527" s="109" t="str">
        <f t="shared" si="319"/>
        <v/>
      </c>
      <c r="G527" s="6" t="str">
        <f t="shared" si="320"/>
        <v/>
      </c>
      <c r="H527" s="6" t="str">
        <f t="shared" si="321"/>
        <v/>
      </c>
      <c r="I527" s="109" t="str">
        <f t="shared" si="322"/>
        <v/>
      </c>
      <c r="J527" s="6" t="str">
        <f t="shared" si="323"/>
        <v/>
      </c>
      <c r="K527" s="120" t="str">
        <f t="shared" si="324"/>
        <v/>
      </c>
      <c r="L527" s="120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7"/>
      <c r="N527" s="7"/>
      <c r="O527" s="5"/>
    </row>
    <row r="528" spans="1:15" x14ac:dyDescent="0.25">
      <c r="A528" s="111"/>
      <c r="B528" s="4"/>
      <c r="C528" s="4"/>
      <c r="D528" s="6"/>
      <c r="E528" s="6"/>
      <c r="F528" s="109" t="str">
        <f t="shared" si="319"/>
        <v/>
      </c>
      <c r="G528" s="6" t="str">
        <f t="shared" si="320"/>
        <v/>
      </c>
      <c r="H528" s="6" t="str">
        <f t="shared" si="321"/>
        <v/>
      </c>
      <c r="I528" s="109" t="str">
        <f t="shared" si="322"/>
        <v/>
      </c>
      <c r="J528" s="6" t="str">
        <f t="shared" si="323"/>
        <v/>
      </c>
      <c r="K528" s="120" t="str">
        <f t="shared" si="324"/>
        <v/>
      </c>
      <c r="L528" s="120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7"/>
      <c r="N528" s="7"/>
      <c r="O528" s="5"/>
    </row>
    <row r="529" spans="1:15" x14ac:dyDescent="0.25">
      <c r="A529" s="111"/>
      <c r="B529" s="4"/>
      <c r="C529" s="4"/>
      <c r="D529" s="6"/>
      <c r="E529" s="6"/>
      <c r="F529" s="109" t="str">
        <f t="shared" si="319"/>
        <v/>
      </c>
      <c r="G529" s="6" t="str">
        <f t="shared" si="320"/>
        <v/>
      </c>
      <c r="H529" s="6" t="str">
        <f t="shared" si="321"/>
        <v/>
      </c>
      <c r="I529" s="109" t="str">
        <f t="shared" si="322"/>
        <v/>
      </c>
      <c r="J529" s="6" t="str">
        <f t="shared" si="323"/>
        <v/>
      </c>
      <c r="K529" s="120" t="str">
        <f t="shared" si="324"/>
        <v/>
      </c>
      <c r="L529" s="120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7"/>
      <c r="N529" s="7"/>
      <c r="O529" s="5"/>
    </row>
    <row r="530" spans="1:15" x14ac:dyDescent="0.25">
      <c r="A530" s="111"/>
      <c r="B530" s="4"/>
      <c r="C530" s="4"/>
      <c r="D530" s="6"/>
      <c r="E530" s="6"/>
      <c r="F530" s="109" t="str">
        <f t="shared" si="319"/>
        <v/>
      </c>
      <c r="G530" s="6" t="str">
        <f t="shared" si="320"/>
        <v/>
      </c>
      <c r="H530" s="6" t="str">
        <f t="shared" si="321"/>
        <v/>
      </c>
      <c r="I530" s="109" t="str">
        <f t="shared" si="322"/>
        <v/>
      </c>
      <c r="J530" s="6" t="str">
        <f t="shared" si="323"/>
        <v/>
      </c>
      <c r="K530" s="120" t="str">
        <f t="shared" si="324"/>
        <v/>
      </c>
      <c r="L530" s="120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7"/>
      <c r="N530" s="7"/>
      <c r="O530" s="5"/>
    </row>
    <row r="531" spans="1:15" x14ac:dyDescent="0.25">
      <c r="A531" s="111"/>
      <c r="B531" s="4"/>
      <c r="C531" s="4"/>
      <c r="D531" s="6"/>
      <c r="E531" s="6"/>
      <c r="F531" s="109" t="str">
        <f t="shared" ref="F531:F594" si="325">IF(ISBLANK(B531),"",IF(I531="L","Baixa",IF(I531="A","Média",IF(I531="","","Alta"))))</f>
        <v/>
      </c>
      <c r="G531" s="6" t="str">
        <f t="shared" ref="G531:G594" si="326">CONCATENATE(B531,I531)</f>
        <v/>
      </c>
      <c r="H531" s="6" t="str">
        <f t="shared" ref="H531:H594" si="327">IF(ISBLANK(B531),"",IF(B531="ALI",IF(I531="L",7,IF(I531="A",10,15)),IF(B531="AIE",IF(I531="L",5,IF(I531="A",7,10)),IF(B531="SE",IF(I531="L",4,IF(I531="A",5,7)),IF(OR(B531="EE",B531="CE"),IF(I531="L",3,IF(I531="A",4,6)),0)))))</f>
        <v/>
      </c>
      <c r="I531" s="109" t="str">
        <f t="shared" ref="I531:I594" si="328">IF(OR(ISBLANK(D531),ISBLANK(E531)),IF(OR(B531="ALI",B531="AIE"),"L",IF(OR(B531="EE",B531="SE",B531="CE"),"A","")),IF(B531="EE",IF(E531&gt;=3,IF(D531&gt;=5,"H","A"),IF(E531&gt;=2,IF(D531&gt;=16,"H",IF(D531&lt;=4,"L","A")),IF(D531&lt;=15,"L","A"))),IF(OR(B531="SE",B531="CE"),IF(E531&gt;=4,IF(D531&gt;=6,"H","A"),IF(E531&gt;=2,IF(D531&gt;=20,"H",IF(D531&lt;=5,"L","A")),IF(D531&lt;=19,"L","A"))),IF(OR(B531="ALI",B531="AIE"),IF(E531&gt;=6,IF(D531&gt;=20,"H","A"),IF(E531&gt;=2,IF(D531&gt;=51,"H",IF(D531&lt;=19,"L","A")),IF(D531&lt;=50,"L","A"))),""))))</f>
        <v/>
      </c>
      <c r="J531" s="6" t="str">
        <f t="shared" ref="J531:J594" si="329">CONCATENATE(B531,C531)</f>
        <v/>
      </c>
      <c r="K531" s="120" t="str">
        <f t="shared" si="324"/>
        <v/>
      </c>
      <c r="L531" s="120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7"/>
      <c r="N531" s="7"/>
      <c r="O531" s="5"/>
    </row>
    <row r="532" spans="1:15" x14ac:dyDescent="0.25">
      <c r="A532" s="111"/>
      <c r="B532" s="4"/>
      <c r="C532" s="4"/>
      <c r="D532" s="6"/>
      <c r="E532" s="6"/>
      <c r="F532" s="109" t="str">
        <f t="shared" si="325"/>
        <v/>
      </c>
      <c r="G532" s="6" t="str">
        <f t="shared" si="326"/>
        <v/>
      </c>
      <c r="H532" s="6" t="str">
        <f t="shared" si="327"/>
        <v/>
      </c>
      <c r="I532" s="109" t="str">
        <f t="shared" si="328"/>
        <v/>
      </c>
      <c r="J532" s="6" t="str">
        <f t="shared" si="329"/>
        <v/>
      </c>
      <c r="K532" s="120" t="str">
        <f t="shared" si="324"/>
        <v/>
      </c>
      <c r="L532" s="120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7"/>
      <c r="N532" s="7"/>
      <c r="O532" s="5"/>
    </row>
    <row r="533" spans="1:15" x14ac:dyDescent="0.25">
      <c r="A533" s="111"/>
      <c r="B533" s="4"/>
      <c r="C533" s="4"/>
      <c r="D533" s="6"/>
      <c r="E533" s="6"/>
      <c r="F533" s="109" t="str">
        <f t="shared" si="325"/>
        <v/>
      </c>
      <c r="G533" s="6" t="str">
        <f t="shared" si="326"/>
        <v/>
      </c>
      <c r="H533" s="6" t="str">
        <f t="shared" si="327"/>
        <v/>
      </c>
      <c r="I533" s="109" t="str">
        <f t="shared" si="328"/>
        <v/>
      </c>
      <c r="J533" s="6" t="str">
        <f t="shared" si="329"/>
        <v/>
      </c>
      <c r="K533" s="120" t="str">
        <f t="shared" ref="K533:K596" si="330">IF(OR(H533="",H533=0),L533,H533)</f>
        <v/>
      </c>
      <c r="L533" s="120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7"/>
      <c r="N533" s="7"/>
      <c r="O533" s="5"/>
    </row>
    <row r="534" spans="1:15" x14ac:dyDescent="0.25">
      <c r="A534" s="111"/>
      <c r="B534" s="4"/>
      <c r="C534" s="4"/>
      <c r="D534" s="6"/>
      <c r="E534" s="6"/>
      <c r="F534" s="109" t="str">
        <f t="shared" si="325"/>
        <v/>
      </c>
      <c r="G534" s="6" t="str">
        <f t="shared" si="326"/>
        <v/>
      </c>
      <c r="H534" s="6" t="str">
        <f t="shared" si="327"/>
        <v/>
      </c>
      <c r="I534" s="109" t="str">
        <f t="shared" si="328"/>
        <v/>
      </c>
      <c r="J534" s="6" t="str">
        <f t="shared" si="329"/>
        <v/>
      </c>
      <c r="K534" s="120" t="str">
        <f t="shared" si="330"/>
        <v/>
      </c>
      <c r="L534" s="120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7"/>
      <c r="N534" s="7"/>
      <c r="O534" s="5"/>
    </row>
    <row r="535" spans="1:15" x14ac:dyDescent="0.25">
      <c r="A535" s="111"/>
      <c r="B535" s="4"/>
      <c r="C535" s="4"/>
      <c r="D535" s="6"/>
      <c r="E535" s="6"/>
      <c r="F535" s="109" t="str">
        <f t="shared" si="325"/>
        <v/>
      </c>
      <c r="G535" s="6" t="str">
        <f t="shared" si="326"/>
        <v/>
      </c>
      <c r="H535" s="6" t="str">
        <f t="shared" si="327"/>
        <v/>
      </c>
      <c r="I535" s="109" t="str">
        <f t="shared" si="328"/>
        <v/>
      </c>
      <c r="J535" s="6" t="str">
        <f t="shared" si="329"/>
        <v/>
      </c>
      <c r="K535" s="120" t="str">
        <f t="shared" si="330"/>
        <v/>
      </c>
      <c r="L535" s="120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7"/>
      <c r="N535" s="7"/>
      <c r="O535" s="5"/>
    </row>
    <row r="536" spans="1:15" x14ac:dyDescent="0.25">
      <c r="A536" s="111"/>
      <c r="B536" s="4"/>
      <c r="C536" s="4"/>
      <c r="D536" s="6"/>
      <c r="E536" s="6"/>
      <c r="F536" s="109" t="str">
        <f t="shared" si="325"/>
        <v/>
      </c>
      <c r="G536" s="6" t="str">
        <f t="shared" si="326"/>
        <v/>
      </c>
      <c r="H536" s="6" t="str">
        <f t="shared" si="327"/>
        <v/>
      </c>
      <c r="I536" s="109" t="str">
        <f t="shared" si="328"/>
        <v/>
      </c>
      <c r="J536" s="6" t="str">
        <f t="shared" si="329"/>
        <v/>
      </c>
      <c r="K536" s="120" t="str">
        <f t="shared" si="330"/>
        <v/>
      </c>
      <c r="L536" s="120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7"/>
      <c r="N536" s="7"/>
      <c r="O536" s="5"/>
    </row>
    <row r="537" spans="1:15" x14ac:dyDescent="0.25">
      <c r="A537" s="111"/>
      <c r="B537" s="4"/>
      <c r="C537" s="4"/>
      <c r="D537" s="6"/>
      <c r="E537" s="6"/>
      <c r="F537" s="109" t="str">
        <f t="shared" si="325"/>
        <v/>
      </c>
      <c r="G537" s="6" t="str">
        <f t="shared" si="326"/>
        <v/>
      </c>
      <c r="H537" s="6" t="str">
        <f t="shared" si="327"/>
        <v/>
      </c>
      <c r="I537" s="109" t="str">
        <f t="shared" si="328"/>
        <v/>
      </c>
      <c r="J537" s="6" t="str">
        <f t="shared" si="329"/>
        <v/>
      </c>
      <c r="K537" s="120" t="str">
        <f t="shared" si="330"/>
        <v/>
      </c>
      <c r="L537" s="120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7"/>
      <c r="N537" s="7"/>
      <c r="O537" s="5"/>
    </row>
    <row r="538" spans="1:15" x14ac:dyDescent="0.25">
      <c r="A538" s="111"/>
      <c r="B538" s="4"/>
      <c r="C538" s="4"/>
      <c r="D538" s="6"/>
      <c r="E538" s="6"/>
      <c r="F538" s="109" t="str">
        <f t="shared" si="325"/>
        <v/>
      </c>
      <c r="G538" s="6" t="str">
        <f t="shared" si="326"/>
        <v/>
      </c>
      <c r="H538" s="6" t="str">
        <f t="shared" si="327"/>
        <v/>
      </c>
      <c r="I538" s="109" t="str">
        <f t="shared" si="328"/>
        <v/>
      </c>
      <c r="J538" s="6" t="str">
        <f t="shared" si="329"/>
        <v/>
      </c>
      <c r="K538" s="120" t="str">
        <f t="shared" si="330"/>
        <v/>
      </c>
      <c r="L538" s="120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7"/>
      <c r="N538" s="7"/>
      <c r="O538" s="5"/>
    </row>
    <row r="539" spans="1:15" x14ac:dyDescent="0.25">
      <c r="A539" s="111"/>
      <c r="B539" s="4"/>
      <c r="C539" s="4"/>
      <c r="D539" s="6"/>
      <c r="E539" s="6"/>
      <c r="F539" s="109" t="str">
        <f t="shared" si="325"/>
        <v/>
      </c>
      <c r="G539" s="6" t="str">
        <f t="shared" si="326"/>
        <v/>
      </c>
      <c r="H539" s="6" t="str">
        <f t="shared" si="327"/>
        <v/>
      </c>
      <c r="I539" s="109" t="str">
        <f t="shared" si="328"/>
        <v/>
      </c>
      <c r="J539" s="6" t="str">
        <f t="shared" si="329"/>
        <v/>
      </c>
      <c r="K539" s="120" t="str">
        <f t="shared" si="330"/>
        <v/>
      </c>
      <c r="L539" s="120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7"/>
      <c r="N539" s="7"/>
      <c r="O539" s="5"/>
    </row>
    <row r="540" spans="1:15" x14ac:dyDescent="0.25">
      <c r="A540" s="111"/>
      <c r="B540" s="4"/>
      <c r="C540" s="4"/>
      <c r="D540" s="6"/>
      <c r="E540" s="6"/>
      <c r="F540" s="109" t="str">
        <f t="shared" si="325"/>
        <v/>
      </c>
      <c r="G540" s="6" t="str">
        <f t="shared" si="326"/>
        <v/>
      </c>
      <c r="H540" s="6" t="str">
        <f t="shared" si="327"/>
        <v/>
      </c>
      <c r="I540" s="109" t="str">
        <f t="shared" si="328"/>
        <v/>
      </c>
      <c r="J540" s="6" t="str">
        <f t="shared" si="329"/>
        <v/>
      </c>
      <c r="K540" s="120" t="str">
        <f t="shared" si="330"/>
        <v/>
      </c>
      <c r="L540" s="120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7"/>
      <c r="N540" s="7"/>
      <c r="O540" s="5"/>
    </row>
    <row r="541" spans="1:15" x14ac:dyDescent="0.25">
      <c r="A541" s="111"/>
      <c r="B541" s="4"/>
      <c r="C541" s="4"/>
      <c r="D541" s="6"/>
      <c r="E541" s="6"/>
      <c r="F541" s="109" t="str">
        <f t="shared" si="325"/>
        <v/>
      </c>
      <c r="G541" s="6" t="str">
        <f t="shared" si="326"/>
        <v/>
      </c>
      <c r="H541" s="6" t="str">
        <f t="shared" si="327"/>
        <v/>
      </c>
      <c r="I541" s="109" t="str">
        <f t="shared" si="328"/>
        <v/>
      </c>
      <c r="J541" s="6" t="str">
        <f t="shared" si="329"/>
        <v/>
      </c>
      <c r="K541" s="120" t="str">
        <f t="shared" si="330"/>
        <v/>
      </c>
      <c r="L541" s="120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7"/>
      <c r="N541" s="7"/>
      <c r="O541" s="5"/>
    </row>
    <row r="542" spans="1:15" x14ac:dyDescent="0.25">
      <c r="A542" s="111"/>
      <c r="B542" s="4"/>
      <c r="C542" s="4"/>
      <c r="D542" s="6"/>
      <c r="E542" s="6"/>
      <c r="F542" s="109" t="str">
        <f t="shared" si="325"/>
        <v/>
      </c>
      <c r="G542" s="6" t="str">
        <f t="shared" si="326"/>
        <v/>
      </c>
      <c r="H542" s="6" t="str">
        <f t="shared" si="327"/>
        <v/>
      </c>
      <c r="I542" s="109" t="str">
        <f t="shared" si="328"/>
        <v/>
      </c>
      <c r="J542" s="6" t="str">
        <f t="shared" si="329"/>
        <v/>
      </c>
      <c r="K542" s="120" t="str">
        <f t="shared" si="330"/>
        <v/>
      </c>
      <c r="L542" s="120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7"/>
      <c r="N542" s="7"/>
      <c r="O542" s="5"/>
    </row>
    <row r="543" spans="1:15" x14ac:dyDescent="0.25">
      <c r="A543" s="111"/>
      <c r="B543" s="4"/>
      <c r="C543" s="4"/>
      <c r="D543" s="6"/>
      <c r="E543" s="6"/>
      <c r="F543" s="109" t="str">
        <f t="shared" si="325"/>
        <v/>
      </c>
      <c r="G543" s="6" t="str">
        <f t="shared" si="326"/>
        <v/>
      </c>
      <c r="H543" s="6" t="str">
        <f t="shared" si="327"/>
        <v/>
      </c>
      <c r="I543" s="109" t="str">
        <f t="shared" si="328"/>
        <v/>
      </c>
      <c r="J543" s="6" t="str">
        <f t="shared" si="329"/>
        <v/>
      </c>
      <c r="K543" s="120" t="str">
        <f t="shared" si="330"/>
        <v/>
      </c>
      <c r="L543" s="120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7"/>
      <c r="N543" s="7"/>
      <c r="O543" s="5"/>
    </row>
    <row r="544" spans="1:15" x14ac:dyDescent="0.25">
      <c r="A544" s="111"/>
      <c r="B544" s="4"/>
      <c r="C544" s="4"/>
      <c r="D544" s="6"/>
      <c r="E544" s="6"/>
      <c r="F544" s="109" t="str">
        <f t="shared" si="325"/>
        <v/>
      </c>
      <c r="G544" s="6" t="str">
        <f t="shared" si="326"/>
        <v/>
      </c>
      <c r="H544" s="6" t="str">
        <f t="shared" si="327"/>
        <v/>
      </c>
      <c r="I544" s="109" t="str">
        <f t="shared" si="328"/>
        <v/>
      </c>
      <c r="J544" s="6" t="str">
        <f t="shared" si="329"/>
        <v/>
      </c>
      <c r="K544" s="120" t="str">
        <f t="shared" si="330"/>
        <v/>
      </c>
      <c r="L544" s="120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7"/>
      <c r="N544" s="7"/>
      <c r="O544" s="5"/>
    </row>
    <row r="545" spans="1:15" x14ac:dyDescent="0.25">
      <c r="A545" s="111"/>
      <c r="B545" s="4"/>
      <c r="C545" s="4"/>
      <c r="D545" s="6"/>
      <c r="E545" s="6"/>
      <c r="F545" s="109" t="str">
        <f t="shared" si="325"/>
        <v/>
      </c>
      <c r="G545" s="6" t="str">
        <f t="shared" si="326"/>
        <v/>
      </c>
      <c r="H545" s="6" t="str">
        <f t="shared" si="327"/>
        <v/>
      </c>
      <c r="I545" s="109" t="str">
        <f t="shared" si="328"/>
        <v/>
      </c>
      <c r="J545" s="6" t="str">
        <f t="shared" si="329"/>
        <v/>
      </c>
      <c r="K545" s="120" t="str">
        <f t="shared" si="330"/>
        <v/>
      </c>
      <c r="L545" s="120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7"/>
      <c r="N545" s="7"/>
      <c r="O545" s="5"/>
    </row>
    <row r="546" spans="1:15" x14ac:dyDescent="0.25">
      <c r="A546" s="111"/>
      <c r="B546" s="4"/>
      <c r="C546" s="4"/>
      <c r="D546" s="6"/>
      <c r="E546" s="6"/>
      <c r="F546" s="109" t="str">
        <f t="shared" si="325"/>
        <v/>
      </c>
      <c r="G546" s="6" t="str">
        <f t="shared" si="326"/>
        <v/>
      </c>
      <c r="H546" s="6" t="str">
        <f t="shared" si="327"/>
        <v/>
      </c>
      <c r="I546" s="109" t="str">
        <f t="shared" si="328"/>
        <v/>
      </c>
      <c r="J546" s="6" t="str">
        <f t="shared" si="329"/>
        <v/>
      </c>
      <c r="K546" s="120" t="str">
        <f t="shared" si="330"/>
        <v/>
      </c>
      <c r="L546" s="120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7"/>
      <c r="N546" s="7"/>
      <c r="O546" s="5"/>
    </row>
    <row r="547" spans="1:15" x14ac:dyDescent="0.25">
      <c r="A547" s="111"/>
      <c r="B547" s="4"/>
      <c r="C547" s="4"/>
      <c r="D547" s="6"/>
      <c r="E547" s="6"/>
      <c r="F547" s="109" t="str">
        <f t="shared" si="325"/>
        <v/>
      </c>
      <c r="G547" s="6" t="str">
        <f t="shared" si="326"/>
        <v/>
      </c>
      <c r="H547" s="6" t="str">
        <f t="shared" si="327"/>
        <v/>
      </c>
      <c r="I547" s="109" t="str">
        <f t="shared" si="328"/>
        <v/>
      </c>
      <c r="J547" s="6" t="str">
        <f t="shared" si="329"/>
        <v/>
      </c>
      <c r="K547" s="120" t="str">
        <f t="shared" si="330"/>
        <v/>
      </c>
      <c r="L547" s="120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7"/>
      <c r="N547" s="7"/>
      <c r="O547" s="5"/>
    </row>
    <row r="548" spans="1:15" x14ac:dyDescent="0.25">
      <c r="A548" s="111"/>
      <c r="B548" s="4"/>
      <c r="C548" s="4"/>
      <c r="D548" s="6"/>
      <c r="E548" s="6"/>
      <c r="F548" s="109" t="str">
        <f t="shared" si="325"/>
        <v/>
      </c>
      <c r="G548" s="6" t="str">
        <f t="shared" si="326"/>
        <v/>
      </c>
      <c r="H548" s="6" t="str">
        <f t="shared" si="327"/>
        <v/>
      </c>
      <c r="I548" s="109" t="str">
        <f t="shared" si="328"/>
        <v/>
      </c>
      <c r="J548" s="6" t="str">
        <f t="shared" si="329"/>
        <v/>
      </c>
      <c r="K548" s="120" t="str">
        <f t="shared" si="330"/>
        <v/>
      </c>
      <c r="L548" s="120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7"/>
      <c r="N548" s="7"/>
      <c r="O548" s="5"/>
    </row>
    <row r="549" spans="1:15" x14ac:dyDescent="0.25">
      <c r="A549" s="111"/>
      <c r="B549" s="4"/>
      <c r="C549" s="4"/>
      <c r="D549" s="6"/>
      <c r="E549" s="6"/>
      <c r="F549" s="109" t="str">
        <f t="shared" si="325"/>
        <v/>
      </c>
      <c r="G549" s="6" t="str">
        <f t="shared" si="326"/>
        <v/>
      </c>
      <c r="H549" s="6" t="str">
        <f t="shared" si="327"/>
        <v/>
      </c>
      <c r="I549" s="109" t="str">
        <f t="shared" si="328"/>
        <v/>
      </c>
      <c r="J549" s="6" t="str">
        <f t="shared" si="329"/>
        <v/>
      </c>
      <c r="K549" s="120" t="str">
        <f t="shared" si="330"/>
        <v/>
      </c>
      <c r="L549" s="120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7"/>
      <c r="N549" s="7"/>
      <c r="O549" s="5"/>
    </row>
    <row r="550" spans="1:15" x14ac:dyDescent="0.25">
      <c r="A550" s="111"/>
      <c r="B550" s="4"/>
      <c r="C550" s="4"/>
      <c r="D550" s="6"/>
      <c r="E550" s="6"/>
      <c r="F550" s="109" t="str">
        <f t="shared" si="325"/>
        <v/>
      </c>
      <c r="G550" s="6" t="str">
        <f t="shared" si="326"/>
        <v/>
      </c>
      <c r="H550" s="6" t="str">
        <f t="shared" si="327"/>
        <v/>
      </c>
      <c r="I550" s="109" t="str">
        <f t="shared" si="328"/>
        <v/>
      </c>
      <c r="J550" s="6" t="str">
        <f t="shared" si="329"/>
        <v/>
      </c>
      <c r="K550" s="120" t="str">
        <f t="shared" si="330"/>
        <v/>
      </c>
      <c r="L550" s="120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7"/>
      <c r="N550" s="7"/>
      <c r="O550" s="5"/>
    </row>
    <row r="551" spans="1:15" x14ac:dyDescent="0.25">
      <c r="A551" s="111"/>
      <c r="B551" s="4"/>
      <c r="C551" s="4"/>
      <c r="D551" s="6"/>
      <c r="E551" s="6"/>
      <c r="F551" s="109" t="str">
        <f t="shared" si="325"/>
        <v/>
      </c>
      <c r="G551" s="6" t="str">
        <f t="shared" si="326"/>
        <v/>
      </c>
      <c r="H551" s="6" t="str">
        <f t="shared" si="327"/>
        <v/>
      </c>
      <c r="I551" s="109" t="str">
        <f t="shared" si="328"/>
        <v/>
      </c>
      <c r="J551" s="6" t="str">
        <f t="shared" si="329"/>
        <v/>
      </c>
      <c r="K551" s="120" t="str">
        <f t="shared" si="330"/>
        <v/>
      </c>
      <c r="L551" s="120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7"/>
      <c r="N551" s="7"/>
      <c r="O551" s="5"/>
    </row>
    <row r="552" spans="1:15" x14ac:dyDescent="0.25">
      <c r="A552" s="111"/>
      <c r="B552" s="4"/>
      <c r="C552" s="4"/>
      <c r="D552" s="6"/>
      <c r="E552" s="6"/>
      <c r="F552" s="109" t="str">
        <f t="shared" si="325"/>
        <v/>
      </c>
      <c r="G552" s="6" t="str">
        <f t="shared" si="326"/>
        <v/>
      </c>
      <c r="H552" s="6" t="str">
        <f t="shared" si="327"/>
        <v/>
      </c>
      <c r="I552" s="109" t="str">
        <f t="shared" si="328"/>
        <v/>
      </c>
      <c r="J552" s="6" t="str">
        <f t="shared" si="329"/>
        <v/>
      </c>
      <c r="K552" s="120" t="str">
        <f t="shared" si="330"/>
        <v/>
      </c>
      <c r="L552" s="120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7"/>
      <c r="N552" s="7"/>
      <c r="O552" s="5"/>
    </row>
    <row r="553" spans="1:15" x14ac:dyDescent="0.25">
      <c r="A553" s="111"/>
      <c r="B553" s="4"/>
      <c r="C553" s="4"/>
      <c r="D553" s="6"/>
      <c r="E553" s="6"/>
      <c r="F553" s="109" t="str">
        <f t="shared" si="325"/>
        <v/>
      </c>
      <c r="G553" s="6" t="str">
        <f t="shared" si="326"/>
        <v/>
      </c>
      <c r="H553" s="6" t="str">
        <f t="shared" si="327"/>
        <v/>
      </c>
      <c r="I553" s="109" t="str">
        <f t="shared" si="328"/>
        <v/>
      </c>
      <c r="J553" s="6" t="str">
        <f t="shared" si="329"/>
        <v/>
      </c>
      <c r="K553" s="120" t="str">
        <f t="shared" si="330"/>
        <v/>
      </c>
      <c r="L553" s="120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7"/>
      <c r="N553" s="7"/>
      <c r="O553" s="5"/>
    </row>
    <row r="554" spans="1:15" x14ac:dyDescent="0.25">
      <c r="A554" s="111"/>
      <c r="B554" s="4"/>
      <c r="C554" s="4"/>
      <c r="D554" s="6"/>
      <c r="E554" s="6"/>
      <c r="F554" s="109" t="str">
        <f t="shared" si="325"/>
        <v/>
      </c>
      <c r="G554" s="6" t="str">
        <f t="shared" si="326"/>
        <v/>
      </c>
      <c r="H554" s="6" t="str">
        <f t="shared" si="327"/>
        <v/>
      </c>
      <c r="I554" s="109" t="str">
        <f t="shared" si="328"/>
        <v/>
      </c>
      <c r="J554" s="6" t="str">
        <f t="shared" si="329"/>
        <v/>
      </c>
      <c r="K554" s="120" t="str">
        <f t="shared" si="330"/>
        <v/>
      </c>
      <c r="L554" s="120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7"/>
      <c r="N554" s="7"/>
      <c r="O554" s="5"/>
    </row>
    <row r="555" spans="1:15" x14ac:dyDescent="0.25">
      <c r="A555" s="111"/>
      <c r="B555" s="4"/>
      <c r="C555" s="4"/>
      <c r="D555" s="6"/>
      <c r="E555" s="6"/>
      <c r="F555" s="109" t="str">
        <f t="shared" si="325"/>
        <v/>
      </c>
      <c r="G555" s="6" t="str">
        <f t="shared" si="326"/>
        <v/>
      </c>
      <c r="H555" s="6" t="str">
        <f t="shared" si="327"/>
        <v/>
      </c>
      <c r="I555" s="109" t="str">
        <f t="shared" si="328"/>
        <v/>
      </c>
      <c r="J555" s="6" t="str">
        <f t="shared" si="329"/>
        <v/>
      </c>
      <c r="K555" s="120" t="str">
        <f t="shared" si="330"/>
        <v/>
      </c>
      <c r="L555" s="120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7"/>
      <c r="N555" s="7"/>
      <c r="O555" s="5"/>
    </row>
    <row r="556" spans="1:15" x14ac:dyDescent="0.25">
      <c r="A556" s="111"/>
      <c r="B556" s="4"/>
      <c r="C556" s="4"/>
      <c r="D556" s="6"/>
      <c r="E556" s="6"/>
      <c r="F556" s="109" t="str">
        <f t="shared" si="325"/>
        <v/>
      </c>
      <c r="G556" s="6" t="str">
        <f t="shared" si="326"/>
        <v/>
      </c>
      <c r="H556" s="6" t="str">
        <f t="shared" si="327"/>
        <v/>
      </c>
      <c r="I556" s="109" t="str">
        <f t="shared" si="328"/>
        <v/>
      </c>
      <c r="J556" s="6" t="str">
        <f t="shared" si="329"/>
        <v/>
      </c>
      <c r="K556" s="120" t="str">
        <f t="shared" si="330"/>
        <v/>
      </c>
      <c r="L556" s="120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7"/>
      <c r="N556" s="7"/>
      <c r="O556" s="5"/>
    </row>
    <row r="557" spans="1:15" x14ac:dyDescent="0.25">
      <c r="A557" s="111"/>
      <c r="B557" s="4"/>
      <c r="C557" s="4"/>
      <c r="D557" s="6"/>
      <c r="E557" s="6"/>
      <c r="F557" s="109" t="str">
        <f t="shared" si="325"/>
        <v/>
      </c>
      <c r="G557" s="6" t="str">
        <f t="shared" si="326"/>
        <v/>
      </c>
      <c r="H557" s="6" t="str">
        <f t="shared" si="327"/>
        <v/>
      </c>
      <c r="I557" s="109" t="str">
        <f t="shared" si="328"/>
        <v/>
      </c>
      <c r="J557" s="6" t="str">
        <f t="shared" si="329"/>
        <v/>
      </c>
      <c r="K557" s="120" t="str">
        <f t="shared" si="330"/>
        <v/>
      </c>
      <c r="L557" s="120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7"/>
      <c r="N557" s="7"/>
      <c r="O557" s="5"/>
    </row>
    <row r="558" spans="1:15" x14ac:dyDescent="0.25">
      <c r="A558" s="111"/>
      <c r="B558" s="4"/>
      <c r="C558" s="4"/>
      <c r="D558" s="6"/>
      <c r="E558" s="6"/>
      <c r="F558" s="109" t="str">
        <f t="shared" si="325"/>
        <v/>
      </c>
      <c r="G558" s="6" t="str">
        <f t="shared" si="326"/>
        <v/>
      </c>
      <c r="H558" s="6" t="str">
        <f t="shared" si="327"/>
        <v/>
      </c>
      <c r="I558" s="109" t="str">
        <f t="shared" si="328"/>
        <v/>
      </c>
      <c r="J558" s="6" t="str">
        <f t="shared" si="329"/>
        <v/>
      </c>
      <c r="K558" s="120" t="str">
        <f t="shared" si="330"/>
        <v/>
      </c>
      <c r="L558" s="120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7"/>
      <c r="N558" s="7"/>
      <c r="O558" s="5"/>
    </row>
    <row r="559" spans="1:15" x14ac:dyDescent="0.25">
      <c r="A559" s="111"/>
      <c r="B559" s="4"/>
      <c r="C559" s="4"/>
      <c r="D559" s="6"/>
      <c r="E559" s="6"/>
      <c r="F559" s="109" t="str">
        <f t="shared" si="325"/>
        <v/>
      </c>
      <c r="G559" s="6" t="str">
        <f t="shared" si="326"/>
        <v/>
      </c>
      <c r="H559" s="6" t="str">
        <f t="shared" si="327"/>
        <v/>
      </c>
      <c r="I559" s="109" t="str">
        <f t="shared" si="328"/>
        <v/>
      </c>
      <c r="J559" s="6" t="str">
        <f t="shared" si="329"/>
        <v/>
      </c>
      <c r="K559" s="120" t="str">
        <f t="shared" si="330"/>
        <v/>
      </c>
      <c r="L559" s="120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7"/>
      <c r="N559" s="7"/>
      <c r="O559" s="5"/>
    </row>
    <row r="560" spans="1:15" x14ac:dyDescent="0.25">
      <c r="A560" s="111"/>
      <c r="B560" s="4"/>
      <c r="C560" s="4"/>
      <c r="D560" s="6"/>
      <c r="E560" s="6"/>
      <c r="F560" s="109" t="str">
        <f t="shared" si="325"/>
        <v/>
      </c>
      <c r="G560" s="6" t="str">
        <f t="shared" si="326"/>
        <v/>
      </c>
      <c r="H560" s="6" t="str">
        <f t="shared" si="327"/>
        <v/>
      </c>
      <c r="I560" s="109" t="str">
        <f t="shared" si="328"/>
        <v/>
      </c>
      <c r="J560" s="6" t="str">
        <f t="shared" si="329"/>
        <v/>
      </c>
      <c r="K560" s="120" t="str">
        <f t="shared" si="330"/>
        <v/>
      </c>
      <c r="L560" s="120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7"/>
      <c r="N560" s="7"/>
      <c r="O560" s="5"/>
    </row>
    <row r="561" spans="1:15" x14ac:dyDescent="0.25">
      <c r="A561" s="111"/>
      <c r="B561" s="4"/>
      <c r="C561" s="4"/>
      <c r="D561" s="6"/>
      <c r="E561" s="6"/>
      <c r="F561" s="109" t="str">
        <f t="shared" si="325"/>
        <v/>
      </c>
      <c r="G561" s="6" t="str">
        <f t="shared" si="326"/>
        <v/>
      </c>
      <c r="H561" s="6" t="str">
        <f t="shared" si="327"/>
        <v/>
      </c>
      <c r="I561" s="109" t="str">
        <f t="shared" si="328"/>
        <v/>
      </c>
      <c r="J561" s="6" t="str">
        <f t="shared" si="329"/>
        <v/>
      </c>
      <c r="K561" s="120" t="str">
        <f t="shared" si="330"/>
        <v/>
      </c>
      <c r="L561" s="120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7"/>
      <c r="N561" s="7"/>
      <c r="O561" s="5"/>
    </row>
    <row r="562" spans="1:15" x14ac:dyDescent="0.25">
      <c r="A562" s="111"/>
      <c r="B562" s="4"/>
      <c r="C562" s="4"/>
      <c r="D562" s="6"/>
      <c r="E562" s="6"/>
      <c r="F562" s="109" t="str">
        <f t="shared" si="325"/>
        <v/>
      </c>
      <c r="G562" s="6" t="str">
        <f t="shared" si="326"/>
        <v/>
      </c>
      <c r="H562" s="6" t="str">
        <f t="shared" si="327"/>
        <v/>
      </c>
      <c r="I562" s="109" t="str">
        <f t="shared" si="328"/>
        <v/>
      </c>
      <c r="J562" s="6" t="str">
        <f t="shared" si="329"/>
        <v/>
      </c>
      <c r="K562" s="120" t="str">
        <f t="shared" si="330"/>
        <v/>
      </c>
      <c r="L562" s="120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7"/>
      <c r="N562" s="7"/>
      <c r="O562" s="5"/>
    </row>
    <row r="563" spans="1:15" x14ac:dyDescent="0.25">
      <c r="A563" s="111"/>
      <c r="B563" s="4"/>
      <c r="C563" s="4"/>
      <c r="D563" s="6"/>
      <c r="E563" s="6"/>
      <c r="F563" s="109" t="str">
        <f t="shared" si="325"/>
        <v/>
      </c>
      <c r="G563" s="6" t="str">
        <f t="shared" si="326"/>
        <v/>
      </c>
      <c r="H563" s="6" t="str">
        <f t="shared" si="327"/>
        <v/>
      </c>
      <c r="I563" s="109" t="str">
        <f t="shared" si="328"/>
        <v/>
      </c>
      <c r="J563" s="6" t="str">
        <f t="shared" si="329"/>
        <v/>
      </c>
      <c r="K563" s="120" t="str">
        <f t="shared" si="330"/>
        <v/>
      </c>
      <c r="L563" s="120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7"/>
      <c r="N563" s="7"/>
      <c r="O563" s="5"/>
    </row>
    <row r="564" spans="1:15" x14ac:dyDescent="0.25">
      <c r="A564" s="111"/>
      <c r="B564" s="4"/>
      <c r="C564" s="4"/>
      <c r="D564" s="6"/>
      <c r="E564" s="6"/>
      <c r="F564" s="109" t="str">
        <f t="shared" si="325"/>
        <v/>
      </c>
      <c r="G564" s="6" t="str">
        <f t="shared" si="326"/>
        <v/>
      </c>
      <c r="H564" s="6" t="str">
        <f t="shared" si="327"/>
        <v/>
      </c>
      <c r="I564" s="109" t="str">
        <f t="shared" si="328"/>
        <v/>
      </c>
      <c r="J564" s="6" t="str">
        <f t="shared" si="329"/>
        <v/>
      </c>
      <c r="K564" s="120" t="str">
        <f t="shared" si="330"/>
        <v/>
      </c>
      <c r="L564" s="120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7"/>
      <c r="N564" s="7"/>
      <c r="O564" s="5"/>
    </row>
    <row r="565" spans="1:15" x14ac:dyDescent="0.25">
      <c r="A565" s="111"/>
      <c r="B565" s="4"/>
      <c r="C565" s="4"/>
      <c r="D565" s="6"/>
      <c r="E565" s="6"/>
      <c r="F565" s="109" t="str">
        <f t="shared" si="325"/>
        <v/>
      </c>
      <c r="G565" s="6" t="str">
        <f t="shared" si="326"/>
        <v/>
      </c>
      <c r="H565" s="6" t="str">
        <f t="shared" si="327"/>
        <v/>
      </c>
      <c r="I565" s="109" t="str">
        <f t="shared" si="328"/>
        <v/>
      </c>
      <c r="J565" s="6" t="str">
        <f t="shared" si="329"/>
        <v/>
      </c>
      <c r="K565" s="120" t="str">
        <f t="shared" si="330"/>
        <v/>
      </c>
      <c r="L565" s="120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7"/>
      <c r="N565" s="7"/>
      <c r="O565" s="5"/>
    </row>
    <row r="566" spans="1:15" x14ac:dyDescent="0.25">
      <c r="A566" s="111"/>
      <c r="B566" s="4"/>
      <c r="C566" s="4"/>
      <c r="D566" s="6"/>
      <c r="E566" s="6"/>
      <c r="F566" s="109" t="str">
        <f t="shared" si="325"/>
        <v/>
      </c>
      <c r="G566" s="6" t="str">
        <f t="shared" si="326"/>
        <v/>
      </c>
      <c r="H566" s="6" t="str">
        <f t="shared" si="327"/>
        <v/>
      </c>
      <c r="I566" s="109" t="str">
        <f t="shared" si="328"/>
        <v/>
      </c>
      <c r="J566" s="6" t="str">
        <f t="shared" si="329"/>
        <v/>
      </c>
      <c r="K566" s="120" t="str">
        <f t="shared" si="330"/>
        <v/>
      </c>
      <c r="L566" s="120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7"/>
      <c r="N566" s="7"/>
      <c r="O566" s="5"/>
    </row>
    <row r="567" spans="1:15" x14ac:dyDescent="0.25">
      <c r="A567" s="111"/>
      <c r="B567" s="4"/>
      <c r="C567" s="4"/>
      <c r="D567" s="6"/>
      <c r="E567" s="6"/>
      <c r="F567" s="109" t="str">
        <f t="shared" si="325"/>
        <v/>
      </c>
      <c r="G567" s="6" t="str">
        <f t="shared" si="326"/>
        <v/>
      </c>
      <c r="H567" s="6" t="str">
        <f t="shared" si="327"/>
        <v/>
      </c>
      <c r="I567" s="109" t="str">
        <f t="shared" si="328"/>
        <v/>
      </c>
      <c r="J567" s="6" t="str">
        <f t="shared" si="329"/>
        <v/>
      </c>
      <c r="K567" s="120" t="str">
        <f t="shared" si="330"/>
        <v/>
      </c>
      <c r="L567" s="120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7"/>
      <c r="N567" s="7"/>
      <c r="O567" s="5"/>
    </row>
    <row r="568" spans="1:15" x14ac:dyDescent="0.25">
      <c r="A568" s="111"/>
      <c r="B568" s="4"/>
      <c r="C568" s="4"/>
      <c r="D568" s="6"/>
      <c r="E568" s="6"/>
      <c r="F568" s="109" t="str">
        <f t="shared" si="325"/>
        <v/>
      </c>
      <c r="G568" s="6" t="str">
        <f t="shared" si="326"/>
        <v/>
      </c>
      <c r="H568" s="6" t="str">
        <f t="shared" si="327"/>
        <v/>
      </c>
      <c r="I568" s="109" t="str">
        <f t="shared" si="328"/>
        <v/>
      </c>
      <c r="J568" s="6" t="str">
        <f t="shared" si="329"/>
        <v/>
      </c>
      <c r="K568" s="120" t="str">
        <f t="shared" si="330"/>
        <v/>
      </c>
      <c r="L568" s="120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7"/>
      <c r="N568" s="7"/>
      <c r="O568" s="5"/>
    </row>
    <row r="569" spans="1:15" x14ac:dyDescent="0.25">
      <c r="A569" s="111"/>
      <c r="B569" s="4"/>
      <c r="C569" s="4"/>
      <c r="D569" s="6"/>
      <c r="E569" s="6"/>
      <c r="F569" s="109" t="str">
        <f t="shared" si="325"/>
        <v/>
      </c>
      <c r="G569" s="6" t="str">
        <f t="shared" si="326"/>
        <v/>
      </c>
      <c r="H569" s="6" t="str">
        <f t="shared" si="327"/>
        <v/>
      </c>
      <c r="I569" s="109" t="str">
        <f t="shared" si="328"/>
        <v/>
      </c>
      <c r="J569" s="6" t="str">
        <f t="shared" si="329"/>
        <v/>
      </c>
      <c r="K569" s="120" t="str">
        <f t="shared" si="330"/>
        <v/>
      </c>
      <c r="L569" s="120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7"/>
      <c r="N569" s="7"/>
      <c r="O569" s="5"/>
    </row>
    <row r="570" spans="1:15" x14ac:dyDescent="0.25">
      <c r="A570" s="111"/>
      <c r="B570" s="4"/>
      <c r="C570" s="4"/>
      <c r="D570" s="6"/>
      <c r="E570" s="6"/>
      <c r="F570" s="109" t="str">
        <f t="shared" si="325"/>
        <v/>
      </c>
      <c r="G570" s="6" t="str">
        <f t="shared" si="326"/>
        <v/>
      </c>
      <c r="H570" s="6" t="str">
        <f t="shared" si="327"/>
        <v/>
      </c>
      <c r="I570" s="109" t="str">
        <f t="shared" si="328"/>
        <v/>
      </c>
      <c r="J570" s="6" t="str">
        <f t="shared" si="329"/>
        <v/>
      </c>
      <c r="K570" s="120" t="str">
        <f t="shared" si="330"/>
        <v/>
      </c>
      <c r="L570" s="120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7"/>
      <c r="N570" s="7"/>
      <c r="O570" s="5"/>
    </row>
    <row r="571" spans="1:15" x14ac:dyDescent="0.25">
      <c r="A571" s="111"/>
      <c r="B571" s="4"/>
      <c r="C571" s="4"/>
      <c r="D571" s="6"/>
      <c r="E571" s="6"/>
      <c r="F571" s="109" t="str">
        <f t="shared" si="325"/>
        <v/>
      </c>
      <c r="G571" s="6" t="str">
        <f t="shared" si="326"/>
        <v/>
      </c>
      <c r="H571" s="6" t="str">
        <f t="shared" si="327"/>
        <v/>
      </c>
      <c r="I571" s="109" t="str">
        <f t="shared" si="328"/>
        <v/>
      </c>
      <c r="J571" s="6" t="str">
        <f t="shared" si="329"/>
        <v/>
      </c>
      <c r="K571" s="120" t="str">
        <f t="shared" si="330"/>
        <v/>
      </c>
      <c r="L571" s="120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7"/>
      <c r="N571" s="7"/>
      <c r="O571" s="5"/>
    </row>
    <row r="572" spans="1:15" x14ac:dyDescent="0.25">
      <c r="A572" s="111"/>
      <c r="B572" s="4"/>
      <c r="C572" s="4"/>
      <c r="D572" s="6"/>
      <c r="E572" s="6"/>
      <c r="F572" s="109" t="str">
        <f t="shared" si="325"/>
        <v/>
      </c>
      <c r="G572" s="6" t="str">
        <f t="shared" si="326"/>
        <v/>
      </c>
      <c r="H572" s="6" t="str">
        <f t="shared" si="327"/>
        <v/>
      </c>
      <c r="I572" s="109" t="str">
        <f t="shared" si="328"/>
        <v/>
      </c>
      <c r="J572" s="6" t="str">
        <f t="shared" si="329"/>
        <v/>
      </c>
      <c r="K572" s="120" t="str">
        <f t="shared" si="330"/>
        <v/>
      </c>
      <c r="L572" s="120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7"/>
      <c r="N572" s="7"/>
      <c r="O572" s="5"/>
    </row>
    <row r="573" spans="1:15" x14ac:dyDescent="0.25">
      <c r="A573" s="111"/>
      <c r="B573" s="4"/>
      <c r="C573" s="4"/>
      <c r="D573" s="6"/>
      <c r="E573" s="6"/>
      <c r="F573" s="109" t="str">
        <f t="shared" si="325"/>
        <v/>
      </c>
      <c r="G573" s="6" t="str">
        <f t="shared" si="326"/>
        <v/>
      </c>
      <c r="H573" s="6" t="str">
        <f t="shared" si="327"/>
        <v/>
      </c>
      <c r="I573" s="109" t="str">
        <f t="shared" si="328"/>
        <v/>
      </c>
      <c r="J573" s="6" t="str">
        <f t="shared" si="329"/>
        <v/>
      </c>
      <c r="K573" s="120" t="str">
        <f t="shared" si="330"/>
        <v/>
      </c>
      <c r="L573" s="120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7"/>
      <c r="N573" s="7"/>
      <c r="O573" s="5"/>
    </row>
    <row r="574" spans="1:15" x14ac:dyDescent="0.25">
      <c r="A574" s="111"/>
      <c r="B574" s="4"/>
      <c r="C574" s="4"/>
      <c r="D574" s="6"/>
      <c r="E574" s="6"/>
      <c r="F574" s="109" t="str">
        <f t="shared" si="325"/>
        <v/>
      </c>
      <c r="G574" s="6" t="str">
        <f t="shared" si="326"/>
        <v/>
      </c>
      <c r="H574" s="6" t="str">
        <f t="shared" si="327"/>
        <v/>
      </c>
      <c r="I574" s="109" t="str">
        <f t="shared" si="328"/>
        <v/>
      </c>
      <c r="J574" s="6" t="str">
        <f t="shared" si="329"/>
        <v/>
      </c>
      <c r="K574" s="120" t="str">
        <f t="shared" si="330"/>
        <v/>
      </c>
      <c r="L574" s="120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7"/>
      <c r="N574" s="7"/>
      <c r="O574" s="5"/>
    </row>
    <row r="575" spans="1:15" x14ac:dyDescent="0.25">
      <c r="A575" s="111"/>
      <c r="B575" s="4"/>
      <c r="C575" s="4"/>
      <c r="D575" s="6"/>
      <c r="E575" s="6"/>
      <c r="F575" s="109" t="str">
        <f t="shared" si="325"/>
        <v/>
      </c>
      <c r="G575" s="6" t="str">
        <f t="shared" si="326"/>
        <v/>
      </c>
      <c r="H575" s="6" t="str">
        <f t="shared" si="327"/>
        <v/>
      </c>
      <c r="I575" s="109" t="str">
        <f t="shared" si="328"/>
        <v/>
      </c>
      <c r="J575" s="6" t="str">
        <f t="shared" si="329"/>
        <v/>
      </c>
      <c r="K575" s="120" t="str">
        <f t="shared" si="330"/>
        <v/>
      </c>
      <c r="L575" s="120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7"/>
      <c r="N575" s="7"/>
      <c r="O575" s="5"/>
    </row>
    <row r="576" spans="1:15" x14ac:dyDescent="0.25">
      <c r="A576" s="111"/>
      <c r="B576" s="4"/>
      <c r="C576" s="4"/>
      <c r="D576" s="6"/>
      <c r="E576" s="6"/>
      <c r="F576" s="109" t="str">
        <f t="shared" si="325"/>
        <v/>
      </c>
      <c r="G576" s="6" t="str">
        <f t="shared" si="326"/>
        <v/>
      </c>
      <c r="H576" s="6" t="str">
        <f t="shared" si="327"/>
        <v/>
      </c>
      <c r="I576" s="109" t="str">
        <f t="shared" si="328"/>
        <v/>
      </c>
      <c r="J576" s="6" t="str">
        <f t="shared" si="329"/>
        <v/>
      </c>
      <c r="K576" s="120" t="str">
        <f t="shared" si="330"/>
        <v/>
      </c>
      <c r="L576" s="120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7"/>
      <c r="N576" s="7"/>
      <c r="O576" s="5"/>
    </row>
    <row r="577" spans="1:15" x14ac:dyDescent="0.25">
      <c r="A577" s="111"/>
      <c r="B577" s="4"/>
      <c r="C577" s="4"/>
      <c r="D577" s="6"/>
      <c r="E577" s="6"/>
      <c r="F577" s="109" t="str">
        <f t="shared" si="325"/>
        <v/>
      </c>
      <c r="G577" s="6" t="str">
        <f t="shared" si="326"/>
        <v/>
      </c>
      <c r="H577" s="6" t="str">
        <f t="shared" si="327"/>
        <v/>
      </c>
      <c r="I577" s="109" t="str">
        <f t="shared" si="328"/>
        <v/>
      </c>
      <c r="J577" s="6" t="str">
        <f t="shared" si="329"/>
        <v/>
      </c>
      <c r="K577" s="120" t="str">
        <f t="shared" si="330"/>
        <v/>
      </c>
      <c r="L577" s="120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7"/>
      <c r="N577" s="7"/>
      <c r="O577" s="5"/>
    </row>
    <row r="578" spans="1:15" x14ac:dyDescent="0.25">
      <c r="A578" s="111"/>
      <c r="B578" s="4"/>
      <c r="C578" s="4"/>
      <c r="D578" s="6"/>
      <c r="E578" s="6"/>
      <c r="F578" s="109" t="str">
        <f t="shared" si="325"/>
        <v/>
      </c>
      <c r="G578" s="6" t="str">
        <f t="shared" si="326"/>
        <v/>
      </c>
      <c r="H578" s="6" t="str">
        <f t="shared" si="327"/>
        <v/>
      </c>
      <c r="I578" s="109" t="str">
        <f t="shared" si="328"/>
        <v/>
      </c>
      <c r="J578" s="6" t="str">
        <f t="shared" si="329"/>
        <v/>
      </c>
      <c r="K578" s="120" t="str">
        <f t="shared" si="330"/>
        <v/>
      </c>
      <c r="L578" s="120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7"/>
      <c r="N578" s="7"/>
      <c r="O578" s="5"/>
    </row>
    <row r="579" spans="1:15" x14ac:dyDescent="0.25">
      <c r="A579" s="111"/>
      <c r="B579" s="4"/>
      <c r="C579" s="4"/>
      <c r="D579" s="6"/>
      <c r="E579" s="6"/>
      <c r="F579" s="109" t="str">
        <f t="shared" si="325"/>
        <v/>
      </c>
      <c r="G579" s="6" t="str">
        <f t="shared" si="326"/>
        <v/>
      </c>
      <c r="H579" s="6" t="str">
        <f t="shared" si="327"/>
        <v/>
      </c>
      <c r="I579" s="109" t="str">
        <f t="shared" si="328"/>
        <v/>
      </c>
      <c r="J579" s="6" t="str">
        <f t="shared" si="329"/>
        <v/>
      </c>
      <c r="K579" s="120" t="str">
        <f t="shared" si="330"/>
        <v/>
      </c>
      <c r="L579" s="120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7"/>
      <c r="N579" s="7"/>
      <c r="O579" s="5"/>
    </row>
    <row r="580" spans="1:15" x14ac:dyDescent="0.25">
      <c r="A580" s="111"/>
      <c r="B580" s="4"/>
      <c r="C580" s="4"/>
      <c r="D580" s="6"/>
      <c r="E580" s="6"/>
      <c r="F580" s="109" t="str">
        <f t="shared" si="325"/>
        <v/>
      </c>
      <c r="G580" s="6" t="str">
        <f t="shared" si="326"/>
        <v/>
      </c>
      <c r="H580" s="6" t="str">
        <f t="shared" si="327"/>
        <v/>
      </c>
      <c r="I580" s="109" t="str">
        <f t="shared" si="328"/>
        <v/>
      </c>
      <c r="J580" s="6" t="str">
        <f t="shared" si="329"/>
        <v/>
      </c>
      <c r="K580" s="120" t="str">
        <f t="shared" si="330"/>
        <v/>
      </c>
      <c r="L580" s="120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7"/>
      <c r="N580" s="7"/>
      <c r="O580" s="5"/>
    </row>
    <row r="581" spans="1:15" x14ac:dyDescent="0.25">
      <c r="A581" s="111"/>
      <c r="B581" s="4"/>
      <c r="C581" s="4"/>
      <c r="D581" s="6"/>
      <c r="E581" s="6"/>
      <c r="F581" s="109" t="str">
        <f t="shared" si="325"/>
        <v/>
      </c>
      <c r="G581" s="6" t="str">
        <f t="shared" si="326"/>
        <v/>
      </c>
      <c r="H581" s="6" t="str">
        <f t="shared" si="327"/>
        <v/>
      </c>
      <c r="I581" s="109" t="str">
        <f t="shared" si="328"/>
        <v/>
      </c>
      <c r="J581" s="6" t="str">
        <f t="shared" si="329"/>
        <v/>
      </c>
      <c r="K581" s="120" t="str">
        <f t="shared" si="330"/>
        <v/>
      </c>
      <c r="L581" s="120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7"/>
      <c r="N581" s="7"/>
      <c r="O581" s="5"/>
    </row>
    <row r="582" spans="1:15" x14ac:dyDescent="0.25">
      <c r="A582" s="111"/>
      <c r="B582" s="4"/>
      <c r="C582" s="4"/>
      <c r="D582" s="6"/>
      <c r="E582" s="6"/>
      <c r="F582" s="109" t="str">
        <f t="shared" si="325"/>
        <v/>
      </c>
      <c r="G582" s="6" t="str">
        <f t="shared" si="326"/>
        <v/>
      </c>
      <c r="H582" s="6" t="str">
        <f t="shared" si="327"/>
        <v/>
      </c>
      <c r="I582" s="109" t="str">
        <f t="shared" si="328"/>
        <v/>
      </c>
      <c r="J582" s="6" t="str">
        <f t="shared" si="329"/>
        <v/>
      </c>
      <c r="K582" s="120" t="str">
        <f t="shared" si="330"/>
        <v/>
      </c>
      <c r="L582" s="120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7"/>
      <c r="N582" s="7"/>
      <c r="O582" s="5"/>
    </row>
    <row r="583" spans="1:15" x14ac:dyDescent="0.25">
      <c r="A583" s="111"/>
      <c r="B583" s="4"/>
      <c r="C583" s="4"/>
      <c r="D583" s="6"/>
      <c r="E583" s="6"/>
      <c r="F583" s="109" t="str">
        <f t="shared" si="325"/>
        <v/>
      </c>
      <c r="G583" s="6" t="str">
        <f t="shared" si="326"/>
        <v/>
      </c>
      <c r="H583" s="6" t="str">
        <f t="shared" si="327"/>
        <v/>
      </c>
      <c r="I583" s="109" t="str">
        <f t="shared" si="328"/>
        <v/>
      </c>
      <c r="J583" s="6" t="str">
        <f t="shared" si="329"/>
        <v/>
      </c>
      <c r="K583" s="120" t="str">
        <f t="shared" si="330"/>
        <v/>
      </c>
      <c r="L583" s="120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7"/>
      <c r="N583" s="7"/>
      <c r="O583" s="5"/>
    </row>
    <row r="584" spans="1:15" x14ac:dyDescent="0.25">
      <c r="A584" s="111"/>
      <c r="B584" s="4"/>
      <c r="C584" s="4"/>
      <c r="D584" s="6"/>
      <c r="E584" s="6"/>
      <c r="F584" s="109" t="str">
        <f t="shared" si="325"/>
        <v/>
      </c>
      <c r="G584" s="6" t="str">
        <f t="shared" si="326"/>
        <v/>
      </c>
      <c r="H584" s="6" t="str">
        <f t="shared" si="327"/>
        <v/>
      </c>
      <c r="I584" s="109" t="str">
        <f t="shared" si="328"/>
        <v/>
      </c>
      <c r="J584" s="6" t="str">
        <f t="shared" si="329"/>
        <v/>
      </c>
      <c r="K584" s="120" t="str">
        <f t="shared" si="330"/>
        <v/>
      </c>
      <c r="L584" s="120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7"/>
      <c r="N584" s="7"/>
      <c r="O584" s="5"/>
    </row>
    <row r="585" spans="1:15" x14ac:dyDescent="0.25">
      <c r="A585" s="111"/>
      <c r="B585" s="4"/>
      <c r="C585" s="4"/>
      <c r="D585" s="6"/>
      <c r="E585" s="6"/>
      <c r="F585" s="109" t="str">
        <f t="shared" si="325"/>
        <v/>
      </c>
      <c r="G585" s="6" t="str">
        <f t="shared" si="326"/>
        <v/>
      </c>
      <c r="H585" s="6" t="str">
        <f t="shared" si="327"/>
        <v/>
      </c>
      <c r="I585" s="109" t="str">
        <f t="shared" si="328"/>
        <v/>
      </c>
      <c r="J585" s="6" t="str">
        <f t="shared" si="329"/>
        <v/>
      </c>
      <c r="K585" s="120" t="str">
        <f t="shared" si="330"/>
        <v/>
      </c>
      <c r="L585" s="120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7"/>
      <c r="N585" s="7"/>
      <c r="O585" s="5"/>
    </row>
    <row r="586" spans="1:15" x14ac:dyDescent="0.25">
      <c r="A586" s="111"/>
      <c r="B586" s="4"/>
      <c r="C586" s="4"/>
      <c r="D586" s="6"/>
      <c r="E586" s="6"/>
      <c r="F586" s="109" t="str">
        <f t="shared" si="325"/>
        <v/>
      </c>
      <c r="G586" s="6" t="str">
        <f t="shared" si="326"/>
        <v/>
      </c>
      <c r="H586" s="6" t="str">
        <f t="shared" si="327"/>
        <v/>
      </c>
      <c r="I586" s="109" t="str">
        <f t="shared" si="328"/>
        <v/>
      </c>
      <c r="J586" s="6" t="str">
        <f t="shared" si="329"/>
        <v/>
      </c>
      <c r="K586" s="120" t="str">
        <f t="shared" si="330"/>
        <v/>
      </c>
      <c r="L586" s="120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7"/>
      <c r="N586" s="7"/>
      <c r="O586" s="5"/>
    </row>
    <row r="587" spans="1:15" x14ac:dyDescent="0.25">
      <c r="A587" s="111"/>
      <c r="B587" s="4"/>
      <c r="C587" s="4"/>
      <c r="D587" s="6"/>
      <c r="E587" s="6"/>
      <c r="F587" s="109" t="str">
        <f t="shared" si="325"/>
        <v/>
      </c>
      <c r="G587" s="6" t="str">
        <f t="shared" si="326"/>
        <v/>
      </c>
      <c r="H587" s="6" t="str">
        <f t="shared" si="327"/>
        <v/>
      </c>
      <c r="I587" s="109" t="str">
        <f t="shared" si="328"/>
        <v/>
      </c>
      <c r="J587" s="6" t="str">
        <f t="shared" si="329"/>
        <v/>
      </c>
      <c r="K587" s="120" t="str">
        <f t="shared" si="330"/>
        <v/>
      </c>
      <c r="L587" s="120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7"/>
      <c r="N587" s="7"/>
      <c r="O587" s="5"/>
    </row>
    <row r="588" spans="1:15" x14ac:dyDescent="0.25">
      <c r="A588" s="111"/>
      <c r="B588" s="4"/>
      <c r="C588" s="4"/>
      <c r="D588" s="6"/>
      <c r="E588" s="6"/>
      <c r="F588" s="109" t="str">
        <f t="shared" si="325"/>
        <v/>
      </c>
      <c r="G588" s="6" t="str">
        <f t="shared" si="326"/>
        <v/>
      </c>
      <c r="H588" s="6" t="str">
        <f t="shared" si="327"/>
        <v/>
      </c>
      <c r="I588" s="109" t="str">
        <f t="shared" si="328"/>
        <v/>
      </c>
      <c r="J588" s="6" t="str">
        <f t="shared" si="329"/>
        <v/>
      </c>
      <c r="K588" s="120" t="str">
        <f t="shared" si="330"/>
        <v/>
      </c>
      <c r="L588" s="120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7"/>
      <c r="N588" s="7"/>
      <c r="O588" s="5"/>
    </row>
    <row r="589" spans="1:15" x14ac:dyDescent="0.25">
      <c r="A589" s="111"/>
      <c r="B589" s="4"/>
      <c r="C589" s="4"/>
      <c r="D589" s="6"/>
      <c r="E589" s="6"/>
      <c r="F589" s="109" t="str">
        <f t="shared" si="325"/>
        <v/>
      </c>
      <c r="G589" s="6" t="str">
        <f t="shared" si="326"/>
        <v/>
      </c>
      <c r="H589" s="6" t="str">
        <f t="shared" si="327"/>
        <v/>
      </c>
      <c r="I589" s="109" t="str">
        <f t="shared" si="328"/>
        <v/>
      </c>
      <c r="J589" s="6" t="str">
        <f t="shared" si="329"/>
        <v/>
      </c>
      <c r="K589" s="120" t="str">
        <f t="shared" si="330"/>
        <v/>
      </c>
      <c r="L589" s="120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7"/>
      <c r="N589" s="7"/>
      <c r="O589" s="5"/>
    </row>
    <row r="590" spans="1:15" x14ac:dyDescent="0.25">
      <c r="A590" s="111"/>
      <c r="B590" s="4"/>
      <c r="C590" s="4"/>
      <c r="D590" s="6"/>
      <c r="E590" s="6"/>
      <c r="F590" s="109" t="str">
        <f t="shared" si="325"/>
        <v/>
      </c>
      <c r="G590" s="6" t="str">
        <f t="shared" si="326"/>
        <v/>
      </c>
      <c r="H590" s="6" t="str">
        <f t="shared" si="327"/>
        <v/>
      </c>
      <c r="I590" s="109" t="str">
        <f t="shared" si="328"/>
        <v/>
      </c>
      <c r="J590" s="6" t="str">
        <f t="shared" si="329"/>
        <v/>
      </c>
      <c r="K590" s="120" t="str">
        <f t="shared" si="330"/>
        <v/>
      </c>
      <c r="L590" s="120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7"/>
      <c r="N590" s="7"/>
      <c r="O590" s="5"/>
    </row>
    <row r="591" spans="1:15" x14ac:dyDescent="0.25">
      <c r="A591" s="111"/>
      <c r="B591" s="4"/>
      <c r="C591" s="4"/>
      <c r="D591" s="6"/>
      <c r="E591" s="6"/>
      <c r="F591" s="109" t="str">
        <f t="shared" si="325"/>
        <v/>
      </c>
      <c r="G591" s="6" t="str">
        <f t="shared" si="326"/>
        <v/>
      </c>
      <c r="H591" s="6" t="str">
        <f t="shared" si="327"/>
        <v/>
      </c>
      <c r="I591" s="109" t="str">
        <f t="shared" si="328"/>
        <v/>
      </c>
      <c r="J591" s="6" t="str">
        <f t="shared" si="329"/>
        <v/>
      </c>
      <c r="K591" s="120" t="str">
        <f t="shared" si="330"/>
        <v/>
      </c>
      <c r="L591" s="120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7"/>
      <c r="N591" s="7"/>
      <c r="O591" s="5"/>
    </row>
    <row r="592" spans="1:15" x14ac:dyDescent="0.25">
      <c r="A592" s="111"/>
      <c r="B592" s="4"/>
      <c r="C592" s="4"/>
      <c r="D592" s="6"/>
      <c r="E592" s="6"/>
      <c r="F592" s="109" t="str">
        <f t="shared" si="325"/>
        <v/>
      </c>
      <c r="G592" s="6" t="str">
        <f t="shared" si="326"/>
        <v/>
      </c>
      <c r="H592" s="6" t="str">
        <f t="shared" si="327"/>
        <v/>
      </c>
      <c r="I592" s="109" t="str">
        <f t="shared" si="328"/>
        <v/>
      </c>
      <c r="J592" s="6" t="str">
        <f t="shared" si="329"/>
        <v/>
      </c>
      <c r="K592" s="120" t="str">
        <f t="shared" si="330"/>
        <v/>
      </c>
      <c r="L592" s="120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7"/>
      <c r="N592" s="7"/>
      <c r="O592" s="5"/>
    </row>
    <row r="593" spans="1:15" x14ac:dyDescent="0.25">
      <c r="A593" s="111"/>
      <c r="B593" s="4"/>
      <c r="C593" s="4"/>
      <c r="D593" s="6"/>
      <c r="E593" s="6"/>
      <c r="F593" s="109" t="str">
        <f t="shared" si="325"/>
        <v/>
      </c>
      <c r="G593" s="6" t="str">
        <f t="shared" si="326"/>
        <v/>
      </c>
      <c r="H593" s="6" t="str">
        <f t="shared" si="327"/>
        <v/>
      </c>
      <c r="I593" s="109" t="str">
        <f t="shared" si="328"/>
        <v/>
      </c>
      <c r="J593" s="6" t="str">
        <f t="shared" si="329"/>
        <v/>
      </c>
      <c r="K593" s="120" t="str">
        <f t="shared" si="330"/>
        <v/>
      </c>
      <c r="L593" s="120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7"/>
      <c r="N593" s="7"/>
      <c r="O593" s="5"/>
    </row>
    <row r="594" spans="1:15" x14ac:dyDescent="0.25">
      <c r="A594" s="111"/>
      <c r="B594" s="4"/>
      <c r="C594" s="4"/>
      <c r="D594" s="6"/>
      <c r="E594" s="6"/>
      <c r="F594" s="109" t="str">
        <f t="shared" si="325"/>
        <v/>
      </c>
      <c r="G594" s="6" t="str">
        <f t="shared" si="326"/>
        <v/>
      </c>
      <c r="H594" s="6" t="str">
        <f t="shared" si="327"/>
        <v/>
      </c>
      <c r="I594" s="109" t="str">
        <f t="shared" si="328"/>
        <v/>
      </c>
      <c r="J594" s="6" t="str">
        <f t="shared" si="329"/>
        <v/>
      </c>
      <c r="K594" s="120" t="str">
        <f t="shared" si="330"/>
        <v/>
      </c>
      <c r="L594" s="120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7"/>
      <c r="N594" s="7"/>
      <c r="O594" s="5"/>
    </row>
    <row r="595" spans="1:15" x14ac:dyDescent="0.25">
      <c r="A595" s="111"/>
      <c r="B595" s="4"/>
      <c r="C595" s="4"/>
      <c r="D595" s="6"/>
      <c r="E595" s="6"/>
      <c r="F595" s="109" t="str">
        <f t="shared" ref="F595:F658" si="331">IF(ISBLANK(B595),"",IF(I595="L","Baixa",IF(I595="A","Média",IF(I595="","","Alta"))))</f>
        <v/>
      </c>
      <c r="G595" s="6" t="str">
        <f t="shared" ref="G595:G658" si="332">CONCATENATE(B595,I595)</f>
        <v/>
      </c>
      <c r="H595" s="6" t="str">
        <f t="shared" ref="H595:H658" si="333">IF(ISBLANK(B595),"",IF(B595="ALI",IF(I595="L",7,IF(I595="A",10,15)),IF(B595="AIE",IF(I595="L",5,IF(I595="A",7,10)),IF(B595="SE",IF(I595="L",4,IF(I595="A",5,7)),IF(OR(B595="EE",B595="CE"),IF(I595="L",3,IF(I595="A",4,6)),0)))))</f>
        <v/>
      </c>
      <c r="I595" s="109" t="str">
        <f t="shared" ref="I595:I658" si="334">IF(OR(ISBLANK(D595),ISBLANK(E595)),IF(OR(B595="ALI",B595="AIE"),"L",IF(OR(B595="EE",B595="SE",B595="CE"),"A","")),IF(B595="EE",IF(E595&gt;=3,IF(D595&gt;=5,"H","A"),IF(E595&gt;=2,IF(D595&gt;=16,"H",IF(D595&lt;=4,"L","A")),IF(D595&lt;=15,"L","A"))),IF(OR(B595="SE",B595="CE"),IF(E595&gt;=4,IF(D595&gt;=6,"H","A"),IF(E595&gt;=2,IF(D595&gt;=20,"H",IF(D595&lt;=5,"L","A")),IF(D595&lt;=19,"L","A"))),IF(OR(B595="ALI",B595="AIE"),IF(E595&gt;=6,IF(D595&gt;=20,"H","A"),IF(E595&gt;=2,IF(D595&gt;=51,"H",IF(D595&lt;=19,"L","A")),IF(D595&lt;=50,"L","A"))),""))))</f>
        <v/>
      </c>
      <c r="J595" s="6" t="str">
        <f t="shared" ref="J595:J658" si="335">CONCATENATE(B595,C595)</f>
        <v/>
      </c>
      <c r="K595" s="120" t="str">
        <f t="shared" si="330"/>
        <v/>
      </c>
      <c r="L595" s="120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7"/>
      <c r="N595" s="7"/>
      <c r="O595" s="5"/>
    </row>
    <row r="596" spans="1:15" x14ac:dyDescent="0.25">
      <c r="A596" s="111"/>
      <c r="B596" s="4"/>
      <c r="C596" s="4"/>
      <c r="D596" s="6"/>
      <c r="E596" s="6"/>
      <c r="F596" s="109" t="str">
        <f t="shared" si="331"/>
        <v/>
      </c>
      <c r="G596" s="6" t="str">
        <f t="shared" si="332"/>
        <v/>
      </c>
      <c r="H596" s="6" t="str">
        <f t="shared" si="333"/>
        <v/>
      </c>
      <c r="I596" s="109" t="str">
        <f t="shared" si="334"/>
        <v/>
      </c>
      <c r="J596" s="6" t="str">
        <f t="shared" si="335"/>
        <v/>
      </c>
      <c r="K596" s="120" t="str">
        <f t="shared" si="330"/>
        <v/>
      </c>
      <c r="L596" s="120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7"/>
      <c r="N596" s="7"/>
      <c r="O596" s="5"/>
    </row>
    <row r="597" spans="1:15" x14ac:dyDescent="0.25">
      <c r="A597" s="111"/>
      <c r="B597" s="4"/>
      <c r="C597" s="4"/>
      <c r="D597" s="6"/>
      <c r="E597" s="6"/>
      <c r="F597" s="109" t="str">
        <f t="shared" si="331"/>
        <v/>
      </c>
      <c r="G597" s="6" t="str">
        <f t="shared" si="332"/>
        <v/>
      </c>
      <c r="H597" s="6" t="str">
        <f t="shared" si="333"/>
        <v/>
      </c>
      <c r="I597" s="109" t="str">
        <f t="shared" si="334"/>
        <v/>
      </c>
      <c r="J597" s="6" t="str">
        <f t="shared" si="335"/>
        <v/>
      </c>
      <c r="K597" s="120" t="str">
        <f t="shared" ref="K597:K660" si="336">IF(OR(H597="",H597=0),L597,H597)</f>
        <v/>
      </c>
      <c r="L597" s="120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7"/>
      <c r="N597" s="7"/>
      <c r="O597" s="5"/>
    </row>
    <row r="598" spans="1:15" x14ac:dyDescent="0.25">
      <c r="A598" s="111"/>
      <c r="B598" s="4"/>
      <c r="C598" s="4"/>
      <c r="D598" s="6"/>
      <c r="E598" s="6"/>
      <c r="F598" s="109" t="str">
        <f t="shared" si="331"/>
        <v/>
      </c>
      <c r="G598" s="6" t="str">
        <f t="shared" si="332"/>
        <v/>
      </c>
      <c r="H598" s="6" t="str">
        <f t="shared" si="333"/>
        <v/>
      </c>
      <c r="I598" s="109" t="str">
        <f t="shared" si="334"/>
        <v/>
      </c>
      <c r="J598" s="6" t="str">
        <f t="shared" si="335"/>
        <v/>
      </c>
      <c r="K598" s="120" t="str">
        <f t="shared" si="336"/>
        <v/>
      </c>
      <c r="L598" s="120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7"/>
      <c r="N598" s="7"/>
      <c r="O598" s="5"/>
    </row>
    <row r="599" spans="1:15" x14ac:dyDescent="0.25">
      <c r="A599" s="111"/>
      <c r="B599" s="4"/>
      <c r="C599" s="4"/>
      <c r="D599" s="6"/>
      <c r="E599" s="6"/>
      <c r="F599" s="109" t="str">
        <f t="shared" si="331"/>
        <v/>
      </c>
      <c r="G599" s="6" t="str">
        <f t="shared" si="332"/>
        <v/>
      </c>
      <c r="H599" s="6" t="str">
        <f t="shared" si="333"/>
        <v/>
      </c>
      <c r="I599" s="109" t="str">
        <f t="shared" si="334"/>
        <v/>
      </c>
      <c r="J599" s="6" t="str">
        <f t="shared" si="335"/>
        <v/>
      </c>
      <c r="K599" s="120" t="str">
        <f t="shared" si="336"/>
        <v/>
      </c>
      <c r="L599" s="120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7"/>
      <c r="N599" s="7"/>
      <c r="O599" s="5"/>
    </row>
    <row r="600" spans="1:15" x14ac:dyDescent="0.25">
      <c r="A600" s="111"/>
      <c r="B600" s="4"/>
      <c r="C600" s="4"/>
      <c r="D600" s="6"/>
      <c r="E600" s="6"/>
      <c r="F600" s="109" t="str">
        <f t="shared" si="331"/>
        <v/>
      </c>
      <c r="G600" s="6" t="str">
        <f t="shared" si="332"/>
        <v/>
      </c>
      <c r="H600" s="6" t="str">
        <f t="shared" si="333"/>
        <v/>
      </c>
      <c r="I600" s="109" t="str">
        <f t="shared" si="334"/>
        <v/>
      </c>
      <c r="J600" s="6" t="str">
        <f t="shared" si="335"/>
        <v/>
      </c>
      <c r="K600" s="120" t="str">
        <f t="shared" si="336"/>
        <v/>
      </c>
      <c r="L600" s="120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7"/>
      <c r="N600" s="7"/>
      <c r="O600" s="5"/>
    </row>
    <row r="601" spans="1:15" x14ac:dyDescent="0.25">
      <c r="A601" s="111"/>
      <c r="B601" s="4"/>
      <c r="C601" s="4"/>
      <c r="D601" s="6"/>
      <c r="E601" s="6"/>
      <c r="F601" s="109" t="str">
        <f t="shared" si="331"/>
        <v/>
      </c>
      <c r="G601" s="6" t="str">
        <f t="shared" si="332"/>
        <v/>
      </c>
      <c r="H601" s="6" t="str">
        <f t="shared" si="333"/>
        <v/>
      </c>
      <c r="I601" s="109" t="str">
        <f t="shared" si="334"/>
        <v/>
      </c>
      <c r="J601" s="6" t="str">
        <f t="shared" si="335"/>
        <v/>
      </c>
      <c r="K601" s="120" t="str">
        <f t="shared" si="336"/>
        <v/>
      </c>
      <c r="L601" s="120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7"/>
      <c r="N601" s="7"/>
      <c r="O601" s="5"/>
    </row>
    <row r="602" spans="1:15" x14ac:dyDescent="0.25">
      <c r="A602" s="111"/>
      <c r="B602" s="4"/>
      <c r="C602" s="4"/>
      <c r="D602" s="6"/>
      <c r="E602" s="6"/>
      <c r="F602" s="109" t="str">
        <f t="shared" si="331"/>
        <v/>
      </c>
      <c r="G602" s="6" t="str">
        <f t="shared" si="332"/>
        <v/>
      </c>
      <c r="H602" s="6" t="str">
        <f t="shared" si="333"/>
        <v/>
      </c>
      <c r="I602" s="109" t="str">
        <f t="shared" si="334"/>
        <v/>
      </c>
      <c r="J602" s="6" t="str">
        <f t="shared" si="335"/>
        <v/>
      </c>
      <c r="K602" s="120" t="str">
        <f t="shared" si="336"/>
        <v/>
      </c>
      <c r="L602" s="120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7"/>
      <c r="N602" s="7"/>
      <c r="O602" s="5"/>
    </row>
    <row r="603" spans="1:15" x14ac:dyDescent="0.25">
      <c r="A603" s="111"/>
      <c r="B603" s="4"/>
      <c r="C603" s="4"/>
      <c r="D603" s="6"/>
      <c r="E603" s="6"/>
      <c r="F603" s="109" t="str">
        <f t="shared" si="331"/>
        <v/>
      </c>
      <c r="G603" s="6" t="str">
        <f t="shared" si="332"/>
        <v/>
      </c>
      <c r="H603" s="6" t="str">
        <f t="shared" si="333"/>
        <v/>
      </c>
      <c r="I603" s="109" t="str">
        <f t="shared" si="334"/>
        <v/>
      </c>
      <c r="J603" s="6" t="str">
        <f t="shared" si="335"/>
        <v/>
      </c>
      <c r="K603" s="120" t="str">
        <f t="shared" si="336"/>
        <v/>
      </c>
      <c r="L603" s="120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7"/>
      <c r="N603" s="7"/>
      <c r="O603" s="5"/>
    </row>
    <row r="604" spans="1:15" x14ac:dyDescent="0.25">
      <c r="A604" s="111"/>
      <c r="B604" s="4"/>
      <c r="C604" s="4"/>
      <c r="D604" s="6"/>
      <c r="E604" s="6"/>
      <c r="F604" s="109" t="str">
        <f t="shared" si="331"/>
        <v/>
      </c>
      <c r="G604" s="6" t="str">
        <f t="shared" si="332"/>
        <v/>
      </c>
      <c r="H604" s="6" t="str">
        <f t="shared" si="333"/>
        <v/>
      </c>
      <c r="I604" s="109" t="str">
        <f t="shared" si="334"/>
        <v/>
      </c>
      <c r="J604" s="6" t="str">
        <f t="shared" si="335"/>
        <v/>
      </c>
      <c r="K604" s="120" t="str">
        <f t="shared" si="336"/>
        <v/>
      </c>
      <c r="L604" s="120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7"/>
      <c r="N604" s="7"/>
      <c r="O604" s="5"/>
    </row>
    <row r="605" spans="1:15" x14ac:dyDescent="0.25">
      <c r="A605" s="111"/>
      <c r="B605" s="4"/>
      <c r="C605" s="4"/>
      <c r="D605" s="6"/>
      <c r="E605" s="6"/>
      <c r="F605" s="109" t="str">
        <f t="shared" si="331"/>
        <v/>
      </c>
      <c r="G605" s="6" t="str">
        <f t="shared" si="332"/>
        <v/>
      </c>
      <c r="H605" s="6" t="str">
        <f t="shared" si="333"/>
        <v/>
      </c>
      <c r="I605" s="109" t="str">
        <f t="shared" si="334"/>
        <v/>
      </c>
      <c r="J605" s="6" t="str">
        <f t="shared" si="335"/>
        <v/>
      </c>
      <c r="K605" s="120" t="str">
        <f t="shared" si="336"/>
        <v/>
      </c>
      <c r="L605" s="120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7"/>
      <c r="N605" s="7"/>
      <c r="O605" s="5"/>
    </row>
    <row r="606" spans="1:15" x14ac:dyDescent="0.25">
      <c r="A606" s="111"/>
      <c r="B606" s="4"/>
      <c r="C606" s="4"/>
      <c r="D606" s="6"/>
      <c r="E606" s="6"/>
      <c r="F606" s="109" t="str">
        <f t="shared" si="331"/>
        <v/>
      </c>
      <c r="G606" s="6" t="str">
        <f t="shared" si="332"/>
        <v/>
      </c>
      <c r="H606" s="6" t="str">
        <f t="shared" si="333"/>
        <v/>
      </c>
      <c r="I606" s="109" t="str">
        <f t="shared" si="334"/>
        <v/>
      </c>
      <c r="J606" s="6" t="str">
        <f t="shared" si="335"/>
        <v/>
      </c>
      <c r="K606" s="120" t="str">
        <f t="shared" si="336"/>
        <v/>
      </c>
      <c r="L606" s="120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7"/>
      <c r="N606" s="7"/>
      <c r="O606" s="5"/>
    </row>
    <row r="607" spans="1:15" x14ac:dyDescent="0.25">
      <c r="A607" s="111"/>
      <c r="B607" s="4"/>
      <c r="C607" s="4"/>
      <c r="D607" s="6"/>
      <c r="E607" s="6"/>
      <c r="F607" s="109" t="str">
        <f t="shared" si="331"/>
        <v/>
      </c>
      <c r="G607" s="6" t="str">
        <f t="shared" si="332"/>
        <v/>
      </c>
      <c r="H607" s="6" t="str">
        <f t="shared" si="333"/>
        <v/>
      </c>
      <c r="I607" s="109" t="str">
        <f t="shared" si="334"/>
        <v/>
      </c>
      <c r="J607" s="6" t="str">
        <f t="shared" si="335"/>
        <v/>
      </c>
      <c r="K607" s="120" t="str">
        <f t="shared" si="336"/>
        <v/>
      </c>
      <c r="L607" s="120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7"/>
      <c r="N607" s="7"/>
      <c r="O607" s="5"/>
    </row>
    <row r="608" spans="1:15" x14ac:dyDescent="0.25">
      <c r="A608" s="111"/>
      <c r="B608" s="4"/>
      <c r="C608" s="4"/>
      <c r="D608" s="6"/>
      <c r="E608" s="6"/>
      <c r="F608" s="109" t="str">
        <f t="shared" si="331"/>
        <v/>
      </c>
      <c r="G608" s="6" t="str">
        <f t="shared" si="332"/>
        <v/>
      </c>
      <c r="H608" s="6" t="str">
        <f t="shared" si="333"/>
        <v/>
      </c>
      <c r="I608" s="109" t="str">
        <f t="shared" si="334"/>
        <v/>
      </c>
      <c r="J608" s="6" t="str">
        <f t="shared" si="335"/>
        <v/>
      </c>
      <c r="K608" s="120" t="str">
        <f t="shared" si="336"/>
        <v/>
      </c>
      <c r="L608" s="120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7"/>
      <c r="N608" s="7"/>
      <c r="O608" s="5"/>
    </row>
    <row r="609" spans="1:15" x14ac:dyDescent="0.25">
      <c r="A609" s="111"/>
      <c r="B609" s="4"/>
      <c r="C609" s="4"/>
      <c r="D609" s="6"/>
      <c r="E609" s="6"/>
      <c r="F609" s="109" t="str">
        <f t="shared" si="331"/>
        <v/>
      </c>
      <c r="G609" s="6" t="str">
        <f t="shared" si="332"/>
        <v/>
      </c>
      <c r="H609" s="6" t="str">
        <f t="shared" si="333"/>
        <v/>
      </c>
      <c r="I609" s="109" t="str">
        <f t="shared" si="334"/>
        <v/>
      </c>
      <c r="J609" s="6" t="str">
        <f t="shared" si="335"/>
        <v/>
      </c>
      <c r="K609" s="120" t="str">
        <f t="shared" si="336"/>
        <v/>
      </c>
      <c r="L609" s="120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7"/>
      <c r="N609" s="7"/>
      <c r="O609" s="5"/>
    </row>
    <row r="610" spans="1:15" x14ac:dyDescent="0.25">
      <c r="A610" s="111"/>
      <c r="B610" s="4"/>
      <c r="C610" s="4"/>
      <c r="D610" s="6"/>
      <c r="E610" s="6"/>
      <c r="F610" s="109" t="str">
        <f t="shared" si="331"/>
        <v/>
      </c>
      <c r="G610" s="6" t="str">
        <f t="shared" si="332"/>
        <v/>
      </c>
      <c r="H610" s="6" t="str">
        <f t="shared" si="333"/>
        <v/>
      </c>
      <c r="I610" s="109" t="str">
        <f t="shared" si="334"/>
        <v/>
      </c>
      <c r="J610" s="6" t="str">
        <f t="shared" si="335"/>
        <v/>
      </c>
      <c r="K610" s="120" t="str">
        <f t="shared" si="336"/>
        <v/>
      </c>
      <c r="L610" s="120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7"/>
      <c r="N610" s="7"/>
      <c r="O610" s="5"/>
    </row>
    <row r="611" spans="1:15" x14ac:dyDescent="0.25">
      <c r="A611" s="111"/>
      <c r="B611" s="4"/>
      <c r="C611" s="4"/>
      <c r="D611" s="6"/>
      <c r="E611" s="6"/>
      <c r="F611" s="109" t="str">
        <f t="shared" si="331"/>
        <v/>
      </c>
      <c r="G611" s="6" t="str">
        <f t="shared" si="332"/>
        <v/>
      </c>
      <c r="H611" s="6" t="str">
        <f t="shared" si="333"/>
        <v/>
      </c>
      <c r="I611" s="109" t="str">
        <f t="shared" si="334"/>
        <v/>
      </c>
      <c r="J611" s="6" t="str">
        <f t="shared" si="335"/>
        <v/>
      </c>
      <c r="K611" s="120" t="str">
        <f t="shared" si="336"/>
        <v/>
      </c>
      <c r="L611" s="120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7"/>
      <c r="N611" s="7"/>
      <c r="O611" s="5"/>
    </row>
    <row r="612" spans="1:15" x14ac:dyDescent="0.25">
      <c r="A612" s="111"/>
      <c r="B612" s="4"/>
      <c r="C612" s="4"/>
      <c r="D612" s="6"/>
      <c r="E612" s="6"/>
      <c r="F612" s="109" t="str">
        <f t="shared" si="331"/>
        <v/>
      </c>
      <c r="G612" s="6" t="str">
        <f t="shared" si="332"/>
        <v/>
      </c>
      <c r="H612" s="6" t="str">
        <f t="shared" si="333"/>
        <v/>
      </c>
      <c r="I612" s="109" t="str">
        <f t="shared" si="334"/>
        <v/>
      </c>
      <c r="J612" s="6" t="str">
        <f t="shared" si="335"/>
        <v/>
      </c>
      <c r="K612" s="120" t="str">
        <f t="shared" si="336"/>
        <v/>
      </c>
      <c r="L612" s="120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7"/>
      <c r="N612" s="7"/>
      <c r="O612" s="5"/>
    </row>
    <row r="613" spans="1:15" x14ac:dyDescent="0.25">
      <c r="A613" s="111"/>
      <c r="B613" s="4"/>
      <c r="C613" s="4"/>
      <c r="D613" s="6"/>
      <c r="E613" s="6"/>
      <c r="F613" s="109" t="str">
        <f t="shared" si="331"/>
        <v/>
      </c>
      <c r="G613" s="6" t="str">
        <f t="shared" si="332"/>
        <v/>
      </c>
      <c r="H613" s="6" t="str">
        <f t="shared" si="333"/>
        <v/>
      </c>
      <c r="I613" s="109" t="str">
        <f t="shared" si="334"/>
        <v/>
      </c>
      <c r="J613" s="6" t="str">
        <f t="shared" si="335"/>
        <v/>
      </c>
      <c r="K613" s="120" t="str">
        <f t="shared" si="336"/>
        <v/>
      </c>
      <c r="L613" s="120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7"/>
      <c r="N613" s="7"/>
      <c r="O613" s="5"/>
    </row>
    <row r="614" spans="1:15" x14ac:dyDescent="0.25">
      <c r="A614" s="111"/>
      <c r="B614" s="4"/>
      <c r="C614" s="4"/>
      <c r="D614" s="6"/>
      <c r="E614" s="6"/>
      <c r="F614" s="109" t="str">
        <f t="shared" si="331"/>
        <v/>
      </c>
      <c r="G614" s="6" t="str">
        <f t="shared" si="332"/>
        <v/>
      </c>
      <c r="H614" s="6" t="str">
        <f t="shared" si="333"/>
        <v/>
      </c>
      <c r="I614" s="109" t="str">
        <f t="shared" si="334"/>
        <v/>
      </c>
      <c r="J614" s="6" t="str">
        <f t="shared" si="335"/>
        <v/>
      </c>
      <c r="K614" s="120" t="str">
        <f t="shared" si="336"/>
        <v/>
      </c>
      <c r="L614" s="120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7"/>
      <c r="N614" s="7"/>
      <c r="O614" s="5"/>
    </row>
    <row r="615" spans="1:15" x14ac:dyDescent="0.25">
      <c r="A615" s="111"/>
      <c r="B615" s="4"/>
      <c r="C615" s="4"/>
      <c r="D615" s="6"/>
      <c r="E615" s="6"/>
      <c r="F615" s="109" t="str">
        <f t="shared" si="331"/>
        <v/>
      </c>
      <c r="G615" s="6" t="str">
        <f t="shared" si="332"/>
        <v/>
      </c>
      <c r="H615" s="6" t="str">
        <f t="shared" si="333"/>
        <v/>
      </c>
      <c r="I615" s="109" t="str">
        <f t="shared" si="334"/>
        <v/>
      </c>
      <c r="J615" s="6" t="str">
        <f t="shared" si="335"/>
        <v/>
      </c>
      <c r="K615" s="120" t="str">
        <f t="shared" si="336"/>
        <v/>
      </c>
      <c r="L615" s="120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7"/>
      <c r="N615" s="7"/>
      <c r="O615" s="5"/>
    </row>
    <row r="616" spans="1:15" x14ac:dyDescent="0.25">
      <c r="A616" s="111"/>
      <c r="B616" s="4"/>
      <c r="C616" s="4"/>
      <c r="D616" s="6"/>
      <c r="E616" s="6"/>
      <c r="F616" s="109" t="str">
        <f t="shared" si="331"/>
        <v/>
      </c>
      <c r="G616" s="6" t="str">
        <f t="shared" si="332"/>
        <v/>
      </c>
      <c r="H616" s="6" t="str">
        <f t="shared" si="333"/>
        <v/>
      </c>
      <c r="I616" s="109" t="str">
        <f t="shared" si="334"/>
        <v/>
      </c>
      <c r="J616" s="6" t="str">
        <f t="shared" si="335"/>
        <v/>
      </c>
      <c r="K616" s="120" t="str">
        <f t="shared" si="336"/>
        <v/>
      </c>
      <c r="L616" s="120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7"/>
      <c r="N616" s="7"/>
      <c r="O616" s="5"/>
    </row>
    <row r="617" spans="1:15" x14ac:dyDescent="0.25">
      <c r="A617" s="111"/>
      <c r="B617" s="4"/>
      <c r="C617" s="4"/>
      <c r="D617" s="6"/>
      <c r="E617" s="6"/>
      <c r="F617" s="109" t="str">
        <f t="shared" si="331"/>
        <v/>
      </c>
      <c r="G617" s="6" t="str">
        <f t="shared" si="332"/>
        <v/>
      </c>
      <c r="H617" s="6" t="str">
        <f t="shared" si="333"/>
        <v/>
      </c>
      <c r="I617" s="109" t="str">
        <f t="shared" si="334"/>
        <v/>
      </c>
      <c r="J617" s="6" t="str">
        <f t="shared" si="335"/>
        <v/>
      </c>
      <c r="K617" s="120" t="str">
        <f t="shared" si="336"/>
        <v/>
      </c>
      <c r="L617" s="120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7"/>
      <c r="N617" s="7"/>
      <c r="O617" s="5"/>
    </row>
    <row r="618" spans="1:15" x14ac:dyDescent="0.25">
      <c r="A618" s="111"/>
      <c r="B618" s="4"/>
      <c r="C618" s="4"/>
      <c r="D618" s="6"/>
      <c r="E618" s="6"/>
      <c r="F618" s="109" t="str">
        <f t="shared" si="331"/>
        <v/>
      </c>
      <c r="G618" s="6" t="str">
        <f t="shared" si="332"/>
        <v/>
      </c>
      <c r="H618" s="6" t="str">
        <f t="shared" si="333"/>
        <v/>
      </c>
      <c r="I618" s="109" t="str">
        <f t="shared" si="334"/>
        <v/>
      </c>
      <c r="J618" s="6" t="str">
        <f t="shared" si="335"/>
        <v/>
      </c>
      <c r="K618" s="120" t="str">
        <f t="shared" si="336"/>
        <v/>
      </c>
      <c r="L618" s="120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7"/>
      <c r="N618" s="7"/>
      <c r="O618" s="5"/>
    </row>
    <row r="619" spans="1:15" x14ac:dyDescent="0.25">
      <c r="A619" s="111"/>
      <c r="B619" s="4"/>
      <c r="C619" s="4"/>
      <c r="D619" s="6"/>
      <c r="E619" s="6"/>
      <c r="F619" s="109" t="str">
        <f t="shared" si="331"/>
        <v/>
      </c>
      <c r="G619" s="6" t="str">
        <f t="shared" si="332"/>
        <v/>
      </c>
      <c r="H619" s="6" t="str">
        <f t="shared" si="333"/>
        <v/>
      </c>
      <c r="I619" s="109" t="str">
        <f t="shared" si="334"/>
        <v/>
      </c>
      <c r="J619" s="6" t="str">
        <f t="shared" si="335"/>
        <v/>
      </c>
      <c r="K619" s="120" t="str">
        <f t="shared" si="336"/>
        <v/>
      </c>
      <c r="L619" s="120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7"/>
      <c r="N619" s="7"/>
      <c r="O619" s="5"/>
    </row>
    <row r="620" spans="1:15" x14ac:dyDescent="0.25">
      <c r="A620" s="111"/>
      <c r="B620" s="4"/>
      <c r="C620" s="4"/>
      <c r="D620" s="6"/>
      <c r="E620" s="6"/>
      <c r="F620" s="109" t="str">
        <f t="shared" si="331"/>
        <v/>
      </c>
      <c r="G620" s="6" t="str">
        <f t="shared" si="332"/>
        <v/>
      </c>
      <c r="H620" s="6" t="str">
        <f t="shared" si="333"/>
        <v/>
      </c>
      <c r="I620" s="109" t="str">
        <f t="shared" si="334"/>
        <v/>
      </c>
      <c r="J620" s="6" t="str">
        <f t="shared" si="335"/>
        <v/>
      </c>
      <c r="K620" s="120" t="str">
        <f t="shared" si="336"/>
        <v/>
      </c>
      <c r="L620" s="120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7"/>
      <c r="N620" s="7"/>
      <c r="O620" s="5"/>
    </row>
    <row r="621" spans="1:15" x14ac:dyDescent="0.25">
      <c r="A621" s="111"/>
      <c r="B621" s="4"/>
      <c r="C621" s="4"/>
      <c r="D621" s="6"/>
      <c r="E621" s="6"/>
      <c r="F621" s="109" t="str">
        <f t="shared" si="331"/>
        <v/>
      </c>
      <c r="G621" s="6" t="str">
        <f t="shared" si="332"/>
        <v/>
      </c>
      <c r="H621" s="6" t="str">
        <f t="shared" si="333"/>
        <v/>
      </c>
      <c r="I621" s="109" t="str">
        <f t="shared" si="334"/>
        <v/>
      </c>
      <c r="J621" s="6" t="str">
        <f t="shared" si="335"/>
        <v/>
      </c>
      <c r="K621" s="120" t="str">
        <f t="shared" si="336"/>
        <v/>
      </c>
      <c r="L621" s="120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7"/>
      <c r="N621" s="7"/>
      <c r="O621" s="5"/>
    </row>
    <row r="622" spans="1:15" x14ac:dyDescent="0.25">
      <c r="A622" s="111"/>
      <c r="B622" s="4"/>
      <c r="C622" s="4"/>
      <c r="D622" s="6"/>
      <c r="E622" s="6"/>
      <c r="F622" s="109" t="str">
        <f t="shared" si="331"/>
        <v/>
      </c>
      <c r="G622" s="6" t="str">
        <f t="shared" si="332"/>
        <v/>
      </c>
      <c r="H622" s="6" t="str">
        <f t="shared" si="333"/>
        <v/>
      </c>
      <c r="I622" s="109" t="str">
        <f t="shared" si="334"/>
        <v/>
      </c>
      <c r="J622" s="6" t="str">
        <f t="shared" si="335"/>
        <v/>
      </c>
      <c r="K622" s="120" t="str">
        <f t="shared" si="336"/>
        <v/>
      </c>
      <c r="L622" s="120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7"/>
      <c r="N622" s="7"/>
      <c r="O622" s="5"/>
    </row>
    <row r="623" spans="1:15" x14ac:dyDescent="0.25">
      <c r="A623" s="111"/>
      <c r="B623" s="4"/>
      <c r="C623" s="4"/>
      <c r="D623" s="6"/>
      <c r="E623" s="6"/>
      <c r="F623" s="109" t="str">
        <f t="shared" si="331"/>
        <v/>
      </c>
      <c r="G623" s="6" t="str">
        <f t="shared" si="332"/>
        <v/>
      </c>
      <c r="H623" s="6" t="str">
        <f t="shared" si="333"/>
        <v/>
      </c>
      <c r="I623" s="109" t="str">
        <f t="shared" si="334"/>
        <v/>
      </c>
      <c r="J623" s="6" t="str">
        <f t="shared" si="335"/>
        <v/>
      </c>
      <c r="K623" s="120" t="str">
        <f t="shared" si="336"/>
        <v/>
      </c>
      <c r="L623" s="120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7"/>
      <c r="N623" s="7"/>
      <c r="O623" s="5"/>
    </row>
    <row r="624" spans="1:15" x14ac:dyDescent="0.25">
      <c r="A624" s="111"/>
      <c r="B624" s="4"/>
      <c r="C624" s="4"/>
      <c r="D624" s="6"/>
      <c r="E624" s="6"/>
      <c r="F624" s="109" t="str">
        <f t="shared" si="331"/>
        <v/>
      </c>
      <c r="G624" s="6" t="str">
        <f t="shared" si="332"/>
        <v/>
      </c>
      <c r="H624" s="6" t="str">
        <f t="shared" si="333"/>
        <v/>
      </c>
      <c r="I624" s="109" t="str">
        <f t="shared" si="334"/>
        <v/>
      </c>
      <c r="J624" s="6" t="str">
        <f t="shared" si="335"/>
        <v/>
      </c>
      <c r="K624" s="120" t="str">
        <f t="shared" si="336"/>
        <v/>
      </c>
      <c r="L624" s="120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7"/>
      <c r="N624" s="7"/>
      <c r="O624" s="5"/>
    </row>
    <row r="625" spans="1:15" x14ac:dyDescent="0.25">
      <c r="A625" s="111"/>
      <c r="B625" s="4"/>
      <c r="C625" s="4"/>
      <c r="D625" s="6"/>
      <c r="E625" s="6"/>
      <c r="F625" s="109" t="str">
        <f t="shared" si="331"/>
        <v/>
      </c>
      <c r="G625" s="6" t="str">
        <f t="shared" si="332"/>
        <v/>
      </c>
      <c r="H625" s="6" t="str">
        <f t="shared" si="333"/>
        <v/>
      </c>
      <c r="I625" s="109" t="str">
        <f t="shared" si="334"/>
        <v/>
      </c>
      <c r="J625" s="6" t="str">
        <f t="shared" si="335"/>
        <v/>
      </c>
      <c r="K625" s="120" t="str">
        <f t="shared" si="336"/>
        <v/>
      </c>
      <c r="L625" s="120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7"/>
      <c r="N625" s="7"/>
      <c r="O625" s="5"/>
    </row>
    <row r="626" spans="1:15" x14ac:dyDescent="0.25">
      <c r="A626" s="111"/>
      <c r="B626" s="4"/>
      <c r="C626" s="4"/>
      <c r="D626" s="6"/>
      <c r="E626" s="6"/>
      <c r="F626" s="109" t="str">
        <f t="shared" si="331"/>
        <v/>
      </c>
      <c r="G626" s="6" t="str">
        <f t="shared" si="332"/>
        <v/>
      </c>
      <c r="H626" s="6" t="str">
        <f t="shared" si="333"/>
        <v/>
      </c>
      <c r="I626" s="109" t="str">
        <f t="shared" si="334"/>
        <v/>
      </c>
      <c r="J626" s="6" t="str">
        <f t="shared" si="335"/>
        <v/>
      </c>
      <c r="K626" s="120" t="str">
        <f t="shared" si="336"/>
        <v/>
      </c>
      <c r="L626" s="120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7"/>
      <c r="N626" s="7"/>
      <c r="O626" s="5"/>
    </row>
    <row r="627" spans="1:15" x14ac:dyDescent="0.25">
      <c r="A627" s="111"/>
      <c r="B627" s="4"/>
      <c r="C627" s="4"/>
      <c r="D627" s="6"/>
      <c r="E627" s="6"/>
      <c r="F627" s="109" t="str">
        <f t="shared" si="331"/>
        <v/>
      </c>
      <c r="G627" s="6" t="str">
        <f t="shared" si="332"/>
        <v/>
      </c>
      <c r="H627" s="6" t="str">
        <f t="shared" si="333"/>
        <v/>
      </c>
      <c r="I627" s="109" t="str">
        <f t="shared" si="334"/>
        <v/>
      </c>
      <c r="J627" s="6" t="str">
        <f t="shared" si="335"/>
        <v/>
      </c>
      <c r="K627" s="120" t="str">
        <f t="shared" si="336"/>
        <v/>
      </c>
      <c r="L627" s="120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7"/>
      <c r="N627" s="7"/>
      <c r="O627" s="5"/>
    </row>
    <row r="628" spans="1:15" x14ac:dyDescent="0.25">
      <c r="A628" s="111"/>
      <c r="B628" s="4"/>
      <c r="C628" s="4"/>
      <c r="D628" s="6"/>
      <c r="E628" s="6"/>
      <c r="F628" s="109" t="str">
        <f t="shared" si="331"/>
        <v/>
      </c>
      <c r="G628" s="6" t="str">
        <f t="shared" si="332"/>
        <v/>
      </c>
      <c r="H628" s="6" t="str">
        <f t="shared" si="333"/>
        <v/>
      </c>
      <c r="I628" s="109" t="str">
        <f t="shared" si="334"/>
        <v/>
      </c>
      <c r="J628" s="6" t="str">
        <f t="shared" si="335"/>
        <v/>
      </c>
      <c r="K628" s="120" t="str">
        <f t="shared" si="336"/>
        <v/>
      </c>
      <c r="L628" s="120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7"/>
      <c r="N628" s="7"/>
      <c r="O628" s="5"/>
    </row>
    <row r="629" spans="1:15" x14ac:dyDescent="0.25">
      <c r="A629" s="111"/>
      <c r="B629" s="4"/>
      <c r="C629" s="4"/>
      <c r="D629" s="6"/>
      <c r="E629" s="6"/>
      <c r="F629" s="109" t="str">
        <f t="shared" si="331"/>
        <v/>
      </c>
      <c r="G629" s="6" t="str">
        <f t="shared" si="332"/>
        <v/>
      </c>
      <c r="H629" s="6" t="str">
        <f t="shared" si="333"/>
        <v/>
      </c>
      <c r="I629" s="109" t="str">
        <f t="shared" si="334"/>
        <v/>
      </c>
      <c r="J629" s="6" t="str">
        <f t="shared" si="335"/>
        <v/>
      </c>
      <c r="K629" s="120" t="str">
        <f t="shared" si="336"/>
        <v/>
      </c>
      <c r="L629" s="120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7"/>
      <c r="N629" s="7"/>
      <c r="O629" s="5"/>
    </row>
    <row r="630" spans="1:15" x14ac:dyDescent="0.25">
      <c r="A630" s="111"/>
      <c r="B630" s="4"/>
      <c r="C630" s="4"/>
      <c r="D630" s="6"/>
      <c r="E630" s="6"/>
      <c r="F630" s="109" t="str">
        <f t="shared" si="331"/>
        <v/>
      </c>
      <c r="G630" s="6" t="str">
        <f t="shared" si="332"/>
        <v/>
      </c>
      <c r="H630" s="6" t="str">
        <f t="shared" si="333"/>
        <v/>
      </c>
      <c r="I630" s="109" t="str">
        <f t="shared" si="334"/>
        <v/>
      </c>
      <c r="J630" s="6" t="str">
        <f t="shared" si="335"/>
        <v/>
      </c>
      <c r="K630" s="120" t="str">
        <f t="shared" si="336"/>
        <v/>
      </c>
      <c r="L630" s="120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7"/>
      <c r="N630" s="7"/>
      <c r="O630" s="5"/>
    </row>
    <row r="631" spans="1:15" x14ac:dyDescent="0.25">
      <c r="A631" s="111"/>
      <c r="B631" s="4"/>
      <c r="C631" s="4"/>
      <c r="D631" s="6"/>
      <c r="E631" s="6"/>
      <c r="F631" s="109" t="str">
        <f t="shared" si="331"/>
        <v/>
      </c>
      <c r="G631" s="6" t="str">
        <f t="shared" si="332"/>
        <v/>
      </c>
      <c r="H631" s="6" t="str">
        <f t="shared" si="333"/>
        <v/>
      </c>
      <c r="I631" s="109" t="str">
        <f t="shared" si="334"/>
        <v/>
      </c>
      <c r="J631" s="6" t="str">
        <f t="shared" si="335"/>
        <v/>
      </c>
      <c r="K631" s="120" t="str">
        <f t="shared" si="336"/>
        <v/>
      </c>
      <c r="L631" s="120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7"/>
      <c r="N631" s="7"/>
      <c r="O631" s="5"/>
    </row>
    <row r="632" spans="1:15" x14ac:dyDescent="0.25">
      <c r="A632" s="111"/>
      <c r="B632" s="4"/>
      <c r="C632" s="4"/>
      <c r="D632" s="6"/>
      <c r="E632" s="6"/>
      <c r="F632" s="109" t="str">
        <f t="shared" si="331"/>
        <v/>
      </c>
      <c r="G632" s="6" t="str">
        <f t="shared" si="332"/>
        <v/>
      </c>
      <c r="H632" s="6" t="str">
        <f t="shared" si="333"/>
        <v/>
      </c>
      <c r="I632" s="109" t="str">
        <f t="shared" si="334"/>
        <v/>
      </c>
      <c r="J632" s="6" t="str">
        <f t="shared" si="335"/>
        <v/>
      </c>
      <c r="K632" s="120" t="str">
        <f t="shared" si="336"/>
        <v/>
      </c>
      <c r="L632" s="120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7"/>
      <c r="N632" s="7"/>
      <c r="O632" s="5"/>
    </row>
    <row r="633" spans="1:15" x14ac:dyDescent="0.25">
      <c r="A633" s="111"/>
      <c r="B633" s="4"/>
      <c r="C633" s="4"/>
      <c r="D633" s="6"/>
      <c r="E633" s="6"/>
      <c r="F633" s="109" t="str">
        <f t="shared" si="331"/>
        <v/>
      </c>
      <c r="G633" s="6" t="str">
        <f t="shared" si="332"/>
        <v/>
      </c>
      <c r="H633" s="6" t="str">
        <f t="shared" si="333"/>
        <v/>
      </c>
      <c r="I633" s="109" t="str">
        <f t="shared" si="334"/>
        <v/>
      </c>
      <c r="J633" s="6" t="str">
        <f t="shared" si="335"/>
        <v/>
      </c>
      <c r="K633" s="120" t="str">
        <f t="shared" si="336"/>
        <v/>
      </c>
      <c r="L633" s="120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7"/>
      <c r="N633" s="7"/>
      <c r="O633" s="5"/>
    </row>
    <row r="634" spans="1:15" x14ac:dyDescent="0.25">
      <c r="A634" s="111"/>
      <c r="B634" s="4"/>
      <c r="C634" s="4"/>
      <c r="D634" s="6"/>
      <c r="E634" s="6"/>
      <c r="F634" s="109" t="str">
        <f t="shared" si="331"/>
        <v/>
      </c>
      <c r="G634" s="6" t="str">
        <f t="shared" si="332"/>
        <v/>
      </c>
      <c r="H634" s="6" t="str">
        <f t="shared" si="333"/>
        <v/>
      </c>
      <c r="I634" s="109" t="str">
        <f t="shared" si="334"/>
        <v/>
      </c>
      <c r="J634" s="6" t="str">
        <f t="shared" si="335"/>
        <v/>
      </c>
      <c r="K634" s="120" t="str">
        <f t="shared" si="336"/>
        <v/>
      </c>
      <c r="L634" s="120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7"/>
      <c r="N634" s="7"/>
      <c r="O634" s="5"/>
    </row>
    <row r="635" spans="1:15" x14ac:dyDescent="0.25">
      <c r="A635" s="111"/>
      <c r="B635" s="4"/>
      <c r="C635" s="4"/>
      <c r="D635" s="6"/>
      <c r="E635" s="6"/>
      <c r="F635" s="109" t="str">
        <f t="shared" si="331"/>
        <v/>
      </c>
      <c r="G635" s="6" t="str">
        <f t="shared" si="332"/>
        <v/>
      </c>
      <c r="H635" s="6" t="str">
        <f t="shared" si="333"/>
        <v/>
      </c>
      <c r="I635" s="109" t="str">
        <f t="shared" si="334"/>
        <v/>
      </c>
      <c r="J635" s="6" t="str">
        <f t="shared" si="335"/>
        <v/>
      </c>
      <c r="K635" s="120" t="str">
        <f t="shared" si="336"/>
        <v/>
      </c>
      <c r="L635" s="120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7"/>
      <c r="N635" s="7"/>
      <c r="O635" s="5"/>
    </row>
    <row r="636" spans="1:15" x14ac:dyDescent="0.25">
      <c r="A636" s="111"/>
      <c r="B636" s="4"/>
      <c r="C636" s="4"/>
      <c r="D636" s="6"/>
      <c r="E636" s="6"/>
      <c r="F636" s="109" t="str">
        <f t="shared" si="331"/>
        <v/>
      </c>
      <c r="G636" s="6" t="str">
        <f t="shared" si="332"/>
        <v/>
      </c>
      <c r="H636" s="6" t="str">
        <f t="shared" si="333"/>
        <v/>
      </c>
      <c r="I636" s="109" t="str">
        <f t="shared" si="334"/>
        <v/>
      </c>
      <c r="J636" s="6" t="str">
        <f t="shared" si="335"/>
        <v/>
      </c>
      <c r="K636" s="120" t="str">
        <f t="shared" si="336"/>
        <v/>
      </c>
      <c r="L636" s="120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7"/>
      <c r="N636" s="7"/>
      <c r="O636" s="5"/>
    </row>
    <row r="637" spans="1:15" x14ac:dyDescent="0.25">
      <c r="A637" s="111"/>
      <c r="B637" s="4"/>
      <c r="C637" s="4"/>
      <c r="D637" s="6"/>
      <c r="E637" s="6"/>
      <c r="F637" s="109" t="str">
        <f t="shared" si="331"/>
        <v/>
      </c>
      <c r="G637" s="6" t="str">
        <f t="shared" si="332"/>
        <v/>
      </c>
      <c r="H637" s="6" t="str">
        <f t="shared" si="333"/>
        <v/>
      </c>
      <c r="I637" s="109" t="str">
        <f t="shared" si="334"/>
        <v/>
      </c>
      <c r="J637" s="6" t="str">
        <f t="shared" si="335"/>
        <v/>
      </c>
      <c r="K637" s="120" t="str">
        <f t="shared" si="336"/>
        <v/>
      </c>
      <c r="L637" s="120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7"/>
      <c r="N637" s="7"/>
      <c r="O637" s="5"/>
    </row>
    <row r="638" spans="1:15" x14ac:dyDescent="0.25">
      <c r="A638" s="111"/>
      <c r="B638" s="4"/>
      <c r="C638" s="4"/>
      <c r="D638" s="6"/>
      <c r="E638" s="6"/>
      <c r="F638" s="109" t="str">
        <f t="shared" si="331"/>
        <v/>
      </c>
      <c r="G638" s="6" t="str">
        <f t="shared" si="332"/>
        <v/>
      </c>
      <c r="H638" s="6" t="str">
        <f t="shared" si="333"/>
        <v/>
      </c>
      <c r="I638" s="109" t="str">
        <f t="shared" si="334"/>
        <v/>
      </c>
      <c r="J638" s="6" t="str">
        <f t="shared" si="335"/>
        <v/>
      </c>
      <c r="K638" s="120" t="str">
        <f t="shared" si="336"/>
        <v/>
      </c>
      <c r="L638" s="120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7"/>
      <c r="N638" s="7"/>
      <c r="O638" s="5"/>
    </row>
    <row r="639" spans="1:15" x14ac:dyDescent="0.25">
      <c r="A639" s="111"/>
      <c r="B639" s="4"/>
      <c r="C639" s="4"/>
      <c r="D639" s="6"/>
      <c r="E639" s="6"/>
      <c r="F639" s="109" t="str">
        <f t="shared" si="331"/>
        <v/>
      </c>
      <c r="G639" s="6" t="str">
        <f t="shared" si="332"/>
        <v/>
      </c>
      <c r="H639" s="6" t="str">
        <f t="shared" si="333"/>
        <v/>
      </c>
      <c r="I639" s="109" t="str">
        <f t="shared" si="334"/>
        <v/>
      </c>
      <c r="J639" s="6" t="str">
        <f t="shared" si="335"/>
        <v/>
      </c>
      <c r="K639" s="120" t="str">
        <f t="shared" si="336"/>
        <v/>
      </c>
      <c r="L639" s="120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7"/>
      <c r="N639" s="7"/>
      <c r="O639" s="5"/>
    </row>
    <row r="640" spans="1:15" x14ac:dyDescent="0.25">
      <c r="A640" s="111"/>
      <c r="B640" s="4"/>
      <c r="C640" s="4"/>
      <c r="D640" s="6"/>
      <c r="E640" s="6"/>
      <c r="F640" s="109" t="str">
        <f t="shared" si="331"/>
        <v/>
      </c>
      <c r="G640" s="6" t="str">
        <f t="shared" si="332"/>
        <v/>
      </c>
      <c r="H640" s="6" t="str">
        <f t="shared" si="333"/>
        <v/>
      </c>
      <c r="I640" s="109" t="str">
        <f t="shared" si="334"/>
        <v/>
      </c>
      <c r="J640" s="6" t="str">
        <f t="shared" si="335"/>
        <v/>
      </c>
      <c r="K640" s="120" t="str">
        <f t="shared" si="336"/>
        <v/>
      </c>
      <c r="L640" s="120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7"/>
      <c r="N640" s="7"/>
      <c r="O640" s="5"/>
    </row>
    <row r="641" spans="1:15" x14ac:dyDescent="0.25">
      <c r="A641" s="111"/>
      <c r="B641" s="4"/>
      <c r="C641" s="4"/>
      <c r="D641" s="6"/>
      <c r="E641" s="6"/>
      <c r="F641" s="109" t="str">
        <f t="shared" si="331"/>
        <v/>
      </c>
      <c r="G641" s="6" t="str">
        <f t="shared" si="332"/>
        <v/>
      </c>
      <c r="H641" s="6" t="str">
        <f t="shared" si="333"/>
        <v/>
      </c>
      <c r="I641" s="109" t="str">
        <f t="shared" si="334"/>
        <v/>
      </c>
      <c r="J641" s="6" t="str">
        <f t="shared" si="335"/>
        <v/>
      </c>
      <c r="K641" s="120" t="str">
        <f t="shared" si="336"/>
        <v/>
      </c>
      <c r="L641" s="120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7"/>
      <c r="N641" s="7"/>
      <c r="O641" s="5"/>
    </row>
    <row r="642" spans="1:15" x14ac:dyDescent="0.25">
      <c r="A642" s="111"/>
      <c r="B642" s="4"/>
      <c r="C642" s="4"/>
      <c r="D642" s="6"/>
      <c r="E642" s="6"/>
      <c r="F642" s="109" t="str">
        <f t="shared" si="331"/>
        <v/>
      </c>
      <c r="G642" s="6" t="str">
        <f t="shared" si="332"/>
        <v/>
      </c>
      <c r="H642" s="6" t="str">
        <f t="shared" si="333"/>
        <v/>
      </c>
      <c r="I642" s="109" t="str">
        <f t="shared" si="334"/>
        <v/>
      </c>
      <c r="J642" s="6" t="str">
        <f t="shared" si="335"/>
        <v/>
      </c>
      <c r="K642" s="120" t="str">
        <f t="shared" si="336"/>
        <v/>
      </c>
      <c r="L642" s="120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7"/>
      <c r="N642" s="7"/>
      <c r="O642" s="5"/>
    </row>
    <row r="643" spans="1:15" x14ac:dyDescent="0.25">
      <c r="A643" s="111"/>
      <c r="B643" s="4"/>
      <c r="C643" s="4"/>
      <c r="D643" s="6"/>
      <c r="E643" s="6"/>
      <c r="F643" s="109" t="str">
        <f t="shared" si="331"/>
        <v/>
      </c>
      <c r="G643" s="6" t="str">
        <f t="shared" si="332"/>
        <v/>
      </c>
      <c r="H643" s="6" t="str">
        <f t="shared" si="333"/>
        <v/>
      </c>
      <c r="I643" s="109" t="str">
        <f t="shared" si="334"/>
        <v/>
      </c>
      <c r="J643" s="6" t="str">
        <f t="shared" si="335"/>
        <v/>
      </c>
      <c r="K643" s="120" t="str">
        <f t="shared" si="336"/>
        <v/>
      </c>
      <c r="L643" s="120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7"/>
      <c r="N643" s="7"/>
      <c r="O643" s="5"/>
    </row>
    <row r="644" spans="1:15" x14ac:dyDescent="0.25">
      <c r="A644" s="111"/>
      <c r="B644" s="4"/>
      <c r="C644" s="4"/>
      <c r="D644" s="6"/>
      <c r="E644" s="6"/>
      <c r="F644" s="109" t="str">
        <f t="shared" si="331"/>
        <v/>
      </c>
      <c r="G644" s="6" t="str">
        <f t="shared" si="332"/>
        <v/>
      </c>
      <c r="H644" s="6" t="str">
        <f t="shared" si="333"/>
        <v/>
      </c>
      <c r="I644" s="109" t="str">
        <f t="shared" si="334"/>
        <v/>
      </c>
      <c r="J644" s="6" t="str">
        <f t="shared" si="335"/>
        <v/>
      </c>
      <c r="K644" s="120" t="str">
        <f t="shared" si="336"/>
        <v/>
      </c>
      <c r="L644" s="120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7"/>
      <c r="N644" s="7"/>
      <c r="O644" s="5"/>
    </row>
    <row r="645" spans="1:15" x14ac:dyDescent="0.25">
      <c r="A645" s="111"/>
      <c r="B645" s="4"/>
      <c r="C645" s="4"/>
      <c r="D645" s="6"/>
      <c r="E645" s="6"/>
      <c r="F645" s="109" t="str">
        <f t="shared" si="331"/>
        <v/>
      </c>
      <c r="G645" s="6" t="str">
        <f t="shared" si="332"/>
        <v/>
      </c>
      <c r="H645" s="6" t="str">
        <f t="shared" si="333"/>
        <v/>
      </c>
      <c r="I645" s="109" t="str">
        <f t="shared" si="334"/>
        <v/>
      </c>
      <c r="J645" s="6" t="str">
        <f t="shared" si="335"/>
        <v/>
      </c>
      <c r="K645" s="120" t="str">
        <f t="shared" si="336"/>
        <v/>
      </c>
      <c r="L645" s="120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7"/>
      <c r="N645" s="7"/>
      <c r="O645" s="5"/>
    </row>
    <row r="646" spans="1:15" x14ac:dyDescent="0.25">
      <c r="A646" s="111"/>
      <c r="B646" s="4"/>
      <c r="C646" s="4"/>
      <c r="D646" s="6"/>
      <c r="E646" s="6"/>
      <c r="F646" s="109" t="str">
        <f t="shared" si="331"/>
        <v/>
      </c>
      <c r="G646" s="6" t="str">
        <f t="shared" si="332"/>
        <v/>
      </c>
      <c r="H646" s="6" t="str">
        <f t="shared" si="333"/>
        <v/>
      </c>
      <c r="I646" s="109" t="str">
        <f t="shared" si="334"/>
        <v/>
      </c>
      <c r="J646" s="6" t="str">
        <f t="shared" si="335"/>
        <v/>
      </c>
      <c r="K646" s="120" t="str">
        <f t="shared" si="336"/>
        <v/>
      </c>
      <c r="L646" s="120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7"/>
      <c r="N646" s="7"/>
      <c r="O646" s="5"/>
    </row>
    <row r="647" spans="1:15" x14ac:dyDescent="0.25">
      <c r="A647" s="111"/>
      <c r="B647" s="4"/>
      <c r="C647" s="4"/>
      <c r="D647" s="6"/>
      <c r="E647" s="6"/>
      <c r="F647" s="109" t="str">
        <f t="shared" si="331"/>
        <v/>
      </c>
      <c r="G647" s="6" t="str">
        <f t="shared" si="332"/>
        <v/>
      </c>
      <c r="H647" s="6" t="str">
        <f t="shared" si="333"/>
        <v/>
      </c>
      <c r="I647" s="109" t="str">
        <f t="shared" si="334"/>
        <v/>
      </c>
      <c r="J647" s="6" t="str">
        <f t="shared" si="335"/>
        <v/>
      </c>
      <c r="K647" s="120" t="str">
        <f t="shared" si="336"/>
        <v/>
      </c>
      <c r="L647" s="120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7"/>
      <c r="N647" s="7"/>
      <c r="O647" s="5"/>
    </row>
    <row r="648" spans="1:15" x14ac:dyDescent="0.25">
      <c r="A648" s="111"/>
      <c r="B648" s="4"/>
      <c r="C648" s="4"/>
      <c r="D648" s="6"/>
      <c r="E648" s="6"/>
      <c r="F648" s="109" t="str">
        <f t="shared" si="331"/>
        <v/>
      </c>
      <c r="G648" s="6" t="str">
        <f t="shared" si="332"/>
        <v/>
      </c>
      <c r="H648" s="6" t="str">
        <f t="shared" si="333"/>
        <v/>
      </c>
      <c r="I648" s="109" t="str">
        <f t="shared" si="334"/>
        <v/>
      </c>
      <c r="J648" s="6" t="str">
        <f t="shared" si="335"/>
        <v/>
      </c>
      <c r="K648" s="120" t="str">
        <f t="shared" si="336"/>
        <v/>
      </c>
      <c r="L648" s="120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7"/>
      <c r="N648" s="7"/>
      <c r="O648" s="5"/>
    </row>
    <row r="649" spans="1:15" x14ac:dyDescent="0.25">
      <c r="A649" s="111"/>
      <c r="B649" s="4"/>
      <c r="C649" s="4"/>
      <c r="D649" s="6"/>
      <c r="E649" s="6"/>
      <c r="F649" s="109" t="str">
        <f t="shared" si="331"/>
        <v/>
      </c>
      <c r="G649" s="6" t="str">
        <f t="shared" si="332"/>
        <v/>
      </c>
      <c r="H649" s="6" t="str">
        <f t="shared" si="333"/>
        <v/>
      </c>
      <c r="I649" s="109" t="str">
        <f t="shared" si="334"/>
        <v/>
      </c>
      <c r="J649" s="6" t="str">
        <f t="shared" si="335"/>
        <v/>
      </c>
      <c r="K649" s="120" t="str">
        <f t="shared" si="336"/>
        <v/>
      </c>
      <c r="L649" s="120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7"/>
      <c r="N649" s="7"/>
      <c r="O649" s="5"/>
    </row>
    <row r="650" spans="1:15" x14ac:dyDescent="0.25">
      <c r="A650" s="111"/>
      <c r="B650" s="4"/>
      <c r="C650" s="4"/>
      <c r="D650" s="6"/>
      <c r="E650" s="6"/>
      <c r="F650" s="109" t="str">
        <f t="shared" si="331"/>
        <v/>
      </c>
      <c r="G650" s="6" t="str">
        <f t="shared" si="332"/>
        <v/>
      </c>
      <c r="H650" s="6" t="str">
        <f t="shared" si="333"/>
        <v/>
      </c>
      <c r="I650" s="109" t="str">
        <f t="shared" si="334"/>
        <v/>
      </c>
      <c r="J650" s="6" t="str">
        <f t="shared" si="335"/>
        <v/>
      </c>
      <c r="K650" s="120" t="str">
        <f t="shared" si="336"/>
        <v/>
      </c>
      <c r="L650" s="120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7"/>
      <c r="N650" s="7"/>
      <c r="O650" s="5"/>
    </row>
    <row r="651" spans="1:15" x14ac:dyDescent="0.25">
      <c r="A651" s="111"/>
      <c r="B651" s="4"/>
      <c r="C651" s="4"/>
      <c r="D651" s="6"/>
      <c r="E651" s="6"/>
      <c r="F651" s="109" t="str">
        <f t="shared" si="331"/>
        <v/>
      </c>
      <c r="G651" s="6" t="str">
        <f t="shared" si="332"/>
        <v/>
      </c>
      <c r="H651" s="6" t="str">
        <f t="shared" si="333"/>
        <v/>
      </c>
      <c r="I651" s="109" t="str">
        <f t="shared" si="334"/>
        <v/>
      </c>
      <c r="J651" s="6" t="str">
        <f t="shared" si="335"/>
        <v/>
      </c>
      <c r="K651" s="120" t="str">
        <f t="shared" si="336"/>
        <v/>
      </c>
      <c r="L651" s="120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7"/>
      <c r="N651" s="7"/>
      <c r="O651" s="5"/>
    </row>
    <row r="652" spans="1:15" x14ac:dyDescent="0.25">
      <c r="A652" s="111"/>
      <c r="B652" s="4"/>
      <c r="C652" s="4"/>
      <c r="D652" s="6"/>
      <c r="E652" s="6"/>
      <c r="F652" s="109" t="str">
        <f t="shared" si="331"/>
        <v/>
      </c>
      <c r="G652" s="6" t="str">
        <f t="shared" si="332"/>
        <v/>
      </c>
      <c r="H652" s="6" t="str">
        <f t="shared" si="333"/>
        <v/>
      </c>
      <c r="I652" s="109" t="str">
        <f t="shared" si="334"/>
        <v/>
      </c>
      <c r="J652" s="6" t="str">
        <f t="shared" si="335"/>
        <v/>
      </c>
      <c r="K652" s="120" t="str">
        <f t="shared" si="336"/>
        <v/>
      </c>
      <c r="L652" s="120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7"/>
      <c r="N652" s="7"/>
      <c r="O652" s="5"/>
    </row>
    <row r="653" spans="1:15" x14ac:dyDescent="0.25">
      <c r="A653" s="111"/>
      <c r="B653" s="4"/>
      <c r="C653" s="4"/>
      <c r="D653" s="6"/>
      <c r="E653" s="6"/>
      <c r="F653" s="109" t="str">
        <f t="shared" si="331"/>
        <v/>
      </c>
      <c r="G653" s="6" t="str">
        <f t="shared" si="332"/>
        <v/>
      </c>
      <c r="H653" s="6" t="str">
        <f t="shared" si="333"/>
        <v/>
      </c>
      <c r="I653" s="109" t="str">
        <f t="shared" si="334"/>
        <v/>
      </c>
      <c r="J653" s="6" t="str">
        <f t="shared" si="335"/>
        <v/>
      </c>
      <c r="K653" s="120" t="str">
        <f t="shared" si="336"/>
        <v/>
      </c>
      <c r="L653" s="120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7"/>
      <c r="N653" s="7"/>
      <c r="O653" s="5"/>
    </row>
    <row r="654" spans="1:15" x14ac:dyDescent="0.25">
      <c r="A654" s="111"/>
      <c r="B654" s="4"/>
      <c r="C654" s="4"/>
      <c r="D654" s="6"/>
      <c r="E654" s="6"/>
      <c r="F654" s="109" t="str">
        <f t="shared" si="331"/>
        <v/>
      </c>
      <c r="G654" s="6" t="str">
        <f t="shared" si="332"/>
        <v/>
      </c>
      <c r="H654" s="6" t="str">
        <f t="shared" si="333"/>
        <v/>
      </c>
      <c r="I654" s="109" t="str">
        <f t="shared" si="334"/>
        <v/>
      </c>
      <c r="J654" s="6" t="str">
        <f t="shared" si="335"/>
        <v/>
      </c>
      <c r="K654" s="120" t="str">
        <f t="shared" si="336"/>
        <v/>
      </c>
      <c r="L654" s="120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7"/>
      <c r="N654" s="7"/>
      <c r="O654" s="5"/>
    </row>
    <row r="655" spans="1:15" x14ac:dyDescent="0.25">
      <c r="A655" s="111"/>
      <c r="B655" s="4"/>
      <c r="C655" s="4"/>
      <c r="D655" s="6"/>
      <c r="E655" s="6"/>
      <c r="F655" s="109" t="str">
        <f t="shared" si="331"/>
        <v/>
      </c>
      <c r="G655" s="6" t="str">
        <f t="shared" si="332"/>
        <v/>
      </c>
      <c r="H655" s="6" t="str">
        <f t="shared" si="333"/>
        <v/>
      </c>
      <c r="I655" s="109" t="str">
        <f t="shared" si="334"/>
        <v/>
      </c>
      <c r="J655" s="6" t="str">
        <f t="shared" si="335"/>
        <v/>
      </c>
      <c r="K655" s="120" t="str">
        <f t="shared" si="336"/>
        <v/>
      </c>
      <c r="L655" s="120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7"/>
      <c r="N655" s="7"/>
      <c r="O655" s="5"/>
    </row>
    <row r="656" spans="1:15" x14ac:dyDescent="0.25">
      <c r="A656" s="111"/>
      <c r="B656" s="4"/>
      <c r="C656" s="4"/>
      <c r="D656" s="6"/>
      <c r="E656" s="6"/>
      <c r="F656" s="109" t="str">
        <f t="shared" si="331"/>
        <v/>
      </c>
      <c r="G656" s="6" t="str">
        <f t="shared" si="332"/>
        <v/>
      </c>
      <c r="H656" s="6" t="str">
        <f t="shared" si="333"/>
        <v/>
      </c>
      <c r="I656" s="109" t="str">
        <f t="shared" si="334"/>
        <v/>
      </c>
      <c r="J656" s="6" t="str">
        <f t="shared" si="335"/>
        <v/>
      </c>
      <c r="K656" s="120" t="str">
        <f t="shared" si="336"/>
        <v/>
      </c>
      <c r="L656" s="120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7"/>
      <c r="N656" s="7"/>
      <c r="O656" s="5"/>
    </row>
    <row r="657" spans="1:15" x14ac:dyDescent="0.25">
      <c r="A657" s="111"/>
      <c r="B657" s="4"/>
      <c r="C657" s="4"/>
      <c r="D657" s="6"/>
      <c r="E657" s="6"/>
      <c r="F657" s="109" t="str">
        <f t="shared" si="331"/>
        <v/>
      </c>
      <c r="G657" s="6" t="str">
        <f t="shared" si="332"/>
        <v/>
      </c>
      <c r="H657" s="6" t="str">
        <f t="shared" si="333"/>
        <v/>
      </c>
      <c r="I657" s="109" t="str">
        <f t="shared" si="334"/>
        <v/>
      </c>
      <c r="J657" s="6" t="str">
        <f t="shared" si="335"/>
        <v/>
      </c>
      <c r="K657" s="120" t="str">
        <f t="shared" si="336"/>
        <v/>
      </c>
      <c r="L657" s="120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7"/>
      <c r="N657" s="7"/>
      <c r="O657" s="5"/>
    </row>
    <row r="658" spans="1:15" x14ac:dyDescent="0.25">
      <c r="A658" s="111"/>
      <c r="B658" s="4"/>
      <c r="C658" s="4"/>
      <c r="D658" s="6"/>
      <c r="E658" s="6"/>
      <c r="F658" s="109" t="str">
        <f t="shared" si="331"/>
        <v/>
      </c>
      <c r="G658" s="6" t="str">
        <f t="shared" si="332"/>
        <v/>
      </c>
      <c r="H658" s="6" t="str">
        <f t="shared" si="333"/>
        <v/>
      </c>
      <c r="I658" s="109" t="str">
        <f t="shared" si="334"/>
        <v/>
      </c>
      <c r="J658" s="6" t="str">
        <f t="shared" si="335"/>
        <v/>
      </c>
      <c r="K658" s="120" t="str">
        <f t="shared" si="336"/>
        <v/>
      </c>
      <c r="L658" s="120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7"/>
      <c r="N658" s="7"/>
      <c r="O658" s="5"/>
    </row>
    <row r="659" spans="1:15" x14ac:dyDescent="0.25">
      <c r="A659" s="111"/>
      <c r="B659" s="4"/>
      <c r="C659" s="4"/>
      <c r="D659" s="6"/>
      <c r="E659" s="6"/>
      <c r="F659" s="109" t="str">
        <f t="shared" ref="F659:F682" si="337">IF(ISBLANK(B659),"",IF(I659="L","Baixa",IF(I659="A","Média",IF(I659="","","Alta"))))</f>
        <v/>
      </c>
      <c r="G659" s="6" t="str">
        <f t="shared" ref="G659:G682" si="338">CONCATENATE(B659,I659)</f>
        <v/>
      </c>
      <c r="H659" s="6" t="str">
        <f t="shared" ref="H659:H682" si="339">IF(ISBLANK(B659),"",IF(B659="ALI",IF(I659="L",7,IF(I659="A",10,15)),IF(B659="AIE",IF(I659="L",5,IF(I659="A",7,10)),IF(B659="SE",IF(I659="L",4,IF(I659="A",5,7)),IF(OR(B659="EE",B659="CE"),IF(I659="L",3,IF(I659="A",4,6)),0)))))</f>
        <v/>
      </c>
      <c r="I659" s="109" t="str">
        <f t="shared" ref="I659:I682" si="340">IF(OR(ISBLANK(D659),ISBLANK(E659)),IF(OR(B659="ALI",B659="AIE"),"L",IF(OR(B659="EE",B659="SE",B659="CE"),"A","")),IF(B659="EE",IF(E659&gt;=3,IF(D659&gt;=5,"H","A"),IF(E659&gt;=2,IF(D659&gt;=16,"H",IF(D659&lt;=4,"L","A")),IF(D659&lt;=15,"L","A"))),IF(OR(B659="SE",B659="CE"),IF(E659&gt;=4,IF(D659&gt;=6,"H","A"),IF(E659&gt;=2,IF(D659&gt;=20,"H",IF(D659&lt;=5,"L","A")),IF(D659&lt;=19,"L","A"))),IF(OR(B659="ALI",B659="AIE"),IF(E659&gt;=6,IF(D659&gt;=20,"H","A"),IF(E659&gt;=2,IF(D659&gt;=51,"H",IF(D659&lt;=19,"L","A")),IF(D659&lt;=50,"L","A"))),""))))</f>
        <v/>
      </c>
      <c r="J659" s="6" t="str">
        <f t="shared" ref="J659:J682" si="341">CONCATENATE(B659,C659)</f>
        <v/>
      </c>
      <c r="K659" s="120" t="str">
        <f t="shared" si="336"/>
        <v/>
      </c>
      <c r="L659" s="120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7"/>
      <c r="N659" s="7"/>
      <c r="O659" s="5"/>
    </row>
    <row r="660" spans="1:15" x14ac:dyDescent="0.25">
      <c r="A660" s="111"/>
      <c r="B660" s="4"/>
      <c r="C660" s="4"/>
      <c r="D660" s="6"/>
      <c r="E660" s="6"/>
      <c r="F660" s="109" t="str">
        <f t="shared" si="337"/>
        <v/>
      </c>
      <c r="G660" s="6" t="str">
        <f t="shared" si="338"/>
        <v/>
      </c>
      <c r="H660" s="6" t="str">
        <f t="shared" si="339"/>
        <v/>
      </c>
      <c r="I660" s="109" t="str">
        <f t="shared" si="340"/>
        <v/>
      </c>
      <c r="J660" s="6" t="str">
        <f t="shared" si="341"/>
        <v/>
      </c>
      <c r="K660" s="120" t="str">
        <f t="shared" si="336"/>
        <v/>
      </c>
      <c r="L660" s="120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7"/>
      <c r="N660" s="7"/>
      <c r="O660" s="5"/>
    </row>
    <row r="661" spans="1:15" x14ac:dyDescent="0.25">
      <c r="A661" s="111"/>
      <c r="B661" s="4"/>
      <c r="C661" s="4"/>
      <c r="D661" s="6"/>
      <c r="E661" s="6"/>
      <c r="F661" s="109" t="str">
        <f t="shared" si="337"/>
        <v/>
      </c>
      <c r="G661" s="6" t="str">
        <f t="shared" si="338"/>
        <v/>
      </c>
      <c r="H661" s="6" t="str">
        <f t="shared" si="339"/>
        <v/>
      </c>
      <c r="I661" s="109" t="str">
        <f t="shared" si="340"/>
        <v/>
      </c>
      <c r="J661" s="6" t="str">
        <f t="shared" si="341"/>
        <v/>
      </c>
      <c r="K661" s="120" t="str">
        <f t="shared" ref="K661:K682" si="342">IF(OR(H661="",H661=0),L661,H661)</f>
        <v/>
      </c>
      <c r="L661" s="120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7"/>
      <c r="N661" s="7"/>
      <c r="O661" s="5"/>
    </row>
    <row r="662" spans="1:15" x14ac:dyDescent="0.25">
      <c r="A662" s="111"/>
      <c r="B662" s="4"/>
      <c r="C662" s="4"/>
      <c r="D662" s="6"/>
      <c r="E662" s="6"/>
      <c r="F662" s="109" t="str">
        <f t="shared" si="337"/>
        <v/>
      </c>
      <c r="G662" s="6" t="str">
        <f t="shared" si="338"/>
        <v/>
      </c>
      <c r="H662" s="6" t="str">
        <f t="shared" si="339"/>
        <v/>
      </c>
      <c r="I662" s="109" t="str">
        <f t="shared" si="340"/>
        <v/>
      </c>
      <c r="J662" s="6" t="str">
        <f t="shared" si="341"/>
        <v/>
      </c>
      <c r="K662" s="120" t="str">
        <f t="shared" si="342"/>
        <v/>
      </c>
      <c r="L662" s="120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7"/>
      <c r="N662" s="7"/>
      <c r="O662" s="5"/>
    </row>
    <row r="663" spans="1:15" x14ac:dyDescent="0.25">
      <c r="A663" s="111"/>
      <c r="B663" s="4"/>
      <c r="C663" s="4"/>
      <c r="D663" s="6"/>
      <c r="E663" s="6"/>
      <c r="F663" s="109" t="str">
        <f t="shared" si="337"/>
        <v/>
      </c>
      <c r="G663" s="6" t="str">
        <f t="shared" si="338"/>
        <v/>
      </c>
      <c r="H663" s="6" t="str">
        <f t="shared" si="339"/>
        <v/>
      </c>
      <c r="I663" s="109" t="str">
        <f t="shared" si="340"/>
        <v/>
      </c>
      <c r="J663" s="6" t="str">
        <f t="shared" si="341"/>
        <v/>
      </c>
      <c r="K663" s="120" t="str">
        <f t="shared" si="342"/>
        <v/>
      </c>
      <c r="L663" s="120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7"/>
      <c r="N663" s="7"/>
      <c r="O663" s="5"/>
    </row>
    <row r="664" spans="1:15" x14ac:dyDescent="0.25">
      <c r="A664" s="111"/>
      <c r="B664" s="4"/>
      <c r="C664" s="4"/>
      <c r="D664" s="6"/>
      <c r="E664" s="6"/>
      <c r="F664" s="109" t="str">
        <f t="shared" si="337"/>
        <v/>
      </c>
      <c r="G664" s="6" t="str">
        <f t="shared" si="338"/>
        <v/>
      </c>
      <c r="H664" s="6" t="str">
        <f t="shared" si="339"/>
        <v/>
      </c>
      <c r="I664" s="109" t="str">
        <f t="shared" si="340"/>
        <v/>
      </c>
      <c r="J664" s="6" t="str">
        <f t="shared" si="341"/>
        <v/>
      </c>
      <c r="K664" s="120" t="str">
        <f t="shared" si="342"/>
        <v/>
      </c>
      <c r="L664" s="120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7"/>
      <c r="N664" s="7"/>
      <c r="O664" s="5"/>
    </row>
    <row r="665" spans="1:15" x14ac:dyDescent="0.25">
      <c r="A665" s="111"/>
      <c r="B665" s="4"/>
      <c r="C665" s="4"/>
      <c r="D665" s="6"/>
      <c r="E665" s="6"/>
      <c r="F665" s="109" t="str">
        <f t="shared" si="337"/>
        <v/>
      </c>
      <c r="G665" s="6" t="str">
        <f t="shared" si="338"/>
        <v/>
      </c>
      <c r="H665" s="6" t="str">
        <f t="shared" si="339"/>
        <v/>
      </c>
      <c r="I665" s="109" t="str">
        <f t="shared" si="340"/>
        <v/>
      </c>
      <c r="J665" s="6" t="str">
        <f t="shared" si="341"/>
        <v/>
      </c>
      <c r="K665" s="120" t="str">
        <f t="shared" si="342"/>
        <v/>
      </c>
      <c r="L665" s="120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7"/>
      <c r="N665" s="7"/>
      <c r="O665" s="5"/>
    </row>
    <row r="666" spans="1:15" x14ac:dyDescent="0.25">
      <c r="A666" s="111"/>
      <c r="B666" s="4"/>
      <c r="C666" s="4"/>
      <c r="D666" s="6"/>
      <c r="E666" s="6"/>
      <c r="F666" s="109" t="str">
        <f t="shared" si="337"/>
        <v/>
      </c>
      <c r="G666" s="6" t="str">
        <f t="shared" si="338"/>
        <v/>
      </c>
      <c r="H666" s="6" t="str">
        <f t="shared" si="339"/>
        <v/>
      </c>
      <c r="I666" s="109" t="str">
        <f t="shared" si="340"/>
        <v/>
      </c>
      <c r="J666" s="6" t="str">
        <f t="shared" si="341"/>
        <v/>
      </c>
      <c r="K666" s="120" t="str">
        <f t="shared" si="342"/>
        <v/>
      </c>
      <c r="L666" s="120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7"/>
      <c r="N666" s="7"/>
      <c r="O666" s="5"/>
    </row>
    <row r="667" spans="1:15" x14ac:dyDescent="0.25">
      <c r="A667" s="111"/>
      <c r="B667" s="4"/>
      <c r="C667" s="4"/>
      <c r="D667" s="6"/>
      <c r="E667" s="6"/>
      <c r="F667" s="109" t="str">
        <f t="shared" si="337"/>
        <v/>
      </c>
      <c r="G667" s="6" t="str">
        <f t="shared" si="338"/>
        <v/>
      </c>
      <c r="H667" s="6" t="str">
        <f t="shared" si="339"/>
        <v/>
      </c>
      <c r="I667" s="109" t="str">
        <f t="shared" si="340"/>
        <v/>
      </c>
      <c r="J667" s="6" t="str">
        <f t="shared" si="341"/>
        <v/>
      </c>
      <c r="K667" s="120" t="str">
        <f t="shared" si="342"/>
        <v/>
      </c>
      <c r="L667" s="120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7"/>
      <c r="N667" s="7"/>
      <c r="O667" s="5"/>
    </row>
    <row r="668" spans="1:15" x14ac:dyDescent="0.25">
      <c r="A668" s="111"/>
      <c r="B668" s="4"/>
      <c r="C668" s="4"/>
      <c r="D668" s="6"/>
      <c r="E668" s="6"/>
      <c r="F668" s="109" t="str">
        <f t="shared" si="337"/>
        <v/>
      </c>
      <c r="G668" s="6" t="str">
        <f t="shared" si="338"/>
        <v/>
      </c>
      <c r="H668" s="6" t="str">
        <f t="shared" si="339"/>
        <v/>
      </c>
      <c r="I668" s="109" t="str">
        <f t="shared" si="340"/>
        <v/>
      </c>
      <c r="J668" s="6" t="str">
        <f t="shared" si="341"/>
        <v/>
      </c>
      <c r="K668" s="120" t="str">
        <f t="shared" si="342"/>
        <v/>
      </c>
      <c r="L668" s="120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7"/>
      <c r="N668" s="7"/>
      <c r="O668" s="5"/>
    </row>
    <row r="669" spans="1:15" x14ac:dyDescent="0.25">
      <c r="A669" s="111"/>
      <c r="B669" s="4"/>
      <c r="C669" s="4"/>
      <c r="D669" s="6"/>
      <c r="E669" s="6"/>
      <c r="F669" s="109" t="str">
        <f t="shared" si="337"/>
        <v/>
      </c>
      <c r="G669" s="6" t="str">
        <f t="shared" si="338"/>
        <v/>
      </c>
      <c r="H669" s="6" t="str">
        <f t="shared" si="339"/>
        <v/>
      </c>
      <c r="I669" s="109" t="str">
        <f t="shared" si="340"/>
        <v/>
      </c>
      <c r="J669" s="6" t="str">
        <f t="shared" si="341"/>
        <v/>
      </c>
      <c r="K669" s="120" t="str">
        <f t="shared" si="342"/>
        <v/>
      </c>
      <c r="L669" s="120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7"/>
      <c r="N669" s="7"/>
      <c r="O669" s="5"/>
    </row>
    <row r="670" spans="1:15" x14ac:dyDescent="0.25">
      <c r="A670" s="111"/>
      <c r="B670" s="4"/>
      <c r="C670" s="4"/>
      <c r="D670" s="6"/>
      <c r="E670" s="6"/>
      <c r="F670" s="109" t="str">
        <f t="shared" si="337"/>
        <v/>
      </c>
      <c r="G670" s="6" t="str">
        <f t="shared" si="338"/>
        <v/>
      </c>
      <c r="H670" s="6" t="str">
        <f t="shared" si="339"/>
        <v/>
      </c>
      <c r="I670" s="109" t="str">
        <f t="shared" si="340"/>
        <v/>
      </c>
      <c r="J670" s="6" t="str">
        <f t="shared" si="341"/>
        <v/>
      </c>
      <c r="K670" s="120" t="str">
        <f t="shared" si="342"/>
        <v/>
      </c>
      <c r="L670" s="120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7"/>
      <c r="N670" s="7"/>
      <c r="O670" s="5"/>
    </row>
    <row r="671" spans="1:15" x14ac:dyDescent="0.25">
      <c r="A671" s="111"/>
      <c r="B671" s="4"/>
      <c r="C671" s="4"/>
      <c r="D671" s="6"/>
      <c r="E671" s="6"/>
      <c r="F671" s="109" t="str">
        <f t="shared" si="337"/>
        <v/>
      </c>
      <c r="G671" s="6" t="str">
        <f t="shared" si="338"/>
        <v/>
      </c>
      <c r="H671" s="6" t="str">
        <f t="shared" si="339"/>
        <v/>
      </c>
      <c r="I671" s="109" t="str">
        <f t="shared" si="340"/>
        <v/>
      </c>
      <c r="J671" s="6" t="str">
        <f t="shared" si="341"/>
        <v/>
      </c>
      <c r="K671" s="120" t="str">
        <f t="shared" si="342"/>
        <v/>
      </c>
      <c r="L671" s="120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7"/>
      <c r="N671" s="7"/>
      <c r="O671" s="5"/>
    </row>
    <row r="672" spans="1:15" x14ac:dyDescent="0.25">
      <c r="A672" s="111"/>
      <c r="B672" s="4"/>
      <c r="C672" s="4"/>
      <c r="D672" s="6"/>
      <c r="E672" s="6"/>
      <c r="F672" s="109" t="str">
        <f t="shared" si="337"/>
        <v/>
      </c>
      <c r="G672" s="6" t="str">
        <f t="shared" si="338"/>
        <v/>
      </c>
      <c r="H672" s="6" t="str">
        <f t="shared" si="339"/>
        <v/>
      </c>
      <c r="I672" s="109" t="str">
        <f t="shared" si="340"/>
        <v/>
      </c>
      <c r="J672" s="6" t="str">
        <f t="shared" si="341"/>
        <v/>
      </c>
      <c r="K672" s="120" t="str">
        <f t="shared" si="342"/>
        <v/>
      </c>
      <c r="L672" s="120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7"/>
      <c r="N672" s="7"/>
      <c r="O672" s="5"/>
    </row>
    <row r="673" spans="1:15" x14ac:dyDescent="0.25">
      <c r="A673" s="111"/>
      <c r="B673" s="4"/>
      <c r="C673" s="4"/>
      <c r="D673" s="6"/>
      <c r="E673" s="6"/>
      <c r="F673" s="109" t="str">
        <f t="shared" si="337"/>
        <v/>
      </c>
      <c r="G673" s="6" t="str">
        <f t="shared" si="338"/>
        <v/>
      </c>
      <c r="H673" s="6" t="str">
        <f t="shared" si="339"/>
        <v/>
      </c>
      <c r="I673" s="109" t="str">
        <f t="shared" si="340"/>
        <v/>
      </c>
      <c r="J673" s="6" t="str">
        <f t="shared" si="341"/>
        <v/>
      </c>
      <c r="K673" s="120" t="str">
        <f t="shared" si="342"/>
        <v/>
      </c>
      <c r="L673" s="120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7"/>
      <c r="N673" s="7"/>
      <c r="O673" s="5"/>
    </row>
    <row r="674" spans="1:15" x14ac:dyDescent="0.25">
      <c r="A674" s="111"/>
      <c r="B674" s="4"/>
      <c r="C674" s="4"/>
      <c r="D674" s="6"/>
      <c r="E674" s="6"/>
      <c r="F674" s="109" t="str">
        <f t="shared" si="337"/>
        <v/>
      </c>
      <c r="G674" s="6" t="str">
        <f t="shared" si="338"/>
        <v/>
      </c>
      <c r="H674" s="6" t="str">
        <f t="shared" si="339"/>
        <v/>
      </c>
      <c r="I674" s="109" t="str">
        <f t="shared" si="340"/>
        <v/>
      </c>
      <c r="J674" s="6" t="str">
        <f t="shared" si="341"/>
        <v/>
      </c>
      <c r="K674" s="120" t="str">
        <f t="shared" si="342"/>
        <v/>
      </c>
      <c r="L674" s="120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7"/>
      <c r="N674" s="7"/>
      <c r="O674" s="5"/>
    </row>
    <row r="675" spans="1:15" x14ac:dyDescent="0.25">
      <c r="A675" s="111"/>
      <c r="B675" s="4"/>
      <c r="C675" s="4"/>
      <c r="D675" s="6"/>
      <c r="E675" s="6"/>
      <c r="F675" s="109" t="str">
        <f t="shared" si="337"/>
        <v/>
      </c>
      <c r="G675" s="6" t="str">
        <f t="shared" si="338"/>
        <v/>
      </c>
      <c r="H675" s="6" t="str">
        <f t="shared" si="339"/>
        <v/>
      </c>
      <c r="I675" s="109" t="str">
        <f t="shared" si="340"/>
        <v/>
      </c>
      <c r="J675" s="6" t="str">
        <f t="shared" si="341"/>
        <v/>
      </c>
      <c r="K675" s="120" t="str">
        <f t="shared" si="342"/>
        <v/>
      </c>
      <c r="L675" s="120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7"/>
      <c r="N675" s="7"/>
      <c r="O675" s="5"/>
    </row>
    <row r="676" spans="1:15" x14ac:dyDescent="0.25">
      <c r="A676" s="111"/>
      <c r="B676" s="4"/>
      <c r="C676" s="4"/>
      <c r="D676" s="6"/>
      <c r="E676" s="6"/>
      <c r="F676" s="109" t="str">
        <f t="shared" si="337"/>
        <v/>
      </c>
      <c r="G676" s="6" t="str">
        <f t="shared" si="338"/>
        <v/>
      </c>
      <c r="H676" s="6" t="str">
        <f t="shared" si="339"/>
        <v/>
      </c>
      <c r="I676" s="109" t="str">
        <f t="shared" si="340"/>
        <v/>
      </c>
      <c r="J676" s="6" t="str">
        <f t="shared" si="341"/>
        <v/>
      </c>
      <c r="K676" s="120" t="str">
        <f t="shared" si="342"/>
        <v/>
      </c>
      <c r="L676" s="120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7"/>
      <c r="N676" s="7"/>
      <c r="O676" s="5"/>
    </row>
    <row r="677" spans="1:15" x14ac:dyDescent="0.25">
      <c r="A677" s="111"/>
      <c r="B677" s="4"/>
      <c r="C677" s="4"/>
      <c r="D677" s="6"/>
      <c r="E677" s="6"/>
      <c r="F677" s="109" t="str">
        <f t="shared" si="337"/>
        <v/>
      </c>
      <c r="G677" s="6" t="str">
        <f t="shared" si="338"/>
        <v/>
      </c>
      <c r="H677" s="6" t="str">
        <f t="shared" si="339"/>
        <v/>
      </c>
      <c r="I677" s="109" t="str">
        <f t="shared" si="340"/>
        <v/>
      </c>
      <c r="J677" s="6" t="str">
        <f t="shared" si="341"/>
        <v/>
      </c>
      <c r="K677" s="120" t="str">
        <f t="shared" si="342"/>
        <v/>
      </c>
      <c r="L677" s="120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7"/>
      <c r="N677" s="7"/>
      <c r="O677" s="5"/>
    </row>
    <row r="678" spans="1:15" x14ac:dyDescent="0.25">
      <c r="A678" s="111"/>
      <c r="B678" s="4"/>
      <c r="C678" s="4"/>
      <c r="D678" s="6"/>
      <c r="E678" s="6"/>
      <c r="F678" s="109" t="str">
        <f t="shared" si="337"/>
        <v/>
      </c>
      <c r="G678" s="6" t="str">
        <f t="shared" si="338"/>
        <v/>
      </c>
      <c r="H678" s="6" t="str">
        <f t="shared" si="339"/>
        <v/>
      </c>
      <c r="I678" s="109" t="str">
        <f t="shared" si="340"/>
        <v/>
      </c>
      <c r="J678" s="6" t="str">
        <f t="shared" si="341"/>
        <v/>
      </c>
      <c r="K678" s="120" t="str">
        <f t="shared" si="342"/>
        <v/>
      </c>
      <c r="L678" s="120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7"/>
      <c r="N678" s="7"/>
      <c r="O678" s="5"/>
    </row>
    <row r="679" spans="1:15" x14ac:dyDescent="0.25">
      <c r="A679" s="111"/>
      <c r="B679" s="4"/>
      <c r="C679" s="4"/>
      <c r="D679" s="6"/>
      <c r="E679" s="6"/>
      <c r="F679" s="109" t="str">
        <f t="shared" si="337"/>
        <v/>
      </c>
      <c r="G679" s="6" t="str">
        <f t="shared" si="338"/>
        <v/>
      </c>
      <c r="H679" s="6" t="str">
        <f t="shared" si="339"/>
        <v/>
      </c>
      <c r="I679" s="109" t="str">
        <f t="shared" si="340"/>
        <v/>
      </c>
      <c r="J679" s="6" t="str">
        <f t="shared" si="341"/>
        <v/>
      </c>
      <c r="K679" s="120" t="str">
        <f t="shared" si="342"/>
        <v/>
      </c>
      <c r="L679" s="120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7"/>
      <c r="N679" s="7"/>
      <c r="O679" s="5"/>
    </row>
    <row r="680" spans="1:15" x14ac:dyDescent="0.25">
      <c r="A680" s="111"/>
      <c r="B680" s="4"/>
      <c r="C680" s="4"/>
      <c r="D680" s="6"/>
      <c r="E680" s="6"/>
      <c r="F680" s="109" t="str">
        <f t="shared" si="337"/>
        <v/>
      </c>
      <c r="G680" s="6" t="str">
        <f t="shared" si="338"/>
        <v/>
      </c>
      <c r="H680" s="6" t="str">
        <f t="shared" si="339"/>
        <v/>
      </c>
      <c r="I680" s="109" t="str">
        <f t="shared" si="340"/>
        <v/>
      </c>
      <c r="J680" s="6" t="str">
        <f t="shared" si="341"/>
        <v/>
      </c>
      <c r="K680" s="120" t="str">
        <f t="shared" si="342"/>
        <v/>
      </c>
      <c r="L680" s="120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7"/>
      <c r="N680" s="7"/>
      <c r="O680" s="5"/>
    </row>
    <row r="681" spans="1:15" x14ac:dyDescent="0.25">
      <c r="A681" s="111"/>
      <c r="B681" s="4"/>
      <c r="C681" s="4"/>
      <c r="D681" s="6"/>
      <c r="E681" s="6"/>
      <c r="F681" s="109" t="str">
        <f t="shared" si="337"/>
        <v/>
      </c>
      <c r="G681" s="6" t="str">
        <f t="shared" si="338"/>
        <v/>
      </c>
      <c r="H681" s="6" t="str">
        <f t="shared" si="339"/>
        <v/>
      </c>
      <c r="I681" s="109" t="str">
        <f t="shared" si="340"/>
        <v/>
      </c>
      <c r="J681" s="6" t="str">
        <f t="shared" si="341"/>
        <v/>
      </c>
      <c r="K681" s="120" t="str">
        <f t="shared" si="342"/>
        <v/>
      </c>
      <c r="L681" s="120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7"/>
      <c r="N681" s="7"/>
      <c r="O681" s="5"/>
    </row>
    <row r="682" spans="1:15" ht="13" thickBot="1" x14ac:dyDescent="0.3">
      <c r="A682" s="112"/>
      <c r="B682" s="8"/>
      <c r="C682" s="8"/>
      <c r="D682" s="9"/>
      <c r="E682" s="9"/>
      <c r="F682" s="10" t="str">
        <f t="shared" si="337"/>
        <v/>
      </c>
      <c r="G682" s="10" t="str">
        <f t="shared" si="338"/>
        <v/>
      </c>
      <c r="H682" s="10" t="str">
        <f t="shared" si="339"/>
        <v/>
      </c>
      <c r="I682" s="10" t="str">
        <f t="shared" si="340"/>
        <v/>
      </c>
      <c r="J682" s="10" t="str">
        <f t="shared" si="341"/>
        <v/>
      </c>
      <c r="K682" s="10" t="str">
        <f t="shared" si="342"/>
        <v/>
      </c>
      <c r="L682" s="10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11"/>
    </row>
  </sheetData>
  <sheetProtection selectLockedCells="1" selectUnlockedCells="1"/>
  <autoFilter ref="A7:O682" xr:uid="{00000000-0001-0000-0100-000000000000}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A19:A20 D62:E67 A66:B67 D70:E75 A74:A75 A79:B80 D96 D111:E115 D118:E119">
    <cfRule type="expression" dxfId="30" priority="184" stopIfTrue="1">
      <formula>$C19="R"</formula>
    </cfRule>
  </conditionalFormatting>
  <conditionalFormatting sqref="A72">
    <cfRule type="expression" dxfId="29" priority="139" stopIfTrue="1">
      <formula>$C72="R"</formula>
    </cfRule>
  </conditionalFormatting>
  <conditionalFormatting sqref="A10:B10">
    <cfRule type="expression" dxfId="28" priority="49" stopIfTrue="1">
      <formula>$C10="R"</formula>
    </cfRule>
  </conditionalFormatting>
  <conditionalFormatting sqref="A27:B31">
    <cfRule type="expression" dxfId="27" priority="175" stopIfTrue="1">
      <formula>$C27="R"</formula>
    </cfRule>
  </conditionalFormatting>
  <conditionalFormatting sqref="A37:B40">
    <cfRule type="expression" dxfId="26" priority="163" stopIfTrue="1">
      <formula>$C37="R"</formula>
    </cfRule>
  </conditionalFormatting>
  <conditionalFormatting sqref="A62:B62">
    <cfRule type="expression" dxfId="25" priority="143" stopIfTrue="1">
      <formula>$C62="R"</formula>
    </cfRule>
  </conditionalFormatting>
  <conditionalFormatting sqref="A114:B115">
    <cfRule type="expression" dxfId="24" priority="84" stopIfTrue="1">
      <formula>$C114="R"</formula>
    </cfRule>
  </conditionalFormatting>
  <conditionalFormatting sqref="A136:B136">
    <cfRule type="expression" dxfId="23" priority="24" stopIfTrue="1">
      <formula>$C136="R"</formula>
    </cfRule>
  </conditionalFormatting>
  <conditionalFormatting sqref="B34:B36">
    <cfRule type="expression" dxfId="22" priority="63" stopIfTrue="1">
      <formula>$C34="R"</formula>
    </cfRule>
  </conditionalFormatting>
  <conditionalFormatting sqref="B53:B56 A57:B59">
    <cfRule type="expression" dxfId="21" priority="156" stopIfTrue="1">
      <formula>$C53="R"</formula>
    </cfRule>
  </conditionalFormatting>
  <conditionalFormatting sqref="B78">
    <cfRule type="expression" dxfId="20" priority="59" stopIfTrue="1">
      <formula>$C78="R"</formula>
    </cfRule>
  </conditionalFormatting>
  <conditionalFormatting sqref="B83:B84">
    <cfRule type="expression" dxfId="19" priority="123" stopIfTrue="1">
      <formula>$C83="R"</formula>
    </cfRule>
  </conditionalFormatting>
  <conditionalFormatting sqref="B112:B113">
    <cfRule type="expression" dxfId="18" priority="91" stopIfTrue="1">
      <formula>$C112="R"</formula>
    </cfRule>
  </conditionalFormatting>
  <conditionalFormatting sqref="B119">
    <cfRule type="expression" dxfId="17" priority="66" stopIfTrue="1">
      <formula>$C119="R"</formula>
    </cfRule>
  </conditionalFormatting>
  <conditionalFormatting sqref="C8:C682">
    <cfRule type="cellIs" dxfId="16" priority="1" stopIfTrue="1" operator="equal">
      <formula>"I"</formula>
    </cfRule>
    <cfRule type="cellIs" dxfId="15" priority="2" stopIfTrue="1" operator="equal">
      <formula>"A"</formula>
    </cfRule>
    <cfRule type="cellIs" dxfId="14" priority="3" stopIfTrue="1" operator="equal">
      <formula>"E"</formula>
    </cfRule>
  </conditionalFormatting>
  <conditionalFormatting sqref="D10:E10">
    <cfRule type="expression" dxfId="13" priority="48" stopIfTrue="1">
      <formula>$C10="R"</formula>
    </cfRule>
  </conditionalFormatting>
  <conditionalFormatting sqref="D15:E18 D19:D20">
    <cfRule type="expression" dxfId="12" priority="178" stopIfTrue="1">
      <formula>$C15="R"</formula>
    </cfRule>
  </conditionalFormatting>
  <conditionalFormatting sqref="D23:E23 D25:E31">
    <cfRule type="expression" dxfId="11" priority="51" stopIfTrue="1">
      <formula>$C23="R"</formula>
    </cfRule>
  </conditionalFormatting>
  <conditionalFormatting sqref="D34:E40">
    <cfRule type="expression" dxfId="10" priority="50" stopIfTrue="1">
      <formula>$C34="R"</formula>
    </cfRule>
  </conditionalFormatting>
  <conditionalFormatting sqref="D43:E59">
    <cfRule type="expression" dxfId="9" priority="30" stopIfTrue="1">
      <formula>$C43="R"</formula>
    </cfRule>
  </conditionalFormatting>
  <conditionalFormatting sqref="D78:E80">
    <cfRule type="expression" dxfId="8" priority="56" stopIfTrue="1">
      <formula>$C78="R"</formula>
    </cfRule>
  </conditionalFormatting>
  <conditionalFormatting sqref="D83:E85">
    <cfRule type="expression" dxfId="7" priority="67" stopIfTrue="1">
      <formula>$C83="R"</formula>
    </cfRule>
  </conditionalFormatting>
  <conditionalFormatting sqref="D88:E88 D89">
    <cfRule type="expression" dxfId="6" priority="86" stopIfTrue="1">
      <formula>$C88="R"</formula>
    </cfRule>
  </conditionalFormatting>
  <conditionalFormatting sqref="D101:E103">
    <cfRule type="expression" dxfId="5" priority="27" stopIfTrue="1">
      <formula>$C101="R"</formula>
    </cfRule>
  </conditionalFormatting>
  <conditionalFormatting sqref="D123:E125">
    <cfRule type="expression" dxfId="4" priority="25" stopIfTrue="1">
      <formula>$C123="R"</formula>
    </cfRule>
  </conditionalFormatting>
  <conditionalFormatting sqref="D136:E136">
    <cfRule type="expression" dxfId="3" priority="23" stopIfTrue="1">
      <formula>$C136="R"</formula>
    </cfRule>
  </conditionalFormatting>
  <conditionalFormatting sqref="E122">
    <cfRule type="expression" dxfId="2" priority="41" stopIfTrue="1">
      <formula>$C122="R"</formula>
    </cfRule>
  </conditionalFormatting>
  <conditionalFormatting sqref="E126:E129">
    <cfRule type="expression" dxfId="1" priority="36" stopIfTrue="1">
      <formula>$C126="R"</formula>
    </cfRule>
  </conditionalFormatting>
  <conditionalFormatting sqref="E131">
    <cfRule type="expression" dxfId="0" priority="35" stopIfTrue="1">
      <formula>$C131="R"</formula>
    </cfRule>
  </conditionalFormatting>
  <dataValidations count="3">
    <dataValidation type="list" operator="equal" allowBlank="1" showInputMessage="1" showErrorMessage="1" promptTitle="Tipo da Função" prompt="ALI, AIE, EE, SE, CE_x000a_ou_x000a_Itens não mensuráveis" sqref="B60:B61 B32:B33 B81:B82 B11:B26 B85:B111 B63:B65 B41:B52 B116:B118 B68:B77 B8:B9 B120:B135 B137:B682" xr:uid="{00000000-0002-0000-0100-000000000000}">
      <formula1>TiposDeFuncao</formula1>
      <formula2>0</formula2>
    </dataValidation>
    <dataValidation type="list" allowBlank="1" showInputMessage="1" showErrorMessage="1" sqref="B27:B31 B10 B34:B40 B66:B67 B53:B59 B78:B80 B83:B84 B119 B112:B115 B62 B136" xr:uid="{00000000-0002-0000-0100-000001000000}">
      <formula1>"ALI,AIE,EE,CE,SE,Nenhum"</formula1>
    </dataValidation>
    <dataValidation type="list" operator="equal" allowBlank="1" showInputMessage="1" showErrorMessage="1" promptTitle="Tipo de Manutenção na Função" prompt="I, A, E _x000a_ou_x000a_Itens não mensuráveis" sqref="C8:C682" xr:uid="{00000000-0002-0000-0100-000002000000}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L64"/>
  <sheetViews>
    <sheetView showGridLines="0" zoomScaleNormal="100" zoomScaleSheetLayoutView="100" workbookViewId="0">
      <pane ySplit="1" topLeftCell="A2" activePane="bottomLeft" state="frozen"/>
      <selection activeCell="B11" sqref="B11"/>
      <selection pane="bottomLeft" activeCell="B22" sqref="B22:G22"/>
    </sheetView>
  </sheetViews>
  <sheetFormatPr defaultColWidth="11.54296875" defaultRowHeight="12.5" x14ac:dyDescent="0.25"/>
  <cols>
    <col min="4" max="4" width="10.81640625" customWidth="1"/>
    <col min="5" max="5" width="23.1796875" customWidth="1"/>
    <col min="6" max="6" width="53.1796875" customWidth="1"/>
    <col min="7" max="7" width="7.81640625" style="12" customWidth="1"/>
    <col min="8" max="8" width="13.1796875" style="13" customWidth="1"/>
    <col min="9" max="9" width="9.81640625" style="13" customWidth="1"/>
    <col min="10" max="11" width="10.54296875" customWidth="1"/>
    <col min="12" max="12" width="0" style="12" hidden="1" customWidth="1"/>
  </cols>
  <sheetData>
    <row r="1" spans="1:12" ht="36.65" customHeight="1" x14ac:dyDescent="0.35">
      <c r="A1" s="143" t="s">
        <v>145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"/>
    </row>
    <row r="2" spans="1:12" ht="14.9" customHeight="1" x14ac:dyDescent="0.25">
      <c r="A2" s="159" t="s">
        <v>146</v>
      </c>
      <c r="B2" s="159"/>
      <c r="C2" s="159"/>
      <c r="D2" s="159"/>
      <c r="E2" s="159"/>
      <c r="F2" s="159"/>
      <c r="G2" s="157" t="s">
        <v>147</v>
      </c>
      <c r="H2" s="157" t="s">
        <v>148</v>
      </c>
      <c r="I2" s="157"/>
      <c r="J2" s="157" t="s">
        <v>3</v>
      </c>
      <c r="K2" s="158" t="s">
        <v>149</v>
      </c>
    </row>
    <row r="3" spans="1:12" ht="14.9" customHeight="1" x14ac:dyDescent="0.25">
      <c r="A3" s="15" t="s">
        <v>150</v>
      </c>
      <c r="B3" s="157" t="s">
        <v>151</v>
      </c>
      <c r="C3" s="157"/>
      <c r="D3" s="157"/>
      <c r="E3" s="157"/>
      <c r="F3" s="16" t="s">
        <v>152</v>
      </c>
      <c r="G3" s="157"/>
      <c r="H3" s="16" t="s">
        <v>153</v>
      </c>
      <c r="I3" s="16" t="s">
        <v>154</v>
      </c>
      <c r="J3" s="157"/>
      <c r="K3" s="158"/>
    </row>
    <row r="4" spans="1:12" x14ac:dyDescent="0.25">
      <c r="A4" s="3" t="s">
        <v>155</v>
      </c>
      <c r="B4" s="140" t="s">
        <v>156</v>
      </c>
      <c r="C4" s="140"/>
      <c r="D4" s="140"/>
      <c r="E4" s="140"/>
      <c r="F4" s="2"/>
      <c r="G4" s="17" t="s">
        <v>48</v>
      </c>
      <c r="H4" s="91">
        <v>1</v>
      </c>
      <c r="I4" s="92"/>
      <c r="J4" s="93">
        <f>SUMIF(Funções!$C$12:$C$682,Deflatores!G4,Funções!$H$12:$H$682)</f>
        <v>486</v>
      </c>
      <c r="K4" s="94">
        <f>IF(H4="",COUNTIF(Funções!C$12:C$682,G4)*I4,H4*J4)</f>
        <v>486</v>
      </c>
    </row>
    <row r="5" spans="1:12" x14ac:dyDescent="0.25">
      <c r="A5" s="3" t="s">
        <v>157</v>
      </c>
      <c r="B5" s="140" t="s">
        <v>158</v>
      </c>
      <c r="C5" s="140"/>
      <c r="D5" s="140"/>
      <c r="E5" s="140"/>
      <c r="F5" s="2" t="s">
        <v>159</v>
      </c>
      <c r="G5" s="17" t="s">
        <v>160</v>
      </c>
      <c r="H5" s="91">
        <v>0.5</v>
      </c>
      <c r="I5" s="92"/>
      <c r="J5" s="93">
        <f>SUMIF(Funções!$C$12:$C$682,Deflatores!G5,Funções!$H$12:$H$682)</f>
        <v>0</v>
      </c>
      <c r="K5" s="94">
        <f>IF(H5="",COUNTIF(Funções!C$12:C$682,G5)*I5,H5*J5)</f>
        <v>0</v>
      </c>
    </row>
    <row r="6" spans="1:12" x14ac:dyDescent="0.25">
      <c r="A6" s="3" t="s">
        <v>161</v>
      </c>
      <c r="B6" s="140" t="s">
        <v>162</v>
      </c>
      <c r="C6" s="140"/>
      <c r="D6" s="140"/>
      <c r="E6" s="140"/>
      <c r="F6" s="2" t="s">
        <v>159</v>
      </c>
      <c r="G6" s="17" t="s">
        <v>68</v>
      </c>
      <c r="H6" s="91">
        <v>0.4</v>
      </c>
      <c r="I6" s="92"/>
      <c r="J6" s="93">
        <f>SUMIF(Funções!$C$12:$C$682,Deflatores!G6,Funções!$H$12:$H$682)</f>
        <v>47</v>
      </c>
      <c r="K6" s="94">
        <f>IF(H6="",COUNTIF(Funções!C$12:C$682,G6)*I6,H6*J6)</f>
        <v>18.8</v>
      </c>
    </row>
    <row r="7" spans="1:12" x14ac:dyDescent="0.25">
      <c r="A7" s="3"/>
      <c r="B7" s="140" t="s">
        <v>163</v>
      </c>
      <c r="C7" s="140"/>
      <c r="D7" s="140"/>
      <c r="E7" s="140"/>
      <c r="F7" s="2" t="s">
        <v>159</v>
      </c>
      <c r="G7" s="17" t="s">
        <v>55</v>
      </c>
      <c r="H7" s="91">
        <v>0.5</v>
      </c>
      <c r="I7" s="92"/>
      <c r="J7" s="93">
        <f>SUMIF(Funções!$C$12:$C$682,Deflatores!G7,Funções!$H$12:$H$682)</f>
        <v>0</v>
      </c>
      <c r="K7" s="94">
        <f>IF(H7="",COUNTIF(Funções!C$12:C$682,G7)*I7,H7*J7)</f>
        <v>0</v>
      </c>
    </row>
    <row r="8" spans="1:12" x14ac:dyDescent="0.25">
      <c r="A8" s="3"/>
      <c r="B8" s="140" t="s">
        <v>164</v>
      </c>
      <c r="C8" s="140"/>
      <c r="D8" s="140"/>
      <c r="E8" s="140"/>
      <c r="F8" s="2" t="s">
        <v>159</v>
      </c>
      <c r="G8" s="17" t="s">
        <v>165</v>
      </c>
      <c r="H8" s="91">
        <v>0.75</v>
      </c>
      <c r="I8" s="92"/>
      <c r="J8" s="93">
        <f>SUMIF(Funções!$C$12:$C$682,Deflatores!G8,Funções!$H$12:$H$682)</f>
        <v>0</v>
      </c>
      <c r="K8" s="94">
        <f>IF(H8="",COUNTIF(Funções!C$12:C$682,G8)*I8,H8*J8)</f>
        <v>0</v>
      </c>
    </row>
    <row r="9" spans="1:12" x14ac:dyDescent="0.25">
      <c r="A9" s="3"/>
      <c r="B9" s="140" t="s">
        <v>166</v>
      </c>
      <c r="C9" s="140"/>
      <c r="D9" s="140"/>
      <c r="E9" s="140"/>
      <c r="F9" s="2" t="s">
        <v>159</v>
      </c>
      <c r="G9" s="17" t="s">
        <v>167</v>
      </c>
      <c r="H9" s="91">
        <v>0.9</v>
      </c>
      <c r="I9" s="92"/>
      <c r="J9" s="93">
        <f>SUMIF(Funções!$C$12:$C$682,Deflatores!G9,Funções!$H$12:$H$682)</f>
        <v>0</v>
      </c>
      <c r="K9" s="94">
        <f>IF(H9="",COUNTIF(Funções!C$12:C$682,G9)*I9,H9*J9)</f>
        <v>0</v>
      </c>
    </row>
    <row r="10" spans="1:12" x14ac:dyDescent="0.25">
      <c r="A10" s="3"/>
      <c r="B10" s="140" t="s">
        <v>168</v>
      </c>
      <c r="C10" s="140"/>
      <c r="D10" s="140"/>
      <c r="E10" s="140"/>
      <c r="F10" s="2" t="s">
        <v>169</v>
      </c>
      <c r="G10" s="17" t="s">
        <v>170</v>
      </c>
      <c r="H10" s="91">
        <v>1</v>
      </c>
      <c r="I10" s="92"/>
      <c r="J10" s="93">
        <f>SUMIF(Funções!$C$12:$C$682,Deflatores!G10,Funções!$H$12:$H$682)</f>
        <v>0</v>
      </c>
      <c r="K10" s="94">
        <f>IF(H10="",COUNTIF(Funções!C$12:C$682,G10)*I10,H10*J10)</f>
        <v>0</v>
      </c>
    </row>
    <row r="11" spans="1:12" x14ac:dyDescent="0.25">
      <c r="A11" s="3"/>
      <c r="B11" s="140" t="s">
        <v>171</v>
      </c>
      <c r="C11" s="140"/>
      <c r="D11" s="140"/>
      <c r="E11" s="140"/>
      <c r="F11" s="2" t="s">
        <v>172</v>
      </c>
      <c r="G11" s="17" t="s">
        <v>173</v>
      </c>
      <c r="H11" s="91">
        <v>0.5</v>
      </c>
      <c r="I11" s="92"/>
      <c r="J11" s="93">
        <f>SUMIF(Funções!$C$12:$C$682,Deflatores!G11,Funções!$H$12:$H$682)</f>
        <v>0</v>
      </c>
      <c r="K11" s="94">
        <f>IF(H11="",COUNTIF(Funções!C$12:C$682,G11)*I11,H11*J11)</f>
        <v>0</v>
      </c>
    </row>
    <row r="12" spans="1:12" ht="13.5" customHeight="1" x14ac:dyDescent="0.25">
      <c r="A12" s="3"/>
      <c r="B12" s="140" t="s">
        <v>174</v>
      </c>
      <c r="C12" s="140"/>
      <c r="D12" s="140"/>
      <c r="E12" s="140"/>
      <c r="F12" s="2" t="s">
        <v>172</v>
      </c>
      <c r="G12" s="17" t="s">
        <v>175</v>
      </c>
      <c r="H12" s="91">
        <v>0.5</v>
      </c>
      <c r="I12" s="92"/>
      <c r="J12" s="93">
        <f>SUMIF(Funções!$C$12:$C$682,Deflatores!G12,Funções!$H$12:$H$682)</f>
        <v>0</v>
      </c>
      <c r="K12" s="94">
        <f>IF(H12="",COUNTIF(Funções!C$12:C$682,G12)*I12,H12*J12)</f>
        <v>0</v>
      </c>
    </row>
    <row r="13" spans="1:12" ht="13.5" customHeight="1" x14ac:dyDescent="0.25">
      <c r="A13" s="3"/>
      <c r="B13" s="140" t="s">
        <v>176</v>
      </c>
      <c r="C13" s="140"/>
      <c r="D13" s="140"/>
      <c r="E13" s="140"/>
      <c r="F13" s="2" t="s">
        <v>172</v>
      </c>
      <c r="G13" s="17" t="s">
        <v>177</v>
      </c>
      <c r="H13" s="91">
        <v>0.75</v>
      </c>
      <c r="I13" s="92"/>
      <c r="J13" s="93">
        <f>SUMIF(Funções!$C$12:$C$682,Deflatores!G13,Funções!$H$12:$H$682)</f>
        <v>0</v>
      </c>
      <c r="K13" s="94">
        <f>IF(H13="",COUNTIF(Funções!C$12:C$682,G13)*I13,H13*J13)</f>
        <v>0</v>
      </c>
    </row>
    <row r="14" spans="1:12" ht="13.5" customHeight="1" x14ac:dyDescent="0.25">
      <c r="A14" s="3"/>
      <c r="B14" s="140" t="s">
        <v>178</v>
      </c>
      <c r="C14" s="140"/>
      <c r="D14" s="140"/>
      <c r="E14" s="140"/>
      <c r="F14" s="2" t="s">
        <v>172</v>
      </c>
      <c r="G14" s="17" t="s">
        <v>179</v>
      </c>
      <c r="H14" s="91">
        <v>0.9</v>
      </c>
      <c r="I14" s="92"/>
      <c r="J14" s="93">
        <f>SUMIF(Funções!$C$12:$C$682,Deflatores!G14,Funções!$H$12:$H$682)</f>
        <v>0</v>
      </c>
      <c r="K14" s="94">
        <f>IF(H14="",COUNTIF(Funções!C$12:C$682,G14)*I14,H14*J14)</f>
        <v>0</v>
      </c>
    </row>
    <row r="15" spans="1:12" ht="13.5" customHeight="1" x14ac:dyDescent="0.25">
      <c r="A15" s="3"/>
      <c r="B15" s="140" t="s">
        <v>180</v>
      </c>
      <c r="C15" s="140"/>
      <c r="D15" s="140"/>
      <c r="E15" s="140"/>
      <c r="F15" s="2" t="s">
        <v>172</v>
      </c>
      <c r="G15" s="17" t="s">
        <v>181</v>
      </c>
      <c r="H15" s="91">
        <v>0</v>
      </c>
      <c r="I15" s="92"/>
      <c r="J15" s="93">
        <f>SUMIF(Funções!$C$12:$C$682,Deflatores!G15,Funções!$H$12:$H$682)</f>
        <v>0</v>
      </c>
      <c r="K15" s="94">
        <f>IF(H15="",COUNTIF(Funções!C$12:C$682,G15)*I15,H15*J15)</f>
        <v>0</v>
      </c>
    </row>
    <row r="16" spans="1:12" ht="13.5" customHeight="1" x14ac:dyDescent="0.25">
      <c r="A16" s="3"/>
      <c r="B16" s="140" t="s">
        <v>182</v>
      </c>
      <c r="C16" s="140"/>
      <c r="D16" s="140"/>
      <c r="E16" s="140"/>
      <c r="F16" s="2" t="s">
        <v>183</v>
      </c>
      <c r="G16" s="17" t="s">
        <v>184</v>
      </c>
      <c r="H16" s="91">
        <v>1</v>
      </c>
      <c r="I16" s="92"/>
      <c r="J16" s="93">
        <f>SUMIF(Funções!$C$12:$C$682,Deflatores!G16,Funções!$H$12:$H$682)</f>
        <v>0</v>
      </c>
      <c r="K16" s="94">
        <f>IF(H16="",COUNTIF(Funções!C$12:C$682,G16)*I16,H16*J16)</f>
        <v>0</v>
      </c>
    </row>
    <row r="17" spans="1:11" x14ac:dyDescent="0.25">
      <c r="A17" s="3"/>
      <c r="B17" s="140" t="s">
        <v>185</v>
      </c>
      <c r="C17" s="140"/>
      <c r="D17" s="140"/>
      <c r="E17" s="140"/>
      <c r="F17" s="2" t="s">
        <v>186</v>
      </c>
      <c r="G17" s="17" t="s">
        <v>187</v>
      </c>
      <c r="H17" s="91">
        <v>1</v>
      </c>
      <c r="I17" s="92"/>
      <c r="J17" s="93">
        <f>SUMIF(Funções!$C$12:$C$682,Deflatores!G17,Funções!$H$12:$H$682)</f>
        <v>0</v>
      </c>
      <c r="K17" s="94">
        <f>IF(H17="",COUNTIF(Funções!C$12:C$682,G17)*I17,H17*J17)</f>
        <v>0</v>
      </c>
    </row>
    <row r="18" spans="1:11" ht="13.5" customHeight="1" x14ac:dyDescent="0.25">
      <c r="A18" s="3"/>
      <c r="B18" s="140" t="s">
        <v>188</v>
      </c>
      <c r="C18" s="140"/>
      <c r="D18" s="140"/>
      <c r="E18" s="140"/>
      <c r="F18" s="2" t="s">
        <v>186</v>
      </c>
      <c r="G18" s="17" t="s">
        <v>189</v>
      </c>
      <c r="H18" s="91">
        <v>0.3</v>
      </c>
      <c r="I18" s="92"/>
      <c r="J18" s="93">
        <f>SUMIF(Funções!$C$12:$C$682,Deflatores!G18,Funções!$H$12:$H$682)</f>
        <v>0</v>
      </c>
      <c r="K18" s="94">
        <f>IF(H18="",COUNTIF(Funções!C$12:C$682,G18)*I18,H18*J18)</f>
        <v>0</v>
      </c>
    </row>
    <row r="19" spans="1:11" ht="13.5" customHeight="1" x14ac:dyDescent="0.25">
      <c r="A19" s="3"/>
      <c r="B19" s="140" t="s">
        <v>190</v>
      </c>
      <c r="C19" s="140"/>
      <c r="D19" s="140"/>
      <c r="E19" s="140"/>
      <c r="F19" s="2" t="s">
        <v>191</v>
      </c>
      <c r="G19" s="17" t="s">
        <v>192</v>
      </c>
      <c r="H19" s="91">
        <v>0.3</v>
      </c>
      <c r="I19" s="92"/>
      <c r="J19" s="93">
        <f>SUMIF(Funções!$C$12:$C$682,Deflatores!G19,Funções!$H$12:$H$682)</f>
        <v>0</v>
      </c>
      <c r="K19" s="94">
        <f>IF(H19="",COUNTIF(Funções!C$12:C$682,G19)*I19,H19*J19)</f>
        <v>0</v>
      </c>
    </row>
    <row r="20" spans="1:11" ht="13.5" customHeight="1" x14ac:dyDescent="0.25">
      <c r="A20" s="3"/>
      <c r="B20" s="140" t="s">
        <v>193</v>
      </c>
      <c r="C20" s="140"/>
      <c r="D20" s="140"/>
      <c r="E20" s="140"/>
      <c r="F20" s="2" t="s">
        <v>194</v>
      </c>
      <c r="G20" s="17" t="s">
        <v>195</v>
      </c>
      <c r="H20" s="91">
        <v>0.3</v>
      </c>
      <c r="I20" s="92"/>
      <c r="J20" s="93">
        <f>SUMIF(Funções!$C$12:$C$682,Deflatores!G20,Funções!$H$12:$H$682)</f>
        <v>0</v>
      </c>
      <c r="K20" s="94">
        <f>IF(H20="",COUNTIF(Funções!C$12:C$682,G20)*I20,H20*J20)</f>
        <v>0</v>
      </c>
    </row>
    <row r="21" spans="1:11" ht="13.5" customHeight="1" x14ac:dyDescent="0.25">
      <c r="A21" s="3"/>
      <c r="B21" s="140" t="s">
        <v>196</v>
      </c>
      <c r="C21" s="140"/>
      <c r="D21" s="140"/>
      <c r="E21" s="140"/>
      <c r="F21" s="2" t="s">
        <v>197</v>
      </c>
      <c r="G21" s="17" t="s">
        <v>198</v>
      </c>
      <c r="H21" s="91">
        <v>0.3</v>
      </c>
      <c r="I21" s="92"/>
      <c r="J21" s="93">
        <f>SUMIF(Funções!$C$12:$C$682,Deflatores!G21,Funções!$H$12:$H$682)</f>
        <v>0</v>
      </c>
      <c r="K21" s="94">
        <f>IF(H21="",COUNTIF(Funções!C$12:C$682,G21)*I21,H21*J21)</f>
        <v>0</v>
      </c>
    </row>
    <row r="22" spans="1:11" x14ac:dyDescent="0.25">
      <c r="A22" s="3"/>
      <c r="B22" s="140" t="s">
        <v>199</v>
      </c>
      <c r="C22" s="140"/>
      <c r="D22" s="140"/>
      <c r="E22" s="140"/>
      <c r="F22" s="2" t="s">
        <v>200</v>
      </c>
      <c r="G22" s="17" t="s">
        <v>45</v>
      </c>
      <c r="H22" s="91"/>
      <c r="I22" s="92">
        <v>0.6</v>
      </c>
      <c r="J22" s="93">
        <f>SUMIF(Funções!$C$12:$C$682,Deflatores!G22,Funções!$H$12:$H$682)</f>
        <v>12</v>
      </c>
      <c r="K22" s="94">
        <f>IF(H22="",COUNTIF(Funções!C$12:C$682,G22)*I22,H22*J22)</f>
        <v>1.7999999999999998</v>
      </c>
    </row>
    <row r="23" spans="1:11" ht="27" customHeight="1" x14ac:dyDescent="0.25">
      <c r="A23" s="3"/>
      <c r="B23" s="160" t="s">
        <v>201</v>
      </c>
      <c r="C23" s="161"/>
      <c r="D23" s="161"/>
      <c r="E23" s="162"/>
      <c r="F23" s="90" t="s">
        <v>202</v>
      </c>
      <c r="G23" s="17" t="s">
        <v>203</v>
      </c>
      <c r="H23" s="91">
        <v>0.5</v>
      </c>
      <c r="I23" s="92"/>
      <c r="J23" s="93">
        <f>SUMIF(Funções!$C$12:$C$682,Deflatores!G23,Funções!$H$12:$H$682)</f>
        <v>0</v>
      </c>
      <c r="K23" s="94">
        <f>IF(H23="",COUNTIF(Funções!C$12:C$682,G23)*I23,H23*J23)</f>
        <v>0</v>
      </c>
    </row>
    <row r="24" spans="1:11" ht="27" customHeight="1" x14ac:dyDescent="0.25">
      <c r="A24" s="3"/>
      <c r="B24" s="160" t="s">
        <v>204</v>
      </c>
      <c r="C24" s="161"/>
      <c r="D24" s="161"/>
      <c r="E24" s="162"/>
      <c r="F24" s="90" t="s">
        <v>202</v>
      </c>
      <c r="G24" s="17" t="s">
        <v>205</v>
      </c>
      <c r="H24" s="91">
        <v>0.5</v>
      </c>
      <c r="I24" s="92"/>
      <c r="J24" s="93">
        <f>SUMIF(Funções!$C$12:$C$682,Deflatores!G24,Funções!$H$12:$H$682)</f>
        <v>0</v>
      </c>
      <c r="K24" s="94">
        <f>IF(H24="",COUNTIF(Funções!C$12:C$682,G24)*I24,H24*J24)</f>
        <v>0</v>
      </c>
    </row>
    <row r="25" spans="1:11" ht="27" customHeight="1" x14ac:dyDescent="0.25">
      <c r="A25" s="3"/>
      <c r="B25" s="163" t="s">
        <v>206</v>
      </c>
      <c r="C25" s="140"/>
      <c r="D25" s="140"/>
      <c r="E25" s="140"/>
      <c r="F25" s="90" t="s">
        <v>202</v>
      </c>
      <c r="G25" s="17" t="s">
        <v>207</v>
      </c>
      <c r="H25" s="91">
        <v>0.75</v>
      </c>
      <c r="I25" s="92"/>
      <c r="J25" s="93">
        <f>SUMIF(Funções!$C$12:$C$682,Deflatores!G25,Funções!$H$12:$H$682)</f>
        <v>0</v>
      </c>
      <c r="K25" s="94">
        <f>IF(H25="",COUNTIF(Funções!C$12:C$682,G25)*I25,H25*J25)</f>
        <v>0</v>
      </c>
    </row>
    <row r="26" spans="1:11" ht="13.5" customHeight="1" x14ac:dyDescent="0.25">
      <c r="A26" s="3"/>
      <c r="B26" s="140" t="s">
        <v>208</v>
      </c>
      <c r="C26" s="140"/>
      <c r="D26" s="140"/>
      <c r="E26" s="140"/>
      <c r="F26" s="2" t="s">
        <v>209</v>
      </c>
      <c r="G26" s="17" t="s">
        <v>210</v>
      </c>
      <c r="H26" s="91">
        <v>1</v>
      </c>
      <c r="I26" s="92"/>
      <c r="J26" s="93">
        <f>SUMIF(Funções!$C$12:$C$682,Deflatores!G26,Funções!$H$12:$H$682)</f>
        <v>0</v>
      </c>
      <c r="K26" s="94">
        <f>IF(H26="",COUNTIF(Funções!C$12:C$682,G26)*I26,H26*J26)</f>
        <v>0</v>
      </c>
    </row>
    <row r="27" spans="1:11" ht="13.5" customHeight="1" x14ac:dyDescent="0.25">
      <c r="A27" s="3"/>
      <c r="B27" s="140" t="s">
        <v>211</v>
      </c>
      <c r="C27" s="140"/>
      <c r="D27" s="140"/>
      <c r="E27" s="140"/>
      <c r="F27" s="2" t="s">
        <v>209</v>
      </c>
      <c r="G27" s="17" t="s">
        <v>212</v>
      </c>
      <c r="H27" s="91">
        <v>1</v>
      </c>
      <c r="I27" s="92"/>
      <c r="J27" s="93">
        <f>SUMIF(Funções!$C$12:$C$682,Deflatores!G27,Funções!$H$12:$H$682)</f>
        <v>0</v>
      </c>
      <c r="K27" s="94">
        <f>IF(H27="",COUNTIF(Funções!C$12:C$682,G27)*I27,H27*J27)</f>
        <v>0</v>
      </c>
    </row>
    <row r="28" spans="1:11" ht="13.5" customHeight="1" x14ac:dyDescent="0.25">
      <c r="A28" s="3"/>
      <c r="B28" s="140" t="s">
        <v>213</v>
      </c>
      <c r="C28" s="140"/>
      <c r="D28" s="140"/>
      <c r="E28" s="140"/>
      <c r="F28" s="2" t="s">
        <v>209</v>
      </c>
      <c r="G28" s="17" t="s">
        <v>214</v>
      </c>
      <c r="H28" s="91">
        <v>0.6</v>
      </c>
      <c r="I28" s="92"/>
      <c r="J28" s="93">
        <f>SUMIF(Funções!$C$12:$C$682,Deflatores!G28,Funções!$H$12:$H$682)</f>
        <v>0</v>
      </c>
      <c r="K28" s="94">
        <f>IF(H28="",COUNTIF(Funções!C$12:C$682,G28)*I28,H28*J28)</f>
        <v>0</v>
      </c>
    </row>
    <row r="29" spans="1:11" ht="13.5" customHeight="1" x14ac:dyDescent="0.25">
      <c r="A29" s="3"/>
      <c r="B29" s="140" t="s">
        <v>215</v>
      </c>
      <c r="C29" s="140"/>
      <c r="D29" s="140"/>
      <c r="E29" s="140"/>
      <c r="F29" s="2" t="s">
        <v>216</v>
      </c>
      <c r="G29" s="17" t="s">
        <v>217</v>
      </c>
      <c r="H29" s="91">
        <v>1</v>
      </c>
      <c r="I29" s="92"/>
      <c r="J29" s="93">
        <f>SUMIF(Funções!$C$12:$C$682,Deflatores!G29,Funções!$H$12:$H$682)</f>
        <v>0</v>
      </c>
      <c r="K29" s="94">
        <f>IF(H29="",COUNTIF(Funções!C$12:C$682,G29)*I29,H29*J29)</f>
        <v>0</v>
      </c>
    </row>
    <row r="30" spans="1:11" ht="13.5" customHeight="1" x14ac:dyDescent="0.25">
      <c r="A30" s="3"/>
      <c r="B30" s="140" t="s">
        <v>218</v>
      </c>
      <c r="C30" s="140"/>
      <c r="D30" s="140"/>
      <c r="E30" s="140"/>
      <c r="F30" s="2" t="s">
        <v>219</v>
      </c>
      <c r="G30" s="17" t="s">
        <v>220</v>
      </c>
      <c r="H30" s="91">
        <v>0.1</v>
      </c>
      <c r="I30" s="92"/>
      <c r="J30" s="93">
        <f>SUMIF(Funções!$C$12:$C$682,Deflatores!G30,Funções!$H$12:$H$682)</f>
        <v>0</v>
      </c>
      <c r="K30" s="94">
        <f>IF(H30="",COUNTIF(Funções!C$12:C$682,G30)*I30,H30*J30)</f>
        <v>0</v>
      </c>
    </row>
    <row r="31" spans="1:11" ht="13.5" customHeight="1" x14ac:dyDescent="0.25">
      <c r="A31" s="3"/>
      <c r="B31" s="140" t="s">
        <v>221</v>
      </c>
      <c r="C31" s="140"/>
      <c r="D31" s="140"/>
      <c r="E31" s="140"/>
      <c r="F31" s="2" t="s">
        <v>222</v>
      </c>
      <c r="G31" s="17" t="s">
        <v>223</v>
      </c>
      <c r="H31" s="91">
        <v>0.1</v>
      </c>
      <c r="I31" s="92"/>
      <c r="J31" s="93">
        <f>SUMIF(Funções!$C$12:$C$682,Deflatores!G31,Funções!$H$12:$H$682)</f>
        <v>0</v>
      </c>
      <c r="K31" s="94">
        <f>IF(H31="",COUNTIF(Funções!C$12:C$682,G31)*I31,H31*J31)</f>
        <v>0</v>
      </c>
    </row>
    <row r="32" spans="1:11" ht="13.5" customHeight="1" x14ac:dyDescent="0.25">
      <c r="A32" s="3"/>
      <c r="B32" s="104" t="s">
        <v>224</v>
      </c>
      <c r="C32" s="105"/>
      <c r="D32" s="105"/>
      <c r="E32" s="106"/>
      <c r="F32" s="2" t="s">
        <v>225</v>
      </c>
      <c r="G32" s="17" t="s">
        <v>226</v>
      </c>
      <c r="H32" s="91">
        <v>0.25</v>
      </c>
      <c r="I32" s="92"/>
      <c r="J32" s="93">
        <f>SUMIF(Funções!$C$12:$C$682,Deflatores!G32,Funções!$H$12:$H$682)</f>
        <v>0</v>
      </c>
      <c r="K32" s="94">
        <f>IF(H32="",COUNTIF(Funções!C$12:C$682,G32)*I32,H32*J32)</f>
        <v>0</v>
      </c>
    </row>
    <row r="33" spans="1:12" ht="13.5" customHeight="1" x14ac:dyDescent="0.25">
      <c r="A33" s="3"/>
      <c r="B33" s="104" t="s">
        <v>227</v>
      </c>
      <c r="C33" s="105"/>
      <c r="D33" s="105"/>
      <c r="E33" s="106"/>
      <c r="F33" s="2" t="s">
        <v>228</v>
      </c>
      <c r="G33" s="17" t="s">
        <v>229</v>
      </c>
      <c r="H33" s="91">
        <v>0.2</v>
      </c>
      <c r="I33" s="92"/>
      <c r="J33" s="93">
        <f>SUMIF(Funções!$C$12:$C$682,Deflatores!G33,Funções!$H$12:$H$682)</f>
        <v>0</v>
      </c>
      <c r="K33" s="94">
        <f>IF(H33="",COUNTIF(Funções!C$12:C$682,G33)*I33,H33*J33)</f>
        <v>0</v>
      </c>
    </row>
    <row r="34" spans="1:12" ht="13.5" customHeight="1" x14ac:dyDescent="0.25">
      <c r="A34" s="3"/>
      <c r="B34" s="104" t="s">
        <v>230</v>
      </c>
      <c r="C34" s="105"/>
      <c r="D34" s="105"/>
      <c r="E34" s="106"/>
      <c r="F34" s="2" t="s">
        <v>228</v>
      </c>
      <c r="G34" s="17" t="s">
        <v>231</v>
      </c>
      <c r="H34" s="91">
        <v>0.15</v>
      </c>
      <c r="I34" s="92"/>
      <c r="J34" s="93">
        <f>SUMIF(Funções!$C$12:$C$682,Deflatores!G34,Funções!$H$12:$H$682)</f>
        <v>0</v>
      </c>
      <c r="K34" s="94">
        <f>IF(H34="",COUNTIF(Funções!C$12:C$682,G34)*I34,H34*J34)</f>
        <v>0</v>
      </c>
    </row>
    <row r="35" spans="1:12" ht="13.5" customHeight="1" x14ac:dyDescent="0.25">
      <c r="A35" s="3"/>
      <c r="B35" s="104" t="s">
        <v>232</v>
      </c>
      <c r="C35" s="105"/>
      <c r="D35" s="105"/>
      <c r="E35" s="106"/>
      <c r="F35" s="2" t="s">
        <v>233</v>
      </c>
      <c r="G35" s="17" t="s">
        <v>234</v>
      </c>
      <c r="H35" s="91">
        <v>0.15</v>
      </c>
      <c r="I35" s="92"/>
      <c r="J35" s="93">
        <f>SUMIF(Funções!$C$12:$C$682,Deflatores!G35,Funções!$H$12:$H$682)</f>
        <v>0</v>
      </c>
      <c r="K35" s="94">
        <f>IF(H35="",COUNTIF(Funções!C$12:C$682,G35)*I35,H35*J35)</f>
        <v>0</v>
      </c>
    </row>
    <row r="36" spans="1:12" ht="13.5" customHeight="1" x14ac:dyDescent="0.25">
      <c r="A36" s="3"/>
      <c r="B36" s="140" t="s">
        <v>235</v>
      </c>
      <c r="C36" s="140"/>
      <c r="D36" s="140"/>
      <c r="E36" s="140"/>
      <c r="F36" s="2" t="s">
        <v>236</v>
      </c>
      <c r="G36" s="17" t="s">
        <v>237</v>
      </c>
      <c r="H36" s="91">
        <v>1</v>
      </c>
      <c r="I36" s="92"/>
      <c r="J36" s="93">
        <f>SUMIF(Funções!$C$12:$C$682,Deflatores!G36,Funções!$H$12:$H$682)</f>
        <v>0</v>
      </c>
      <c r="K36" s="94">
        <f>IF(H36="",COUNTIF(Funções!C$12:C$682,G36)*I36,H36*J36)</f>
        <v>0</v>
      </c>
    </row>
    <row r="37" spans="1:12" ht="13.5" customHeight="1" x14ac:dyDescent="0.25">
      <c r="A37" s="3"/>
      <c r="B37" s="140"/>
      <c r="C37" s="140"/>
      <c r="D37" s="140"/>
      <c r="E37" s="140"/>
      <c r="F37" s="2"/>
      <c r="G37" s="17" t="s">
        <v>238</v>
      </c>
      <c r="H37" s="91"/>
      <c r="I37" s="92"/>
      <c r="J37" s="93">
        <f>SUMIF(Funções!$C$12:$C$682,Deflatores!G37,Funções!$H$12:$H$682)</f>
        <v>0</v>
      </c>
      <c r="K37" s="94">
        <f>IF(H37="",COUNTIF(Funções!C$12:C$682,G37)*I37,H37*J37)</f>
        <v>0</v>
      </c>
      <c r="L37" s="12" t="s">
        <v>64</v>
      </c>
    </row>
    <row r="38" spans="1:12" ht="13.5" customHeight="1" x14ac:dyDescent="0.25">
      <c r="A38" s="3"/>
      <c r="B38" s="140"/>
      <c r="C38" s="140"/>
      <c r="D38" s="140"/>
      <c r="E38" s="140"/>
      <c r="F38" s="2"/>
      <c r="G38" s="17" t="s">
        <v>238</v>
      </c>
      <c r="H38" s="91"/>
      <c r="I38" s="92"/>
      <c r="J38" s="93">
        <f>SUMIF(Funções!$C$12:$C$682,Deflatores!G38,Funções!$H$12:$H$682)</f>
        <v>0</v>
      </c>
      <c r="K38" s="94">
        <f>IF(H38="",COUNTIF(Funções!C$12:C$682,G38)*I38,H38*J38)</f>
        <v>0</v>
      </c>
      <c r="L38" s="12" t="s">
        <v>51</v>
      </c>
    </row>
    <row r="39" spans="1:12" ht="13.5" x14ac:dyDescent="0.35">
      <c r="A39" s="67"/>
      <c r="B39" s="68"/>
      <c r="C39" s="68"/>
      <c r="D39" s="68"/>
      <c r="E39" s="68"/>
      <c r="F39" s="68"/>
      <c r="G39" s="69"/>
      <c r="H39" s="70"/>
      <c r="I39" s="70"/>
      <c r="J39" s="71"/>
      <c r="K39" s="72"/>
      <c r="L39" s="12" t="s">
        <v>47</v>
      </c>
    </row>
    <row r="40" spans="1:12" ht="14.9" customHeight="1" x14ac:dyDescent="0.25">
      <c r="A40" s="159" t="s">
        <v>145</v>
      </c>
      <c r="B40" s="159"/>
      <c r="C40" s="159"/>
      <c r="D40" s="159"/>
      <c r="E40" s="159"/>
      <c r="F40" s="159"/>
      <c r="G40" s="157" t="s">
        <v>147</v>
      </c>
      <c r="H40" s="157" t="s">
        <v>148</v>
      </c>
      <c r="I40" s="157"/>
      <c r="J40" s="157" t="s">
        <v>239</v>
      </c>
      <c r="K40" s="158" t="s">
        <v>149</v>
      </c>
      <c r="L40" s="12" t="s">
        <v>44</v>
      </c>
    </row>
    <row r="41" spans="1:12" ht="14.9" customHeight="1" x14ac:dyDescent="0.25">
      <c r="A41" s="15" t="s">
        <v>150</v>
      </c>
      <c r="B41" s="157" t="s">
        <v>151</v>
      </c>
      <c r="C41" s="157"/>
      <c r="D41" s="157"/>
      <c r="E41" s="157"/>
      <c r="F41" s="16" t="s">
        <v>152</v>
      </c>
      <c r="G41" s="157"/>
      <c r="H41" s="157"/>
      <c r="I41" s="157"/>
      <c r="J41" s="157"/>
      <c r="K41" s="158"/>
      <c r="L41" s="12" t="s">
        <v>92</v>
      </c>
    </row>
    <row r="42" spans="1:12" ht="13.5" customHeight="1" x14ac:dyDescent="0.35">
      <c r="A42" s="19"/>
      <c r="B42" s="140" t="s">
        <v>240</v>
      </c>
      <c r="C42" s="140"/>
      <c r="D42" s="140"/>
      <c r="E42" s="140"/>
      <c r="F42" s="2" t="s">
        <v>241</v>
      </c>
      <c r="G42" s="17" t="s">
        <v>242</v>
      </c>
      <c r="H42" s="154">
        <v>0.6</v>
      </c>
      <c r="I42" s="154"/>
      <c r="J42" s="20">
        <f>COUNTIF(Funções!B$12:B$682,G42)</f>
        <v>0</v>
      </c>
      <c r="K42" s="18">
        <f>SUMIF(Funções!B$12:B$682,$G42,Funções!K$12:K$682)</f>
        <v>0</v>
      </c>
      <c r="L42" s="12" t="str">
        <f t="shared" ref="L42:L64" si="0">""&amp;G42</f>
        <v>PAG</v>
      </c>
    </row>
    <row r="43" spans="1:12" ht="13.5" customHeight="1" x14ac:dyDescent="0.35">
      <c r="A43" s="19"/>
      <c r="B43" s="140" t="s">
        <v>243</v>
      </c>
      <c r="C43" s="140"/>
      <c r="D43" s="140"/>
      <c r="E43" s="140"/>
      <c r="F43" s="2" t="s">
        <v>200</v>
      </c>
      <c r="G43" s="17" t="s">
        <v>244</v>
      </c>
      <c r="H43" s="154">
        <v>0.6</v>
      </c>
      <c r="I43" s="154"/>
      <c r="J43" s="20">
        <f>COUNTIF(Funções!B$12:B$682,G43)</f>
        <v>0</v>
      </c>
      <c r="K43" s="18">
        <f>SUMIF(Funções!B$12:B$682,$G43,Funções!K$12:K$682)</f>
        <v>0</v>
      </c>
      <c r="L43" s="12" t="str">
        <f t="shared" si="0"/>
        <v>COSNF</v>
      </c>
    </row>
    <row r="44" spans="1:12" ht="13.5" customHeight="1" x14ac:dyDescent="0.35">
      <c r="A44" s="19"/>
      <c r="B44" s="140" t="s">
        <v>245</v>
      </c>
      <c r="C44" s="140"/>
      <c r="D44" s="140"/>
      <c r="E44" s="140"/>
      <c r="F44" s="2"/>
      <c r="G44" s="17" t="s">
        <v>246</v>
      </c>
      <c r="H44" s="154">
        <v>0</v>
      </c>
      <c r="I44" s="154"/>
      <c r="J44" s="20">
        <f>COUNTIF(Funções!B$12:B$682,G44)</f>
        <v>0</v>
      </c>
      <c r="K44" s="18">
        <f>SUMIF(Funções!B$12:B$682,$G44,Funções!K$12:K$682)</f>
        <v>0</v>
      </c>
      <c r="L44" s="12" t="str">
        <f t="shared" si="0"/>
        <v>DC</v>
      </c>
    </row>
    <row r="45" spans="1:12" ht="13.5" customHeight="1" x14ac:dyDescent="0.35">
      <c r="A45" s="19"/>
      <c r="B45" s="140"/>
      <c r="C45" s="140"/>
      <c r="D45" s="140"/>
      <c r="E45" s="140"/>
      <c r="F45" s="2"/>
      <c r="G45" s="17" t="s">
        <v>238</v>
      </c>
      <c r="H45" s="154"/>
      <c r="I45" s="154"/>
      <c r="J45" s="20">
        <f>COUNTIF(Funções!B$12:B$682,G45)</f>
        <v>0</v>
      </c>
      <c r="K45" s="18">
        <f>SUMIF(Funções!B$12:B$682,$G45,Funções!K$12:K$682)</f>
        <v>0</v>
      </c>
      <c r="L45" s="12" t="str">
        <f t="shared" si="0"/>
        <v xml:space="preserve">           .</v>
      </c>
    </row>
    <row r="46" spans="1:12" ht="13.5" customHeight="1" x14ac:dyDescent="0.35">
      <c r="A46" s="19"/>
      <c r="B46" s="140"/>
      <c r="C46" s="140"/>
      <c r="D46" s="140"/>
      <c r="E46" s="140"/>
      <c r="F46" s="2"/>
      <c r="G46" s="17" t="s">
        <v>238</v>
      </c>
      <c r="H46" s="154"/>
      <c r="I46" s="154"/>
      <c r="J46" s="20">
        <f>COUNTIF(Funções!B$12:B$682,G46)</f>
        <v>0</v>
      </c>
      <c r="K46" s="18">
        <f>SUMIF(Funções!B$12:B$682,$G46,Funções!K$12:K$682)</f>
        <v>0</v>
      </c>
      <c r="L46" s="12" t="str">
        <f t="shared" si="0"/>
        <v xml:space="preserve">           .</v>
      </c>
    </row>
    <row r="47" spans="1:12" ht="13.5" x14ac:dyDescent="0.35">
      <c r="A47" s="19"/>
      <c r="B47" s="140"/>
      <c r="C47" s="140"/>
      <c r="D47" s="140"/>
      <c r="E47" s="140"/>
      <c r="F47" s="2"/>
      <c r="G47" s="17" t="s">
        <v>238</v>
      </c>
      <c r="H47" s="154"/>
      <c r="I47" s="154"/>
      <c r="J47" s="20">
        <f>COUNTIF(Funções!B$12:B$682,G47)</f>
        <v>0</v>
      </c>
      <c r="K47" s="18">
        <f>SUMIF(Funções!B$12:B$682,$G47,Funções!K$12:K$682)</f>
        <v>0</v>
      </c>
      <c r="L47" s="12" t="str">
        <f t="shared" si="0"/>
        <v xml:space="preserve">           .</v>
      </c>
    </row>
    <row r="48" spans="1:12" ht="13.5" x14ac:dyDescent="0.35">
      <c r="A48" s="19"/>
      <c r="B48" s="140"/>
      <c r="C48" s="140"/>
      <c r="D48" s="140"/>
      <c r="E48" s="140"/>
      <c r="F48" s="2"/>
      <c r="G48" s="17" t="s">
        <v>238</v>
      </c>
      <c r="H48" s="154"/>
      <c r="I48" s="154"/>
      <c r="J48" s="20">
        <f>COUNTIF(Funções!B$12:B$682,G48)</f>
        <v>0</v>
      </c>
      <c r="K48" s="18">
        <f>SUMIF(Funções!B$12:B$682,$G48,Funções!K$12:K$682)</f>
        <v>0</v>
      </c>
      <c r="L48" s="12" t="str">
        <f t="shared" si="0"/>
        <v xml:space="preserve">           .</v>
      </c>
    </row>
    <row r="49" spans="1:12" ht="13.5" x14ac:dyDescent="0.35">
      <c r="A49" s="19"/>
      <c r="B49" s="140"/>
      <c r="C49" s="140"/>
      <c r="D49" s="140"/>
      <c r="E49" s="140"/>
      <c r="F49" s="2"/>
      <c r="G49" s="17" t="s">
        <v>238</v>
      </c>
      <c r="H49" s="154"/>
      <c r="I49" s="154"/>
      <c r="J49" s="20">
        <f>COUNTIF(Funções!B$12:B$682,G49)</f>
        <v>0</v>
      </c>
      <c r="K49" s="18">
        <f>SUMIF(Funções!B$12:B$682,$G49,Funções!K$12:K$682)</f>
        <v>0</v>
      </c>
      <c r="L49" s="12" t="str">
        <f t="shared" si="0"/>
        <v xml:space="preserve">           .</v>
      </c>
    </row>
    <row r="50" spans="1:12" ht="13.5" x14ac:dyDescent="0.35">
      <c r="A50" s="19"/>
      <c r="B50" s="140"/>
      <c r="C50" s="140"/>
      <c r="D50" s="140"/>
      <c r="E50" s="140"/>
      <c r="F50" s="2"/>
      <c r="G50" s="17" t="s">
        <v>238</v>
      </c>
      <c r="H50" s="154"/>
      <c r="I50" s="154"/>
      <c r="J50" s="20">
        <f>COUNTIF(Funções!B$12:B$682,G50)</f>
        <v>0</v>
      </c>
      <c r="K50" s="18">
        <f>SUMIF(Funções!B$12:B$682,$G50,Funções!K$12:K$682)</f>
        <v>0</v>
      </c>
      <c r="L50" s="12" t="str">
        <f t="shared" si="0"/>
        <v xml:space="preserve">           .</v>
      </c>
    </row>
    <row r="51" spans="1:12" ht="13.5" x14ac:dyDescent="0.35">
      <c r="A51" s="19"/>
      <c r="B51" s="140"/>
      <c r="C51" s="140"/>
      <c r="D51" s="140"/>
      <c r="E51" s="140"/>
      <c r="F51" s="2"/>
      <c r="G51" s="17" t="s">
        <v>238</v>
      </c>
      <c r="H51" s="154"/>
      <c r="I51" s="154"/>
      <c r="J51" s="20">
        <f>COUNTIF(Funções!B$12:B$682,G51)</f>
        <v>0</v>
      </c>
      <c r="K51" s="18">
        <f>SUMIF(Funções!B$12:B$682,$G51,Funções!K$12:K$682)</f>
        <v>0</v>
      </c>
      <c r="L51" s="12" t="str">
        <f t="shared" si="0"/>
        <v xml:space="preserve">           .</v>
      </c>
    </row>
    <row r="52" spans="1:12" ht="13.5" x14ac:dyDescent="0.35">
      <c r="A52" s="19"/>
      <c r="B52" s="140"/>
      <c r="C52" s="140"/>
      <c r="D52" s="140"/>
      <c r="E52" s="140"/>
      <c r="F52" s="2"/>
      <c r="G52" s="17" t="s">
        <v>238</v>
      </c>
      <c r="H52" s="154"/>
      <c r="I52" s="154"/>
      <c r="J52" s="20">
        <f>COUNTIF(Funções!B$12:B$682,G52)</f>
        <v>0</v>
      </c>
      <c r="K52" s="18">
        <f>SUMIF(Funções!B$12:B$682,$G52,Funções!K$12:K$682)</f>
        <v>0</v>
      </c>
      <c r="L52" s="12" t="str">
        <f t="shared" si="0"/>
        <v xml:space="preserve">           .</v>
      </c>
    </row>
    <row r="53" spans="1:12" ht="13.5" x14ac:dyDescent="0.35">
      <c r="A53" s="19"/>
      <c r="B53" s="140"/>
      <c r="C53" s="140"/>
      <c r="D53" s="140"/>
      <c r="E53" s="140"/>
      <c r="F53" s="2"/>
      <c r="G53" s="17" t="s">
        <v>238</v>
      </c>
      <c r="H53" s="154"/>
      <c r="I53" s="154"/>
      <c r="J53" s="20">
        <f>COUNTIF(Funções!B$12:B$682,G53)</f>
        <v>0</v>
      </c>
      <c r="K53" s="18">
        <f>SUMIF(Funções!B$12:B$682,$G53,Funções!K$12:K$682)</f>
        <v>0</v>
      </c>
      <c r="L53" s="12" t="str">
        <f t="shared" si="0"/>
        <v xml:space="preserve">           .</v>
      </c>
    </row>
    <row r="54" spans="1:12" ht="13.5" x14ac:dyDescent="0.35">
      <c r="A54" s="19"/>
      <c r="B54" s="140"/>
      <c r="C54" s="140"/>
      <c r="D54" s="140"/>
      <c r="E54" s="140"/>
      <c r="F54" s="2"/>
      <c r="G54" s="17" t="s">
        <v>238</v>
      </c>
      <c r="H54" s="154"/>
      <c r="I54" s="154"/>
      <c r="J54" s="20">
        <f>COUNTIF(Funções!B$12:B$682,G54)</f>
        <v>0</v>
      </c>
      <c r="K54" s="18">
        <f>SUMIF(Funções!B$12:B$682,$G54,Funções!K$12:K$682)</f>
        <v>0</v>
      </c>
      <c r="L54" s="12" t="str">
        <f t="shared" si="0"/>
        <v xml:space="preserve">           .</v>
      </c>
    </row>
    <row r="55" spans="1:12" ht="13.5" x14ac:dyDescent="0.35">
      <c r="A55" s="19"/>
      <c r="B55" s="140"/>
      <c r="C55" s="140"/>
      <c r="D55" s="140"/>
      <c r="E55" s="140"/>
      <c r="F55" s="2"/>
      <c r="G55" s="17" t="s">
        <v>238</v>
      </c>
      <c r="H55" s="154"/>
      <c r="I55" s="154"/>
      <c r="J55" s="20">
        <f>COUNTIF(Funções!B$12:B$682,G55)</f>
        <v>0</v>
      </c>
      <c r="K55" s="18">
        <f>SUMIF(Funções!B$12:B$682,$G55,Funções!K$12:K$682)</f>
        <v>0</v>
      </c>
      <c r="L55" s="12" t="str">
        <f t="shared" si="0"/>
        <v xml:space="preserve">           .</v>
      </c>
    </row>
    <row r="56" spans="1:12" ht="13.5" x14ac:dyDescent="0.35">
      <c r="A56" s="19"/>
      <c r="B56" s="140"/>
      <c r="C56" s="140"/>
      <c r="D56" s="140"/>
      <c r="E56" s="140"/>
      <c r="F56" s="2"/>
      <c r="G56" s="17" t="s">
        <v>238</v>
      </c>
      <c r="H56" s="154"/>
      <c r="I56" s="154"/>
      <c r="J56" s="20">
        <f>COUNTIF(Funções!B$12:B$682,G56)</f>
        <v>0</v>
      </c>
      <c r="K56" s="18">
        <f>SUMIF(Funções!B$12:B$682,$G56,Funções!K$12:K$682)</f>
        <v>0</v>
      </c>
      <c r="L56" s="12" t="str">
        <f t="shared" si="0"/>
        <v xml:space="preserve">           .</v>
      </c>
    </row>
    <row r="57" spans="1:12" ht="13.5" x14ac:dyDescent="0.35">
      <c r="A57" s="19"/>
      <c r="B57" s="140"/>
      <c r="C57" s="140"/>
      <c r="D57" s="140"/>
      <c r="E57" s="140"/>
      <c r="F57" s="2"/>
      <c r="G57" s="17" t="s">
        <v>238</v>
      </c>
      <c r="H57" s="154"/>
      <c r="I57" s="154"/>
      <c r="J57" s="20">
        <f>COUNTIF(Funções!B$12:B$682,G57)</f>
        <v>0</v>
      </c>
      <c r="K57" s="18">
        <f>SUMIF(Funções!B$12:B$682,$G57,Funções!K$12:K$682)</f>
        <v>0</v>
      </c>
      <c r="L57" s="12" t="str">
        <f t="shared" si="0"/>
        <v xml:space="preserve">           .</v>
      </c>
    </row>
    <row r="58" spans="1:12" ht="13.5" x14ac:dyDescent="0.35">
      <c r="A58" s="19"/>
      <c r="B58" s="140"/>
      <c r="C58" s="140"/>
      <c r="D58" s="140"/>
      <c r="E58" s="140"/>
      <c r="F58" s="2"/>
      <c r="G58" s="17" t="s">
        <v>238</v>
      </c>
      <c r="H58" s="154"/>
      <c r="I58" s="154"/>
      <c r="J58" s="20">
        <f>COUNTIF(Funções!B$12:B$682,G58)</f>
        <v>0</v>
      </c>
      <c r="K58" s="18">
        <f>SUMIF(Funções!B$12:B$682,$G58,Funções!K$12:K$682)</f>
        <v>0</v>
      </c>
      <c r="L58" s="12" t="str">
        <f t="shared" si="0"/>
        <v xml:space="preserve">           .</v>
      </c>
    </row>
    <row r="59" spans="1:12" ht="13.5" x14ac:dyDescent="0.35">
      <c r="A59" s="19"/>
      <c r="B59" s="140"/>
      <c r="C59" s="140"/>
      <c r="D59" s="140"/>
      <c r="E59" s="140"/>
      <c r="F59" s="2"/>
      <c r="G59" s="17" t="s">
        <v>238</v>
      </c>
      <c r="H59" s="154"/>
      <c r="I59" s="154"/>
      <c r="J59" s="20">
        <f>COUNTIF(Funções!B$12:B$682,G59)</f>
        <v>0</v>
      </c>
      <c r="K59" s="18">
        <f>SUMIF(Funções!B$12:B$682,$G59,Funções!K$12:K$682)</f>
        <v>0</v>
      </c>
      <c r="L59" s="12" t="str">
        <f t="shared" si="0"/>
        <v xml:space="preserve">           .</v>
      </c>
    </row>
    <row r="60" spans="1:12" ht="13.5" x14ac:dyDescent="0.35">
      <c r="A60" s="19"/>
      <c r="B60" s="140"/>
      <c r="C60" s="140"/>
      <c r="D60" s="140"/>
      <c r="E60" s="140"/>
      <c r="F60" s="2"/>
      <c r="G60" s="17" t="s">
        <v>238</v>
      </c>
      <c r="H60" s="154"/>
      <c r="I60" s="154"/>
      <c r="J60" s="20">
        <f>COUNTIF(Funções!B$12:B$682,G60)</f>
        <v>0</v>
      </c>
      <c r="K60" s="18">
        <f>SUMIF(Funções!B$12:B$682,$G60,Funções!K$12:K$682)</f>
        <v>0</v>
      </c>
      <c r="L60" s="12" t="str">
        <f t="shared" si="0"/>
        <v xml:space="preserve">           .</v>
      </c>
    </row>
    <row r="61" spans="1:12" ht="13.5" x14ac:dyDescent="0.35">
      <c r="A61" s="19"/>
      <c r="B61" s="140"/>
      <c r="C61" s="140"/>
      <c r="D61" s="140"/>
      <c r="E61" s="140"/>
      <c r="F61" s="2"/>
      <c r="G61" s="17" t="s">
        <v>238</v>
      </c>
      <c r="H61" s="154"/>
      <c r="I61" s="154"/>
      <c r="J61" s="20">
        <f>COUNTIF(Funções!B$12:B$682,G61)</f>
        <v>0</v>
      </c>
      <c r="K61" s="18">
        <f>SUMIF(Funções!B$12:B$682,$G61,Funções!K$12:K$682)</f>
        <v>0</v>
      </c>
      <c r="L61" s="12" t="str">
        <f t="shared" si="0"/>
        <v xml:space="preserve">           .</v>
      </c>
    </row>
    <row r="62" spans="1:12" ht="13.5" x14ac:dyDescent="0.35">
      <c r="A62" s="19"/>
      <c r="B62" s="140"/>
      <c r="C62" s="140"/>
      <c r="D62" s="140"/>
      <c r="E62" s="140"/>
      <c r="F62" s="2"/>
      <c r="G62" s="17" t="s">
        <v>238</v>
      </c>
      <c r="H62" s="154"/>
      <c r="I62" s="154"/>
      <c r="J62" s="20">
        <f>COUNTIF(Funções!B$12:B$682,G62)</f>
        <v>0</v>
      </c>
      <c r="K62" s="18">
        <f>SUMIF(Funções!B$12:B$682,$G62,Funções!K$12:K$682)</f>
        <v>0</v>
      </c>
      <c r="L62" s="12" t="str">
        <f t="shared" si="0"/>
        <v xml:space="preserve">           .</v>
      </c>
    </row>
    <row r="63" spans="1:12" ht="13.5" x14ac:dyDescent="0.35">
      <c r="A63" s="19"/>
      <c r="B63" s="140"/>
      <c r="C63" s="140"/>
      <c r="D63" s="140"/>
      <c r="E63" s="140"/>
      <c r="F63" s="2"/>
      <c r="G63" s="17" t="s">
        <v>238</v>
      </c>
      <c r="H63" s="154"/>
      <c r="I63" s="154"/>
      <c r="J63" s="20">
        <f>COUNTIF(Funções!B$12:B$682,G63)</f>
        <v>0</v>
      </c>
      <c r="K63" s="18">
        <f>SUMIF(Funções!B$12:B$682,$G63,Funções!K$12:K$682)</f>
        <v>0</v>
      </c>
      <c r="L63" s="12" t="str">
        <f t="shared" si="0"/>
        <v xml:space="preserve">           .</v>
      </c>
    </row>
    <row r="64" spans="1:12" ht="13.5" x14ac:dyDescent="0.35">
      <c r="A64" s="21"/>
      <c r="B64" s="155"/>
      <c r="C64" s="155"/>
      <c r="D64" s="155"/>
      <c r="E64" s="155"/>
      <c r="F64" s="22"/>
      <c r="G64" s="23" t="s">
        <v>238</v>
      </c>
      <c r="H64" s="156"/>
      <c r="I64" s="156"/>
      <c r="J64" s="24">
        <f>COUNTIF(Funções!B$12:B$682,G64)</f>
        <v>0</v>
      </c>
      <c r="K64" s="25">
        <f>SUMIF(Funções!B$12:B$682,$G64,Funções!K$12:K$682)</f>
        <v>0</v>
      </c>
      <c r="L64" s="12" t="str">
        <f t="shared" si="0"/>
        <v xml:space="preserve">           .</v>
      </c>
    </row>
  </sheetData>
  <sheetProtection selectLockedCells="1" selectUnlockedCells="1"/>
  <mergeCells count="90">
    <mergeCell ref="B4:E4"/>
    <mergeCell ref="B5:E5"/>
    <mergeCell ref="A1:K1"/>
    <mergeCell ref="A2:F2"/>
    <mergeCell ref="G2:G3"/>
    <mergeCell ref="H2:I2"/>
    <mergeCell ref="J2:J3"/>
    <mergeCell ref="K2:K3"/>
    <mergeCell ref="B3:E3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31:E31"/>
    <mergeCell ref="B36:E36"/>
    <mergeCell ref="B37:E37"/>
    <mergeCell ref="B38:E38"/>
    <mergeCell ref="A40:F40"/>
    <mergeCell ref="J40:J41"/>
    <mergeCell ref="K40:K41"/>
    <mergeCell ref="B41:E41"/>
    <mergeCell ref="B42:E42"/>
    <mergeCell ref="H42:I42"/>
    <mergeCell ref="G40:G41"/>
    <mergeCell ref="B43:E43"/>
    <mergeCell ref="H43:I43"/>
    <mergeCell ref="B44:E44"/>
    <mergeCell ref="H44:I44"/>
    <mergeCell ref="H40:I41"/>
    <mergeCell ref="B45:E45"/>
    <mergeCell ref="H45:I45"/>
    <mergeCell ref="B46:E46"/>
    <mergeCell ref="H46:I46"/>
    <mergeCell ref="B47:E47"/>
    <mergeCell ref="H47:I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8:E58"/>
    <mergeCell ref="H58:I58"/>
    <mergeCell ref="B59:E59"/>
    <mergeCell ref="H59:I59"/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L52"/>
  <sheetViews>
    <sheetView showGridLines="0" zoomScaleNormal="100" zoomScaleSheetLayoutView="100" workbookViewId="0">
      <pane ySplit="8" topLeftCell="A12" activePane="bottomLeft" state="frozen"/>
      <selection activeCell="B11" sqref="B11"/>
      <selection pane="bottomLeft" activeCell="A9" sqref="A9"/>
    </sheetView>
  </sheetViews>
  <sheetFormatPr defaultRowHeight="12.5" x14ac:dyDescent="0.25"/>
  <cols>
    <col min="1" max="1" width="2.81640625" customWidth="1"/>
    <col min="2" max="2" width="8.1796875" customWidth="1"/>
    <col min="3" max="3" width="11.54296875" customWidth="1"/>
    <col min="4" max="4" width="1.1796875" customWidth="1"/>
    <col min="5" max="5" width="7.81640625" customWidth="1"/>
    <col min="6" max="6" width="5.81640625" customWidth="1"/>
    <col min="7" max="7" width="13.453125" customWidth="1"/>
    <col min="8" max="8" width="8.453125" customWidth="1"/>
    <col min="9" max="9" width="5.81640625" customWidth="1"/>
    <col min="10" max="10" width="11.54296875" customWidth="1"/>
    <col min="11" max="11" width="8.453125" customWidth="1"/>
    <col min="12" max="12" width="6.54296875" customWidth="1"/>
  </cols>
  <sheetData>
    <row r="1" spans="1:12" x14ac:dyDescent="0.25">
      <c r="A1" s="143" t="s">
        <v>247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x14ac:dyDescent="0.2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x14ac:dyDescent="0.2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</row>
    <row r="4" spans="1:12" x14ac:dyDescent="0.25">
      <c r="A4" s="169" t="str">
        <f>Contagem!A5&amp;" : "&amp;Contagem!F5</f>
        <v>Aplicação : SIEP</v>
      </c>
      <c r="B4" s="169"/>
      <c r="C4" s="169"/>
      <c r="D4" s="169"/>
      <c r="E4" s="169"/>
      <c r="F4" s="148" t="str">
        <f>Contagem!A8&amp;" : "&amp;Contagem!F8</f>
        <v>Projeto : Desenvolvimento do produto SIEP</v>
      </c>
      <c r="G4" s="148"/>
      <c r="H4" s="148"/>
      <c r="I4" s="148"/>
      <c r="J4" s="148"/>
      <c r="K4" s="148"/>
      <c r="L4" s="148"/>
    </row>
    <row r="5" spans="1:12" x14ac:dyDescent="0.25">
      <c r="A5" s="169" t="str">
        <f>Contagem!A9&amp;" : "&amp;Contagem!F9</f>
        <v>Responsável : Ana Karyna da Silva Teixeira</v>
      </c>
      <c r="B5" s="169"/>
      <c r="C5" s="169"/>
      <c r="D5" s="169"/>
      <c r="E5" s="169"/>
      <c r="F5" s="148" t="str">
        <f>Contagem!A10&amp;" : "&amp;Contagem!F10</f>
        <v>Revisor : Jonathas</v>
      </c>
      <c r="G5" s="148"/>
      <c r="H5" s="148"/>
      <c r="I5" s="148"/>
      <c r="J5" s="148"/>
      <c r="K5" s="148"/>
      <c r="L5" s="148"/>
    </row>
    <row r="6" spans="1:12" x14ac:dyDescent="0.25">
      <c r="A6" s="169" t="str">
        <f>Contagem!A4&amp;" : "&amp;Contagem!F4</f>
        <v>Empresa : Secretaria de Estado de Planejamento e Gestão de Mato Grosso</v>
      </c>
      <c r="B6" s="169"/>
      <c r="C6" s="169"/>
      <c r="D6" s="169"/>
      <c r="E6" s="169"/>
      <c r="F6" s="148" t="str">
        <f>"Tipo de Contagem : "&amp;Contagem!F6</f>
        <v>Tipo de Contagem : Projeto de Desenvolvimento</v>
      </c>
      <c r="G6" s="148"/>
      <c r="H6" s="148"/>
      <c r="I6" s="148"/>
      <c r="J6" s="148"/>
      <c r="K6" s="148"/>
      <c r="L6" s="148"/>
    </row>
    <row r="7" spans="1:12" ht="12.75" customHeight="1" x14ac:dyDescent="0.25">
      <c r="A7" s="165" t="s">
        <v>248</v>
      </c>
      <c r="B7" s="165"/>
      <c r="C7" s="166" t="s">
        <v>249</v>
      </c>
      <c r="D7" s="166"/>
      <c r="E7" s="166"/>
      <c r="F7" s="166"/>
      <c r="G7" s="167" t="s">
        <v>250</v>
      </c>
      <c r="H7" s="167" t="s">
        <v>251</v>
      </c>
      <c r="I7" s="58"/>
      <c r="J7" s="167" t="s">
        <v>252</v>
      </c>
      <c r="K7" s="167"/>
      <c r="L7" s="168" t="s">
        <v>251</v>
      </c>
    </row>
    <row r="8" spans="1:12" x14ac:dyDescent="0.25">
      <c r="A8" s="165"/>
      <c r="B8" s="165"/>
      <c r="C8" s="166"/>
      <c r="D8" s="166"/>
      <c r="E8" s="166"/>
      <c r="F8" s="166"/>
      <c r="G8" s="167"/>
      <c r="H8" s="167"/>
      <c r="I8" s="59"/>
      <c r="J8" s="167"/>
      <c r="K8" s="167"/>
      <c r="L8" s="168"/>
    </row>
    <row r="9" spans="1:12" ht="6" customHeight="1" x14ac:dyDescent="0.35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ht="13.5" x14ac:dyDescent="0.35">
      <c r="A10" s="41"/>
      <c r="B10" s="42" t="s">
        <v>47</v>
      </c>
      <c r="C10" s="43">
        <f>COUNTIF(Funções!G12:G682,"EEL")</f>
        <v>12</v>
      </c>
      <c r="D10" s="42"/>
      <c r="E10" s="44" t="s">
        <v>253</v>
      </c>
      <c r="F10" s="44" t="s">
        <v>254</v>
      </c>
      <c r="G10" s="43">
        <f>C10*3</f>
        <v>36</v>
      </c>
      <c r="H10" s="42"/>
      <c r="I10" s="26"/>
      <c r="J10" s="45" t="str">
        <f>Deflatores!$G$4&amp;"="</f>
        <v>I=</v>
      </c>
      <c r="K10" s="46">
        <f>SUMIF(Funções!$J$12:$J$682,"EE"&amp;Deflatores!G4,Funções!$L$12:$L$682)</f>
        <v>96</v>
      </c>
      <c r="L10" s="47"/>
    </row>
    <row r="11" spans="1:12" ht="13.5" x14ac:dyDescent="0.35">
      <c r="A11" s="48"/>
      <c r="B11" s="42"/>
      <c r="C11" s="43">
        <f>COUNTIF(Funções!G12:G682,"EEA")</f>
        <v>3</v>
      </c>
      <c r="D11" s="42"/>
      <c r="E11" s="44" t="s">
        <v>255</v>
      </c>
      <c r="F11" s="44" t="s">
        <v>256</v>
      </c>
      <c r="G11" s="43">
        <f>C11*4</f>
        <v>12</v>
      </c>
      <c r="H11" s="42"/>
      <c r="I11" s="26"/>
      <c r="J11" s="45" t="str">
        <f>Deflatores!$G$5&amp;"="</f>
        <v>A=</v>
      </c>
      <c r="K11" s="46">
        <f>SUMIF(Funções!$J$12:$J$682,"EE"&amp;Deflatores!G5,Funções!$L$12:$L$682)</f>
        <v>0</v>
      </c>
      <c r="L11" s="47"/>
    </row>
    <row r="12" spans="1:12" ht="13.5" x14ac:dyDescent="0.35">
      <c r="A12" s="48"/>
      <c r="B12" s="42"/>
      <c r="C12" s="43">
        <f>COUNTIF(Funções!G12:G682,"EEH")</f>
        <v>10</v>
      </c>
      <c r="D12" s="42"/>
      <c r="E12" s="44" t="s">
        <v>257</v>
      </c>
      <c r="F12" s="44" t="s">
        <v>258</v>
      </c>
      <c r="G12" s="43">
        <f>C12*6</f>
        <v>60</v>
      </c>
      <c r="H12" s="42"/>
      <c r="I12" s="26"/>
      <c r="J12" s="45" t="str">
        <f>Deflatores!$G$6&amp;"="</f>
        <v>E=</v>
      </c>
      <c r="K12" s="46">
        <f>SUMIF(Funções!$J$12:$J$682,"EE"&amp;Deflatores!G6,Funções!$L$12:$L$682)</f>
        <v>4.8000000000000007</v>
      </c>
      <c r="L12" s="49"/>
    </row>
    <row r="13" spans="1:12" ht="13.5" x14ac:dyDescent="0.35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50"/>
      <c r="L13" s="47"/>
    </row>
    <row r="14" spans="1:12" ht="13.5" x14ac:dyDescent="0.35">
      <c r="A14" s="48"/>
      <c r="B14" s="51" t="s">
        <v>259</v>
      </c>
      <c r="C14" s="43">
        <f>SUM(C10:C12)</f>
        <v>25</v>
      </c>
      <c r="D14" s="42"/>
      <c r="E14" s="42"/>
      <c r="F14" s="51" t="s">
        <v>260</v>
      </c>
      <c r="G14" s="43">
        <f>SUM(G10:G12)</f>
        <v>108</v>
      </c>
      <c r="H14" s="26">
        <f>IF($G$45&lt;&gt;0,G14/$G$45,"")</f>
        <v>0.19816513761467891</v>
      </c>
      <c r="J14" s="45"/>
      <c r="K14" s="46">
        <f>SUM(K10:K13)</f>
        <v>100.8</v>
      </c>
      <c r="L14" s="27">
        <f>IF('Sumário 2'!L11&lt;&gt;0,K14/'Sumário 2'!L11,"")</f>
        <v>0.19641465315666404</v>
      </c>
    </row>
    <row r="15" spans="1:12" ht="6" customHeight="1" x14ac:dyDescent="0.35">
      <c r="A15" s="52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53"/>
    </row>
    <row r="16" spans="1:12" ht="6" customHeight="1" x14ac:dyDescent="0.35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7"/>
    </row>
    <row r="17" spans="1:12" ht="13.5" x14ac:dyDescent="0.35">
      <c r="A17" s="48"/>
      <c r="B17" s="42" t="s">
        <v>92</v>
      </c>
      <c r="C17" s="45">
        <f>COUNTIF(Funções!G12:G682,"SEL")</f>
        <v>1</v>
      </c>
      <c r="D17" s="42"/>
      <c r="E17" s="44" t="s">
        <v>253</v>
      </c>
      <c r="F17" s="44" t="s">
        <v>256</v>
      </c>
      <c r="G17" s="45">
        <f>C17*4</f>
        <v>4</v>
      </c>
      <c r="H17" s="42"/>
      <c r="I17" s="42"/>
      <c r="J17" s="45" t="str">
        <f>Deflatores!$G$4&amp;"="</f>
        <v>I=</v>
      </c>
      <c r="K17" s="54">
        <f>SUMIF(Funções!$J$12:$J$682,"SE"&amp;Deflatores!$G$4,Funções!$L$12:$L$682)</f>
        <v>67</v>
      </c>
      <c r="L17" s="47"/>
    </row>
    <row r="18" spans="1:12" ht="13.5" x14ac:dyDescent="0.35">
      <c r="A18" s="48"/>
      <c r="B18" s="42"/>
      <c r="C18" s="45">
        <f>COUNTIF(Funções!G12:G682,"SEA")</f>
        <v>0</v>
      </c>
      <c r="D18" s="42"/>
      <c r="E18" s="44" t="s">
        <v>255</v>
      </c>
      <c r="F18" s="44" t="s">
        <v>261</v>
      </c>
      <c r="G18" s="45">
        <f>C18*5</f>
        <v>0</v>
      </c>
      <c r="H18" s="42"/>
      <c r="I18" s="42"/>
      <c r="J18" s="45" t="str">
        <f>Deflatores!$G$5&amp;"="</f>
        <v>A=</v>
      </c>
      <c r="K18" s="54">
        <f>SUMIF(Funções!$J$12:$J$682,"SE"&amp;Deflatores!$G$5,Funções!$L$12:$L$682)</f>
        <v>0</v>
      </c>
      <c r="L18" s="47"/>
    </row>
    <row r="19" spans="1:12" ht="13.5" x14ac:dyDescent="0.35">
      <c r="A19" s="48"/>
      <c r="B19" s="42"/>
      <c r="C19" s="45">
        <f>COUNTIF(Funções!G12:G682,"SEH")</f>
        <v>9</v>
      </c>
      <c r="D19" s="42"/>
      <c r="E19" s="44" t="s">
        <v>257</v>
      </c>
      <c r="F19" s="44" t="s">
        <v>262</v>
      </c>
      <c r="G19" s="45">
        <f>C19*7</f>
        <v>63</v>
      </c>
      <c r="H19" s="42"/>
      <c r="I19" s="42"/>
      <c r="J19" s="45" t="str">
        <f>Deflatores!$G$6&amp;"="</f>
        <v>E=</v>
      </c>
      <c r="K19" s="54">
        <f>SUMIF(Funções!$J$12:$J$682,"SE"&amp;Deflatores!$G$6,Funções!$L$12:$L$682)</f>
        <v>0</v>
      </c>
      <c r="L19" s="49"/>
    </row>
    <row r="20" spans="1:12" ht="13.5" x14ac:dyDescent="0.35">
      <c r="A20" s="48"/>
      <c r="B20" s="42"/>
      <c r="C20" s="42"/>
      <c r="D20" s="42"/>
      <c r="E20" s="42"/>
      <c r="F20" s="42"/>
      <c r="G20" s="42"/>
      <c r="H20" s="42"/>
      <c r="I20" s="42"/>
      <c r="J20" s="42"/>
      <c r="K20" s="50"/>
      <c r="L20" s="47"/>
    </row>
    <row r="21" spans="1:12" ht="13.5" x14ac:dyDescent="0.35">
      <c r="A21" s="48"/>
      <c r="B21" s="51" t="s">
        <v>259</v>
      </c>
      <c r="C21" s="43">
        <f>SUM(C17:C19)</f>
        <v>10</v>
      </c>
      <c r="D21" s="42"/>
      <c r="E21" s="42"/>
      <c r="F21" s="51" t="s">
        <v>260</v>
      </c>
      <c r="G21" s="43">
        <f>SUM(G17:G19)</f>
        <v>67</v>
      </c>
      <c r="H21" s="26">
        <f>IF($G$45&lt;&gt;0,G21/$G$45,"")</f>
        <v>0.12293577981651377</v>
      </c>
      <c r="J21" s="45"/>
      <c r="K21" s="46">
        <f>SUM(K17:K20)</f>
        <v>67</v>
      </c>
      <c r="L21" s="27">
        <f>IF('Sumário 2'!L11&lt;&gt;0,K21/'Sumário 2'!L11,"")</f>
        <v>0.13055339049103662</v>
      </c>
    </row>
    <row r="22" spans="1:12" ht="6" customHeight="1" x14ac:dyDescent="0.35">
      <c r="A22" s="52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53"/>
    </row>
    <row r="23" spans="1:12" ht="6" customHeight="1" x14ac:dyDescent="0.35">
      <c r="A23" s="38"/>
      <c r="B23" s="39"/>
      <c r="C23" s="42"/>
      <c r="D23" s="39"/>
      <c r="E23" s="39"/>
      <c r="F23" s="39"/>
      <c r="G23" s="42"/>
      <c r="H23" s="39"/>
      <c r="I23" s="39"/>
      <c r="J23" s="39"/>
      <c r="K23" s="39"/>
      <c r="L23" s="40"/>
    </row>
    <row r="24" spans="1:12" ht="13.5" x14ac:dyDescent="0.35">
      <c r="A24" s="48"/>
      <c r="B24" s="42" t="s">
        <v>44</v>
      </c>
      <c r="C24" s="43">
        <f>COUNTIF(Funções!G12:G682,"CEL")</f>
        <v>32</v>
      </c>
      <c r="D24" s="42"/>
      <c r="E24" s="44" t="s">
        <v>253</v>
      </c>
      <c r="F24" s="44" t="s">
        <v>254</v>
      </c>
      <c r="G24" s="43">
        <f>C24*3</f>
        <v>96</v>
      </c>
      <c r="H24" s="42"/>
      <c r="I24" s="42"/>
      <c r="J24" s="45" t="str">
        <f>Deflatores!$G$4&amp;"="</f>
        <v>I=</v>
      </c>
      <c r="K24" s="46">
        <f>SUMIF(Funções!$J$12:$J$682,"CE"&amp;Deflatores!$G$4,Funções!$L$12:$L$682)</f>
        <v>233</v>
      </c>
      <c r="L24" s="47"/>
    </row>
    <row r="25" spans="1:12" ht="13.5" x14ac:dyDescent="0.35">
      <c r="A25" s="48"/>
      <c r="B25" s="42"/>
      <c r="C25" s="43">
        <f>COUNTIF(Funções!G12:G682,"CEA")</f>
        <v>13</v>
      </c>
      <c r="D25" s="42"/>
      <c r="E25" s="44" t="s">
        <v>255</v>
      </c>
      <c r="F25" s="44" t="s">
        <v>256</v>
      </c>
      <c r="G25" s="43">
        <f>C25*4</f>
        <v>52</v>
      </c>
      <c r="H25" s="42"/>
      <c r="I25" s="42"/>
      <c r="J25" s="45" t="str">
        <f>Deflatores!$G$5&amp;"="</f>
        <v>A=</v>
      </c>
      <c r="K25" s="46">
        <f>SUMIF(Funções!$J$12:$J$682,"CE"&amp;Deflatores!$G$5,Funções!$L$12:$L$682)</f>
        <v>0</v>
      </c>
      <c r="L25" s="47"/>
    </row>
    <row r="26" spans="1:12" ht="13.5" x14ac:dyDescent="0.35">
      <c r="A26" s="48"/>
      <c r="B26" s="42"/>
      <c r="C26" s="43">
        <f>COUNTIF(Funções!G12:G682,"CEH")</f>
        <v>22</v>
      </c>
      <c r="D26" s="42"/>
      <c r="E26" s="44" t="s">
        <v>257</v>
      </c>
      <c r="F26" s="44" t="s">
        <v>258</v>
      </c>
      <c r="G26" s="43">
        <f>C26*6</f>
        <v>132</v>
      </c>
      <c r="H26" s="42"/>
      <c r="I26" s="42"/>
      <c r="J26" s="45" t="str">
        <f>Deflatores!$G$6&amp;"="</f>
        <v>E=</v>
      </c>
      <c r="K26" s="46">
        <f>SUMIF(Funções!$J$12:$J$682,"CE"&amp;Deflatores!$G$6,Funções!$L$12:$L$682)</f>
        <v>14</v>
      </c>
      <c r="L26" s="49"/>
    </row>
    <row r="27" spans="1:12" ht="13.5" x14ac:dyDescent="0.35">
      <c r="A27" s="48"/>
      <c r="B27" s="42"/>
      <c r="C27" s="42"/>
      <c r="D27" s="42"/>
      <c r="E27" s="42"/>
      <c r="F27" s="42"/>
      <c r="G27" s="42"/>
      <c r="H27" s="42"/>
      <c r="I27" s="42"/>
      <c r="J27" s="42"/>
      <c r="K27" s="50"/>
      <c r="L27" s="47"/>
    </row>
    <row r="28" spans="1:12" ht="13.5" x14ac:dyDescent="0.35">
      <c r="A28" s="48"/>
      <c r="B28" s="51" t="s">
        <v>259</v>
      </c>
      <c r="C28" s="43">
        <f>SUM(C24:C26)</f>
        <v>67</v>
      </c>
      <c r="D28" s="42"/>
      <c r="E28" s="42"/>
      <c r="F28" s="51" t="s">
        <v>260</v>
      </c>
      <c r="G28" s="43">
        <f>SUM(G24:G26)</f>
        <v>280</v>
      </c>
      <c r="H28" s="26">
        <f>IF($G$45&lt;&gt;0,G28/$G$45,"")</f>
        <v>0.51376146788990829</v>
      </c>
      <c r="J28" s="45"/>
      <c r="K28" s="46">
        <f>SUM(K24:K27)</f>
        <v>247</v>
      </c>
      <c r="L28" s="27">
        <f>IF('Sumário 2'!L11&lt;&gt;0,K28/'Sumário 2'!L11,"")</f>
        <v>0.48129384255650814</v>
      </c>
    </row>
    <row r="29" spans="1:12" ht="6" customHeight="1" x14ac:dyDescent="0.35">
      <c r="A29" s="52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53"/>
    </row>
    <row r="30" spans="1:12" ht="6" customHeight="1" x14ac:dyDescent="0.35">
      <c r="A30" s="38"/>
      <c r="B30" s="39"/>
      <c r="C30" s="42"/>
      <c r="D30" s="39"/>
      <c r="E30" s="39"/>
      <c r="F30" s="39"/>
      <c r="G30" s="42"/>
      <c r="H30" s="39"/>
      <c r="I30" s="39"/>
      <c r="J30" s="39"/>
      <c r="K30" s="39"/>
      <c r="L30" s="40"/>
    </row>
    <row r="31" spans="1:12" ht="13.5" x14ac:dyDescent="0.35">
      <c r="A31" s="48"/>
      <c r="B31" s="42" t="s">
        <v>64</v>
      </c>
      <c r="C31" s="43">
        <f>COUNTIF(Funções!G12:G682,"ALIL")</f>
        <v>5</v>
      </c>
      <c r="D31" s="42"/>
      <c r="E31" s="42" t="s">
        <v>253</v>
      </c>
      <c r="F31" s="42" t="s">
        <v>262</v>
      </c>
      <c r="G31" s="43">
        <f>C31*7</f>
        <v>35</v>
      </c>
      <c r="H31" s="42"/>
      <c r="I31" s="42"/>
      <c r="J31" s="45" t="str">
        <f>Deflatores!$G$4&amp;"="</f>
        <v>I=</v>
      </c>
      <c r="K31" s="46">
        <f>SUMIF(Funções!$J$12:$J$682,"ALI"&amp;Deflatores!$G$4,Funções!$L$12:$L$682)</f>
        <v>55</v>
      </c>
      <c r="L31" s="47"/>
    </row>
    <row r="32" spans="1:12" ht="13.5" x14ac:dyDescent="0.35">
      <c r="A32" s="48"/>
      <c r="B32" s="42"/>
      <c r="C32" s="43">
        <f>COUNTIF(Funções!G12:G682,"ALIA")</f>
        <v>2</v>
      </c>
      <c r="D32" s="42"/>
      <c r="E32" s="42" t="s">
        <v>255</v>
      </c>
      <c r="F32" s="42" t="s">
        <v>263</v>
      </c>
      <c r="G32" s="43">
        <f>C32*10</f>
        <v>20</v>
      </c>
      <c r="H32" s="42"/>
      <c r="I32" s="42"/>
      <c r="J32" s="45" t="str">
        <f>Deflatores!$G$5&amp;"="</f>
        <v>A=</v>
      </c>
      <c r="K32" s="46">
        <f>SUMIF(Funções!$J$12:$J$682,"ALI"&amp;Deflatores!$G$5,Funções!$L$12:$L$682)</f>
        <v>0</v>
      </c>
      <c r="L32" s="47"/>
    </row>
    <row r="33" spans="1:12" ht="13.5" x14ac:dyDescent="0.35">
      <c r="A33" s="48"/>
      <c r="B33" s="42"/>
      <c r="C33" s="43">
        <f>COUNTIF(Funções!G12:G682,"ALIH")</f>
        <v>0</v>
      </c>
      <c r="D33" s="42"/>
      <c r="E33" s="42" t="s">
        <v>257</v>
      </c>
      <c r="F33" s="42" t="s">
        <v>264</v>
      </c>
      <c r="G33" s="43">
        <f>C33*15</f>
        <v>0</v>
      </c>
      <c r="H33" s="42"/>
      <c r="I33" s="42"/>
      <c r="J33" s="45" t="str">
        <f>Deflatores!$G$6&amp;"="</f>
        <v>E=</v>
      </c>
      <c r="K33" s="46">
        <f>SUMIF(Funções!$J$12:$J$682,"ALI"&amp;Deflatores!$G$6,Funções!$L$12:$L$682)</f>
        <v>0</v>
      </c>
      <c r="L33" s="49"/>
    </row>
    <row r="34" spans="1:12" ht="13.5" x14ac:dyDescent="0.35">
      <c r="A34" s="48"/>
      <c r="B34" s="42"/>
      <c r="C34" s="42"/>
      <c r="D34" s="42"/>
      <c r="E34" s="42"/>
      <c r="F34" s="42"/>
      <c r="G34" s="42"/>
      <c r="H34" s="42"/>
      <c r="I34" s="42"/>
      <c r="J34" s="42"/>
      <c r="K34" s="50"/>
      <c r="L34" s="47"/>
    </row>
    <row r="35" spans="1:12" ht="13.5" x14ac:dyDescent="0.35">
      <c r="A35" s="48"/>
      <c r="B35" s="51" t="s">
        <v>259</v>
      </c>
      <c r="C35" s="43">
        <f>SUM(C31:C33)</f>
        <v>7</v>
      </c>
      <c r="D35" s="42"/>
      <c r="E35" s="42"/>
      <c r="F35" s="51" t="s">
        <v>260</v>
      </c>
      <c r="G35" s="43">
        <f>SUM(G31:G33)</f>
        <v>55</v>
      </c>
      <c r="H35" s="26">
        <f>IF($G$45&lt;&gt;0,G35/$G$45,"")</f>
        <v>0.10091743119266056</v>
      </c>
      <c r="J35" s="45"/>
      <c r="K35" s="46">
        <f>SUM(K31:K34)</f>
        <v>55</v>
      </c>
      <c r="L35" s="27">
        <f>IF('Sumário 2'!L11&lt;&gt;0,K35/'Sumário 2'!L11,"")</f>
        <v>0.10717069368667186</v>
      </c>
    </row>
    <row r="36" spans="1:12" ht="6" customHeight="1" x14ac:dyDescent="0.35">
      <c r="A36" s="52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53"/>
    </row>
    <row r="37" spans="1:12" ht="6" customHeight="1" x14ac:dyDescent="0.35">
      <c r="A37" s="38"/>
      <c r="B37" s="39"/>
      <c r="C37" s="42"/>
      <c r="D37" s="39"/>
      <c r="E37" s="39"/>
      <c r="F37" s="39"/>
      <c r="G37" s="42"/>
      <c r="H37" s="39"/>
      <c r="I37" s="39"/>
      <c r="J37" s="39"/>
      <c r="K37" s="39"/>
      <c r="L37" s="40"/>
    </row>
    <row r="38" spans="1:12" ht="13.5" x14ac:dyDescent="0.35">
      <c r="A38" s="48"/>
      <c r="B38" s="42" t="s">
        <v>51</v>
      </c>
      <c r="C38" s="43">
        <f>COUNTIF(Funções!G12:G682,"AIEL")</f>
        <v>7</v>
      </c>
      <c r="D38" s="42"/>
      <c r="E38" s="42" t="s">
        <v>253</v>
      </c>
      <c r="F38" s="42" t="s">
        <v>261</v>
      </c>
      <c r="G38" s="43">
        <f>C38*5</f>
        <v>35</v>
      </c>
      <c r="H38" s="42"/>
      <c r="I38" s="42"/>
      <c r="J38" s="45" t="str">
        <f>Deflatores!$G$4&amp;"="</f>
        <v>I=</v>
      </c>
      <c r="K38" s="46">
        <f>SUMIF(Funções!$J$12:$J$682,"AIE"&amp;Deflatores!$G$4,Funções!$L$12:$L$682)</f>
        <v>35</v>
      </c>
      <c r="L38" s="47"/>
    </row>
    <row r="39" spans="1:12" ht="13.5" x14ac:dyDescent="0.35">
      <c r="A39" s="48"/>
      <c r="B39" s="42"/>
      <c r="C39" s="43">
        <f>COUNTIF(Funções!G12:G682,"AIEA")</f>
        <v>0</v>
      </c>
      <c r="D39" s="42"/>
      <c r="E39" s="42" t="s">
        <v>255</v>
      </c>
      <c r="F39" s="42" t="s">
        <v>262</v>
      </c>
      <c r="G39" s="43">
        <f>C39*7</f>
        <v>0</v>
      </c>
      <c r="H39" s="42"/>
      <c r="I39" s="42"/>
      <c r="J39" s="45" t="str">
        <f>Deflatores!$G$5&amp;"="</f>
        <v>A=</v>
      </c>
      <c r="K39" s="46">
        <f>SUMIF(Funções!$J$12:$J$682,"AIE"&amp;Deflatores!$G$5,Funções!$L$12:$L$682)</f>
        <v>0</v>
      </c>
      <c r="L39" s="47"/>
    </row>
    <row r="40" spans="1:12" ht="13.5" x14ac:dyDescent="0.35">
      <c r="A40" s="48"/>
      <c r="B40" s="42"/>
      <c r="C40" s="43">
        <f>COUNTIF(Funções!G12:G682,"AIEH")</f>
        <v>0</v>
      </c>
      <c r="D40" s="42"/>
      <c r="E40" s="42" t="s">
        <v>257</v>
      </c>
      <c r="F40" s="42" t="s">
        <v>263</v>
      </c>
      <c r="G40" s="43">
        <f>C40*10</f>
        <v>0</v>
      </c>
      <c r="H40" s="42"/>
      <c r="I40" s="42"/>
      <c r="J40" s="45" t="str">
        <f>Deflatores!$G$6&amp;"="</f>
        <v>E=</v>
      </c>
      <c r="K40" s="46">
        <f>SUMIF(Funções!$J$12:$J$682,"AIE"&amp;Deflatores!$G$6,Funções!$L$12:$L$682)</f>
        <v>0</v>
      </c>
      <c r="L40" s="49"/>
    </row>
    <row r="41" spans="1:12" ht="13.5" x14ac:dyDescent="0.35">
      <c r="A41" s="48"/>
      <c r="B41" s="42"/>
      <c r="C41" s="42"/>
      <c r="D41" s="42"/>
      <c r="E41" s="42"/>
      <c r="F41" s="42"/>
      <c r="G41" s="42"/>
      <c r="H41" s="42"/>
      <c r="I41" s="42"/>
      <c r="J41" s="42"/>
      <c r="K41" s="50"/>
      <c r="L41" s="47"/>
    </row>
    <row r="42" spans="1:12" ht="13.5" x14ac:dyDescent="0.35">
      <c r="A42" s="48"/>
      <c r="B42" s="51" t="s">
        <v>259</v>
      </c>
      <c r="C42" s="43">
        <f>SUM(C38:C40)</f>
        <v>7</v>
      </c>
      <c r="D42" s="42"/>
      <c r="E42" s="42"/>
      <c r="F42" s="51" t="s">
        <v>260</v>
      </c>
      <c r="G42" s="43">
        <f>SUM(G38:G40)</f>
        <v>35</v>
      </c>
      <c r="H42" s="26">
        <f>IF($G$45&lt;&gt;0,G42/$G$45,"")</f>
        <v>6.4220183486238536E-2</v>
      </c>
      <c r="J42" s="45"/>
      <c r="K42" s="46">
        <f>SUM(K38:K41)</f>
        <v>35</v>
      </c>
      <c r="L42" s="27">
        <f>IF('Sumário 2'!L11&lt;&gt;0,K42/'Sumário 2'!L11,"")</f>
        <v>6.8199532346063907E-2</v>
      </c>
    </row>
    <row r="43" spans="1:12" ht="6" customHeight="1" x14ac:dyDescent="0.35">
      <c r="A43" s="52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53"/>
    </row>
    <row r="44" spans="1:12" ht="6" customHeight="1" x14ac:dyDescent="0.35">
      <c r="A44" s="48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7"/>
    </row>
    <row r="45" spans="1:12" ht="13.5" x14ac:dyDescent="0.35">
      <c r="A45" s="48"/>
      <c r="B45" s="164" t="s">
        <v>265</v>
      </c>
      <c r="C45" s="164"/>
      <c r="D45" s="164"/>
      <c r="E45" s="164"/>
      <c r="F45" s="164"/>
      <c r="G45" s="43">
        <f>SUM(G14+G21+G28+G35+G42)</f>
        <v>545</v>
      </c>
      <c r="H45" s="42"/>
      <c r="I45" s="42"/>
      <c r="J45" s="42"/>
      <c r="K45" s="42"/>
      <c r="L45" s="47"/>
    </row>
    <row r="46" spans="1:12" ht="13.5" x14ac:dyDescent="0.35">
      <c r="A46" s="48"/>
      <c r="B46" s="164" t="s">
        <v>266</v>
      </c>
      <c r="C46" s="164"/>
      <c r="D46" s="164"/>
      <c r="E46" s="164"/>
      <c r="F46" s="164"/>
      <c r="G46" s="43">
        <f>(C10+C11+C12)*4+(C17+C18+C19)*5+(C24+C25+C26)*4+(C31+C32+C33)*7+(C38+C39+C40)*5</f>
        <v>502</v>
      </c>
      <c r="H46" s="42"/>
      <c r="I46" s="42"/>
      <c r="J46" s="42"/>
      <c r="K46" s="42"/>
      <c r="L46" s="47"/>
    </row>
    <row r="47" spans="1:12" ht="13.5" x14ac:dyDescent="0.35">
      <c r="A47" s="48"/>
      <c r="B47" s="164" t="s">
        <v>267</v>
      </c>
      <c r="C47" s="164"/>
      <c r="D47" s="164"/>
      <c r="E47" s="164"/>
      <c r="F47" s="164"/>
      <c r="G47" s="43">
        <f>(C31+C32+C33)*35+(C38+C39+C40)*15</f>
        <v>350</v>
      </c>
      <c r="H47" s="42"/>
      <c r="I47" s="42"/>
      <c r="J47" s="42"/>
      <c r="K47" s="42"/>
      <c r="L47" s="47"/>
    </row>
    <row r="48" spans="1:12" ht="13.5" x14ac:dyDescent="0.35">
      <c r="A48" s="48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7"/>
    </row>
    <row r="49" spans="1:12" ht="13.5" x14ac:dyDescent="0.35">
      <c r="A49" s="48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7"/>
    </row>
    <row r="50" spans="1:12" ht="13.5" x14ac:dyDescent="0.35">
      <c r="A50" s="48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7"/>
    </row>
    <row r="51" spans="1:12" ht="13.5" x14ac:dyDescent="0.35">
      <c r="A51" s="48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7"/>
    </row>
    <row r="52" spans="1:12" ht="13.5" x14ac:dyDescent="0.35">
      <c r="A52" s="55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7"/>
    </row>
  </sheetData>
  <sheetProtection selectLockedCells="1" selectUnlockedCells="1"/>
  <mergeCells count="16"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  <mergeCell ref="B45:F45"/>
    <mergeCell ref="B46:F46"/>
    <mergeCell ref="B47:F47"/>
    <mergeCell ref="A7:B8"/>
    <mergeCell ref="C7:F8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4296875" defaultRowHeight="12.5" x14ac:dyDescent="0.25"/>
  <cols>
    <col min="1" max="1" width="3.1796875" customWidth="1"/>
    <col min="2" max="2" width="32.54296875" customWidth="1"/>
    <col min="3" max="3" width="36.453125" customWidth="1"/>
    <col min="4" max="4" width="7" customWidth="1"/>
    <col min="5" max="5" width="9.81640625" customWidth="1"/>
    <col min="6" max="6" width="9.1796875" customWidth="1"/>
    <col min="7" max="8" width="12.1796875" customWidth="1"/>
    <col min="9" max="9" width="12.54296875" customWidth="1"/>
    <col min="10" max="10" width="7.54296875" customWidth="1"/>
    <col min="11" max="11" width="2.1796875" customWidth="1"/>
    <col min="12" max="12" width="13.54296875" customWidth="1"/>
    <col min="13" max="13" width="1.81640625" customWidth="1"/>
  </cols>
  <sheetData>
    <row r="1" spans="1:13" x14ac:dyDescent="0.25">
      <c r="A1" s="143" t="s">
        <v>268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3" x14ac:dyDescent="0.2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</row>
    <row r="3" spans="1:13" x14ac:dyDescent="0.2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</row>
    <row r="4" spans="1:13" x14ac:dyDescent="0.25">
      <c r="A4" s="169" t="str">
        <f>Contagem!A5&amp;" : "&amp;Contagem!F5</f>
        <v>Aplicação : SIEP</v>
      </c>
      <c r="B4" s="169"/>
      <c r="C4" s="169"/>
      <c r="D4" s="169"/>
      <c r="E4" s="169"/>
      <c r="F4" s="148" t="str">
        <f>Contagem!A8&amp;" : "&amp;Contagem!F8</f>
        <v>Projeto : Desenvolvimento do produto SIEP</v>
      </c>
      <c r="G4" s="148"/>
      <c r="H4" s="148"/>
      <c r="I4" s="148"/>
      <c r="J4" s="148"/>
      <c r="K4" s="148"/>
      <c r="L4" s="148"/>
      <c r="M4" s="148"/>
    </row>
    <row r="5" spans="1:13" x14ac:dyDescent="0.25">
      <c r="A5" s="171" t="str">
        <f>Contagem!A9&amp;" : "&amp;Contagem!F9</f>
        <v>Responsável : Ana Karyna da Silva Teixeira</v>
      </c>
      <c r="B5" s="171"/>
      <c r="C5" s="171"/>
      <c r="D5" s="171"/>
      <c r="E5" s="171"/>
      <c r="F5" s="148" t="str">
        <f>Contagem!A10&amp;" : "&amp;Contagem!F10</f>
        <v>Revisor : Jonathas</v>
      </c>
      <c r="G5" s="148"/>
      <c r="H5" s="148"/>
      <c r="I5" s="148"/>
      <c r="J5" s="148"/>
      <c r="K5" s="148"/>
      <c r="L5" s="148"/>
      <c r="M5" s="148"/>
    </row>
    <row r="6" spans="1:13" x14ac:dyDescent="0.25">
      <c r="A6" s="171" t="str">
        <f>Contagem!A4&amp;" : "&amp;Contagem!F4</f>
        <v>Empresa : Secretaria de Estado de Planejamento e Gestão de Mato Grosso</v>
      </c>
      <c r="B6" s="171"/>
      <c r="C6" s="171"/>
      <c r="D6" s="171"/>
      <c r="E6" s="171"/>
      <c r="F6" s="148" t="str">
        <f>"Tipo de Contagem : "&amp;Contagem!F6</f>
        <v>Tipo de Contagem : Projeto de Desenvolvimento</v>
      </c>
      <c r="G6" s="148"/>
      <c r="H6" s="148"/>
      <c r="I6" s="148"/>
      <c r="J6" s="148"/>
      <c r="K6" s="148"/>
      <c r="L6" s="148"/>
      <c r="M6" s="148"/>
    </row>
    <row r="7" spans="1:13" x14ac:dyDescent="0.25">
      <c r="A7" s="73"/>
      <c r="M7" s="74"/>
    </row>
    <row r="8" spans="1:13" ht="13.5" x14ac:dyDescent="0.35">
      <c r="A8" s="73"/>
      <c r="B8" s="172"/>
      <c r="C8" s="172"/>
      <c r="D8" s="172"/>
      <c r="E8" s="172"/>
      <c r="F8" s="172"/>
      <c r="G8" s="172"/>
      <c r="H8" s="172"/>
      <c r="I8" s="172"/>
      <c r="M8" s="74"/>
    </row>
    <row r="9" spans="1:13" ht="13.5" x14ac:dyDescent="0.35">
      <c r="A9" s="73"/>
      <c r="B9" s="173" t="s">
        <v>269</v>
      </c>
      <c r="C9" s="173"/>
      <c r="D9" s="173"/>
      <c r="E9" s="28" t="s">
        <v>239</v>
      </c>
      <c r="F9" s="28" t="s">
        <v>3</v>
      </c>
      <c r="G9" s="28" t="s">
        <v>270</v>
      </c>
      <c r="H9" s="28" t="s">
        <v>271</v>
      </c>
      <c r="I9" s="28" t="s">
        <v>9</v>
      </c>
      <c r="J9" s="28" t="s">
        <v>272</v>
      </c>
      <c r="M9" s="74"/>
    </row>
    <row r="10" spans="1:13" ht="13.5" customHeight="1" x14ac:dyDescent="0.35">
      <c r="A10" s="73"/>
      <c r="B10" s="140" t="str">
        <f>""&amp;Deflatores!B4</f>
        <v>Inclusão</v>
      </c>
      <c r="C10" s="140"/>
      <c r="D10" s="17" t="str">
        <f>""&amp;Deflatores!G4</f>
        <v>I</v>
      </c>
      <c r="E10" s="95">
        <f>IF(D10="","",COUNTIF(Funções!C$12:C$682,D10))</f>
        <v>101</v>
      </c>
      <c r="F10" s="96">
        <f>SUMIF(Funções!$C$12:$C$682,Deflatores!G4,Funções!$H$12:$H$682)</f>
        <v>486</v>
      </c>
      <c r="G10" s="97">
        <f>IF(ISBLANK(Deflatores!H4),"",Deflatores!H4)</f>
        <v>1</v>
      </c>
      <c r="H10" s="96" t="str">
        <f>IF(ISBLANK(Deflatores!I4),"",Deflatores!I4)</f>
        <v/>
      </c>
      <c r="I10" s="98">
        <f>IF(F10=0,Deflatores!K4,F10*G10)</f>
        <v>486</v>
      </c>
      <c r="J10" s="99">
        <f t="shared" ref="J10:J44" si="0">IF($L$11&lt;&gt;0,I10/$L$11,"")</f>
        <v>0.9469992205767731</v>
      </c>
      <c r="L10" s="33" t="s">
        <v>9</v>
      </c>
      <c r="M10" s="47"/>
    </row>
    <row r="11" spans="1:13" ht="13.5" customHeight="1" x14ac:dyDescent="0.35">
      <c r="A11" s="73"/>
      <c r="B11" s="140" t="str">
        <f>""&amp;Deflatores!B5</f>
        <v>Alteração (sem conhecimento do Fator de Impacto)</v>
      </c>
      <c r="C11" s="140"/>
      <c r="D11" s="17" t="str">
        <f>""&amp;Deflatores!G5</f>
        <v>A</v>
      </c>
      <c r="E11" s="95">
        <f>IF(D11="","",COUNTIF(Funções!C$12:C$682,D11))</f>
        <v>0</v>
      </c>
      <c r="F11" s="96">
        <f>SUMIF(Funções!$C$12:$C$682,Deflatores!G5,Funções!$H$12:$H$682)</f>
        <v>0</v>
      </c>
      <c r="G11" s="97">
        <f>IF(ISBLANK(Deflatores!H5),"",Deflatores!H5)</f>
        <v>0.5</v>
      </c>
      <c r="H11" s="96" t="str">
        <f>IF(ISBLANK(Deflatores!I5),"",Deflatores!I5)</f>
        <v/>
      </c>
      <c r="I11" s="98">
        <f>IF(F11=0,Deflatores!K5,F11*G11)</f>
        <v>0</v>
      </c>
      <c r="J11" s="99">
        <f t="shared" si="0"/>
        <v>0</v>
      </c>
      <c r="K11" s="85"/>
      <c r="L11" s="34">
        <f>Contagem!Q6</f>
        <v>513.20000000000005</v>
      </c>
      <c r="M11" s="47"/>
    </row>
    <row r="12" spans="1:13" ht="13.5" customHeight="1" x14ac:dyDescent="0.35">
      <c r="A12" s="73"/>
      <c r="B12" s="140" t="str">
        <f>""&amp;Deflatores!B6</f>
        <v>Exclusão</v>
      </c>
      <c r="C12" s="140"/>
      <c r="D12" s="17" t="str">
        <f>""&amp;Deflatores!G6</f>
        <v>E</v>
      </c>
      <c r="E12" s="95">
        <f>IF(D12="","",COUNTIF(Funções!C$12:C$682,D12))</f>
        <v>12</v>
      </c>
      <c r="F12" s="96">
        <f>SUMIF(Funções!$C$12:$C$682,Deflatores!G6,Funções!$H$12:$H$682)</f>
        <v>47</v>
      </c>
      <c r="G12" s="97">
        <f>IF(ISBLANK(Deflatores!H6),"",Deflatores!H6)</f>
        <v>0.4</v>
      </c>
      <c r="H12" s="96" t="str">
        <f>IF(ISBLANK(Deflatores!I6),"",Deflatores!I6)</f>
        <v/>
      </c>
      <c r="I12" s="98">
        <f>IF(F12=0,Deflatores!K6,F12*G12)</f>
        <v>18.8</v>
      </c>
      <c r="J12" s="99">
        <f t="shared" si="0"/>
        <v>3.6632891660171474E-2</v>
      </c>
      <c r="K12" s="85"/>
      <c r="L12" s="86"/>
      <c r="M12" s="47"/>
    </row>
    <row r="13" spans="1:13" ht="13.5" customHeight="1" x14ac:dyDescent="0.35">
      <c r="A13" s="73"/>
      <c r="B13" s="140" t="str">
        <f>""&amp;Deflatores!B7</f>
        <v>Alteração (50%) de função desenvolvida ou já alterada pela empresa atual</v>
      </c>
      <c r="C13" s="140"/>
      <c r="D13" s="17" t="str">
        <f>""&amp;Deflatores!G7</f>
        <v>A50</v>
      </c>
      <c r="E13" s="95">
        <f>IF(D13="","",COUNTIF(Funções!C$12:C$682,D13))</f>
        <v>0</v>
      </c>
      <c r="F13" s="96">
        <f>SUMIF(Funções!$C$12:$C$682,Deflatores!G7,Funções!$H$12:$H$682)</f>
        <v>0</v>
      </c>
      <c r="G13" s="97">
        <f>IF(ISBLANK(Deflatores!H7),"",Deflatores!H7)</f>
        <v>0.5</v>
      </c>
      <c r="H13" s="96" t="str">
        <f>IF(ISBLANK(Deflatores!I7),"",Deflatores!I7)</f>
        <v/>
      </c>
      <c r="I13" s="98">
        <f>Deflatores!K7</f>
        <v>0</v>
      </c>
      <c r="J13" s="99">
        <f t="shared" si="0"/>
        <v>0</v>
      </c>
      <c r="K13" s="85"/>
      <c r="L13" s="33" t="s">
        <v>273</v>
      </c>
      <c r="M13" s="47"/>
    </row>
    <row r="14" spans="1:13" ht="13.5" customHeight="1" x14ac:dyDescent="0.35">
      <c r="A14" s="73"/>
      <c r="B14" s="140" t="str">
        <f>""&amp;Deflatores!B8</f>
        <v>Alteração (75%) de função não desenv. e ainda não alterada pela empresa atual</v>
      </c>
      <c r="C14" s="140"/>
      <c r="D14" s="17" t="str">
        <f>""&amp;Deflatores!G8</f>
        <v>A75</v>
      </c>
      <c r="E14" s="95">
        <f>IF(D14="","",COUNTIF(Funções!C$12:C$682,D14))</f>
        <v>0</v>
      </c>
      <c r="F14" s="96">
        <f>SUMIF(Funções!$C$12:$C$682,Deflatores!G8,Funções!$H$12:$H$682)</f>
        <v>0</v>
      </c>
      <c r="G14" s="97">
        <f>IF(ISBLANK(Deflatores!H8),"",Deflatores!H8)</f>
        <v>0.75</v>
      </c>
      <c r="H14" s="96" t="str">
        <f>IF(ISBLANK(Deflatores!I8),"",Deflatores!I8)</f>
        <v/>
      </c>
      <c r="I14" s="98">
        <f>Deflatores!K8</f>
        <v>0</v>
      </c>
      <c r="J14" s="99">
        <f t="shared" si="0"/>
        <v>0</v>
      </c>
      <c r="L14" s="34">
        <f>Contagem!Q4</f>
        <v>555</v>
      </c>
      <c r="M14" s="47"/>
    </row>
    <row r="15" spans="1:13" ht="13.5" customHeight="1" x14ac:dyDescent="0.25">
      <c r="A15" s="73"/>
      <c r="B15" s="140" t="str">
        <f>""&amp;Deflatores!B9</f>
        <v>Alteração (75%+15%): o mesmo acima + redocumentar a função</v>
      </c>
      <c r="C15" s="140"/>
      <c r="D15" s="17" t="str">
        <f>""&amp;Deflatores!G9</f>
        <v>A90</v>
      </c>
      <c r="E15" s="95">
        <f>IF(D15="","",COUNTIF(Funções!C$12:C$682,D15))</f>
        <v>0</v>
      </c>
      <c r="F15" s="96">
        <f>SUMIF(Funções!$C$12:$C$682,Deflatores!G9,Funções!$H$12:$H$682)</f>
        <v>0</v>
      </c>
      <c r="G15" s="97">
        <f>IF(ISBLANK(Deflatores!H9),"",Deflatores!H9)</f>
        <v>0.9</v>
      </c>
      <c r="H15" s="96" t="str">
        <f>IF(ISBLANK(Deflatores!I9),"",Deflatores!I9)</f>
        <v/>
      </c>
      <c r="I15" s="98">
        <f>Deflatores!K9</f>
        <v>0</v>
      </c>
      <c r="J15" s="99">
        <f t="shared" si="0"/>
        <v>0</v>
      </c>
      <c r="M15" s="74"/>
    </row>
    <row r="16" spans="1:13" ht="13.5" customHeight="1" x14ac:dyDescent="0.25">
      <c r="A16" s="73"/>
      <c r="B16" s="140" t="str">
        <f>""&amp;Deflatores!B10</f>
        <v>Migração de Dados</v>
      </c>
      <c r="C16" s="140"/>
      <c r="D16" s="17" t="str">
        <f>""&amp;Deflatores!G10</f>
        <v>PMD</v>
      </c>
      <c r="E16" s="95">
        <f>IF(D16="","",COUNTIF(Funções!C$12:C$682,D16))</f>
        <v>0</v>
      </c>
      <c r="F16" s="96">
        <f>SUMIF(Funções!$C$12:$C$682,Deflatores!G10,Funções!$H$12:$H$682)</f>
        <v>0</v>
      </c>
      <c r="G16" s="97">
        <f>IF(ISBLANK(Deflatores!H10),"",Deflatores!H10)</f>
        <v>1</v>
      </c>
      <c r="H16" s="96" t="str">
        <f>IF(ISBLANK(Deflatores!I10),"",Deflatores!I10)</f>
        <v/>
      </c>
      <c r="I16" s="98">
        <f>Deflatores!K10</f>
        <v>0</v>
      </c>
      <c r="J16" s="99">
        <f t="shared" si="0"/>
        <v>0</v>
      </c>
      <c r="M16" s="74"/>
    </row>
    <row r="17" spans="1:13" ht="13.5" customHeight="1" x14ac:dyDescent="0.25">
      <c r="A17" s="73"/>
      <c r="B17" s="140" t="str">
        <f>""&amp;Deflatores!B11</f>
        <v>Corretiva (sem conhecimento do Fator de Impacto)</v>
      </c>
      <c r="C17" s="140"/>
      <c r="D17" s="17" t="str">
        <f>""&amp;Deflatores!G11</f>
        <v>COR</v>
      </c>
      <c r="E17" s="95">
        <f>IF(D17="","",COUNTIF(Funções!C$12:C$682,D17))</f>
        <v>0</v>
      </c>
      <c r="F17" s="96">
        <f>SUMIF(Funções!$C$12:$C$682,Deflatores!G11,Funções!$H$12:$H$682)</f>
        <v>0</v>
      </c>
      <c r="G17" s="97">
        <f>IF(ISBLANK(Deflatores!H11),"",Deflatores!H11)</f>
        <v>0.5</v>
      </c>
      <c r="H17" s="96" t="str">
        <f>IF(ISBLANK(Deflatores!I11),"",Deflatores!I11)</f>
        <v/>
      </c>
      <c r="I17" s="98">
        <f>Deflatores!K11</f>
        <v>0</v>
      </c>
      <c r="J17" s="99">
        <f>IF($L$11&lt;&gt;0,I17/$L$11,"")</f>
        <v>0</v>
      </c>
      <c r="M17" s="74"/>
    </row>
    <row r="18" spans="1:13" ht="13.5" customHeight="1" x14ac:dyDescent="0.25">
      <c r="A18" s="73"/>
      <c r="B18" s="140" t="str">
        <f>""&amp;Deflatores!B12</f>
        <v>Corretiva (50%) - Fora da garantia (mesma empresa)</v>
      </c>
      <c r="C18" s="140"/>
      <c r="D18" s="17" t="str">
        <f>""&amp;Deflatores!G12</f>
        <v>COR50</v>
      </c>
      <c r="E18" s="95">
        <f>IF(D18="","",COUNTIF(Funções!C$12:C$682,D18))</f>
        <v>0</v>
      </c>
      <c r="F18" s="96">
        <f>SUMIF(Funções!$C$12:$C$682,Deflatores!G12,Funções!$H$12:$H$682)</f>
        <v>0</v>
      </c>
      <c r="G18" s="97">
        <f>IF(ISBLANK(Deflatores!H12),"",Deflatores!H12)</f>
        <v>0.5</v>
      </c>
      <c r="H18" s="96" t="str">
        <f>IF(ISBLANK(Deflatores!I12),"",Deflatores!I12)</f>
        <v/>
      </c>
      <c r="I18" s="98">
        <f>Deflatores!K12</f>
        <v>0</v>
      </c>
      <c r="J18" s="99">
        <f t="shared" si="0"/>
        <v>0</v>
      </c>
      <c r="M18" s="74"/>
    </row>
    <row r="19" spans="1:13" ht="13.5" customHeight="1" x14ac:dyDescent="0.25">
      <c r="A19" s="73"/>
      <c r="B19" s="140" t="str">
        <f>""&amp;Deflatores!B13</f>
        <v>Corretiva (75%) - Fora da garantia (outra empresa)</v>
      </c>
      <c r="C19" s="140"/>
      <c r="D19" s="17" t="str">
        <f>""&amp;Deflatores!G13</f>
        <v>COR75</v>
      </c>
      <c r="E19" s="95">
        <f>IF(D19="","",COUNTIF(Funções!C$12:C$682,D19))</f>
        <v>0</v>
      </c>
      <c r="F19" s="96">
        <f>SUMIF(Funções!$C$12:$C$682,Deflatores!G13,Funções!$H$12:$H$682)</f>
        <v>0</v>
      </c>
      <c r="G19" s="97">
        <f>IF(ISBLANK(Deflatores!H13),"",Deflatores!H13)</f>
        <v>0.75</v>
      </c>
      <c r="H19" s="96" t="str">
        <f>IF(ISBLANK(Deflatores!I13),"",Deflatores!I13)</f>
        <v/>
      </c>
      <c r="I19" s="98">
        <f>Deflatores!K13</f>
        <v>0</v>
      </c>
      <c r="J19" s="99">
        <f t="shared" si="0"/>
        <v>0</v>
      </c>
      <c r="M19" s="74"/>
    </row>
    <row r="20" spans="1:13" ht="13.5" customHeight="1" x14ac:dyDescent="0.25">
      <c r="A20" s="73"/>
      <c r="B20" s="140" t="str">
        <f>""&amp;Deflatores!B14</f>
        <v>Corretiva (75%+15%) - Fora da garantia (outra empresa) + Redocumentação</v>
      </c>
      <c r="C20" s="140"/>
      <c r="D20" s="17" t="str">
        <f>""&amp;Deflatores!G14</f>
        <v>COR90</v>
      </c>
      <c r="E20" s="95">
        <f>IF(D20="","",COUNTIF(Funções!C$12:C$682,D20))</f>
        <v>0</v>
      </c>
      <c r="F20" s="96">
        <f>SUMIF(Funções!$C$12:$C$682,Deflatores!G14,Funções!$H$12:$H$682)</f>
        <v>0</v>
      </c>
      <c r="G20" s="97">
        <f>IF(ISBLANK(Deflatores!H14),"",Deflatores!H14)</f>
        <v>0.9</v>
      </c>
      <c r="H20" s="96" t="str">
        <f>IF(ISBLANK(Deflatores!I14),"",Deflatores!I14)</f>
        <v/>
      </c>
      <c r="I20" s="98">
        <f>Deflatores!K14</f>
        <v>0</v>
      </c>
      <c r="J20" s="99">
        <f>IF($L$11&lt;&gt;0,I20/$L$11,"")</f>
        <v>0</v>
      </c>
      <c r="M20" s="74"/>
    </row>
    <row r="21" spans="1:13" ht="13.5" customHeight="1" x14ac:dyDescent="0.25">
      <c r="A21" s="73"/>
      <c r="B21" s="140" t="str">
        <f>""&amp;Deflatores!B15</f>
        <v>Corretiva em Garantia</v>
      </c>
      <c r="C21" s="140"/>
      <c r="D21" s="17" t="str">
        <f>""&amp;Deflatores!G15</f>
        <v>GAR</v>
      </c>
      <c r="E21" s="95">
        <f>IF(D21="","",COUNTIF(Funções!C$12:C$682,D21))</f>
        <v>0</v>
      </c>
      <c r="F21" s="96">
        <f>SUMIF(Funções!$C$12:$C$682,Deflatores!G15,Funções!$H$12:$H$682)</f>
        <v>0</v>
      </c>
      <c r="G21" s="97">
        <f>IF(ISBLANK(Deflatores!H15),"",Deflatores!H15)</f>
        <v>0</v>
      </c>
      <c r="H21" s="96" t="str">
        <f>IF(ISBLANK(Deflatores!I15),"",Deflatores!I15)</f>
        <v/>
      </c>
      <c r="I21" s="98">
        <f>Deflatores!K15</f>
        <v>0</v>
      </c>
      <c r="J21" s="99">
        <f>IF($L$11&lt;&gt;0,I21/$L$11,"")</f>
        <v>0</v>
      </c>
      <c r="M21" s="74"/>
    </row>
    <row r="22" spans="1:13" ht="13.5" customHeight="1" x14ac:dyDescent="0.25">
      <c r="A22" s="73"/>
      <c r="B22" s="140" t="str">
        <f>""&amp;Deflatores!B16</f>
        <v>Mudança de Plataforma - Linguagem de Programação</v>
      </c>
      <c r="C22" s="140"/>
      <c r="D22" s="17" t="str">
        <f>""&amp;Deflatores!G16</f>
        <v>MLP</v>
      </c>
      <c r="E22" s="95">
        <f>IF(D22="","",COUNTIF(Funções!C$12:C$682,D22))</f>
        <v>0</v>
      </c>
      <c r="F22" s="96">
        <f>SUMIF(Funções!$C$12:$C$682,Deflatores!G16,Funções!$H$12:$H$682)</f>
        <v>0</v>
      </c>
      <c r="G22" s="97">
        <f>IF(ISBLANK(Deflatores!H16),"",Deflatores!H16)</f>
        <v>1</v>
      </c>
      <c r="H22" s="96" t="str">
        <f>IF(ISBLANK(Deflatores!I16),"",Deflatores!I16)</f>
        <v/>
      </c>
      <c r="I22" s="98">
        <f>Deflatores!K16</f>
        <v>0</v>
      </c>
      <c r="J22" s="99">
        <f t="shared" si="0"/>
        <v>0</v>
      </c>
      <c r="M22" s="74"/>
    </row>
    <row r="23" spans="1:13" ht="13.5" customHeight="1" x14ac:dyDescent="0.25">
      <c r="A23" s="73"/>
      <c r="B23" s="140" t="str">
        <f>""&amp;Deflatores!B17</f>
        <v>Mudança de Plataforma - Banco de Dados (outro paradigma)</v>
      </c>
      <c r="C23" s="140"/>
      <c r="D23" s="17" t="str">
        <f>""&amp;Deflatores!G17</f>
        <v>MBO</v>
      </c>
      <c r="E23" s="95">
        <f>IF(D23="","",COUNTIF(Funções!C$12:C$682,D23))</f>
        <v>0</v>
      </c>
      <c r="F23" s="96">
        <f>SUMIF(Funções!$C$12:$C$682,Deflatores!G17,Funções!$H$12:$H$682)</f>
        <v>0</v>
      </c>
      <c r="G23" s="97">
        <f>IF(ISBLANK(Deflatores!H17),"",Deflatores!H17)</f>
        <v>1</v>
      </c>
      <c r="H23" s="96" t="str">
        <f>IF(ISBLANK(Deflatores!I17),"",Deflatores!I17)</f>
        <v/>
      </c>
      <c r="I23" s="98">
        <f>Deflatores!K17</f>
        <v>0</v>
      </c>
      <c r="J23" s="99">
        <f t="shared" si="0"/>
        <v>0</v>
      </c>
      <c r="M23" s="74"/>
    </row>
    <row r="24" spans="1:13" ht="13.5" customHeight="1" x14ac:dyDescent="0.25">
      <c r="A24" s="73"/>
      <c r="B24" s="140" t="str">
        <f>""&amp;Deflatores!B18</f>
        <v>Mudança de Plataforma - Banco de Dados (mesmo paradigma com alterações)</v>
      </c>
      <c r="C24" s="140"/>
      <c r="D24" s="17" t="str">
        <f>""&amp;Deflatores!G18</f>
        <v>MBM</v>
      </c>
      <c r="E24" s="95">
        <f>IF(D24="","",COUNTIF(Funções!C$12:C$682,D24))</f>
        <v>0</v>
      </c>
      <c r="F24" s="96">
        <f>SUMIF(Funções!$C$12:$C$682,Deflatores!G18,Funções!$H$12:$H$682)</f>
        <v>0</v>
      </c>
      <c r="G24" s="97">
        <f>IF(ISBLANK(Deflatores!H18),"",Deflatores!H18)</f>
        <v>0.3</v>
      </c>
      <c r="H24" s="96" t="str">
        <f>IF(ISBLANK(Deflatores!I18),"",Deflatores!I18)</f>
        <v/>
      </c>
      <c r="I24" s="98">
        <f>Deflatores!K18</f>
        <v>0</v>
      </c>
      <c r="J24" s="99">
        <f t="shared" si="0"/>
        <v>0</v>
      </c>
      <c r="K24" s="85"/>
      <c r="M24" s="74"/>
    </row>
    <row r="25" spans="1:13" ht="13.5" customHeight="1" x14ac:dyDescent="0.25">
      <c r="A25" s="73"/>
      <c r="B25" s="140" t="str">
        <f>""&amp;Deflatores!B19</f>
        <v>Atualização de Versão – Linguagem de Programação</v>
      </c>
      <c r="C25" s="140"/>
      <c r="D25" s="17" t="str">
        <f>""&amp;Deflatores!G19</f>
        <v>ALP</v>
      </c>
      <c r="E25" s="95">
        <f>IF(D25="","",COUNTIF(Funções!C$12:C$682,D25))</f>
        <v>0</v>
      </c>
      <c r="F25" s="96">
        <f>SUMIF(Funções!$C$12:$C$682,Deflatores!G19,Funções!$H$12:$H$682)</f>
        <v>0</v>
      </c>
      <c r="G25" s="97">
        <f>IF(ISBLANK(Deflatores!H19),"",Deflatores!H19)</f>
        <v>0.3</v>
      </c>
      <c r="H25" s="96" t="str">
        <f>IF(ISBLANK(Deflatores!I19),"",Deflatores!I19)</f>
        <v/>
      </c>
      <c r="I25" s="98">
        <f>Deflatores!K19</f>
        <v>0</v>
      </c>
      <c r="J25" s="99">
        <f t="shared" si="0"/>
        <v>0</v>
      </c>
      <c r="K25" s="85"/>
      <c r="M25" s="74"/>
    </row>
    <row r="26" spans="1:13" ht="13.5" customHeight="1" x14ac:dyDescent="0.25">
      <c r="A26" s="73"/>
      <c r="B26" s="140" t="str">
        <f>""&amp;Deflatores!B20</f>
        <v>Atualização de Versão – Browser</v>
      </c>
      <c r="C26" s="140"/>
      <c r="D26" s="17" t="str">
        <f>""&amp;Deflatores!G20</f>
        <v>AVB</v>
      </c>
      <c r="E26" s="95">
        <f>IF(D26="","",COUNTIF(Funções!C$12:C$682,D26))</f>
        <v>0</v>
      </c>
      <c r="F26" s="96">
        <f>SUMIF(Funções!$C$12:$C$682,Deflatores!G20,Funções!$H$12:$H$682)</f>
        <v>0</v>
      </c>
      <c r="G26" s="97">
        <f>IF(ISBLANK(Deflatores!H20),"",Deflatores!H20)</f>
        <v>0.3</v>
      </c>
      <c r="H26" s="96" t="str">
        <f>IF(ISBLANK(Deflatores!I20),"",Deflatores!I20)</f>
        <v/>
      </c>
      <c r="I26" s="98">
        <f>Deflatores!K20</f>
        <v>0</v>
      </c>
      <c r="J26" s="99">
        <f t="shared" si="0"/>
        <v>0</v>
      </c>
      <c r="K26" s="85"/>
      <c r="M26" s="74"/>
    </row>
    <row r="27" spans="1:13" ht="13.5" customHeight="1" x14ac:dyDescent="0.25">
      <c r="A27" s="73"/>
      <c r="B27" s="140" t="str">
        <f>""&amp;Deflatores!B21</f>
        <v>Atualização de Versão – Banco de Dados</v>
      </c>
      <c r="C27" s="140"/>
      <c r="D27" s="17" t="str">
        <f>""&amp;Deflatores!G21</f>
        <v>ABD</v>
      </c>
      <c r="E27" s="95">
        <f>IF(D27="","",COUNTIF(Funções!C$12:C$682,D27))</f>
        <v>0</v>
      </c>
      <c r="F27" s="96">
        <f>SUMIF(Funções!$C$12:$C$682,Deflatores!G21,Funções!$H$12:$H$682)</f>
        <v>0</v>
      </c>
      <c r="G27" s="97">
        <f>IF(ISBLANK(Deflatores!H21),"",Deflatores!H21)</f>
        <v>0.3</v>
      </c>
      <c r="H27" s="96" t="str">
        <f>IF(ISBLANK(Deflatores!I21),"",Deflatores!I21)</f>
        <v/>
      </c>
      <c r="I27" s="98">
        <f>Deflatores!K21</f>
        <v>0</v>
      </c>
      <c r="J27" s="99">
        <f t="shared" si="0"/>
        <v>0</v>
      </c>
      <c r="K27" s="85"/>
      <c r="M27" s="74"/>
    </row>
    <row r="28" spans="1:13" ht="13.5" customHeight="1" x14ac:dyDescent="0.25">
      <c r="A28" s="73"/>
      <c r="B28" s="140" t="str">
        <f>""&amp;Deflatores!B22</f>
        <v>Manutenção Cosmética</v>
      </c>
      <c r="C28" s="140"/>
      <c r="D28" s="17" t="str">
        <f>""&amp;Deflatores!G22</f>
        <v>COS</v>
      </c>
      <c r="E28" s="95">
        <f>IF(D28="","",COUNTIF(Funções!C$12:C$682,D28))</f>
        <v>3</v>
      </c>
      <c r="F28" s="96">
        <f>SUMIF(Funções!$C$12:$C$682,Deflatores!G22,Funções!$H$12:$H$682)</f>
        <v>12</v>
      </c>
      <c r="G28" s="97" t="str">
        <f>IF(ISBLANK(Deflatores!H22),"",Deflatores!H22)</f>
        <v/>
      </c>
      <c r="H28" s="96">
        <f>IF(ISBLANK(Deflatores!I22),"",Deflatores!I22)</f>
        <v>0.6</v>
      </c>
      <c r="I28" s="98">
        <f>Deflatores!K22</f>
        <v>1.7999999999999998</v>
      </c>
      <c r="J28" s="99">
        <f t="shared" si="0"/>
        <v>3.5074045206547146E-3</v>
      </c>
      <c r="M28" s="74"/>
    </row>
    <row r="29" spans="1:13" ht="27" customHeight="1" x14ac:dyDescent="0.25">
      <c r="A29" s="73"/>
      <c r="B29" s="160" t="str">
        <f>""&amp;Deflatores!B23</f>
        <v>Adaptação em Funcionalidades sem Alteração de Requisitos Funcionais
(sem conhecimento do Fator de Impacto)</v>
      </c>
      <c r="C29" s="162"/>
      <c r="D29" s="17" t="str">
        <f>""&amp;Deflatores!G23</f>
        <v>ARN</v>
      </c>
      <c r="E29" s="95">
        <f>IF(D29="","",COUNTIF(Funções!C$12:C$682,D29))</f>
        <v>0</v>
      </c>
      <c r="F29" s="96">
        <f>SUMIF(Funções!$C$12:$C$682,Deflatores!G23,Funções!$H$12:$H$682)</f>
        <v>0</v>
      </c>
      <c r="G29" s="97">
        <f>IF(ISBLANK(Deflatores!H23),"",Deflatores!H23)</f>
        <v>0.5</v>
      </c>
      <c r="H29" s="96" t="str">
        <f>IF(ISBLANK(Deflatores!I23),"",Deflatores!I23)</f>
        <v/>
      </c>
      <c r="I29" s="98">
        <f>Deflatores!K23</f>
        <v>0</v>
      </c>
      <c r="J29" s="99">
        <f>IF($L$11&lt;&gt;0,I29/$L$11,"")</f>
        <v>0</v>
      </c>
      <c r="M29" s="74"/>
    </row>
    <row r="30" spans="1:13" ht="27" customHeight="1" x14ac:dyDescent="0.25">
      <c r="A30" s="73"/>
      <c r="B30" s="160" t="str">
        <f>""&amp;Deflatores!B24</f>
        <v>Adaptação em Funcionalidades sem Alteração de Requisitos Funcionais (50%)
(em função desenvolvida ou já alterada pela empresa atual)</v>
      </c>
      <c r="C30" s="162"/>
      <c r="D30" s="17" t="str">
        <f>""&amp;Deflatores!G24</f>
        <v>ARN50</v>
      </c>
      <c r="E30" s="95">
        <f>IF(D30="","",COUNTIF(Funções!C$12:C$682,D30))</f>
        <v>0</v>
      </c>
      <c r="F30" s="96">
        <f>SUMIF(Funções!$C$12:$C$682,Deflatores!G24,Funções!$H$12:$H$682)</f>
        <v>0</v>
      </c>
      <c r="G30" s="97">
        <f>IF(ISBLANK(Deflatores!H24),"",Deflatores!H24)</f>
        <v>0.5</v>
      </c>
      <c r="H30" s="96" t="str">
        <f>IF(ISBLANK(Deflatores!I24),"",Deflatores!I24)</f>
        <v/>
      </c>
      <c r="I30" s="98">
        <f>Deflatores!K24</f>
        <v>0</v>
      </c>
      <c r="J30" s="99">
        <f t="shared" si="0"/>
        <v>0</v>
      </c>
      <c r="M30" s="74"/>
    </row>
    <row r="31" spans="1:13" ht="27" customHeight="1" x14ac:dyDescent="0.25">
      <c r="A31" s="73"/>
      <c r="B31" s="160" t="str">
        <f>""&amp;Deflatores!B25</f>
        <v>Adaptação em Funcionalidades sem Alteração de Requisitos Funcionais (75%)
(em função não desenvolvida e ainda não alterada pela empresa atual)</v>
      </c>
      <c r="C31" s="162"/>
      <c r="D31" s="17" t="str">
        <f>""&amp;Deflatores!G25</f>
        <v>ARN75</v>
      </c>
      <c r="E31" s="95">
        <f>IF(D31="","",COUNTIF(Funções!C$12:C$682,D31))</f>
        <v>0</v>
      </c>
      <c r="F31" s="96">
        <f>SUMIF(Funções!$C$12:$C$682,Deflatores!G25,Funções!$H$12:$H$682)</f>
        <v>0</v>
      </c>
      <c r="G31" s="97">
        <f>IF(ISBLANK(Deflatores!H25),"",Deflatores!H25)</f>
        <v>0.75</v>
      </c>
      <c r="H31" s="96" t="str">
        <f>IF(ISBLANK(Deflatores!I25),"",Deflatores!I25)</f>
        <v/>
      </c>
      <c r="I31" s="98">
        <f>Deflatores!K25</f>
        <v>0</v>
      </c>
      <c r="J31" s="99">
        <f t="shared" si="0"/>
        <v>0</v>
      </c>
      <c r="M31" s="74"/>
    </row>
    <row r="32" spans="1:13" ht="13.5" customHeight="1" x14ac:dyDescent="0.25">
      <c r="A32" s="73"/>
      <c r="B32" s="140" t="str">
        <f>""&amp;Deflatores!B26</f>
        <v>Atualização de Dados sem Consulta Prévia</v>
      </c>
      <c r="C32" s="140"/>
      <c r="D32" s="17" t="str">
        <f>""&amp;Deflatores!G26</f>
        <v>ADS</v>
      </c>
      <c r="E32" s="95">
        <f>IF(D32="","",COUNTIF(Funções!C$12:C$682,D32))</f>
        <v>0</v>
      </c>
      <c r="F32" s="96">
        <f>SUMIF(Funções!$C$12:$C$682,Deflatores!G26,Funções!$H$12:$H$682)</f>
        <v>0</v>
      </c>
      <c r="G32" s="97">
        <f>IF(ISBLANK(Deflatores!H26),"",Deflatores!H26)</f>
        <v>1</v>
      </c>
      <c r="H32" s="96" t="str">
        <f>IF(ISBLANK(Deflatores!I26),"",Deflatores!I26)</f>
        <v/>
      </c>
      <c r="I32" s="98">
        <f>Deflatores!K26</f>
        <v>0</v>
      </c>
      <c r="J32" s="99">
        <f t="shared" si="0"/>
        <v>0</v>
      </c>
      <c r="M32" s="74"/>
    </row>
    <row r="33" spans="1:13" ht="13.5" customHeight="1" x14ac:dyDescent="0.25">
      <c r="A33" s="73"/>
      <c r="B33" s="140" t="str">
        <f>""&amp;Deflatores!B27</f>
        <v>Consulta Prévia sem Atualização</v>
      </c>
      <c r="C33" s="140"/>
      <c r="D33" s="17" t="str">
        <f>""&amp;Deflatores!G27</f>
        <v>CPA</v>
      </c>
      <c r="E33" s="95">
        <f>IF(D33="","",COUNTIF(Funções!C$12:C$682,D33))</f>
        <v>0</v>
      </c>
      <c r="F33" s="96">
        <f>SUMIF(Funções!$C$12:$C$682,Deflatores!G27,Funções!$H$12:$H$682)</f>
        <v>0</v>
      </c>
      <c r="G33" s="97">
        <f>IF(ISBLANK(Deflatores!H27),"",Deflatores!H27)</f>
        <v>1</v>
      </c>
      <c r="H33" s="96" t="str">
        <f>IF(ISBLANK(Deflatores!I27),"",Deflatores!I27)</f>
        <v/>
      </c>
      <c r="I33" s="98">
        <f>Deflatores!K27</f>
        <v>0</v>
      </c>
      <c r="J33" s="99">
        <f t="shared" si="0"/>
        <v>0</v>
      </c>
      <c r="M33" s="74"/>
    </row>
    <row r="34" spans="1:13" ht="13.5" customHeight="1" x14ac:dyDescent="0.25">
      <c r="A34" s="73"/>
      <c r="B34" s="140" t="str">
        <f>""&amp;Deflatores!B28</f>
        <v>Atualização de Dados com Consulta Prévia</v>
      </c>
      <c r="C34" s="140"/>
      <c r="D34" s="17" t="str">
        <f>""&amp;Deflatores!G28</f>
        <v>ADC</v>
      </c>
      <c r="E34" s="95">
        <f>IF(D34="","",COUNTIF(Funções!C$12:C$682,D34))</f>
        <v>0</v>
      </c>
      <c r="F34" s="96">
        <f>SUMIF(Funções!$C$12:$C$682,Deflatores!G28,Funções!$H$12:$H$682)</f>
        <v>0</v>
      </c>
      <c r="G34" s="97">
        <f>IF(ISBLANK(Deflatores!H28),"",Deflatores!H28)</f>
        <v>0.6</v>
      </c>
      <c r="H34" s="96" t="str">
        <f>IF(ISBLANK(Deflatores!I28),"",Deflatores!I28)</f>
        <v/>
      </c>
      <c r="I34" s="98">
        <f>Deflatores!K28</f>
        <v>0</v>
      </c>
      <c r="J34" s="99">
        <f t="shared" si="0"/>
        <v>0</v>
      </c>
      <c r="M34" s="74"/>
    </row>
    <row r="35" spans="1:13" ht="13.5" customHeight="1" x14ac:dyDescent="0.25">
      <c r="A35" s="73"/>
      <c r="B35" s="140" t="str">
        <f>""&amp;Deflatores!B29</f>
        <v>Apuração Especial – Geração de Relatórios</v>
      </c>
      <c r="C35" s="140"/>
      <c r="D35" s="17" t="str">
        <f>""&amp;Deflatores!G29</f>
        <v>AGR</v>
      </c>
      <c r="E35" s="95">
        <f>IF(D35="","",COUNTIF(Funções!C$12:C$682,D35))</f>
        <v>0</v>
      </c>
      <c r="F35" s="96">
        <f>SUMIF(Funções!$C$12:$C$682,Deflatores!G29,Funções!$H$12:$H$682)</f>
        <v>0</v>
      </c>
      <c r="G35" s="97">
        <f>IF(ISBLANK(Deflatores!H29),"",Deflatores!H29)</f>
        <v>1</v>
      </c>
      <c r="H35" s="96" t="str">
        <f>IF(ISBLANK(Deflatores!I29),"",Deflatores!I29)</f>
        <v/>
      </c>
      <c r="I35" s="98">
        <f>Deflatores!K29</f>
        <v>0</v>
      </c>
      <c r="J35" s="99">
        <f t="shared" si="0"/>
        <v>0</v>
      </c>
      <c r="M35" s="74"/>
    </row>
    <row r="36" spans="1:13" ht="13.5" customHeight="1" x14ac:dyDescent="0.25">
      <c r="A36" s="73"/>
      <c r="B36" s="140" t="str">
        <f>""&amp;Deflatores!B30</f>
        <v>Apuração Especial – Reexecução</v>
      </c>
      <c r="C36" s="140"/>
      <c r="D36" s="17" t="str">
        <f>""&amp;Deflatores!G30</f>
        <v>AER</v>
      </c>
      <c r="E36" s="95">
        <f>IF(D36="","",COUNTIF(Funções!C$12:C$682,D36))</f>
        <v>0</v>
      </c>
      <c r="F36" s="96">
        <f>SUMIF(Funções!$C$12:$C$682,Deflatores!G30,Funções!$H$12:$H$682)</f>
        <v>0</v>
      </c>
      <c r="G36" s="97">
        <f>IF(ISBLANK(Deflatores!H30),"",Deflatores!H30)</f>
        <v>0.1</v>
      </c>
      <c r="H36" s="96" t="str">
        <f>IF(ISBLANK(Deflatores!I30),"",Deflatores!I30)</f>
        <v/>
      </c>
      <c r="I36" s="98">
        <f>Deflatores!K30</f>
        <v>0</v>
      </c>
      <c r="J36" s="99">
        <f t="shared" si="0"/>
        <v>0</v>
      </c>
      <c r="M36" s="74"/>
    </row>
    <row r="37" spans="1:13" ht="13.5" customHeight="1" x14ac:dyDescent="0.25">
      <c r="A37" s="73"/>
      <c r="B37" s="140" t="str">
        <f>""&amp;Deflatores!B31</f>
        <v>Atualização de Dados</v>
      </c>
      <c r="C37" s="140"/>
      <c r="D37" s="17" t="str">
        <f>""&amp;Deflatores!G31</f>
        <v>ATD</v>
      </c>
      <c r="E37" s="95">
        <f>IF(D37="","",COUNTIF(Funções!C$12:C$682,D37))</f>
        <v>0</v>
      </c>
      <c r="F37" s="96">
        <f>SUMIF(Funções!$C$12:$C$682,Deflatores!G31,Funções!$H$12:$H$682)</f>
        <v>0</v>
      </c>
      <c r="G37" s="97">
        <f>IF(ISBLANK(Deflatores!H31),"",Deflatores!H31)</f>
        <v>0.1</v>
      </c>
      <c r="H37" s="96" t="str">
        <f>IF(ISBLANK(Deflatores!I31),"",Deflatores!I31)</f>
        <v/>
      </c>
      <c r="I37" s="98">
        <f>Deflatores!K31</f>
        <v>0</v>
      </c>
      <c r="J37" s="99">
        <f t="shared" si="0"/>
        <v>0</v>
      </c>
      <c r="M37" s="74"/>
    </row>
    <row r="38" spans="1:13" ht="13.5" customHeight="1" x14ac:dyDescent="0.25">
      <c r="A38" s="73"/>
      <c r="B38" s="140" t="str">
        <f>""&amp;Deflatores!B32</f>
        <v>Manutenção de Documentação de Sistemas Legados</v>
      </c>
      <c r="C38" s="140"/>
      <c r="D38" s="17" t="str">
        <f>""&amp;Deflatores!G32</f>
        <v>MSL</v>
      </c>
      <c r="E38" s="95">
        <f>IF(D38="","",COUNTIF(Funções!C$12:C$682,D38))</f>
        <v>0</v>
      </c>
      <c r="F38" s="96">
        <f>SUMIF(Funções!$C$12:$C$682,Deflatores!G32,Funções!$H$12:$H$682)</f>
        <v>0</v>
      </c>
      <c r="G38" s="97">
        <f>IF(ISBLANK(Deflatores!H32),"",Deflatores!H32)</f>
        <v>0.25</v>
      </c>
      <c r="H38" s="96" t="str">
        <f>IF(ISBLANK(Deflatores!I32),"",Deflatores!I32)</f>
        <v/>
      </c>
      <c r="I38" s="98">
        <f>Deflatores!K32</f>
        <v>0</v>
      </c>
      <c r="J38" s="99">
        <f>IF($L$11&lt;&gt;0,I38/$L$11,"")</f>
        <v>0</v>
      </c>
      <c r="M38" s="74"/>
    </row>
    <row r="39" spans="1:13" ht="13.5" customHeight="1" x14ac:dyDescent="0.25">
      <c r="A39" s="73"/>
      <c r="B39" s="140" t="str">
        <f>""&amp;Deflatores!B33</f>
        <v>Verificação de Erros (Sem Documentação de Teste existente)</v>
      </c>
      <c r="C39" s="140"/>
      <c r="D39" s="17" t="str">
        <f>""&amp;Deflatores!G33</f>
        <v>VES</v>
      </c>
      <c r="E39" s="95">
        <f>IF(D39="","",COUNTIF(Funções!C$12:C$682,D39))</f>
        <v>0</v>
      </c>
      <c r="F39" s="96">
        <f>SUMIF(Funções!$C$12:$C$682,Deflatores!G33,Funções!$H$12:$H$682)</f>
        <v>0</v>
      </c>
      <c r="G39" s="97">
        <f>IF(ISBLANK(Deflatores!H33),"",Deflatores!H33)</f>
        <v>0.2</v>
      </c>
      <c r="H39" s="96" t="str">
        <f>IF(ISBLANK(Deflatores!I33),"",Deflatores!I33)</f>
        <v/>
      </c>
      <c r="I39" s="98">
        <f>Deflatores!K33</f>
        <v>0</v>
      </c>
      <c r="J39" s="99">
        <f>IF($L$11&lt;&gt;0,I39/$L$11,"")</f>
        <v>0</v>
      </c>
      <c r="M39" s="74"/>
    </row>
    <row r="40" spans="1:13" ht="13.5" customHeight="1" x14ac:dyDescent="0.25">
      <c r="A40" s="73"/>
      <c r="B40" s="140" t="str">
        <f>""&amp;Deflatores!B34</f>
        <v>Verificação de Erros (Com Documentação de Teste existente)</v>
      </c>
      <c r="C40" s="140"/>
      <c r="D40" s="17" t="str">
        <f>""&amp;Deflatores!G34</f>
        <v>VEC</v>
      </c>
      <c r="E40" s="95">
        <f>IF(D40="","",COUNTIF(Funções!C$12:C$682,D40))</f>
        <v>0</v>
      </c>
      <c r="F40" s="96">
        <f>SUMIF(Funções!$C$12:$C$682,Deflatores!G34,Funções!$H$12:$H$682)</f>
        <v>0</v>
      </c>
      <c r="G40" s="97">
        <f>IF(ISBLANK(Deflatores!H34),"",Deflatores!H34)</f>
        <v>0.15</v>
      </c>
      <c r="H40" s="96" t="str">
        <f>IF(ISBLANK(Deflatores!I34),"",Deflatores!I34)</f>
        <v/>
      </c>
      <c r="I40" s="98">
        <f>Deflatores!K34</f>
        <v>0</v>
      </c>
      <c r="J40" s="99">
        <f>IF($L$11&lt;&gt;0,I40/$L$11,"")</f>
        <v>0</v>
      </c>
      <c r="M40" s="74"/>
    </row>
    <row r="41" spans="1:13" ht="13.5" customHeight="1" x14ac:dyDescent="0.25">
      <c r="A41" s="73"/>
      <c r="B41" s="140" t="str">
        <f>""&amp;Deflatores!B35</f>
        <v>Pontos de Função de Teste</v>
      </c>
      <c r="C41" s="140"/>
      <c r="D41" s="17" t="str">
        <f>""&amp;Deflatores!G35</f>
        <v>PFT</v>
      </c>
      <c r="E41" s="95">
        <f>IF(D41="","",COUNTIF(Funções!C$12:C$682,D41))</f>
        <v>0</v>
      </c>
      <c r="F41" s="96">
        <f>SUMIF(Funções!$C$12:$C$682,Deflatores!G35,Funções!$H$12:$H$682)</f>
        <v>0</v>
      </c>
      <c r="G41" s="97">
        <f>IF(ISBLANK(Deflatores!H35),"",Deflatores!H35)</f>
        <v>0.15</v>
      </c>
      <c r="H41" s="96" t="str">
        <f>IF(ISBLANK(Deflatores!I35),"",Deflatores!I35)</f>
        <v/>
      </c>
      <c r="I41" s="98">
        <f>Deflatores!K35</f>
        <v>0</v>
      </c>
      <c r="J41" s="99">
        <f>IF($L$11&lt;&gt;0,I41/$L$11,"")</f>
        <v>0</v>
      </c>
      <c r="M41" s="74"/>
    </row>
    <row r="42" spans="1:13" ht="13.5" customHeight="1" x14ac:dyDescent="0.25">
      <c r="A42" s="73"/>
      <c r="B42" s="140" t="str">
        <f>""&amp;Deflatores!B36</f>
        <v>Componente Interno Reusável</v>
      </c>
      <c r="C42" s="140"/>
      <c r="D42" s="17" t="str">
        <f>""&amp;Deflatores!G36</f>
        <v>CIR</v>
      </c>
      <c r="E42" s="95">
        <f>IF(D42="","",COUNTIF(Funções!C$12:C$682,D42))</f>
        <v>0</v>
      </c>
      <c r="F42" s="96">
        <f>SUMIF(Funções!$C$12:$C$682,Deflatores!G36,Funções!$H$12:$H$682)</f>
        <v>0</v>
      </c>
      <c r="G42" s="97">
        <f>IF(ISBLANK(Deflatores!H36),"",Deflatores!H36)</f>
        <v>1</v>
      </c>
      <c r="H42" s="96" t="str">
        <f>IF(ISBLANK(Deflatores!I36),"",Deflatores!I36)</f>
        <v/>
      </c>
      <c r="I42" s="98">
        <f>Deflatores!K36</f>
        <v>0</v>
      </c>
      <c r="J42" s="99">
        <f t="shared" si="0"/>
        <v>0</v>
      </c>
      <c r="M42" s="74"/>
    </row>
    <row r="43" spans="1:13" ht="13.5" customHeight="1" x14ac:dyDescent="0.25">
      <c r="A43" s="73"/>
      <c r="B43" s="140" t="str">
        <f>""&amp;Deflatores!B37</f>
        <v/>
      </c>
      <c r="C43" s="140"/>
      <c r="D43" s="17" t="str">
        <f>""&amp;Deflatores!G37</f>
        <v xml:space="preserve">           .</v>
      </c>
      <c r="E43" s="95">
        <f>IF(D43="","",COUNTIF(Funções!C$12:C$682,D43))</f>
        <v>0</v>
      </c>
      <c r="F43" s="96">
        <f>SUMIF(Funções!$C$12:$C$682,Deflatores!G37,Funções!$H$12:$H$682)</f>
        <v>0</v>
      </c>
      <c r="G43" s="97" t="str">
        <f>IF(ISBLANK(Deflatores!H37),"",Deflatores!H37)</f>
        <v/>
      </c>
      <c r="H43" s="96" t="str">
        <f>IF(ISBLANK(Deflatores!I37),"",Deflatores!I37)</f>
        <v/>
      </c>
      <c r="I43" s="98">
        <f>Deflatores!K37</f>
        <v>0</v>
      </c>
      <c r="J43" s="99">
        <f t="shared" si="0"/>
        <v>0</v>
      </c>
      <c r="M43" s="74"/>
    </row>
    <row r="44" spans="1:13" ht="13.5" customHeight="1" x14ac:dyDescent="0.25">
      <c r="A44" s="73"/>
      <c r="B44" s="140" t="str">
        <f>""&amp;Deflatores!B38</f>
        <v/>
      </c>
      <c r="C44" s="140"/>
      <c r="D44" s="17" t="str">
        <f>""&amp;Deflatores!G38</f>
        <v xml:space="preserve">           .</v>
      </c>
      <c r="E44" s="95">
        <f>IF(D44="","",COUNTIF(Funções!C$12:C$682,D44))</f>
        <v>0</v>
      </c>
      <c r="F44" s="96">
        <f>SUMIF(Funções!$C$12:$C$682,Deflatores!G38,Funções!$H$12:$H$682)</f>
        <v>0</v>
      </c>
      <c r="G44" s="97" t="str">
        <f>IF(ISBLANK(Deflatores!H38),"",Deflatores!H38)</f>
        <v/>
      </c>
      <c r="H44" s="96" t="str">
        <f>IF(ISBLANK(Deflatores!I38),"",Deflatores!I38)</f>
        <v/>
      </c>
      <c r="I44" s="98">
        <f>Deflatores!K38</f>
        <v>0</v>
      </c>
      <c r="J44" s="99">
        <f t="shared" si="0"/>
        <v>0</v>
      </c>
      <c r="M44" s="74"/>
    </row>
    <row r="45" spans="1:13" ht="13.5" x14ac:dyDescent="0.35">
      <c r="A45" s="73"/>
      <c r="B45" s="87"/>
      <c r="C45" s="51"/>
      <c r="D45" s="75"/>
      <c r="E45" s="71"/>
      <c r="F45" s="71"/>
      <c r="G45" s="35"/>
      <c r="H45" s="88"/>
      <c r="I45" s="89"/>
      <c r="M45" s="74"/>
    </row>
    <row r="46" spans="1:13" ht="13.5" customHeight="1" x14ac:dyDescent="0.35">
      <c r="A46" s="73"/>
      <c r="B46" s="170" t="s">
        <v>274</v>
      </c>
      <c r="C46" s="170"/>
      <c r="D46" s="170"/>
      <c r="E46" s="36" t="s">
        <v>239</v>
      </c>
      <c r="F46" s="37"/>
      <c r="G46" s="35"/>
      <c r="H46" s="36" t="s">
        <v>271</v>
      </c>
      <c r="I46" s="36" t="s">
        <v>9</v>
      </c>
      <c r="J46" s="36" t="s">
        <v>272</v>
      </c>
      <c r="M46" s="74"/>
    </row>
    <row r="47" spans="1:13" ht="13.5" customHeight="1" x14ac:dyDescent="0.35">
      <c r="A47" s="73"/>
      <c r="B47" s="140" t="str">
        <f>""&amp;Deflatores!B42</f>
        <v>Páginas Estáticas</v>
      </c>
      <c r="C47" s="140"/>
      <c r="D47" s="29" t="str">
        <f>""&amp;Deflatores!G42</f>
        <v>PAG</v>
      </c>
      <c r="E47" s="30">
        <f>Deflatores!J42</f>
        <v>0</v>
      </c>
      <c r="H47" s="31">
        <f>IF(ISBLANK(Deflatores!H42),"",Deflatores!H42)</f>
        <v>0.6</v>
      </c>
      <c r="I47" s="31">
        <f t="shared" ref="I47:I69" si="1">IF(ISNUMBER(H47),E47*H47,"")</f>
        <v>0</v>
      </c>
      <c r="J47" s="32">
        <f t="shared" ref="J47:J69" si="2">IF(ISNUMBER(I47),IF($L$11&lt;&gt;0,I47/$L$11,""),"")</f>
        <v>0</v>
      </c>
      <c r="M47" s="74"/>
    </row>
    <row r="48" spans="1:13" ht="13.5" customHeight="1" x14ac:dyDescent="0.35">
      <c r="A48" s="73"/>
      <c r="B48" s="140" t="str">
        <f>""&amp;Deflatores!B43</f>
        <v>Manutenção Cosmética (atrelada a algo não funcional)</v>
      </c>
      <c r="C48" s="140"/>
      <c r="D48" s="29" t="str">
        <f>""&amp;Deflatores!G43</f>
        <v>COSNF</v>
      </c>
      <c r="E48" s="30">
        <f>Deflatores!J43</f>
        <v>0</v>
      </c>
      <c r="H48" s="31">
        <f>IF(ISBLANK(Deflatores!H43),"",Deflatores!H43)</f>
        <v>0.6</v>
      </c>
      <c r="I48" s="31">
        <f t="shared" si="1"/>
        <v>0</v>
      </c>
      <c r="J48" s="32">
        <f t="shared" si="2"/>
        <v>0</v>
      </c>
      <c r="M48" s="74"/>
    </row>
    <row r="49" spans="1:13" ht="13.5" x14ac:dyDescent="0.35">
      <c r="A49" s="73"/>
      <c r="B49" s="140" t="str">
        <f>""&amp;Deflatores!B44</f>
        <v>Dados de Código</v>
      </c>
      <c r="C49" s="140"/>
      <c r="D49" s="29" t="str">
        <f>""&amp;Deflatores!G44</f>
        <v>DC</v>
      </c>
      <c r="E49" s="30">
        <f>Deflatores!J44</f>
        <v>0</v>
      </c>
      <c r="H49" s="31">
        <f>IF(ISBLANK(Deflatores!H44),"",Deflatores!H44)</f>
        <v>0</v>
      </c>
      <c r="I49" s="31">
        <f t="shared" si="1"/>
        <v>0</v>
      </c>
      <c r="J49" s="32">
        <f t="shared" si="2"/>
        <v>0</v>
      </c>
      <c r="M49" s="74"/>
    </row>
    <row r="50" spans="1:13" ht="13.5" x14ac:dyDescent="0.35">
      <c r="A50" s="73"/>
      <c r="B50" s="140" t="str">
        <f>""&amp;Deflatores!B45</f>
        <v/>
      </c>
      <c r="C50" s="140"/>
      <c r="D50" s="29" t="str">
        <f>""&amp;Deflatores!G45</f>
        <v xml:space="preserve">           .</v>
      </c>
      <c r="E50" s="30">
        <f>Deflatores!J45</f>
        <v>0</v>
      </c>
      <c r="H50" s="31" t="str">
        <f>IF(ISBLANK(Deflatores!H45),"",Deflatores!H45)</f>
        <v/>
      </c>
      <c r="I50" s="31" t="str">
        <f t="shared" si="1"/>
        <v/>
      </c>
      <c r="J50" s="32" t="str">
        <f t="shared" si="2"/>
        <v/>
      </c>
      <c r="M50" s="74"/>
    </row>
    <row r="51" spans="1:13" ht="13.5" x14ac:dyDescent="0.35">
      <c r="A51" s="73"/>
      <c r="B51" s="140" t="str">
        <f>""&amp;Deflatores!B46</f>
        <v/>
      </c>
      <c r="C51" s="140"/>
      <c r="D51" s="29" t="str">
        <f>""&amp;Deflatores!G46</f>
        <v xml:space="preserve">           .</v>
      </c>
      <c r="E51" s="30">
        <f>Deflatores!J46</f>
        <v>0</v>
      </c>
      <c r="H51" s="31" t="str">
        <f>IF(ISBLANK(Deflatores!H46),"",Deflatores!H46)</f>
        <v/>
      </c>
      <c r="I51" s="31" t="str">
        <f t="shared" si="1"/>
        <v/>
      </c>
      <c r="J51" s="32" t="str">
        <f t="shared" si="2"/>
        <v/>
      </c>
      <c r="M51" s="74"/>
    </row>
    <row r="52" spans="1:13" ht="13.5" x14ac:dyDescent="0.35">
      <c r="A52" s="73"/>
      <c r="B52" s="140" t="str">
        <f>""&amp;Deflatores!B47</f>
        <v/>
      </c>
      <c r="C52" s="140"/>
      <c r="D52" s="29" t="str">
        <f>""&amp;Deflatores!G47</f>
        <v xml:space="preserve">           .</v>
      </c>
      <c r="E52" s="30">
        <f>Deflatores!J47</f>
        <v>0</v>
      </c>
      <c r="H52" s="31" t="str">
        <f>IF(ISBLANK(Deflatores!H47),"",Deflatores!H47)</f>
        <v/>
      </c>
      <c r="I52" s="31" t="str">
        <f t="shared" si="1"/>
        <v/>
      </c>
      <c r="J52" s="32" t="str">
        <f t="shared" si="2"/>
        <v/>
      </c>
      <c r="M52" s="74"/>
    </row>
    <row r="53" spans="1:13" ht="13.5" x14ac:dyDescent="0.35">
      <c r="A53" s="73"/>
      <c r="B53" s="140" t="str">
        <f>""&amp;Deflatores!B48</f>
        <v/>
      </c>
      <c r="C53" s="140"/>
      <c r="D53" s="29" t="str">
        <f>""&amp;Deflatores!G48</f>
        <v xml:space="preserve">           .</v>
      </c>
      <c r="E53" s="30">
        <f>Deflatores!J48</f>
        <v>0</v>
      </c>
      <c r="H53" s="31" t="str">
        <f>IF(ISBLANK(Deflatores!H48),"",Deflatores!H48)</f>
        <v/>
      </c>
      <c r="I53" s="31" t="str">
        <f t="shared" si="1"/>
        <v/>
      </c>
      <c r="J53" s="32" t="str">
        <f t="shared" si="2"/>
        <v/>
      </c>
      <c r="M53" s="74"/>
    </row>
    <row r="54" spans="1:13" ht="13.5" x14ac:dyDescent="0.35">
      <c r="A54" s="73"/>
      <c r="B54" s="140" t="str">
        <f>""&amp;Deflatores!B49</f>
        <v/>
      </c>
      <c r="C54" s="140"/>
      <c r="D54" s="29" t="str">
        <f>""&amp;Deflatores!G49</f>
        <v xml:space="preserve">           .</v>
      </c>
      <c r="E54" s="30">
        <f>Deflatores!J49</f>
        <v>0</v>
      </c>
      <c r="H54" s="31" t="str">
        <f>IF(ISBLANK(Deflatores!H49),"",Deflatores!H49)</f>
        <v/>
      </c>
      <c r="I54" s="31" t="str">
        <f t="shared" si="1"/>
        <v/>
      </c>
      <c r="J54" s="32" t="str">
        <f t="shared" si="2"/>
        <v/>
      </c>
      <c r="M54" s="74"/>
    </row>
    <row r="55" spans="1:13" ht="13.5" x14ac:dyDescent="0.35">
      <c r="A55" s="73"/>
      <c r="B55" s="140" t="str">
        <f>""&amp;Deflatores!B50</f>
        <v/>
      </c>
      <c r="C55" s="140"/>
      <c r="D55" s="29" t="str">
        <f>""&amp;Deflatores!G50</f>
        <v xml:space="preserve">           .</v>
      </c>
      <c r="E55" s="30">
        <f>Deflatores!J50</f>
        <v>0</v>
      </c>
      <c r="H55" s="31" t="str">
        <f>IF(ISBLANK(Deflatores!H50),"",Deflatores!H50)</f>
        <v/>
      </c>
      <c r="I55" s="31" t="str">
        <f t="shared" si="1"/>
        <v/>
      </c>
      <c r="J55" s="32" t="str">
        <f t="shared" si="2"/>
        <v/>
      </c>
      <c r="M55" s="74"/>
    </row>
    <row r="56" spans="1:13" ht="13.5" x14ac:dyDescent="0.35">
      <c r="A56" s="73"/>
      <c r="B56" s="140" t="str">
        <f>""&amp;Deflatores!B51</f>
        <v/>
      </c>
      <c r="C56" s="140"/>
      <c r="D56" s="29" t="str">
        <f>""&amp;Deflatores!G51</f>
        <v xml:space="preserve">           .</v>
      </c>
      <c r="E56" s="30">
        <f>Deflatores!J51</f>
        <v>0</v>
      </c>
      <c r="H56" s="31" t="str">
        <f>IF(ISBLANK(Deflatores!H51),"",Deflatores!H51)</f>
        <v/>
      </c>
      <c r="I56" s="31" t="str">
        <f t="shared" si="1"/>
        <v/>
      </c>
      <c r="J56" s="32" t="str">
        <f t="shared" si="2"/>
        <v/>
      </c>
      <c r="M56" s="74"/>
    </row>
    <row r="57" spans="1:13" ht="13.5" x14ac:dyDescent="0.35">
      <c r="A57" s="73"/>
      <c r="B57" s="140" t="str">
        <f>""&amp;Deflatores!B52</f>
        <v/>
      </c>
      <c r="C57" s="140"/>
      <c r="D57" s="29" t="str">
        <f>""&amp;Deflatores!G52</f>
        <v xml:space="preserve">           .</v>
      </c>
      <c r="E57" s="30">
        <f>Deflatores!J52</f>
        <v>0</v>
      </c>
      <c r="H57" s="31" t="str">
        <f>IF(ISBLANK(Deflatores!H52),"",Deflatores!H52)</f>
        <v/>
      </c>
      <c r="I57" s="31" t="str">
        <f t="shared" si="1"/>
        <v/>
      </c>
      <c r="J57" s="32" t="str">
        <f t="shared" si="2"/>
        <v/>
      </c>
      <c r="M57" s="74"/>
    </row>
    <row r="58" spans="1:13" ht="13.5" x14ac:dyDescent="0.35">
      <c r="A58" s="73"/>
      <c r="B58" s="140" t="str">
        <f>""&amp;Deflatores!B53</f>
        <v/>
      </c>
      <c r="C58" s="140"/>
      <c r="D58" s="29" t="str">
        <f>""&amp;Deflatores!G53</f>
        <v xml:space="preserve">           .</v>
      </c>
      <c r="E58" s="30">
        <f>Deflatores!J53</f>
        <v>0</v>
      </c>
      <c r="H58" s="31" t="str">
        <f>IF(ISBLANK(Deflatores!H53),"",Deflatores!H53)</f>
        <v/>
      </c>
      <c r="I58" s="31" t="str">
        <f t="shared" si="1"/>
        <v/>
      </c>
      <c r="J58" s="32" t="str">
        <f t="shared" si="2"/>
        <v/>
      </c>
      <c r="M58" s="74"/>
    </row>
    <row r="59" spans="1:13" ht="13.5" x14ac:dyDescent="0.35">
      <c r="A59" s="73"/>
      <c r="B59" s="140" t="str">
        <f>""&amp;Deflatores!B54</f>
        <v/>
      </c>
      <c r="C59" s="140"/>
      <c r="D59" s="29" t="str">
        <f>""&amp;Deflatores!G54</f>
        <v xml:space="preserve">           .</v>
      </c>
      <c r="E59" s="30">
        <f>Deflatores!J54</f>
        <v>0</v>
      </c>
      <c r="H59" s="31" t="str">
        <f>IF(ISBLANK(Deflatores!H54),"",Deflatores!H54)</f>
        <v/>
      </c>
      <c r="I59" s="31" t="str">
        <f t="shared" si="1"/>
        <v/>
      </c>
      <c r="J59" s="32" t="str">
        <f t="shared" si="2"/>
        <v/>
      </c>
      <c r="M59" s="74"/>
    </row>
    <row r="60" spans="1:13" ht="13.5" x14ac:dyDescent="0.35">
      <c r="A60" s="73"/>
      <c r="B60" s="140" t="str">
        <f>""&amp;Deflatores!B55</f>
        <v/>
      </c>
      <c r="C60" s="140"/>
      <c r="D60" s="29" t="str">
        <f>""&amp;Deflatores!G55</f>
        <v xml:space="preserve">           .</v>
      </c>
      <c r="E60" s="30">
        <f>Deflatores!J55</f>
        <v>0</v>
      </c>
      <c r="H60" s="31" t="str">
        <f>IF(ISBLANK(Deflatores!H55),"",Deflatores!H55)</f>
        <v/>
      </c>
      <c r="I60" s="31" t="str">
        <f t="shared" si="1"/>
        <v/>
      </c>
      <c r="J60" s="32" t="str">
        <f t="shared" si="2"/>
        <v/>
      </c>
      <c r="M60" s="74"/>
    </row>
    <row r="61" spans="1:13" ht="13.5" x14ac:dyDescent="0.35">
      <c r="A61" s="73"/>
      <c r="B61" s="140" t="str">
        <f>""&amp;Deflatores!B56</f>
        <v/>
      </c>
      <c r="C61" s="140"/>
      <c r="D61" s="29" t="str">
        <f>""&amp;Deflatores!G56</f>
        <v xml:space="preserve">           .</v>
      </c>
      <c r="E61" s="30">
        <f>Deflatores!J56</f>
        <v>0</v>
      </c>
      <c r="H61" s="31" t="str">
        <f>IF(ISBLANK(Deflatores!H56),"",Deflatores!H56)</f>
        <v/>
      </c>
      <c r="I61" s="31" t="str">
        <f t="shared" si="1"/>
        <v/>
      </c>
      <c r="J61" s="32" t="str">
        <f t="shared" si="2"/>
        <v/>
      </c>
      <c r="M61" s="74"/>
    </row>
    <row r="62" spans="1:13" ht="13.5" x14ac:dyDescent="0.35">
      <c r="A62" s="73"/>
      <c r="B62" s="140" t="str">
        <f>""&amp;Deflatores!B57</f>
        <v/>
      </c>
      <c r="C62" s="140"/>
      <c r="D62" s="29" t="str">
        <f>""&amp;Deflatores!G57</f>
        <v xml:space="preserve">           .</v>
      </c>
      <c r="E62" s="30">
        <f>Deflatores!J57</f>
        <v>0</v>
      </c>
      <c r="H62" s="31" t="str">
        <f>IF(ISBLANK(Deflatores!H57),"",Deflatores!H57)</f>
        <v/>
      </c>
      <c r="I62" s="31" t="str">
        <f t="shared" si="1"/>
        <v/>
      </c>
      <c r="J62" s="32" t="str">
        <f t="shared" si="2"/>
        <v/>
      </c>
      <c r="M62" s="74"/>
    </row>
    <row r="63" spans="1:13" ht="13.5" x14ac:dyDescent="0.35">
      <c r="A63" s="73"/>
      <c r="B63" s="140" t="str">
        <f>""&amp;Deflatores!B58</f>
        <v/>
      </c>
      <c r="C63" s="140"/>
      <c r="D63" s="29" t="str">
        <f>""&amp;Deflatores!G58</f>
        <v xml:space="preserve">           .</v>
      </c>
      <c r="E63" s="30">
        <f>Deflatores!J58</f>
        <v>0</v>
      </c>
      <c r="H63" s="31" t="str">
        <f>IF(ISBLANK(Deflatores!H58),"",Deflatores!H58)</f>
        <v/>
      </c>
      <c r="I63" s="31" t="str">
        <f t="shared" si="1"/>
        <v/>
      </c>
      <c r="J63" s="32" t="str">
        <f t="shared" si="2"/>
        <v/>
      </c>
      <c r="M63" s="74"/>
    </row>
    <row r="64" spans="1:13" ht="13.5" x14ac:dyDescent="0.35">
      <c r="A64" s="73"/>
      <c r="B64" s="140" t="str">
        <f>""&amp;Deflatores!B59</f>
        <v/>
      </c>
      <c r="C64" s="140"/>
      <c r="D64" s="29" t="str">
        <f>""&amp;Deflatores!G59</f>
        <v xml:space="preserve">           .</v>
      </c>
      <c r="E64" s="30">
        <f>Deflatores!J59</f>
        <v>0</v>
      </c>
      <c r="H64" s="31" t="str">
        <f>IF(ISBLANK(Deflatores!H59),"",Deflatores!H59)</f>
        <v/>
      </c>
      <c r="I64" s="31" t="str">
        <f t="shared" si="1"/>
        <v/>
      </c>
      <c r="J64" s="32" t="str">
        <f t="shared" si="2"/>
        <v/>
      </c>
      <c r="M64" s="74"/>
    </row>
    <row r="65" spans="1:13" ht="13.5" x14ac:dyDescent="0.35">
      <c r="A65" s="73"/>
      <c r="B65" s="140" t="str">
        <f>""&amp;Deflatores!B60</f>
        <v/>
      </c>
      <c r="C65" s="140"/>
      <c r="D65" s="29" t="str">
        <f>""&amp;Deflatores!G60</f>
        <v xml:space="preserve">           .</v>
      </c>
      <c r="E65" s="30">
        <f>Deflatores!J60</f>
        <v>0</v>
      </c>
      <c r="H65" s="31" t="str">
        <f>IF(ISBLANK(Deflatores!H60),"",Deflatores!H60)</f>
        <v/>
      </c>
      <c r="I65" s="31" t="str">
        <f t="shared" si="1"/>
        <v/>
      </c>
      <c r="J65" s="32" t="str">
        <f t="shared" si="2"/>
        <v/>
      </c>
      <c r="M65" s="74"/>
    </row>
    <row r="66" spans="1:13" ht="13.5" x14ac:dyDescent="0.35">
      <c r="A66" s="73"/>
      <c r="B66" s="140" t="str">
        <f>""&amp;Deflatores!B61</f>
        <v/>
      </c>
      <c r="C66" s="140"/>
      <c r="D66" s="29" t="str">
        <f>""&amp;Deflatores!G61</f>
        <v xml:space="preserve">           .</v>
      </c>
      <c r="E66" s="30">
        <f>Deflatores!J61</f>
        <v>0</v>
      </c>
      <c r="H66" s="31" t="str">
        <f>IF(ISBLANK(Deflatores!H61),"",Deflatores!H61)</f>
        <v/>
      </c>
      <c r="I66" s="31" t="str">
        <f t="shared" si="1"/>
        <v/>
      </c>
      <c r="J66" s="32" t="str">
        <f t="shared" si="2"/>
        <v/>
      </c>
      <c r="M66" s="74"/>
    </row>
    <row r="67" spans="1:13" ht="13.5" x14ac:dyDescent="0.35">
      <c r="A67" s="73"/>
      <c r="B67" s="140" t="str">
        <f>""&amp;Deflatores!B62</f>
        <v/>
      </c>
      <c r="C67" s="140"/>
      <c r="D67" s="29" t="str">
        <f>""&amp;Deflatores!G62</f>
        <v xml:space="preserve">           .</v>
      </c>
      <c r="E67" s="30">
        <f>Deflatores!J62</f>
        <v>0</v>
      </c>
      <c r="H67" s="31" t="str">
        <f>IF(ISBLANK(Deflatores!H62),"",Deflatores!H62)</f>
        <v/>
      </c>
      <c r="I67" s="31" t="str">
        <f t="shared" si="1"/>
        <v/>
      </c>
      <c r="J67" s="32" t="str">
        <f t="shared" si="2"/>
        <v/>
      </c>
      <c r="M67" s="74"/>
    </row>
    <row r="68" spans="1:13" ht="13.5" x14ac:dyDescent="0.35">
      <c r="A68" s="73"/>
      <c r="B68" s="140" t="str">
        <f>""&amp;Deflatores!B63</f>
        <v/>
      </c>
      <c r="C68" s="140"/>
      <c r="D68" s="29" t="str">
        <f>""&amp;Deflatores!G63</f>
        <v xml:space="preserve">           .</v>
      </c>
      <c r="E68" s="30">
        <f>Deflatores!J63</f>
        <v>0</v>
      </c>
      <c r="H68" s="31" t="str">
        <f>IF(ISBLANK(Deflatores!H63),"",Deflatores!H63)</f>
        <v/>
      </c>
      <c r="I68" s="31" t="str">
        <f t="shared" si="1"/>
        <v/>
      </c>
      <c r="J68" s="32" t="str">
        <f t="shared" si="2"/>
        <v/>
      </c>
      <c r="M68" s="74"/>
    </row>
    <row r="69" spans="1:13" ht="13.5" x14ac:dyDescent="0.35">
      <c r="A69" s="73"/>
      <c r="B69" s="140" t="str">
        <f>""&amp;Deflatores!B64</f>
        <v/>
      </c>
      <c r="C69" s="140"/>
      <c r="D69" s="29" t="str">
        <f>""&amp;Deflatores!G64</f>
        <v xml:space="preserve">           .</v>
      </c>
      <c r="E69" s="30">
        <f>Deflatores!J64</f>
        <v>0</v>
      </c>
      <c r="F69" s="35"/>
      <c r="G69" s="35"/>
      <c r="H69" s="31" t="str">
        <f>IF(ISBLANK(Deflatores!H64),"",Deflatores!H64)</f>
        <v/>
      </c>
      <c r="I69" s="31" t="str">
        <f t="shared" si="1"/>
        <v/>
      </c>
      <c r="J69" s="32" t="str">
        <f t="shared" si="2"/>
        <v/>
      </c>
      <c r="M69" s="74"/>
    </row>
    <row r="70" spans="1:13" ht="13.5" x14ac:dyDescent="0.35">
      <c r="A70" s="76"/>
      <c r="B70" s="77"/>
      <c r="C70" s="78"/>
      <c r="D70" s="79"/>
      <c r="E70" s="80"/>
      <c r="F70" s="81"/>
      <c r="G70" s="81"/>
      <c r="H70" s="82"/>
      <c r="I70" s="83"/>
      <c r="J70" s="78"/>
      <c r="K70" s="78"/>
      <c r="L70" s="78"/>
      <c r="M70" s="84"/>
    </row>
  </sheetData>
  <sheetProtection selectLockedCells="1" selectUnlockedCells="1"/>
  <mergeCells count="68"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6:C16"/>
    <mergeCell ref="B18:C18"/>
    <mergeCell ref="B19:C19"/>
    <mergeCell ref="B22:C22"/>
    <mergeCell ref="B17:C17"/>
    <mergeCell ref="B21:C21"/>
    <mergeCell ref="B20:C20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5C3A4A078B24409F4073CEF5E3297D" ma:contentTypeVersion="17" ma:contentTypeDescription="Crie um novo documento." ma:contentTypeScope="" ma:versionID="56debad90e3cac77ff0ec3bc1db26ff3">
  <xsd:schema xmlns:xsd="http://www.w3.org/2001/XMLSchema" xmlns:xs="http://www.w3.org/2001/XMLSchema" xmlns:p="http://schemas.microsoft.com/office/2006/metadata/properties" xmlns:ns2="46465ebb-25e2-44df-b623-5e7a76671d78" xmlns:ns3="690a974b-267b-40a0-ba1d-a7db95a3f3f2" targetNamespace="http://schemas.microsoft.com/office/2006/metadata/properties" ma:root="true" ma:fieldsID="fdace01bddda66f5177bad93e5ca1a92" ns2:_="" ns3:_="">
    <xsd:import namespace="46465ebb-25e2-44df-b623-5e7a76671d78"/>
    <xsd:import namespace="690a974b-267b-40a0-ba1d-a7db95a3f3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65ebb-25e2-44df-b623-5e7a76671d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b6dc67-11e7-49f0-a9a6-e468f874fa6b}" ma:internalName="TaxCatchAll" ma:showField="CatchAllData" ma:web="46465ebb-25e2-44df-b623-5e7a76671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a974b-267b-40a0-ba1d-a7db95a3f3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b4910b2a-893c-444d-8c40-1668f6542f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0a974b-267b-40a0-ba1d-a7db95a3f3f2">
      <Terms xmlns="http://schemas.microsoft.com/office/infopath/2007/PartnerControls"/>
    </lcf76f155ced4ddcb4097134ff3c332f>
    <TaxCatchAll xmlns="46465ebb-25e2-44df-b623-5e7a76671d78" xsi:nil="true"/>
  </documentManagement>
</p:properties>
</file>

<file path=customXml/itemProps1.xml><?xml version="1.0" encoding="utf-8"?>
<ds:datastoreItem xmlns:ds="http://schemas.openxmlformats.org/officeDocument/2006/customXml" ds:itemID="{7FE03F92-1A16-4D7B-880A-3153EFE2B1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465ebb-25e2-44df-b623-5e7a76671d78"/>
    <ds:schemaRef ds:uri="690a974b-267b-40a0-ba1d-a7db95a3f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FA426C-0353-4FBD-8C4F-246FAA6CA0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A6D548-CF30-42DE-A50E-842FD8E26CC0}">
  <ds:schemaRefs>
    <ds:schemaRef ds:uri="http://schemas.microsoft.com/office/2006/metadata/properties"/>
    <ds:schemaRef ds:uri="http://schemas.microsoft.com/office/infopath/2007/PartnerControls"/>
    <ds:schemaRef ds:uri="690a974b-267b-40a0-ba1d-a7db95a3f3f2"/>
    <ds:schemaRef ds:uri="46465ebb-25e2-44df-b623-5e7a76671d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Fatto Consultoria e Sistemas;Jonathas Gomes Marques</dc:creator>
  <cp:keywords/>
  <dc:description/>
  <cp:lastModifiedBy>Ana Karyna da Silva Teixeira</cp:lastModifiedBy>
  <cp:revision/>
  <dcterms:created xsi:type="dcterms:W3CDTF">2015-06-26T19:24:40Z</dcterms:created>
  <dcterms:modified xsi:type="dcterms:W3CDTF">2025-08-05T21:13:27Z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0x010100DA5C3A4A078B24409F4073CEF5E3297D</vt:lpwstr>
  </property>
  <property fmtid="{D5CDD505-2E9C-101B-9397-08002B2CF9AE}" pid="3" name="MediaServiceImageTags">
    <vt:lpwstr/>
  </property>
</Properties>
</file>