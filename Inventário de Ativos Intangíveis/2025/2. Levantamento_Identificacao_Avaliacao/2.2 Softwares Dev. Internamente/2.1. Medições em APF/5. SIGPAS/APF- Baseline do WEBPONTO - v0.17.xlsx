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ana.karyna\Downloads\"/>
    </mc:Choice>
  </mc:AlternateContent>
  <xr:revisionPtr revIDLastSave="0" documentId="13_ncr:1_{F539E7E6-D3A7-4CBA-B610-DC8F3F7ACC13}" xr6:coauthVersionLast="47" xr6:coauthVersionMax="47" xr10:uidLastSave="{00000000-0000-0000-0000-000000000000}"/>
  <bookViews>
    <workbookView xWindow="28690" yWindow="-3200" windowWidth="29020" windowHeight="15700" tabRatio="340" activeTab="1" xr2:uid="{00000000-000D-0000-FFFF-FFFF00000000}"/>
  </bookViews>
  <sheets>
    <sheet name="Contagem" sheetId="1" r:id="rId1"/>
    <sheet name="Funções" sheetId="2" r:id="rId2"/>
    <sheet name="Deflatores" sheetId="3" r:id="rId3"/>
    <sheet name="Sumário 1" sheetId="4" r:id="rId4"/>
    <sheet name="Sumário 2" sheetId="5" r:id="rId5"/>
  </sheets>
  <definedNames>
    <definedName name="_xlnm._FilterDatabase" localSheetId="1" hidden="1">Funções!$A$1:$P$824</definedName>
    <definedName name="_xlnm.Print_Area" localSheetId="0">Contagem!$A$1:$V$45</definedName>
    <definedName name="TiposDeFuncao" localSheetId="1">Deflatores!$L$37:$L$64</definedName>
    <definedName name="TiposDeManutencao" localSheetId="1">Deflatores!$G$4:$G$38</definedName>
    <definedName name="_xlnm.Print_Titles" localSheetId="1">Funções!$1:$7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4" i="2" l="1"/>
  <c r="I394" i="2"/>
  <c r="G394" i="2" s="1"/>
  <c r="J391" i="2"/>
  <c r="I391" i="2"/>
  <c r="H391" i="2" s="1"/>
  <c r="I167" i="2"/>
  <c r="F167" i="2" s="1"/>
  <c r="J167" i="2"/>
  <c r="J173" i="2"/>
  <c r="I173" i="2"/>
  <c r="H173" i="2" s="1"/>
  <c r="F394" i="2" l="1"/>
  <c r="H394" i="2"/>
  <c r="L391" i="2"/>
  <c r="K391" i="2"/>
  <c r="F391" i="2"/>
  <c r="G391" i="2"/>
  <c r="H167" i="2"/>
  <c r="G167" i="2"/>
  <c r="K173" i="2"/>
  <c r="L173" i="2"/>
  <c r="F173" i="2"/>
  <c r="G173" i="2"/>
  <c r="K394" i="2" l="1"/>
  <c r="L394" i="2"/>
  <c r="K167" i="2"/>
  <c r="L167" i="2"/>
  <c r="J149" i="2" l="1"/>
  <c r="I149" i="2"/>
  <c r="G149" i="2" s="1"/>
  <c r="L383" i="2"/>
  <c r="L384" i="2"/>
  <c r="J386" i="2"/>
  <c r="I386" i="2"/>
  <c r="H386" i="2" s="1"/>
  <c r="L386" i="2" s="1"/>
  <c r="J385" i="2"/>
  <c r="I385" i="2"/>
  <c r="H385" i="2" s="1"/>
  <c r="L385" i="2" s="1"/>
  <c r="J384" i="2"/>
  <c r="I384" i="2"/>
  <c r="G384" i="2" s="1"/>
  <c r="H384" i="2"/>
  <c r="F384" i="2"/>
  <c r="H149" i="2" l="1"/>
  <c r="F149" i="2"/>
  <c r="F385" i="2"/>
  <c r="K384" i="2"/>
  <c r="G385" i="2"/>
  <c r="K385" i="2"/>
  <c r="K386" i="2"/>
  <c r="F386" i="2"/>
  <c r="G386" i="2"/>
  <c r="K149" i="2" l="1"/>
  <c r="L149" i="2"/>
  <c r="J224" i="2"/>
  <c r="I224" i="2"/>
  <c r="H224" i="2" s="1"/>
  <c r="J156" i="2"/>
  <c r="I156" i="2"/>
  <c r="G156" i="2" s="1"/>
  <c r="L224" i="2" l="1"/>
  <c r="K224" i="2"/>
  <c r="F224" i="2"/>
  <c r="G224" i="2"/>
  <c r="F156" i="2"/>
  <c r="H156" i="2"/>
  <c r="L156" i="2" s="1"/>
  <c r="K156" i="2" l="1"/>
  <c r="J382" i="2" l="1"/>
  <c r="I382" i="2"/>
  <c r="G382" i="2" s="1"/>
  <c r="J139" i="2"/>
  <c r="I139" i="2"/>
  <c r="G139" i="2" s="1"/>
  <c r="H139" i="2" l="1"/>
  <c r="L139" i="2" s="1"/>
  <c r="H382" i="2"/>
  <c r="L382" i="2" s="1"/>
  <c r="F382" i="2"/>
  <c r="F139" i="2"/>
  <c r="K139" i="2" l="1"/>
  <c r="K382" i="2"/>
  <c r="J381" i="2"/>
  <c r="I381" i="2"/>
  <c r="H381" i="2" s="1"/>
  <c r="J380" i="2"/>
  <c r="I380" i="2"/>
  <c r="G380" i="2" s="1"/>
  <c r="H380" i="2" l="1"/>
  <c r="K380" i="2" s="1"/>
  <c r="L381" i="2"/>
  <c r="K381" i="2"/>
  <c r="F381" i="2"/>
  <c r="F380" i="2"/>
  <c r="G381" i="2"/>
  <c r="J350" i="2"/>
  <c r="I350" i="2"/>
  <c r="H350" i="2" s="1"/>
  <c r="J314" i="2"/>
  <c r="I314" i="2"/>
  <c r="H314" i="2" s="1"/>
  <c r="J237" i="2"/>
  <c r="I237" i="2"/>
  <c r="H237" i="2" s="1"/>
  <c r="J236" i="2"/>
  <c r="I236" i="2"/>
  <c r="F236" i="2" s="1"/>
  <c r="J235" i="2"/>
  <c r="I235" i="2"/>
  <c r="F235" i="2" s="1"/>
  <c r="J234" i="2"/>
  <c r="I234" i="2"/>
  <c r="H234" i="2" s="1"/>
  <c r="J18" i="2"/>
  <c r="I18" i="2"/>
  <c r="H18" i="2" s="1"/>
  <c r="L380" i="2" l="1"/>
  <c r="L350" i="2"/>
  <c r="K350" i="2"/>
  <c r="F350" i="2"/>
  <c r="G350" i="2"/>
  <c r="F314" i="2"/>
  <c r="K314" i="2"/>
  <c r="L314" i="2"/>
  <c r="G314" i="2"/>
  <c r="G236" i="2"/>
  <c r="G237" i="2"/>
  <c r="H236" i="2"/>
  <c r="G235" i="2"/>
  <c r="H235" i="2"/>
  <c r="L237" i="2"/>
  <c r="K237" i="2"/>
  <c r="F237" i="2"/>
  <c r="L234" i="2"/>
  <c r="K234" i="2"/>
  <c r="F234" i="2"/>
  <c r="G234" i="2"/>
  <c r="K18" i="2"/>
  <c r="L18" i="2"/>
  <c r="F18" i="2"/>
  <c r="G18" i="2"/>
  <c r="L379" i="2"/>
  <c r="J379" i="2"/>
  <c r="I379" i="2"/>
  <c r="G379" i="2" s="1"/>
  <c r="H379" i="2"/>
  <c r="F379" i="2"/>
  <c r="J241" i="2"/>
  <c r="I241" i="2"/>
  <c r="F241" i="2" s="1"/>
  <c r="J73" i="2"/>
  <c r="I73" i="2"/>
  <c r="G73" i="2" s="1"/>
  <c r="J72" i="2"/>
  <c r="I72" i="2"/>
  <c r="G72" i="2" s="1"/>
  <c r="J71" i="2"/>
  <c r="I71" i="2"/>
  <c r="H71" i="2" s="1"/>
  <c r="J70" i="2"/>
  <c r="I70" i="2"/>
  <c r="H70" i="2" s="1"/>
  <c r="L69" i="2"/>
  <c r="L236" i="2" l="1"/>
  <c r="K236" i="2"/>
  <c r="L235" i="2"/>
  <c r="K235" i="2"/>
  <c r="K379" i="2"/>
  <c r="G241" i="2"/>
  <c r="H72" i="2"/>
  <c r="H241" i="2"/>
  <c r="L70" i="2"/>
  <c r="K70" i="2"/>
  <c r="F70" i="2"/>
  <c r="H73" i="2"/>
  <c r="G70" i="2"/>
  <c r="F72" i="2"/>
  <c r="L71" i="2"/>
  <c r="K71" i="2"/>
  <c r="F73" i="2"/>
  <c r="F71" i="2"/>
  <c r="G71" i="2"/>
  <c r="J377" i="2"/>
  <c r="I377" i="2"/>
  <c r="H377" i="2" s="1"/>
  <c r="L376" i="2"/>
  <c r="J376" i="2"/>
  <c r="I376" i="2"/>
  <c r="G376" i="2" s="1"/>
  <c r="H376" i="2"/>
  <c r="F376" i="2"/>
  <c r="J155" i="2"/>
  <c r="I155" i="2"/>
  <c r="H155" i="2" s="1"/>
  <c r="L155" i="2" s="1"/>
  <c r="L241" i="2" l="1"/>
  <c r="K241" i="2"/>
  <c r="K72" i="2"/>
  <c r="L72" i="2"/>
  <c r="K73" i="2"/>
  <c r="L73" i="2"/>
  <c r="K376" i="2"/>
  <c r="F155" i="2"/>
  <c r="F377" i="2"/>
  <c r="G155" i="2"/>
  <c r="G377" i="2"/>
  <c r="L377" i="2"/>
  <c r="K377" i="2"/>
  <c r="K155" i="2"/>
  <c r="L372" i="2" l="1"/>
  <c r="L373" i="2"/>
  <c r="J375" i="2"/>
  <c r="I375" i="2"/>
  <c r="G375" i="2" s="1"/>
  <c r="H375" i="2"/>
  <c r="F375" i="2"/>
  <c r="J374" i="2"/>
  <c r="I374" i="2"/>
  <c r="H374" i="2" s="1"/>
  <c r="L374" i="2" s="1"/>
  <c r="J373" i="2"/>
  <c r="I373" i="2"/>
  <c r="G373" i="2" s="1"/>
  <c r="H373" i="2"/>
  <c r="F373" i="2"/>
  <c r="K373" i="2" l="1"/>
  <c r="K375" i="2"/>
  <c r="K374" i="2"/>
  <c r="F374" i="2"/>
  <c r="G374" i="2"/>
  <c r="J357" i="2" l="1"/>
  <c r="I357" i="2"/>
  <c r="F357" i="2" s="1"/>
  <c r="J335" i="2"/>
  <c r="I335" i="2"/>
  <c r="H335" i="2" s="1"/>
  <c r="J341" i="2"/>
  <c r="I341" i="2"/>
  <c r="H341" i="2" s="1"/>
  <c r="G357" i="2" l="1"/>
  <c r="H357" i="2"/>
  <c r="L335" i="2"/>
  <c r="K335" i="2"/>
  <c r="F335" i="2"/>
  <c r="G335" i="2"/>
  <c r="L341" i="2"/>
  <c r="K341" i="2"/>
  <c r="F341" i="2"/>
  <c r="G341" i="2"/>
  <c r="L357" i="2" l="1"/>
  <c r="K357" i="2"/>
  <c r="J290" i="2" l="1"/>
  <c r="I290" i="2"/>
  <c r="H290" i="2" s="1"/>
  <c r="J281" i="2"/>
  <c r="I281" i="2"/>
  <c r="G281" i="2" s="1"/>
  <c r="J138" i="2"/>
  <c r="I138" i="2"/>
  <c r="G138" i="2" s="1"/>
  <c r="L290" i="2" l="1"/>
  <c r="K290" i="2"/>
  <c r="F290" i="2"/>
  <c r="G290" i="2"/>
  <c r="H281" i="2"/>
  <c r="F281" i="2"/>
  <c r="H138" i="2"/>
  <c r="F138" i="2"/>
  <c r="K281" i="2" l="1"/>
  <c r="L281" i="2"/>
  <c r="L138" i="2"/>
  <c r="K138" i="2"/>
  <c r="J354" i="2" l="1"/>
  <c r="I354" i="2"/>
  <c r="G354" i="2" s="1"/>
  <c r="L342" i="2"/>
  <c r="L343" i="2"/>
  <c r="L347" i="2"/>
  <c r="L348" i="2"/>
  <c r="L352" i="2"/>
  <c r="J352" i="2"/>
  <c r="I352" i="2"/>
  <c r="G352" i="2" s="1"/>
  <c r="H352" i="2"/>
  <c r="F352" i="2"/>
  <c r="J351" i="2"/>
  <c r="I351" i="2"/>
  <c r="H351" i="2" s="1"/>
  <c r="L351" i="2" s="1"/>
  <c r="J349" i="2"/>
  <c r="I349" i="2"/>
  <c r="F349" i="2" s="1"/>
  <c r="J348" i="2"/>
  <c r="I348" i="2"/>
  <c r="G348" i="2" s="1"/>
  <c r="H348" i="2"/>
  <c r="F348" i="2"/>
  <c r="J347" i="2"/>
  <c r="I347" i="2"/>
  <c r="G347" i="2" s="1"/>
  <c r="H347" i="2"/>
  <c r="F347" i="2"/>
  <c r="J345" i="2"/>
  <c r="I345" i="2"/>
  <c r="G345" i="2" s="1"/>
  <c r="J344" i="2"/>
  <c r="I344" i="2"/>
  <c r="F344" i="2" s="1"/>
  <c r="J343" i="2"/>
  <c r="I343" i="2"/>
  <c r="G343" i="2" s="1"/>
  <c r="H343" i="2"/>
  <c r="F343" i="2"/>
  <c r="K348" i="2" l="1"/>
  <c r="H349" i="2"/>
  <c r="L349" i="2" s="1"/>
  <c r="G344" i="2"/>
  <c r="H344" i="2"/>
  <c r="L344" i="2" s="1"/>
  <c r="F351" i="2"/>
  <c r="K347" i="2"/>
  <c r="G349" i="2"/>
  <c r="K352" i="2"/>
  <c r="K343" i="2"/>
  <c r="H354" i="2"/>
  <c r="F354" i="2"/>
  <c r="K351" i="2"/>
  <c r="H345" i="2"/>
  <c r="L345" i="2" s="1"/>
  <c r="G351" i="2"/>
  <c r="F345" i="2"/>
  <c r="K349" i="2" l="1"/>
  <c r="K344" i="2"/>
  <c r="L354" i="2"/>
  <c r="K354" i="2"/>
  <c r="K345" i="2"/>
  <c r="J339" i="2" l="1"/>
  <c r="I339" i="2"/>
  <c r="H339" i="2" s="1"/>
  <c r="J337" i="2"/>
  <c r="I337" i="2"/>
  <c r="H337" i="2" s="1"/>
  <c r="L339" i="2" l="1"/>
  <c r="K339" i="2"/>
  <c r="F339" i="2"/>
  <c r="G339" i="2"/>
  <c r="L337" i="2"/>
  <c r="K337" i="2"/>
  <c r="F337" i="2"/>
  <c r="G337" i="2"/>
  <c r="J137" i="2"/>
  <c r="I137" i="2"/>
  <c r="G137" i="2" s="1"/>
  <c r="L10" i="2"/>
  <c r="J10" i="2"/>
  <c r="I10" i="2"/>
  <c r="G10" i="2" s="1"/>
  <c r="H10" i="2"/>
  <c r="F10" i="2"/>
  <c r="J9" i="2"/>
  <c r="I9" i="2"/>
  <c r="G9" i="2" s="1"/>
  <c r="L8" i="2"/>
  <c r="J8" i="2"/>
  <c r="I8" i="2"/>
  <c r="G8" i="2" s="1"/>
  <c r="H8" i="2"/>
  <c r="F8" i="2"/>
  <c r="H137" i="2" l="1"/>
  <c r="F137" i="2"/>
  <c r="H9" i="2"/>
  <c r="K9" i="2" s="1"/>
  <c r="K10" i="2"/>
  <c r="L9" i="2"/>
  <c r="K8" i="2"/>
  <c r="F9" i="2"/>
  <c r="L137" i="2" l="1"/>
  <c r="K137" i="2"/>
  <c r="L327" i="2" l="1"/>
  <c r="L328" i="2"/>
  <c r="L332" i="2"/>
  <c r="L333" i="2"/>
  <c r="J340" i="2"/>
  <c r="I340" i="2"/>
  <c r="G340" i="2" s="1"/>
  <c r="J338" i="2"/>
  <c r="I338" i="2"/>
  <c r="H338" i="2" s="1"/>
  <c r="L338" i="2" s="1"/>
  <c r="J336" i="2"/>
  <c r="I336" i="2"/>
  <c r="H336" i="2" s="1"/>
  <c r="L336" i="2" s="1"/>
  <c r="J334" i="2"/>
  <c r="I334" i="2"/>
  <c r="G334" i="2" s="1"/>
  <c r="J333" i="2"/>
  <c r="I333" i="2"/>
  <c r="G333" i="2" s="1"/>
  <c r="H333" i="2"/>
  <c r="F333" i="2"/>
  <c r="J332" i="2"/>
  <c r="I332" i="2"/>
  <c r="G332" i="2" s="1"/>
  <c r="H332" i="2"/>
  <c r="F332" i="2"/>
  <c r="J329" i="2"/>
  <c r="I329" i="2"/>
  <c r="G329" i="2" s="1"/>
  <c r="J331" i="2"/>
  <c r="I331" i="2"/>
  <c r="H331" i="2" s="1"/>
  <c r="L331" i="2" s="1"/>
  <c r="J330" i="2"/>
  <c r="I330" i="2"/>
  <c r="G330" i="2" s="1"/>
  <c r="J328" i="2"/>
  <c r="I328" i="2"/>
  <c r="G328" i="2" s="1"/>
  <c r="H328" i="2"/>
  <c r="F328" i="2"/>
  <c r="H330" i="2" l="1"/>
  <c r="K330" i="2" s="1"/>
  <c r="H340" i="2"/>
  <c r="K340" i="2" s="1"/>
  <c r="K332" i="2"/>
  <c r="H334" i="2"/>
  <c r="L334" i="2" s="1"/>
  <c r="F334" i="2"/>
  <c r="K328" i="2"/>
  <c r="H329" i="2"/>
  <c r="G336" i="2"/>
  <c r="F336" i="2"/>
  <c r="K333" i="2"/>
  <c r="K331" i="2"/>
  <c r="K338" i="2"/>
  <c r="F329" i="2"/>
  <c r="F331" i="2"/>
  <c r="K336" i="2"/>
  <c r="F340" i="2"/>
  <c r="F330" i="2"/>
  <c r="G331" i="2"/>
  <c r="F338" i="2"/>
  <c r="G338" i="2"/>
  <c r="L330" i="2" l="1"/>
  <c r="L340" i="2"/>
  <c r="K334" i="2"/>
  <c r="K329" i="2"/>
  <c r="L329" i="2"/>
  <c r="J145" i="2"/>
  <c r="I145" i="2"/>
  <c r="H145" i="2" s="1"/>
  <c r="L145" i="2" s="1"/>
  <c r="L300" i="2"/>
  <c r="L301" i="2"/>
  <c r="L302" i="2"/>
  <c r="L303" i="2"/>
  <c r="L305" i="2"/>
  <c r="L306" i="2"/>
  <c r="L309" i="2"/>
  <c r="L310" i="2"/>
  <c r="L315" i="2"/>
  <c r="L316" i="2"/>
  <c r="L323" i="2"/>
  <c r="L324" i="2"/>
  <c r="L353" i="2"/>
  <c r="L355" i="2"/>
  <c r="L356" i="2"/>
  <c r="L360" i="2"/>
  <c r="L361" i="2"/>
  <c r="L364" i="2"/>
  <c r="L365" i="2"/>
  <c r="L368" i="2"/>
  <c r="L369" i="2"/>
  <c r="L378" i="2"/>
  <c r="L387" i="2"/>
  <c r="L388" i="2"/>
  <c r="L395" i="2"/>
  <c r="J327" i="2"/>
  <c r="I327" i="2"/>
  <c r="G327" i="2" s="1"/>
  <c r="H327" i="2"/>
  <c r="K327" i="2" s="1"/>
  <c r="F327" i="2"/>
  <c r="J326" i="2"/>
  <c r="I326" i="2"/>
  <c r="G326" i="2" s="1"/>
  <c r="J325" i="2"/>
  <c r="I325" i="2"/>
  <c r="H325" i="2" s="1"/>
  <c r="L325" i="2" s="1"/>
  <c r="J324" i="2"/>
  <c r="I324" i="2"/>
  <c r="G324" i="2" s="1"/>
  <c r="H324" i="2"/>
  <c r="F324" i="2"/>
  <c r="J323" i="2"/>
  <c r="I323" i="2"/>
  <c r="G323" i="2" s="1"/>
  <c r="H323" i="2"/>
  <c r="F323" i="2"/>
  <c r="J322" i="2"/>
  <c r="I322" i="2"/>
  <c r="G322" i="2" s="1"/>
  <c r="J321" i="2"/>
  <c r="I321" i="2"/>
  <c r="F321" i="2" s="1"/>
  <c r="J320" i="2"/>
  <c r="I320" i="2"/>
  <c r="G320" i="2" s="1"/>
  <c r="J319" i="2"/>
  <c r="I319" i="2"/>
  <c r="H319" i="2" s="1"/>
  <c r="L319" i="2" s="1"/>
  <c r="J318" i="2"/>
  <c r="I318" i="2"/>
  <c r="H318" i="2" s="1"/>
  <c r="L318" i="2" s="1"/>
  <c r="J317" i="2"/>
  <c r="I317" i="2"/>
  <c r="F317" i="2" s="1"/>
  <c r="J316" i="2"/>
  <c r="I316" i="2"/>
  <c r="G316" i="2" s="1"/>
  <c r="H316" i="2"/>
  <c r="F316" i="2"/>
  <c r="J315" i="2"/>
  <c r="I315" i="2"/>
  <c r="G315" i="2" s="1"/>
  <c r="H315" i="2"/>
  <c r="F315" i="2"/>
  <c r="J313" i="2"/>
  <c r="I313" i="2"/>
  <c r="G313" i="2" s="1"/>
  <c r="J312" i="2"/>
  <c r="I312" i="2"/>
  <c r="F312" i="2" s="1"/>
  <c r="J311" i="2"/>
  <c r="I311" i="2"/>
  <c r="H311" i="2" s="1"/>
  <c r="L311" i="2" s="1"/>
  <c r="J310" i="2"/>
  <c r="I310" i="2"/>
  <c r="G310" i="2" s="1"/>
  <c r="H310" i="2"/>
  <c r="F310" i="2"/>
  <c r="J309" i="2"/>
  <c r="I309" i="2"/>
  <c r="G309" i="2" s="1"/>
  <c r="H309" i="2"/>
  <c r="F309" i="2"/>
  <c r="J308" i="2"/>
  <c r="I308" i="2"/>
  <c r="F308" i="2" s="1"/>
  <c r="J307" i="2"/>
  <c r="I307" i="2"/>
  <c r="G307" i="2" s="1"/>
  <c r="J306" i="2"/>
  <c r="I306" i="2"/>
  <c r="G306" i="2" s="1"/>
  <c r="H306" i="2"/>
  <c r="F306" i="2"/>
  <c r="J305" i="2"/>
  <c r="I305" i="2"/>
  <c r="G305" i="2" s="1"/>
  <c r="H305" i="2"/>
  <c r="F305" i="2"/>
  <c r="J304" i="2"/>
  <c r="I304" i="2"/>
  <c r="F304" i="2" s="1"/>
  <c r="J303" i="2"/>
  <c r="I303" i="2"/>
  <c r="G303" i="2" s="1"/>
  <c r="H303" i="2"/>
  <c r="F303" i="2"/>
  <c r="L277" i="2"/>
  <c r="L278" i="2"/>
  <c r="L282" i="2"/>
  <c r="L283" i="2"/>
  <c r="L286" i="2"/>
  <c r="L287" i="2"/>
  <c r="L297" i="2"/>
  <c r="L298" i="2"/>
  <c r="L266" i="2"/>
  <c r="L267" i="2"/>
  <c r="L259" i="2"/>
  <c r="L260" i="2"/>
  <c r="L263" i="2"/>
  <c r="L264" i="2"/>
  <c r="L59" i="2"/>
  <c r="L63" i="2"/>
  <c r="J301" i="2"/>
  <c r="I301" i="2"/>
  <c r="G301" i="2" s="1"/>
  <c r="H301" i="2"/>
  <c r="F301" i="2"/>
  <c r="J300" i="2"/>
  <c r="I300" i="2"/>
  <c r="G300" i="2" s="1"/>
  <c r="H300" i="2"/>
  <c r="F300" i="2"/>
  <c r="J299" i="2"/>
  <c r="I299" i="2"/>
  <c r="G299" i="2" s="1"/>
  <c r="J298" i="2"/>
  <c r="I298" i="2"/>
  <c r="G298" i="2" s="1"/>
  <c r="H298" i="2"/>
  <c r="F298" i="2"/>
  <c r="J297" i="2"/>
  <c r="I297" i="2"/>
  <c r="G297" i="2" s="1"/>
  <c r="H297" i="2"/>
  <c r="F297" i="2"/>
  <c r="J296" i="2"/>
  <c r="I296" i="2"/>
  <c r="G296" i="2" s="1"/>
  <c r="J295" i="2"/>
  <c r="I295" i="2"/>
  <c r="F295" i="2" s="1"/>
  <c r="J294" i="2"/>
  <c r="I294" i="2"/>
  <c r="H294" i="2" s="1"/>
  <c r="J293" i="2"/>
  <c r="I293" i="2"/>
  <c r="H293" i="2" s="1"/>
  <c r="L293" i="2" s="1"/>
  <c r="J292" i="2"/>
  <c r="I292" i="2"/>
  <c r="H292" i="2" s="1"/>
  <c r="L292" i="2" s="1"/>
  <c r="J291" i="2"/>
  <c r="I291" i="2"/>
  <c r="H291" i="2" s="1"/>
  <c r="J289" i="2"/>
  <c r="I289" i="2"/>
  <c r="F289" i="2" s="1"/>
  <c r="J288" i="2"/>
  <c r="I288" i="2"/>
  <c r="H288" i="2" s="1"/>
  <c r="L288" i="2" s="1"/>
  <c r="J287" i="2"/>
  <c r="I287" i="2"/>
  <c r="G287" i="2" s="1"/>
  <c r="H287" i="2"/>
  <c r="F287" i="2"/>
  <c r="J285" i="2"/>
  <c r="I285" i="2"/>
  <c r="G285" i="2" s="1"/>
  <c r="J284" i="2"/>
  <c r="I284" i="2"/>
  <c r="F284" i="2" s="1"/>
  <c r="J283" i="2"/>
  <c r="I283" i="2"/>
  <c r="G283" i="2" s="1"/>
  <c r="H283" i="2"/>
  <c r="F283" i="2"/>
  <c r="J276" i="2"/>
  <c r="I276" i="2"/>
  <c r="G276" i="2" s="1"/>
  <c r="J275" i="2"/>
  <c r="I275" i="2"/>
  <c r="F275" i="2" s="1"/>
  <c r="J233" i="2"/>
  <c r="I233" i="2"/>
  <c r="H233" i="2" s="1"/>
  <c r="J232" i="2"/>
  <c r="I232" i="2"/>
  <c r="H232" i="2" s="1"/>
  <c r="J228" i="2"/>
  <c r="I228" i="2"/>
  <c r="H228" i="2" s="1"/>
  <c r="J198" i="2"/>
  <c r="I198" i="2"/>
  <c r="H198" i="2" s="1"/>
  <c r="L198" i="2" s="1"/>
  <c r="J166" i="2"/>
  <c r="I166" i="2"/>
  <c r="H166" i="2" s="1"/>
  <c r="L166" i="2" s="1"/>
  <c r="J80" i="2"/>
  <c r="I80" i="2"/>
  <c r="H80" i="2" s="1"/>
  <c r="L80" i="2" s="1"/>
  <c r="J77" i="2"/>
  <c r="I77" i="2"/>
  <c r="H77" i="2" s="1"/>
  <c r="L77" i="2" s="1"/>
  <c r="J44" i="2"/>
  <c r="I44" i="2"/>
  <c r="H44" i="2" s="1"/>
  <c r="L44" i="2" s="1"/>
  <c r="I45" i="2"/>
  <c r="F45" i="2" s="1"/>
  <c r="J45" i="2"/>
  <c r="J280" i="2"/>
  <c r="I280" i="2"/>
  <c r="H280" i="2" s="1"/>
  <c r="L280" i="2" s="1"/>
  <c r="J279" i="2"/>
  <c r="I279" i="2"/>
  <c r="H279" i="2" s="1"/>
  <c r="L279" i="2" s="1"/>
  <c r="J278" i="2"/>
  <c r="I278" i="2"/>
  <c r="G278" i="2" s="1"/>
  <c r="H278" i="2"/>
  <c r="F278" i="2"/>
  <c r="J277" i="2"/>
  <c r="I277" i="2"/>
  <c r="G277" i="2" s="1"/>
  <c r="H277" i="2"/>
  <c r="F277" i="2"/>
  <c r="J274" i="2"/>
  <c r="I274" i="2"/>
  <c r="H274" i="2" s="1"/>
  <c r="L274" i="2" s="1"/>
  <c r="J273" i="2"/>
  <c r="I273" i="2"/>
  <c r="G273" i="2" s="1"/>
  <c r="J272" i="2"/>
  <c r="I272" i="2"/>
  <c r="F272" i="2" s="1"/>
  <c r="J271" i="2"/>
  <c r="I271" i="2"/>
  <c r="G271" i="2" s="1"/>
  <c r="J270" i="2"/>
  <c r="I270" i="2"/>
  <c r="G270" i="2" s="1"/>
  <c r="J269" i="2"/>
  <c r="I269" i="2"/>
  <c r="H269" i="2" s="1"/>
  <c r="L269" i="2" s="1"/>
  <c r="J268" i="2"/>
  <c r="I268" i="2"/>
  <c r="G268" i="2" s="1"/>
  <c r="J267" i="2"/>
  <c r="I267" i="2"/>
  <c r="G267" i="2" s="1"/>
  <c r="H267" i="2"/>
  <c r="F267" i="2"/>
  <c r="K309" i="2" l="1"/>
  <c r="H321" i="2"/>
  <c r="L321" i="2" s="1"/>
  <c r="K297" i="2"/>
  <c r="K316" i="2"/>
  <c r="F293" i="2"/>
  <c r="H308" i="2"/>
  <c r="L308" i="2" s="1"/>
  <c r="K310" i="2"/>
  <c r="H313" i="2"/>
  <c r="L313" i="2" s="1"/>
  <c r="H312" i="2"/>
  <c r="L312" i="2" s="1"/>
  <c r="K283" i="2"/>
  <c r="G275" i="2"/>
  <c r="H296" i="2"/>
  <c r="L296" i="2" s="1"/>
  <c r="F311" i="2"/>
  <c r="K303" i="2"/>
  <c r="K298" i="2"/>
  <c r="G289" i="2"/>
  <c r="G317" i="2"/>
  <c r="H289" i="2"/>
  <c r="K289" i="2" s="1"/>
  <c r="G321" i="2"/>
  <c r="G304" i="2"/>
  <c r="F145" i="2"/>
  <c r="K315" i="2"/>
  <c r="K287" i="2"/>
  <c r="F294" i="2"/>
  <c r="G145" i="2"/>
  <c r="K306" i="2"/>
  <c r="G311" i="2"/>
  <c r="F319" i="2"/>
  <c r="G319" i="2"/>
  <c r="K324" i="2"/>
  <c r="K300" i="2"/>
  <c r="G308" i="2"/>
  <c r="K145" i="2"/>
  <c r="H307" i="2"/>
  <c r="G312" i="2"/>
  <c r="H320" i="2"/>
  <c r="L320" i="2" s="1"/>
  <c r="H304" i="2"/>
  <c r="L304" i="2" s="1"/>
  <c r="H317" i="2"/>
  <c r="F326" i="2"/>
  <c r="H299" i="2"/>
  <c r="L299" i="2" s="1"/>
  <c r="F307" i="2"/>
  <c r="F320" i="2"/>
  <c r="H326" i="2"/>
  <c r="K323" i="2"/>
  <c r="F232" i="2"/>
  <c r="H276" i="2"/>
  <c r="L276" i="2" s="1"/>
  <c r="F318" i="2"/>
  <c r="K305" i="2"/>
  <c r="K319" i="2"/>
  <c r="K325" i="2"/>
  <c r="K294" i="2"/>
  <c r="L294" i="2"/>
  <c r="K318" i="2"/>
  <c r="L291" i="2"/>
  <c r="K291" i="2"/>
  <c r="H322" i="2"/>
  <c r="L322" i="2" s="1"/>
  <c r="G284" i="2"/>
  <c r="G294" i="2"/>
  <c r="H284" i="2"/>
  <c r="L284" i="2" s="1"/>
  <c r="G318" i="2"/>
  <c r="F325" i="2"/>
  <c r="G325" i="2"/>
  <c r="F291" i="2"/>
  <c r="K311" i="2"/>
  <c r="H275" i="2"/>
  <c r="H285" i="2"/>
  <c r="L285" i="2" s="1"/>
  <c r="G291" i="2"/>
  <c r="G293" i="2"/>
  <c r="G295" i="2"/>
  <c r="F313" i="2"/>
  <c r="F322" i="2"/>
  <c r="H295" i="2"/>
  <c r="L295" i="2" s="1"/>
  <c r="K301" i="2"/>
  <c r="K288" i="2"/>
  <c r="K293" i="2"/>
  <c r="K292" i="2"/>
  <c r="F292" i="2"/>
  <c r="G292" i="2"/>
  <c r="F299" i="2"/>
  <c r="F285" i="2"/>
  <c r="G288" i="2"/>
  <c r="F296" i="2"/>
  <c r="F288" i="2"/>
  <c r="F276" i="2"/>
  <c r="F233" i="2"/>
  <c r="G233" i="2"/>
  <c r="K232" i="2"/>
  <c r="L232" i="2"/>
  <c r="L233" i="2"/>
  <c r="K233" i="2"/>
  <c r="F271" i="2"/>
  <c r="G232" i="2"/>
  <c r="F228" i="2"/>
  <c r="L228" i="2"/>
  <c r="K228" i="2"/>
  <c r="G228" i="2"/>
  <c r="K278" i="2"/>
  <c r="F198" i="2"/>
  <c r="G198" i="2"/>
  <c r="F80" i="2"/>
  <c r="K198" i="2"/>
  <c r="F166" i="2"/>
  <c r="K166" i="2"/>
  <c r="G80" i="2"/>
  <c r="G166" i="2"/>
  <c r="H268" i="2"/>
  <c r="L268" i="2" s="1"/>
  <c r="K277" i="2"/>
  <c r="K80" i="2"/>
  <c r="F77" i="2"/>
  <c r="G77" i="2"/>
  <c r="K77" i="2"/>
  <c r="F44" i="2"/>
  <c r="G44" i="2"/>
  <c r="K267" i="2"/>
  <c r="K44" i="2"/>
  <c r="H270" i="2"/>
  <c r="L270" i="2" s="1"/>
  <c r="F279" i="2"/>
  <c r="G279" i="2"/>
  <c r="G272" i="2"/>
  <c r="K269" i="2"/>
  <c r="F270" i="2"/>
  <c r="H272" i="2"/>
  <c r="F280" i="2"/>
  <c r="H45" i="2"/>
  <c r="F269" i="2"/>
  <c r="F268" i="2"/>
  <c r="G269" i="2"/>
  <c r="G280" i="2"/>
  <c r="G45" i="2"/>
  <c r="H273" i="2"/>
  <c r="K274" i="2"/>
  <c r="K279" i="2"/>
  <c r="K280" i="2"/>
  <c r="H271" i="2"/>
  <c r="L271" i="2" s="1"/>
  <c r="F274" i="2"/>
  <c r="F273" i="2"/>
  <c r="G274" i="2"/>
  <c r="J265" i="2"/>
  <c r="I265" i="2"/>
  <c r="G265" i="2" s="1"/>
  <c r="J264" i="2"/>
  <c r="I264" i="2"/>
  <c r="G264" i="2" s="1"/>
  <c r="H264" i="2"/>
  <c r="F264" i="2"/>
  <c r="J263" i="2"/>
  <c r="I263" i="2"/>
  <c r="G263" i="2" s="1"/>
  <c r="H263" i="2"/>
  <c r="F263" i="2"/>
  <c r="J262" i="2"/>
  <c r="I262" i="2"/>
  <c r="H262" i="2" s="1"/>
  <c r="L262" i="2" s="1"/>
  <c r="J261" i="2"/>
  <c r="I261" i="2"/>
  <c r="G261" i="2" s="1"/>
  <c r="J260" i="2"/>
  <c r="I260" i="2"/>
  <c r="G260" i="2" s="1"/>
  <c r="H260" i="2"/>
  <c r="F260" i="2"/>
  <c r="K321" i="2" l="1"/>
  <c r="K308" i="2"/>
  <c r="K295" i="2"/>
  <c r="K312" i="2"/>
  <c r="K296" i="2"/>
  <c r="K313" i="2"/>
  <c r="L289" i="2"/>
  <c r="K276" i="2"/>
  <c r="K284" i="2"/>
  <c r="K299" i="2"/>
  <c r="K285" i="2"/>
  <c r="K317" i="2"/>
  <c r="L317" i="2"/>
  <c r="L326" i="2"/>
  <c r="K326" i="2"/>
  <c r="K304" i="2"/>
  <c r="K307" i="2"/>
  <c r="L307" i="2"/>
  <c r="K320" i="2"/>
  <c r="K272" i="2"/>
  <c r="L272" i="2"/>
  <c r="K275" i="2"/>
  <c r="L275" i="2"/>
  <c r="K322" i="2"/>
  <c r="K273" i="2"/>
  <c r="L273" i="2"/>
  <c r="K268" i="2"/>
  <c r="H265" i="2"/>
  <c r="L265" i="2" s="1"/>
  <c r="K270" i="2"/>
  <c r="K260" i="2"/>
  <c r="L45" i="2"/>
  <c r="K45" i="2"/>
  <c r="K271" i="2"/>
  <c r="F265" i="2"/>
  <c r="K262" i="2"/>
  <c r="F262" i="2"/>
  <c r="F261" i="2"/>
  <c r="G262" i="2"/>
  <c r="H261" i="2"/>
  <c r="L261" i="2" s="1"/>
  <c r="K265" i="2" l="1"/>
  <c r="K261" i="2"/>
  <c r="J250" i="2"/>
  <c r="I250" i="2"/>
  <c r="H250" i="2" s="1"/>
  <c r="L140" i="2"/>
  <c r="L141" i="2"/>
  <c r="L157" i="2"/>
  <c r="L158" i="2"/>
  <c r="L168" i="2"/>
  <c r="L169" i="2"/>
  <c r="L186" i="2"/>
  <c r="L187" i="2"/>
  <c r="L193" i="2"/>
  <c r="L194" i="2"/>
  <c r="L199" i="2"/>
  <c r="L200" i="2"/>
  <c r="L206" i="2"/>
  <c r="L207" i="2"/>
  <c r="L214" i="2"/>
  <c r="L215" i="2"/>
  <c r="L219" i="2"/>
  <c r="L220" i="2"/>
  <c r="L226" i="2"/>
  <c r="L227" i="2"/>
  <c r="L238" i="2"/>
  <c r="L239" i="2"/>
  <c r="L242" i="2"/>
  <c r="L243" i="2"/>
  <c r="L252" i="2"/>
  <c r="L253" i="2"/>
  <c r="L255" i="2"/>
  <c r="L256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J247" i="2"/>
  <c r="I247" i="2"/>
  <c r="H247" i="2" s="1"/>
  <c r="L247" i="2" s="1"/>
  <c r="J246" i="2"/>
  <c r="I246" i="2"/>
  <c r="H246" i="2" s="1"/>
  <c r="L246" i="2" s="1"/>
  <c r="J160" i="2"/>
  <c r="I160" i="2"/>
  <c r="G160" i="2" s="1"/>
  <c r="J64" i="2"/>
  <c r="I64" i="2"/>
  <c r="H64" i="2" s="1"/>
  <c r="L64" i="2" s="1"/>
  <c r="J258" i="2"/>
  <c r="I258" i="2"/>
  <c r="H258" i="2" s="1"/>
  <c r="L258" i="2" s="1"/>
  <c r="J257" i="2"/>
  <c r="I257" i="2"/>
  <c r="H257" i="2" s="1"/>
  <c r="L257" i="2" s="1"/>
  <c r="J256" i="2"/>
  <c r="I256" i="2"/>
  <c r="G256" i="2" s="1"/>
  <c r="H256" i="2"/>
  <c r="F256" i="2"/>
  <c r="J255" i="2"/>
  <c r="I255" i="2"/>
  <c r="G255" i="2" s="1"/>
  <c r="H255" i="2"/>
  <c r="F255" i="2"/>
  <c r="J254" i="2"/>
  <c r="I254" i="2"/>
  <c r="H254" i="2" s="1"/>
  <c r="L254" i="2" s="1"/>
  <c r="J253" i="2"/>
  <c r="I253" i="2"/>
  <c r="G253" i="2" s="1"/>
  <c r="H253" i="2"/>
  <c r="F253" i="2"/>
  <c r="J252" i="2"/>
  <c r="I252" i="2"/>
  <c r="G252" i="2" s="1"/>
  <c r="H252" i="2"/>
  <c r="F252" i="2"/>
  <c r="J251" i="2"/>
  <c r="I251" i="2"/>
  <c r="H251" i="2" s="1"/>
  <c r="L251" i="2" s="1"/>
  <c r="J249" i="2"/>
  <c r="I249" i="2"/>
  <c r="H249" i="2" s="1"/>
  <c r="L249" i="2" s="1"/>
  <c r="J248" i="2"/>
  <c r="I248" i="2"/>
  <c r="H248" i="2" s="1"/>
  <c r="L248" i="2" s="1"/>
  <c r="J245" i="2"/>
  <c r="I245" i="2"/>
  <c r="G245" i="2" s="1"/>
  <c r="J244" i="2"/>
  <c r="I244" i="2"/>
  <c r="G244" i="2" s="1"/>
  <c r="J243" i="2"/>
  <c r="I243" i="2"/>
  <c r="G243" i="2" s="1"/>
  <c r="H243" i="2"/>
  <c r="F243" i="2"/>
  <c r="J242" i="2"/>
  <c r="I242" i="2"/>
  <c r="G242" i="2" s="1"/>
  <c r="H242" i="2"/>
  <c r="F242" i="2"/>
  <c r="J240" i="2"/>
  <c r="I240" i="2"/>
  <c r="F240" i="2" s="1"/>
  <c r="J239" i="2"/>
  <c r="I239" i="2"/>
  <c r="G239" i="2" s="1"/>
  <c r="H239" i="2"/>
  <c r="F239" i="2"/>
  <c r="K255" i="2" l="1"/>
  <c r="F247" i="2"/>
  <c r="F250" i="2"/>
  <c r="L250" i="2"/>
  <c r="K250" i="2"/>
  <c r="G250" i="2"/>
  <c r="H245" i="2"/>
  <c r="L245" i="2" s="1"/>
  <c r="K247" i="2"/>
  <c r="K252" i="2"/>
  <c r="G247" i="2"/>
  <c r="K256" i="2"/>
  <c r="K239" i="2"/>
  <c r="H244" i="2"/>
  <c r="K246" i="2"/>
  <c r="F246" i="2"/>
  <c r="G246" i="2"/>
  <c r="H160" i="2"/>
  <c r="L160" i="2" s="1"/>
  <c r="K243" i="2"/>
  <c r="G251" i="2"/>
  <c r="F160" i="2"/>
  <c r="F249" i="2"/>
  <c r="K251" i="2"/>
  <c r="K64" i="2"/>
  <c r="K242" i="2"/>
  <c r="G249" i="2"/>
  <c r="K253" i="2"/>
  <c r="F64" i="2"/>
  <c r="G240" i="2"/>
  <c r="F244" i="2"/>
  <c r="G64" i="2"/>
  <c r="H240" i="2"/>
  <c r="L240" i="2" s="1"/>
  <c r="F251" i="2"/>
  <c r="F258" i="2"/>
  <c r="G258" i="2"/>
  <c r="K249" i="2"/>
  <c r="K257" i="2"/>
  <c r="K254" i="2"/>
  <c r="K248" i="2"/>
  <c r="K258" i="2"/>
  <c r="F248" i="2"/>
  <c r="F257" i="2"/>
  <c r="F245" i="2"/>
  <c r="G248" i="2"/>
  <c r="G257" i="2"/>
  <c r="F254" i="2"/>
  <c r="G254" i="2"/>
  <c r="K244" i="2" l="1"/>
  <c r="L244" i="2"/>
  <c r="K245" i="2"/>
  <c r="K160" i="2"/>
  <c r="K240" i="2"/>
  <c r="J189" i="2"/>
  <c r="I189" i="2"/>
  <c r="H189" i="2" s="1"/>
  <c r="L189" i="2" s="1"/>
  <c r="J185" i="2"/>
  <c r="I185" i="2"/>
  <c r="F185" i="2" s="1"/>
  <c r="J181" i="2"/>
  <c r="I181" i="2"/>
  <c r="H181" i="2" s="1"/>
  <c r="L181" i="2" s="1"/>
  <c r="J35" i="2"/>
  <c r="I35" i="2"/>
  <c r="H35" i="2" s="1"/>
  <c r="L35" i="2" s="1"/>
  <c r="J238" i="2"/>
  <c r="I238" i="2"/>
  <c r="G238" i="2" s="1"/>
  <c r="H238" i="2"/>
  <c r="F238" i="2"/>
  <c r="J231" i="2"/>
  <c r="I231" i="2"/>
  <c r="H231" i="2" s="1"/>
  <c r="L231" i="2" s="1"/>
  <c r="J230" i="2"/>
  <c r="I230" i="2"/>
  <c r="G230" i="2" s="1"/>
  <c r="J229" i="2"/>
  <c r="I229" i="2"/>
  <c r="F229" i="2" s="1"/>
  <c r="J227" i="2"/>
  <c r="I227" i="2"/>
  <c r="G227" i="2" s="1"/>
  <c r="H227" i="2"/>
  <c r="F227" i="2"/>
  <c r="J226" i="2"/>
  <c r="I226" i="2"/>
  <c r="G226" i="2" s="1"/>
  <c r="H226" i="2"/>
  <c r="F226" i="2"/>
  <c r="J225" i="2"/>
  <c r="I225" i="2"/>
  <c r="H225" i="2" s="1"/>
  <c r="L225" i="2" s="1"/>
  <c r="J223" i="2"/>
  <c r="I223" i="2"/>
  <c r="H223" i="2" s="1"/>
  <c r="L223" i="2" s="1"/>
  <c r="J222" i="2"/>
  <c r="I222" i="2"/>
  <c r="G222" i="2" s="1"/>
  <c r="J221" i="2"/>
  <c r="I221" i="2"/>
  <c r="H221" i="2" s="1"/>
  <c r="L221" i="2" s="1"/>
  <c r="J220" i="2"/>
  <c r="I220" i="2"/>
  <c r="G220" i="2" s="1"/>
  <c r="H220" i="2"/>
  <c r="F220" i="2"/>
  <c r="J219" i="2"/>
  <c r="I219" i="2"/>
  <c r="G219" i="2" s="1"/>
  <c r="H219" i="2"/>
  <c r="F219" i="2"/>
  <c r="J218" i="2"/>
  <c r="I218" i="2"/>
  <c r="H218" i="2" s="1"/>
  <c r="L218" i="2" s="1"/>
  <c r="J217" i="2"/>
  <c r="I217" i="2"/>
  <c r="G217" i="2" s="1"/>
  <c r="J216" i="2"/>
  <c r="I216" i="2"/>
  <c r="H216" i="2" s="1"/>
  <c r="L216" i="2" s="1"/>
  <c r="J215" i="2"/>
  <c r="I215" i="2"/>
  <c r="G215" i="2" s="1"/>
  <c r="H215" i="2"/>
  <c r="F215" i="2"/>
  <c r="J214" i="2"/>
  <c r="I214" i="2"/>
  <c r="G214" i="2" s="1"/>
  <c r="H214" i="2"/>
  <c r="F214" i="2"/>
  <c r="J213" i="2"/>
  <c r="I213" i="2"/>
  <c r="H213" i="2" s="1"/>
  <c r="L213" i="2" s="1"/>
  <c r="J212" i="2"/>
  <c r="I212" i="2"/>
  <c r="G212" i="2" s="1"/>
  <c r="J211" i="2"/>
  <c r="I211" i="2"/>
  <c r="F211" i="2" s="1"/>
  <c r="J210" i="2"/>
  <c r="I210" i="2"/>
  <c r="H210" i="2" s="1"/>
  <c r="L210" i="2" s="1"/>
  <c r="J209" i="2"/>
  <c r="I209" i="2"/>
  <c r="G209" i="2" s="1"/>
  <c r="J208" i="2"/>
  <c r="I208" i="2"/>
  <c r="G208" i="2" s="1"/>
  <c r="J207" i="2"/>
  <c r="I207" i="2"/>
  <c r="G207" i="2" s="1"/>
  <c r="H207" i="2"/>
  <c r="F207" i="2"/>
  <c r="J206" i="2"/>
  <c r="I206" i="2"/>
  <c r="G206" i="2" s="1"/>
  <c r="H206" i="2"/>
  <c r="F206" i="2"/>
  <c r="J205" i="2"/>
  <c r="I205" i="2"/>
  <c r="H205" i="2" s="1"/>
  <c r="L205" i="2" s="1"/>
  <c r="J204" i="2"/>
  <c r="I204" i="2"/>
  <c r="G204" i="2" s="1"/>
  <c r="J203" i="2"/>
  <c r="I203" i="2"/>
  <c r="F203" i="2" s="1"/>
  <c r="J202" i="2"/>
  <c r="I202" i="2"/>
  <c r="H202" i="2" s="1"/>
  <c r="L202" i="2" s="1"/>
  <c r="J201" i="2"/>
  <c r="I201" i="2"/>
  <c r="G201" i="2" s="1"/>
  <c r="J200" i="2"/>
  <c r="I200" i="2"/>
  <c r="G200" i="2" s="1"/>
  <c r="H200" i="2"/>
  <c r="F200" i="2"/>
  <c r="H185" i="2" l="1"/>
  <c r="F189" i="2"/>
  <c r="K215" i="2"/>
  <c r="K220" i="2"/>
  <c r="K206" i="2"/>
  <c r="H208" i="2"/>
  <c r="L208" i="2" s="1"/>
  <c r="G185" i="2"/>
  <c r="K189" i="2"/>
  <c r="G189" i="2"/>
  <c r="H229" i="2"/>
  <c r="L229" i="2" s="1"/>
  <c r="F225" i="2"/>
  <c r="F216" i="2"/>
  <c r="K219" i="2"/>
  <c r="G225" i="2"/>
  <c r="H211" i="2"/>
  <c r="L211" i="2" s="1"/>
  <c r="K214" i="2"/>
  <c r="K207" i="2"/>
  <c r="F181" i="2"/>
  <c r="F223" i="2"/>
  <c r="G181" i="2"/>
  <c r="K181" i="2"/>
  <c r="H204" i="2"/>
  <c r="L204" i="2" s="1"/>
  <c r="H201" i="2"/>
  <c r="L201" i="2" s="1"/>
  <c r="G211" i="2"/>
  <c r="H222" i="2"/>
  <c r="L222" i="2" s="1"/>
  <c r="F35" i="2"/>
  <c r="K223" i="2"/>
  <c r="K35" i="2"/>
  <c r="G216" i="2"/>
  <c r="F222" i="2"/>
  <c r="G223" i="2"/>
  <c r="G35" i="2"/>
  <c r="H209" i="2"/>
  <c r="L209" i="2" s="1"/>
  <c r="K227" i="2"/>
  <c r="K200" i="2"/>
  <c r="H230" i="2"/>
  <c r="L230" i="2" s="1"/>
  <c r="K238" i="2"/>
  <c r="G203" i="2"/>
  <c r="H212" i="2"/>
  <c r="L212" i="2" s="1"/>
  <c r="H203" i="2"/>
  <c r="L203" i="2" s="1"/>
  <c r="F208" i="2"/>
  <c r="H217" i="2"/>
  <c r="L217" i="2" s="1"/>
  <c r="K226" i="2"/>
  <c r="G229" i="2"/>
  <c r="K221" i="2"/>
  <c r="K218" i="2"/>
  <c r="K210" i="2"/>
  <c r="K205" i="2"/>
  <c r="K231" i="2"/>
  <c r="K213" i="2"/>
  <c r="K202" i="2"/>
  <c r="F205" i="2"/>
  <c r="F213" i="2"/>
  <c r="F221" i="2"/>
  <c r="F231" i="2"/>
  <c r="F204" i="2"/>
  <c r="G205" i="2"/>
  <c r="F212" i="2"/>
  <c r="G213" i="2"/>
  <c r="G221" i="2"/>
  <c r="F230" i="2"/>
  <c r="G231" i="2"/>
  <c r="K216" i="2"/>
  <c r="K225" i="2"/>
  <c r="F202" i="2"/>
  <c r="F218" i="2"/>
  <c r="F210" i="2"/>
  <c r="F201" i="2"/>
  <c r="F209" i="2"/>
  <c r="G210" i="2"/>
  <c r="F217" i="2"/>
  <c r="G218" i="2"/>
  <c r="G202" i="2"/>
  <c r="K201" i="2" l="1"/>
  <c r="K185" i="2"/>
  <c r="L185" i="2"/>
  <c r="K217" i="2"/>
  <c r="K208" i="2"/>
  <c r="K211" i="2"/>
  <c r="K229" i="2"/>
  <c r="K209" i="2"/>
  <c r="K204" i="2"/>
  <c r="K222" i="2"/>
  <c r="K230" i="2"/>
  <c r="K203" i="2"/>
  <c r="K212" i="2"/>
  <c r="J68" i="2" l="1"/>
  <c r="I68" i="2"/>
  <c r="G68" i="2" s="1"/>
  <c r="J67" i="2"/>
  <c r="I67" i="2"/>
  <c r="H67" i="2" s="1"/>
  <c r="L67" i="2" s="1"/>
  <c r="J66" i="2"/>
  <c r="I66" i="2"/>
  <c r="H66" i="2" s="1"/>
  <c r="L66" i="2" s="1"/>
  <c r="J65" i="2"/>
  <c r="I65" i="2"/>
  <c r="H65" i="2" s="1"/>
  <c r="L65" i="2" s="1"/>
  <c r="J62" i="2"/>
  <c r="I62" i="2"/>
  <c r="H62" i="2" s="1"/>
  <c r="L62" i="2" s="1"/>
  <c r="J61" i="2"/>
  <c r="I61" i="2"/>
  <c r="H61" i="2" s="1"/>
  <c r="L61" i="2" s="1"/>
  <c r="J60" i="2"/>
  <c r="I60" i="2"/>
  <c r="F60" i="2" s="1"/>
  <c r="J55" i="2"/>
  <c r="I55" i="2"/>
  <c r="G55" i="2" s="1"/>
  <c r="J58" i="2"/>
  <c r="I58" i="2"/>
  <c r="H58" i="2" s="1"/>
  <c r="J57" i="2"/>
  <c r="I57" i="2"/>
  <c r="F57" i="2" s="1"/>
  <c r="J56" i="2"/>
  <c r="I56" i="2"/>
  <c r="H56" i="2" s="1"/>
  <c r="J199" i="2"/>
  <c r="I199" i="2"/>
  <c r="G199" i="2" s="1"/>
  <c r="H199" i="2"/>
  <c r="F199" i="2"/>
  <c r="J197" i="2"/>
  <c r="I197" i="2"/>
  <c r="H197" i="2" s="1"/>
  <c r="L197" i="2" s="1"/>
  <c r="J196" i="2"/>
  <c r="I196" i="2"/>
  <c r="F196" i="2" s="1"/>
  <c r="J195" i="2"/>
  <c r="I195" i="2"/>
  <c r="H195" i="2" s="1"/>
  <c r="L195" i="2" s="1"/>
  <c r="J194" i="2"/>
  <c r="I194" i="2"/>
  <c r="G194" i="2" s="1"/>
  <c r="H194" i="2"/>
  <c r="F194" i="2"/>
  <c r="J193" i="2"/>
  <c r="I193" i="2"/>
  <c r="G193" i="2" s="1"/>
  <c r="H193" i="2"/>
  <c r="F193" i="2"/>
  <c r="J192" i="2"/>
  <c r="I192" i="2"/>
  <c r="F192" i="2" s="1"/>
  <c r="J191" i="2"/>
  <c r="I191" i="2"/>
  <c r="H191" i="2" s="1"/>
  <c r="L191" i="2" s="1"/>
  <c r="J190" i="2"/>
  <c r="I190" i="2"/>
  <c r="G190" i="2" s="1"/>
  <c r="J188" i="2"/>
  <c r="I188" i="2"/>
  <c r="F188" i="2" s="1"/>
  <c r="J187" i="2"/>
  <c r="I187" i="2"/>
  <c r="G187" i="2" s="1"/>
  <c r="H187" i="2"/>
  <c r="F187" i="2"/>
  <c r="J186" i="2"/>
  <c r="I186" i="2"/>
  <c r="G186" i="2" s="1"/>
  <c r="H186" i="2"/>
  <c r="F186" i="2"/>
  <c r="J184" i="2"/>
  <c r="I184" i="2"/>
  <c r="G184" i="2" s="1"/>
  <c r="J183" i="2"/>
  <c r="I183" i="2"/>
  <c r="G183" i="2" s="1"/>
  <c r="J182" i="2"/>
  <c r="I182" i="2"/>
  <c r="G182" i="2" s="1"/>
  <c r="J180" i="2"/>
  <c r="I180" i="2"/>
  <c r="F180" i="2" s="1"/>
  <c r="J179" i="2"/>
  <c r="I179" i="2"/>
  <c r="F179" i="2" s="1"/>
  <c r="J178" i="2"/>
  <c r="I178" i="2"/>
  <c r="F178" i="2" s="1"/>
  <c r="J177" i="2"/>
  <c r="I177" i="2"/>
  <c r="H177" i="2" s="1"/>
  <c r="L177" i="2" s="1"/>
  <c r="J176" i="2"/>
  <c r="I176" i="2"/>
  <c r="H176" i="2" s="1"/>
  <c r="L176" i="2" s="1"/>
  <c r="J175" i="2"/>
  <c r="I175" i="2"/>
  <c r="G175" i="2" s="1"/>
  <c r="J174" i="2"/>
  <c r="I174" i="2"/>
  <c r="F174" i="2" s="1"/>
  <c r="J172" i="2"/>
  <c r="I172" i="2"/>
  <c r="G172" i="2" s="1"/>
  <c r="J171" i="2"/>
  <c r="I171" i="2"/>
  <c r="H171" i="2" s="1"/>
  <c r="L171" i="2" s="1"/>
  <c r="J170" i="2"/>
  <c r="I170" i="2"/>
  <c r="F170" i="2" s="1"/>
  <c r="J169" i="2"/>
  <c r="I169" i="2"/>
  <c r="G169" i="2" s="1"/>
  <c r="H169" i="2"/>
  <c r="F169" i="2"/>
  <c r="J168" i="2"/>
  <c r="I168" i="2"/>
  <c r="G168" i="2" s="1"/>
  <c r="H168" i="2"/>
  <c r="F168" i="2"/>
  <c r="J165" i="2"/>
  <c r="I165" i="2"/>
  <c r="H165" i="2" s="1"/>
  <c r="L165" i="2" s="1"/>
  <c r="J164" i="2"/>
  <c r="I164" i="2"/>
  <c r="G164" i="2" s="1"/>
  <c r="J163" i="2"/>
  <c r="I163" i="2"/>
  <c r="F163" i="2" s="1"/>
  <c r="J162" i="2"/>
  <c r="I162" i="2"/>
  <c r="G162" i="2" s="1"/>
  <c r="J161" i="2"/>
  <c r="I161" i="2"/>
  <c r="H161" i="2" s="1"/>
  <c r="L161" i="2" s="1"/>
  <c r="J159" i="2"/>
  <c r="I159" i="2"/>
  <c r="H159" i="2" s="1"/>
  <c r="L159" i="2" s="1"/>
  <c r="J158" i="2"/>
  <c r="I158" i="2"/>
  <c r="G158" i="2" s="1"/>
  <c r="H158" i="2"/>
  <c r="F158" i="2"/>
  <c r="J157" i="2"/>
  <c r="I157" i="2"/>
  <c r="G157" i="2" s="1"/>
  <c r="H157" i="2"/>
  <c r="F157" i="2"/>
  <c r="J154" i="2"/>
  <c r="I154" i="2"/>
  <c r="H154" i="2" s="1"/>
  <c r="L154" i="2" s="1"/>
  <c r="J153" i="2"/>
  <c r="I153" i="2"/>
  <c r="G153" i="2" s="1"/>
  <c r="J152" i="2"/>
  <c r="I152" i="2"/>
  <c r="G152" i="2" s="1"/>
  <c r="J151" i="2"/>
  <c r="I151" i="2"/>
  <c r="G151" i="2" s="1"/>
  <c r="J150" i="2"/>
  <c r="I150" i="2"/>
  <c r="F150" i="2" s="1"/>
  <c r="J148" i="2"/>
  <c r="I148" i="2"/>
  <c r="H148" i="2" s="1"/>
  <c r="L148" i="2" s="1"/>
  <c r="J147" i="2"/>
  <c r="I147" i="2"/>
  <c r="H147" i="2" s="1"/>
  <c r="L147" i="2" s="1"/>
  <c r="J146" i="2"/>
  <c r="I146" i="2"/>
  <c r="H146" i="2" s="1"/>
  <c r="L146" i="2" s="1"/>
  <c r="J144" i="2"/>
  <c r="I144" i="2"/>
  <c r="H144" i="2" s="1"/>
  <c r="L144" i="2" s="1"/>
  <c r="J143" i="2"/>
  <c r="I143" i="2"/>
  <c r="G143" i="2" s="1"/>
  <c r="J142" i="2"/>
  <c r="I142" i="2"/>
  <c r="G142" i="2" s="1"/>
  <c r="J141" i="2"/>
  <c r="I141" i="2"/>
  <c r="G141" i="2" s="1"/>
  <c r="H141" i="2"/>
  <c r="F141" i="2"/>
  <c r="J140" i="2"/>
  <c r="I140" i="2"/>
  <c r="G140" i="2" s="1"/>
  <c r="H140" i="2"/>
  <c r="F140" i="2"/>
  <c r="J136" i="2"/>
  <c r="I136" i="2"/>
  <c r="G136" i="2" s="1"/>
  <c r="J135" i="2"/>
  <c r="I135" i="2"/>
  <c r="F135" i="2" s="1"/>
  <c r="J134" i="2"/>
  <c r="I134" i="2"/>
  <c r="H134" i="2" s="1"/>
  <c r="L134" i="2" s="1"/>
  <c r="J133" i="2"/>
  <c r="I133" i="2"/>
  <c r="G133" i="2" s="1"/>
  <c r="H133" i="2"/>
  <c r="F133" i="2"/>
  <c r="J132" i="2"/>
  <c r="I132" i="2"/>
  <c r="G132" i="2" s="1"/>
  <c r="H132" i="2"/>
  <c r="F132" i="2"/>
  <c r="J131" i="2"/>
  <c r="I131" i="2"/>
  <c r="H131" i="2" s="1"/>
  <c r="L131" i="2" s="1"/>
  <c r="J130" i="2"/>
  <c r="I130" i="2"/>
  <c r="G130" i="2" s="1"/>
  <c r="J129" i="2"/>
  <c r="I129" i="2"/>
  <c r="F129" i="2" s="1"/>
  <c r="J128" i="2"/>
  <c r="I128" i="2"/>
  <c r="G128" i="2" s="1"/>
  <c r="J127" i="2"/>
  <c r="I127" i="2"/>
  <c r="G127" i="2" s="1"/>
  <c r="H127" i="2"/>
  <c r="F127" i="2"/>
  <c r="I41" i="2"/>
  <c r="G41" i="2" s="1"/>
  <c r="J41" i="2"/>
  <c r="I42" i="2"/>
  <c r="H42" i="2" s="1"/>
  <c r="J42" i="2"/>
  <c r="I43" i="2"/>
  <c r="G43" i="2" s="1"/>
  <c r="J43" i="2"/>
  <c r="I46" i="2"/>
  <c r="F46" i="2" s="1"/>
  <c r="J46" i="2"/>
  <c r="I47" i="2"/>
  <c r="F47" i="2" s="1"/>
  <c r="J47" i="2"/>
  <c r="I48" i="2"/>
  <c r="J48" i="2"/>
  <c r="I49" i="2"/>
  <c r="F49" i="2" s="1"/>
  <c r="J49" i="2"/>
  <c r="F50" i="2"/>
  <c r="H50" i="2"/>
  <c r="I50" i="2"/>
  <c r="G50" i="2" s="1"/>
  <c r="J50" i="2"/>
  <c r="L50" i="2"/>
  <c r="F51" i="2"/>
  <c r="H51" i="2"/>
  <c r="I51" i="2"/>
  <c r="G51" i="2" s="1"/>
  <c r="J51" i="2"/>
  <c r="L51" i="2"/>
  <c r="I52" i="2"/>
  <c r="G52" i="2" s="1"/>
  <c r="J52" i="2"/>
  <c r="I53" i="2"/>
  <c r="F53" i="2" s="1"/>
  <c r="J53" i="2"/>
  <c r="I54" i="2"/>
  <c r="F54" i="2" s="1"/>
  <c r="J54" i="2"/>
  <c r="F74" i="2"/>
  <c r="H74" i="2"/>
  <c r="I74" i="2"/>
  <c r="G74" i="2" s="1"/>
  <c r="J74" i="2"/>
  <c r="L74" i="2"/>
  <c r="J114" i="2"/>
  <c r="I114" i="2"/>
  <c r="H114" i="2" s="1"/>
  <c r="J113" i="2"/>
  <c r="I113" i="2"/>
  <c r="H113" i="2" s="1"/>
  <c r="J122" i="2"/>
  <c r="I122" i="2"/>
  <c r="H122" i="2" s="1"/>
  <c r="L122" i="2" s="1"/>
  <c r="J121" i="2"/>
  <c r="I121" i="2"/>
  <c r="G121" i="2" s="1"/>
  <c r="J115" i="2"/>
  <c r="I115" i="2"/>
  <c r="H115" i="2" s="1"/>
  <c r="J101" i="2"/>
  <c r="I101" i="2"/>
  <c r="G101" i="2" s="1"/>
  <c r="H68" i="2" l="1"/>
  <c r="F55" i="2"/>
  <c r="H60" i="2"/>
  <c r="G60" i="2"/>
  <c r="G67" i="2"/>
  <c r="F62" i="2"/>
  <c r="F67" i="2"/>
  <c r="F68" i="2"/>
  <c r="K67" i="2"/>
  <c r="K65" i="2"/>
  <c r="K66" i="2"/>
  <c r="F66" i="2"/>
  <c r="F65" i="2"/>
  <c r="G66" i="2"/>
  <c r="G65" i="2"/>
  <c r="K61" i="2"/>
  <c r="K62" i="2"/>
  <c r="F61" i="2"/>
  <c r="G62" i="2"/>
  <c r="G61" i="2"/>
  <c r="H55" i="2"/>
  <c r="G57" i="2"/>
  <c r="H57" i="2"/>
  <c r="K57" i="2" s="1"/>
  <c r="H192" i="2"/>
  <c r="L192" i="2" s="1"/>
  <c r="L58" i="2"/>
  <c r="K58" i="2"/>
  <c r="F58" i="2"/>
  <c r="G58" i="2"/>
  <c r="H196" i="2"/>
  <c r="L196" i="2" s="1"/>
  <c r="G178" i="2"/>
  <c r="H178" i="2"/>
  <c r="L178" i="2" s="1"/>
  <c r="F56" i="2"/>
  <c r="L56" i="2"/>
  <c r="K56" i="2"/>
  <c r="G56" i="2"/>
  <c r="H180" i="2"/>
  <c r="L180" i="2" s="1"/>
  <c r="G196" i="2"/>
  <c r="K158" i="2"/>
  <c r="K133" i="2"/>
  <c r="F134" i="2"/>
  <c r="K186" i="2"/>
  <c r="G159" i="2"/>
  <c r="K168" i="2"/>
  <c r="F171" i="2"/>
  <c r="G171" i="2"/>
  <c r="K169" i="2"/>
  <c r="F136" i="2"/>
  <c r="H153" i="2"/>
  <c r="L153" i="2" s="1"/>
  <c r="F159" i="2"/>
  <c r="G180" i="2"/>
  <c r="H130" i="2"/>
  <c r="K187" i="2"/>
  <c r="K194" i="2"/>
  <c r="H135" i="2"/>
  <c r="L135" i="2" s="1"/>
  <c r="F197" i="2"/>
  <c r="K159" i="2"/>
  <c r="G135" i="2"/>
  <c r="H172" i="2"/>
  <c r="L172" i="2" s="1"/>
  <c r="H182" i="2"/>
  <c r="L182" i="2" s="1"/>
  <c r="G150" i="2"/>
  <c r="H150" i="2"/>
  <c r="L150" i="2" s="1"/>
  <c r="H162" i="2"/>
  <c r="L162" i="2" s="1"/>
  <c r="H188" i="2"/>
  <c r="L188" i="2" s="1"/>
  <c r="K132" i="2"/>
  <c r="H136" i="2"/>
  <c r="L136" i="2" s="1"/>
  <c r="H143" i="2"/>
  <c r="L143" i="2" s="1"/>
  <c r="F128" i="2"/>
  <c r="F148" i="2"/>
  <c r="K193" i="2"/>
  <c r="H128" i="2"/>
  <c r="L128" i="2" s="1"/>
  <c r="K141" i="2"/>
  <c r="G148" i="2"/>
  <c r="H170" i="2"/>
  <c r="L170" i="2" s="1"/>
  <c r="F172" i="2"/>
  <c r="H179" i="2"/>
  <c r="F182" i="2"/>
  <c r="K134" i="2"/>
  <c r="K148" i="2"/>
  <c r="K146" i="2"/>
  <c r="K147" i="2"/>
  <c r="F162" i="2"/>
  <c r="G170" i="2"/>
  <c r="H175" i="2"/>
  <c r="G179" i="2"/>
  <c r="H184" i="2"/>
  <c r="L184" i="2" s="1"/>
  <c r="G188" i="2"/>
  <c r="H190" i="2"/>
  <c r="L190" i="2" s="1"/>
  <c r="F147" i="2"/>
  <c r="F161" i="2"/>
  <c r="G134" i="2"/>
  <c r="K140" i="2"/>
  <c r="F146" i="2"/>
  <c r="G147" i="2"/>
  <c r="G161" i="2"/>
  <c r="F191" i="2"/>
  <c r="K199" i="2"/>
  <c r="G146" i="2"/>
  <c r="F151" i="2"/>
  <c r="K157" i="2"/>
  <c r="F177" i="2"/>
  <c r="G191" i="2"/>
  <c r="K127" i="2"/>
  <c r="G129" i="2"/>
  <c r="H151" i="2"/>
  <c r="L151" i="2" s="1"/>
  <c r="H164" i="2"/>
  <c r="L164" i="2" s="1"/>
  <c r="F190" i="2"/>
  <c r="K144" i="2"/>
  <c r="K176" i="2"/>
  <c r="K197" i="2"/>
  <c r="K131" i="2"/>
  <c r="K154" i="2"/>
  <c r="K177" i="2"/>
  <c r="K165" i="2"/>
  <c r="K195" i="2"/>
  <c r="G163" i="2"/>
  <c r="G174" i="2"/>
  <c r="H129" i="2"/>
  <c r="L129" i="2" s="1"/>
  <c r="H142" i="2"/>
  <c r="L142" i="2" s="1"/>
  <c r="H152" i="2"/>
  <c r="L152" i="2" s="1"/>
  <c r="H163" i="2"/>
  <c r="L163" i="2" s="1"/>
  <c r="H174" i="2"/>
  <c r="L174" i="2" s="1"/>
  <c r="H183" i="2"/>
  <c r="L183" i="2" s="1"/>
  <c r="G192" i="2"/>
  <c r="G197" i="2"/>
  <c r="F131" i="2"/>
  <c r="F144" i="2"/>
  <c r="F154" i="2"/>
  <c r="F165" i="2"/>
  <c r="F176" i="2"/>
  <c r="G177" i="2"/>
  <c r="F195" i="2"/>
  <c r="F130" i="2"/>
  <c r="G131" i="2"/>
  <c r="F143" i="2"/>
  <c r="G144" i="2"/>
  <c r="F153" i="2"/>
  <c r="G154" i="2"/>
  <c r="K161" i="2"/>
  <c r="F164" i="2"/>
  <c r="G165" i="2"/>
  <c r="K171" i="2"/>
  <c r="F175" i="2"/>
  <c r="G176" i="2"/>
  <c r="F184" i="2"/>
  <c r="K191" i="2"/>
  <c r="G195" i="2"/>
  <c r="F142" i="2"/>
  <c r="F152" i="2"/>
  <c r="F183" i="2"/>
  <c r="F48" i="2"/>
  <c r="G48" i="2"/>
  <c r="K50" i="2"/>
  <c r="K51" i="2"/>
  <c r="H49" i="2"/>
  <c r="H46" i="2"/>
  <c r="K46" i="2" s="1"/>
  <c r="H43" i="2"/>
  <c r="K43" i="2" s="1"/>
  <c r="G54" i="2"/>
  <c r="F52" i="2"/>
  <c r="G46" i="2"/>
  <c r="F43" i="2"/>
  <c r="H54" i="2"/>
  <c r="K54" i="2" s="1"/>
  <c r="H52" i="2"/>
  <c r="K52" i="2" s="1"/>
  <c r="G42" i="2"/>
  <c r="G53" i="2"/>
  <c r="K74" i="2"/>
  <c r="K42" i="2"/>
  <c r="L42" i="2"/>
  <c r="F41" i="2"/>
  <c r="H53" i="2"/>
  <c r="F42" i="2"/>
  <c r="H47" i="2"/>
  <c r="H48" i="2"/>
  <c r="G47" i="2"/>
  <c r="G49" i="2"/>
  <c r="H41" i="2"/>
  <c r="F114" i="2"/>
  <c r="L114" i="2"/>
  <c r="K114" i="2"/>
  <c r="G114" i="2"/>
  <c r="F113" i="2"/>
  <c r="K113" i="2"/>
  <c r="L113" i="2"/>
  <c r="G113" i="2"/>
  <c r="H121" i="2"/>
  <c r="K121" i="2" s="1"/>
  <c r="F122" i="2"/>
  <c r="G122" i="2"/>
  <c r="K122" i="2"/>
  <c r="F121" i="2"/>
  <c r="F115" i="2"/>
  <c r="G115" i="2"/>
  <c r="K115" i="2"/>
  <c r="L115" i="2"/>
  <c r="H101" i="2"/>
  <c r="F101" i="2"/>
  <c r="K196" i="2" l="1"/>
  <c r="K60" i="2"/>
  <c r="L60" i="2"/>
  <c r="K68" i="2"/>
  <c r="L68" i="2"/>
  <c r="K175" i="2"/>
  <c r="L175" i="2"/>
  <c r="K179" i="2"/>
  <c r="L179" i="2"/>
  <c r="K135" i="2"/>
  <c r="K164" i="2"/>
  <c r="K170" i="2"/>
  <c r="K182" i="2"/>
  <c r="K130" i="2"/>
  <c r="L130" i="2"/>
  <c r="K178" i="2"/>
  <c r="K55" i="2"/>
  <c r="L55" i="2"/>
  <c r="L57" i="2"/>
  <c r="K192" i="2"/>
  <c r="K150" i="2"/>
  <c r="K128" i="2"/>
  <c r="L52" i="2"/>
  <c r="K180" i="2"/>
  <c r="K172" i="2"/>
  <c r="K153" i="2"/>
  <c r="K143" i="2"/>
  <c r="K136" i="2"/>
  <c r="K162" i="2"/>
  <c r="K151" i="2"/>
  <c r="K188" i="2"/>
  <c r="K190" i="2"/>
  <c r="K184" i="2"/>
  <c r="K183" i="2"/>
  <c r="K129" i="2"/>
  <c r="K174" i="2"/>
  <c r="K163" i="2"/>
  <c r="K152" i="2"/>
  <c r="L43" i="2"/>
  <c r="K142" i="2"/>
  <c r="L54" i="2"/>
  <c r="L49" i="2"/>
  <c r="K49" i="2"/>
  <c r="L46" i="2"/>
  <c r="K53" i="2"/>
  <c r="L53" i="2"/>
  <c r="L41" i="2"/>
  <c r="K41" i="2"/>
  <c r="K48" i="2"/>
  <c r="L48" i="2"/>
  <c r="L47" i="2"/>
  <c r="K47" i="2"/>
  <c r="L121" i="2"/>
  <c r="L101" i="2"/>
  <c r="K101" i="2"/>
  <c r="J89" i="2" l="1"/>
  <c r="I89" i="2"/>
  <c r="H89" i="2" s="1"/>
  <c r="J39" i="2"/>
  <c r="I39" i="2"/>
  <c r="H39" i="2" s="1"/>
  <c r="J26" i="2"/>
  <c r="I26" i="2"/>
  <c r="H26" i="2" s="1"/>
  <c r="F89" i="2" l="1"/>
  <c r="L89" i="2"/>
  <c r="K89" i="2"/>
  <c r="G89" i="2"/>
  <c r="F39" i="2"/>
  <c r="K39" i="2"/>
  <c r="L39" i="2"/>
  <c r="G39" i="2"/>
  <c r="F26" i="2"/>
  <c r="K26" i="2"/>
  <c r="L26" i="2"/>
  <c r="G26" i="2"/>
  <c r="J109" i="2"/>
  <c r="I109" i="2"/>
  <c r="F109" i="2" s="1"/>
  <c r="J103" i="2"/>
  <c r="I103" i="2"/>
  <c r="H103" i="2" s="1"/>
  <c r="G109" i="2" l="1"/>
  <c r="H109" i="2"/>
  <c r="F103" i="2"/>
  <c r="G103" i="2"/>
  <c r="K103" i="2"/>
  <c r="L103" i="2"/>
  <c r="J97" i="2"/>
  <c r="I97" i="2"/>
  <c r="H97" i="2" s="1"/>
  <c r="J91" i="2"/>
  <c r="I91" i="2"/>
  <c r="H91" i="2" s="1"/>
  <c r="K109" i="2" l="1"/>
  <c r="L109" i="2"/>
  <c r="G97" i="2"/>
  <c r="F97" i="2"/>
  <c r="L97" i="2"/>
  <c r="K97" i="2"/>
  <c r="K91" i="2"/>
  <c r="L91" i="2"/>
  <c r="F91" i="2"/>
  <c r="G91" i="2"/>
  <c r="J85" i="2"/>
  <c r="I85" i="2"/>
  <c r="H85" i="2" s="1"/>
  <c r="J83" i="2"/>
  <c r="I83" i="2"/>
  <c r="G83" i="2" s="1"/>
  <c r="J82" i="2"/>
  <c r="I82" i="2"/>
  <c r="H82" i="2" s="1"/>
  <c r="J78" i="2"/>
  <c r="I78" i="2"/>
  <c r="H78" i="2" s="1"/>
  <c r="L78" i="2" s="1"/>
  <c r="H83" i="2" l="1"/>
  <c r="F83" i="2"/>
  <c r="K85" i="2"/>
  <c r="L85" i="2"/>
  <c r="F85" i="2"/>
  <c r="G85" i="2"/>
  <c r="K82" i="2"/>
  <c r="L82" i="2"/>
  <c r="F82" i="2"/>
  <c r="G82" i="2"/>
  <c r="K78" i="2"/>
  <c r="F78" i="2"/>
  <c r="G78" i="2"/>
  <c r="K83" i="2" l="1"/>
  <c r="L83" i="2"/>
  <c r="J34" i="2" l="1"/>
  <c r="I34" i="2"/>
  <c r="G34" i="2" s="1"/>
  <c r="F34" i="2" l="1"/>
  <c r="H34" i="2"/>
  <c r="K34" i="2" l="1"/>
  <c r="L34" i="2"/>
  <c r="J94" i="2" l="1"/>
  <c r="I94" i="2"/>
  <c r="H94" i="2" s="1"/>
  <c r="J118" i="2"/>
  <c r="I118" i="2"/>
  <c r="G118" i="2" s="1"/>
  <c r="J124" i="2"/>
  <c r="I124" i="2"/>
  <c r="G124" i="2" s="1"/>
  <c r="J125" i="2"/>
  <c r="I125" i="2"/>
  <c r="H125" i="2" s="1"/>
  <c r="L94" i="2" l="1"/>
  <c r="K94" i="2" s="1"/>
  <c r="F94" i="2"/>
  <c r="G94" i="2"/>
  <c r="F118" i="2"/>
  <c r="H118" i="2"/>
  <c r="L118" i="2" s="1"/>
  <c r="H124" i="2"/>
  <c r="F124" i="2"/>
  <c r="L125" i="2"/>
  <c r="K125" i="2" s="1"/>
  <c r="F125" i="2"/>
  <c r="G125" i="2"/>
  <c r="K118" i="2" l="1"/>
  <c r="L124" i="2"/>
  <c r="K124" i="2" s="1"/>
  <c r="J38" i="2" l="1"/>
  <c r="I38" i="2"/>
  <c r="H38" i="2" s="1"/>
  <c r="J37" i="2"/>
  <c r="I37" i="2"/>
  <c r="H37" i="2" s="1"/>
  <c r="J30" i="2"/>
  <c r="I30" i="2"/>
  <c r="H30" i="2" s="1"/>
  <c r="J21" i="2"/>
  <c r="I21" i="2"/>
  <c r="H21" i="2" s="1"/>
  <c r="L126" i="2"/>
  <c r="J126" i="2"/>
  <c r="I126" i="2"/>
  <c r="G126" i="2" s="1"/>
  <c r="H126" i="2"/>
  <c r="F126" i="2"/>
  <c r="J120" i="2"/>
  <c r="I120" i="2"/>
  <c r="G120" i="2" s="1"/>
  <c r="L98" i="2"/>
  <c r="J98" i="2"/>
  <c r="I98" i="2"/>
  <c r="G98" i="2" s="1"/>
  <c r="H98" i="2"/>
  <c r="F98" i="2"/>
  <c r="J119" i="2"/>
  <c r="I119" i="2"/>
  <c r="G119" i="2" s="1"/>
  <c r="J117" i="2"/>
  <c r="I117" i="2"/>
  <c r="G117" i="2" s="1"/>
  <c r="F120" i="2" l="1"/>
  <c r="H120" i="2"/>
  <c r="L120" i="2" s="1"/>
  <c r="L38" i="2"/>
  <c r="K38" i="2" s="1"/>
  <c r="F38" i="2"/>
  <c r="G38" i="2"/>
  <c r="L37" i="2"/>
  <c r="K37" i="2" s="1"/>
  <c r="F37" i="2"/>
  <c r="G37" i="2"/>
  <c r="L30" i="2"/>
  <c r="K30" i="2" s="1"/>
  <c r="F30" i="2"/>
  <c r="G30" i="2"/>
  <c r="L21" i="2"/>
  <c r="K21" i="2" s="1"/>
  <c r="F21" i="2"/>
  <c r="G21" i="2"/>
  <c r="K126" i="2"/>
  <c r="K98" i="2"/>
  <c r="H119" i="2"/>
  <c r="F119" i="2"/>
  <c r="H117" i="2"/>
  <c r="F117" i="2"/>
  <c r="I111" i="2"/>
  <c r="G111" i="2" s="1"/>
  <c r="I112" i="2"/>
  <c r="G112" i="2" s="1"/>
  <c r="I123" i="2"/>
  <c r="F123" i="2" s="1"/>
  <c r="F111" i="2"/>
  <c r="L111" i="2"/>
  <c r="J111" i="2"/>
  <c r="J112" i="2"/>
  <c r="J123" i="2"/>
  <c r="H111" i="2"/>
  <c r="J108" i="2"/>
  <c r="I108" i="2"/>
  <c r="H108" i="2" s="1"/>
  <c r="J104" i="2"/>
  <c r="I104" i="2"/>
  <c r="F104" i="2" s="1"/>
  <c r="J100" i="2"/>
  <c r="I100" i="2"/>
  <c r="H100" i="2" s="1"/>
  <c r="K120" i="2" l="1"/>
  <c r="F112" i="2"/>
  <c r="H112" i="2"/>
  <c r="L112" i="2" s="1"/>
  <c r="L119" i="2"/>
  <c r="K119" i="2" s="1"/>
  <c r="L117" i="2"/>
  <c r="K117" i="2" s="1"/>
  <c r="K111" i="2"/>
  <c r="G123" i="2"/>
  <c r="H123" i="2"/>
  <c r="L108" i="2"/>
  <c r="K108" i="2" s="1"/>
  <c r="F108" i="2"/>
  <c r="G108" i="2"/>
  <c r="G104" i="2"/>
  <c r="H104" i="2"/>
  <c r="F100" i="2"/>
  <c r="G100" i="2"/>
  <c r="L100" i="2"/>
  <c r="K100" i="2" s="1"/>
  <c r="J99" i="2"/>
  <c r="I99" i="2"/>
  <c r="H99" i="2" s="1"/>
  <c r="F99" i="2"/>
  <c r="J90" i="2"/>
  <c r="I90" i="2"/>
  <c r="H90" i="2" s="1"/>
  <c r="J86" i="2"/>
  <c r="I86" i="2"/>
  <c r="G86" i="2" s="1"/>
  <c r="J84" i="2"/>
  <c r="I84" i="2"/>
  <c r="G84" i="2" s="1"/>
  <c r="J76" i="2"/>
  <c r="I76" i="2"/>
  <c r="H76" i="2" s="1"/>
  <c r="J75" i="2"/>
  <c r="I75" i="2"/>
  <c r="H75" i="2" s="1"/>
  <c r="K112" i="2" l="1"/>
  <c r="F76" i="2"/>
  <c r="L123" i="2"/>
  <c r="K123" i="2" s="1"/>
  <c r="L104" i="2"/>
  <c r="K104" i="2" s="1"/>
  <c r="L99" i="2"/>
  <c r="K99" i="2" s="1"/>
  <c r="G99" i="2"/>
  <c r="L90" i="2"/>
  <c r="K90" i="2" s="1"/>
  <c r="F90" i="2"/>
  <c r="G90" i="2"/>
  <c r="H86" i="2"/>
  <c r="F86" i="2"/>
  <c r="H84" i="2"/>
  <c r="F84" i="2"/>
  <c r="L76" i="2"/>
  <c r="K76" i="2"/>
  <c r="G76" i="2"/>
  <c r="L75" i="2"/>
  <c r="K75" i="2" s="1"/>
  <c r="F75" i="2"/>
  <c r="G75" i="2"/>
  <c r="L86" i="2" l="1"/>
  <c r="K86" i="2" s="1"/>
  <c r="L84" i="2"/>
  <c r="K84" i="2" s="1"/>
  <c r="J36" i="2" l="1"/>
  <c r="I36" i="2"/>
  <c r="H36" i="2" s="1"/>
  <c r="J16" i="2"/>
  <c r="I16" i="2"/>
  <c r="F16" i="2" s="1"/>
  <c r="L36" i="2" l="1"/>
  <c r="K36" i="2" s="1"/>
  <c r="F36" i="2"/>
  <c r="G36" i="2"/>
  <c r="H16" i="2"/>
  <c r="G16" i="2"/>
  <c r="L16" i="2" l="1"/>
  <c r="K16" i="2" s="1"/>
  <c r="J22" i="2" l="1"/>
  <c r="I22" i="2"/>
  <c r="H22" i="2" s="1"/>
  <c r="J20" i="2"/>
  <c r="I20" i="2"/>
  <c r="H20" i="2" s="1"/>
  <c r="J29" i="2"/>
  <c r="I29" i="2"/>
  <c r="G29" i="2" s="1"/>
  <c r="J28" i="2"/>
  <c r="I28" i="2"/>
  <c r="H28" i="2" s="1"/>
  <c r="J12" i="2"/>
  <c r="I12" i="2"/>
  <c r="G12" i="2" s="1"/>
  <c r="G20" i="2" l="1"/>
  <c r="F20" i="2"/>
  <c r="L22" i="2"/>
  <c r="K22" i="2" s="1"/>
  <c r="F22" i="2"/>
  <c r="G22" i="2"/>
  <c r="L20" i="2"/>
  <c r="K20" i="2" s="1"/>
  <c r="H29" i="2"/>
  <c r="F29" i="2"/>
  <c r="L28" i="2"/>
  <c r="K28" i="2" s="1"/>
  <c r="F28" i="2"/>
  <c r="G28" i="2"/>
  <c r="F12" i="2"/>
  <c r="H12" i="2"/>
  <c r="L12" i="2" s="1"/>
  <c r="J15" i="2"/>
  <c r="I15" i="2"/>
  <c r="H15" i="2" s="1"/>
  <c r="J24" i="2"/>
  <c r="I24" i="2"/>
  <c r="F24" i="2" s="1"/>
  <c r="H24" i="2" l="1"/>
  <c r="G24" i="2"/>
  <c r="L29" i="2"/>
  <c r="K29" i="2" s="1"/>
  <c r="K12" i="2"/>
  <c r="L15" i="2"/>
  <c r="K15" i="2" s="1"/>
  <c r="F15" i="2"/>
  <c r="G15" i="2"/>
  <c r="L24" i="2" l="1"/>
  <c r="K24" i="2" s="1"/>
  <c r="J14" i="2"/>
  <c r="I14" i="2"/>
  <c r="G14" i="2" s="1"/>
  <c r="J378" i="2"/>
  <c r="I378" i="2"/>
  <c r="G378" i="2" s="1"/>
  <c r="J383" i="2"/>
  <c r="I383" i="2"/>
  <c r="G383" i="2" s="1"/>
  <c r="J415" i="2"/>
  <c r="I415" i="2"/>
  <c r="G415" i="2" s="1"/>
  <c r="J414" i="2"/>
  <c r="I414" i="2"/>
  <c r="G414" i="2" s="1"/>
  <c r="J413" i="2"/>
  <c r="I413" i="2"/>
  <c r="F413" i="2" s="1"/>
  <c r="J412" i="2"/>
  <c r="I412" i="2"/>
  <c r="G412" i="2" s="1"/>
  <c r="J411" i="2"/>
  <c r="I411" i="2"/>
  <c r="G411" i="2" s="1"/>
  <c r="J410" i="2"/>
  <c r="I410" i="2"/>
  <c r="G410" i="2" s="1"/>
  <c r="J416" i="2"/>
  <c r="I416" i="2"/>
  <c r="G416" i="2" s="1"/>
  <c r="H416" i="2"/>
  <c r="F416" i="2"/>
  <c r="J259" i="2"/>
  <c r="I259" i="2"/>
  <c r="G259" i="2" s="1"/>
  <c r="J95" i="2"/>
  <c r="I95" i="2"/>
  <c r="G95" i="2" s="1"/>
  <c r="J110" i="2"/>
  <c r="I110" i="2"/>
  <c r="G110" i="2" s="1"/>
  <c r="J105" i="2"/>
  <c r="I105" i="2"/>
  <c r="G105" i="2" s="1"/>
  <c r="J106" i="2"/>
  <c r="I106" i="2"/>
  <c r="G106" i="2" s="1"/>
  <c r="J107" i="2"/>
  <c r="I107" i="2"/>
  <c r="G107" i="2" s="1"/>
  <c r="J102" i="2"/>
  <c r="I102" i="2"/>
  <c r="G102" i="2" s="1"/>
  <c r="J116" i="2"/>
  <c r="I116" i="2"/>
  <c r="G116" i="2" s="1"/>
  <c r="F102" i="2" l="1"/>
  <c r="H102" i="2"/>
  <c r="L102" i="2" s="1"/>
  <c r="F95" i="2"/>
  <c r="H95" i="2"/>
  <c r="F14" i="2"/>
  <c r="H14" i="2"/>
  <c r="L14" i="2" s="1"/>
  <c r="F378" i="2"/>
  <c r="H378" i="2"/>
  <c r="K378" i="2" s="1"/>
  <c r="F383" i="2"/>
  <c r="H383" i="2"/>
  <c r="H410" i="2"/>
  <c r="F411" i="2"/>
  <c r="G413" i="2"/>
  <c r="K416" i="2"/>
  <c r="H413" i="2"/>
  <c r="F410" i="2"/>
  <c r="F414" i="2"/>
  <c r="H414" i="2"/>
  <c r="K414" i="2" s="1"/>
  <c r="F415" i="2"/>
  <c r="H411" i="2"/>
  <c r="F412" i="2"/>
  <c r="H415" i="2"/>
  <c r="H412" i="2"/>
  <c r="H259" i="2"/>
  <c r="K259" i="2" s="1"/>
  <c r="F259" i="2"/>
  <c r="H107" i="2"/>
  <c r="H106" i="2"/>
  <c r="L106" i="2" s="1"/>
  <c r="H110" i="2"/>
  <c r="H105" i="2"/>
  <c r="F110" i="2"/>
  <c r="F106" i="2"/>
  <c r="F116" i="2"/>
  <c r="H116" i="2"/>
  <c r="L116" i="2" s="1"/>
  <c r="K116" i="2" s="1"/>
  <c r="F107" i="2"/>
  <c r="F105" i="2"/>
  <c r="K102" i="2" l="1"/>
  <c r="L95" i="2"/>
  <c r="K95" i="2" s="1"/>
  <c r="K14" i="2"/>
  <c r="K383" i="2"/>
  <c r="K410" i="2"/>
  <c r="K413" i="2"/>
  <c r="K412" i="2"/>
  <c r="K415" i="2"/>
  <c r="K411" i="2"/>
  <c r="L110" i="2"/>
  <c r="K110" i="2" s="1"/>
  <c r="L105" i="2"/>
  <c r="K105" i="2" s="1"/>
  <c r="L107" i="2"/>
  <c r="K107" i="2" s="1"/>
  <c r="K106" i="2"/>
  <c r="J266" i="2"/>
  <c r="I266" i="2"/>
  <c r="G266" i="2" s="1"/>
  <c r="H266" i="2"/>
  <c r="F266" i="2"/>
  <c r="J372" i="2"/>
  <c r="I372" i="2"/>
  <c r="G372" i="2" s="1"/>
  <c r="J371" i="2"/>
  <c r="I371" i="2"/>
  <c r="G371" i="2" s="1"/>
  <c r="J370" i="2"/>
  <c r="I370" i="2"/>
  <c r="G370" i="2" s="1"/>
  <c r="J369" i="2"/>
  <c r="I369" i="2"/>
  <c r="H369" i="2" s="1"/>
  <c r="J368" i="2"/>
  <c r="I368" i="2"/>
  <c r="G368" i="2" s="1"/>
  <c r="J367" i="2"/>
  <c r="I367" i="2"/>
  <c r="G367" i="2" s="1"/>
  <c r="J13" i="2"/>
  <c r="I13" i="2"/>
  <c r="G13" i="2" s="1"/>
  <c r="L11" i="2"/>
  <c r="J11" i="2"/>
  <c r="I11" i="2"/>
  <c r="G11" i="2" s="1"/>
  <c r="H11" i="2"/>
  <c r="F11" i="2"/>
  <c r="F367" i="2" l="1"/>
  <c r="H367" i="2"/>
  <c r="L367" i="2" s="1"/>
  <c r="H371" i="2"/>
  <c r="H370" i="2"/>
  <c r="L370" i="2" s="1"/>
  <c r="H372" i="2"/>
  <c r="K266" i="2"/>
  <c r="F372" i="2"/>
  <c r="F371" i="2"/>
  <c r="F370" i="2"/>
  <c r="F369" i="2"/>
  <c r="G369" i="2"/>
  <c r="F368" i="2"/>
  <c r="H368" i="2"/>
  <c r="K369" i="2"/>
  <c r="F13" i="2"/>
  <c r="H13" i="2"/>
  <c r="L13" i="2" s="1"/>
  <c r="K11" i="2"/>
  <c r="K371" i="2" l="1"/>
  <c r="L371" i="2"/>
  <c r="K367" i="2"/>
  <c r="K368" i="2"/>
  <c r="K372" i="2"/>
  <c r="K370" i="2"/>
  <c r="K13" i="2"/>
  <c r="J25" i="2" l="1"/>
  <c r="I25" i="2"/>
  <c r="F25" i="2" s="1"/>
  <c r="J23" i="2"/>
  <c r="I23" i="2"/>
  <c r="G23" i="2" s="1"/>
  <c r="H25" i="2" l="1"/>
  <c r="L25" i="2" s="1"/>
  <c r="K25" i="2" s="1"/>
  <c r="G25" i="2"/>
  <c r="H23" i="2"/>
  <c r="F23" i="2"/>
  <c r="L23" i="2" l="1"/>
  <c r="K23" i="2" s="1"/>
  <c r="B6" i="2"/>
  <c r="B5" i="2"/>
  <c r="B4" i="2"/>
  <c r="H41" i="5"/>
  <c r="G41" i="5"/>
  <c r="F41" i="5"/>
  <c r="D41" i="5"/>
  <c r="E41" i="5" s="1"/>
  <c r="B41" i="5"/>
  <c r="H40" i="5"/>
  <c r="G40" i="5"/>
  <c r="F40" i="5"/>
  <c r="D40" i="5"/>
  <c r="E40" i="5" s="1"/>
  <c r="B40" i="5"/>
  <c r="H39" i="5"/>
  <c r="G39" i="5"/>
  <c r="F39" i="5"/>
  <c r="D39" i="5"/>
  <c r="E39" i="5" s="1"/>
  <c r="B39" i="5"/>
  <c r="H38" i="5"/>
  <c r="G38" i="5"/>
  <c r="F38" i="5"/>
  <c r="D38" i="5"/>
  <c r="E38" i="5" s="1"/>
  <c r="B38" i="5"/>
  <c r="J32" i="3"/>
  <c r="K32" i="3" s="1"/>
  <c r="I38" i="5" s="1"/>
  <c r="J33" i="3"/>
  <c r="K33" i="3" s="1"/>
  <c r="I39" i="5" s="1"/>
  <c r="J34" i="3"/>
  <c r="K34" i="3" s="1"/>
  <c r="I40" i="5" s="1"/>
  <c r="J35" i="3"/>
  <c r="K35" i="3" s="1"/>
  <c r="I41" i="5" s="1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H29" i="5"/>
  <c r="G29" i="5"/>
  <c r="F29" i="5"/>
  <c r="D29" i="5"/>
  <c r="E29" i="5" s="1"/>
  <c r="B29" i="5"/>
  <c r="J23" i="3"/>
  <c r="K23" i="3" s="1"/>
  <c r="I29" i="5" s="1"/>
  <c r="H20" i="5"/>
  <c r="G20" i="5"/>
  <c r="F20" i="5"/>
  <c r="D20" i="5"/>
  <c r="E20" i="5" s="1"/>
  <c r="B20" i="5"/>
  <c r="J14" i="3"/>
  <c r="K14" i="3" s="1"/>
  <c r="I20" i="5" s="1"/>
  <c r="H21" i="5"/>
  <c r="G21" i="5"/>
  <c r="F21" i="5"/>
  <c r="D21" i="5"/>
  <c r="E21" i="5" s="1"/>
  <c r="B21" i="5"/>
  <c r="H17" i="5"/>
  <c r="G17" i="5"/>
  <c r="F17" i="5"/>
  <c r="D17" i="5"/>
  <c r="E17" i="5"/>
  <c r="B17" i="5"/>
  <c r="J8" i="3"/>
  <c r="K8" i="3" s="1"/>
  <c r="I14" i="5" s="1"/>
  <c r="J9" i="3"/>
  <c r="K9" i="3" s="1"/>
  <c r="I15" i="5" s="1"/>
  <c r="J10" i="3"/>
  <c r="K10" i="3" s="1"/>
  <c r="I16" i="5" s="1"/>
  <c r="J11" i="3"/>
  <c r="K11" i="3" s="1"/>
  <c r="I17" i="5" s="1"/>
  <c r="J12" i="3"/>
  <c r="K12" i="3" s="1"/>
  <c r="I18" i="5" s="1"/>
  <c r="J13" i="3"/>
  <c r="K13" i="3" s="1"/>
  <c r="I19" i="5" s="1"/>
  <c r="J15" i="3"/>
  <c r="K15" i="3" s="1"/>
  <c r="I21" i="5" s="1"/>
  <c r="J16" i="3"/>
  <c r="K16" i="3" s="1"/>
  <c r="I22" i="5" s="1"/>
  <c r="J17" i="3"/>
  <c r="K17" i="3" s="1"/>
  <c r="I23" i="5" s="1"/>
  <c r="J18" i="3"/>
  <c r="K18" i="3" s="1"/>
  <c r="I24" i="5" s="1"/>
  <c r="J19" i="3"/>
  <c r="K19" i="3" s="1"/>
  <c r="I25" i="5" s="1"/>
  <c r="J20" i="3"/>
  <c r="K20" i="3" s="1"/>
  <c r="I26" i="5" s="1"/>
  <c r="J21" i="3"/>
  <c r="K21" i="3" s="1"/>
  <c r="I27" i="5" s="1"/>
  <c r="K22" i="3"/>
  <c r="I28" i="5" s="1"/>
  <c r="J24" i="3"/>
  <c r="K24" i="3" s="1"/>
  <c r="I30" i="5" s="1"/>
  <c r="J25" i="3"/>
  <c r="K25" i="3" s="1"/>
  <c r="I31" i="5" s="1"/>
  <c r="J26" i="3"/>
  <c r="K26" i="3" s="1"/>
  <c r="I32" i="5" s="1"/>
  <c r="J27" i="3"/>
  <c r="K27" i="3" s="1"/>
  <c r="I33" i="5" s="1"/>
  <c r="J28" i="3"/>
  <c r="K28" i="3" s="1"/>
  <c r="I34" i="5" s="1"/>
  <c r="J29" i="3"/>
  <c r="K29" i="3" s="1"/>
  <c r="I35" i="5" s="1"/>
  <c r="J31" i="3"/>
  <c r="K31" i="3" s="1"/>
  <c r="I37" i="5" s="1"/>
  <c r="J36" i="3"/>
  <c r="K36" i="3" s="1"/>
  <c r="I42" i="5" s="1"/>
  <c r="J37" i="3"/>
  <c r="K37" i="3"/>
  <c r="I43" i="5" s="1"/>
  <c r="J38" i="3"/>
  <c r="K38" i="3"/>
  <c r="I44" i="5" s="1"/>
  <c r="J42" i="3"/>
  <c r="E47" i="5" s="1"/>
  <c r="L42" i="3"/>
  <c r="J43" i="3"/>
  <c r="E48" i="5" s="1"/>
  <c r="K43" i="3"/>
  <c r="L43" i="3"/>
  <c r="J44" i="3"/>
  <c r="E49" i="5" s="1"/>
  <c r="L44" i="3"/>
  <c r="J45" i="3"/>
  <c r="E50" i="5" s="1"/>
  <c r="K45" i="3"/>
  <c r="L45" i="3"/>
  <c r="J46" i="3"/>
  <c r="E51" i="5" s="1"/>
  <c r="K46" i="3"/>
  <c r="L46" i="3"/>
  <c r="J47" i="3"/>
  <c r="E52" i="5" s="1"/>
  <c r="K47" i="3"/>
  <c r="L47" i="3"/>
  <c r="J48" i="3"/>
  <c r="E53" i="5" s="1"/>
  <c r="K48" i="3"/>
  <c r="L48" i="3"/>
  <c r="J49" i="3"/>
  <c r="E54" i="5" s="1"/>
  <c r="K49" i="3"/>
  <c r="L49" i="3"/>
  <c r="J50" i="3"/>
  <c r="E55" i="5" s="1"/>
  <c r="K50" i="3"/>
  <c r="L50" i="3"/>
  <c r="J51" i="3"/>
  <c r="E56" i="5" s="1"/>
  <c r="K51" i="3"/>
  <c r="L51" i="3"/>
  <c r="J52" i="3"/>
  <c r="E57" i="5" s="1"/>
  <c r="K52" i="3"/>
  <c r="L52" i="3"/>
  <c r="J53" i="3"/>
  <c r="E58" i="5" s="1"/>
  <c r="K53" i="3"/>
  <c r="L53" i="3"/>
  <c r="J54" i="3"/>
  <c r="E59" i="5" s="1"/>
  <c r="K54" i="3"/>
  <c r="L54" i="3"/>
  <c r="J55" i="3"/>
  <c r="E60" i="5" s="1"/>
  <c r="K55" i="3"/>
  <c r="L55" i="3"/>
  <c r="J56" i="3"/>
  <c r="E61" i="5" s="1"/>
  <c r="K56" i="3"/>
  <c r="L56" i="3"/>
  <c r="J57" i="3"/>
  <c r="E62" i="5" s="1"/>
  <c r="K57" i="3"/>
  <c r="L57" i="3"/>
  <c r="J58" i="3"/>
  <c r="E63" i="5" s="1"/>
  <c r="K58" i="3"/>
  <c r="L58" i="3"/>
  <c r="J59" i="3"/>
  <c r="E64" i="5" s="1"/>
  <c r="K59" i="3"/>
  <c r="L59" i="3"/>
  <c r="J60" i="3"/>
  <c r="E65" i="5" s="1"/>
  <c r="K60" i="3"/>
  <c r="L60" i="3"/>
  <c r="J61" i="3"/>
  <c r="E66" i="5" s="1"/>
  <c r="K61" i="3"/>
  <c r="L61" i="3"/>
  <c r="J62" i="3"/>
  <c r="E67" i="5" s="1"/>
  <c r="K62" i="3"/>
  <c r="L62" i="3"/>
  <c r="J63" i="3"/>
  <c r="E68" i="5" s="1"/>
  <c r="K63" i="3"/>
  <c r="L63" i="3"/>
  <c r="J64" i="3"/>
  <c r="E69" i="5" s="1"/>
  <c r="K64" i="3"/>
  <c r="L64" i="3"/>
  <c r="A4" i="2"/>
  <c r="A5" i="2"/>
  <c r="A6" i="2"/>
  <c r="I17" i="2"/>
  <c r="G17" i="2" s="1"/>
  <c r="J17" i="2"/>
  <c r="I19" i="2"/>
  <c r="G19" i="2" s="1"/>
  <c r="J19" i="2"/>
  <c r="I27" i="2"/>
  <c r="G27" i="2" s="1"/>
  <c r="J27" i="2"/>
  <c r="I32" i="2"/>
  <c r="G32" i="2" s="1"/>
  <c r="J32" i="2"/>
  <c r="I31" i="2"/>
  <c r="H31" i="2" s="1"/>
  <c r="L31" i="2" s="1"/>
  <c r="J31" i="2"/>
  <c r="I33" i="2"/>
  <c r="G33" i="2" s="1"/>
  <c r="J33" i="2"/>
  <c r="I40" i="2"/>
  <c r="G40" i="2" s="1"/>
  <c r="J40" i="2"/>
  <c r="I79" i="2"/>
  <c r="G79" i="2" s="1"/>
  <c r="J79" i="2"/>
  <c r="I81" i="2"/>
  <c r="G81" i="2" s="1"/>
  <c r="J81" i="2"/>
  <c r="I87" i="2"/>
  <c r="G87" i="2" s="1"/>
  <c r="J87" i="2"/>
  <c r="I88" i="2"/>
  <c r="G88" i="2" s="1"/>
  <c r="J88" i="2"/>
  <c r="I92" i="2"/>
  <c r="J92" i="2"/>
  <c r="I93" i="2"/>
  <c r="G93" i="2" s="1"/>
  <c r="J93" i="2"/>
  <c r="I96" i="2"/>
  <c r="G96" i="2" s="1"/>
  <c r="J96" i="2"/>
  <c r="I282" i="2"/>
  <c r="H282" i="2" s="1"/>
  <c r="J282" i="2"/>
  <c r="I302" i="2"/>
  <c r="G302" i="2" s="1"/>
  <c r="J302" i="2"/>
  <c r="I342" i="2"/>
  <c r="G342" i="2" s="1"/>
  <c r="J342" i="2"/>
  <c r="F353" i="2"/>
  <c r="H353" i="2"/>
  <c r="I353" i="2"/>
  <c r="G353" i="2" s="1"/>
  <c r="J353" i="2"/>
  <c r="I355" i="2"/>
  <c r="G355" i="2" s="1"/>
  <c r="J355" i="2"/>
  <c r="I356" i="2"/>
  <c r="G356" i="2" s="1"/>
  <c r="J356" i="2"/>
  <c r="I358" i="2"/>
  <c r="G358" i="2" s="1"/>
  <c r="J358" i="2"/>
  <c r="I359" i="2"/>
  <c r="G359" i="2" s="1"/>
  <c r="J359" i="2"/>
  <c r="I360" i="2"/>
  <c r="G360" i="2" s="1"/>
  <c r="J360" i="2"/>
  <c r="I361" i="2"/>
  <c r="G361" i="2" s="1"/>
  <c r="J361" i="2"/>
  <c r="I362" i="2"/>
  <c r="G362" i="2" s="1"/>
  <c r="J362" i="2"/>
  <c r="I363" i="2"/>
  <c r="F363" i="2" s="1"/>
  <c r="J363" i="2"/>
  <c r="I364" i="2"/>
  <c r="G364" i="2" s="1"/>
  <c r="J364" i="2"/>
  <c r="I365" i="2"/>
  <c r="G365" i="2" s="1"/>
  <c r="J365" i="2"/>
  <c r="I366" i="2"/>
  <c r="G366" i="2" s="1"/>
  <c r="J366" i="2"/>
  <c r="I387" i="2"/>
  <c r="G387" i="2" s="1"/>
  <c r="J387" i="2"/>
  <c r="I388" i="2"/>
  <c r="G388" i="2" s="1"/>
  <c r="J388" i="2"/>
  <c r="I389" i="2"/>
  <c r="G389" i="2" s="1"/>
  <c r="J389" i="2"/>
  <c r="I390" i="2"/>
  <c r="G390" i="2" s="1"/>
  <c r="J390" i="2"/>
  <c r="I392" i="2"/>
  <c r="G392" i="2" s="1"/>
  <c r="J392" i="2"/>
  <c r="I393" i="2"/>
  <c r="G393" i="2" s="1"/>
  <c r="J393" i="2"/>
  <c r="I395" i="2"/>
  <c r="G395" i="2" s="1"/>
  <c r="J395" i="2"/>
  <c r="I396" i="2"/>
  <c r="G396" i="2" s="1"/>
  <c r="J396" i="2"/>
  <c r="I397" i="2"/>
  <c r="G397" i="2" s="1"/>
  <c r="J397" i="2"/>
  <c r="I398" i="2"/>
  <c r="G398" i="2" s="1"/>
  <c r="J398" i="2"/>
  <c r="I399" i="2"/>
  <c r="G399" i="2" s="1"/>
  <c r="J399" i="2"/>
  <c r="I400" i="2"/>
  <c r="G400" i="2" s="1"/>
  <c r="J400" i="2"/>
  <c r="I401" i="2"/>
  <c r="G401" i="2" s="1"/>
  <c r="J401" i="2"/>
  <c r="I402" i="2"/>
  <c r="G402" i="2" s="1"/>
  <c r="J402" i="2"/>
  <c r="I403" i="2"/>
  <c r="G403" i="2" s="1"/>
  <c r="J403" i="2"/>
  <c r="I404" i="2"/>
  <c r="G404" i="2" s="1"/>
  <c r="J404" i="2"/>
  <c r="I405" i="2"/>
  <c r="G405" i="2" s="1"/>
  <c r="J405" i="2"/>
  <c r="I406" i="2"/>
  <c r="G406" i="2" s="1"/>
  <c r="J406" i="2"/>
  <c r="I407" i="2"/>
  <c r="G407" i="2" s="1"/>
  <c r="J407" i="2"/>
  <c r="I408" i="2"/>
  <c r="G408" i="2" s="1"/>
  <c r="J408" i="2"/>
  <c r="I409" i="2"/>
  <c r="G409" i="2" s="1"/>
  <c r="J409" i="2"/>
  <c r="F417" i="2"/>
  <c r="H417" i="2"/>
  <c r="I417" i="2"/>
  <c r="G417" i="2" s="1"/>
  <c r="J417" i="2"/>
  <c r="F418" i="2"/>
  <c r="H418" i="2"/>
  <c r="I418" i="2"/>
  <c r="G418" i="2" s="1"/>
  <c r="J418" i="2"/>
  <c r="I419" i="2"/>
  <c r="G419" i="2" s="1"/>
  <c r="J419" i="2"/>
  <c r="I420" i="2"/>
  <c r="G420" i="2" s="1"/>
  <c r="J420" i="2"/>
  <c r="F421" i="2"/>
  <c r="H421" i="2"/>
  <c r="I421" i="2"/>
  <c r="G421" i="2" s="1"/>
  <c r="J421" i="2"/>
  <c r="F422" i="2"/>
  <c r="H422" i="2"/>
  <c r="I422" i="2"/>
  <c r="G422" i="2" s="1"/>
  <c r="J422" i="2"/>
  <c r="I423" i="2"/>
  <c r="G423" i="2" s="1"/>
  <c r="J423" i="2"/>
  <c r="F424" i="2"/>
  <c r="H424" i="2"/>
  <c r="I424" i="2"/>
  <c r="G424" i="2" s="1"/>
  <c r="J424" i="2"/>
  <c r="F425" i="2"/>
  <c r="H425" i="2"/>
  <c r="I425" i="2"/>
  <c r="G425" i="2" s="1"/>
  <c r="J425" i="2"/>
  <c r="F426" i="2"/>
  <c r="H426" i="2"/>
  <c r="I426" i="2"/>
  <c r="G426" i="2" s="1"/>
  <c r="J426" i="2"/>
  <c r="F427" i="2"/>
  <c r="H427" i="2"/>
  <c r="I427" i="2"/>
  <c r="G427" i="2" s="1"/>
  <c r="J427" i="2"/>
  <c r="F428" i="2"/>
  <c r="H428" i="2"/>
  <c r="I428" i="2"/>
  <c r="G428" i="2" s="1"/>
  <c r="J428" i="2"/>
  <c r="F429" i="2"/>
  <c r="H429" i="2"/>
  <c r="I429" i="2"/>
  <c r="G429" i="2" s="1"/>
  <c r="J429" i="2"/>
  <c r="F430" i="2"/>
  <c r="H430" i="2"/>
  <c r="I430" i="2"/>
  <c r="G430" i="2" s="1"/>
  <c r="J430" i="2"/>
  <c r="F431" i="2"/>
  <c r="H431" i="2"/>
  <c r="I431" i="2"/>
  <c r="G431" i="2" s="1"/>
  <c r="J431" i="2"/>
  <c r="F432" i="2"/>
  <c r="H432" i="2"/>
  <c r="I432" i="2"/>
  <c r="G432" i="2" s="1"/>
  <c r="J432" i="2"/>
  <c r="F433" i="2"/>
  <c r="H433" i="2"/>
  <c r="I433" i="2"/>
  <c r="G433" i="2" s="1"/>
  <c r="J433" i="2"/>
  <c r="F434" i="2"/>
  <c r="H434" i="2"/>
  <c r="I434" i="2"/>
  <c r="G434" i="2" s="1"/>
  <c r="J434" i="2"/>
  <c r="F435" i="2"/>
  <c r="H435" i="2"/>
  <c r="I435" i="2"/>
  <c r="G435" i="2" s="1"/>
  <c r="J435" i="2"/>
  <c r="F436" i="2"/>
  <c r="H436" i="2"/>
  <c r="I436" i="2"/>
  <c r="G436" i="2" s="1"/>
  <c r="J436" i="2"/>
  <c r="F437" i="2"/>
  <c r="H437" i="2"/>
  <c r="I437" i="2"/>
  <c r="G437" i="2" s="1"/>
  <c r="J437" i="2"/>
  <c r="F438" i="2"/>
  <c r="H438" i="2"/>
  <c r="I438" i="2"/>
  <c r="G438" i="2" s="1"/>
  <c r="J438" i="2"/>
  <c r="F439" i="2"/>
  <c r="H439" i="2"/>
  <c r="I439" i="2"/>
  <c r="G439" i="2" s="1"/>
  <c r="J439" i="2"/>
  <c r="F440" i="2"/>
  <c r="H440" i="2"/>
  <c r="I440" i="2"/>
  <c r="G440" i="2" s="1"/>
  <c r="J440" i="2"/>
  <c r="F441" i="2"/>
  <c r="H441" i="2"/>
  <c r="I441" i="2"/>
  <c r="G441" i="2" s="1"/>
  <c r="J441" i="2"/>
  <c r="F442" i="2"/>
  <c r="H442" i="2"/>
  <c r="I442" i="2"/>
  <c r="G442" i="2" s="1"/>
  <c r="J442" i="2"/>
  <c r="F443" i="2"/>
  <c r="H443" i="2"/>
  <c r="I443" i="2"/>
  <c r="G443" i="2" s="1"/>
  <c r="J443" i="2"/>
  <c r="F444" i="2"/>
  <c r="H444" i="2"/>
  <c r="I444" i="2"/>
  <c r="G444" i="2" s="1"/>
  <c r="J444" i="2"/>
  <c r="F445" i="2"/>
  <c r="H445" i="2"/>
  <c r="I445" i="2"/>
  <c r="G445" i="2" s="1"/>
  <c r="J445" i="2"/>
  <c r="F446" i="2"/>
  <c r="H446" i="2"/>
  <c r="I446" i="2"/>
  <c r="G446" i="2" s="1"/>
  <c r="J446" i="2"/>
  <c r="F447" i="2"/>
  <c r="H447" i="2"/>
  <c r="I447" i="2"/>
  <c r="G447" i="2" s="1"/>
  <c r="J447" i="2"/>
  <c r="F448" i="2"/>
  <c r="H448" i="2"/>
  <c r="I448" i="2"/>
  <c r="G448" i="2" s="1"/>
  <c r="J448" i="2"/>
  <c r="F449" i="2"/>
  <c r="H449" i="2"/>
  <c r="I449" i="2"/>
  <c r="G449" i="2" s="1"/>
  <c r="J449" i="2"/>
  <c r="F450" i="2"/>
  <c r="H450" i="2"/>
  <c r="I450" i="2"/>
  <c r="G450" i="2" s="1"/>
  <c r="J450" i="2"/>
  <c r="F451" i="2"/>
  <c r="H451" i="2"/>
  <c r="I451" i="2"/>
  <c r="G451" i="2" s="1"/>
  <c r="J451" i="2"/>
  <c r="F452" i="2"/>
  <c r="H452" i="2"/>
  <c r="I452" i="2"/>
  <c r="G452" i="2" s="1"/>
  <c r="J452" i="2"/>
  <c r="F453" i="2"/>
  <c r="H453" i="2"/>
  <c r="I453" i="2"/>
  <c r="G453" i="2" s="1"/>
  <c r="J453" i="2"/>
  <c r="F454" i="2"/>
  <c r="H454" i="2"/>
  <c r="I454" i="2"/>
  <c r="G454" i="2" s="1"/>
  <c r="J454" i="2"/>
  <c r="F455" i="2"/>
  <c r="H455" i="2"/>
  <c r="I455" i="2"/>
  <c r="G455" i="2" s="1"/>
  <c r="J455" i="2"/>
  <c r="F456" i="2"/>
  <c r="H456" i="2"/>
  <c r="I456" i="2"/>
  <c r="G456" i="2" s="1"/>
  <c r="J456" i="2"/>
  <c r="F457" i="2"/>
  <c r="H457" i="2"/>
  <c r="I457" i="2"/>
  <c r="G457" i="2" s="1"/>
  <c r="J457" i="2"/>
  <c r="F458" i="2"/>
  <c r="H458" i="2"/>
  <c r="I458" i="2"/>
  <c r="G458" i="2" s="1"/>
  <c r="J458" i="2"/>
  <c r="F459" i="2"/>
  <c r="H459" i="2"/>
  <c r="I459" i="2"/>
  <c r="G459" i="2" s="1"/>
  <c r="J459" i="2"/>
  <c r="F460" i="2"/>
  <c r="H460" i="2"/>
  <c r="I460" i="2"/>
  <c r="G460" i="2" s="1"/>
  <c r="J460" i="2"/>
  <c r="F461" i="2"/>
  <c r="H461" i="2"/>
  <c r="I461" i="2"/>
  <c r="G461" i="2" s="1"/>
  <c r="J461" i="2"/>
  <c r="F462" i="2"/>
  <c r="H462" i="2"/>
  <c r="I462" i="2"/>
  <c r="G462" i="2" s="1"/>
  <c r="J462" i="2"/>
  <c r="F463" i="2"/>
  <c r="H463" i="2"/>
  <c r="I463" i="2"/>
  <c r="G463" i="2" s="1"/>
  <c r="J463" i="2"/>
  <c r="F464" i="2"/>
  <c r="H464" i="2"/>
  <c r="I464" i="2"/>
  <c r="G464" i="2" s="1"/>
  <c r="J464" i="2"/>
  <c r="F465" i="2"/>
  <c r="H465" i="2"/>
  <c r="I465" i="2"/>
  <c r="G465" i="2" s="1"/>
  <c r="J465" i="2"/>
  <c r="F466" i="2"/>
  <c r="H466" i="2"/>
  <c r="I466" i="2"/>
  <c r="G466" i="2" s="1"/>
  <c r="J466" i="2"/>
  <c r="F467" i="2"/>
  <c r="H467" i="2"/>
  <c r="I467" i="2"/>
  <c r="G467" i="2" s="1"/>
  <c r="J467" i="2"/>
  <c r="F468" i="2"/>
  <c r="H468" i="2"/>
  <c r="I468" i="2"/>
  <c r="G468" i="2" s="1"/>
  <c r="J468" i="2"/>
  <c r="F469" i="2"/>
  <c r="H469" i="2"/>
  <c r="I469" i="2"/>
  <c r="G469" i="2" s="1"/>
  <c r="J469" i="2"/>
  <c r="F470" i="2"/>
  <c r="H470" i="2"/>
  <c r="I470" i="2"/>
  <c r="G470" i="2" s="1"/>
  <c r="J470" i="2"/>
  <c r="F471" i="2"/>
  <c r="H471" i="2"/>
  <c r="I471" i="2"/>
  <c r="G471" i="2" s="1"/>
  <c r="J471" i="2"/>
  <c r="F472" i="2"/>
  <c r="H472" i="2"/>
  <c r="I472" i="2"/>
  <c r="G472" i="2" s="1"/>
  <c r="J472" i="2"/>
  <c r="F473" i="2"/>
  <c r="H473" i="2"/>
  <c r="I473" i="2"/>
  <c r="G473" i="2" s="1"/>
  <c r="J473" i="2"/>
  <c r="F474" i="2"/>
  <c r="H474" i="2"/>
  <c r="I474" i="2"/>
  <c r="G474" i="2" s="1"/>
  <c r="J474" i="2"/>
  <c r="F475" i="2"/>
  <c r="H475" i="2"/>
  <c r="I475" i="2"/>
  <c r="G475" i="2" s="1"/>
  <c r="J475" i="2"/>
  <c r="F476" i="2"/>
  <c r="H476" i="2"/>
  <c r="I476" i="2"/>
  <c r="G476" i="2" s="1"/>
  <c r="J476" i="2"/>
  <c r="F477" i="2"/>
  <c r="H477" i="2"/>
  <c r="I477" i="2"/>
  <c r="G477" i="2" s="1"/>
  <c r="J477" i="2"/>
  <c r="F478" i="2"/>
  <c r="H478" i="2"/>
  <c r="I478" i="2"/>
  <c r="G478" i="2" s="1"/>
  <c r="J478" i="2"/>
  <c r="F479" i="2"/>
  <c r="H479" i="2"/>
  <c r="I479" i="2"/>
  <c r="G479" i="2" s="1"/>
  <c r="J479" i="2"/>
  <c r="F480" i="2"/>
  <c r="H480" i="2"/>
  <c r="I480" i="2"/>
  <c r="G480" i="2" s="1"/>
  <c r="J480" i="2"/>
  <c r="F481" i="2"/>
  <c r="H481" i="2"/>
  <c r="I481" i="2"/>
  <c r="G481" i="2" s="1"/>
  <c r="J481" i="2"/>
  <c r="F482" i="2"/>
  <c r="H482" i="2"/>
  <c r="I482" i="2"/>
  <c r="G482" i="2" s="1"/>
  <c r="J482" i="2"/>
  <c r="F483" i="2"/>
  <c r="H483" i="2"/>
  <c r="I483" i="2"/>
  <c r="G483" i="2" s="1"/>
  <c r="J483" i="2"/>
  <c r="F484" i="2"/>
  <c r="H484" i="2"/>
  <c r="I484" i="2"/>
  <c r="G484" i="2" s="1"/>
  <c r="J484" i="2"/>
  <c r="F485" i="2"/>
  <c r="H485" i="2"/>
  <c r="I485" i="2"/>
  <c r="G485" i="2" s="1"/>
  <c r="J485" i="2"/>
  <c r="F486" i="2"/>
  <c r="H486" i="2"/>
  <c r="I486" i="2"/>
  <c r="G486" i="2" s="1"/>
  <c r="J486" i="2"/>
  <c r="F487" i="2"/>
  <c r="H487" i="2"/>
  <c r="I487" i="2"/>
  <c r="G487" i="2" s="1"/>
  <c r="J487" i="2"/>
  <c r="F488" i="2"/>
  <c r="H488" i="2"/>
  <c r="I488" i="2"/>
  <c r="G488" i="2" s="1"/>
  <c r="J488" i="2"/>
  <c r="F489" i="2"/>
  <c r="H489" i="2"/>
  <c r="I489" i="2"/>
  <c r="G489" i="2" s="1"/>
  <c r="J489" i="2"/>
  <c r="F490" i="2"/>
  <c r="H490" i="2"/>
  <c r="I490" i="2"/>
  <c r="G490" i="2" s="1"/>
  <c r="J490" i="2"/>
  <c r="F491" i="2"/>
  <c r="H491" i="2"/>
  <c r="I491" i="2"/>
  <c r="G491" i="2" s="1"/>
  <c r="J491" i="2"/>
  <c r="F492" i="2"/>
  <c r="H492" i="2"/>
  <c r="I492" i="2"/>
  <c r="G492" i="2" s="1"/>
  <c r="J492" i="2"/>
  <c r="F493" i="2"/>
  <c r="H493" i="2"/>
  <c r="I493" i="2"/>
  <c r="G493" i="2" s="1"/>
  <c r="J493" i="2"/>
  <c r="F494" i="2"/>
  <c r="H494" i="2"/>
  <c r="I494" i="2"/>
  <c r="G494" i="2" s="1"/>
  <c r="J494" i="2"/>
  <c r="F495" i="2"/>
  <c r="H495" i="2"/>
  <c r="I495" i="2"/>
  <c r="G495" i="2" s="1"/>
  <c r="J495" i="2"/>
  <c r="F496" i="2"/>
  <c r="H496" i="2"/>
  <c r="I496" i="2"/>
  <c r="G496" i="2" s="1"/>
  <c r="J496" i="2"/>
  <c r="F497" i="2"/>
  <c r="H497" i="2"/>
  <c r="I497" i="2"/>
  <c r="G497" i="2" s="1"/>
  <c r="J497" i="2"/>
  <c r="F498" i="2"/>
  <c r="H498" i="2"/>
  <c r="I498" i="2"/>
  <c r="G498" i="2" s="1"/>
  <c r="J498" i="2"/>
  <c r="F499" i="2"/>
  <c r="H499" i="2"/>
  <c r="I499" i="2"/>
  <c r="G499" i="2" s="1"/>
  <c r="J499" i="2"/>
  <c r="F500" i="2"/>
  <c r="H500" i="2"/>
  <c r="I500" i="2"/>
  <c r="G500" i="2" s="1"/>
  <c r="J500" i="2"/>
  <c r="F501" i="2"/>
  <c r="H501" i="2"/>
  <c r="I501" i="2"/>
  <c r="G501" i="2" s="1"/>
  <c r="J501" i="2"/>
  <c r="F502" i="2"/>
  <c r="H502" i="2"/>
  <c r="I502" i="2"/>
  <c r="G502" i="2" s="1"/>
  <c r="J502" i="2"/>
  <c r="F503" i="2"/>
  <c r="H503" i="2"/>
  <c r="I503" i="2"/>
  <c r="G503" i="2" s="1"/>
  <c r="J503" i="2"/>
  <c r="F504" i="2"/>
  <c r="H504" i="2"/>
  <c r="I504" i="2"/>
  <c r="G504" i="2" s="1"/>
  <c r="J504" i="2"/>
  <c r="F505" i="2"/>
  <c r="H505" i="2"/>
  <c r="I505" i="2"/>
  <c r="G505" i="2" s="1"/>
  <c r="J505" i="2"/>
  <c r="F506" i="2"/>
  <c r="H506" i="2"/>
  <c r="I506" i="2"/>
  <c r="G506" i="2" s="1"/>
  <c r="J506" i="2"/>
  <c r="F507" i="2"/>
  <c r="H507" i="2"/>
  <c r="I507" i="2"/>
  <c r="G507" i="2" s="1"/>
  <c r="J507" i="2"/>
  <c r="F508" i="2"/>
  <c r="H508" i="2"/>
  <c r="I508" i="2"/>
  <c r="G508" i="2" s="1"/>
  <c r="J508" i="2"/>
  <c r="F509" i="2"/>
  <c r="H509" i="2"/>
  <c r="I509" i="2"/>
  <c r="G509" i="2" s="1"/>
  <c r="J509" i="2"/>
  <c r="F510" i="2"/>
  <c r="H510" i="2"/>
  <c r="I510" i="2"/>
  <c r="G510" i="2" s="1"/>
  <c r="J510" i="2"/>
  <c r="F511" i="2"/>
  <c r="H511" i="2"/>
  <c r="I511" i="2"/>
  <c r="G511" i="2" s="1"/>
  <c r="J511" i="2"/>
  <c r="F512" i="2"/>
  <c r="H512" i="2"/>
  <c r="I512" i="2"/>
  <c r="G512" i="2" s="1"/>
  <c r="J512" i="2"/>
  <c r="F513" i="2"/>
  <c r="H513" i="2"/>
  <c r="I513" i="2"/>
  <c r="G513" i="2" s="1"/>
  <c r="J513" i="2"/>
  <c r="F514" i="2"/>
  <c r="H514" i="2"/>
  <c r="I514" i="2"/>
  <c r="G514" i="2" s="1"/>
  <c r="J514" i="2"/>
  <c r="F515" i="2"/>
  <c r="H515" i="2"/>
  <c r="I515" i="2"/>
  <c r="G515" i="2" s="1"/>
  <c r="J515" i="2"/>
  <c r="F516" i="2"/>
  <c r="H516" i="2"/>
  <c r="I516" i="2"/>
  <c r="G516" i="2" s="1"/>
  <c r="J516" i="2"/>
  <c r="F517" i="2"/>
  <c r="H517" i="2"/>
  <c r="I517" i="2"/>
  <c r="G517" i="2" s="1"/>
  <c r="J517" i="2"/>
  <c r="F518" i="2"/>
  <c r="H518" i="2"/>
  <c r="I518" i="2"/>
  <c r="G518" i="2" s="1"/>
  <c r="J518" i="2"/>
  <c r="F519" i="2"/>
  <c r="H519" i="2"/>
  <c r="I519" i="2"/>
  <c r="G519" i="2" s="1"/>
  <c r="J519" i="2"/>
  <c r="F520" i="2"/>
  <c r="H520" i="2"/>
  <c r="I520" i="2"/>
  <c r="G520" i="2" s="1"/>
  <c r="J520" i="2"/>
  <c r="F521" i="2"/>
  <c r="H521" i="2"/>
  <c r="I521" i="2"/>
  <c r="G521" i="2" s="1"/>
  <c r="J521" i="2"/>
  <c r="F522" i="2"/>
  <c r="H522" i="2"/>
  <c r="I522" i="2"/>
  <c r="G522" i="2" s="1"/>
  <c r="J522" i="2"/>
  <c r="F523" i="2"/>
  <c r="H523" i="2"/>
  <c r="I523" i="2"/>
  <c r="G523" i="2" s="1"/>
  <c r="J523" i="2"/>
  <c r="F524" i="2"/>
  <c r="H524" i="2"/>
  <c r="I524" i="2"/>
  <c r="G524" i="2" s="1"/>
  <c r="J524" i="2"/>
  <c r="F525" i="2"/>
  <c r="H525" i="2"/>
  <c r="I525" i="2"/>
  <c r="G525" i="2" s="1"/>
  <c r="J525" i="2"/>
  <c r="F526" i="2"/>
  <c r="H526" i="2"/>
  <c r="I526" i="2"/>
  <c r="G526" i="2" s="1"/>
  <c r="J526" i="2"/>
  <c r="F527" i="2"/>
  <c r="H527" i="2"/>
  <c r="I527" i="2"/>
  <c r="G527" i="2" s="1"/>
  <c r="J527" i="2"/>
  <c r="F528" i="2"/>
  <c r="H528" i="2"/>
  <c r="I528" i="2"/>
  <c r="G528" i="2" s="1"/>
  <c r="J528" i="2"/>
  <c r="F529" i="2"/>
  <c r="H529" i="2"/>
  <c r="I529" i="2"/>
  <c r="G529" i="2" s="1"/>
  <c r="J529" i="2"/>
  <c r="F530" i="2"/>
  <c r="H530" i="2"/>
  <c r="I530" i="2"/>
  <c r="G530" i="2" s="1"/>
  <c r="J530" i="2"/>
  <c r="F531" i="2"/>
  <c r="H531" i="2"/>
  <c r="I531" i="2"/>
  <c r="G531" i="2" s="1"/>
  <c r="J531" i="2"/>
  <c r="F532" i="2"/>
  <c r="H532" i="2"/>
  <c r="I532" i="2"/>
  <c r="G532" i="2" s="1"/>
  <c r="J532" i="2"/>
  <c r="F533" i="2"/>
  <c r="H533" i="2"/>
  <c r="I533" i="2"/>
  <c r="G533" i="2" s="1"/>
  <c r="J533" i="2"/>
  <c r="F534" i="2"/>
  <c r="H534" i="2"/>
  <c r="I534" i="2"/>
  <c r="G534" i="2" s="1"/>
  <c r="J534" i="2"/>
  <c r="F535" i="2"/>
  <c r="H535" i="2"/>
  <c r="I535" i="2"/>
  <c r="G535" i="2" s="1"/>
  <c r="J535" i="2"/>
  <c r="F536" i="2"/>
  <c r="H536" i="2"/>
  <c r="I536" i="2"/>
  <c r="G536" i="2" s="1"/>
  <c r="J536" i="2"/>
  <c r="F537" i="2"/>
  <c r="H537" i="2"/>
  <c r="I537" i="2"/>
  <c r="G537" i="2" s="1"/>
  <c r="J537" i="2"/>
  <c r="F538" i="2"/>
  <c r="H538" i="2"/>
  <c r="I538" i="2"/>
  <c r="G538" i="2" s="1"/>
  <c r="J538" i="2"/>
  <c r="F539" i="2"/>
  <c r="H539" i="2"/>
  <c r="I539" i="2"/>
  <c r="G539" i="2" s="1"/>
  <c r="J539" i="2"/>
  <c r="F540" i="2"/>
  <c r="H540" i="2"/>
  <c r="I540" i="2"/>
  <c r="G540" i="2" s="1"/>
  <c r="J540" i="2"/>
  <c r="F541" i="2"/>
  <c r="H541" i="2"/>
  <c r="I541" i="2"/>
  <c r="G541" i="2" s="1"/>
  <c r="J541" i="2"/>
  <c r="F542" i="2"/>
  <c r="H542" i="2"/>
  <c r="I542" i="2"/>
  <c r="G542" i="2" s="1"/>
  <c r="J542" i="2"/>
  <c r="F543" i="2"/>
  <c r="H543" i="2"/>
  <c r="I543" i="2"/>
  <c r="G543" i="2" s="1"/>
  <c r="J543" i="2"/>
  <c r="F544" i="2"/>
  <c r="H544" i="2"/>
  <c r="I544" i="2"/>
  <c r="G544" i="2" s="1"/>
  <c r="J544" i="2"/>
  <c r="F545" i="2"/>
  <c r="H545" i="2"/>
  <c r="I545" i="2"/>
  <c r="G545" i="2" s="1"/>
  <c r="J545" i="2"/>
  <c r="F546" i="2"/>
  <c r="H546" i="2"/>
  <c r="I546" i="2"/>
  <c r="G546" i="2" s="1"/>
  <c r="J546" i="2"/>
  <c r="F547" i="2"/>
  <c r="H547" i="2"/>
  <c r="I547" i="2"/>
  <c r="G547" i="2" s="1"/>
  <c r="J547" i="2"/>
  <c r="F548" i="2"/>
  <c r="H548" i="2"/>
  <c r="I548" i="2"/>
  <c r="G548" i="2" s="1"/>
  <c r="J548" i="2"/>
  <c r="F549" i="2"/>
  <c r="H549" i="2"/>
  <c r="I549" i="2"/>
  <c r="G549" i="2" s="1"/>
  <c r="J549" i="2"/>
  <c r="F550" i="2"/>
  <c r="H550" i="2"/>
  <c r="I550" i="2"/>
  <c r="G550" i="2" s="1"/>
  <c r="J550" i="2"/>
  <c r="F551" i="2"/>
  <c r="H551" i="2"/>
  <c r="I551" i="2"/>
  <c r="G551" i="2" s="1"/>
  <c r="J551" i="2"/>
  <c r="F552" i="2"/>
  <c r="H552" i="2"/>
  <c r="I552" i="2"/>
  <c r="G552" i="2" s="1"/>
  <c r="J552" i="2"/>
  <c r="F553" i="2"/>
  <c r="H553" i="2"/>
  <c r="I553" i="2"/>
  <c r="G553" i="2" s="1"/>
  <c r="J553" i="2"/>
  <c r="F554" i="2"/>
  <c r="H554" i="2"/>
  <c r="I554" i="2"/>
  <c r="G554" i="2" s="1"/>
  <c r="J554" i="2"/>
  <c r="F555" i="2"/>
  <c r="H555" i="2"/>
  <c r="I555" i="2"/>
  <c r="G555" i="2" s="1"/>
  <c r="J555" i="2"/>
  <c r="F556" i="2"/>
  <c r="H556" i="2"/>
  <c r="I556" i="2"/>
  <c r="G556" i="2" s="1"/>
  <c r="J556" i="2"/>
  <c r="F557" i="2"/>
  <c r="H557" i="2"/>
  <c r="I557" i="2"/>
  <c r="G557" i="2" s="1"/>
  <c r="J557" i="2"/>
  <c r="F558" i="2"/>
  <c r="H558" i="2"/>
  <c r="I558" i="2"/>
  <c r="G558" i="2" s="1"/>
  <c r="J558" i="2"/>
  <c r="F559" i="2"/>
  <c r="H559" i="2"/>
  <c r="I559" i="2"/>
  <c r="G559" i="2" s="1"/>
  <c r="J559" i="2"/>
  <c r="F560" i="2"/>
  <c r="H560" i="2"/>
  <c r="I560" i="2"/>
  <c r="G560" i="2" s="1"/>
  <c r="J560" i="2"/>
  <c r="F561" i="2"/>
  <c r="H561" i="2"/>
  <c r="I561" i="2"/>
  <c r="G561" i="2" s="1"/>
  <c r="J561" i="2"/>
  <c r="F562" i="2"/>
  <c r="H562" i="2"/>
  <c r="I562" i="2"/>
  <c r="G562" i="2" s="1"/>
  <c r="J562" i="2"/>
  <c r="F563" i="2"/>
  <c r="H563" i="2"/>
  <c r="I563" i="2"/>
  <c r="G563" i="2" s="1"/>
  <c r="J563" i="2"/>
  <c r="F564" i="2"/>
  <c r="H564" i="2"/>
  <c r="I564" i="2"/>
  <c r="G564" i="2" s="1"/>
  <c r="J564" i="2"/>
  <c r="F565" i="2"/>
  <c r="H565" i="2"/>
  <c r="I565" i="2"/>
  <c r="G565" i="2" s="1"/>
  <c r="J565" i="2"/>
  <c r="F566" i="2"/>
  <c r="H566" i="2"/>
  <c r="I566" i="2"/>
  <c r="G566" i="2" s="1"/>
  <c r="J566" i="2"/>
  <c r="F567" i="2"/>
  <c r="H567" i="2"/>
  <c r="I567" i="2"/>
  <c r="G567" i="2" s="1"/>
  <c r="J567" i="2"/>
  <c r="F568" i="2"/>
  <c r="H568" i="2"/>
  <c r="I568" i="2"/>
  <c r="G568" i="2" s="1"/>
  <c r="J568" i="2"/>
  <c r="F569" i="2"/>
  <c r="H569" i="2"/>
  <c r="I569" i="2"/>
  <c r="G569" i="2" s="1"/>
  <c r="J569" i="2"/>
  <c r="F570" i="2"/>
  <c r="H570" i="2"/>
  <c r="I570" i="2"/>
  <c r="G570" i="2" s="1"/>
  <c r="J570" i="2"/>
  <c r="F571" i="2"/>
  <c r="H571" i="2"/>
  <c r="I571" i="2"/>
  <c r="G571" i="2" s="1"/>
  <c r="J571" i="2"/>
  <c r="F572" i="2"/>
  <c r="H572" i="2"/>
  <c r="I572" i="2"/>
  <c r="G572" i="2" s="1"/>
  <c r="J572" i="2"/>
  <c r="F573" i="2"/>
  <c r="H573" i="2"/>
  <c r="I573" i="2"/>
  <c r="G573" i="2" s="1"/>
  <c r="J573" i="2"/>
  <c r="F574" i="2"/>
  <c r="H574" i="2"/>
  <c r="I574" i="2"/>
  <c r="G574" i="2" s="1"/>
  <c r="J574" i="2"/>
  <c r="F575" i="2"/>
  <c r="H575" i="2"/>
  <c r="I575" i="2"/>
  <c r="G575" i="2" s="1"/>
  <c r="J575" i="2"/>
  <c r="F576" i="2"/>
  <c r="H576" i="2"/>
  <c r="I576" i="2"/>
  <c r="G576" i="2" s="1"/>
  <c r="J576" i="2"/>
  <c r="F577" i="2"/>
  <c r="H577" i="2"/>
  <c r="I577" i="2"/>
  <c r="G577" i="2" s="1"/>
  <c r="J577" i="2"/>
  <c r="F578" i="2"/>
  <c r="H578" i="2"/>
  <c r="I578" i="2"/>
  <c r="G578" i="2" s="1"/>
  <c r="J578" i="2"/>
  <c r="F579" i="2"/>
  <c r="H579" i="2"/>
  <c r="I579" i="2"/>
  <c r="G579" i="2" s="1"/>
  <c r="J579" i="2"/>
  <c r="F580" i="2"/>
  <c r="H580" i="2"/>
  <c r="I580" i="2"/>
  <c r="G580" i="2" s="1"/>
  <c r="J580" i="2"/>
  <c r="F581" i="2"/>
  <c r="H581" i="2"/>
  <c r="I581" i="2"/>
  <c r="G581" i="2" s="1"/>
  <c r="J581" i="2"/>
  <c r="F582" i="2"/>
  <c r="H582" i="2"/>
  <c r="I582" i="2"/>
  <c r="G582" i="2" s="1"/>
  <c r="J582" i="2"/>
  <c r="F583" i="2"/>
  <c r="H583" i="2"/>
  <c r="I583" i="2"/>
  <c r="G583" i="2" s="1"/>
  <c r="J583" i="2"/>
  <c r="F584" i="2"/>
  <c r="H584" i="2"/>
  <c r="I584" i="2"/>
  <c r="G584" i="2" s="1"/>
  <c r="J584" i="2"/>
  <c r="F585" i="2"/>
  <c r="H585" i="2"/>
  <c r="I585" i="2"/>
  <c r="G585" i="2" s="1"/>
  <c r="J585" i="2"/>
  <c r="F586" i="2"/>
  <c r="H586" i="2"/>
  <c r="I586" i="2"/>
  <c r="G586" i="2" s="1"/>
  <c r="J586" i="2"/>
  <c r="F587" i="2"/>
  <c r="H587" i="2"/>
  <c r="I587" i="2"/>
  <c r="G587" i="2" s="1"/>
  <c r="J587" i="2"/>
  <c r="F588" i="2"/>
  <c r="H588" i="2"/>
  <c r="I588" i="2"/>
  <c r="G588" i="2" s="1"/>
  <c r="J588" i="2"/>
  <c r="F589" i="2"/>
  <c r="H589" i="2"/>
  <c r="I589" i="2"/>
  <c r="G589" i="2" s="1"/>
  <c r="J589" i="2"/>
  <c r="F590" i="2"/>
  <c r="H590" i="2"/>
  <c r="I590" i="2"/>
  <c r="G590" i="2" s="1"/>
  <c r="J590" i="2"/>
  <c r="F591" i="2"/>
  <c r="H591" i="2"/>
  <c r="I591" i="2"/>
  <c r="G591" i="2" s="1"/>
  <c r="J591" i="2"/>
  <c r="F592" i="2"/>
  <c r="H592" i="2"/>
  <c r="I592" i="2"/>
  <c r="G592" i="2" s="1"/>
  <c r="J592" i="2"/>
  <c r="F593" i="2"/>
  <c r="H593" i="2"/>
  <c r="I593" i="2"/>
  <c r="G593" i="2" s="1"/>
  <c r="J593" i="2"/>
  <c r="F594" i="2"/>
  <c r="H594" i="2"/>
  <c r="I594" i="2"/>
  <c r="G594" i="2" s="1"/>
  <c r="J594" i="2"/>
  <c r="F595" i="2"/>
  <c r="H595" i="2"/>
  <c r="I595" i="2"/>
  <c r="G595" i="2" s="1"/>
  <c r="J595" i="2"/>
  <c r="F596" i="2"/>
  <c r="H596" i="2"/>
  <c r="I596" i="2"/>
  <c r="G596" i="2" s="1"/>
  <c r="J596" i="2"/>
  <c r="F597" i="2"/>
  <c r="H597" i="2"/>
  <c r="I597" i="2"/>
  <c r="G597" i="2" s="1"/>
  <c r="J597" i="2"/>
  <c r="F598" i="2"/>
  <c r="H598" i="2"/>
  <c r="I598" i="2"/>
  <c r="G598" i="2" s="1"/>
  <c r="J598" i="2"/>
  <c r="F599" i="2"/>
  <c r="H599" i="2"/>
  <c r="I599" i="2"/>
  <c r="G599" i="2" s="1"/>
  <c r="J599" i="2"/>
  <c r="F600" i="2"/>
  <c r="H600" i="2"/>
  <c r="I600" i="2"/>
  <c r="G600" i="2" s="1"/>
  <c r="J600" i="2"/>
  <c r="F601" i="2"/>
  <c r="H601" i="2"/>
  <c r="I601" i="2"/>
  <c r="G601" i="2" s="1"/>
  <c r="J601" i="2"/>
  <c r="F602" i="2"/>
  <c r="H602" i="2"/>
  <c r="I602" i="2"/>
  <c r="G602" i="2" s="1"/>
  <c r="J602" i="2"/>
  <c r="F603" i="2"/>
  <c r="H603" i="2"/>
  <c r="I603" i="2"/>
  <c r="G603" i="2" s="1"/>
  <c r="J603" i="2"/>
  <c r="F604" i="2"/>
  <c r="H604" i="2"/>
  <c r="I604" i="2"/>
  <c r="G604" i="2" s="1"/>
  <c r="J604" i="2"/>
  <c r="F605" i="2"/>
  <c r="H605" i="2"/>
  <c r="I605" i="2"/>
  <c r="G605" i="2" s="1"/>
  <c r="J605" i="2"/>
  <c r="F606" i="2"/>
  <c r="H606" i="2"/>
  <c r="I606" i="2"/>
  <c r="G606" i="2" s="1"/>
  <c r="J606" i="2"/>
  <c r="F607" i="2"/>
  <c r="H607" i="2"/>
  <c r="I607" i="2"/>
  <c r="G607" i="2" s="1"/>
  <c r="J607" i="2"/>
  <c r="F608" i="2"/>
  <c r="H608" i="2"/>
  <c r="I608" i="2"/>
  <c r="G608" i="2" s="1"/>
  <c r="J608" i="2"/>
  <c r="F609" i="2"/>
  <c r="H609" i="2"/>
  <c r="I609" i="2"/>
  <c r="G609" i="2" s="1"/>
  <c r="J609" i="2"/>
  <c r="F610" i="2"/>
  <c r="H610" i="2"/>
  <c r="I610" i="2"/>
  <c r="G610" i="2" s="1"/>
  <c r="J610" i="2"/>
  <c r="F611" i="2"/>
  <c r="H611" i="2"/>
  <c r="I611" i="2"/>
  <c r="G611" i="2" s="1"/>
  <c r="J611" i="2"/>
  <c r="F612" i="2"/>
  <c r="H612" i="2"/>
  <c r="I612" i="2"/>
  <c r="G612" i="2" s="1"/>
  <c r="J612" i="2"/>
  <c r="F613" i="2"/>
  <c r="H613" i="2"/>
  <c r="I613" i="2"/>
  <c r="G613" i="2" s="1"/>
  <c r="J613" i="2"/>
  <c r="F614" i="2"/>
  <c r="H614" i="2"/>
  <c r="I614" i="2"/>
  <c r="G614" i="2" s="1"/>
  <c r="J614" i="2"/>
  <c r="F615" i="2"/>
  <c r="H615" i="2"/>
  <c r="I615" i="2"/>
  <c r="G615" i="2" s="1"/>
  <c r="J615" i="2"/>
  <c r="F616" i="2"/>
  <c r="H616" i="2"/>
  <c r="I616" i="2"/>
  <c r="G616" i="2" s="1"/>
  <c r="J616" i="2"/>
  <c r="F617" i="2"/>
  <c r="H617" i="2"/>
  <c r="I617" i="2"/>
  <c r="G617" i="2" s="1"/>
  <c r="J617" i="2"/>
  <c r="F618" i="2"/>
  <c r="H618" i="2"/>
  <c r="I618" i="2"/>
  <c r="G618" i="2" s="1"/>
  <c r="J618" i="2"/>
  <c r="F619" i="2"/>
  <c r="H619" i="2"/>
  <c r="I619" i="2"/>
  <c r="G619" i="2" s="1"/>
  <c r="J619" i="2"/>
  <c r="F620" i="2"/>
  <c r="H620" i="2"/>
  <c r="I620" i="2"/>
  <c r="G620" i="2" s="1"/>
  <c r="J620" i="2"/>
  <c r="F621" i="2"/>
  <c r="H621" i="2"/>
  <c r="I621" i="2"/>
  <c r="G621" i="2" s="1"/>
  <c r="J621" i="2"/>
  <c r="F622" i="2"/>
  <c r="H622" i="2"/>
  <c r="I622" i="2"/>
  <c r="G622" i="2" s="1"/>
  <c r="J622" i="2"/>
  <c r="F623" i="2"/>
  <c r="H623" i="2"/>
  <c r="I623" i="2"/>
  <c r="G623" i="2" s="1"/>
  <c r="J623" i="2"/>
  <c r="F624" i="2"/>
  <c r="H624" i="2"/>
  <c r="I624" i="2"/>
  <c r="G624" i="2" s="1"/>
  <c r="J624" i="2"/>
  <c r="F625" i="2"/>
  <c r="H625" i="2"/>
  <c r="I625" i="2"/>
  <c r="G625" i="2" s="1"/>
  <c r="J625" i="2"/>
  <c r="F626" i="2"/>
  <c r="H626" i="2"/>
  <c r="I626" i="2"/>
  <c r="G626" i="2" s="1"/>
  <c r="J626" i="2"/>
  <c r="F627" i="2"/>
  <c r="H627" i="2"/>
  <c r="I627" i="2"/>
  <c r="G627" i="2" s="1"/>
  <c r="J627" i="2"/>
  <c r="F628" i="2"/>
  <c r="H628" i="2"/>
  <c r="I628" i="2"/>
  <c r="G628" i="2" s="1"/>
  <c r="J628" i="2"/>
  <c r="F629" i="2"/>
  <c r="H629" i="2"/>
  <c r="I629" i="2"/>
  <c r="G629" i="2" s="1"/>
  <c r="J629" i="2"/>
  <c r="F630" i="2"/>
  <c r="H630" i="2"/>
  <c r="I630" i="2"/>
  <c r="G630" i="2" s="1"/>
  <c r="J630" i="2"/>
  <c r="F631" i="2"/>
  <c r="H631" i="2"/>
  <c r="I631" i="2"/>
  <c r="G631" i="2" s="1"/>
  <c r="J631" i="2"/>
  <c r="F632" i="2"/>
  <c r="H632" i="2"/>
  <c r="I632" i="2"/>
  <c r="G632" i="2" s="1"/>
  <c r="J632" i="2"/>
  <c r="F633" i="2"/>
  <c r="H633" i="2"/>
  <c r="I633" i="2"/>
  <c r="G633" i="2" s="1"/>
  <c r="J633" i="2"/>
  <c r="F634" i="2"/>
  <c r="H634" i="2"/>
  <c r="I634" i="2"/>
  <c r="G634" i="2" s="1"/>
  <c r="J634" i="2"/>
  <c r="F635" i="2"/>
  <c r="H635" i="2"/>
  <c r="I635" i="2"/>
  <c r="G635" i="2" s="1"/>
  <c r="J635" i="2"/>
  <c r="F636" i="2"/>
  <c r="H636" i="2"/>
  <c r="I636" i="2"/>
  <c r="G636" i="2" s="1"/>
  <c r="J636" i="2"/>
  <c r="F637" i="2"/>
  <c r="H637" i="2"/>
  <c r="I637" i="2"/>
  <c r="G637" i="2" s="1"/>
  <c r="J637" i="2"/>
  <c r="F638" i="2"/>
  <c r="H638" i="2"/>
  <c r="I638" i="2"/>
  <c r="G638" i="2" s="1"/>
  <c r="J638" i="2"/>
  <c r="F639" i="2"/>
  <c r="H639" i="2"/>
  <c r="I639" i="2"/>
  <c r="G639" i="2" s="1"/>
  <c r="J639" i="2"/>
  <c r="F640" i="2"/>
  <c r="H640" i="2"/>
  <c r="I640" i="2"/>
  <c r="G640" i="2" s="1"/>
  <c r="J640" i="2"/>
  <c r="F641" i="2"/>
  <c r="H641" i="2"/>
  <c r="I641" i="2"/>
  <c r="G641" i="2" s="1"/>
  <c r="J641" i="2"/>
  <c r="F642" i="2"/>
  <c r="H642" i="2"/>
  <c r="I642" i="2"/>
  <c r="G642" i="2" s="1"/>
  <c r="J642" i="2"/>
  <c r="F643" i="2"/>
  <c r="H643" i="2"/>
  <c r="I643" i="2"/>
  <c r="G643" i="2" s="1"/>
  <c r="J643" i="2"/>
  <c r="F644" i="2"/>
  <c r="H644" i="2"/>
  <c r="I644" i="2"/>
  <c r="G644" i="2" s="1"/>
  <c r="J644" i="2"/>
  <c r="F645" i="2"/>
  <c r="H645" i="2"/>
  <c r="I645" i="2"/>
  <c r="G645" i="2" s="1"/>
  <c r="J645" i="2"/>
  <c r="F646" i="2"/>
  <c r="H646" i="2"/>
  <c r="I646" i="2"/>
  <c r="G646" i="2" s="1"/>
  <c r="J646" i="2"/>
  <c r="F647" i="2"/>
  <c r="H647" i="2"/>
  <c r="I647" i="2"/>
  <c r="G647" i="2" s="1"/>
  <c r="J647" i="2"/>
  <c r="F648" i="2"/>
  <c r="H648" i="2"/>
  <c r="I648" i="2"/>
  <c r="G648" i="2" s="1"/>
  <c r="J648" i="2"/>
  <c r="F649" i="2"/>
  <c r="H649" i="2"/>
  <c r="I649" i="2"/>
  <c r="G649" i="2" s="1"/>
  <c r="J649" i="2"/>
  <c r="F650" i="2"/>
  <c r="H650" i="2"/>
  <c r="I650" i="2"/>
  <c r="G650" i="2" s="1"/>
  <c r="J650" i="2"/>
  <c r="F651" i="2"/>
  <c r="H651" i="2"/>
  <c r="I651" i="2"/>
  <c r="G651" i="2" s="1"/>
  <c r="J651" i="2"/>
  <c r="F652" i="2"/>
  <c r="H652" i="2"/>
  <c r="I652" i="2"/>
  <c r="G652" i="2" s="1"/>
  <c r="J652" i="2"/>
  <c r="F653" i="2"/>
  <c r="H653" i="2"/>
  <c r="I653" i="2"/>
  <c r="G653" i="2" s="1"/>
  <c r="J653" i="2"/>
  <c r="F654" i="2"/>
  <c r="H654" i="2"/>
  <c r="I654" i="2"/>
  <c r="G654" i="2" s="1"/>
  <c r="J654" i="2"/>
  <c r="F655" i="2"/>
  <c r="H655" i="2"/>
  <c r="I655" i="2"/>
  <c r="G655" i="2" s="1"/>
  <c r="J655" i="2"/>
  <c r="F656" i="2"/>
  <c r="H656" i="2"/>
  <c r="I656" i="2"/>
  <c r="G656" i="2" s="1"/>
  <c r="J656" i="2"/>
  <c r="F657" i="2"/>
  <c r="H657" i="2"/>
  <c r="I657" i="2"/>
  <c r="G657" i="2" s="1"/>
  <c r="J657" i="2"/>
  <c r="F658" i="2"/>
  <c r="H658" i="2"/>
  <c r="I658" i="2"/>
  <c r="G658" i="2" s="1"/>
  <c r="J658" i="2"/>
  <c r="F659" i="2"/>
  <c r="H659" i="2"/>
  <c r="I659" i="2"/>
  <c r="G659" i="2" s="1"/>
  <c r="J659" i="2"/>
  <c r="F660" i="2"/>
  <c r="H660" i="2"/>
  <c r="I660" i="2"/>
  <c r="G660" i="2" s="1"/>
  <c r="J660" i="2"/>
  <c r="F661" i="2"/>
  <c r="H661" i="2"/>
  <c r="I661" i="2"/>
  <c r="G661" i="2" s="1"/>
  <c r="J661" i="2"/>
  <c r="F662" i="2"/>
  <c r="H662" i="2"/>
  <c r="I662" i="2"/>
  <c r="G662" i="2" s="1"/>
  <c r="J662" i="2"/>
  <c r="F663" i="2"/>
  <c r="H663" i="2"/>
  <c r="I663" i="2"/>
  <c r="G663" i="2" s="1"/>
  <c r="J663" i="2"/>
  <c r="F664" i="2"/>
  <c r="H664" i="2"/>
  <c r="I664" i="2"/>
  <c r="G664" i="2" s="1"/>
  <c r="J664" i="2"/>
  <c r="F665" i="2"/>
  <c r="H665" i="2"/>
  <c r="I665" i="2"/>
  <c r="G665" i="2" s="1"/>
  <c r="J665" i="2"/>
  <c r="F666" i="2"/>
  <c r="H666" i="2"/>
  <c r="I666" i="2"/>
  <c r="G666" i="2" s="1"/>
  <c r="J666" i="2"/>
  <c r="F667" i="2"/>
  <c r="H667" i="2"/>
  <c r="I667" i="2"/>
  <c r="G667" i="2" s="1"/>
  <c r="J667" i="2"/>
  <c r="F668" i="2"/>
  <c r="H668" i="2"/>
  <c r="I668" i="2"/>
  <c r="G668" i="2" s="1"/>
  <c r="J668" i="2"/>
  <c r="F669" i="2"/>
  <c r="H669" i="2"/>
  <c r="I669" i="2"/>
  <c r="G669" i="2" s="1"/>
  <c r="J669" i="2"/>
  <c r="F670" i="2"/>
  <c r="H670" i="2"/>
  <c r="I670" i="2"/>
  <c r="G670" i="2" s="1"/>
  <c r="J670" i="2"/>
  <c r="F671" i="2"/>
  <c r="H671" i="2"/>
  <c r="I671" i="2"/>
  <c r="G671" i="2" s="1"/>
  <c r="J671" i="2"/>
  <c r="F672" i="2"/>
  <c r="H672" i="2"/>
  <c r="I672" i="2"/>
  <c r="G672" i="2" s="1"/>
  <c r="J672" i="2"/>
  <c r="F673" i="2"/>
  <c r="H673" i="2"/>
  <c r="I673" i="2"/>
  <c r="G673" i="2" s="1"/>
  <c r="J673" i="2"/>
  <c r="F674" i="2"/>
  <c r="H674" i="2"/>
  <c r="I674" i="2"/>
  <c r="G674" i="2" s="1"/>
  <c r="J674" i="2"/>
  <c r="F675" i="2"/>
  <c r="H675" i="2"/>
  <c r="I675" i="2"/>
  <c r="G675" i="2" s="1"/>
  <c r="J675" i="2"/>
  <c r="F676" i="2"/>
  <c r="H676" i="2"/>
  <c r="I676" i="2"/>
  <c r="G676" i="2" s="1"/>
  <c r="J676" i="2"/>
  <c r="F677" i="2"/>
  <c r="H677" i="2"/>
  <c r="I677" i="2"/>
  <c r="G677" i="2" s="1"/>
  <c r="J677" i="2"/>
  <c r="F678" i="2"/>
  <c r="H678" i="2"/>
  <c r="I678" i="2"/>
  <c r="G678" i="2" s="1"/>
  <c r="J678" i="2"/>
  <c r="F679" i="2"/>
  <c r="H679" i="2"/>
  <c r="I679" i="2"/>
  <c r="G679" i="2" s="1"/>
  <c r="J679" i="2"/>
  <c r="F680" i="2"/>
  <c r="H680" i="2"/>
  <c r="I680" i="2"/>
  <c r="G680" i="2" s="1"/>
  <c r="J680" i="2"/>
  <c r="F681" i="2"/>
  <c r="H681" i="2"/>
  <c r="I681" i="2"/>
  <c r="G681" i="2" s="1"/>
  <c r="J681" i="2"/>
  <c r="F682" i="2"/>
  <c r="H682" i="2"/>
  <c r="I682" i="2"/>
  <c r="G682" i="2" s="1"/>
  <c r="J682" i="2"/>
  <c r="F683" i="2"/>
  <c r="H683" i="2"/>
  <c r="I683" i="2"/>
  <c r="G683" i="2" s="1"/>
  <c r="J683" i="2"/>
  <c r="F684" i="2"/>
  <c r="H684" i="2"/>
  <c r="I684" i="2"/>
  <c r="G684" i="2" s="1"/>
  <c r="J684" i="2"/>
  <c r="F685" i="2"/>
  <c r="H685" i="2"/>
  <c r="I685" i="2"/>
  <c r="G685" i="2" s="1"/>
  <c r="J685" i="2"/>
  <c r="F686" i="2"/>
  <c r="H686" i="2"/>
  <c r="I686" i="2"/>
  <c r="G686" i="2" s="1"/>
  <c r="J686" i="2"/>
  <c r="F687" i="2"/>
  <c r="H687" i="2"/>
  <c r="I687" i="2"/>
  <c r="G687" i="2" s="1"/>
  <c r="J687" i="2"/>
  <c r="F688" i="2"/>
  <c r="H688" i="2"/>
  <c r="I688" i="2"/>
  <c r="G688" i="2" s="1"/>
  <c r="J688" i="2"/>
  <c r="F689" i="2"/>
  <c r="H689" i="2"/>
  <c r="I689" i="2"/>
  <c r="G689" i="2" s="1"/>
  <c r="J689" i="2"/>
  <c r="F690" i="2"/>
  <c r="H690" i="2"/>
  <c r="I690" i="2"/>
  <c r="G690" i="2" s="1"/>
  <c r="J690" i="2"/>
  <c r="F691" i="2"/>
  <c r="H691" i="2"/>
  <c r="I691" i="2"/>
  <c r="G691" i="2" s="1"/>
  <c r="J691" i="2"/>
  <c r="F692" i="2"/>
  <c r="H692" i="2"/>
  <c r="I692" i="2"/>
  <c r="G692" i="2" s="1"/>
  <c r="J692" i="2"/>
  <c r="F693" i="2"/>
  <c r="H693" i="2"/>
  <c r="I693" i="2"/>
  <c r="G693" i="2" s="1"/>
  <c r="J693" i="2"/>
  <c r="F694" i="2"/>
  <c r="H694" i="2"/>
  <c r="I694" i="2"/>
  <c r="G694" i="2" s="1"/>
  <c r="J694" i="2"/>
  <c r="F695" i="2"/>
  <c r="H695" i="2"/>
  <c r="I695" i="2"/>
  <c r="G695" i="2" s="1"/>
  <c r="J695" i="2"/>
  <c r="F696" i="2"/>
  <c r="H696" i="2"/>
  <c r="I696" i="2"/>
  <c r="G696" i="2" s="1"/>
  <c r="J696" i="2"/>
  <c r="F697" i="2"/>
  <c r="H697" i="2"/>
  <c r="I697" i="2"/>
  <c r="G697" i="2" s="1"/>
  <c r="J697" i="2"/>
  <c r="F698" i="2"/>
  <c r="H698" i="2"/>
  <c r="I698" i="2"/>
  <c r="G698" i="2" s="1"/>
  <c r="J698" i="2"/>
  <c r="F699" i="2"/>
  <c r="H699" i="2"/>
  <c r="I699" i="2"/>
  <c r="G699" i="2" s="1"/>
  <c r="J699" i="2"/>
  <c r="F700" i="2"/>
  <c r="H700" i="2"/>
  <c r="I700" i="2"/>
  <c r="G700" i="2" s="1"/>
  <c r="J700" i="2"/>
  <c r="F701" i="2"/>
  <c r="H701" i="2"/>
  <c r="I701" i="2"/>
  <c r="G701" i="2" s="1"/>
  <c r="J701" i="2"/>
  <c r="F702" i="2"/>
  <c r="H702" i="2"/>
  <c r="I702" i="2"/>
  <c r="G702" i="2" s="1"/>
  <c r="J702" i="2"/>
  <c r="F703" i="2"/>
  <c r="H703" i="2"/>
  <c r="I703" i="2"/>
  <c r="G703" i="2" s="1"/>
  <c r="J703" i="2"/>
  <c r="F704" i="2"/>
  <c r="H704" i="2"/>
  <c r="I704" i="2"/>
  <c r="G704" i="2" s="1"/>
  <c r="J704" i="2"/>
  <c r="F705" i="2"/>
  <c r="H705" i="2"/>
  <c r="I705" i="2"/>
  <c r="G705" i="2" s="1"/>
  <c r="J705" i="2"/>
  <c r="F706" i="2"/>
  <c r="H706" i="2"/>
  <c r="I706" i="2"/>
  <c r="G706" i="2" s="1"/>
  <c r="J706" i="2"/>
  <c r="F707" i="2"/>
  <c r="H707" i="2"/>
  <c r="I707" i="2"/>
  <c r="G707" i="2" s="1"/>
  <c r="J707" i="2"/>
  <c r="F708" i="2"/>
  <c r="H708" i="2"/>
  <c r="I708" i="2"/>
  <c r="G708" i="2" s="1"/>
  <c r="J708" i="2"/>
  <c r="F709" i="2"/>
  <c r="H709" i="2"/>
  <c r="I709" i="2"/>
  <c r="G709" i="2" s="1"/>
  <c r="J709" i="2"/>
  <c r="F710" i="2"/>
  <c r="H710" i="2"/>
  <c r="I710" i="2"/>
  <c r="G710" i="2" s="1"/>
  <c r="J710" i="2"/>
  <c r="F711" i="2"/>
  <c r="H711" i="2"/>
  <c r="I711" i="2"/>
  <c r="G711" i="2" s="1"/>
  <c r="J711" i="2"/>
  <c r="F712" i="2"/>
  <c r="H712" i="2"/>
  <c r="I712" i="2"/>
  <c r="G712" i="2" s="1"/>
  <c r="J712" i="2"/>
  <c r="F713" i="2"/>
  <c r="H713" i="2"/>
  <c r="I713" i="2"/>
  <c r="G713" i="2" s="1"/>
  <c r="J713" i="2"/>
  <c r="F714" i="2"/>
  <c r="H714" i="2"/>
  <c r="I714" i="2"/>
  <c r="G714" i="2" s="1"/>
  <c r="J714" i="2"/>
  <c r="F715" i="2"/>
  <c r="H715" i="2"/>
  <c r="I715" i="2"/>
  <c r="G715" i="2" s="1"/>
  <c r="J715" i="2"/>
  <c r="F716" i="2"/>
  <c r="H716" i="2"/>
  <c r="I716" i="2"/>
  <c r="G716" i="2" s="1"/>
  <c r="J716" i="2"/>
  <c r="F717" i="2"/>
  <c r="H717" i="2"/>
  <c r="I717" i="2"/>
  <c r="G717" i="2" s="1"/>
  <c r="J717" i="2"/>
  <c r="F718" i="2"/>
  <c r="H718" i="2"/>
  <c r="I718" i="2"/>
  <c r="G718" i="2" s="1"/>
  <c r="J718" i="2"/>
  <c r="F719" i="2"/>
  <c r="H719" i="2"/>
  <c r="I719" i="2"/>
  <c r="G719" i="2" s="1"/>
  <c r="J719" i="2"/>
  <c r="F720" i="2"/>
  <c r="H720" i="2"/>
  <c r="I720" i="2"/>
  <c r="G720" i="2" s="1"/>
  <c r="J720" i="2"/>
  <c r="F721" i="2"/>
  <c r="H721" i="2"/>
  <c r="I721" i="2"/>
  <c r="G721" i="2" s="1"/>
  <c r="J721" i="2"/>
  <c r="F722" i="2"/>
  <c r="H722" i="2"/>
  <c r="I722" i="2"/>
  <c r="G722" i="2" s="1"/>
  <c r="J722" i="2"/>
  <c r="F723" i="2"/>
  <c r="H723" i="2"/>
  <c r="I723" i="2"/>
  <c r="G723" i="2" s="1"/>
  <c r="J723" i="2"/>
  <c r="F724" i="2"/>
  <c r="H724" i="2"/>
  <c r="I724" i="2"/>
  <c r="G724" i="2" s="1"/>
  <c r="J724" i="2"/>
  <c r="F725" i="2"/>
  <c r="H725" i="2"/>
  <c r="I725" i="2"/>
  <c r="G725" i="2" s="1"/>
  <c r="J725" i="2"/>
  <c r="F726" i="2"/>
  <c r="H726" i="2"/>
  <c r="I726" i="2"/>
  <c r="G726" i="2" s="1"/>
  <c r="J726" i="2"/>
  <c r="F727" i="2"/>
  <c r="H727" i="2"/>
  <c r="I727" i="2"/>
  <c r="G727" i="2" s="1"/>
  <c r="J727" i="2"/>
  <c r="F728" i="2"/>
  <c r="H728" i="2"/>
  <c r="I728" i="2"/>
  <c r="G728" i="2" s="1"/>
  <c r="J728" i="2"/>
  <c r="F729" i="2"/>
  <c r="H729" i="2"/>
  <c r="I729" i="2"/>
  <c r="G729" i="2" s="1"/>
  <c r="J729" i="2"/>
  <c r="F730" i="2"/>
  <c r="H730" i="2"/>
  <c r="I730" i="2"/>
  <c r="G730" i="2" s="1"/>
  <c r="J730" i="2"/>
  <c r="F731" i="2"/>
  <c r="H731" i="2"/>
  <c r="I731" i="2"/>
  <c r="G731" i="2" s="1"/>
  <c r="J731" i="2"/>
  <c r="F732" i="2"/>
  <c r="H732" i="2"/>
  <c r="I732" i="2"/>
  <c r="G732" i="2" s="1"/>
  <c r="J732" i="2"/>
  <c r="F733" i="2"/>
  <c r="H733" i="2"/>
  <c r="I733" i="2"/>
  <c r="G733" i="2" s="1"/>
  <c r="J733" i="2"/>
  <c r="F734" i="2"/>
  <c r="H734" i="2"/>
  <c r="I734" i="2"/>
  <c r="G734" i="2" s="1"/>
  <c r="J734" i="2"/>
  <c r="F735" i="2"/>
  <c r="H735" i="2"/>
  <c r="I735" i="2"/>
  <c r="G735" i="2" s="1"/>
  <c r="J735" i="2"/>
  <c r="F736" i="2"/>
  <c r="H736" i="2"/>
  <c r="I736" i="2"/>
  <c r="G736" i="2" s="1"/>
  <c r="J736" i="2"/>
  <c r="F737" i="2"/>
  <c r="H737" i="2"/>
  <c r="I737" i="2"/>
  <c r="G737" i="2" s="1"/>
  <c r="J737" i="2"/>
  <c r="F738" i="2"/>
  <c r="H738" i="2"/>
  <c r="I738" i="2"/>
  <c r="G738" i="2" s="1"/>
  <c r="J738" i="2"/>
  <c r="F739" i="2"/>
  <c r="H739" i="2"/>
  <c r="I739" i="2"/>
  <c r="G739" i="2" s="1"/>
  <c r="J739" i="2"/>
  <c r="F740" i="2"/>
  <c r="H740" i="2"/>
  <c r="I740" i="2"/>
  <c r="G740" i="2" s="1"/>
  <c r="J740" i="2"/>
  <c r="F741" i="2"/>
  <c r="H741" i="2"/>
  <c r="I741" i="2"/>
  <c r="G741" i="2" s="1"/>
  <c r="J741" i="2"/>
  <c r="F742" i="2"/>
  <c r="H742" i="2"/>
  <c r="I742" i="2"/>
  <c r="G742" i="2" s="1"/>
  <c r="J742" i="2"/>
  <c r="F743" i="2"/>
  <c r="H743" i="2"/>
  <c r="I743" i="2"/>
  <c r="G743" i="2" s="1"/>
  <c r="J743" i="2"/>
  <c r="F744" i="2"/>
  <c r="H744" i="2"/>
  <c r="I744" i="2"/>
  <c r="G744" i="2" s="1"/>
  <c r="J744" i="2"/>
  <c r="F745" i="2"/>
  <c r="H745" i="2"/>
  <c r="I745" i="2"/>
  <c r="G745" i="2" s="1"/>
  <c r="J745" i="2"/>
  <c r="F746" i="2"/>
  <c r="H746" i="2"/>
  <c r="I746" i="2"/>
  <c r="G746" i="2" s="1"/>
  <c r="J746" i="2"/>
  <c r="F747" i="2"/>
  <c r="H747" i="2"/>
  <c r="I747" i="2"/>
  <c r="G747" i="2" s="1"/>
  <c r="J747" i="2"/>
  <c r="F748" i="2"/>
  <c r="H748" i="2"/>
  <c r="I748" i="2"/>
  <c r="G748" i="2" s="1"/>
  <c r="J748" i="2"/>
  <c r="F749" i="2"/>
  <c r="H749" i="2"/>
  <c r="I749" i="2"/>
  <c r="G749" i="2" s="1"/>
  <c r="J749" i="2"/>
  <c r="F750" i="2"/>
  <c r="H750" i="2"/>
  <c r="I750" i="2"/>
  <c r="G750" i="2" s="1"/>
  <c r="J750" i="2"/>
  <c r="F751" i="2"/>
  <c r="H751" i="2"/>
  <c r="I751" i="2"/>
  <c r="G751" i="2" s="1"/>
  <c r="J751" i="2"/>
  <c r="F752" i="2"/>
  <c r="H752" i="2"/>
  <c r="I752" i="2"/>
  <c r="G752" i="2" s="1"/>
  <c r="J752" i="2"/>
  <c r="F753" i="2"/>
  <c r="H753" i="2"/>
  <c r="I753" i="2"/>
  <c r="G753" i="2" s="1"/>
  <c r="J753" i="2"/>
  <c r="F754" i="2"/>
  <c r="H754" i="2"/>
  <c r="I754" i="2"/>
  <c r="G754" i="2" s="1"/>
  <c r="J754" i="2"/>
  <c r="F755" i="2"/>
  <c r="H755" i="2"/>
  <c r="I755" i="2"/>
  <c r="G755" i="2" s="1"/>
  <c r="J755" i="2"/>
  <c r="F756" i="2"/>
  <c r="H756" i="2"/>
  <c r="I756" i="2"/>
  <c r="G756" i="2" s="1"/>
  <c r="J756" i="2"/>
  <c r="F757" i="2"/>
  <c r="H757" i="2"/>
  <c r="I757" i="2"/>
  <c r="G757" i="2" s="1"/>
  <c r="J757" i="2"/>
  <c r="F758" i="2"/>
  <c r="H758" i="2"/>
  <c r="I758" i="2"/>
  <c r="G758" i="2" s="1"/>
  <c r="J758" i="2"/>
  <c r="F759" i="2"/>
  <c r="H759" i="2"/>
  <c r="I759" i="2"/>
  <c r="G759" i="2" s="1"/>
  <c r="J759" i="2"/>
  <c r="F760" i="2"/>
  <c r="H760" i="2"/>
  <c r="I760" i="2"/>
  <c r="G760" i="2" s="1"/>
  <c r="J760" i="2"/>
  <c r="F761" i="2"/>
  <c r="H761" i="2"/>
  <c r="I761" i="2"/>
  <c r="G761" i="2" s="1"/>
  <c r="J761" i="2"/>
  <c r="F762" i="2"/>
  <c r="H762" i="2"/>
  <c r="I762" i="2"/>
  <c r="G762" i="2" s="1"/>
  <c r="J762" i="2"/>
  <c r="F763" i="2"/>
  <c r="H763" i="2"/>
  <c r="I763" i="2"/>
  <c r="G763" i="2" s="1"/>
  <c r="J763" i="2"/>
  <c r="F764" i="2"/>
  <c r="H764" i="2"/>
  <c r="I764" i="2"/>
  <c r="G764" i="2" s="1"/>
  <c r="J764" i="2"/>
  <c r="F765" i="2"/>
  <c r="H765" i="2"/>
  <c r="I765" i="2"/>
  <c r="G765" i="2" s="1"/>
  <c r="J765" i="2"/>
  <c r="F766" i="2"/>
  <c r="H766" i="2"/>
  <c r="I766" i="2"/>
  <c r="G766" i="2" s="1"/>
  <c r="J766" i="2"/>
  <c r="F767" i="2"/>
  <c r="H767" i="2"/>
  <c r="I767" i="2"/>
  <c r="G767" i="2" s="1"/>
  <c r="J767" i="2"/>
  <c r="F768" i="2"/>
  <c r="H768" i="2"/>
  <c r="I768" i="2"/>
  <c r="G768" i="2" s="1"/>
  <c r="J768" i="2"/>
  <c r="F769" i="2"/>
  <c r="H769" i="2"/>
  <c r="I769" i="2"/>
  <c r="G769" i="2" s="1"/>
  <c r="J769" i="2"/>
  <c r="F770" i="2"/>
  <c r="H770" i="2"/>
  <c r="I770" i="2"/>
  <c r="G770" i="2" s="1"/>
  <c r="J770" i="2"/>
  <c r="F771" i="2"/>
  <c r="H771" i="2"/>
  <c r="I771" i="2"/>
  <c r="G771" i="2" s="1"/>
  <c r="J771" i="2"/>
  <c r="F772" i="2"/>
  <c r="H772" i="2"/>
  <c r="I772" i="2"/>
  <c r="G772" i="2" s="1"/>
  <c r="J772" i="2"/>
  <c r="F773" i="2"/>
  <c r="H773" i="2"/>
  <c r="I773" i="2"/>
  <c r="G773" i="2" s="1"/>
  <c r="J773" i="2"/>
  <c r="F774" i="2"/>
  <c r="H774" i="2"/>
  <c r="I774" i="2"/>
  <c r="G774" i="2" s="1"/>
  <c r="J774" i="2"/>
  <c r="F775" i="2"/>
  <c r="H775" i="2"/>
  <c r="I775" i="2"/>
  <c r="G775" i="2" s="1"/>
  <c r="J775" i="2"/>
  <c r="F776" i="2"/>
  <c r="H776" i="2"/>
  <c r="I776" i="2"/>
  <c r="G776" i="2" s="1"/>
  <c r="J776" i="2"/>
  <c r="F777" i="2"/>
  <c r="H777" i="2"/>
  <c r="I777" i="2"/>
  <c r="G777" i="2" s="1"/>
  <c r="J777" i="2"/>
  <c r="F778" i="2"/>
  <c r="H778" i="2"/>
  <c r="I778" i="2"/>
  <c r="G778" i="2" s="1"/>
  <c r="J778" i="2"/>
  <c r="F779" i="2"/>
  <c r="H779" i="2"/>
  <c r="I779" i="2"/>
  <c r="G779" i="2" s="1"/>
  <c r="J779" i="2"/>
  <c r="F780" i="2"/>
  <c r="H780" i="2"/>
  <c r="I780" i="2"/>
  <c r="G780" i="2" s="1"/>
  <c r="J780" i="2"/>
  <c r="F781" i="2"/>
  <c r="H781" i="2"/>
  <c r="I781" i="2"/>
  <c r="G781" i="2" s="1"/>
  <c r="J781" i="2"/>
  <c r="F782" i="2"/>
  <c r="H782" i="2"/>
  <c r="I782" i="2"/>
  <c r="G782" i="2" s="1"/>
  <c r="J782" i="2"/>
  <c r="F783" i="2"/>
  <c r="H783" i="2"/>
  <c r="I783" i="2"/>
  <c r="G783" i="2" s="1"/>
  <c r="J783" i="2"/>
  <c r="F784" i="2"/>
  <c r="H784" i="2"/>
  <c r="I784" i="2"/>
  <c r="G784" i="2" s="1"/>
  <c r="J784" i="2"/>
  <c r="F785" i="2"/>
  <c r="H785" i="2"/>
  <c r="I785" i="2"/>
  <c r="G785" i="2" s="1"/>
  <c r="J785" i="2"/>
  <c r="F786" i="2"/>
  <c r="H786" i="2"/>
  <c r="I786" i="2"/>
  <c r="G786" i="2" s="1"/>
  <c r="J786" i="2"/>
  <c r="F787" i="2"/>
  <c r="H787" i="2"/>
  <c r="I787" i="2"/>
  <c r="G787" i="2" s="1"/>
  <c r="J787" i="2"/>
  <c r="F788" i="2"/>
  <c r="H788" i="2"/>
  <c r="I788" i="2"/>
  <c r="G788" i="2" s="1"/>
  <c r="J788" i="2"/>
  <c r="F789" i="2"/>
  <c r="H789" i="2"/>
  <c r="I789" i="2"/>
  <c r="G789" i="2" s="1"/>
  <c r="J789" i="2"/>
  <c r="F790" i="2"/>
  <c r="H790" i="2"/>
  <c r="I790" i="2"/>
  <c r="G790" i="2" s="1"/>
  <c r="J790" i="2"/>
  <c r="I791" i="2"/>
  <c r="G791" i="2" s="1"/>
  <c r="H791" i="2"/>
  <c r="J791" i="2"/>
  <c r="H792" i="2"/>
  <c r="I792" i="2"/>
  <c r="G792" i="2" s="1"/>
  <c r="F792" i="2"/>
  <c r="J792" i="2"/>
  <c r="F793" i="2"/>
  <c r="I793" i="2"/>
  <c r="G793" i="2" s="1"/>
  <c r="J793" i="2"/>
  <c r="F794" i="2"/>
  <c r="H794" i="2"/>
  <c r="I794" i="2"/>
  <c r="G794" i="2" s="1"/>
  <c r="J794" i="2"/>
  <c r="F795" i="2"/>
  <c r="H795" i="2"/>
  <c r="I795" i="2"/>
  <c r="G795" i="2" s="1"/>
  <c r="J795" i="2"/>
  <c r="F796" i="2"/>
  <c r="H796" i="2"/>
  <c r="I796" i="2"/>
  <c r="G796" i="2" s="1"/>
  <c r="J796" i="2"/>
  <c r="H797" i="2"/>
  <c r="I797" i="2"/>
  <c r="G797" i="2" s="1"/>
  <c r="F797" i="2"/>
  <c r="J797" i="2"/>
  <c r="F798" i="2"/>
  <c r="H798" i="2"/>
  <c r="I798" i="2"/>
  <c r="G798" i="2" s="1"/>
  <c r="J798" i="2"/>
  <c r="F799" i="2"/>
  <c r="H799" i="2"/>
  <c r="I799" i="2"/>
  <c r="G799" i="2" s="1"/>
  <c r="J799" i="2"/>
  <c r="F800" i="2"/>
  <c r="H800" i="2"/>
  <c r="I800" i="2"/>
  <c r="G800" i="2" s="1"/>
  <c r="J800" i="2"/>
  <c r="F801" i="2"/>
  <c r="H801" i="2"/>
  <c r="I801" i="2"/>
  <c r="G801" i="2" s="1"/>
  <c r="J801" i="2"/>
  <c r="F802" i="2"/>
  <c r="H802" i="2"/>
  <c r="I802" i="2"/>
  <c r="G802" i="2" s="1"/>
  <c r="J802" i="2"/>
  <c r="F803" i="2"/>
  <c r="H803" i="2"/>
  <c r="I803" i="2"/>
  <c r="G803" i="2" s="1"/>
  <c r="J803" i="2"/>
  <c r="F804" i="2"/>
  <c r="H804" i="2"/>
  <c r="I804" i="2"/>
  <c r="G804" i="2" s="1"/>
  <c r="J804" i="2"/>
  <c r="F805" i="2"/>
  <c r="H805" i="2"/>
  <c r="I805" i="2"/>
  <c r="G805" i="2" s="1"/>
  <c r="J805" i="2"/>
  <c r="F806" i="2"/>
  <c r="H806" i="2"/>
  <c r="I806" i="2"/>
  <c r="G806" i="2" s="1"/>
  <c r="J806" i="2"/>
  <c r="F807" i="2"/>
  <c r="H807" i="2"/>
  <c r="I807" i="2"/>
  <c r="G807" i="2" s="1"/>
  <c r="J807" i="2"/>
  <c r="F808" i="2"/>
  <c r="H808" i="2"/>
  <c r="I808" i="2"/>
  <c r="G808" i="2" s="1"/>
  <c r="J808" i="2"/>
  <c r="F809" i="2"/>
  <c r="H809" i="2"/>
  <c r="I809" i="2"/>
  <c r="G809" i="2" s="1"/>
  <c r="J809" i="2"/>
  <c r="F810" i="2"/>
  <c r="H810" i="2"/>
  <c r="I810" i="2"/>
  <c r="G810" i="2" s="1"/>
  <c r="J810" i="2"/>
  <c r="F811" i="2"/>
  <c r="H811" i="2"/>
  <c r="I811" i="2"/>
  <c r="G811" i="2" s="1"/>
  <c r="J811" i="2"/>
  <c r="F812" i="2"/>
  <c r="H812" i="2"/>
  <c r="I812" i="2"/>
  <c r="G812" i="2" s="1"/>
  <c r="J812" i="2"/>
  <c r="F813" i="2"/>
  <c r="H813" i="2"/>
  <c r="I813" i="2"/>
  <c r="G813" i="2" s="1"/>
  <c r="J813" i="2"/>
  <c r="F814" i="2"/>
  <c r="H814" i="2"/>
  <c r="I814" i="2"/>
  <c r="G814" i="2" s="1"/>
  <c r="J814" i="2"/>
  <c r="F815" i="2"/>
  <c r="H815" i="2"/>
  <c r="I815" i="2"/>
  <c r="G815" i="2" s="1"/>
  <c r="J815" i="2"/>
  <c r="F816" i="2"/>
  <c r="H816" i="2"/>
  <c r="I816" i="2"/>
  <c r="G816" i="2" s="1"/>
  <c r="J816" i="2"/>
  <c r="F817" i="2"/>
  <c r="H817" i="2"/>
  <c r="I817" i="2"/>
  <c r="G817" i="2" s="1"/>
  <c r="J817" i="2"/>
  <c r="F818" i="2"/>
  <c r="H818" i="2"/>
  <c r="I818" i="2"/>
  <c r="G818" i="2" s="1"/>
  <c r="J818" i="2"/>
  <c r="F819" i="2"/>
  <c r="H819" i="2"/>
  <c r="I819" i="2"/>
  <c r="G819" i="2" s="1"/>
  <c r="J819" i="2"/>
  <c r="F820" i="2"/>
  <c r="H820" i="2"/>
  <c r="I820" i="2"/>
  <c r="G820" i="2" s="1"/>
  <c r="J820" i="2"/>
  <c r="F821" i="2"/>
  <c r="H821" i="2"/>
  <c r="I821" i="2"/>
  <c r="G821" i="2" s="1"/>
  <c r="J821" i="2"/>
  <c r="F822" i="2"/>
  <c r="H822" i="2"/>
  <c r="I822" i="2"/>
  <c r="G822" i="2" s="1"/>
  <c r="J822" i="2"/>
  <c r="F823" i="2"/>
  <c r="H823" i="2"/>
  <c r="I823" i="2"/>
  <c r="G823" i="2" s="1"/>
  <c r="J823" i="2"/>
  <c r="F824" i="2"/>
  <c r="H824" i="2"/>
  <c r="I824" i="2"/>
  <c r="G824" i="2" s="1"/>
  <c r="J824" i="2"/>
  <c r="A4" i="4"/>
  <c r="F4" i="4"/>
  <c r="A5" i="4"/>
  <c r="F5" i="4"/>
  <c r="A6" i="4"/>
  <c r="F6" i="4"/>
  <c r="J10" i="4"/>
  <c r="J11" i="4"/>
  <c r="J12" i="4"/>
  <c r="J17" i="4"/>
  <c r="J18" i="4"/>
  <c r="J19" i="4"/>
  <c r="J24" i="4"/>
  <c r="J25" i="4"/>
  <c r="J26" i="4"/>
  <c r="J31" i="4"/>
  <c r="J32" i="4"/>
  <c r="J33" i="4"/>
  <c r="J38" i="4"/>
  <c r="J39" i="4"/>
  <c r="J40" i="4"/>
  <c r="A4" i="5"/>
  <c r="F4" i="5"/>
  <c r="A5" i="5"/>
  <c r="F5" i="5"/>
  <c r="A6" i="5"/>
  <c r="F6" i="5"/>
  <c r="B10" i="5"/>
  <c r="D10" i="5"/>
  <c r="E10" i="5" s="1"/>
  <c r="G10" i="5"/>
  <c r="H10" i="5"/>
  <c r="B11" i="5"/>
  <c r="D11" i="5"/>
  <c r="E11" i="5" s="1"/>
  <c r="G11" i="5"/>
  <c r="H11" i="5"/>
  <c r="B12" i="5"/>
  <c r="D12" i="5"/>
  <c r="E12" i="5" s="1"/>
  <c r="G12" i="5"/>
  <c r="H12" i="5"/>
  <c r="B13" i="5"/>
  <c r="D13" i="5"/>
  <c r="E13" i="5" s="1"/>
  <c r="G13" i="5"/>
  <c r="H13" i="5"/>
  <c r="B14" i="5"/>
  <c r="D14" i="5"/>
  <c r="E14" i="5" s="1"/>
  <c r="F14" i="5"/>
  <c r="G14" i="5"/>
  <c r="H14" i="5"/>
  <c r="B15" i="5"/>
  <c r="D15" i="5"/>
  <c r="E15" i="5" s="1"/>
  <c r="F15" i="5"/>
  <c r="G15" i="5"/>
  <c r="H15" i="5"/>
  <c r="B16" i="5"/>
  <c r="D16" i="5"/>
  <c r="E16" i="5" s="1"/>
  <c r="F16" i="5"/>
  <c r="G16" i="5"/>
  <c r="H16" i="5"/>
  <c r="B18" i="5"/>
  <c r="D18" i="5"/>
  <c r="E18" i="5" s="1"/>
  <c r="F18" i="5"/>
  <c r="G18" i="5"/>
  <c r="H18" i="5"/>
  <c r="B19" i="5"/>
  <c r="D19" i="5"/>
  <c r="E19" i="5" s="1"/>
  <c r="F19" i="5"/>
  <c r="G19" i="5"/>
  <c r="H19" i="5"/>
  <c r="B22" i="5"/>
  <c r="D22" i="5"/>
  <c r="E22" i="5" s="1"/>
  <c r="F22" i="5"/>
  <c r="G22" i="5"/>
  <c r="H22" i="5"/>
  <c r="B23" i="5"/>
  <c r="D23" i="5"/>
  <c r="E23" i="5" s="1"/>
  <c r="F23" i="5"/>
  <c r="G23" i="5"/>
  <c r="H23" i="5"/>
  <c r="B24" i="5"/>
  <c r="D24" i="5"/>
  <c r="E24" i="5" s="1"/>
  <c r="F24" i="5"/>
  <c r="G24" i="5"/>
  <c r="H24" i="5"/>
  <c r="B25" i="5"/>
  <c r="D25" i="5"/>
  <c r="E25" i="5" s="1"/>
  <c r="F25" i="5"/>
  <c r="G25" i="5"/>
  <c r="H25" i="5"/>
  <c r="B26" i="5"/>
  <c r="D26" i="5"/>
  <c r="E26" i="5" s="1"/>
  <c r="F26" i="5"/>
  <c r="G26" i="5"/>
  <c r="H26" i="5"/>
  <c r="B27" i="5"/>
  <c r="D27" i="5"/>
  <c r="E27" i="5" s="1"/>
  <c r="F27" i="5"/>
  <c r="G27" i="5"/>
  <c r="H27" i="5"/>
  <c r="B28" i="5"/>
  <c r="D28" i="5"/>
  <c r="E28" i="5" s="1"/>
  <c r="G28" i="5"/>
  <c r="H28" i="5"/>
  <c r="B30" i="5"/>
  <c r="D30" i="5"/>
  <c r="E30" i="5" s="1"/>
  <c r="F30" i="5"/>
  <c r="G30" i="5"/>
  <c r="H30" i="5"/>
  <c r="B31" i="5"/>
  <c r="D31" i="5"/>
  <c r="E31" i="5" s="1"/>
  <c r="F31" i="5"/>
  <c r="G31" i="5"/>
  <c r="H31" i="5"/>
  <c r="B32" i="5"/>
  <c r="D32" i="5"/>
  <c r="E32" i="5" s="1"/>
  <c r="F32" i="5"/>
  <c r="G32" i="5"/>
  <c r="H32" i="5"/>
  <c r="B33" i="5"/>
  <c r="D33" i="5"/>
  <c r="E33" i="5"/>
  <c r="F33" i="5"/>
  <c r="G33" i="5"/>
  <c r="H33" i="5"/>
  <c r="B34" i="5"/>
  <c r="D34" i="5"/>
  <c r="E34" i="5" s="1"/>
  <c r="F34" i="5"/>
  <c r="G34" i="5"/>
  <c r="H34" i="5"/>
  <c r="B35" i="5"/>
  <c r="D35" i="5"/>
  <c r="E35" i="5" s="1"/>
  <c r="F35" i="5"/>
  <c r="G35" i="5"/>
  <c r="H35" i="5"/>
  <c r="B36" i="5"/>
  <c r="D36" i="5"/>
  <c r="E36" i="5" s="1"/>
  <c r="G36" i="5"/>
  <c r="H36" i="5"/>
  <c r="B37" i="5"/>
  <c r="D37" i="5"/>
  <c r="E37" i="5" s="1"/>
  <c r="F37" i="5"/>
  <c r="G37" i="5"/>
  <c r="H37" i="5"/>
  <c r="B42" i="5"/>
  <c r="D42" i="5"/>
  <c r="E42" i="5" s="1"/>
  <c r="F42" i="5"/>
  <c r="G42" i="5"/>
  <c r="H42" i="5"/>
  <c r="B43" i="5"/>
  <c r="D43" i="5"/>
  <c r="E43" i="5"/>
  <c r="F43" i="5"/>
  <c r="G43" i="5"/>
  <c r="H43" i="5"/>
  <c r="B44" i="5"/>
  <c r="D44" i="5"/>
  <c r="E44" i="5" s="1"/>
  <c r="F44" i="5"/>
  <c r="G44" i="5"/>
  <c r="H44" i="5"/>
  <c r="B47" i="5"/>
  <c r="D47" i="5"/>
  <c r="H47" i="5"/>
  <c r="B48" i="5"/>
  <c r="D48" i="5"/>
  <c r="H48" i="5"/>
  <c r="B49" i="5"/>
  <c r="D49" i="5"/>
  <c r="H49" i="5"/>
  <c r="B50" i="5"/>
  <c r="D50" i="5"/>
  <c r="H50" i="5"/>
  <c r="I50" i="5" s="1"/>
  <c r="J50" i="5" s="1"/>
  <c r="B51" i="5"/>
  <c r="D51" i="5"/>
  <c r="H51" i="5"/>
  <c r="I51" i="5" s="1"/>
  <c r="J51" i="5" s="1"/>
  <c r="B52" i="5"/>
  <c r="D52" i="5"/>
  <c r="H52" i="5"/>
  <c r="I52" i="5" s="1"/>
  <c r="J52" i="5" s="1"/>
  <c r="B53" i="5"/>
  <c r="D53" i="5"/>
  <c r="H53" i="5"/>
  <c r="I53" i="5" s="1"/>
  <c r="J53" i="5" s="1"/>
  <c r="B54" i="5"/>
  <c r="D54" i="5"/>
  <c r="H54" i="5"/>
  <c r="I54" i="5" s="1"/>
  <c r="J54" i="5" s="1"/>
  <c r="B55" i="5"/>
  <c r="D55" i="5"/>
  <c r="H55" i="5"/>
  <c r="I55" i="5" s="1"/>
  <c r="J55" i="5" s="1"/>
  <c r="B56" i="5"/>
  <c r="D56" i="5"/>
  <c r="H56" i="5"/>
  <c r="I56" i="5" s="1"/>
  <c r="J56" i="5" s="1"/>
  <c r="B57" i="5"/>
  <c r="D57" i="5"/>
  <c r="H57" i="5"/>
  <c r="I57" i="5" s="1"/>
  <c r="J57" i="5" s="1"/>
  <c r="B58" i="5"/>
  <c r="D58" i="5"/>
  <c r="H58" i="5"/>
  <c r="I58" i="5" s="1"/>
  <c r="J58" i="5" s="1"/>
  <c r="B59" i="5"/>
  <c r="D59" i="5"/>
  <c r="H59" i="5"/>
  <c r="I59" i="5" s="1"/>
  <c r="J59" i="5" s="1"/>
  <c r="B60" i="5"/>
  <c r="D60" i="5"/>
  <c r="H60" i="5"/>
  <c r="I60" i="5" s="1"/>
  <c r="J60" i="5" s="1"/>
  <c r="B61" i="5"/>
  <c r="D61" i="5"/>
  <c r="H61" i="5"/>
  <c r="I61" i="5" s="1"/>
  <c r="J61" i="5" s="1"/>
  <c r="B62" i="5"/>
  <c r="D62" i="5"/>
  <c r="H62" i="5"/>
  <c r="I62" i="5" s="1"/>
  <c r="J62" i="5" s="1"/>
  <c r="B63" i="5"/>
  <c r="D63" i="5"/>
  <c r="H63" i="5"/>
  <c r="I63" i="5" s="1"/>
  <c r="J63" i="5" s="1"/>
  <c r="B64" i="5"/>
  <c r="D64" i="5"/>
  <c r="H64" i="5"/>
  <c r="I64" i="5" s="1"/>
  <c r="J64" i="5" s="1"/>
  <c r="B65" i="5"/>
  <c r="D65" i="5"/>
  <c r="H65" i="5"/>
  <c r="I65" i="5" s="1"/>
  <c r="J65" i="5" s="1"/>
  <c r="B66" i="5"/>
  <c r="D66" i="5"/>
  <c r="H66" i="5"/>
  <c r="I66" i="5" s="1"/>
  <c r="J66" i="5" s="1"/>
  <c r="B67" i="5"/>
  <c r="D67" i="5"/>
  <c r="H67" i="5"/>
  <c r="I67" i="5" s="1"/>
  <c r="J67" i="5" s="1"/>
  <c r="B68" i="5"/>
  <c r="D68" i="5"/>
  <c r="H68" i="5"/>
  <c r="I68" i="5" s="1"/>
  <c r="J68" i="5" s="1"/>
  <c r="B69" i="5"/>
  <c r="D69" i="5"/>
  <c r="H69" i="5"/>
  <c r="I69" i="5" s="1"/>
  <c r="J69" i="5" s="1"/>
  <c r="H793" i="2"/>
  <c r="F791" i="2"/>
  <c r="F11" i="5"/>
  <c r="J5" i="3"/>
  <c r="K5" i="3" s="1"/>
  <c r="H400" i="2"/>
  <c r="F393" i="2" l="1"/>
  <c r="G92" i="2"/>
  <c r="F92" i="2"/>
  <c r="F93" i="2"/>
  <c r="K788" i="2"/>
  <c r="K776" i="2"/>
  <c r="K764" i="2"/>
  <c r="K752" i="2"/>
  <c r="K740" i="2"/>
  <c r="K728" i="2"/>
  <c r="K716" i="2"/>
  <c r="K704" i="2"/>
  <c r="K692" i="2"/>
  <c r="K680" i="2"/>
  <c r="K668" i="2"/>
  <c r="K656" i="2"/>
  <c r="K644" i="2"/>
  <c r="K632" i="2"/>
  <c r="K620" i="2"/>
  <c r="K608" i="2"/>
  <c r="K596" i="2"/>
  <c r="K584" i="2"/>
  <c r="K572" i="2"/>
  <c r="K560" i="2"/>
  <c r="K548" i="2"/>
  <c r="K536" i="2"/>
  <c r="K524" i="2"/>
  <c r="K512" i="2"/>
  <c r="K500" i="2"/>
  <c r="K488" i="2"/>
  <c r="K476" i="2"/>
  <c r="K464" i="2"/>
  <c r="K452" i="2"/>
  <c r="K440" i="2"/>
  <c r="K428" i="2"/>
  <c r="H93" i="2"/>
  <c r="L93" i="2" s="1"/>
  <c r="F406" i="2"/>
  <c r="F408" i="2"/>
  <c r="K824" i="2"/>
  <c r="K812" i="2"/>
  <c r="K800" i="2"/>
  <c r="H408" i="2"/>
  <c r="K408" i="2" s="1"/>
  <c r="F423" i="2"/>
  <c r="F420" i="2"/>
  <c r="H406" i="2"/>
  <c r="H423" i="2"/>
  <c r="H420" i="2"/>
  <c r="K420" i="2" s="1"/>
  <c r="F366" i="2"/>
  <c r="F365" i="2"/>
  <c r="H419" i="2"/>
  <c r="F419" i="2"/>
  <c r="F405" i="2"/>
  <c r="F409" i="2"/>
  <c r="H405" i="2"/>
  <c r="F404" i="2"/>
  <c r="H409" i="2"/>
  <c r="H404" i="2"/>
  <c r="H403" i="2"/>
  <c r="K403" i="2" s="1"/>
  <c r="F403" i="2"/>
  <c r="F402" i="2"/>
  <c r="H402" i="2"/>
  <c r="H407" i="2"/>
  <c r="F407" i="2"/>
  <c r="H401" i="2"/>
  <c r="H366" i="2"/>
  <c r="L366" i="2" s="1"/>
  <c r="H365" i="2"/>
  <c r="F342" i="2"/>
  <c r="K519" i="2"/>
  <c r="F390" i="2"/>
  <c r="H390" i="2"/>
  <c r="L390" i="2" s="1"/>
  <c r="F395" i="2"/>
  <c r="F81" i="2"/>
  <c r="F396" i="2"/>
  <c r="H395" i="2"/>
  <c r="K787" i="2"/>
  <c r="K775" i="2"/>
  <c r="K763" i="2"/>
  <c r="K751" i="2"/>
  <c r="K739" i="2"/>
  <c r="K727" i="2"/>
  <c r="K715" i="2"/>
  <c r="K703" i="2"/>
  <c r="K571" i="2"/>
  <c r="K559" i="2"/>
  <c r="K475" i="2"/>
  <c r="K463" i="2"/>
  <c r="K823" i="2"/>
  <c r="K811" i="2"/>
  <c r="K799" i="2"/>
  <c r="F401" i="2"/>
  <c r="F400" i="2"/>
  <c r="H389" i="2"/>
  <c r="L389" i="2" s="1"/>
  <c r="F389" i="2"/>
  <c r="H397" i="2"/>
  <c r="F397" i="2"/>
  <c r="H396" i="2"/>
  <c r="K396" i="2" s="1"/>
  <c r="K443" i="2"/>
  <c r="H342" i="2"/>
  <c r="H302" i="2"/>
  <c r="K302" i="2" s="1"/>
  <c r="F88" i="2"/>
  <c r="H88" i="2"/>
  <c r="L88" i="2" s="1"/>
  <c r="H81" i="2"/>
  <c r="L81" i="2" s="1"/>
  <c r="F33" i="2"/>
  <c r="F19" i="2"/>
  <c r="H19" i="2"/>
  <c r="H399" i="2"/>
  <c r="F399" i="2"/>
  <c r="H398" i="2"/>
  <c r="F398" i="2"/>
  <c r="H393" i="2"/>
  <c r="L393" i="2" s="1"/>
  <c r="H392" i="2"/>
  <c r="L392" i="2" s="1"/>
  <c r="F392" i="2"/>
  <c r="F388" i="2"/>
  <c r="H388" i="2"/>
  <c r="H387" i="2"/>
  <c r="F387" i="2"/>
  <c r="K746" i="2"/>
  <c r="K710" i="2"/>
  <c r="K698" i="2"/>
  <c r="K674" i="2"/>
  <c r="K662" i="2"/>
  <c r="K650" i="2"/>
  <c r="K626" i="2"/>
  <c r="K614" i="2"/>
  <c r="K602" i="2"/>
  <c r="K590" i="2"/>
  <c r="K578" i="2"/>
  <c r="K566" i="2"/>
  <c r="K554" i="2"/>
  <c r="K542" i="2"/>
  <c r="K530" i="2"/>
  <c r="K518" i="2"/>
  <c r="K506" i="2"/>
  <c r="K494" i="2"/>
  <c r="K482" i="2"/>
  <c r="K470" i="2"/>
  <c r="K458" i="2"/>
  <c r="K446" i="2"/>
  <c r="K434" i="2"/>
  <c r="K422" i="2"/>
  <c r="K782" i="2"/>
  <c r="K758" i="2"/>
  <c r="K734" i="2"/>
  <c r="K686" i="2"/>
  <c r="K638" i="2"/>
  <c r="K770" i="2"/>
  <c r="K722" i="2"/>
  <c r="K818" i="2"/>
  <c r="K806" i="2"/>
  <c r="K794" i="2"/>
  <c r="H355" i="2"/>
  <c r="H363" i="2"/>
  <c r="L363" i="2" s="1"/>
  <c r="F355" i="2"/>
  <c r="F361" i="2"/>
  <c r="H362" i="2"/>
  <c r="L362" i="2" s="1"/>
  <c r="F362" i="2"/>
  <c r="H358" i="2"/>
  <c r="L358" i="2" s="1"/>
  <c r="H360" i="2"/>
  <c r="F358" i="2"/>
  <c r="H361" i="2"/>
  <c r="F364" i="2"/>
  <c r="G363" i="2"/>
  <c r="F360" i="2"/>
  <c r="H364" i="2"/>
  <c r="H356" i="2"/>
  <c r="F356" i="2"/>
  <c r="H359" i="2"/>
  <c r="L359" i="2" s="1"/>
  <c r="F359" i="2"/>
  <c r="F302" i="2"/>
  <c r="F282" i="2"/>
  <c r="G282" i="2"/>
  <c r="K743" i="2"/>
  <c r="K719" i="2"/>
  <c r="K695" i="2"/>
  <c r="K671" i="2"/>
  <c r="K659" i="2"/>
  <c r="K647" i="2"/>
  <c r="K623" i="2"/>
  <c r="K611" i="2"/>
  <c r="K599" i="2"/>
  <c r="K587" i="2"/>
  <c r="K575" i="2"/>
  <c r="K563" i="2"/>
  <c r="K539" i="2"/>
  <c r="K527" i="2"/>
  <c r="K515" i="2"/>
  <c r="K503" i="2"/>
  <c r="K491" i="2"/>
  <c r="K479" i="2"/>
  <c r="K467" i="2"/>
  <c r="K455" i="2"/>
  <c r="K431" i="2"/>
  <c r="K767" i="2"/>
  <c r="K755" i="2"/>
  <c r="K731" i="2"/>
  <c r="K707" i="2"/>
  <c r="K683" i="2"/>
  <c r="K793" i="2"/>
  <c r="K761" i="2"/>
  <c r="K737" i="2"/>
  <c r="K725" i="2"/>
  <c r="K701" i="2"/>
  <c r="K689" i="2"/>
  <c r="K677" i="2"/>
  <c r="K665" i="2"/>
  <c r="K641" i="2"/>
  <c r="K629" i="2"/>
  <c r="K617" i="2"/>
  <c r="K605" i="2"/>
  <c r="K593" i="2"/>
  <c r="K581" i="2"/>
  <c r="K569" i="2"/>
  <c r="K557" i="2"/>
  <c r="K545" i="2"/>
  <c r="K533" i="2"/>
  <c r="K521" i="2"/>
  <c r="K509" i="2"/>
  <c r="K497" i="2"/>
  <c r="K485" i="2"/>
  <c r="K473" i="2"/>
  <c r="K461" i="2"/>
  <c r="K449" i="2"/>
  <c r="K437" i="2"/>
  <c r="K425" i="2"/>
  <c r="K785" i="2"/>
  <c r="K773" i="2"/>
  <c r="K713" i="2"/>
  <c r="K749" i="2"/>
  <c r="K454" i="2"/>
  <c r="K817" i="2"/>
  <c r="K805" i="2"/>
  <c r="K781" i="2"/>
  <c r="K769" i="2"/>
  <c r="K757" i="2"/>
  <c r="K745" i="2"/>
  <c r="K733" i="2"/>
  <c r="K721" i="2"/>
  <c r="K709" i="2"/>
  <c r="K625" i="2"/>
  <c r="K601" i="2"/>
  <c r="K589" i="2"/>
  <c r="K577" i="2"/>
  <c r="K565" i="2"/>
  <c r="K553" i="2"/>
  <c r="K541" i="2"/>
  <c r="K517" i="2"/>
  <c r="K469" i="2"/>
  <c r="K457" i="2"/>
  <c r="K445" i="2"/>
  <c r="K433" i="2"/>
  <c r="K501" i="2"/>
  <c r="K448" i="2"/>
  <c r="K821" i="2"/>
  <c r="K809" i="2"/>
  <c r="K797" i="2"/>
  <c r="K790" i="2"/>
  <c r="K754" i="2"/>
  <c r="K742" i="2"/>
  <c r="K718" i="2"/>
  <c r="K706" i="2"/>
  <c r="K694" i="2"/>
  <c r="K682" i="2"/>
  <c r="K670" i="2"/>
  <c r="K658" i="2"/>
  <c r="K646" i="2"/>
  <c r="K634" i="2"/>
  <c r="K622" i="2"/>
  <c r="K610" i="2"/>
  <c r="K598" i="2"/>
  <c r="K586" i="2"/>
  <c r="K574" i="2"/>
  <c r="K562" i="2"/>
  <c r="K550" i="2"/>
  <c r="K538" i="2"/>
  <c r="K526" i="2"/>
  <c r="K514" i="2"/>
  <c r="K502" i="2"/>
  <c r="K490" i="2"/>
  <c r="K478" i="2"/>
  <c r="K466" i="2"/>
  <c r="K442" i="2"/>
  <c r="K430" i="2"/>
  <c r="K418" i="2"/>
  <c r="K653" i="2"/>
  <c r="K814" i="2"/>
  <c r="K802" i="2"/>
  <c r="K684" i="2"/>
  <c r="K648" i="2"/>
  <c r="K564" i="2"/>
  <c r="K540" i="2"/>
  <c r="K516" i="2"/>
  <c r="K468" i="2"/>
  <c r="K444" i="2"/>
  <c r="K791" i="2"/>
  <c r="K779" i="2"/>
  <c r="K616" i="2"/>
  <c r="K568" i="2"/>
  <c r="K815" i="2"/>
  <c r="K803" i="2"/>
  <c r="H40" i="2"/>
  <c r="F40" i="2"/>
  <c r="H33" i="2"/>
  <c r="K789" i="2"/>
  <c r="K777" i="2"/>
  <c r="K765" i="2"/>
  <c r="K753" i="2"/>
  <c r="K741" i="2"/>
  <c r="K729" i="2"/>
  <c r="K717" i="2"/>
  <c r="K705" i="2"/>
  <c r="K693" i="2"/>
  <c r="K681" i="2"/>
  <c r="K669" i="2"/>
  <c r="K657" i="2"/>
  <c r="K645" i="2"/>
  <c r="K633" i="2"/>
  <c r="K798" i="2"/>
  <c r="K474" i="2"/>
  <c r="K813" i="2"/>
  <c r="K801" i="2"/>
  <c r="K621" i="2"/>
  <c r="K609" i="2"/>
  <c r="K597" i="2"/>
  <c r="K585" i="2"/>
  <c r="K573" i="2"/>
  <c r="K561" i="2"/>
  <c r="K549" i="2"/>
  <c r="K537" i="2"/>
  <c r="K525" i="2"/>
  <c r="K513" i="2"/>
  <c r="K489" i="2"/>
  <c r="K477" i="2"/>
  <c r="K465" i="2"/>
  <c r="K453" i="2"/>
  <c r="K441" i="2"/>
  <c r="K429" i="2"/>
  <c r="K417" i="2"/>
  <c r="F96" i="2"/>
  <c r="K498" i="2"/>
  <c r="K486" i="2"/>
  <c r="K462" i="2"/>
  <c r="K450" i="2"/>
  <c r="K438" i="2"/>
  <c r="K426" i="2"/>
  <c r="K436" i="2"/>
  <c r="K750" i="2"/>
  <c r="K690" i="2"/>
  <c r="K678" i="2"/>
  <c r="K666" i="2"/>
  <c r="K654" i="2"/>
  <c r="K642" i="2"/>
  <c r="K786" i="2"/>
  <c r="K618" i="2"/>
  <c r="K606" i="2"/>
  <c r="K594" i="2"/>
  <c r="K582" i="2"/>
  <c r="K570" i="2"/>
  <c r="K558" i="2"/>
  <c r="K546" i="2"/>
  <c r="K534" i="2"/>
  <c r="K522" i="2"/>
  <c r="K510" i="2"/>
  <c r="K282" i="2"/>
  <c r="K628" i="2"/>
  <c r="K496" i="2"/>
  <c r="K484" i="2"/>
  <c r="K472" i="2"/>
  <c r="K460" i="2"/>
  <c r="K424" i="2"/>
  <c r="K604" i="2"/>
  <c r="K447" i="2"/>
  <c r="K592" i="2"/>
  <c r="K580" i="2"/>
  <c r="K556" i="2"/>
  <c r="K544" i="2"/>
  <c r="K820" i="2"/>
  <c r="K808" i="2"/>
  <c r="K784" i="2"/>
  <c r="K772" i="2"/>
  <c r="K760" i="2"/>
  <c r="K532" i="2"/>
  <c r="K748" i="2"/>
  <c r="K520" i="2"/>
  <c r="K353" i="2"/>
  <c r="K796" i="2"/>
  <c r="K736" i="2"/>
  <c r="K724" i="2"/>
  <c r="K712" i="2"/>
  <c r="K700" i="2"/>
  <c r="K508" i="2"/>
  <c r="K688" i="2"/>
  <c r="K676" i="2"/>
  <c r="K664" i="2"/>
  <c r="K652" i="2"/>
  <c r="K640" i="2"/>
  <c r="H96" i="2"/>
  <c r="K651" i="2"/>
  <c r="K639" i="2"/>
  <c r="K603" i="2"/>
  <c r="K759" i="2"/>
  <c r="K675" i="2"/>
  <c r="K663" i="2"/>
  <c r="K627" i="2"/>
  <c r="K567" i="2"/>
  <c r="F87" i="2"/>
  <c r="K819" i="2"/>
  <c r="K747" i="2"/>
  <c r="K615" i="2"/>
  <c r="K435" i="2"/>
  <c r="K576" i="2"/>
  <c r="K456" i="2"/>
  <c r="K735" i="2"/>
  <c r="K555" i="2"/>
  <c r="K507" i="2"/>
  <c r="K807" i="2"/>
  <c r="K723" i="2"/>
  <c r="K711" i="2"/>
  <c r="K699" i="2"/>
  <c r="K543" i="2"/>
  <c r="K495" i="2"/>
  <c r="K687" i="2"/>
  <c r="K483" i="2"/>
  <c r="K471" i="2"/>
  <c r="K795" i="2"/>
  <c r="K783" i="2"/>
  <c r="K771" i="2"/>
  <c r="K591" i="2"/>
  <c r="K579" i="2"/>
  <c r="K531" i="2"/>
  <c r="K459" i="2"/>
  <c r="F31" i="2"/>
  <c r="K505" i="2"/>
  <c r="K421" i="2"/>
  <c r="K400" i="2"/>
  <c r="K612" i="2"/>
  <c r="K492" i="2"/>
  <c r="K588" i="2"/>
  <c r="K432" i="2"/>
  <c r="K672" i="2"/>
  <c r="K636" i="2"/>
  <c r="K504" i="2"/>
  <c r="K480" i="2"/>
  <c r="K660" i="2"/>
  <c r="K552" i="2"/>
  <c r="K696" i="2"/>
  <c r="K624" i="2"/>
  <c r="K600" i="2"/>
  <c r="K528" i="2"/>
  <c r="G31" i="2"/>
  <c r="K792" i="2"/>
  <c r="H92" i="2"/>
  <c r="H87" i="2"/>
  <c r="H79" i="2"/>
  <c r="L79" i="2" s="1"/>
  <c r="F79" i="2"/>
  <c r="K720" i="2"/>
  <c r="K613" i="2"/>
  <c r="K744" i="2"/>
  <c r="K673" i="2"/>
  <c r="K481" i="2"/>
  <c r="K816" i="2"/>
  <c r="K804" i="2"/>
  <c r="K780" i="2"/>
  <c r="K637" i="2"/>
  <c r="K685" i="2"/>
  <c r="K649" i="2"/>
  <c r="K732" i="2"/>
  <c r="K708" i="2"/>
  <c r="K529" i="2"/>
  <c r="K822" i="2"/>
  <c r="K607" i="2"/>
  <c r="K595" i="2"/>
  <c r="K583" i="2"/>
  <c r="K547" i="2"/>
  <c r="K511" i="2"/>
  <c r="K439" i="2"/>
  <c r="K427" i="2"/>
  <c r="K756" i="2"/>
  <c r="K493" i="2"/>
  <c r="K697" i="2"/>
  <c r="K661" i="2"/>
  <c r="K768" i="2"/>
  <c r="K31" i="2"/>
  <c r="H32" i="2"/>
  <c r="F32" i="2"/>
  <c r="H27" i="2"/>
  <c r="F27" i="2"/>
  <c r="K774" i="2"/>
  <c r="K726" i="2"/>
  <c r="K631" i="2"/>
  <c r="K810" i="2"/>
  <c r="K679" i="2"/>
  <c r="K643" i="2"/>
  <c r="K451" i="2"/>
  <c r="K702" i="2"/>
  <c r="K778" i="2"/>
  <c r="K635" i="2"/>
  <c r="K551" i="2"/>
  <c r="K535" i="2"/>
  <c r="K762" i="2"/>
  <c r="K714" i="2"/>
  <c r="K691" i="2"/>
  <c r="K655" i="2"/>
  <c r="K487" i="2"/>
  <c r="K738" i="2"/>
  <c r="K499" i="2"/>
  <c r="K730" i="2"/>
  <c r="K667" i="2"/>
  <c r="K619" i="2"/>
  <c r="K766" i="2"/>
  <c r="K523" i="2"/>
  <c r="H17" i="2"/>
  <c r="F17" i="2"/>
  <c r="K630" i="2"/>
  <c r="I49" i="5"/>
  <c r="I48" i="5"/>
  <c r="I47" i="5"/>
  <c r="K33" i="4"/>
  <c r="I11" i="5"/>
  <c r="K18" i="4"/>
  <c r="K19" i="4"/>
  <c r="K39" i="4"/>
  <c r="K40" i="4"/>
  <c r="K25" i="4"/>
  <c r="K32" i="4"/>
  <c r="K26" i="4"/>
  <c r="K93" i="2" l="1"/>
  <c r="K405" i="2"/>
  <c r="K365" i="2"/>
  <c r="K407" i="2"/>
  <c r="K423" i="2"/>
  <c r="K395" i="2"/>
  <c r="K419" i="2"/>
  <c r="K406" i="2"/>
  <c r="K397" i="2"/>
  <c r="J7" i="3"/>
  <c r="K7" i="3" s="1"/>
  <c r="I13" i="5" s="1"/>
  <c r="F13" i="5"/>
  <c r="K390" i="2"/>
  <c r="K402" i="2"/>
  <c r="K401" i="2"/>
  <c r="K404" i="2"/>
  <c r="K409" i="2"/>
  <c r="K366" i="2"/>
  <c r="K342" i="2"/>
  <c r="K389" i="2"/>
  <c r="K355" i="2"/>
  <c r="K42" i="3"/>
  <c r="K88" i="2"/>
  <c r="K81" i="2"/>
  <c r="L19" i="2"/>
  <c r="K19" i="2" s="1"/>
  <c r="K399" i="2"/>
  <c r="K398" i="2"/>
  <c r="K393" i="2"/>
  <c r="K392" i="2"/>
  <c r="K388" i="2"/>
  <c r="K387" i="2"/>
  <c r="K360" i="2"/>
  <c r="K358" i="2"/>
  <c r="K361" i="2"/>
  <c r="K362" i="2"/>
  <c r="K364" i="2"/>
  <c r="K363" i="2"/>
  <c r="K359" i="2"/>
  <c r="K356" i="2"/>
  <c r="K44" i="3"/>
  <c r="L40" i="2"/>
  <c r="K40" i="2" s="1"/>
  <c r="L33" i="2"/>
  <c r="K33" i="2" s="1"/>
  <c r="F28" i="5"/>
  <c r="J22" i="3"/>
  <c r="K79" i="2"/>
  <c r="L17" i="2"/>
  <c r="L96" i="2"/>
  <c r="K96" i="2" s="1"/>
  <c r="L92" i="2"/>
  <c r="K92" i="2" s="1"/>
  <c r="L87" i="2"/>
  <c r="K87" i="2" s="1"/>
  <c r="C19" i="4"/>
  <c r="G19" i="4" s="1"/>
  <c r="C25" i="4"/>
  <c r="G25" i="4" s="1"/>
  <c r="C11" i="4"/>
  <c r="G11" i="4" s="1"/>
  <c r="C40" i="4"/>
  <c r="G40" i="4" s="1"/>
  <c r="C32" i="4"/>
  <c r="G32" i="4" s="1"/>
  <c r="L32" i="2"/>
  <c r="K32" i="2" s="1"/>
  <c r="L27" i="2"/>
  <c r="K27" i="2" s="1"/>
  <c r="J4" i="3"/>
  <c r="K4" i="3" s="1"/>
  <c r="C26" i="4"/>
  <c r="G26" i="4" s="1"/>
  <c r="C38" i="4"/>
  <c r="G38" i="4" s="1"/>
  <c r="C10" i="4"/>
  <c r="G10" i="4" s="1"/>
  <c r="J30" i="3"/>
  <c r="K30" i="3" s="1"/>
  <c r="I36" i="5" s="1"/>
  <c r="F36" i="5"/>
  <c r="C24" i="4"/>
  <c r="G24" i="4" s="1"/>
  <c r="C18" i="4"/>
  <c r="G18" i="4" s="1"/>
  <c r="C17" i="4"/>
  <c r="C12" i="4"/>
  <c r="G12" i="4" s="1"/>
  <c r="C33" i="4"/>
  <c r="G33" i="4" s="1"/>
  <c r="L4" i="2"/>
  <c r="Q4" i="1" s="1"/>
  <c r="L14" i="5" s="1"/>
  <c r="F10" i="5"/>
  <c r="J6" i="3"/>
  <c r="K6" i="3" s="1"/>
  <c r="F12" i="5"/>
  <c r="K12" i="4"/>
  <c r="C31" i="4"/>
  <c r="C39" i="4"/>
  <c r="G39" i="4" s="1"/>
  <c r="K17" i="2" l="1"/>
  <c r="K11" i="4"/>
  <c r="K38" i="4"/>
  <c r="K42" i="4" s="1"/>
  <c r="I10" i="5"/>
  <c r="K24" i="4"/>
  <c r="K28" i="4" s="1"/>
  <c r="K17" i="4"/>
  <c r="K21" i="4" s="1"/>
  <c r="K31" i="4"/>
  <c r="K35" i="4" s="1"/>
  <c r="K10" i="4"/>
  <c r="G28" i="4"/>
  <c r="I12" i="5"/>
  <c r="C21" i="4"/>
  <c r="C14" i="4"/>
  <c r="G17" i="4"/>
  <c r="G21" i="4" s="1"/>
  <c r="C28" i="4"/>
  <c r="G14" i="4"/>
  <c r="G46" i="4"/>
  <c r="L6" i="2"/>
  <c r="Q6" i="1" s="1"/>
  <c r="L11" i="5" s="1"/>
  <c r="G47" i="4"/>
  <c r="G31" i="4"/>
  <c r="G35" i="4" s="1"/>
  <c r="C35" i="4"/>
  <c r="G42" i="4"/>
  <c r="C42" i="4"/>
  <c r="K14" i="4" l="1"/>
  <c r="L14" i="4" s="1"/>
  <c r="L5" i="2"/>
  <c r="Q5" i="1" s="1"/>
  <c r="J44" i="5"/>
  <c r="J35" i="5"/>
  <c r="J34" i="5"/>
  <c r="J39" i="5"/>
  <c r="J28" i="5"/>
  <c r="J30" i="5"/>
  <c r="J19" i="5"/>
  <c r="J37" i="5"/>
  <c r="J32" i="5"/>
  <c r="J33" i="5"/>
  <c r="J36" i="5"/>
  <c r="J31" i="5"/>
  <c r="J12" i="5"/>
  <c r="J49" i="5"/>
  <c r="J24" i="5"/>
  <c r="J15" i="5"/>
  <c r="L42" i="4"/>
  <c r="J14" i="5"/>
  <c r="J18" i="5"/>
  <c r="J29" i="5"/>
  <c r="J27" i="5"/>
  <c r="J42" i="5"/>
  <c r="J47" i="5"/>
  <c r="J41" i="5"/>
  <c r="J13" i="5"/>
  <c r="J48" i="5"/>
  <c r="J22" i="5"/>
  <c r="L35" i="4"/>
  <c r="J26" i="5"/>
  <c r="J40" i="5"/>
  <c r="J23" i="5"/>
  <c r="J17" i="5"/>
  <c r="L28" i="4"/>
  <c r="L21" i="4"/>
  <c r="J11" i="5"/>
  <c r="J43" i="5"/>
  <c r="J20" i="5"/>
  <c r="J25" i="5"/>
  <c r="J10" i="5"/>
  <c r="J38" i="5"/>
  <c r="J16" i="5"/>
  <c r="J21" i="5"/>
  <c r="G45" i="4"/>
  <c r="H14" i="4" s="1"/>
  <c r="H28" i="4" l="1"/>
  <c r="H35" i="4"/>
  <c r="H21" i="4"/>
  <c r="H4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4" authorId="0" shapeId="0" xr:uid="{00000000-0006-0000-0000-000001000000}">
      <text>
        <r>
          <rPr>
            <b/>
            <sz val="8.5"/>
            <color indexed="63"/>
            <rFont val="Times New Roman"/>
            <family val="1"/>
          </rPr>
          <t xml:space="preserve">Ponto de Função IFPUG: </t>
        </r>
        <r>
          <rPr>
            <sz val="8.5"/>
            <color indexed="63"/>
            <rFont val="Times New Roman"/>
            <family val="1"/>
          </rPr>
          <t>medição baseada nas regras do IFPUG. Não considerada os deflatores nem os itens não mensuráveis. Caso a funcionalidade não tenha sido detalhada, será considerada a estimativa da NESMA.</t>
        </r>
      </text>
    </comment>
    <comment ref="Q5" authorId="0" shapeId="0" xr:uid="{00000000-0006-0000-0000-000002000000}">
      <text>
        <r>
          <rPr>
            <b/>
            <sz val="8.5"/>
            <color indexed="63"/>
            <rFont val="Times New Roman"/>
            <family val="1"/>
          </rPr>
          <t xml:space="preserve">Ponto de Função Local do EM: </t>
        </r>
        <r>
          <rPr>
            <sz val="8.5"/>
            <color indexed="63"/>
            <rFont val="Times New Roman"/>
            <family val="1"/>
          </rPr>
          <t>medição para remuneração do Escritório de Métricas.Equivalente à medição IFPUG. Porém, considera os itens não mensuráveis previstos em contrato.</t>
        </r>
      </text>
    </comment>
    <comment ref="Q6" authorId="0" shapeId="0" xr:uid="{00000000-0006-0000-0000-000003000000}">
      <text>
        <r>
          <rPr>
            <b/>
            <sz val="8.5"/>
            <rFont val="Times New Roman"/>
            <family val="1"/>
          </rPr>
          <t xml:space="preserve">Ponto de Função Local da FS: </t>
        </r>
        <r>
          <rPr>
            <sz val="8.5"/>
            <color indexed="81"/>
            <rFont val="Times New Roman"/>
            <family val="1"/>
          </rPr>
          <t>medição para remuneração da Fábrica de Software. Equivalente à medição IFPUG. Porém, considera os deflatores e os itens não mensuráveis previstos em contrato.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Ana Karyna da Silva Teixeira</author>
    <author>cleriston alvarenga</author>
    <author>Dellano Henrique</author>
  </authors>
  <commentList>
    <comment ref="K4" authorId="0" shapeId="0" xr:uid="{00000000-0006-0000-0100-000001000000}">
      <text>
        <r>
          <rPr>
            <b/>
            <sz val="8"/>
            <color indexed="8"/>
            <rFont val="Tahoma"/>
            <family val="2"/>
          </rPr>
          <t xml:space="preserve">Ponto de Função IFPUG:
</t>
        </r>
        <r>
          <rPr>
            <sz val="8"/>
            <color indexed="8"/>
            <rFont val="Tahoma"/>
            <family val="2"/>
          </rPr>
          <t xml:space="preserve">Medição baseada nas regras do IFPUG. Não considerada os deflatores nem os itens não mensuráveis. Caso a funcionalidade não tenha sido detalhada, será considerada a estimativa da NESMA.
</t>
        </r>
      </text>
    </comment>
    <comment ref="K5" authorId="0" shapeId="0" xr:uid="{00000000-0006-0000-0100-000002000000}">
      <text>
        <r>
          <rPr>
            <b/>
            <sz val="8"/>
            <color indexed="8"/>
            <rFont val="Tahoma"/>
            <family val="2"/>
          </rPr>
          <t xml:space="preserve">Ponto de Função Local do EM:
</t>
        </r>
        <r>
          <rPr>
            <sz val="8"/>
            <color indexed="8"/>
            <rFont val="Tahoma"/>
            <family val="2"/>
          </rPr>
          <t>Medição para remuneração do Escritório de Métricas. Equivalente à medição IFPUG. Porém, considera os itens não mensuráveis previstos em contrato.</t>
        </r>
      </text>
    </comment>
    <comment ref="K6" authorId="0" shapeId="0" xr:uid="{00000000-0006-0000-0100-000003000000}">
      <text>
        <r>
          <rPr>
            <b/>
            <sz val="8"/>
            <color indexed="8"/>
            <rFont val="Tahoma"/>
            <family val="2"/>
          </rPr>
          <t xml:space="preserve">Ponto de Função Local da FS:
</t>
        </r>
        <r>
          <rPr>
            <sz val="8"/>
            <color indexed="8"/>
            <rFont val="Tahoma"/>
            <family val="2"/>
          </rPr>
          <t xml:space="preserve">Medição para remuneração da Fábrica de Software. Equivalente à medição IFPUG. Porém, considera os deflatores e os itens não mensuráveis previstos em contrato.
</t>
        </r>
      </text>
    </comment>
    <comment ref="A7" authorId="0" shapeId="0" xr:uid="{00000000-0006-0000-0100-000004000000}">
      <text>
        <r>
          <rPr>
            <b/>
            <sz val="8"/>
            <color indexed="8"/>
            <rFont val="Tahoma"/>
            <family val="2"/>
          </rPr>
          <t xml:space="preserve">Nome da Função:
</t>
        </r>
        <r>
          <rPr>
            <sz val="8"/>
            <color indexed="8"/>
            <rFont val="Tahoma"/>
            <family val="2"/>
          </rPr>
          <t>O processo é a menor unidade de atividade significativa para o usuário?
É auto-contido e deixa o negócio da aplicação em um estado consistente?</t>
        </r>
      </text>
    </comment>
    <comment ref="B7" authorId="0" shapeId="0" xr:uid="{00000000-0006-0000-0100-000005000000}">
      <text>
        <r>
          <rPr>
            <b/>
            <sz val="8"/>
            <color indexed="8"/>
            <rFont val="Tahoma"/>
            <family val="2"/>
          </rPr>
          <t xml:space="preserve">Tipo de Função: 
</t>
        </r>
        <r>
          <rPr>
            <sz val="8"/>
            <color indexed="8"/>
            <rFont val="Tahoma"/>
            <family val="2"/>
          </rPr>
          <t>ALI, AIE, EE, SE, CE
ou
Itens não mensuráveis</t>
        </r>
      </text>
    </comment>
    <comment ref="C7" authorId="0" shapeId="0" xr:uid="{00000000-0006-0000-0100-000006000000}">
      <text>
        <r>
          <rPr>
            <b/>
            <sz val="8"/>
            <color indexed="8"/>
            <rFont val="Tahoma"/>
            <family val="2"/>
          </rPr>
          <t xml:space="preserve">Tipo de Manutenção na função:
</t>
        </r>
        <r>
          <rPr>
            <sz val="8"/>
            <color indexed="8"/>
            <rFont val="Tahoma"/>
            <family val="2"/>
          </rPr>
          <t xml:space="preserve">I, A, E 
ou
Itens não mensuráveis
</t>
        </r>
      </text>
    </comment>
    <comment ref="D7" authorId="0" shapeId="0" xr:uid="{00000000-0006-0000-0100-000007000000}">
      <text>
        <r>
          <rPr>
            <b/>
            <sz val="8"/>
            <color indexed="8"/>
            <rFont val="Tahoma"/>
            <family val="2"/>
          </rPr>
          <t xml:space="preserve">Tipos de Dados (DETs)
</t>
        </r>
      </text>
    </comment>
    <comment ref="E7" authorId="0" shapeId="0" xr:uid="{00000000-0006-0000-0100-000008000000}">
      <text>
        <r>
          <rPr>
            <b/>
            <sz val="8"/>
            <color indexed="8"/>
            <rFont val="Tahoma"/>
            <family val="2"/>
          </rPr>
          <t xml:space="preserve">Arquivos Referenciados / Tipos de Registro
</t>
        </r>
      </text>
    </comment>
    <comment ref="F7" authorId="0" shapeId="0" xr:uid="{00000000-0006-0000-0100-000009000000}">
      <text>
        <r>
          <rPr>
            <b/>
            <sz val="8"/>
            <color indexed="8"/>
            <rFont val="Tahoma"/>
            <family val="2"/>
          </rPr>
          <t xml:space="preserve">Grau de complexidade específico atribuído a uma função.
</t>
        </r>
      </text>
    </comment>
    <comment ref="M7" authorId="0" shapeId="0" xr:uid="{00000000-0006-0000-0100-00000A000000}">
      <text>
        <r>
          <rPr>
            <b/>
            <sz val="8"/>
            <color indexed="8"/>
            <rFont val="Tahoma"/>
            <family val="2"/>
          </rPr>
          <t xml:space="preserve">Normalmente utilizado para contagem de baseline, onde o desenvolvimento foi realizado de forma incremental. Isto indica em qual(is) pacote(s) cada funcionalidade foi impactada. Em algumas situações pode ser informado o número do projeto, demanda ou incremento.
</t>
        </r>
      </text>
    </comment>
    <comment ref="N7" authorId="0" shapeId="0" xr:uid="{00000000-0006-0000-0100-00000B000000}">
      <text>
        <r>
          <rPr>
            <b/>
            <sz val="8"/>
            <color indexed="8"/>
            <rFont val="Tahoma"/>
            <family val="2"/>
          </rPr>
          <t xml:space="preserve">Referência ao documento que justifica a contagem da funcionalidade
</t>
        </r>
      </text>
    </comment>
    <comment ref="D9" authorId="1" shapeId="0" xr:uid="{00000000-0006-0000-0100-00000C000000}">
      <text>
        <r>
          <rPr>
            <sz val="9"/>
            <color indexed="81"/>
            <rFont val="Segoe UI"/>
            <family val="2"/>
          </rPr>
          <t>1 - Usuário
2 - Senha
3 - Recaptcha
4 - Comando
5 - Mensagem</t>
        </r>
      </text>
    </comment>
    <comment ref="E9" authorId="1" shapeId="0" xr:uid="{00000000-0006-0000-0100-00000D000000}">
      <text>
        <r>
          <rPr>
            <sz val="9"/>
            <color indexed="81"/>
            <rFont val="Segoe UI"/>
            <family val="2"/>
          </rPr>
          <t>1 - Usuário
2 - Perfil
3 - SEAP</t>
        </r>
      </text>
    </comment>
    <comment ref="D12" authorId="1" shapeId="0" xr:uid="{00000000-0006-0000-0100-00000E000000}">
      <text>
        <r>
          <rPr>
            <sz val="9"/>
            <color indexed="81"/>
            <rFont val="Segoe UI"/>
            <family val="2"/>
          </rPr>
          <t>1 - Código
2 - Descrição
3 - Sigla
4 - Data Inicio Setor
5 - Data Fim Setor
6 - Tipo de Unidade Setor</t>
        </r>
      </text>
    </comment>
    <comment ref="E12" authorId="1" shapeId="0" xr:uid="{00000000-0006-0000-0100-00000F000000}">
      <text>
        <r>
          <rPr>
            <sz val="9"/>
            <color indexed="81"/>
            <rFont val="Segoe UI"/>
            <family val="2"/>
          </rPr>
          <t>1 - Órgão</t>
        </r>
      </text>
    </comment>
    <comment ref="D13" authorId="1" shapeId="0" xr:uid="{00000000-0006-0000-0100-000010000000}">
      <text>
        <r>
          <rPr>
            <sz val="9"/>
            <color indexed="81"/>
            <rFont val="Segoe UI"/>
            <family val="2"/>
          </rPr>
          <t>1 - Código
2 - Descrição
3 - Sigla
4 - Data Inicio Setor
5 - Data Fim Setor
6 - Comando
7 - Mensagem</t>
        </r>
      </text>
    </comment>
    <comment ref="E13" authorId="1" shapeId="0" xr:uid="{00000000-0006-0000-0100-000011000000}">
      <text>
        <r>
          <rPr>
            <sz val="9"/>
            <color indexed="81"/>
            <rFont val="Segoe UI"/>
            <family val="2"/>
          </rPr>
          <t>1 - Órgão
2 - Setor</t>
        </r>
      </text>
    </comment>
    <comment ref="D16" authorId="1" shapeId="0" xr:uid="{00000000-0006-0000-0100-000012000000}">
      <text>
        <r>
          <rPr>
            <sz val="9"/>
            <color indexed="81"/>
            <rFont val="Segoe UI"/>
            <family val="2"/>
          </rPr>
          <t>1 - Código
2 - Descrição</t>
        </r>
      </text>
    </comment>
    <comment ref="E16" authorId="1" shapeId="0" xr:uid="{00000000-0006-0000-0100-000013000000}">
      <text>
        <r>
          <rPr>
            <sz val="9"/>
            <color indexed="81"/>
            <rFont val="Segoe UI"/>
            <family val="2"/>
          </rPr>
          <t>1 - Cargo</t>
        </r>
      </text>
    </comment>
    <comment ref="D17" authorId="1" shapeId="0" xr:uid="{00000000-0006-0000-0100-000014000000}">
      <text>
        <r>
          <rPr>
            <sz val="9"/>
            <color indexed="81"/>
            <rFont val="Segoe UI"/>
            <family val="2"/>
          </rPr>
          <t>1 - Código
2 - Descrição
3 - Comando
4 - Mensagem</t>
        </r>
      </text>
    </comment>
    <comment ref="E17" authorId="1" shapeId="0" xr:uid="{00000000-0006-0000-0100-000015000000}">
      <text>
        <r>
          <rPr>
            <sz val="9"/>
            <color indexed="81"/>
            <rFont val="Segoe UI"/>
            <family val="2"/>
          </rPr>
          <t>1 - Cargo</t>
        </r>
      </text>
    </comment>
    <comment ref="D18" authorId="1" shapeId="0" xr:uid="{15C919D8-CAF3-4EA4-8A7D-46FD404A1B23}">
      <text>
        <r>
          <rPr>
            <sz val="9"/>
            <color indexed="81"/>
            <rFont val="Segoe UI"/>
            <family val="2"/>
          </rPr>
          <t>1 - Cargo
2 - Autorização
3 - Comando
4 - Mensagem</t>
        </r>
      </text>
    </comment>
    <comment ref="E18" authorId="1" shapeId="0" xr:uid="{FEBB8940-5319-48AB-8EDC-60787F15D854}">
      <text>
        <r>
          <rPr>
            <sz val="9"/>
            <color indexed="81"/>
            <rFont val="Segoe UI"/>
            <family val="2"/>
          </rPr>
          <t>1 - Cargo
2 - Autorização</t>
        </r>
      </text>
    </comment>
    <comment ref="D21" authorId="1" shapeId="0" xr:uid="{00000000-0006-0000-0100-000016000000}">
      <text>
        <r>
          <rPr>
            <sz val="9"/>
            <color indexed="81"/>
            <rFont val="Segoe UI"/>
            <family val="2"/>
          </rPr>
          <t>1 - Código
2 - Setor
3 - Órgão
4 - Sigla Setor
5 - Cidade
6 - Fuso Horário
7 - Data Início
8 - Data Fim
9 - Setor Pai
10 - Tipo de Unidade
11 - Status</t>
        </r>
      </text>
    </comment>
    <comment ref="E21" authorId="1" shapeId="0" xr:uid="{00000000-0006-0000-0100-000017000000}">
      <text>
        <r>
          <rPr>
            <sz val="9"/>
            <color indexed="81"/>
            <rFont val="Segoe UI"/>
            <family val="2"/>
          </rPr>
          <t>1 - Setor</t>
        </r>
      </text>
    </comment>
    <comment ref="D22" authorId="1" shapeId="0" xr:uid="{00000000-0006-0000-0100-000018000000}">
      <text>
        <r>
          <rPr>
            <sz val="9"/>
            <color indexed="81"/>
            <rFont val="Segoe UI"/>
            <family val="2"/>
          </rPr>
          <t>1 - Código
2 - Setor
3 - Órgão
4 - Cidade
5 - Fuso Horário
6 - Data Início
7 - Data Fim
8 - Setor Pai
9 - Status
10 - Comando
11 - Mensagem</t>
        </r>
      </text>
    </comment>
    <comment ref="E22" authorId="1" shapeId="0" xr:uid="{00000000-0006-0000-0100-000019000000}">
      <text>
        <r>
          <rPr>
            <sz val="9"/>
            <color indexed="81"/>
            <rFont val="Segoe UI"/>
            <family val="2"/>
          </rPr>
          <t>1 - Setor
2 - Órgão</t>
        </r>
      </text>
    </comment>
    <comment ref="D25" authorId="1" shapeId="0" xr:uid="{00000000-0006-0000-0100-00001A000000}">
      <text>
        <r>
          <rPr>
            <sz val="9"/>
            <color indexed="81"/>
            <rFont val="Segoe UI"/>
            <family val="2"/>
          </rPr>
          <t>1 - Código
2 - Órgão
3 - Setor
4 - Período
5 - Dia da Semana
6 - Hora Inicio
7 - Hora Fim
8 - Status</t>
        </r>
      </text>
    </comment>
    <comment ref="E25" authorId="1" shapeId="0" xr:uid="{00000000-0006-0000-0100-00001B000000}">
      <text>
        <r>
          <rPr>
            <sz val="9"/>
            <color indexed="81"/>
            <rFont val="Segoe UI"/>
            <family val="2"/>
          </rPr>
          <t>1 - Horário Funcionamento
2 - Dia da Semana</t>
        </r>
      </text>
    </comment>
    <comment ref="D26" authorId="1" shapeId="0" xr:uid="{00000000-0006-0000-0100-00001C000000}">
      <text>
        <r>
          <rPr>
            <sz val="9"/>
            <color indexed="81"/>
            <rFont val="Segoe UI"/>
            <family val="2"/>
          </rPr>
          <t>1 - Código
2 - Descrição</t>
        </r>
      </text>
    </comment>
    <comment ref="E26" authorId="1" shapeId="0" xr:uid="{00000000-0006-0000-0100-00001D000000}">
      <text>
        <r>
          <rPr>
            <sz val="9"/>
            <color indexed="81"/>
            <rFont val="Segoe UI"/>
            <family val="2"/>
          </rPr>
          <t xml:space="preserve">1 - Período
</t>
        </r>
      </text>
    </comment>
    <comment ref="D27" authorId="1" shapeId="0" xr:uid="{00000000-0006-0000-0100-00001E000000}">
      <text>
        <r>
          <rPr>
            <sz val="9"/>
            <color indexed="81"/>
            <rFont val="Segoe UI"/>
            <family val="2"/>
          </rPr>
          <t>1 - Código
2 - Descrição
3 - Sigla
4 - Comando</t>
        </r>
      </text>
    </comment>
    <comment ref="E27" authorId="1" shapeId="0" xr:uid="{00000000-0006-0000-0100-00001F000000}">
      <text>
        <r>
          <rPr>
            <sz val="9"/>
            <color indexed="81"/>
            <rFont val="Segoe UI"/>
            <family val="2"/>
          </rPr>
          <t xml:space="preserve">1 - Órgão
</t>
        </r>
      </text>
    </comment>
    <comment ref="D28" authorId="1" shapeId="0" xr:uid="{00000000-0006-0000-0100-000020000000}">
      <text>
        <r>
          <rPr>
            <sz val="9"/>
            <color indexed="81"/>
            <rFont val="Segoe UI"/>
            <family val="2"/>
          </rPr>
          <t>1 - Código
2 - Descrição
3 - Comando</t>
        </r>
      </text>
    </comment>
    <comment ref="E28" authorId="1" shapeId="0" xr:uid="{00000000-0006-0000-0100-000021000000}">
      <text>
        <r>
          <rPr>
            <sz val="9"/>
            <color indexed="81"/>
            <rFont val="Segoe UI"/>
            <family val="2"/>
          </rPr>
          <t>1 - Setor</t>
        </r>
      </text>
    </comment>
    <comment ref="D29" authorId="1" shapeId="0" xr:uid="{00000000-0006-0000-0100-000022000000}">
      <text>
        <r>
          <rPr>
            <sz val="9"/>
            <color indexed="81"/>
            <rFont val="Segoe UI"/>
            <family val="2"/>
          </rPr>
          <t>1 - Código
2 - Descrição
3 - Comando</t>
        </r>
      </text>
    </comment>
    <comment ref="E29" authorId="1" shapeId="0" xr:uid="{00000000-0006-0000-0100-000023000000}">
      <text>
        <r>
          <rPr>
            <sz val="9"/>
            <color indexed="81"/>
            <rFont val="Segoe UI"/>
            <family val="2"/>
          </rPr>
          <t xml:space="preserve">1 - Período
</t>
        </r>
      </text>
    </comment>
    <comment ref="D30" authorId="1" shapeId="0" xr:uid="{00000000-0006-0000-0100-000024000000}">
      <text>
        <r>
          <rPr>
            <sz val="9"/>
            <color indexed="81"/>
            <rFont val="Segoe UI"/>
            <family val="2"/>
          </rPr>
          <t xml:space="preserve">1 - Código
2 - Descrição
3 - Comando
</t>
        </r>
      </text>
    </comment>
    <comment ref="E30" authorId="1" shapeId="0" xr:uid="{00000000-0006-0000-0100-000025000000}">
      <text>
        <r>
          <rPr>
            <sz val="9"/>
            <color indexed="81"/>
            <rFont val="Segoe UI"/>
            <family val="2"/>
          </rPr>
          <t>Dia da Semana</t>
        </r>
      </text>
    </comment>
    <comment ref="D31" authorId="1" shapeId="0" xr:uid="{00000000-0006-0000-0100-000026000000}">
      <text>
        <r>
          <rPr>
            <sz val="9"/>
            <color indexed="81"/>
            <rFont val="Segoe UI"/>
            <family val="2"/>
          </rPr>
          <t>1 - Código
2 - Órgão
3 - Setor
4 - Período
5 - Dia da Semana
6 - Status
7 - Comando
8 - Mensagem</t>
        </r>
      </text>
    </comment>
    <comment ref="E31" authorId="1" shapeId="0" xr:uid="{00000000-0006-0000-0100-000027000000}">
      <text>
        <r>
          <rPr>
            <sz val="9"/>
            <color indexed="81"/>
            <rFont val="Segoe UI"/>
            <family val="2"/>
          </rPr>
          <t>1 - Horário Funcionamento
2 - Órgão
3 - Setor
4 - Período</t>
        </r>
      </text>
    </comment>
    <comment ref="D32" authorId="1" shapeId="0" xr:uid="{00000000-0006-0000-0100-000028000000}">
      <text>
        <r>
          <rPr>
            <sz val="9"/>
            <color indexed="81"/>
            <rFont val="Segoe UI"/>
            <family val="2"/>
          </rPr>
          <t>1 - Código
2 - Órgão
3 - Setor
4 - Período
5 - Dia da Semana
6 - Hora Inicio
7 - Hora Fim
8 - Status
9 - Comando
10 - Mensagem</t>
        </r>
      </text>
    </comment>
    <comment ref="E32" authorId="1" shapeId="0" xr:uid="{00000000-0006-0000-0100-000029000000}">
      <text>
        <r>
          <rPr>
            <sz val="9"/>
            <color indexed="81"/>
            <rFont val="Segoe UI"/>
            <family val="2"/>
          </rPr>
          <t>1 - Horário Funcionamento
2 - Órgão
3 - Setor
4 - Período</t>
        </r>
      </text>
    </comment>
    <comment ref="D33" authorId="1" shapeId="0" xr:uid="{00000000-0006-0000-0100-00002A000000}">
      <text>
        <r>
          <rPr>
            <sz val="9"/>
            <color indexed="81"/>
            <rFont val="Segoe UI"/>
            <family val="2"/>
          </rPr>
          <t>1 - Código
2 - Comando
3 - Mensagem</t>
        </r>
      </text>
    </comment>
    <comment ref="E33" authorId="1" shapeId="0" xr:uid="{00000000-0006-0000-0100-00002B000000}">
      <text>
        <r>
          <rPr>
            <sz val="9"/>
            <color indexed="81"/>
            <rFont val="Segoe UI"/>
            <family val="2"/>
          </rPr>
          <t>1 - Horário Funcionamento</t>
        </r>
      </text>
    </comment>
    <comment ref="D34" authorId="1" shapeId="0" xr:uid="{00000000-0006-0000-0100-00002C000000}">
      <text>
        <r>
          <rPr>
            <sz val="9"/>
            <color indexed="81"/>
            <rFont val="Segoe UI"/>
            <family val="2"/>
          </rPr>
          <t>1 - Código
2 - Status
3 - Comando
4 - Mensagem</t>
        </r>
      </text>
    </comment>
    <comment ref="E34" authorId="1" shapeId="0" xr:uid="{00000000-0006-0000-0100-00002D000000}">
      <text>
        <r>
          <rPr>
            <sz val="9"/>
            <color indexed="81"/>
            <rFont val="Segoe UI"/>
            <family val="2"/>
          </rPr>
          <t>1 - Horário Funcionamento</t>
        </r>
      </text>
    </comment>
    <comment ref="D35" authorId="1" shapeId="0" xr:uid="{00000000-0006-0000-0100-00002E000000}">
      <text>
        <r>
          <rPr>
            <sz val="9"/>
            <color indexed="81"/>
            <rFont val="Segoe UI"/>
            <family val="2"/>
          </rPr>
          <t>1 - Código
2 - Órgão
3 - Setor
4 - Período
5 - Dia da Semana
6 - Hora Inicio
7 - Hora Fim
8 - Status
9 - Comando
10 - Mensagem</t>
        </r>
      </text>
    </comment>
    <comment ref="E35" authorId="1" shapeId="0" xr:uid="{00000000-0006-0000-0100-00002F000000}">
      <text>
        <r>
          <rPr>
            <sz val="9"/>
            <color indexed="81"/>
            <rFont val="Segoe UI"/>
            <family val="2"/>
          </rPr>
          <t>1 - Horário Funcionamento
2 - Órgão
3 - Setor
4 - Período</t>
        </r>
      </text>
    </comment>
    <comment ref="D38" authorId="1" shapeId="0" xr:uid="{77380A50-399C-4CCC-AAB0-FE5D3852942E}">
      <text>
        <r>
          <rPr>
            <sz val="9"/>
            <color indexed="81"/>
            <rFont val="Segoe UI"/>
            <family val="2"/>
          </rPr>
          <t>1 - Código
2 - Código informado
3 - Nome
4 - Flag Permite Sobrescrever
5 - Quantidade de registros
6 - Tipo de usuário
7 - Status
8 - Órgão
9 - Flag Arquivo obrigatório
10 - Flag Atestado médico
11 - Flag Integração SEAP
12 - Descrição
13 - Operação
14 - Convocação
15 - Convocação
16 - permanencia</t>
        </r>
      </text>
    </comment>
    <comment ref="E38" authorId="1" shapeId="0" xr:uid="{00000000-0006-0000-0100-000031000000}">
      <text>
        <r>
          <rPr>
            <sz val="9"/>
            <color indexed="81"/>
            <rFont val="Segoe UI"/>
            <family val="2"/>
          </rPr>
          <t>1 - Código Ocorrência
2 - Quantidade Registros
3 - Operação</t>
        </r>
      </text>
    </comment>
    <comment ref="D39" authorId="1" shapeId="0" xr:uid="{00000000-0006-0000-0100-000032000000}">
      <text>
        <r>
          <rPr>
            <sz val="9"/>
            <color indexed="81"/>
            <rFont val="Segoe UI"/>
            <family val="2"/>
          </rPr>
          <t>1 - Código
2 - Descrição
3 - Sistema</t>
        </r>
      </text>
    </comment>
    <comment ref="E39" authorId="1" shapeId="0" xr:uid="{00000000-0006-0000-0100-000033000000}">
      <text>
        <r>
          <rPr>
            <sz val="9"/>
            <color indexed="81"/>
            <rFont val="Segoe UI"/>
            <family val="2"/>
          </rPr>
          <t>1 - Tipo de Usuário</t>
        </r>
      </text>
    </comment>
    <comment ref="D40" authorId="1" shapeId="0" xr:uid="{2B60370D-472E-4173-9968-2224CE2F8614}">
      <text>
        <r>
          <rPr>
            <sz val="9"/>
            <color indexed="81"/>
            <rFont val="Segoe UI"/>
            <family val="2"/>
          </rPr>
          <t>1 - Código
2 - Código informado
3 - Nome
4 - Flag Permite Sobrescrever
5 - Quantidade de registros
6 - Tipo de usuário
7 - Status
8 - Órgão
9 - Flag Arquivo obrigatório
10 - Flag Atestado médico
11 - Flag Integração SEAP
12 - Descrição
13 - Operação
14 - Convocação
15 - Convocação
16 - Permanencia
17 - Comando
18 - Mensagem</t>
        </r>
      </text>
    </comment>
    <comment ref="E40" authorId="1" shapeId="0" xr:uid="{190DF931-3625-4EA1-AB92-76074B60102B}">
      <text>
        <r>
          <rPr>
            <sz val="9"/>
            <color indexed="81"/>
            <rFont val="Segoe UI"/>
            <family val="2"/>
          </rPr>
          <t>1 - Código Ocorrência
2 - Órgão
3 - Tipo de Usuário</t>
        </r>
      </text>
    </comment>
    <comment ref="D41" authorId="1" shapeId="0" xr:uid="{00000000-0006-0000-0100-000036000000}">
      <text>
        <r>
          <rPr>
            <sz val="9"/>
            <color indexed="81"/>
            <rFont val="Segoe UI"/>
            <family val="2"/>
          </rPr>
          <t>1 - Código
2 - Descrição
3 - Comando</t>
        </r>
      </text>
    </comment>
    <comment ref="E41" authorId="1" shapeId="0" xr:uid="{00000000-0006-0000-0100-000037000000}">
      <text>
        <r>
          <rPr>
            <sz val="9"/>
            <color indexed="81"/>
            <rFont val="Segoe UI"/>
            <family val="2"/>
          </rPr>
          <t>1 - Tipo de Usuário</t>
        </r>
      </text>
    </comment>
    <comment ref="D42" authorId="1" shapeId="0" xr:uid="{00000000-0006-0000-0100-000038000000}">
      <text>
        <r>
          <rPr>
            <sz val="9"/>
            <color indexed="81"/>
            <rFont val="Segoe UI"/>
            <family val="2"/>
          </rPr>
          <t xml:space="preserve">1 - Código
2 - Descrição
3 - Comando
</t>
        </r>
      </text>
    </comment>
    <comment ref="E42" authorId="1" shapeId="0" xr:uid="{00000000-0006-0000-0100-000039000000}">
      <text>
        <r>
          <rPr>
            <sz val="9"/>
            <color indexed="81"/>
            <rFont val="Segoe UI"/>
            <family val="2"/>
          </rPr>
          <t>1 - Utilização Máxima</t>
        </r>
      </text>
    </comment>
    <comment ref="D43" authorId="1" shapeId="0" xr:uid="{00000000-0006-0000-0100-00003A000000}">
      <text>
        <r>
          <rPr>
            <sz val="9"/>
            <color indexed="81"/>
            <rFont val="Segoe UI"/>
            <family val="2"/>
          </rPr>
          <t xml:space="preserve">1 - Código
2 - Descrição
3 - Comando
</t>
        </r>
      </text>
    </comment>
    <comment ref="E43" authorId="1" shapeId="0" xr:uid="{00000000-0006-0000-0100-00003B000000}">
      <text>
        <r>
          <rPr>
            <sz val="9"/>
            <color indexed="81"/>
            <rFont val="Segoe UI"/>
            <family val="2"/>
          </rPr>
          <t xml:space="preserve">1 - Quantidade Máxima
</t>
        </r>
      </text>
    </comment>
    <comment ref="D44" authorId="1" shapeId="0" xr:uid="{00000000-0006-0000-0100-00003C000000}">
      <text>
        <r>
          <rPr>
            <sz val="9"/>
            <color indexed="81"/>
            <rFont val="Segoe UI"/>
            <family val="2"/>
          </rPr>
          <t xml:space="preserve">1 - Código
2 - Descrição
3 - Comando
</t>
        </r>
      </text>
    </comment>
    <comment ref="E44" authorId="1" shapeId="0" xr:uid="{00000000-0006-0000-0100-00003D000000}">
      <text>
        <r>
          <rPr>
            <sz val="9"/>
            <color indexed="81"/>
            <rFont val="Segoe UI"/>
            <family val="2"/>
          </rPr>
          <t xml:space="preserve">1 - Operação
</t>
        </r>
      </text>
    </comment>
    <comment ref="D45" authorId="1" shapeId="0" xr:uid="{40499BEE-4965-4919-B8D5-1EA99060FC6D}">
      <text>
        <r>
          <rPr>
            <sz val="9"/>
            <color indexed="81"/>
            <rFont val="Segoe UI"/>
            <family val="2"/>
          </rPr>
          <t xml:space="preserve">1 - Código
2 - Nome
3 - Flag Permite Sobrescrever
4 - Quantidade de registros
5 - Tipo de usuário
6 - Órgão
7 - Flag Arquivo obrigatório
8 - Flag Atestado médico
9 - Flag Integração SEAP
10 - Descrição
11 - Operação
12 - Convocação
13 - Convocação
14 - Permanencia
15 - Comando
16 - Mensagem
</t>
        </r>
      </text>
    </comment>
    <comment ref="E45" authorId="1" shapeId="0" xr:uid="{4612B225-513B-47FB-9402-D63CA5056A84}">
      <text>
        <r>
          <rPr>
            <sz val="9"/>
            <color indexed="81"/>
            <rFont val="Segoe UI"/>
            <family val="2"/>
          </rPr>
          <t>1 - Código Ocorrência
2 - Tipo de Usuário</t>
        </r>
      </text>
    </comment>
    <comment ref="D46" authorId="1" shapeId="0" xr:uid="{53DE95A1-D93D-4A69-8D14-9ABFC259B97F}">
      <text>
        <r>
          <rPr>
            <sz val="9"/>
            <color indexed="81"/>
            <rFont val="Segoe UI"/>
            <family val="2"/>
          </rPr>
          <t xml:space="preserve">1 - Código
2 - Nome
3 - Flag Permite Sobrescrever
4 - Quantidade de registros
5 - Tipo de usuário
6 - Órgão
7 - Flag Arquivo obrigatório
8 - Flag Atestado médico
9 - Flag Integração SEAP
10 - Descrição
11 - Operação
12 - Convocação
13 - Convocação
14 - Permanencia
15 - Comando
16 - Mensagem
</t>
        </r>
      </text>
    </comment>
    <comment ref="E46" authorId="1" shapeId="0" xr:uid="{4A2A8405-18E5-4C1A-870B-C22B3845DFD0}">
      <text>
        <r>
          <rPr>
            <sz val="9"/>
            <color indexed="81"/>
            <rFont val="Segoe UI"/>
            <family val="2"/>
          </rPr>
          <t>1 - Código Ocorrência
2 - Órgão
3 - Tipo de Usuário</t>
        </r>
      </text>
    </comment>
    <comment ref="D47" authorId="1" shapeId="0" xr:uid="{00000000-0006-0000-0100-000042000000}">
      <text>
        <r>
          <rPr>
            <sz val="9"/>
            <color indexed="81"/>
            <rFont val="Segoe UI"/>
            <family val="2"/>
          </rPr>
          <t>1 - Código
2 - código informado
3 - nome
4 - órgão
5 - status
6 - operação
7 - Comando
8 - Mensagem</t>
        </r>
      </text>
    </comment>
    <comment ref="E47" authorId="1" shapeId="0" xr:uid="{00000000-0006-0000-0100-000043000000}">
      <text>
        <r>
          <rPr>
            <sz val="9"/>
            <color indexed="81"/>
            <rFont val="Segoe UI"/>
            <family val="2"/>
          </rPr>
          <t>1 - Código Ocorrência
2 - Órgão</t>
        </r>
      </text>
    </comment>
    <comment ref="D48" authorId="1" shapeId="0" xr:uid="{00000000-0006-0000-0100-000044000000}">
      <text>
        <r>
          <rPr>
            <sz val="9"/>
            <color indexed="81"/>
            <rFont val="Segoe UI"/>
            <family val="2"/>
          </rPr>
          <t>1 - Código
2 - Código informado
3 - Nome
4 - Flag Permite Sobrescrever
5 - Quantidade de registros
6 - Tipo de usuário
7 - Status
8 - Órgão
9 - Flag Arquivo obrigatório
10 - Flag Atestado médico
11 - Flag Integração SEAP
12 - Descrição
13 - Operação
14 - Convocação
15 - Convocação
16 - Permanência
17 - Comando
18 - Mensagem</t>
        </r>
      </text>
    </comment>
    <comment ref="E48" authorId="1" shapeId="0" xr:uid="{00000000-0006-0000-0100-000045000000}">
      <text>
        <r>
          <rPr>
            <sz val="9"/>
            <color indexed="81"/>
            <rFont val="Segoe UI"/>
            <family val="2"/>
          </rPr>
          <t>1 - Código Ocorrência
2 - Órgão
3 - Tipo de Usuário</t>
        </r>
      </text>
    </comment>
    <comment ref="D49" authorId="1" shapeId="0" xr:uid="{00000000-0006-0000-0100-000046000000}">
      <text>
        <r>
          <rPr>
            <sz val="9"/>
            <color indexed="81"/>
            <rFont val="Segoe UI"/>
            <family val="2"/>
          </rPr>
          <t>1 - Código
2 - Status
3 - Comando
4 - Mensagem</t>
        </r>
      </text>
    </comment>
    <comment ref="E49" authorId="1" shapeId="0" xr:uid="{00000000-0006-0000-0100-000047000000}">
      <text>
        <r>
          <rPr>
            <sz val="9"/>
            <color indexed="81"/>
            <rFont val="Segoe UI"/>
            <family val="2"/>
          </rPr>
          <t>1 - Código de Ocorrência</t>
        </r>
      </text>
    </comment>
    <comment ref="D52" authorId="1" shapeId="0" xr:uid="{00000000-0006-0000-0100-000048000000}">
      <text>
        <r>
          <rPr>
            <sz val="9"/>
            <color indexed="81"/>
            <rFont val="Segoe UI"/>
            <family val="2"/>
          </rPr>
          <t>1 - Código
2 - Descrição
3 - Órgão
4 - Unidade de Medida
5 - Tipo de Dado
6 - Status
7 - Sistema
8 - Valor
9 - Jornada</t>
        </r>
      </text>
    </comment>
    <comment ref="E52" authorId="1" shapeId="0" xr:uid="{00000000-0006-0000-0100-000049000000}">
      <text>
        <r>
          <rPr>
            <sz val="9"/>
            <color indexed="81"/>
            <rFont val="Segoe UI"/>
            <family val="2"/>
          </rPr>
          <t>1 - Parametro
2 - Sistema
3 - Tipo de Dado
4 - Jornada</t>
        </r>
      </text>
    </comment>
    <comment ref="D53" authorId="1" shapeId="0" xr:uid="{00000000-0006-0000-0100-00004A000000}">
      <text>
        <r>
          <rPr>
            <sz val="9"/>
            <color indexed="81"/>
            <rFont val="Segoe UI"/>
            <family val="2"/>
          </rPr>
          <t xml:space="preserve">1 - Código
2 - Descrição
</t>
        </r>
      </text>
    </comment>
    <comment ref="E53" authorId="1" shapeId="0" xr:uid="{00000000-0006-0000-0100-00004B000000}">
      <text>
        <r>
          <rPr>
            <sz val="9"/>
            <color indexed="81"/>
            <rFont val="Segoe UI"/>
            <family val="2"/>
          </rPr>
          <t>1 - Unidade de Medida</t>
        </r>
      </text>
    </comment>
    <comment ref="D54" authorId="1" shapeId="0" xr:uid="{00000000-0006-0000-0100-00004C000000}">
      <text>
        <r>
          <rPr>
            <sz val="9"/>
            <color indexed="81"/>
            <rFont val="Segoe UI"/>
            <family val="2"/>
          </rPr>
          <t xml:space="preserve">1 - Código
2 - Descrição
3 - Comando
</t>
        </r>
      </text>
    </comment>
    <comment ref="E54" authorId="1" shapeId="0" xr:uid="{00000000-0006-0000-0100-00004D000000}">
      <text>
        <r>
          <rPr>
            <sz val="9"/>
            <color indexed="81"/>
            <rFont val="Segoe UI"/>
            <family val="2"/>
          </rPr>
          <t>1 - Unidade de Medida</t>
        </r>
      </text>
    </comment>
    <comment ref="D55" authorId="1" shapeId="0" xr:uid="{00000000-0006-0000-0100-00004E000000}">
      <text>
        <r>
          <rPr>
            <sz val="9"/>
            <color indexed="81"/>
            <rFont val="Segoe UI"/>
            <family val="2"/>
          </rPr>
          <t xml:space="preserve">1 - Código
2 - Descrição
3 - Comando
</t>
        </r>
      </text>
    </comment>
    <comment ref="E55" authorId="1" shapeId="0" xr:uid="{00000000-0006-0000-0100-00004F000000}">
      <text>
        <r>
          <rPr>
            <sz val="9"/>
            <color indexed="81"/>
            <rFont val="Segoe UI"/>
            <family val="2"/>
          </rPr>
          <t>Tipo de Dado</t>
        </r>
      </text>
    </comment>
    <comment ref="D56" authorId="1" shapeId="0" xr:uid="{00000000-0006-0000-0100-000050000000}">
      <text>
        <r>
          <rPr>
            <sz val="9"/>
            <color indexed="81"/>
            <rFont val="Segoe UI"/>
            <family val="2"/>
          </rPr>
          <t>1 - Código
2 - Nome
3 - Órgão
4 - Unidade de Medida
5 - Tipo de Dado
6 - Status
7 - Valor padrão
8 - Comando
9 - Mensagem</t>
        </r>
      </text>
    </comment>
    <comment ref="E56" authorId="1" shapeId="0" xr:uid="{00000000-0006-0000-0100-000051000000}">
      <text>
        <r>
          <rPr>
            <sz val="9"/>
            <color indexed="81"/>
            <rFont val="Segoe UI"/>
            <family val="2"/>
          </rPr>
          <t>1 - Parametro
2 - Órgão
3 - Unidade de Medida</t>
        </r>
      </text>
    </comment>
    <comment ref="D57" authorId="1" shapeId="0" xr:uid="{00000000-0006-0000-0100-000052000000}">
      <text>
        <r>
          <rPr>
            <sz val="9"/>
            <color indexed="81"/>
            <rFont val="Segoe UI"/>
            <family val="2"/>
          </rPr>
          <t>1 - Código
2 - Comando
3 - Mensagem</t>
        </r>
      </text>
    </comment>
    <comment ref="E57" authorId="1" shapeId="0" xr:uid="{00000000-0006-0000-0100-000053000000}">
      <text>
        <r>
          <rPr>
            <sz val="9"/>
            <color indexed="81"/>
            <rFont val="Segoe UI"/>
            <family val="2"/>
          </rPr>
          <t>1 - Parametro</t>
        </r>
      </text>
    </comment>
    <comment ref="D58" authorId="1" shapeId="0" xr:uid="{00000000-0006-0000-0100-000054000000}">
      <text>
        <r>
          <rPr>
            <sz val="9"/>
            <color indexed="81"/>
            <rFont val="Segoe UI"/>
            <family val="2"/>
          </rPr>
          <t>1 - Código
2 - Status
3 - Comando
4 - Mensagem</t>
        </r>
      </text>
    </comment>
    <comment ref="E58" authorId="1" shapeId="0" xr:uid="{00000000-0006-0000-0100-000055000000}">
      <text>
        <r>
          <rPr>
            <sz val="9"/>
            <color indexed="81"/>
            <rFont val="Segoe UI"/>
            <family val="2"/>
          </rPr>
          <t>1 - Parametro</t>
        </r>
      </text>
    </comment>
    <comment ref="D60" authorId="1" shapeId="0" xr:uid="{00000000-0006-0000-0100-000056000000}">
      <text>
        <r>
          <rPr>
            <sz val="9"/>
            <color indexed="81"/>
            <rFont val="Segoe UI"/>
            <family val="2"/>
          </rPr>
          <t>1 - Código
2 - Nome
3 - Órgão
4 - Unidade de Medida
5 - Tipo de Dado
6 - Valor do Órgão
7 - Valor Padrão
8 - Comando
9 - Mensagem</t>
        </r>
      </text>
    </comment>
    <comment ref="E60" authorId="1" shapeId="0" xr:uid="{00000000-0006-0000-0100-000057000000}">
      <text>
        <r>
          <rPr>
            <sz val="9"/>
            <color indexed="81"/>
            <rFont val="Segoe UI"/>
            <family val="2"/>
          </rPr>
          <t>1 - Parametro
2 - Órgão
3 - Unidade de Medida</t>
        </r>
      </text>
    </comment>
    <comment ref="D61" authorId="1" shapeId="0" xr:uid="{00000000-0006-0000-0100-000058000000}">
      <text>
        <r>
          <rPr>
            <sz val="9"/>
            <color indexed="81"/>
            <rFont val="Segoe UI"/>
            <family val="2"/>
          </rPr>
          <t>1 - Código
2 - Nome
3 - Órgão
4 - Unidade de Medida
5 - Tipo de Dado
6 - Status
7 - Valor do Órgão
8 - Valor Padrão</t>
        </r>
      </text>
    </comment>
    <comment ref="E61" authorId="1" shapeId="0" xr:uid="{00000000-0006-0000-0100-000059000000}">
      <text>
        <r>
          <rPr>
            <sz val="9"/>
            <color indexed="81"/>
            <rFont val="Segoe UI"/>
            <family val="2"/>
          </rPr>
          <t>1 - Parametro
2 - Órgão
3 - Unidade de Medida</t>
        </r>
      </text>
    </comment>
    <comment ref="D62" authorId="1" shapeId="0" xr:uid="{00000000-0006-0000-0100-00005A000000}">
      <text>
        <r>
          <rPr>
            <sz val="9"/>
            <color indexed="81"/>
            <rFont val="Segoe UI"/>
            <family val="2"/>
          </rPr>
          <t>1 - Código
2 - Nome
3 - Órgão
4 - Unidade de Medida
5 - Tipo de Dado
6 - Status
7 - Valor do Órgão
8 - Valor Padrão
9 - Comando
10 - Mensagem</t>
        </r>
      </text>
    </comment>
    <comment ref="E62" authorId="1" shapeId="0" xr:uid="{00000000-0006-0000-0100-00005B000000}">
      <text>
        <r>
          <rPr>
            <sz val="9"/>
            <color indexed="81"/>
            <rFont val="Segoe UI"/>
            <family val="2"/>
          </rPr>
          <t>1 - Parametro
2 - Órgão
3 - Unidade de Medida</t>
        </r>
      </text>
    </comment>
    <comment ref="D64" authorId="1" shapeId="0" xr:uid="{00000000-0006-0000-0100-00005C000000}">
      <text>
        <r>
          <rPr>
            <sz val="9"/>
            <color indexed="81"/>
            <rFont val="Segoe UI"/>
            <family val="2"/>
          </rPr>
          <t xml:space="preserve">1 - Código
2 - Descrição
3 - Flag Atestado
4 - Comando
</t>
        </r>
      </text>
    </comment>
    <comment ref="E64" authorId="1" shapeId="0" xr:uid="{00000000-0006-0000-0100-00005D000000}">
      <text>
        <r>
          <rPr>
            <sz val="9"/>
            <color indexed="81"/>
            <rFont val="Segoe UI"/>
            <family val="2"/>
          </rPr>
          <t>1 - Ocorrência
2 - Usuário</t>
        </r>
      </text>
    </comment>
    <comment ref="D65" authorId="1" shapeId="0" xr:uid="{00000000-0006-0000-0100-00005E000000}">
      <text>
        <r>
          <rPr>
            <sz val="9"/>
            <color indexed="81"/>
            <rFont val="Segoe UI"/>
            <family val="2"/>
          </rPr>
          <t>1 - Código
2 - Código de Ocorrência
3 - Tipo de Vínculo
4 - Valor por Tipo de Vínculo
5 - Status por Tipo de Vínculo
6 - Comando
7 - Mensagem</t>
        </r>
      </text>
    </comment>
    <comment ref="E65" authorId="1" shapeId="0" xr:uid="{00000000-0006-0000-0100-00005F000000}">
      <text>
        <r>
          <rPr>
            <sz val="9"/>
            <color indexed="81"/>
            <rFont val="Segoe UI"/>
            <family val="2"/>
          </rPr>
          <t>1 - Parametro</t>
        </r>
      </text>
    </comment>
    <comment ref="D66" authorId="1" shapeId="0" xr:uid="{00000000-0006-0000-0100-000060000000}">
      <text>
        <r>
          <rPr>
            <sz val="9"/>
            <color indexed="81"/>
            <rFont val="Segoe UI"/>
            <family val="2"/>
          </rPr>
          <t>1 - Código
2 - Código de Ocorrência
3 - Tipo de Vínculo
4 - Valor por Tipo de Vínculo
5 - Status por Tipo de Vínculo
6 - Comando
7 - Mensagem</t>
        </r>
      </text>
    </comment>
    <comment ref="E66" authorId="1" shapeId="0" xr:uid="{00000000-0006-0000-0100-000061000000}">
      <text>
        <r>
          <rPr>
            <sz val="9"/>
            <color indexed="81"/>
            <rFont val="Segoe UI"/>
            <family val="2"/>
          </rPr>
          <t>1 - Parametro</t>
        </r>
      </text>
    </comment>
    <comment ref="D67" authorId="1" shapeId="0" xr:uid="{00000000-0006-0000-0100-000062000000}">
      <text>
        <r>
          <rPr>
            <sz val="9"/>
            <color indexed="81"/>
            <rFont val="Segoe UI"/>
            <family val="2"/>
          </rPr>
          <t>1 - Código
2 - Código de Ocorrência
3 - Tipo de Vínculo
4 - Valor por Tipo de Vínculo
5 - Status por Tipo de Vínculo</t>
        </r>
      </text>
    </comment>
    <comment ref="E67" authorId="1" shapeId="0" xr:uid="{00000000-0006-0000-0100-000063000000}">
      <text>
        <r>
          <rPr>
            <sz val="9"/>
            <color indexed="81"/>
            <rFont val="Segoe UI"/>
            <family val="2"/>
          </rPr>
          <t>1 - Parametro</t>
        </r>
      </text>
    </comment>
    <comment ref="D68" authorId="1" shapeId="0" xr:uid="{00000000-0006-0000-0100-000064000000}">
      <text>
        <r>
          <rPr>
            <sz val="9"/>
            <color indexed="81"/>
            <rFont val="Segoe UI"/>
            <family val="2"/>
          </rPr>
          <t>1 - Código
2 - Código de Ocorrência
3 - Tipo de Vínculo
4 - Valor por Tipo de Vínculo
5 - Status por Tipo de Vínculo
6 - Comando
7 - Mensagem</t>
        </r>
      </text>
    </comment>
    <comment ref="E68" authorId="1" shapeId="0" xr:uid="{00000000-0006-0000-0100-000065000000}">
      <text>
        <r>
          <rPr>
            <sz val="9"/>
            <color indexed="81"/>
            <rFont val="Segoe UI"/>
            <family val="2"/>
          </rPr>
          <t>1 - Parametro</t>
        </r>
      </text>
    </comment>
    <comment ref="D70" authorId="1" shapeId="0" xr:uid="{E10AC708-CF76-484B-A634-7D4684FBE888}">
      <text>
        <r>
          <rPr>
            <sz val="9"/>
            <color indexed="81"/>
            <rFont val="Segoe UI"/>
            <family val="2"/>
          </rPr>
          <t>1 - Código
2 - Código de Ocorrência
3 - Jornada de Trabalho
4 - Valor por Jornada de Trabalho
5 - Status por Jornada de Trabalho
6 - Comando
7 - Mensagem</t>
        </r>
      </text>
    </comment>
    <comment ref="E70" authorId="1" shapeId="0" xr:uid="{47F84BCE-638C-44E7-941A-76438939F59A}">
      <text>
        <r>
          <rPr>
            <sz val="9"/>
            <color indexed="81"/>
            <rFont val="Segoe UI"/>
            <family val="2"/>
          </rPr>
          <t>1 - Parametro</t>
        </r>
      </text>
    </comment>
    <comment ref="D71" authorId="1" shapeId="0" xr:uid="{B7B62224-F122-44D7-AFCA-A255985CAF63}">
      <text>
        <r>
          <rPr>
            <sz val="9"/>
            <color indexed="81"/>
            <rFont val="Segoe UI"/>
            <family val="2"/>
          </rPr>
          <t>1 - Código
2 - Código de Ocorrência
3 - Jornada de Trabalho
4 - Valor por Jornada de Trabalho
5 - Status por Jornada de Trabalho
6 - Comando
7 - Mensagem</t>
        </r>
      </text>
    </comment>
    <comment ref="E71" authorId="1" shapeId="0" xr:uid="{230CEB98-E339-4C7F-B758-84FD0BC9DCEC}">
      <text>
        <r>
          <rPr>
            <sz val="9"/>
            <color indexed="81"/>
            <rFont val="Segoe UI"/>
            <family val="2"/>
          </rPr>
          <t>1 - Parametro</t>
        </r>
      </text>
    </comment>
    <comment ref="D72" authorId="1" shapeId="0" xr:uid="{D5088391-1288-4839-A015-7D742A670962}">
      <text>
        <r>
          <rPr>
            <sz val="9"/>
            <color indexed="81"/>
            <rFont val="Segoe UI"/>
            <family val="2"/>
          </rPr>
          <t>1 - Código
2 - Código de Ocorrência
3 - Jornada de Trabalho
4 - Valor por Jornada de Trabalho
5 - Status por Jornada de Trabalho</t>
        </r>
      </text>
    </comment>
    <comment ref="E72" authorId="1" shapeId="0" xr:uid="{6F60FEEB-6557-4737-BB7D-C94487D4BED3}">
      <text>
        <r>
          <rPr>
            <sz val="9"/>
            <color indexed="81"/>
            <rFont val="Segoe UI"/>
            <family val="2"/>
          </rPr>
          <t>1 - Parametro</t>
        </r>
      </text>
    </comment>
    <comment ref="D73" authorId="1" shapeId="0" xr:uid="{6AFE0E82-2D97-4C2E-B668-1C1F05E8DEDC}">
      <text>
        <r>
          <rPr>
            <sz val="9"/>
            <color indexed="81"/>
            <rFont val="Segoe UI"/>
            <family val="2"/>
          </rPr>
          <t>1 - Código
2 - Código de Ocorrência
3 - Jornada de Trabalho
4 - Valor por Jornada de Trabalho
5 - Status por Jornada de Trabalho
6 - Comando
7 - Mensagem</t>
        </r>
      </text>
    </comment>
    <comment ref="E73" authorId="1" shapeId="0" xr:uid="{CBBC0416-5AA6-4515-9F42-EDF42618CA71}">
      <text>
        <r>
          <rPr>
            <sz val="9"/>
            <color indexed="81"/>
            <rFont val="Segoe UI"/>
            <family val="2"/>
          </rPr>
          <t>1 - Parametro</t>
        </r>
      </text>
    </comment>
    <comment ref="D76" authorId="1" shapeId="0" xr:uid="{00000000-0006-0000-0100-000066000000}">
      <text>
        <r>
          <rPr>
            <sz val="9"/>
            <color indexed="81"/>
            <rFont val="Segoe UI"/>
            <family val="2"/>
          </rPr>
          <t>1 - Código
2 - Descrição
3 - Órgão
4 - Data Início
5 - Data Fim
6 - Status
7 - Tipo de Usuário
8 - Título
9 - Tipo</t>
        </r>
      </text>
    </comment>
    <comment ref="E76" authorId="1" shapeId="0" xr:uid="{00000000-0006-0000-0100-000067000000}">
      <text>
        <r>
          <rPr>
            <sz val="9"/>
            <color indexed="81"/>
            <rFont val="Segoe UI"/>
            <family val="2"/>
          </rPr>
          <t>1 - Mensagem</t>
        </r>
      </text>
    </comment>
    <comment ref="D77" authorId="1" shapeId="0" xr:uid="{00000000-0006-0000-0100-000068000000}">
      <text>
        <r>
          <rPr>
            <sz val="9"/>
            <color indexed="81"/>
            <rFont val="Segoe UI"/>
            <family val="2"/>
          </rPr>
          <t xml:space="preserve">1 - Código
2 - Descrição
</t>
        </r>
      </text>
    </comment>
    <comment ref="E77" authorId="1" shapeId="0" xr:uid="{00000000-0006-0000-0100-000069000000}">
      <text>
        <r>
          <rPr>
            <sz val="9"/>
            <color indexed="81"/>
            <rFont val="Segoe UI"/>
            <family val="2"/>
          </rPr>
          <t>1 - Tipo de Notifiação</t>
        </r>
      </text>
    </comment>
    <comment ref="D78" authorId="1" shapeId="0" xr:uid="{00000000-0006-0000-0100-00006A000000}">
      <text>
        <r>
          <rPr>
            <sz val="9"/>
            <color indexed="81"/>
            <rFont val="Segoe UI"/>
            <family val="2"/>
          </rPr>
          <t>1 - Código
2 - Título
3 - Órgão
4 - Data Início
5 - Data Fim
6 - Status
7 - Tipo de Usuário
7 - Comando
8 - Mensagem</t>
        </r>
      </text>
    </comment>
    <comment ref="E78" authorId="1" shapeId="0" xr:uid="{00000000-0006-0000-0100-00006B000000}">
      <text>
        <r>
          <rPr>
            <sz val="9"/>
            <color indexed="81"/>
            <rFont val="Segoe UI"/>
            <family val="2"/>
          </rPr>
          <t>1 - Mensagem
2 - Órgão</t>
        </r>
      </text>
    </comment>
    <comment ref="D79" authorId="1" shapeId="0" xr:uid="{00000000-0006-0000-0100-00006C000000}">
      <text>
        <r>
          <rPr>
            <sz val="9"/>
            <color indexed="81"/>
            <rFont val="Segoe UI"/>
            <family val="2"/>
          </rPr>
          <t>1 - Código
2 - Descrição
3 - Órgão
4 - Data Início
5 - Data Fim
6 - Status
7 - Tipo de Usuário
8 - Título
9 - Tipo
10 - Comando
11 - Mensagem</t>
        </r>
      </text>
    </comment>
    <comment ref="E79" authorId="1" shapeId="0" xr:uid="{00000000-0006-0000-0100-00006D000000}">
      <text>
        <r>
          <rPr>
            <sz val="9"/>
            <color indexed="81"/>
            <rFont val="Segoe UI"/>
            <family val="2"/>
          </rPr>
          <t>1 - Mensagem
2 - Tipo de Usuário
3 - Órgão</t>
        </r>
      </text>
    </comment>
    <comment ref="D80" authorId="1" shapeId="0" xr:uid="{00000000-0006-0000-0100-00006E000000}">
      <text>
        <r>
          <rPr>
            <sz val="9"/>
            <color indexed="81"/>
            <rFont val="Segoe UI"/>
            <family val="2"/>
          </rPr>
          <t xml:space="preserve">1 - Código
2 - Descrição
3 - Comando
</t>
        </r>
      </text>
    </comment>
    <comment ref="E80" authorId="1" shapeId="0" xr:uid="{00000000-0006-0000-0100-00006F000000}">
      <text>
        <r>
          <rPr>
            <sz val="9"/>
            <color indexed="81"/>
            <rFont val="Segoe UI"/>
            <family val="2"/>
          </rPr>
          <t>1 - Tipo de Notifiação</t>
        </r>
      </text>
    </comment>
    <comment ref="D81" authorId="1" shapeId="0" xr:uid="{00000000-0006-0000-0100-000070000000}">
      <text>
        <r>
          <rPr>
            <sz val="9"/>
            <color indexed="81"/>
            <rFont val="Segoe UI"/>
            <family val="2"/>
          </rPr>
          <t>1 - Código
2 - Descrição
3 - Tipo de Usuário
4 - Órgão
5 - Título
6 - Tipo
7 - Comando
8 - Mensagem</t>
        </r>
      </text>
    </comment>
    <comment ref="E81" authorId="1" shapeId="0" xr:uid="{00000000-0006-0000-0100-000071000000}">
      <text>
        <r>
          <rPr>
            <sz val="9"/>
            <color indexed="81"/>
            <rFont val="Segoe UI"/>
            <family val="2"/>
          </rPr>
          <t>1 - Mensagem
2 - Tipo de Usuário
3 - Órgão</t>
        </r>
      </text>
    </comment>
    <comment ref="D82" authorId="1" shapeId="0" xr:uid="{00000000-0006-0000-0100-000072000000}">
      <text>
        <r>
          <rPr>
            <sz val="9"/>
            <color indexed="81"/>
            <rFont val="Segoe UI"/>
            <family val="2"/>
          </rPr>
          <t>1 - Código
2 - Descrição
3 - Órgão
4 - Data Início
5 - Data Fim
6 - Tipo de Usuário
7 - Título
8 - Tipo</t>
        </r>
      </text>
    </comment>
    <comment ref="E82" authorId="1" shapeId="0" xr:uid="{00000000-0006-0000-0100-000073000000}">
      <text>
        <r>
          <rPr>
            <sz val="9"/>
            <color indexed="81"/>
            <rFont val="Segoe UI"/>
            <family val="2"/>
          </rPr>
          <t>1 - Mensagem
2 - Tipo de Usuário
3 - Órgão</t>
        </r>
      </text>
    </comment>
    <comment ref="D83" authorId="1" shapeId="0" xr:uid="{00000000-0006-0000-0100-000074000000}">
      <text>
        <r>
          <rPr>
            <sz val="9"/>
            <color indexed="81"/>
            <rFont val="Segoe UI"/>
            <family val="2"/>
          </rPr>
          <t>1 - Código
2 - Descrição
3 - Órgão
4 - Data Início
5 - Data Fim
6 - Tipo de Usuário
7 - Título
8 - Tipo
9 - Comando
10 - Mensagem</t>
        </r>
      </text>
    </comment>
    <comment ref="E83" authorId="1" shapeId="0" xr:uid="{00000000-0006-0000-0100-000075000000}">
      <text>
        <r>
          <rPr>
            <sz val="9"/>
            <color indexed="81"/>
            <rFont val="Segoe UI"/>
            <family val="2"/>
          </rPr>
          <t>1 - Mensagem
2 - Tipo de Usuário
3 - Órgão</t>
        </r>
      </text>
    </comment>
    <comment ref="D84" authorId="1" shapeId="0" xr:uid="{00000000-0006-0000-0100-000076000000}">
      <text>
        <r>
          <rPr>
            <sz val="9"/>
            <color indexed="81"/>
            <rFont val="Segoe UI"/>
            <family val="2"/>
          </rPr>
          <t>1 - Código
2 - Comando
3 - Mensagem</t>
        </r>
      </text>
    </comment>
    <comment ref="E84" authorId="1" shapeId="0" xr:uid="{00000000-0006-0000-0100-000077000000}">
      <text>
        <r>
          <rPr>
            <sz val="9"/>
            <color indexed="81"/>
            <rFont val="Segoe UI"/>
            <family val="2"/>
          </rPr>
          <t>1 - Mensagem</t>
        </r>
      </text>
    </comment>
    <comment ref="D85" authorId="1" shapeId="0" xr:uid="{00000000-0006-0000-0100-000078000000}">
      <text>
        <r>
          <rPr>
            <sz val="9"/>
            <color indexed="81"/>
            <rFont val="Segoe UI"/>
            <family val="2"/>
          </rPr>
          <t>1 - Código
2 - Status
3 - Comando
4 - Mensagem</t>
        </r>
      </text>
    </comment>
    <comment ref="E85" authorId="1" shapeId="0" xr:uid="{00000000-0006-0000-0100-000079000000}">
      <text>
        <r>
          <rPr>
            <sz val="9"/>
            <color indexed="81"/>
            <rFont val="Segoe UI"/>
            <family val="2"/>
          </rPr>
          <t>1 - Mensagem</t>
        </r>
      </text>
    </comment>
    <comment ref="D88" authorId="1" shapeId="0" xr:uid="{00000000-0006-0000-0100-00007A000000}">
      <text>
        <r>
          <rPr>
            <sz val="9"/>
            <color indexed="81"/>
            <rFont val="Segoe UI"/>
            <family val="2"/>
          </rPr>
          <t>1 - Código
2 - Descrição
3 - Órgão
4 - Município
5 - Data
6 - Observação
7 - Tipo de Feriado
8 - Status
9 - Permanência
10 - Período
11 - Hora Início
12 - Hora Fim</t>
        </r>
      </text>
    </comment>
    <comment ref="E88" authorId="1" shapeId="0" xr:uid="{00000000-0006-0000-0100-00007B000000}">
      <text>
        <r>
          <rPr>
            <sz val="9"/>
            <color indexed="81"/>
            <rFont val="Segoe UI"/>
            <family val="2"/>
          </rPr>
          <t xml:space="preserve">1 - Feriado
</t>
        </r>
      </text>
    </comment>
    <comment ref="D89" authorId="1" shapeId="0" xr:uid="{00000000-0006-0000-0100-00007C000000}">
      <text>
        <r>
          <rPr>
            <sz val="9"/>
            <color indexed="81"/>
            <rFont val="Segoe UI"/>
            <family val="2"/>
          </rPr>
          <t xml:space="preserve">1 - Código
2 - Descrição
</t>
        </r>
      </text>
    </comment>
    <comment ref="E89" authorId="1" shapeId="0" xr:uid="{00000000-0006-0000-0100-00007D000000}">
      <text>
        <r>
          <rPr>
            <sz val="9"/>
            <color indexed="81"/>
            <rFont val="Segoe UI"/>
            <family val="2"/>
          </rPr>
          <t xml:space="preserve">1 - Cidade
</t>
        </r>
      </text>
    </comment>
    <comment ref="D90" authorId="1" shapeId="0" xr:uid="{00000000-0006-0000-0100-00007E000000}">
      <text>
        <r>
          <rPr>
            <sz val="9"/>
            <color indexed="81"/>
            <rFont val="Segoe UI"/>
            <family val="2"/>
          </rPr>
          <t xml:space="preserve">1 - Código
2 - Descrição
3 - Comando
</t>
        </r>
      </text>
    </comment>
    <comment ref="E90" authorId="1" shapeId="0" xr:uid="{00000000-0006-0000-0100-00007F000000}">
      <text>
        <r>
          <rPr>
            <sz val="9"/>
            <color indexed="81"/>
            <rFont val="Segoe UI"/>
            <family val="2"/>
          </rPr>
          <t xml:space="preserve">1 - Cidade
</t>
        </r>
      </text>
    </comment>
    <comment ref="D91" authorId="1" shapeId="0" xr:uid="{00000000-0006-0000-0100-000080000000}">
      <text>
        <r>
          <rPr>
            <sz val="9"/>
            <color indexed="81"/>
            <rFont val="Segoe UI"/>
            <family val="2"/>
          </rPr>
          <t>1 - Código
2 - Descrição
3 - Órgão
4 - Município
5 - Data
6 - Observação
7 - Status
8 - Comando
9 - Mensagem</t>
        </r>
      </text>
    </comment>
    <comment ref="E91" authorId="1" shapeId="0" xr:uid="{00000000-0006-0000-0100-000081000000}">
      <text>
        <r>
          <rPr>
            <sz val="9"/>
            <color indexed="81"/>
            <rFont val="Segoe UI"/>
            <family val="2"/>
          </rPr>
          <t xml:space="preserve">1 - Feriado
2 - Órgão
3 - Cidade
</t>
        </r>
      </text>
    </comment>
    <comment ref="D92" authorId="1" shapeId="0" xr:uid="{00000000-0006-0000-0100-000082000000}">
      <text>
        <r>
          <rPr>
            <sz val="9"/>
            <color indexed="81"/>
            <rFont val="Segoe UI"/>
            <family val="2"/>
          </rPr>
          <t>1 - Código
2 - Descrição
3 - Órgão
4 - Município
5 - Data
6 - Observação
7 - Tipo de Feriado
8 - Status
9 - Ocorrência
10 - Órgão
11 - Setor
12 - Nome Servidor
13 - Código ocorrência
14 - Permanência
15 - Período da permanência parcial
16 - Data e Hora Início
17 - Data e Hora Fim
18 - Nome responsável
19 - Matrícula responsavel
20 - Estado
21 - Cidade
22 - Observação
23 - Arquivo
24 - Situação
25 - Data Inclusão
26 - Permanência
27 - Período
28 - Hora Início
29 - Hora Fim
30 - Comando
31 - Mensagem</t>
        </r>
      </text>
    </comment>
    <comment ref="E92" authorId="1" shapeId="0" xr:uid="{00000000-0006-0000-0100-000083000000}">
      <text>
        <r>
          <rPr>
            <sz val="9"/>
            <color indexed="81"/>
            <rFont val="Segoe UI"/>
            <family val="2"/>
          </rPr>
          <t>1 - Feriado
2 - Órgão
3 - Cidade
4 - Ocorrência
5 - Usuário</t>
        </r>
      </text>
    </comment>
    <comment ref="D93" authorId="1" shapeId="0" xr:uid="{00000000-0006-0000-0100-000084000000}">
      <text>
        <r>
          <rPr>
            <sz val="9"/>
            <color indexed="81"/>
            <rFont val="Segoe UI"/>
            <family val="2"/>
          </rPr>
          <t>1 - Código
2 - Descrição
3 - Data
4 - Órgão
5 - Permanência
6 - Período
7 - Hora Início
8 - Hora Fim
9 - Comando 
10 - Mensagem</t>
        </r>
      </text>
    </comment>
    <comment ref="E93" authorId="1" shapeId="0" xr:uid="{00000000-0006-0000-0100-000085000000}">
      <text>
        <r>
          <rPr>
            <sz val="9"/>
            <color indexed="81"/>
            <rFont val="Segoe UI"/>
            <family val="2"/>
          </rPr>
          <t>1 - Feriado</t>
        </r>
      </text>
    </comment>
    <comment ref="D94" authorId="1" shapeId="0" xr:uid="{00000000-0006-0000-0100-000086000000}">
      <text>
        <r>
          <rPr>
            <sz val="9"/>
            <color indexed="81"/>
            <rFont val="Segoe UI"/>
            <family val="2"/>
          </rPr>
          <t xml:space="preserve">1 - Código
2 - Descrição
3 - Órgão
4 - Município
5 - Data
6 - Observação
7 - Permanência
8 - Período
9 - Hora Início
10 - Hora Fim
</t>
        </r>
      </text>
    </comment>
    <comment ref="E94" authorId="1" shapeId="0" xr:uid="{00000000-0006-0000-0100-000087000000}">
      <text>
        <r>
          <rPr>
            <sz val="9"/>
            <color indexed="81"/>
            <rFont val="Segoe UI"/>
            <family val="2"/>
          </rPr>
          <t xml:space="preserve">1 - Feriado
2 - Órgão
3 - Cidade
</t>
        </r>
      </text>
    </comment>
    <comment ref="D95" authorId="1" shapeId="0" xr:uid="{00000000-0006-0000-0100-000088000000}">
      <text>
        <r>
          <rPr>
            <sz val="9"/>
            <color indexed="81"/>
            <rFont val="Segoe UI"/>
            <family val="2"/>
          </rPr>
          <t xml:space="preserve">1 - Código
2 - Descrição
3 - Órgão
4 - Município
5 - Data
6 - Observação
7 - Permanência
8 - Período
9 - Hora Início
10 - Hora Fim
11 - Comando 
12 - Mensagem
</t>
        </r>
      </text>
    </comment>
    <comment ref="E95" authorId="1" shapeId="0" xr:uid="{00000000-0006-0000-0100-000089000000}">
      <text>
        <r>
          <rPr>
            <sz val="9"/>
            <color indexed="81"/>
            <rFont val="Segoe UI"/>
            <family val="2"/>
          </rPr>
          <t xml:space="preserve">1 - Feriado
2 - Órgão
3 - Cidade
</t>
        </r>
      </text>
    </comment>
    <comment ref="D96" authorId="1" shapeId="0" xr:uid="{00000000-0006-0000-0100-00008A000000}">
      <text>
        <r>
          <rPr>
            <sz val="9"/>
            <color indexed="81"/>
            <rFont val="Segoe UI"/>
            <family val="2"/>
          </rPr>
          <t>1 - Código
2 - Comando
3 - Mensagem</t>
        </r>
      </text>
    </comment>
    <comment ref="E96" authorId="1" shapeId="0" xr:uid="{00000000-0006-0000-0100-00008B000000}">
      <text>
        <r>
          <rPr>
            <sz val="9"/>
            <color indexed="81"/>
            <rFont val="Segoe UI"/>
            <family val="2"/>
          </rPr>
          <t>1 - Feriado</t>
        </r>
      </text>
    </comment>
    <comment ref="D97" authorId="1" shapeId="0" xr:uid="{00000000-0006-0000-0100-00008C000000}">
      <text>
        <r>
          <rPr>
            <sz val="9"/>
            <color indexed="81"/>
            <rFont val="Segoe UI"/>
            <family val="2"/>
          </rPr>
          <t>1 - Código
2 - Status
3 - Comando
4 - Mensagem</t>
        </r>
      </text>
    </comment>
    <comment ref="E97" authorId="1" shapeId="0" xr:uid="{00000000-0006-0000-0100-00008D000000}">
      <text>
        <r>
          <rPr>
            <sz val="9"/>
            <color indexed="81"/>
            <rFont val="Segoe UI"/>
            <family val="2"/>
          </rPr>
          <t>1 - Feriado</t>
        </r>
      </text>
    </comment>
    <comment ref="D100" authorId="1" shapeId="0" xr:uid="{00000000-0006-0000-0100-00008E000000}">
      <text>
        <r>
          <rPr>
            <sz val="9"/>
            <color indexed="81"/>
            <rFont val="Segoe UI"/>
            <family val="2"/>
          </rPr>
          <t>1 - Código
2 - Descrição
3 - Tipo
4 - Horas Diárias
5 - Horas Semanais
6 - Folga/Horas
7 - Quantidade de Registros
8 - Status
9 - Flag Convocação</t>
        </r>
      </text>
    </comment>
    <comment ref="E100" authorId="1" shapeId="0" xr:uid="{00000000-0006-0000-0100-00008F000000}">
      <text>
        <r>
          <rPr>
            <sz val="9"/>
            <color indexed="81"/>
            <rFont val="Segoe UI"/>
            <family val="2"/>
          </rPr>
          <t>1 - Jornada de Trabalho</t>
        </r>
      </text>
    </comment>
    <comment ref="D101" authorId="1" shapeId="0" xr:uid="{00000000-0006-0000-0100-000090000000}">
      <text>
        <r>
          <rPr>
            <sz val="9"/>
            <color indexed="81"/>
            <rFont val="Segoe UI"/>
            <family val="2"/>
          </rPr>
          <t xml:space="preserve">1 - Código
2 - Descrição
</t>
        </r>
      </text>
    </comment>
    <comment ref="E101" authorId="1" shapeId="0" xr:uid="{00000000-0006-0000-0100-000091000000}">
      <text>
        <r>
          <rPr>
            <sz val="9"/>
            <color indexed="81"/>
            <rFont val="Segoe UI"/>
            <family val="2"/>
          </rPr>
          <t>1 - Periodicidade</t>
        </r>
      </text>
    </comment>
    <comment ref="D102" authorId="1" shapeId="0" xr:uid="{00000000-0006-0000-0100-000092000000}">
      <text>
        <r>
          <rPr>
            <sz val="9"/>
            <color indexed="81"/>
            <rFont val="Segoe UI"/>
            <family val="2"/>
          </rPr>
          <t xml:space="preserve">1 - Código
2 - Descrição
3 - Comando
</t>
        </r>
      </text>
    </comment>
    <comment ref="E102" authorId="1" shapeId="0" xr:uid="{00000000-0006-0000-0100-000093000000}">
      <text>
        <r>
          <rPr>
            <sz val="9"/>
            <color indexed="81"/>
            <rFont val="Segoe UI"/>
            <family val="2"/>
          </rPr>
          <t>1 - Periodicidade</t>
        </r>
      </text>
    </comment>
    <comment ref="D103" authorId="1" shapeId="0" xr:uid="{00000000-0006-0000-0100-000094000000}">
      <text>
        <r>
          <rPr>
            <sz val="9"/>
            <color indexed="81"/>
            <rFont val="Segoe UI"/>
            <family val="2"/>
          </rPr>
          <t>1 - Código
2 - Descrição
3 - Tipo
4 - Horas Diárias
5 - Horas Semanais
6 - Status
7 - Comando
8 - Mensagem</t>
        </r>
      </text>
    </comment>
    <comment ref="E103" authorId="1" shapeId="0" xr:uid="{00000000-0006-0000-0100-000095000000}">
      <text>
        <r>
          <rPr>
            <sz val="9"/>
            <color indexed="81"/>
            <rFont val="Segoe UI"/>
            <family val="2"/>
          </rPr>
          <t>1 - Jornada de Trabalho
2 - Periodicidade</t>
        </r>
      </text>
    </comment>
    <comment ref="D104" authorId="1" shapeId="0" xr:uid="{00000000-0006-0000-0100-000096000000}">
      <text>
        <r>
          <rPr>
            <sz val="9"/>
            <color indexed="81"/>
            <rFont val="Segoe UI"/>
            <family val="2"/>
          </rPr>
          <t>1 - Código
2 - Descrição
3 - Tipo
4 - Horas Diárias
5 - Horas Semanais
6 - Folga/Horas
7 - Quantidade de Registros
8 - Status
9 - Flag Convocação
10 - Comando
11 - Mensagem</t>
        </r>
      </text>
    </comment>
    <comment ref="E104" authorId="1" shapeId="0" xr:uid="{00000000-0006-0000-0100-000097000000}">
      <text>
        <r>
          <rPr>
            <sz val="9"/>
            <color indexed="81"/>
            <rFont val="Segoe UI"/>
            <family val="2"/>
          </rPr>
          <t>1 - Jornada de Trabalho
2 - Periodicidade</t>
        </r>
      </text>
    </comment>
    <comment ref="D105" authorId="1" shapeId="0" xr:uid="{00000000-0006-0000-0100-000098000000}">
      <text>
        <r>
          <rPr>
            <sz val="9"/>
            <color indexed="81"/>
            <rFont val="Segoe UI"/>
            <family val="2"/>
          </rPr>
          <t>1 - Código
2 - Descrição
3 - Tipo
4 - Horas Diárias
5 - Horas Semanais
6 - Quantidade de Registros
7 - Flag Convocação
8 - Comando
9 - Mensagem</t>
        </r>
      </text>
    </comment>
    <comment ref="E105" authorId="1" shapeId="0" xr:uid="{00000000-0006-0000-0100-000099000000}">
      <text>
        <r>
          <rPr>
            <sz val="9"/>
            <color indexed="81"/>
            <rFont val="Segoe UI"/>
            <family val="2"/>
          </rPr>
          <t>1 - Jornada de Trabalho
2 - Periodicidade</t>
        </r>
      </text>
    </comment>
    <comment ref="D106" authorId="1" shapeId="0" xr:uid="{00000000-0006-0000-0100-00009A000000}">
      <text>
        <r>
          <rPr>
            <sz val="9"/>
            <color indexed="81"/>
            <rFont val="Segoe UI"/>
            <family val="2"/>
          </rPr>
          <t>1 - Código
2 - Descrição
3 - Tipo
4 - Horas Diárias
5 - Horas Semanais
6 - Folga/Horas
7 - Quantidade de Registros
8 - Flag Convocação</t>
        </r>
      </text>
    </comment>
    <comment ref="E106" authorId="1" shapeId="0" xr:uid="{00000000-0006-0000-0100-00009B000000}">
      <text>
        <r>
          <rPr>
            <sz val="9"/>
            <color indexed="81"/>
            <rFont val="Segoe UI"/>
            <family val="2"/>
          </rPr>
          <t>1 - Jornada de Trabalho
2 - Periodicidade</t>
        </r>
      </text>
    </comment>
    <comment ref="D107" authorId="1" shapeId="0" xr:uid="{00000000-0006-0000-0100-00009C000000}">
      <text>
        <r>
          <rPr>
            <sz val="9"/>
            <color indexed="81"/>
            <rFont val="Segoe UI"/>
            <family val="2"/>
          </rPr>
          <t>1 - Código
2 - Descrição
3 - Tipo
4 - Horas Diárias
5 - Horas Semanais
6 - Folga/Horas
7 - Quantidade de Registros
8 - Flag Convocação
9 - Comando
10 - Mensagem</t>
        </r>
      </text>
    </comment>
    <comment ref="E107" authorId="1" shapeId="0" xr:uid="{00000000-0006-0000-0100-00009D000000}">
      <text>
        <r>
          <rPr>
            <sz val="9"/>
            <color indexed="81"/>
            <rFont val="Segoe UI"/>
            <family val="2"/>
          </rPr>
          <t>1 - Jornada de Trabalho
2 - Periodicidade</t>
        </r>
      </text>
    </comment>
    <comment ref="D108" authorId="1" shapeId="0" xr:uid="{00000000-0006-0000-0100-00009E000000}">
      <text>
        <r>
          <rPr>
            <sz val="9"/>
            <color indexed="81"/>
            <rFont val="Segoe UI"/>
            <family val="2"/>
          </rPr>
          <t>1 - Código
2 - Comando
3 - Mensagem</t>
        </r>
      </text>
    </comment>
    <comment ref="E108" authorId="1" shapeId="0" xr:uid="{00000000-0006-0000-0100-00009F000000}">
      <text>
        <r>
          <rPr>
            <sz val="9"/>
            <color indexed="81"/>
            <rFont val="Segoe UI"/>
            <family val="2"/>
          </rPr>
          <t>1 - Jornada de Trabalho</t>
        </r>
      </text>
    </comment>
    <comment ref="D109" authorId="1" shapeId="0" xr:uid="{00000000-0006-0000-0100-0000A0000000}">
      <text>
        <r>
          <rPr>
            <sz val="9"/>
            <color indexed="81"/>
            <rFont val="Segoe UI"/>
            <family val="2"/>
          </rPr>
          <t>1 - Código
2 - Status
3 - Comando
4 - Mensagem</t>
        </r>
      </text>
    </comment>
    <comment ref="E109" authorId="1" shapeId="0" xr:uid="{00000000-0006-0000-0100-0000A1000000}">
      <text>
        <r>
          <rPr>
            <sz val="9"/>
            <color indexed="81"/>
            <rFont val="Segoe UI"/>
            <family val="2"/>
          </rPr>
          <t>1 - Jornada de Trabalho</t>
        </r>
      </text>
    </comment>
    <comment ref="D112" authorId="1" shapeId="0" xr:uid="{00000000-0006-0000-0100-0000A2000000}">
      <text>
        <r>
          <rPr>
            <sz val="9"/>
            <color indexed="81"/>
            <rFont val="Segoe UI"/>
            <family val="2"/>
          </rPr>
          <t>1 - Código
2 - Descrição
3 - Jornada
4 - Tipo
5 - Código do Item
6 - Dia da Semana
7 - Período
8 - Mês
9- Dia do Mês
10 - Hora início
11 - Hora fim
12 - Status
13 - Template</t>
        </r>
      </text>
    </comment>
    <comment ref="E112" authorId="1" shapeId="0" xr:uid="{00000000-0006-0000-0100-0000A3000000}">
      <text>
        <r>
          <rPr>
            <sz val="9"/>
            <color indexed="81"/>
            <rFont val="Segoe UI"/>
            <family val="2"/>
          </rPr>
          <t>1 - Template Escala
2 - Dia da Semana</t>
        </r>
      </text>
    </comment>
    <comment ref="D113" authorId="1" shapeId="0" xr:uid="{00000000-0006-0000-0100-0000A4000000}">
      <text>
        <r>
          <rPr>
            <sz val="9"/>
            <color indexed="81"/>
            <rFont val="Segoe UI"/>
            <family val="2"/>
          </rPr>
          <t xml:space="preserve">1 - Código
2 - Descrição
</t>
        </r>
      </text>
    </comment>
    <comment ref="E113" authorId="1" shapeId="0" xr:uid="{00000000-0006-0000-0100-0000A5000000}">
      <text>
        <r>
          <rPr>
            <sz val="9"/>
            <color indexed="81"/>
            <rFont val="Segoe UI"/>
            <family val="2"/>
          </rPr>
          <t xml:space="preserve">1 - Mês
</t>
        </r>
      </text>
    </comment>
    <comment ref="D114" authorId="1" shapeId="0" xr:uid="{00000000-0006-0000-0100-0000A6000000}">
      <text>
        <r>
          <rPr>
            <sz val="9"/>
            <color indexed="81"/>
            <rFont val="Segoe UI"/>
            <family val="2"/>
          </rPr>
          <t xml:space="preserve">1 - Código
2 - Descrição
</t>
        </r>
      </text>
    </comment>
    <comment ref="E114" authorId="1" shapeId="0" xr:uid="{00000000-0006-0000-0100-0000A7000000}">
      <text>
        <r>
          <rPr>
            <sz val="9"/>
            <color indexed="81"/>
            <rFont val="Segoe UI"/>
            <family val="2"/>
          </rPr>
          <t>1 - Dia do Mês</t>
        </r>
      </text>
    </comment>
    <comment ref="D115" authorId="1" shapeId="0" xr:uid="{00000000-0006-0000-0100-0000A8000000}">
      <text>
        <r>
          <rPr>
            <sz val="9"/>
            <color indexed="81"/>
            <rFont val="Segoe UI"/>
            <family val="2"/>
          </rPr>
          <t>1 - Código
2 - Descrição
3 - Comando</t>
        </r>
      </text>
    </comment>
    <comment ref="E115" authorId="1" shapeId="0" xr:uid="{00000000-0006-0000-0100-0000A9000000}">
      <text>
        <r>
          <rPr>
            <sz val="9"/>
            <color indexed="81"/>
            <rFont val="Segoe UI"/>
            <family val="2"/>
          </rPr>
          <t>1 - Jornada de Trabalho</t>
        </r>
      </text>
    </comment>
    <comment ref="D116" authorId="1" shapeId="0" xr:uid="{00000000-0006-0000-0100-0000AA000000}">
      <text>
        <r>
          <rPr>
            <sz val="9"/>
            <color indexed="81"/>
            <rFont val="Segoe UI"/>
            <family val="2"/>
          </rPr>
          <t>1 - Código
2 - Template
3 - Jornada
4 - Tipo
5 - Status
6 - Comando
7 - Mensagem</t>
        </r>
      </text>
    </comment>
    <comment ref="E116" authorId="1" shapeId="0" xr:uid="{00000000-0006-0000-0100-0000AB000000}">
      <text>
        <r>
          <rPr>
            <sz val="9"/>
            <color indexed="81"/>
            <rFont val="Segoe UI"/>
            <family val="2"/>
          </rPr>
          <t>1 - Template Escala</t>
        </r>
      </text>
    </comment>
    <comment ref="D117" authorId="1" shapeId="0" xr:uid="{00000000-0006-0000-0100-0000AC000000}">
      <text>
        <r>
          <rPr>
            <sz val="9"/>
            <color indexed="81"/>
            <rFont val="Segoe UI"/>
            <family val="2"/>
          </rPr>
          <t>1 - Código
2 - Descrição
3 - Jornada
4 - Tipo
5 - Template
6 - Código do Item
7 - Dia da Semana
8 - Período
9 - Mês
10- Dia do Mês
11 - Hora início
12 - Hora fim
13 - Status
14 - Comando
15 - Mensagem</t>
        </r>
      </text>
    </comment>
    <comment ref="E117" authorId="1" shapeId="0" xr:uid="{00000000-0006-0000-0100-0000AD000000}">
      <text>
        <r>
          <rPr>
            <sz val="9"/>
            <color indexed="81"/>
            <rFont val="Segoe UI"/>
            <family val="2"/>
          </rPr>
          <t>1 - Template Escala
2 - Jornada
3 - Mês
4 - Dia do Mês
5 - Período</t>
        </r>
      </text>
    </comment>
    <comment ref="D118" authorId="1" shapeId="0" xr:uid="{00000000-0006-0000-0100-0000AE000000}">
      <text>
        <r>
          <rPr>
            <sz val="9"/>
            <color indexed="81"/>
            <rFont val="Segoe UI"/>
            <family val="2"/>
          </rPr>
          <t xml:space="preserve">1 - Código
2 - Descrição
3 - Template
4 - Comando
5 - Mensagem
</t>
        </r>
      </text>
    </comment>
    <comment ref="E118" authorId="1" shapeId="0" xr:uid="{00000000-0006-0000-0100-0000AF000000}">
      <text>
        <r>
          <rPr>
            <sz val="9"/>
            <color indexed="81"/>
            <rFont val="Segoe UI"/>
            <family val="2"/>
          </rPr>
          <t>1 - Template Escala</t>
        </r>
      </text>
    </comment>
    <comment ref="D119" authorId="1" shapeId="0" xr:uid="{00000000-0006-0000-0100-0000B0000000}">
      <text>
        <r>
          <rPr>
            <sz val="9"/>
            <color indexed="81"/>
            <rFont val="Segoe UI"/>
            <family val="2"/>
          </rPr>
          <t>1 - Código
2 - Descrição
3 - Jornada
4 - Tipo
5 - Template
6 - Código do Item
7 - Dia da Semana
8 - Período
9 - Mês
10- Dia do Mês
11 - Hora início
12 - Hora fim</t>
        </r>
      </text>
    </comment>
    <comment ref="E119" authorId="1" shapeId="0" xr:uid="{00000000-0006-0000-0100-0000B1000000}">
      <text>
        <r>
          <rPr>
            <sz val="9"/>
            <color indexed="81"/>
            <rFont val="Segoe UI"/>
            <family val="2"/>
          </rPr>
          <t>1 - Template Escala
2 - Jornada
3 - Mês
4 - Dia do Mês
5 - Período</t>
        </r>
      </text>
    </comment>
    <comment ref="D120" authorId="1" shapeId="0" xr:uid="{00000000-0006-0000-0100-0000B2000000}">
      <text>
        <r>
          <rPr>
            <sz val="9"/>
            <color indexed="81"/>
            <rFont val="Segoe UI"/>
            <family val="2"/>
          </rPr>
          <t>1 - Código
2 - Descrição
3 - Jornada
4 - Tipo
5 - Template
6 - Código do Item
7 - Dia da Semana
8 - Período
9 - Mês
10- Dia do Mês
11 - Hora início
12 - Hora fim
13 - Comando
14 - Mensagem</t>
        </r>
      </text>
    </comment>
    <comment ref="E120" authorId="1" shapeId="0" xr:uid="{00000000-0006-0000-0100-0000B3000000}">
      <text>
        <r>
          <rPr>
            <sz val="9"/>
            <color indexed="81"/>
            <rFont val="Segoe UI"/>
            <family val="2"/>
          </rPr>
          <t>1 - Template Escala
2 - Jornada
3 - Mês
4 - Dia do Mês
5 - Período</t>
        </r>
      </text>
    </comment>
    <comment ref="D121" authorId="1" shapeId="0" xr:uid="{00000000-0006-0000-0100-0000B4000000}">
      <text>
        <r>
          <rPr>
            <sz val="9"/>
            <color indexed="81"/>
            <rFont val="Segoe UI"/>
            <family val="2"/>
          </rPr>
          <t>1 - Código
2 - Comando
3 - Mensagem</t>
        </r>
      </text>
    </comment>
    <comment ref="E121" authorId="1" shapeId="0" xr:uid="{00000000-0006-0000-0100-0000B5000000}">
      <text>
        <r>
          <rPr>
            <sz val="9"/>
            <color indexed="81"/>
            <rFont val="Segoe UI"/>
            <family val="2"/>
          </rPr>
          <t>1 - Template Escala</t>
        </r>
      </text>
    </comment>
    <comment ref="D122" authorId="1" shapeId="0" xr:uid="{00000000-0006-0000-0100-0000B6000000}">
      <text>
        <r>
          <rPr>
            <sz val="9"/>
            <color indexed="81"/>
            <rFont val="Segoe UI"/>
            <family val="2"/>
          </rPr>
          <t>1 - Código
2 - Status
3 - Comando
4 - Mensagem</t>
        </r>
      </text>
    </comment>
    <comment ref="E122" authorId="1" shapeId="0" xr:uid="{00000000-0006-0000-0100-0000B7000000}">
      <text>
        <r>
          <rPr>
            <sz val="9"/>
            <color indexed="81"/>
            <rFont val="Segoe UI"/>
            <family val="2"/>
          </rPr>
          <t>1 - Template Escala</t>
        </r>
      </text>
    </comment>
    <comment ref="D123" authorId="1" shapeId="0" xr:uid="{00000000-0006-0000-0100-0000B8000000}">
      <text>
        <r>
          <rPr>
            <sz val="9"/>
            <color indexed="81"/>
            <rFont val="Segoe UI"/>
            <family val="2"/>
          </rPr>
          <t>1 - Código
2 - Código do Item
3 - Dia da Semana
4 - Período
5 - Mês
6- Dia do Mês
7 - Hora início
8 - Hora fim
9 - Comando
10 - Mensagem</t>
        </r>
      </text>
    </comment>
    <comment ref="E123" authorId="1" shapeId="0" xr:uid="{00000000-0006-0000-0100-0000B9000000}">
      <text>
        <r>
          <rPr>
            <sz val="9"/>
            <color indexed="81"/>
            <rFont val="Segoe UI"/>
            <family val="2"/>
          </rPr>
          <t>1 - Template Escala
2 - Mês
3 - Dia do Mês
4 - Período</t>
        </r>
      </text>
    </comment>
    <comment ref="D124" authorId="1" shapeId="0" xr:uid="{00000000-0006-0000-0100-0000BA000000}">
      <text>
        <r>
          <rPr>
            <sz val="9"/>
            <color indexed="81"/>
            <rFont val="Segoe UI"/>
            <family val="2"/>
          </rPr>
          <t>1 - Código
2 - Código do Item
3 - Dia da Semana
4 - Período
5 - Mês
6- Dia do Mês
7 - Hora início
8 - Hora fim
9 - Comando
10 - Mensagem</t>
        </r>
      </text>
    </comment>
    <comment ref="E124" authorId="1" shapeId="0" xr:uid="{00000000-0006-0000-0100-0000BB000000}">
      <text>
        <r>
          <rPr>
            <sz val="9"/>
            <color indexed="81"/>
            <rFont val="Segoe UI"/>
            <family val="2"/>
          </rPr>
          <t>1 - Template Escala
2 - Mês
3 - Dia do Mês
4 - Período</t>
        </r>
      </text>
    </comment>
    <comment ref="D125" authorId="1" shapeId="0" xr:uid="{00000000-0006-0000-0100-0000BC000000}">
      <text>
        <r>
          <rPr>
            <sz val="9"/>
            <color indexed="81"/>
            <rFont val="Segoe UI"/>
            <family val="2"/>
          </rPr>
          <t>1 - Código
2 - Código do Item
3 - Comando
4 - Mensagem</t>
        </r>
      </text>
    </comment>
    <comment ref="E125" authorId="1" shapeId="0" xr:uid="{00000000-0006-0000-0100-0000BD000000}">
      <text>
        <r>
          <rPr>
            <sz val="9"/>
            <color indexed="81"/>
            <rFont val="Segoe UI"/>
            <family val="2"/>
          </rPr>
          <t>1 - Template Escala</t>
        </r>
      </text>
    </comment>
    <comment ref="D128" authorId="2" shapeId="0" xr:uid="{EAB0300F-4AD9-4632-9381-A2D6D67AEE57}">
      <text>
        <r>
          <rPr>
            <sz val="9"/>
            <color indexed="81"/>
            <rFont val="Segoe UI"/>
            <family val="2"/>
          </rPr>
          <t xml:space="preserve">1 - Código
2 - Nome completo
3 - CPF 
4 - Matrícula 
5 - Data de Nascimento 
6 - Setor de Lotação 
7 - Município 
8 - Órgão 
9 - Sexo
10 - Deficiência 
11 - Celular 
12 - E-mail 
13 - Nº vínculo SEAP 
14 - Tipo de vínculo 
15 - Regime de horas 
16 - Data inicio afastamento
17 - Data final afastamento
18 - Tipo Afastamento 
19 - Cargo
20 - Função
21 - Nome social
22 - Órgão do Vínculo
23 - Unidade do Vínculo
24 - Tipo do Vínculo
25 - Status do Vínculo
26 - Perfil
27 - Registro ponto flexivel
28 - Registro na estação trabalho 
29 - Liberar acesso evento lotação
30 - registrar frequencia dispositivo movel </t>
        </r>
      </text>
    </comment>
    <comment ref="E128" authorId="2" shapeId="0" xr:uid="{B17EF4D5-6112-46EE-9FEA-3E4A6A138B1D}">
      <text>
        <r>
          <rPr>
            <sz val="9"/>
            <color indexed="81"/>
            <rFont val="Segoe UI"/>
            <family val="2"/>
          </rPr>
          <t>1- Servidor
2 - Órgão
3 - Setor
4 - Perfil
5 - Função SEAP
6 - Evento lotação</t>
        </r>
      </text>
    </comment>
    <comment ref="D129" authorId="2" shapeId="0" xr:uid="{00000000-0006-0000-0100-0000C0000000}">
      <text>
        <r>
          <rPr>
            <sz val="9"/>
            <color indexed="81"/>
            <rFont val="Segoe UI"/>
            <family val="2"/>
          </rPr>
          <t>1 - Código
2 - CPF
3 - Matrícula
4 - Nome
5 - Email
6 - Órgão
7 - Setor
8 - Comando
9 - Mensagem</t>
        </r>
      </text>
    </comment>
    <comment ref="E129" authorId="2" shapeId="0" xr:uid="{00000000-0006-0000-0100-0000C1000000}">
      <text>
        <r>
          <rPr>
            <sz val="9"/>
            <color indexed="81"/>
            <rFont val="Segoe UI"/>
            <family val="2"/>
          </rPr>
          <t>1- Servidor
2 - Órgão
3 - Setor</t>
        </r>
      </text>
    </comment>
    <comment ref="D130" authorId="2" shapeId="0" xr:uid="{00000000-0006-0000-0100-0000C2000000}">
      <text>
        <r>
          <rPr>
            <sz val="9"/>
            <color indexed="81"/>
            <rFont val="Segoe UI"/>
            <family val="2"/>
          </rPr>
          <t>1 - Código
2 - Nome completo
3 - CPF 
4 - Matrícula 
5  - Data de Nascimento 
6 - Setor de Lotação 
7 - Município 
8 - Órgão 
9 - Sexo
10 - Deficiência 
11 - Celular 
12 - Email 
13 - Nº vínculo SEAP 
14 - Tipo de vínculo 
15 - Regime de horas 
16 - Comando
17 - Mensagem</t>
        </r>
      </text>
    </comment>
    <comment ref="E130" authorId="2" shapeId="0" xr:uid="{00000000-0006-0000-0100-0000C3000000}">
      <text>
        <r>
          <rPr>
            <sz val="9"/>
            <color indexed="81"/>
            <rFont val="Segoe UI"/>
            <family val="2"/>
          </rPr>
          <t>1- Servidor
2 - Órgão
3 - Setor</t>
        </r>
      </text>
    </comment>
    <comment ref="D131" authorId="2" shapeId="0" xr:uid="{00000000-0006-0000-0100-0000C4000000}">
      <text>
        <r>
          <rPr>
            <sz val="9"/>
            <color indexed="81"/>
            <rFont val="Segoe UI"/>
            <family val="2"/>
          </rPr>
          <t>1 - Código
2 - Nº vínculo
3 - Órgão
4 - Unidade
5 - Tipo
6 - Status
7 - Comando
8 - Mensagem</t>
        </r>
      </text>
    </comment>
    <comment ref="E131" authorId="2" shapeId="0" xr:uid="{00000000-0006-0000-0100-0000C5000000}">
      <text>
        <r>
          <rPr>
            <sz val="9"/>
            <color indexed="81"/>
            <rFont val="Segoe UI"/>
            <family val="2"/>
          </rPr>
          <t>1 - Servidor
2 - Orgão
3 - Setor</t>
        </r>
      </text>
    </comment>
    <comment ref="D134" authorId="2" shapeId="0" xr:uid="{00000000-0006-0000-0100-0000C6000000}">
      <text>
        <r>
          <rPr>
            <sz val="9"/>
            <color indexed="81"/>
            <rFont val="Segoe UI"/>
            <family val="2"/>
          </rPr>
          <t>1 - código
2 - servidor
3 - número
4 - órgão
5 - setor/unidade
6 - jornada
7 - data início
8 - data fim
9 - cargo
10 - Tipo vínculo
11 - Ordem Prioridade</t>
        </r>
      </text>
    </comment>
    <comment ref="E134" authorId="2" shapeId="0" xr:uid="{00000000-0006-0000-0100-0000C7000000}">
      <text>
        <r>
          <rPr>
            <sz val="9"/>
            <color indexed="81"/>
            <rFont val="Segoe UI"/>
            <family val="2"/>
          </rPr>
          <t>1 - Evento de Lotação</t>
        </r>
      </text>
    </comment>
    <comment ref="D135" authorId="2" shapeId="0" xr:uid="{00000000-0006-0000-0100-0000C8000000}">
      <text>
        <r>
          <rPr>
            <sz val="9"/>
            <color indexed="81"/>
            <rFont val="Segoe UI"/>
            <family val="2"/>
          </rPr>
          <t>1 - Código
2 - Nome
3 - Cargo
4 - Função</t>
        </r>
      </text>
    </comment>
    <comment ref="E135" authorId="2" shapeId="0" xr:uid="{00000000-0006-0000-0100-0000C9000000}">
      <text>
        <r>
          <rPr>
            <sz val="9"/>
            <color indexed="81"/>
            <rFont val="Segoe UI"/>
            <family val="2"/>
          </rPr>
          <t>1 - Função SEAP</t>
        </r>
      </text>
    </comment>
    <comment ref="D136" authorId="2" shapeId="0" xr:uid="{00000000-0006-0000-0100-0000CA000000}">
      <text>
        <r>
          <rPr>
            <sz val="9"/>
            <color indexed="81"/>
            <rFont val="Segoe UI"/>
            <family val="2"/>
          </rPr>
          <t>1 - código
2 - servidor
3 - número
4 - órgão
5 - setor/unidade
6 - jornada
7 - data início
8 - data fim
9 - função
10 - cargo
11 - tipo de vínculo
12 - Ordem Prioridade
13 - Comando
14 - Mensagem</t>
        </r>
      </text>
    </comment>
    <comment ref="E136" authorId="2" shapeId="0" xr:uid="{00000000-0006-0000-0100-0000CB000000}">
      <text>
        <r>
          <rPr>
            <sz val="9"/>
            <color indexed="81"/>
            <rFont val="Segoe UI"/>
            <family val="2"/>
          </rPr>
          <t>1 - Servidor
2 - Orgão
3 - Setor
4 - Evento de Lotação</t>
        </r>
      </text>
    </comment>
    <comment ref="D137" authorId="1" shapeId="0" xr:uid="{00000000-0006-0000-0100-0000CC000000}">
      <text>
        <r>
          <rPr>
            <sz val="9"/>
            <color indexed="81"/>
            <rFont val="Segoe UI"/>
            <family val="2"/>
          </rPr>
          <t>1 - Usuário
2 - Permissão
3 - Comando
4 - Mensagem</t>
        </r>
      </text>
    </comment>
    <comment ref="E137" authorId="1" shapeId="0" xr:uid="{00000000-0006-0000-0100-0000CD000000}">
      <text>
        <r>
          <rPr>
            <sz val="9"/>
            <color indexed="81"/>
            <rFont val="Segoe UI"/>
            <family val="2"/>
          </rPr>
          <t>1 - Usuário</t>
        </r>
      </text>
    </comment>
    <comment ref="D138" authorId="1" shapeId="0" xr:uid="{00000000-0006-0000-0100-0000CE000000}">
      <text>
        <r>
          <rPr>
            <sz val="9"/>
            <color indexed="81"/>
            <rFont val="Segoe UI"/>
            <family val="2"/>
          </rPr>
          <t>1 - Usuário
2 - Permissão
3 - Comando
4 - Mensagem</t>
        </r>
      </text>
    </comment>
    <comment ref="E138" authorId="1" shapeId="0" xr:uid="{00000000-0006-0000-0100-0000CF000000}">
      <text>
        <r>
          <rPr>
            <sz val="9"/>
            <color indexed="81"/>
            <rFont val="Segoe UI"/>
            <family val="2"/>
          </rPr>
          <t>1 - Usuário</t>
        </r>
      </text>
    </comment>
    <comment ref="D139" authorId="1" shapeId="0" xr:uid="{F18FA197-0BFA-4076-ACED-583B8374E9A0}">
      <text>
        <r>
          <rPr>
            <sz val="9"/>
            <color indexed="81"/>
            <rFont val="Segoe UI"/>
            <family val="2"/>
          </rPr>
          <t>1 - Permissão
2 - Comando
3 - Mensagem</t>
        </r>
      </text>
    </comment>
    <comment ref="E139" authorId="1" shapeId="0" xr:uid="{1F071C79-3EDD-4B9A-9A1E-A3464A52EDEC}">
      <text>
        <r>
          <rPr>
            <sz val="9"/>
            <color indexed="81"/>
            <rFont val="Segoe UI"/>
            <family val="2"/>
          </rPr>
          <t>1 - Usuário</t>
        </r>
      </text>
    </comment>
    <comment ref="D142" authorId="2" shapeId="0" xr:uid="{00000000-0006-0000-0100-0000D0000000}">
      <text>
        <r>
          <rPr>
            <sz val="9"/>
            <color indexed="81"/>
            <rFont val="Segoe UI"/>
            <family val="2"/>
          </rPr>
          <t>1 - Código
2 - Descrição da escala
3 - Jornada
4 - Tipo de recorrência 
5 - Data início
6 - Data fim
7 - Chefia imediata
8 - Dia da semana
9 - Período
10 - Mês
11 - Dia
12 - Hora início
13 - Hora fim
14 - Servidor
15 - Código Histórico
16 - Descrição Histórico
17 - Jornada Historico
18 - Tipo de recorrência Histórico
19 - Data início Histórico
20 - Data fim Histórico
21 - Chefia imediata Histórico
22 - Dia da semana Histórico
23 - Período Histórico
24 - Mês Histórico
25 - Dia Histórico
26 - Hora início Histórico
27 - Hora fim Histórico</t>
        </r>
      </text>
    </comment>
    <comment ref="E142" authorId="2" shapeId="0" xr:uid="{00000000-0006-0000-0100-0000D1000000}">
      <text>
        <r>
          <rPr>
            <sz val="9"/>
            <color indexed="81"/>
            <rFont val="Segoe UI"/>
            <family val="2"/>
          </rPr>
          <t xml:space="preserve">1 - Escala de trabalho
2 - Histórico escala de trabalho
</t>
        </r>
      </text>
    </comment>
    <comment ref="D143" authorId="2" shapeId="0" xr:uid="{00000000-0006-0000-0100-0000D2000000}">
      <text>
        <r>
          <rPr>
            <sz val="9"/>
            <color indexed="81"/>
            <rFont val="Segoe UI"/>
            <family val="2"/>
          </rPr>
          <t>1 - Código
2 - Nome
3 - Setor
4 - Flag Chefia Imediata</t>
        </r>
      </text>
    </comment>
    <comment ref="E143" authorId="2" shapeId="0" xr:uid="{00000000-0006-0000-0100-0000D3000000}">
      <text>
        <r>
          <rPr>
            <sz val="9"/>
            <color indexed="81"/>
            <rFont val="Segoe UI"/>
            <family val="2"/>
          </rPr>
          <t>1 - Chefia Imediata SEAP</t>
        </r>
      </text>
    </comment>
    <comment ref="D144" authorId="2" shapeId="0" xr:uid="{65801EA8-98FB-4DDA-B2DE-BD501ED3470A}">
      <text>
        <r>
          <rPr>
            <sz val="9"/>
            <color indexed="81"/>
            <rFont val="Segoe UI"/>
            <family val="2"/>
          </rPr>
          <t xml:space="preserve">1 - Código
2 - Descrição da escala
3 - Tipo de recorrência 
4 - Data início
5 - Data fim
6 - Chefia imediata
7 - Dia da semana
8 - Período
9 - Mês
10 - Dia
11 - Hora início
12 - Hora fim
13 - Servidor
14 - Evento
15 - Jornada
16 - Comando
17 - Mensagem
</t>
        </r>
      </text>
    </comment>
    <comment ref="E144" authorId="2" shapeId="0" xr:uid="{FAB5E4F9-38C9-4211-A349-425A614E3FDE}">
      <text>
        <r>
          <rPr>
            <sz val="9"/>
            <color indexed="81"/>
            <rFont val="Segoe UI"/>
            <family val="2"/>
          </rPr>
          <t>1 - Escala de trabalho
2 - Servidor
3 - Template Escala de Trabalho
4 - Evento
5 - Jornada
6 - Parâmetros</t>
        </r>
      </text>
    </comment>
    <comment ref="D145" authorId="1" shapeId="0" xr:uid="{00000000-0006-0000-0100-0000D6000000}">
      <text>
        <r>
          <rPr>
            <sz val="9"/>
            <color indexed="81"/>
            <rFont val="Segoe UI"/>
            <family val="2"/>
          </rPr>
          <t>1 - Código
2 - Descrição
3 - Comando</t>
        </r>
      </text>
    </comment>
    <comment ref="E145" authorId="1" shapeId="0" xr:uid="{00000000-0006-0000-0100-0000D7000000}">
      <text>
        <r>
          <rPr>
            <sz val="9"/>
            <color indexed="81"/>
            <rFont val="Segoe UI"/>
            <family val="2"/>
          </rPr>
          <t>1 - Template Escala de Trabalho</t>
        </r>
      </text>
    </comment>
    <comment ref="D146" authorId="2" shapeId="0" xr:uid="{50A5B9E4-7696-4AD6-953F-27C5FCECD91E}">
      <text>
        <r>
          <rPr>
            <sz val="9"/>
            <color indexed="81"/>
            <rFont val="Segoe UI"/>
            <family val="2"/>
          </rPr>
          <t>1 - Código
2 - Tipo de recorrência 
3 - Data início
4 - Data fim
5 - Dia da semana
6 - Período
7 - Mês
8 - Dia
9 - Hora início
10 - Hora fim
11 - Servidor
12 - Evento
13 - Comando
14 - Mensagem</t>
        </r>
      </text>
    </comment>
    <comment ref="E146" authorId="2" shapeId="0" xr:uid="{B01C101C-A816-4AD3-AE39-4C4A6F1E7DBB}">
      <text>
        <r>
          <rPr>
            <sz val="9"/>
            <color indexed="81"/>
            <rFont val="Segoe UI"/>
            <family val="2"/>
          </rPr>
          <t>1 - Escala de trabalho
2 - Servidor
3 - Evento
4 - Parâmetro</t>
        </r>
      </text>
    </comment>
    <comment ref="D147" authorId="2" shapeId="0" xr:uid="{00000000-0006-0000-0100-0000DA000000}">
      <text>
        <r>
          <rPr>
            <sz val="9"/>
            <color indexed="81"/>
            <rFont val="Segoe UI"/>
            <family val="2"/>
          </rPr>
          <t xml:space="preserve">1 - Código
2 - Descrição da escala
3 - Tipo de recorrência 
4 - Data início
5 - Data fim
6 - Chefia imediata
7 - Dia da semana
8 - Período
9 - Mês
10 - Dia
11 - Hora início
12 - Hora fim
13 - Servidor
</t>
        </r>
      </text>
    </comment>
    <comment ref="E147" authorId="2" shapeId="0" xr:uid="{00000000-0006-0000-0100-0000DB000000}">
      <text>
        <r>
          <rPr>
            <sz val="9"/>
            <color indexed="81"/>
            <rFont val="Segoe UI"/>
            <family val="2"/>
          </rPr>
          <t>1-Escala de trabalho
2-Servidor
3-Template Escala de Trabalho</t>
        </r>
      </text>
    </comment>
    <comment ref="D148" authorId="2" shapeId="0" xr:uid="{00000000-0006-0000-0100-0000DC000000}">
      <text>
        <r>
          <rPr>
            <sz val="9"/>
            <color indexed="81"/>
            <rFont val="Segoe UI"/>
            <family val="2"/>
          </rPr>
          <t>1 - Código
2 - Descrição
3 - Data início
4 - Data fim
5 - Comando
6 - Mensagem</t>
        </r>
      </text>
    </comment>
    <comment ref="E148" authorId="2" shapeId="0" xr:uid="{00000000-0006-0000-0100-0000DD000000}">
      <text>
        <r>
          <rPr>
            <sz val="9"/>
            <color indexed="81"/>
            <rFont val="Segoe UI"/>
            <family val="2"/>
          </rPr>
          <t xml:space="preserve">1 - Escala de trabalho
</t>
        </r>
      </text>
    </comment>
    <comment ref="D149" authorId="1" shapeId="0" xr:uid="{722C1459-8CEF-43B9-B3B4-368EF4154ACE}">
      <text>
        <r>
          <rPr>
            <sz val="9"/>
            <color indexed="81"/>
            <rFont val="Segoe UI"/>
            <family val="2"/>
          </rPr>
          <t>1 - Escala - Regular
2 - Jornada de Trabalho - Regular
3 - Qtde Horas - Regular
4 - Data início - Regular
5 - Data Fim - Regular
6 - Escala - Convocação
7 - Jornada de Trabalho - Convocação
8 - Qtde Horas - Convocação
9 - Data início - Convocação
10 - Data Fim - Convocação
11 - CMD
12 - MSG</t>
        </r>
      </text>
    </comment>
    <comment ref="E149" authorId="2" shapeId="0" xr:uid="{AF281540-A0CD-4DAF-9EC7-8515A23EC71F}">
      <text>
        <r>
          <rPr>
            <sz val="9"/>
            <color indexed="81"/>
            <rFont val="Segoe UI"/>
            <family val="2"/>
          </rPr>
          <t>1 - Escala de trabalho
2 - Evento Lotação</t>
        </r>
      </text>
    </comment>
    <comment ref="D150" authorId="2" shapeId="0" xr:uid="{00000000-0006-0000-0100-0000DE000000}">
      <text>
        <r>
          <rPr>
            <sz val="9"/>
            <color indexed="81"/>
            <rFont val="Segoe UI"/>
            <family val="2"/>
          </rPr>
          <t>1 - Codigo
2 - Evento
3 - Comando
4 - Mensagem</t>
        </r>
      </text>
    </comment>
    <comment ref="E150" authorId="2" shapeId="0" xr:uid="{00000000-0006-0000-0100-0000DF000000}">
      <text>
        <r>
          <rPr>
            <sz val="9"/>
            <color indexed="81"/>
            <rFont val="Segoe UI"/>
            <family val="2"/>
          </rPr>
          <t>1 - Escala de trabalho
2 - Registro de Ponto
3 - Evento</t>
        </r>
      </text>
    </comment>
    <comment ref="D151" authorId="2" shapeId="0" xr:uid="{AC5CC72B-64FB-4F29-BECC-DB71AFC8C515}">
      <text>
        <r>
          <rPr>
            <sz val="9"/>
            <color indexed="81"/>
            <rFont val="Segoe UI"/>
            <family val="2"/>
          </rPr>
          <t>1 - Código
2 - Descrição da escala
3 - Tipo de recorrência 
4 - Data início
5 - Data fim
6 - Chefia imediata
7 - Dia da semana
8 - Período
9 - Mês
10 - Dia
11 - Hora início
12 - Hora fim
13 - Servidor
14 - Jornada de trabalho 
15 - qtd horas 
16 - CMD
17 -Mensagem</t>
        </r>
      </text>
    </comment>
    <comment ref="E151" authorId="2" shapeId="0" xr:uid="{BA669357-790A-49CD-BBC0-9D387D75B229}">
      <text>
        <r>
          <rPr>
            <sz val="9"/>
            <color indexed="81"/>
            <rFont val="Segoe UI"/>
            <family val="2"/>
          </rPr>
          <t>1-Escala de trabalho
2-Servidor
3-Template Escala de Trabalho</t>
        </r>
      </text>
    </comment>
    <comment ref="D152" authorId="1" shapeId="0" xr:uid="{00000000-0006-0000-0100-0000E2000000}">
      <text>
        <r>
          <rPr>
            <sz val="9"/>
            <color indexed="81"/>
            <rFont val="Segoe UI"/>
            <family val="2"/>
          </rPr>
          <t>1 - Código
2 - Código do Item
3 - Dia da Semana
4 - Período
5 - Mês
6- Dia do Mês
7 - Hora início
8 - Hora fim
9 - Duração
10 - Comando
11 - Mensagem</t>
        </r>
      </text>
    </comment>
    <comment ref="E152" authorId="1" shapeId="0" xr:uid="{00000000-0006-0000-0100-0000E3000000}">
      <text>
        <r>
          <rPr>
            <sz val="9"/>
            <color indexed="81"/>
            <rFont val="Segoe UI"/>
            <family val="2"/>
          </rPr>
          <t>1 - Escala
2 - Mês
3 - Dia do Mês
4 - Período</t>
        </r>
      </text>
    </comment>
    <comment ref="D153" authorId="1" shapeId="0" xr:uid="{00000000-0006-0000-0100-0000E4000000}">
      <text>
        <r>
          <rPr>
            <sz val="9"/>
            <color indexed="81"/>
            <rFont val="Segoe UI"/>
            <family val="2"/>
          </rPr>
          <t>1 - Código
2 - Código do Item
3 - Dia da Semana
4 - Período
5 - Mês
6- Dia do Mês
7 - Hora início
8 - Hora fim
9 - Duração
10 - Comando
11 - Mensagem</t>
        </r>
      </text>
    </comment>
    <comment ref="E153" authorId="1" shapeId="0" xr:uid="{00000000-0006-0000-0100-0000E5000000}">
      <text>
        <r>
          <rPr>
            <sz val="9"/>
            <color indexed="81"/>
            <rFont val="Segoe UI"/>
            <family val="2"/>
          </rPr>
          <t>1 - Escala
2 - Mês
3 - Dia do Mês
4 - Período</t>
        </r>
      </text>
    </comment>
    <comment ref="D154" authorId="1" shapeId="0" xr:uid="{00000000-0006-0000-0100-0000E6000000}">
      <text>
        <r>
          <rPr>
            <sz val="9"/>
            <color indexed="81"/>
            <rFont val="Segoe UI"/>
            <family val="2"/>
          </rPr>
          <t>1 - Código
2 - Código do Item
3 - Comando
4 - Mensagem</t>
        </r>
      </text>
    </comment>
    <comment ref="E154" authorId="1" shapeId="0" xr:uid="{00000000-0006-0000-0100-0000E7000000}">
      <text>
        <r>
          <rPr>
            <sz val="9"/>
            <color indexed="81"/>
            <rFont val="Segoe UI"/>
            <family val="2"/>
          </rPr>
          <t>1 - Escala</t>
        </r>
      </text>
    </comment>
    <comment ref="D155" authorId="2" shapeId="0" xr:uid="{7241B5C3-D309-4178-9529-9F9A816BE3D0}">
      <text>
        <r>
          <rPr>
            <sz val="9"/>
            <color indexed="81"/>
            <rFont val="Segoe UI"/>
            <family val="2"/>
          </rPr>
          <t xml:space="preserve">1 - Data início
2 - Data fim
3 - Servidor Evento lotação
4 - Modelo de escala
5 - Jornada
6 - Tipo de recorrência
7 - Itens da escala - Dia da semana
8 - Itens da escala - Período
9 - Itens da escala - Mês
10 - Itens da escala - Dia
11 - Itens da escala - Hora início
12 - Itens da escala - Hora fim
13 - Comando
14 - Mensagem
</t>
        </r>
      </text>
    </comment>
    <comment ref="E155" authorId="2" shapeId="0" xr:uid="{67DB3575-4E36-43C3-A495-7C27B7B6BA96}">
      <text>
        <r>
          <rPr>
            <sz val="9"/>
            <color indexed="81"/>
            <rFont val="Segoe UI"/>
            <family val="2"/>
          </rPr>
          <t>1 - Escala de trabalho
2 - Servidor
3 - Template Escala de Trabalho
4 - Evento
5 - Jornada</t>
        </r>
      </text>
    </comment>
    <comment ref="D156" authorId="2" shapeId="0" xr:uid="{5C6B70FF-BB86-4AE1-927E-0903FA4A1ECC}">
      <text>
        <r>
          <rPr>
            <sz val="9"/>
            <color indexed="81"/>
            <rFont val="Segoe UI"/>
            <family val="2"/>
          </rPr>
          <t>1 - Código
2 - Data fim
3 - Servidor
4 - Data Fim Evento Lotação
5 - Evento
6 - Justificativa
7 - Status justificativa
8 - Comando
9 - Mensagem</t>
        </r>
      </text>
    </comment>
    <comment ref="E156" authorId="2" shapeId="0" xr:uid="{CD23EF3C-DD26-462A-A3AF-F5585ACE203E}">
      <text>
        <r>
          <rPr>
            <sz val="9"/>
            <color indexed="81"/>
            <rFont val="Segoe UI"/>
            <family val="2"/>
          </rPr>
          <t>1 - Escala de trabalho
2 - Servidor
3 - Evento
4 - Justificativa</t>
        </r>
      </text>
    </comment>
    <comment ref="D159" authorId="2" shapeId="0" xr:uid="{00000000-0006-0000-0100-0000E8000000}">
      <text>
        <r>
          <rPr>
            <sz val="9"/>
            <color indexed="81"/>
            <rFont val="Segoe UI"/>
            <family val="2"/>
          </rPr>
          <t>1 - Código
2 - Dia 
3 - Servidor
4 - Evento
5 - data
6 - hora início
7 - hora fim
8 - Situação evento
9 - Escala
10 - Cor</t>
        </r>
      </text>
    </comment>
    <comment ref="E159" authorId="2" shapeId="0" xr:uid="{00000000-0006-0000-0100-0000E9000000}">
      <text>
        <r>
          <rPr>
            <sz val="9"/>
            <color indexed="81"/>
            <rFont val="Segoe UI"/>
            <family val="2"/>
          </rPr>
          <t>1 - Evento
2 - Calendário
3 - Feriado
4 - Situação Evento</t>
        </r>
      </text>
    </comment>
    <comment ref="D160" authorId="2" shapeId="0" xr:uid="{00000000-0006-0000-0100-0000EA000000}">
      <text>
        <r>
          <rPr>
            <sz val="9"/>
            <color indexed="81"/>
            <rFont val="Segoe UI"/>
            <family val="2"/>
          </rPr>
          <t>1 - Código
2 - Dia 
3 - Servidor
4 - Evento Gerado WebPonto
5 - hora início
6 - hora fim
7 - Duração
8 - Situação
9 - Cor</t>
        </r>
      </text>
    </comment>
    <comment ref="E160" authorId="2" shapeId="0" xr:uid="{00000000-0006-0000-0100-0000EB000000}">
      <text>
        <r>
          <rPr>
            <sz val="9"/>
            <color indexed="81"/>
            <rFont val="Segoe UI"/>
            <family val="2"/>
          </rPr>
          <t>1 - Evento Executado
2 - Evento
3 - Situação Evento</t>
        </r>
      </text>
    </comment>
    <comment ref="D161" authorId="2" shapeId="0" xr:uid="{00000000-0006-0000-0100-0000EC000000}">
      <text>
        <r>
          <rPr>
            <sz val="9"/>
            <color indexed="81"/>
            <rFont val="Segoe UI"/>
            <family val="2"/>
          </rPr>
          <t>1 - Código
2 - Dia 
3 - Servidor
4 - Evento
5 - data
6 - hora início
7 - hora fim
8 - Situação evento
9 - Vínculo
10 - Escala
11 - Chefia Imediata (Outros Eventos)
12 - Servidor Subordinado
13 - Tooltip
14 - Comando
15 - Mensagem</t>
        </r>
      </text>
    </comment>
    <comment ref="E161" authorId="2" shapeId="0" xr:uid="{00000000-0006-0000-0100-0000ED000000}">
      <text>
        <r>
          <rPr>
            <sz val="9"/>
            <color indexed="81"/>
            <rFont val="Segoe UI"/>
            <family val="2"/>
          </rPr>
          <t>1 - Evento
2 - Servidor
3 - Escala de trabalho
4 - Parametro
5 - Ocorrencia
6 - Chefia Imediata
7 - Evento Executado</t>
        </r>
      </text>
    </comment>
    <comment ref="D162" authorId="2" shapeId="0" xr:uid="{00000000-0006-0000-0100-0000EE000000}">
      <text>
        <r>
          <rPr>
            <sz val="9"/>
            <color indexed="81"/>
            <rFont val="Segoe UI"/>
            <family val="2"/>
          </rPr>
          <t>1 - Código
2 - Dia 
3 - Servidor
4 - Evento
5 - data
6 - hora início
7 - hora fim
8 - Situação evento
9 - Vínculo
10 - Escala
11 - Chefia Imediata (Outros Eventos)
12 - Servidor Subordinado
13 - Tooltip
14 - Comando
15 - Mensagem</t>
        </r>
      </text>
    </comment>
    <comment ref="E162" authorId="2" shapeId="0" xr:uid="{00000000-0006-0000-0100-0000EF000000}">
      <text>
        <r>
          <rPr>
            <sz val="9"/>
            <color indexed="81"/>
            <rFont val="Segoe UI"/>
            <family val="2"/>
          </rPr>
          <t>1 - Evento
2 - Servidor
3 - Escala de trabalho
4 - Parametro
5 - Ocorrencia
6 - Chefia Imediata
7 - Evento Executado</t>
        </r>
      </text>
    </comment>
    <comment ref="D163" authorId="2" shapeId="0" xr:uid="{00000000-0006-0000-0100-0000F0000000}">
      <text>
        <r>
          <rPr>
            <sz val="9"/>
            <color indexed="81"/>
            <rFont val="Segoe UI"/>
            <family val="2"/>
          </rPr>
          <t>1 - Código
2 - Dia 
3 - Servidor
4 - Evento
5 - data
6 - hora início
7 - hora fim
8 - Situação evento
9 - Vínculo
10 - Escala
11 - Chefia Imediata (Outros Eventos)
12 - Servidor Subordinado
13 - Tooltip
14 - Comando
15 - Mensagem</t>
        </r>
      </text>
    </comment>
    <comment ref="E163" authorId="2" shapeId="0" xr:uid="{00000000-0006-0000-0100-0000F1000000}">
      <text>
        <r>
          <rPr>
            <sz val="9"/>
            <color indexed="81"/>
            <rFont val="Segoe UI"/>
            <family val="2"/>
          </rPr>
          <t>1 - Evento
2 - Servidor
3 - Escala de trabalho
4 - Parametro
5 - Ocorrencia
6 - Chefia Imediata
7 - Evento Executado</t>
        </r>
      </text>
    </comment>
    <comment ref="D164" authorId="2" shapeId="0" xr:uid="{00000000-0006-0000-0100-0000F2000000}">
      <text>
        <r>
          <rPr>
            <sz val="9"/>
            <color indexed="81"/>
            <rFont val="Segoe UI"/>
            <family val="2"/>
          </rPr>
          <t>1 - Código
2 - Descrição
3 - Comando
4 - Mensagem</t>
        </r>
      </text>
    </comment>
    <comment ref="E164" authorId="2" shapeId="0" xr:uid="{00000000-0006-0000-0100-0000F3000000}">
      <text>
        <r>
          <rPr>
            <sz val="9"/>
            <color indexed="81"/>
            <rFont val="Segoe UI"/>
            <family val="2"/>
          </rPr>
          <t>1 - Evento</t>
        </r>
      </text>
    </comment>
    <comment ref="D165" authorId="2" shapeId="0" xr:uid="{00000000-0006-0000-0100-0000F4000000}">
      <text>
        <r>
          <rPr>
            <sz val="9"/>
            <color indexed="81"/>
            <rFont val="Segoe UI"/>
            <family val="2"/>
          </rPr>
          <t>1 - Código
2 - Setor
3 - Descrição da escala
4 - Data 
5 - Hora inicio
6 - Hora fim 
7 - Situação
8 - Nome do Usuário
9 - Comando
10 - Mensagem</t>
        </r>
      </text>
    </comment>
    <comment ref="E165" authorId="2" shapeId="0" xr:uid="{00000000-0006-0000-0100-0000F5000000}">
      <text>
        <r>
          <rPr>
            <sz val="9"/>
            <color indexed="81"/>
            <rFont val="Segoe UI"/>
            <family val="2"/>
          </rPr>
          <t>1 - Evento
2 - Servidor
3 - Escala de trabalho
4 - Parametro
5 - Ocorrencia</t>
        </r>
      </text>
    </comment>
    <comment ref="D166" authorId="2" shapeId="0" xr:uid="{00000000-0006-0000-0100-0000F6000000}">
      <text>
        <r>
          <rPr>
            <sz val="9"/>
            <color indexed="81"/>
            <rFont val="Segoe UI"/>
            <family val="2"/>
          </rPr>
          <t>1 - Código
2 - Servidor
3 - Vínculo
4 - Escala
5 - Chefia Imediata (Outros Eventos)
6 - Servidor Subordinado
7 - Tooltip
8 - Evento Lotação
8 - Comando
9 - Mensagem</t>
        </r>
      </text>
    </comment>
    <comment ref="E166" authorId="2" shapeId="0" xr:uid="{00000000-0006-0000-0100-0000F7000000}">
      <text>
        <r>
          <rPr>
            <sz val="9"/>
            <color indexed="81"/>
            <rFont val="Segoe UI"/>
            <family val="2"/>
          </rPr>
          <t>1 - Evento
2 - Servidor
3 - Escala de trabalho
4 - Parametro
5 - Ocorrencia
6 - Chefia Imediata
7 - Evento Executado
8 - Órgão
9 - Unidade
10 - Lotação</t>
        </r>
      </text>
    </comment>
    <comment ref="D167" authorId="2" shapeId="0" xr:uid="{6E6570A0-6626-4F38-96CF-6B821BFB6EEC}">
      <text>
        <r>
          <rPr>
            <sz val="9"/>
            <color indexed="81"/>
            <rFont val="Segoe UI"/>
            <family val="2"/>
          </rPr>
          <t>1 - Código
2 - Órgão
3 - Setor
4 - Nome Servidor
5 - Código ocorrência
6 - Permanência
7 - Data e Hora Início
8 - Data e Hora Fim
9 - Nome responsável
10 - Matrícula responsavel
11 - Estado
12 - Cidade
13 - Observação
14 - Arquivo
15 - Comando
16 - Mensagem</t>
        </r>
      </text>
    </comment>
    <comment ref="E167" authorId="2" shapeId="0" xr:uid="{46357534-0D40-4D4E-8E15-04F659D1BC62}">
      <text>
        <r>
          <rPr>
            <sz val="9"/>
            <color indexed="81"/>
            <rFont val="Segoe UI"/>
            <family val="2"/>
          </rPr>
          <t>1 - Servidor
2 - Ocorrencia
3 - Orgão
4 - Setor</t>
        </r>
      </text>
    </comment>
    <comment ref="D170" authorId="2" shapeId="0" xr:uid="{1806BF13-A85E-41DF-861C-8EC7D3B31A2B}">
      <text>
        <r>
          <rPr>
            <sz val="9"/>
            <color indexed="81"/>
            <rFont val="Segoe UI"/>
            <family val="2"/>
          </rPr>
          <t>1 - Código
2 - Órgão
3 - Setor
4 - Nome Servidor
5 - Código ocorrência
6 - Permanência
7 - Período da permanência parcial
8 - Data e Hora Início
9 - Data e Hora Fim
10 - Estado
11 - Cidade
12 - Observação
13 - Motivo do comparecimento
14 - Categoria
15 - Parentesco da categoria familiar
16 - Nome do profissional
17 - Conselho
18 - Classe profissional
19 - Nº Conselho
20 - Nome do Laboratório/Instituição de Saúde
21 - Inscrição no CNPJ
22 - Nome do responsável pela emissão da declaração
23 - Arquivo
24 - Situação
25 - Data Inclusão
26 - UF Conselho
27 - Matricula Responsavel
28 - Resonsável
29 - Tipo de vínculo
30 -jornada incompleta 
31-falta injustificada</t>
        </r>
      </text>
    </comment>
    <comment ref="E170" authorId="2" shapeId="0" xr:uid="{13CBEA22-98D3-4016-B8F0-BF1CDB3F38F1}">
      <text>
        <r>
          <rPr>
            <sz val="9"/>
            <color indexed="81"/>
            <rFont val="Segoe UI"/>
            <family val="2"/>
          </rPr>
          <t>1 - Ocorrência
2 - Permanência
3 - Permanência Parcial
4 - Estado
5 - Cidade
6 - Motivo do Comparecimento
7 - Categoria
8 - Categoria Familiar
9 - Conselho
10 - Situação
11 - Número Conselho</t>
        </r>
      </text>
    </comment>
    <comment ref="D171" authorId="2" shapeId="0" xr:uid="{00000000-0006-0000-0100-0000FA000000}">
      <text>
        <r>
          <rPr>
            <sz val="9"/>
            <color indexed="81"/>
            <rFont val="Segoe UI"/>
            <family val="2"/>
          </rPr>
          <t>1 - Código
2 - Órgão
3 - Setor
4 - Nome Servidor
5 - Código ocorrência
6 - Permanência
7 - Período da permanência parcial
8 - Data Início
9 - Data Fim
10 - Estado
11 - Cidade
12 - Observação
13 - Motivo do comparecimento
14 - Categoria
15 - Parentesco da categoria familiar
16 - Nome do profissional
17 - Conselho
18 - Classe profissional
19 - Nº Conselho
20 - Nome do Laboratório/Instituição de Saúde
21 - Inscrição no CNPJ
22 - Nome do responsável pela emissão da declaração
23 - Arquivo
24 - Situação
25 - Data Inclusão
26 - UF Conselho
27 - Hora Início
28 - Hora Fim
29 - Comando
30 - Mensagem</t>
        </r>
      </text>
    </comment>
    <comment ref="E171" authorId="2" shapeId="0" xr:uid="{00000000-0006-0000-0100-0000FB000000}">
      <text>
        <r>
          <rPr>
            <sz val="9"/>
            <color indexed="81"/>
            <rFont val="Segoe UI"/>
            <family val="2"/>
          </rPr>
          <t>1 - Servidor
2 - Ocorrencia
3 - Orgão
4 - Setor</t>
        </r>
      </text>
    </comment>
    <comment ref="D172" authorId="1" shapeId="0" xr:uid="{00000000-0006-0000-0100-0000FC000000}">
      <text>
        <r>
          <rPr>
            <sz val="9"/>
            <color indexed="81"/>
            <rFont val="Segoe UI"/>
            <family val="2"/>
          </rPr>
          <t>1 - Código
2 - Descrição
3 - Comando</t>
        </r>
      </text>
    </comment>
    <comment ref="E172" authorId="1" shapeId="0" xr:uid="{00000000-0006-0000-0100-0000FD000000}">
      <text>
        <r>
          <rPr>
            <sz val="9"/>
            <color indexed="81"/>
            <rFont val="Segoe UI"/>
            <family val="2"/>
          </rPr>
          <t>1 - Permanência</t>
        </r>
      </text>
    </comment>
    <comment ref="D173" authorId="1" shapeId="0" xr:uid="{9909D08E-EE1E-43A5-A056-37DA53957B97}">
      <text>
        <r>
          <rPr>
            <sz val="9"/>
            <color indexed="81"/>
            <rFont val="Segoe UI"/>
            <family val="2"/>
          </rPr>
          <t>1 - Código
2 - Descrição
3 - Comando</t>
        </r>
      </text>
    </comment>
    <comment ref="E173" authorId="1" shapeId="0" xr:uid="{D33B7E54-5A85-4F6E-84EE-CEBE35D79AFC}">
      <text>
        <r>
          <rPr>
            <sz val="9"/>
            <color indexed="81"/>
            <rFont val="Segoe UI"/>
            <family val="2"/>
          </rPr>
          <t>1 - Código de Ocorrência</t>
        </r>
      </text>
    </comment>
    <comment ref="D174" authorId="1" shapeId="0" xr:uid="{00000000-0006-0000-0100-0000FE000000}">
      <text>
        <r>
          <rPr>
            <sz val="9"/>
            <color indexed="81"/>
            <rFont val="Segoe UI"/>
            <family val="2"/>
          </rPr>
          <t>1 - Código
2 - Descrição
3 - Comando</t>
        </r>
      </text>
    </comment>
    <comment ref="E174" authorId="1" shapeId="0" xr:uid="{00000000-0006-0000-0100-0000FF000000}">
      <text>
        <r>
          <rPr>
            <sz val="9"/>
            <color indexed="81"/>
            <rFont val="Segoe UI"/>
            <family val="2"/>
          </rPr>
          <t>1 - Permanência Parcial</t>
        </r>
      </text>
    </comment>
    <comment ref="D175" authorId="1" shapeId="0" xr:uid="{00000000-0006-0000-0100-000000010000}">
      <text>
        <r>
          <rPr>
            <sz val="9"/>
            <color indexed="81"/>
            <rFont val="Segoe UI"/>
            <family val="2"/>
          </rPr>
          <t>1 - Código
2 - Descrição
3 - Comando</t>
        </r>
      </text>
    </comment>
    <comment ref="E175" authorId="1" shapeId="0" xr:uid="{00000000-0006-0000-0100-000001010000}">
      <text>
        <r>
          <rPr>
            <sz val="9"/>
            <color indexed="81"/>
            <rFont val="Segoe UI"/>
            <family val="2"/>
          </rPr>
          <t>1 - Estado</t>
        </r>
      </text>
    </comment>
    <comment ref="D176" authorId="1" shapeId="0" xr:uid="{00000000-0006-0000-0100-000002010000}">
      <text>
        <r>
          <rPr>
            <sz val="9"/>
            <color indexed="81"/>
            <rFont val="Segoe UI"/>
            <family val="2"/>
          </rPr>
          <t>1 - Código
2 - Descrição
3 - Comando</t>
        </r>
      </text>
    </comment>
    <comment ref="E176" authorId="1" shapeId="0" xr:uid="{00000000-0006-0000-0100-000003010000}">
      <text>
        <r>
          <rPr>
            <sz val="9"/>
            <color indexed="81"/>
            <rFont val="Segoe UI"/>
            <family val="2"/>
          </rPr>
          <t>1 - Cidade</t>
        </r>
      </text>
    </comment>
    <comment ref="D177" authorId="1" shapeId="0" xr:uid="{00000000-0006-0000-0100-000004010000}">
      <text>
        <r>
          <rPr>
            <sz val="9"/>
            <color indexed="81"/>
            <rFont val="Segoe UI"/>
            <family val="2"/>
          </rPr>
          <t>1 - Código
2 - Descrição
3 - Comando</t>
        </r>
      </text>
    </comment>
    <comment ref="E177" authorId="1" shapeId="0" xr:uid="{00000000-0006-0000-0100-000005010000}">
      <text>
        <r>
          <rPr>
            <sz val="9"/>
            <color indexed="81"/>
            <rFont val="Segoe UI"/>
            <family val="2"/>
          </rPr>
          <t>1 - Motivo Comparecimento</t>
        </r>
      </text>
    </comment>
    <comment ref="D178" authorId="1" shapeId="0" xr:uid="{00000000-0006-0000-0100-000006010000}">
      <text>
        <r>
          <rPr>
            <sz val="9"/>
            <color indexed="81"/>
            <rFont val="Segoe UI"/>
            <family val="2"/>
          </rPr>
          <t>1 - Código
2 - Descrição
3 - Comando</t>
        </r>
      </text>
    </comment>
    <comment ref="E178" authorId="1" shapeId="0" xr:uid="{00000000-0006-0000-0100-000007010000}">
      <text>
        <r>
          <rPr>
            <sz val="9"/>
            <color indexed="81"/>
            <rFont val="Segoe UI"/>
            <family val="2"/>
          </rPr>
          <t>1 - Categoria</t>
        </r>
      </text>
    </comment>
    <comment ref="D179" authorId="1" shapeId="0" xr:uid="{00000000-0006-0000-0100-000008010000}">
      <text>
        <r>
          <rPr>
            <sz val="9"/>
            <color indexed="81"/>
            <rFont val="Segoe UI"/>
            <family val="2"/>
          </rPr>
          <t>1 - Código
2 - Descrição
3 - Comando</t>
        </r>
      </text>
    </comment>
    <comment ref="E179" authorId="1" shapeId="0" xr:uid="{00000000-0006-0000-0100-000009010000}">
      <text>
        <r>
          <rPr>
            <sz val="9"/>
            <color indexed="81"/>
            <rFont val="Segoe UI"/>
            <family val="2"/>
          </rPr>
          <t>1 - Categoria Familiar</t>
        </r>
      </text>
    </comment>
    <comment ref="D180" authorId="1" shapeId="0" xr:uid="{00000000-0006-0000-0100-00000A010000}">
      <text>
        <r>
          <rPr>
            <sz val="9"/>
            <color indexed="81"/>
            <rFont val="Segoe UI"/>
            <family val="2"/>
          </rPr>
          <t>1 - Código
2 - Descrição
3 - Comando</t>
        </r>
      </text>
    </comment>
    <comment ref="E180" authorId="1" shapeId="0" xr:uid="{00000000-0006-0000-0100-00000B010000}">
      <text>
        <r>
          <rPr>
            <sz val="9"/>
            <color indexed="81"/>
            <rFont val="Segoe UI"/>
            <family val="2"/>
          </rPr>
          <t>1 - Conselho</t>
        </r>
      </text>
    </comment>
    <comment ref="D181" authorId="1" shapeId="0" xr:uid="{00000000-0006-0000-0100-00000C010000}">
      <text>
        <r>
          <rPr>
            <sz val="9"/>
            <color indexed="81"/>
            <rFont val="Segoe UI"/>
            <family val="2"/>
          </rPr>
          <t>1 - Código
2 - Descrição
3 - Comando</t>
        </r>
      </text>
    </comment>
    <comment ref="E181" authorId="1" shapeId="0" xr:uid="{00000000-0006-0000-0100-00000D010000}">
      <text>
        <r>
          <rPr>
            <sz val="9"/>
            <color indexed="81"/>
            <rFont val="Segoe UI"/>
            <family val="2"/>
          </rPr>
          <t>1 - Número Conselho</t>
        </r>
      </text>
    </comment>
    <comment ref="D182" authorId="2" shapeId="0" xr:uid="{00000000-0006-0000-0100-00000E010000}">
      <text>
        <r>
          <rPr>
            <sz val="9"/>
            <color indexed="81"/>
            <rFont val="Segoe UI"/>
            <family val="2"/>
          </rPr>
          <t>1 - Código
2 - Permanência
3 - Período da permanência parcial
4 - Data Início
5 - Data Fim
6 - Estado
7 - Cidade
8 - Observação
9 - Motivo do comparecimento
10 - Categoria
11 - Parentesco da categoria familiar
12 - Nome do profissional
13 - Conselho
14 - Classe profissional
15 - Nº Conselho
16 - Nome do Laboratório/Instituição de Saúde
17 - Inscrição no CNPJ
18 - Nome do responsável pela emissão da declaração
19 - Arquivo
20 - UF Conselho
21 - Hora Início
22 - Hora Fim
23 - Comando
24-MSG</t>
        </r>
      </text>
    </comment>
    <comment ref="E182" authorId="2" shapeId="0" xr:uid="{00000000-0006-0000-0100-00000F010000}">
      <text>
        <r>
          <rPr>
            <sz val="9"/>
            <color indexed="81"/>
            <rFont val="Segoe UI"/>
            <family val="2"/>
          </rPr>
          <t>1-Servidor
2-Ocorrencia
3-Conselho
4-Orgão
5-Setor</t>
        </r>
      </text>
    </comment>
    <comment ref="D183" authorId="2" shapeId="0" xr:uid="{00000000-0006-0000-0100-000010010000}">
      <text>
        <r>
          <rPr>
            <sz val="9"/>
            <color indexed="81"/>
            <rFont val="Segoe UI"/>
            <family val="2"/>
          </rPr>
          <t xml:space="preserve">1 - Código
2 - Órgão
3 - Setor
4 - Nome Servidor
5 - Código ocorrência
6 - Permanência
7 - Período da permanência parcial
8 - Data Início
9 - Data Fim
10 - Estado
11 - Cidade
12 - Observação
13 - Motivo do comparecimento
14 - Categoria
15 - Parentesco da categoria familiar
16 - Nome do profissional
17 - Conselho
18 - Classe profissional
19 - Nº Conselho
20 - Nome do Laboratório/Instituição de Saúde
21 - Inscrição no CNPJ
22 - Nome do responsável pela emissão da declaração
23 - Arquivo
24 - UF Conselho
25 - Hora Início
26 - Hora Fim
</t>
        </r>
      </text>
    </comment>
    <comment ref="E183" authorId="2" shapeId="0" xr:uid="{00000000-0006-0000-0100-000011010000}">
      <text>
        <r>
          <rPr>
            <sz val="9"/>
            <color indexed="81"/>
            <rFont val="Segoe UI"/>
            <family val="2"/>
          </rPr>
          <t>1 - Servidor
2 - Ocorrencia
3 - Orgão
4 - Setor</t>
        </r>
      </text>
    </comment>
    <comment ref="D184" authorId="2" shapeId="0" xr:uid="{00000000-0006-0000-0100-000012010000}">
      <text>
        <r>
          <rPr>
            <sz val="9"/>
            <color indexed="81"/>
            <rFont val="Segoe UI"/>
            <family val="2"/>
          </rPr>
          <t>1 - Código
2 - Órgão
3 - Setor
4 - Nome Servidor
5 - Código ocorrência
6 - Permanência
7 - Período da permanência parcial
8 - Data Início
9 - Data Fim
10 - Estado
11 - Cidade
12 - Observação
13 - Motivo do comparecimento
14 - Categoria
15 - Parentesco da categoria familiar
16 - Nome do profissional
17 - Conselho
18 - Classe profissional
19 - Nº Conselho
20 - Nome do Laboratório/Instituição de Saúde
21 - Inscrição no CNPJ
22 - Nome do responsável pela emissão da declaração
23 - Arquivo
24 - UF Conselho
25 - Hora Início
26 - Hora Fim
27 - Comando
28-MSG</t>
        </r>
      </text>
    </comment>
    <comment ref="E184" authorId="2" shapeId="0" xr:uid="{00000000-0006-0000-0100-000013010000}">
      <text>
        <r>
          <rPr>
            <sz val="9"/>
            <color indexed="81"/>
            <rFont val="Segoe UI"/>
            <family val="2"/>
          </rPr>
          <t>1 - Servidor
2 - Ocorrencia
3 - Orgão
4 - Setor</t>
        </r>
      </text>
    </comment>
    <comment ref="D185" authorId="2" shapeId="0" xr:uid="{00000000-0006-0000-0100-000014010000}">
      <text>
        <r>
          <rPr>
            <sz val="9"/>
            <color indexed="81"/>
            <rFont val="Segoe UI"/>
            <family val="2"/>
          </rPr>
          <t>1 - Código
2 - Arquivo
3 - Comando
4 - Mensagem</t>
        </r>
      </text>
    </comment>
    <comment ref="E185" authorId="2" shapeId="0" xr:uid="{00000000-0006-0000-0100-000015010000}">
      <text>
        <r>
          <rPr>
            <sz val="9"/>
            <color indexed="81"/>
            <rFont val="Segoe UI"/>
            <family val="2"/>
          </rPr>
          <t xml:space="preserve">1 - Ocorrencia
</t>
        </r>
      </text>
    </comment>
    <comment ref="D188" authorId="2" shapeId="0" xr:uid="{6FD78A1C-F51C-4D4E-8C8A-DE4FAD619EB1}">
      <text>
        <r>
          <rPr>
            <sz val="9"/>
            <color indexed="81"/>
            <rFont val="Segoe UI"/>
            <family val="2"/>
          </rPr>
          <t>1 - Código
2 - Órgão
3 - Setor
4 - Nome Servidor
5 - Código ocorrência
6 - Permanência
7 - Período da permanência parcial
8 - Data e Hora Início
9 - Data e Hora Fim
10 - Nome responsável
11 - Matrícula responsavel
12 - Estado
13 - Cidade
14 - Observação
15 - Arquivo
16 - Situação
17 - Data Inclusão
17 - Comando
18 - Mensagem</t>
        </r>
      </text>
    </comment>
    <comment ref="E188" authorId="2" shapeId="0" xr:uid="{E8E89DFF-DF97-43D6-ADC3-347301875A9A}">
      <text>
        <r>
          <rPr>
            <sz val="9"/>
            <color indexed="81"/>
            <rFont val="Segoe UI"/>
            <family val="2"/>
          </rPr>
          <t>1 - Servidor
2 - Ocorrencia
3 - Orgão
4 - Setor
5 - Parâmetro</t>
        </r>
      </text>
    </comment>
    <comment ref="D189" authorId="1" shapeId="0" xr:uid="{00000000-0006-0000-0100-000018010000}">
      <text>
        <r>
          <rPr>
            <sz val="9"/>
            <color indexed="81"/>
            <rFont val="Segoe UI"/>
            <family val="2"/>
          </rPr>
          <t>1 - Código
2 - Matricula
3 - CPF
4 - Nome
5 - Comando</t>
        </r>
      </text>
    </comment>
    <comment ref="E189" authorId="1" shapeId="0" xr:uid="{00000000-0006-0000-0100-000019010000}">
      <text>
        <r>
          <rPr>
            <sz val="9"/>
            <color indexed="81"/>
            <rFont val="Segoe UI"/>
            <family val="2"/>
          </rPr>
          <t>1 - Pessoa</t>
        </r>
      </text>
    </comment>
    <comment ref="D190" authorId="2" shapeId="0" xr:uid="{87512A16-4FC4-4BDC-98B4-5453FED268DF}">
      <text>
        <r>
          <rPr>
            <sz val="9"/>
            <color indexed="81"/>
            <rFont val="Segoe UI"/>
            <family val="2"/>
          </rPr>
          <t>1 -Orgao
1 - Código
2 - Código ocorrência
3 - Permanência
4 - Período da permanência parcial
5 - Data e Hora Início
6 - Data e Hora Fim
7 - Nome responsável
8 - Matrícula responsavel
9 - Estado
10 - Cidade
11 - Observação
12 - Arquivo
13 - Comando
14 - Mensagem</t>
        </r>
      </text>
    </comment>
    <comment ref="E190" authorId="2" shapeId="0" xr:uid="{BFEFD0A5-0DE8-4E21-A300-02EDE75F8A5E}">
      <text>
        <r>
          <rPr>
            <sz val="9"/>
            <color indexed="81"/>
            <rFont val="Segoe UI"/>
            <family val="2"/>
          </rPr>
          <t>1 - Servidor
2 - Ocorrencia
3 - Orgão
4 - Setor
5 - Parâmetro</t>
        </r>
      </text>
    </comment>
    <comment ref="D191" authorId="2" shapeId="0" xr:uid="{00000000-0006-0000-0100-00001C010000}">
      <text>
        <r>
          <rPr>
            <sz val="9"/>
            <color indexed="81"/>
            <rFont val="Segoe UI"/>
            <family val="2"/>
          </rPr>
          <t xml:space="preserve">1 - Código
2 - Órgão
3 - Setor
4 - Nome Servidor
5 - Código ocorrência
6 - Permanência
7 - Período da permanência parcial
8 - Data Início
9 - Data Fim
10 - Nome responsável
11 - Matrícula responsavel
12 - Estado
13 - Cidade
14 - Observação
15 - Arquivo
16 - Hora Início
17 - Hora Fim
</t>
        </r>
      </text>
    </comment>
    <comment ref="E191" authorId="2" shapeId="0" xr:uid="{00000000-0006-0000-0100-00001D010000}">
      <text>
        <r>
          <rPr>
            <sz val="9"/>
            <color indexed="81"/>
            <rFont val="Segoe UI"/>
            <family val="2"/>
          </rPr>
          <t>1 - Servidor
2 - Ocorrencia
3 - Orgão
4 - Setor</t>
        </r>
      </text>
    </comment>
    <comment ref="D192" authorId="2" shapeId="0" xr:uid="{EAE28155-3460-4ABA-9AE8-8FCFBFE31BC5}">
      <text>
        <r>
          <rPr>
            <sz val="9"/>
            <color indexed="81"/>
            <rFont val="Segoe UI"/>
            <family val="2"/>
          </rPr>
          <t>1 - Código
2 - Órgão
3 - Setor
4 - Nome Servidor
5 - Código ocorrência
6 - Permanência
7 - Período da permanência parcial
8 - Data e Hora Início
9 - Data e Hora Fim
10 - Nome responsável
11 - Matrícula responsavel
12 - Estado
13 - Cidade
14 - Observação
15 - Arquivo
16 - Comando
17 - Mensagem</t>
        </r>
      </text>
    </comment>
    <comment ref="E192" authorId="2" shapeId="0" xr:uid="{4204A080-6BD3-48AA-93E5-4418CBA4562C}">
      <text>
        <r>
          <rPr>
            <sz val="9"/>
            <color indexed="81"/>
            <rFont val="Segoe UI"/>
            <family val="2"/>
          </rPr>
          <t>1 - Servidor
2 - Ocorrencia
3 - Orgão
4 - Setor</t>
        </r>
      </text>
    </comment>
    <comment ref="D195" authorId="2" shapeId="0" xr:uid="{DF008BDE-D79A-4003-A30F-7F531F5AA5A3}">
      <text>
        <r>
          <rPr>
            <sz val="9"/>
            <color indexed="81"/>
            <rFont val="Segoe UI"/>
            <family val="2"/>
          </rPr>
          <t>1 - Código
1 - Situacao 
2 - Nome
3 - Ocorrencia
4 - data inicio
5 - data fim 
6 - inclusão
7 - Justificativa 
8 - Comando
9 - Mensagem</t>
        </r>
      </text>
    </comment>
    <comment ref="E195" authorId="2" shapeId="0" xr:uid="{10AA320F-93ED-4C4B-9D24-09EBBDC87F20}">
      <text>
        <r>
          <rPr>
            <sz val="9"/>
            <color indexed="81"/>
            <rFont val="Segoe UI"/>
            <family val="2"/>
          </rPr>
          <t>1 - Servidor
2 - Ocorrencia</t>
        </r>
      </text>
    </comment>
    <comment ref="D196" authorId="1" shapeId="0" xr:uid="{00000000-0006-0000-0100-000022010000}">
      <text>
        <r>
          <rPr>
            <sz val="9"/>
            <color indexed="81"/>
            <rFont val="Segoe UI"/>
            <family val="2"/>
          </rPr>
          <t>1 - Código
2 - Descrição
3 - Comando</t>
        </r>
      </text>
    </comment>
    <comment ref="E196" authorId="1" shapeId="0" xr:uid="{00000000-0006-0000-0100-000023010000}">
      <text>
        <r>
          <rPr>
            <sz val="9"/>
            <color indexed="81"/>
            <rFont val="Segoe UI"/>
            <family val="2"/>
          </rPr>
          <t>1 - Situação</t>
        </r>
      </text>
    </comment>
    <comment ref="D197" authorId="2" shapeId="0" xr:uid="{00000000-0006-0000-0100-000024010000}">
      <text>
        <r>
          <rPr>
            <sz val="9"/>
            <color indexed="81"/>
            <rFont val="Segoe UI"/>
            <family val="2"/>
          </rPr>
          <t>1 - Codigo
2 - Usuário
3 - Comando
4 - Mensagem</t>
        </r>
      </text>
    </comment>
    <comment ref="E197" authorId="2" shapeId="0" xr:uid="{00000000-0006-0000-0100-000025010000}">
      <text>
        <r>
          <rPr>
            <sz val="9"/>
            <color indexed="81"/>
            <rFont val="Segoe UI"/>
            <family val="2"/>
          </rPr>
          <t>1 - Ocorrencia
2 - Usuário</t>
        </r>
      </text>
    </comment>
    <comment ref="D198" authorId="2" shapeId="0" xr:uid="{00000000-0006-0000-0100-000026010000}">
      <text>
        <r>
          <rPr>
            <sz val="9"/>
            <color indexed="81"/>
            <rFont val="Segoe UI"/>
            <family val="2"/>
          </rPr>
          <t xml:space="preserve">1 - ID Justificativa
2 - Historico situação
3 - Historico data
4 - Historico usuario
5 - CMD
6 - MSG
</t>
        </r>
      </text>
    </comment>
    <comment ref="E198" authorId="2" shapeId="0" xr:uid="{00000000-0006-0000-0100-000027010000}">
      <text>
        <r>
          <rPr>
            <sz val="9"/>
            <color indexed="81"/>
            <rFont val="Segoe UI"/>
            <family val="2"/>
          </rPr>
          <t>1 - Servidor
2 - Ocorrencia</t>
        </r>
      </text>
    </comment>
    <comment ref="D201" authorId="2" shapeId="0" xr:uid="{00000000-0006-0000-0100-000028010000}">
      <text>
        <r>
          <rPr>
            <sz val="9"/>
            <color indexed="81"/>
            <rFont val="Segoe UI"/>
            <family val="2"/>
          </rPr>
          <t xml:space="preserve">1 - Órgão
2 - Setor
3 - Nome Usuario
4 - Ano 
5 - Mes
6 - Situacao
7 - Ocorrencia
8 - Data e Hora Início
9 - Data e Hora Fim
10 - Inclusão
11 - CMD
12 - MSG
</t>
        </r>
      </text>
    </comment>
    <comment ref="E201" authorId="2" shapeId="0" xr:uid="{00000000-0006-0000-0100-000029010000}">
      <text>
        <r>
          <rPr>
            <sz val="9"/>
            <color indexed="81"/>
            <rFont val="Segoe UI"/>
            <family val="2"/>
          </rPr>
          <t>1 - Servidor
2 - Ocorrencia
3 - Orgão
4 - Setor</t>
        </r>
      </text>
    </comment>
    <comment ref="D202" authorId="2" shapeId="0" xr:uid="{00000000-0006-0000-0100-00002A010000}">
      <text>
        <r>
          <rPr>
            <sz val="9"/>
            <color indexed="81"/>
            <rFont val="Segoe UI"/>
            <family val="2"/>
          </rPr>
          <t xml:space="preserve">1 - Codigo
2 - CMD
3 - MSG
</t>
        </r>
      </text>
    </comment>
    <comment ref="E202" authorId="2" shapeId="0" xr:uid="{00000000-0006-0000-0100-00002B010000}">
      <text>
        <r>
          <rPr>
            <sz val="9"/>
            <color indexed="81"/>
            <rFont val="Segoe UI"/>
            <family val="2"/>
          </rPr>
          <t xml:space="preserve">1 - Ocorrencia
</t>
        </r>
      </text>
    </comment>
    <comment ref="D203" authorId="2" shapeId="0" xr:uid="{36FAE3CD-F30B-40CE-92E0-5F6753B03AB5}">
      <text>
        <r>
          <rPr>
            <sz val="9"/>
            <color indexed="81"/>
            <rFont val="Segoe UI"/>
            <family val="2"/>
          </rPr>
          <t xml:space="preserve">1 - Órgão
2 - Setor
3 - Nome Usuário
4 - Código ocorrência
5 - Motivo
6 - Categoria
7 - Permanência
8 - Período
9 - Data e Hora Início
10 - Data e Hora Fim
11 - Nome do responsável
12 - Matrícula/CPF do responsável
13 - Estado
14 - Cidade
15 - Observação
16 - Upload Arquivo
17-CMD
18-MSG
</t>
        </r>
      </text>
    </comment>
    <comment ref="E203" authorId="2" shapeId="0" xr:uid="{744A0C2F-CC04-4667-A576-FD8B99291D7E}">
      <text>
        <r>
          <rPr>
            <sz val="9"/>
            <color indexed="81"/>
            <rFont val="Segoe UI"/>
            <family val="2"/>
          </rPr>
          <t>1 - Servidor
2 - Ocorrencia
3 - Orgão
4 - Setor</t>
        </r>
      </text>
    </comment>
    <comment ref="D204" authorId="2" shapeId="0" xr:uid="{A6EAFCF3-65DE-43CA-AB0A-E64774F912EA}">
      <text>
        <r>
          <rPr>
            <sz val="9"/>
            <color indexed="81"/>
            <rFont val="Segoe UI"/>
            <family val="2"/>
          </rPr>
          <t xml:space="preserve">
1 -Órgão;
2 -Setor;
3 -Nome Usuário;
4 -Código ocorrência;
5 -Motivo;
6 -Categoria;
7 -Permanência;
8 -Período;
9 -Data e Hora Início;
10-Data e Hora Fim;
11-Nome do responsável;
12-Matrícula/CPF do responsável;
13-Estado;
14-Cidade;
15-Observação;
16-Upload Arquivo;
17-CMD
18-MSG
</t>
        </r>
      </text>
    </comment>
    <comment ref="E204" authorId="2" shapeId="0" xr:uid="{26F2389E-B569-468B-8538-A0E5B6170311}">
      <text>
        <r>
          <rPr>
            <sz val="9"/>
            <color indexed="81"/>
            <rFont val="Segoe UI"/>
            <family val="2"/>
          </rPr>
          <t>1 - Servidor
2 - Ocorrencia
3 - Orgão
4 - Setor</t>
        </r>
      </text>
    </comment>
    <comment ref="D205" authorId="2" shapeId="0" xr:uid="{00000000-0006-0000-0100-000030010000}">
      <text>
        <r>
          <rPr>
            <sz val="9"/>
            <color indexed="81"/>
            <rFont val="Segoe UI"/>
            <family val="2"/>
          </rPr>
          <t xml:space="preserve">
1 -Órgão;
2 -Setor;
3 -Nome Usuário;
4 -Código ocorrência;
5 -Motivo;
6 -Categoria;
7 -Permanência;
8 -Período;
9 -Data Início;
10-Data Fim;
11-Nome do responsável;
12-Matrícula/CPF do responsável;
13-Estado;
14-Cidade;
15-Observação;
16-Upload Arquivo;
17 - Hora Início
18 - Hora Fim
</t>
        </r>
      </text>
    </comment>
    <comment ref="E205" authorId="2" shapeId="0" xr:uid="{00000000-0006-0000-0100-000031010000}">
      <text>
        <r>
          <rPr>
            <sz val="9"/>
            <color indexed="81"/>
            <rFont val="Segoe UI"/>
            <family val="2"/>
          </rPr>
          <t>1 - Servidor
2 - Ocorrencia
3 - Orgão
4 - Setor</t>
        </r>
      </text>
    </comment>
    <comment ref="D208" authorId="2" shapeId="0" xr:uid="{00000000-0006-0000-0100-000032010000}">
      <text>
        <r>
          <rPr>
            <sz val="9"/>
            <color indexed="81"/>
            <rFont val="Segoe UI"/>
            <family val="2"/>
          </rPr>
          <t xml:space="preserve">
1 -Órgão;
2 -Setor;
3 -Nome Usuário;
4 -Código ocorrência;
5 -Permanência;
6 -Período;
7 -Data Início;
8 -Data Fim;
9 -Estado;
10-Cidade;
11-Observação;
12-Motivo do comparecimento; 
13-Categoria; 
14-Parentesco;
15-Nome do profissional;
16-Conselho;
17-Classe profissional;
18-UF (conselho);
19-Nº Conselho;
20-Nome do Laboratório/Instituição de Saúde;
21-Inscrição no CNPJ;
22-Nome do responsável pela emissão da declaração;
23-Anexar Arquivos;
24 - Hora Início;
25 - Hora Fim;
26-CMD
27-MSG</t>
        </r>
      </text>
    </comment>
    <comment ref="E208" authorId="2" shapeId="0" xr:uid="{00000000-0006-0000-0100-000033010000}">
      <text>
        <r>
          <rPr>
            <sz val="9"/>
            <color indexed="81"/>
            <rFont val="Segoe UI"/>
            <family val="2"/>
          </rPr>
          <t>1 - Servidor
2 - Ocorrencia
3 - Orgão
4 - Setor</t>
        </r>
      </text>
    </comment>
    <comment ref="D209" authorId="2" shapeId="0" xr:uid="{00000000-0006-0000-0100-000034010000}">
      <text>
        <r>
          <rPr>
            <sz val="9"/>
            <color indexed="81"/>
            <rFont val="Segoe UI"/>
            <family val="2"/>
          </rPr>
          <t xml:space="preserve">
1 -Órgão;
2 -Setor;
3 -Nome Usuário;
4 -Código ocorrência;
5 -Permanência;
6 -Período;
7 -Data Início;
8 -Data Fim;
9 -Estado;
10-Cidade;
11-Observação;
12-Motivo do comparecimento; 
13-Categoria; 
14-Parentesco;
15-Nome do profissional;
16-Conselho;
17-Classe profissional;
18-UF (conselho);
19-Nº Conselho;
20-Nome do Laboratório/Instituição de Saúde;
21-Inscrição no CNPJ;
22-Nome do responsável pela emissão da declaração;
23-Anexar Arquivos;
24 - Hora Início;
25 - Hora Fim;
26-CMD
27-MSG</t>
        </r>
      </text>
    </comment>
    <comment ref="E209" authorId="2" shapeId="0" xr:uid="{00000000-0006-0000-0100-000035010000}">
      <text>
        <r>
          <rPr>
            <sz val="9"/>
            <color indexed="81"/>
            <rFont val="Segoe UI"/>
            <family val="2"/>
          </rPr>
          <t>1 - Servidor
2 - Ocorrencia
3 - Orgão
4 - Setor</t>
        </r>
      </text>
    </comment>
    <comment ref="D210" authorId="2" shapeId="0" xr:uid="{00000000-0006-0000-0100-000036010000}">
      <text>
        <r>
          <rPr>
            <sz val="9"/>
            <color indexed="81"/>
            <rFont val="Segoe UI"/>
            <family val="2"/>
          </rPr>
          <t xml:space="preserve">
1 -Órgão;
2 -Setor;
3 -Nome Usuário;
4 -Código ocorrência;
5 -Permanência;
6 -Período;
7 -Data Início;
8 -Data Fim;
9 -Estado;
10-Cidade;
11-Observação;
12-Motivo do comparecimento; 
13-Categoria; 
14-Parentesco;
15-Nome do profissional;
16-Conselho;
17-Classe profissional;
18-UF (conselho);
19-Nº Conselho;
20-Nome do Laboratório/Instituição de Saúde;
21-Inscrição no CNPJ;
22-Nome do responsável pela emissão da declaração;
23-Anexar Arquivos;
24 - Hora Início;
25 - Hora Fim;
</t>
        </r>
      </text>
    </comment>
    <comment ref="E210" authorId="2" shapeId="0" xr:uid="{00000000-0006-0000-0100-000037010000}">
      <text>
        <r>
          <rPr>
            <sz val="9"/>
            <color indexed="81"/>
            <rFont val="Segoe UI"/>
            <family val="2"/>
          </rPr>
          <t>1 - Servidor
2 - Ocorrencia
3 - Orgão
4 - Setor</t>
        </r>
      </text>
    </comment>
    <comment ref="D211" authorId="2" shapeId="0" xr:uid="{00000000-0006-0000-0100-000038010000}">
      <text>
        <r>
          <rPr>
            <sz val="9"/>
            <color indexed="81"/>
            <rFont val="Segoe UI"/>
            <family val="2"/>
          </rPr>
          <t xml:space="preserve">
1 -Órgão;
2 -Setor;
3 -Nome Usuário;
4 -Código ocorrência;
5 -Permanência;
6 -Período;
7 -Data Início;
8 -Data Fim;
9 -Estado;
10-Cidade;
11-Observação;
12-Motivo do comparecimento; 
13-Categoria; 
14-Parentesco;
15-CNPJ
16-Laboratorio
17-Responsável
18-Anexar Arquivos;
19 - Hora Início;
20 - Hora Fim;
21-CMD
22-MSG</t>
        </r>
      </text>
    </comment>
    <comment ref="E211" authorId="2" shapeId="0" xr:uid="{00000000-0006-0000-0100-000039010000}">
      <text>
        <r>
          <rPr>
            <sz val="9"/>
            <color indexed="81"/>
            <rFont val="Segoe UI"/>
            <family val="2"/>
          </rPr>
          <t>1 - Servidor
2 - Ocorrencia
3 - Orgão
4 - Setor</t>
        </r>
      </text>
    </comment>
    <comment ref="D212" authorId="2" shapeId="0" xr:uid="{00000000-0006-0000-0100-00003A010000}">
      <text>
        <r>
          <rPr>
            <sz val="9"/>
            <color indexed="81"/>
            <rFont val="Segoe UI"/>
            <family val="2"/>
          </rPr>
          <t xml:space="preserve">
1 -Órgão;
2 -Setor;
3 -Nome Usuário;
4 -Código ocorrência;
5 -Permanência;
6 -Período;
7 -Data Início;
8 -Data Fim;
9 -Estado;
10-Cidade;
11-Observação;
12-Motivo do comparecimento; 
13-Categoria; 
14-Parentesco;
15-CNPJ
16-Laboratorio
17-Responsável
18-Anexar Arquivos;
19 - Hora Início;
20 - Hora Fim;
21-CMD
22-MSG</t>
        </r>
      </text>
    </comment>
    <comment ref="E212" authorId="2" shapeId="0" xr:uid="{00000000-0006-0000-0100-00003B010000}">
      <text>
        <r>
          <rPr>
            <sz val="9"/>
            <color indexed="81"/>
            <rFont val="Segoe UI"/>
            <family val="2"/>
          </rPr>
          <t>1 - Servidor
2 - Ocorrencia
3 - Orgão
4 - Setor</t>
        </r>
      </text>
    </comment>
    <comment ref="D213" authorId="2" shapeId="0" xr:uid="{00000000-0006-0000-0100-00003C010000}">
      <text>
        <r>
          <rPr>
            <sz val="9"/>
            <color indexed="81"/>
            <rFont val="Segoe UI"/>
            <family val="2"/>
          </rPr>
          <t xml:space="preserve">
1 -Órgão;
2 -Setor;
3 -Nome Usuário;
4 -Código ocorrência;
5 -Permanência;
6 -Período;
7 -Data Início;
8 -Data Fim;
9 -Estado;
10-Cidade;
11-Observação;
12-Motivo do comparecimento; 
13-Categoria; 
14-Parentesco;
15-CNPJ
16-Laboratorio
17-Responsável
18-Anexar Arquivos;
19 - Hora Início;
20 - Hora Fim;
</t>
        </r>
      </text>
    </comment>
    <comment ref="E213" authorId="2" shapeId="0" xr:uid="{00000000-0006-0000-0100-00003D010000}">
      <text>
        <r>
          <rPr>
            <sz val="9"/>
            <color indexed="81"/>
            <rFont val="Segoe UI"/>
            <family val="2"/>
          </rPr>
          <t>1 - Servidor
2 - Ocorrencia
3 - Orgão
4 - Setor</t>
        </r>
      </text>
    </comment>
    <comment ref="D216" authorId="2" shapeId="0" xr:uid="{7D90591E-E4AA-4E27-B85A-06CE10ECF231}">
      <text>
        <r>
          <rPr>
            <sz val="9"/>
            <color indexed="81"/>
            <rFont val="Segoe UI"/>
            <family val="2"/>
          </rPr>
          <t xml:space="preserve">
1 -Órgão;
2 -Setor;
3 -Nome Usuário;
4 -Código ocorrência: 
5 -Permanência;
6 -Período;
7 -Data e Hora Início;
8 -Data e Hora Fim;
9 -Nome do responsável;
10-Matrícula/CPF do responsável;
11-Estado;
12-Cidade;
13-Observação;
14-Upload Arquivo;
15-CMD
16-MSG</t>
        </r>
      </text>
    </comment>
    <comment ref="E216" authorId="2" shapeId="0" xr:uid="{0A1C969F-EAD2-48CB-B15D-932EDCA133BA}">
      <text>
        <r>
          <rPr>
            <sz val="9"/>
            <color indexed="81"/>
            <rFont val="Segoe UI"/>
            <family val="2"/>
          </rPr>
          <t>1 - Servidor
2 - Ocorrencia
3 - Orgão
4 - Setor</t>
        </r>
      </text>
    </comment>
    <comment ref="D217" authorId="2" shapeId="0" xr:uid="{3ED3C758-261C-43ED-8A4B-E3C8EBAEEA3D}">
      <text>
        <r>
          <rPr>
            <sz val="9"/>
            <color indexed="81"/>
            <rFont val="Segoe UI"/>
            <family val="2"/>
          </rPr>
          <t xml:space="preserve">
1 -Órgão;
2 -Setor;
3 -Nome Usuário;
4 -Código ocorrência: 
5 -Permanência;
6 -Período;
7 -Data e Hora Início;
8 -Data e Hora Fim;
9 -Nome do responsável;
10-Matrícula/CPF do responsável;
11-Estado;
12-Cidade;
13-Observação;
14-Upload Arquivo;
15-CMD
16-MSG</t>
        </r>
      </text>
    </comment>
    <comment ref="E217" authorId="2" shapeId="0" xr:uid="{7C9CB8C7-DF19-40DB-9C6E-8AE87494936B}">
      <text>
        <r>
          <rPr>
            <sz val="9"/>
            <color indexed="81"/>
            <rFont val="Segoe UI"/>
            <family val="2"/>
          </rPr>
          <t>1 - Servidor
2 - Ocorrencia
3 - Orgão
4 - Setor</t>
        </r>
      </text>
    </comment>
    <comment ref="D218" authorId="2" shapeId="0" xr:uid="{00000000-0006-0000-0100-000042010000}">
      <text>
        <r>
          <rPr>
            <sz val="9"/>
            <color indexed="81"/>
            <rFont val="Segoe UI"/>
            <family val="2"/>
          </rPr>
          <t xml:space="preserve">
1 -Órgão;
2 -Setor;
3 -Nome Usuário;
4 -Código ocorrência: 
5 -Permanência;
6 -Período;
7 -Data Início;
8 -Data Fim;
9 -Nome do responsável;
10-Matrícula/CPF do responsável;
11-Estado;
12-Cidade;
13-Observação;
14-Upload Arquivo;
15 - Hora Início;
16 - Hora Fim;</t>
        </r>
      </text>
    </comment>
    <comment ref="E218" authorId="2" shapeId="0" xr:uid="{00000000-0006-0000-0100-000043010000}">
      <text>
        <r>
          <rPr>
            <sz val="9"/>
            <color indexed="81"/>
            <rFont val="Segoe UI"/>
            <family val="2"/>
          </rPr>
          <t>1 - Servidor
2 - Ocorrencia
3 - Orgão
4 - Setor</t>
        </r>
      </text>
    </comment>
    <comment ref="D221" authorId="2" shapeId="0" xr:uid="{00000000-0006-0000-0100-000044010000}">
      <text>
        <r>
          <rPr>
            <sz val="9"/>
            <color indexed="81"/>
            <rFont val="Segoe UI"/>
            <family val="2"/>
          </rPr>
          <t xml:space="preserve">
1 -Órgão;
2 -Setor;
3 -Nome Usuário;
4 -Código ocorrência: 
5 -Permanência;
6 -Período;
7 -Data e Hora Início;
8 -Data e Hora Fim;
9 -Nome do responsável;
10-Matrícula/CPF do responsável;
11-Estado;
12-Cidade;
13-Observação;
14-Upload Arquivo;
15-Tipo Vínculo
16-CMD
17-MSG</t>
        </r>
      </text>
    </comment>
    <comment ref="E221" authorId="2" shapeId="0" xr:uid="{00000000-0006-0000-0100-000045010000}">
      <text>
        <r>
          <rPr>
            <sz val="9"/>
            <color indexed="81"/>
            <rFont val="Segoe UI"/>
            <family val="2"/>
          </rPr>
          <t>1 - Servidor
2 - Ocorrencia
3 - Orgão
4 - Setor</t>
        </r>
      </text>
    </comment>
    <comment ref="D222" authorId="1" shapeId="0" xr:uid="{00000000-0006-0000-0100-000046010000}">
      <text>
        <r>
          <rPr>
            <sz val="9"/>
            <color indexed="81"/>
            <rFont val="Segoe UI"/>
            <family val="2"/>
          </rPr>
          <t>1 - Código
2 - Descrição
3 - Comando</t>
        </r>
      </text>
    </comment>
    <comment ref="E222" authorId="1" shapeId="0" xr:uid="{00000000-0006-0000-0100-000047010000}">
      <text>
        <r>
          <rPr>
            <sz val="9"/>
            <color indexed="81"/>
            <rFont val="Segoe UI"/>
            <family val="2"/>
          </rPr>
          <t xml:space="preserve">1 - Órgão
</t>
        </r>
      </text>
    </comment>
    <comment ref="D223" authorId="1" shapeId="0" xr:uid="{00000000-0006-0000-0100-000048010000}">
      <text>
        <r>
          <rPr>
            <sz val="9"/>
            <color indexed="81"/>
            <rFont val="Segoe UI"/>
            <family val="2"/>
          </rPr>
          <t>1 - Código
2 - Descrição
3 - Comando</t>
        </r>
      </text>
    </comment>
    <comment ref="E223" authorId="1" shapeId="0" xr:uid="{00000000-0006-0000-0100-000049010000}">
      <text>
        <r>
          <rPr>
            <sz val="9"/>
            <color indexed="81"/>
            <rFont val="Segoe UI"/>
            <family val="2"/>
          </rPr>
          <t>1 - Setor</t>
        </r>
      </text>
    </comment>
    <comment ref="D224" authorId="1" shapeId="0" xr:uid="{384E92A0-8249-42E8-9908-0196FF39BD44}">
      <text>
        <r>
          <rPr>
            <sz val="9"/>
            <color indexed="81"/>
            <rFont val="Segoe UI"/>
            <family val="2"/>
          </rPr>
          <t>1 - Código
2 - Descrição
3 - Comando</t>
        </r>
      </text>
    </comment>
    <comment ref="E224" authorId="2" shapeId="0" xr:uid="{E64F39C9-5A33-42CC-83E6-562B079F5DBD}">
      <text>
        <r>
          <rPr>
            <sz val="9"/>
            <color indexed="81"/>
            <rFont val="Segoe UI"/>
            <family val="2"/>
          </rPr>
          <t>1- Servidor
2 - Órgão
3 - Setor
4 - Evento Executado</t>
        </r>
      </text>
    </comment>
    <comment ref="D225" authorId="1" shapeId="0" xr:uid="{00000000-0006-0000-0100-00004A010000}">
      <text>
        <r>
          <rPr>
            <sz val="9"/>
            <color indexed="81"/>
            <rFont val="Segoe UI"/>
            <family val="2"/>
          </rPr>
          <t>1 - Código
2 - Descrição
3 - Comando</t>
        </r>
      </text>
    </comment>
    <comment ref="E225" authorId="2" shapeId="0" xr:uid="{00000000-0006-0000-0100-00004B010000}">
      <text>
        <r>
          <rPr>
            <sz val="9"/>
            <color indexed="81"/>
            <rFont val="Segoe UI"/>
            <family val="2"/>
          </rPr>
          <t>1- Servidor
2 - Órgão
3 - Setor</t>
        </r>
      </text>
    </comment>
    <comment ref="D228" authorId="2" shapeId="0" xr:uid="{3D0B00B1-AAE4-4697-97A2-EC7E2C8B3168}">
      <text>
        <r>
          <rPr>
            <sz val="9"/>
            <color indexed="81"/>
            <rFont val="Segoe UI"/>
            <family val="2"/>
          </rPr>
          <t>1 - Órgão
2 - Setor
3 - Usuário / Servidor
4 - Ano
5 - Mês
6 - Situação Ocorrência
7 - ID Justificativa
8 - Tipo Ocorrência
9 - Data Inicio
10 - Data Fim
11 - Data Inclusão
12 - Equipe Imediata
13-Codigo ocorrencia
14 - Comando
15 - Mensagem</t>
        </r>
      </text>
    </comment>
    <comment ref="E228" authorId="2" shapeId="0" xr:uid="{AD7E382C-F271-426C-9025-4B949D0E4A87}">
      <text>
        <r>
          <rPr>
            <sz val="9"/>
            <color indexed="81"/>
            <rFont val="Segoe UI"/>
            <family val="2"/>
          </rPr>
          <t xml:space="preserve">
1-Orgão
2 - Unidade / Setor
3 - Servidor
4 - Ocorrência
5 - Justificativa</t>
        </r>
      </text>
    </comment>
    <comment ref="D229" authorId="2" shapeId="0" xr:uid="{00000000-0006-0000-0100-00004E010000}">
      <text>
        <r>
          <rPr>
            <sz val="9"/>
            <color indexed="81"/>
            <rFont val="Segoe UI"/>
            <family val="2"/>
          </rPr>
          <t xml:space="preserve">1 - Órgão
2 - Setor
3 - Nome Usuário
4 - Código ocorrência
5 - Permanência
6 - Período
7 - Data e Hora Início
8 - Data e Hora Fim
9 - Estado
10 - Cidade
11 - Observação
12 - Motivo do comparecimento 
13 - Categoria 
14 - Parentesco
15 - CNPJ
16 - Laboratorio
17 - Responsável
18 - Anexar Arquivos
19 - Historico situação
20 - Historico data
21 - Historico usuario
22 -Nome do responsável
23-  Matrícula/CPF do responsável
24 - Motivo
25- Gestor
26 - CMD
27 - MSG
</t>
        </r>
      </text>
    </comment>
    <comment ref="E229" authorId="2" shapeId="0" xr:uid="{00000000-0006-0000-0100-00004F010000}">
      <text>
        <r>
          <rPr>
            <sz val="9"/>
            <color indexed="81"/>
            <rFont val="Segoe UI"/>
            <family val="2"/>
          </rPr>
          <t>1 - Servidor
2 - Ocorrencia
3 - Orgão
4 - Setor</t>
        </r>
      </text>
    </comment>
    <comment ref="D230" authorId="2" shapeId="0" xr:uid="{00000000-0006-0000-0100-000050010000}">
      <text>
        <r>
          <rPr>
            <sz val="9"/>
            <color indexed="81"/>
            <rFont val="Segoe UI"/>
            <family val="2"/>
          </rPr>
          <t xml:space="preserve">
1-Situação
2 - Descrição
3 - Data transação
4 - Quantidade Horas
5 - Tipo Operação
6 - Data Expiração
7 - Tipo de Uso
8 - Quantidade Voucher
9 - Justificativa
10 - Valor saldo horas
11 - Valor saldo voucher
12-CMD
13-MSG</t>
        </r>
      </text>
    </comment>
    <comment ref="E230" authorId="2" shapeId="0" xr:uid="{00000000-0006-0000-0100-000051010000}">
      <text>
        <r>
          <rPr>
            <sz val="9"/>
            <color indexed="81"/>
            <rFont val="Segoe UI"/>
            <family val="2"/>
          </rPr>
          <t>1 - Ocorrencia
2 - Folha de frequencia
3 - Transação crédito/débito
4 - Notificação</t>
        </r>
      </text>
    </comment>
    <comment ref="D231" authorId="2" shapeId="0" xr:uid="{00000000-0006-0000-0100-000052010000}">
      <text>
        <r>
          <rPr>
            <sz val="9"/>
            <color indexed="81"/>
            <rFont val="Segoe UI"/>
            <family val="2"/>
          </rPr>
          <t xml:space="preserve">
1-Situação
2-Motivo
3 - Descrição
4 - Data transação
5 - Quantidade Horas
6 - Tipo Operação
7 - Data Expiração
8 - Tipo de Uso
9 - Quantidade Voucher
10 - Justificativa
11 - Valor saldo horas
12 - Valor saldo voucher
13-CMD
14-MSG</t>
        </r>
      </text>
    </comment>
    <comment ref="E231" authorId="2" shapeId="0" xr:uid="{00000000-0006-0000-0100-000053010000}">
      <text>
        <r>
          <rPr>
            <sz val="9"/>
            <color indexed="81"/>
            <rFont val="Segoe UI"/>
            <family val="2"/>
          </rPr>
          <t>1 - Ocorrencia
2 - Folha de frequencia
3 - Transação crédito/débito
4 - Notificação</t>
        </r>
      </text>
    </comment>
    <comment ref="D232" authorId="2" shapeId="0" xr:uid="{00000000-0006-0000-0100-000054010000}">
      <text>
        <r>
          <rPr>
            <sz val="9"/>
            <color indexed="81"/>
            <rFont val="Segoe UI"/>
            <family val="2"/>
          </rPr>
          <t xml:space="preserve">
1 - ID Justificativa
2 - Ocorrência de Convocação
3 - Escala da Usuário
4 - Data Fim
5 -Evento
6 - Flag Finalizada
7 - Comando
8 - Mensagem
</t>
        </r>
      </text>
    </comment>
    <comment ref="E232" authorId="2" shapeId="0" xr:uid="{00000000-0006-0000-0100-000055010000}">
      <text>
        <r>
          <rPr>
            <sz val="9"/>
            <color indexed="81"/>
            <rFont val="Segoe UI"/>
            <family val="2"/>
          </rPr>
          <t xml:space="preserve">
1 - Justificativa
2 - Ocorrência
3 - Escala da Usuário
4 - Evento
5 - Usuário</t>
        </r>
      </text>
    </comment>
    <comment ref="D233" authorId="2" shapeId="0" xr:uid="{00000000-0006-0000-0100-000056010000}">
      <text>
        <r>
          <rPr>
            <sz val="9"/>
            <color indexed="81"/>
            <rFont val="Segoe UI"/>
            <family val="2"/>
          </rPr>
          <t xml:space="preserve">
1 - ID Justificativa
2 - Ocorrência de Convocação
3 - Escala da Usuário
4 - Evento
5 - Comando
6 - Mensagem
</t>
        </r>
      </text>
    </comment>
    <comment ref="E233" authorId="2" shapeId="0" xr:uid="{00000000-0006-0000-0100-000057010000}">
      <text>
        <r>
          <rPr>
            <sz val="9"/>
            <color indexed="81"/>
            <rFont val="Segoe UI"/>
            <family val="2"/>
          </rPr>
          <t xml:space="preserve">
1 - Escala da Usuário
2 - Evento
3 - Usuário</t>
        </r>
      </text>
    </comment>
    <comment ref="D234" authorId="2" shapeId="0" xr:uid="{62126745-7727-48FE-85EE-33B2573A4199}">
      <text>
        <r>
          <rPr>
            <sz val="9"/>
            <color indexed="81"/>
            <rFont val="Segoe UI"/>
            <family val="2"/>
          </rPr>
          <t xml:space="preserve">
1-Justifiativa Coletiva
2-CMD
3-MSG</t>
        </r>
      </text>
    </comment>
    <comment ref="E234" authorId="2" shapeId="0" xr:uid="{31679EA1-A8C9-46AF-AC1D-7BCB84327C98}">
      <text>
        <r>
          <rPr>
            <sz val="9"/>
            <color indexed="81"/>
            <rFont val="Segoe UI"/>
            <family val="2"/>
          </rPr>
          <t xml:space="preserve">
1-Ocorrência</t>
        </r>
      </text>
    </comment>
    <comment ref="D235" authorId="2" shapeId="0" xr:uid="{60437041-61EB-44D3-91CC-2F0888DD7BCC}">
      <text>
        <r>
          <rPr>
            <sz val="9"/>
            <color indexed="81"/>
            <rFont val="Segoe UI"/>
            <family val="2"/>
          </rPr>
          <t xml:space="preserve">
1 - Código ocorrência
2 - Permanência
3 - Período
4 - Data Início
5 - Data Fim
6 - Hora Início
8 - Hora Fim
7 -Nome do responsável
9-  Matrícula/CPF do responsável
10 - Estado
11 - Cidade
12 - Observação
13 - Anexar Arquivos
14 - Historico situação
15 - Historico data
16 - Historico usuario
17 - CMD
18 - MSG
</t>
        </r>
      </text>
    </comment>
    <comment ref="E235" authorId="2" shapeId="0" xr:uid="{E6CF1B24-BABD-496A-8FC0-5BA26906544E}">
      <text>
        <r>
          <rPr>
            <sz val="9"/>
            <color indexed="81"/>
            <rFont val="Segoe UI"/>
            <family val="2"/>
          </rPr>
          <t>1 - Servidor
2 - Ocorrencia
3 - Orgão
4 - Setor</t>
        </r>
      </text>
    </comment>
    <comment ref="D236" authorId="2" shapeId="0" xr:uid="{E1AD28F2-8E72-4524-82C9-6820907CC708}">
      <text>
        <r>
          <rPr>
            <sz val="9"/>
            <color indexed="81"/>
            <rFont val="Segoe UI"/>
            <family val="2"/>
          </rPr>
          <t xml:space="preserve">
1 - Situação
2-CMD
3-MSG</t>
        </r>
      </text>
    </comment>
    <comment ref="E236" authorId="2" shapeId="0" xr:uid="{61E82A13-3C29-4DD1-B5A4-A3CE7D6DE395}">
      <text>
        <r>
          <rPr>
            <sz val="9"/>
            <color indexed="81"/>
            <rFont val="Segoe UI"/>
            <family val="2"/>
          </rPr>
          <t>1 - Ocorrencia
2 - Folha de frequencia
3 - Notificação</t>
        </r>
      </text>
    </comment>
    <comment ref="D237" authorId="2" shapeId="0" xr:uid="{4846FED6-5C70-4211-A9C6-8726372B0987}">
      <text>
        <r>
          <rPr>
            <sz val="9"/>
            <color indexed="81"/>
            <rFont val="Segoe UI"/>
            <family val="2"/>
          </rPr>
          <t xml:space="preserve">
1-Situação
2-Motivo
3-CMD
4-MSG</t>
        </r>
      </text>
    </comment>
    <comment ref="E237" authorId="2" shapeId="0" xr:uid="{54C84826-36BD-4857-9F11-48BF97D9F32B}">
      <text>
        <r>
          <rPr>
            <sz val="9"/>
            <color indexed="81"/>
            <rFont val="Segoe UI"/>
            <family val="2"/>
          </rPr>
          <t>1 - Ocorrencia
2 - Folha de frequencia
3 - Notificação</t>
        </r>
      </text>
    </comment>
    <comment ref="D240" authorId="2" shapeId="0" xr:uid="{00000000-0006-0000-0100-000058010000}">
      <text>
        <r>
          <rPr>
            <sz val="9"/>
            <color indexed="81"/>
            <rFont val="Segoe UI"/>
            <family val="2"/>
          </rPr>
          <t xml:space="preserve">1-Entrada
2-Saída
3-Total
4-Total diário
5-Sugestão Saída
6-CMD
6-MSG
</t>
        </r>
      </text>
    </comment>
    <comment ref="E240" authorId="2" shapeId="0" xr:uid="{00000000-0006-0000-0100-000059010000}">
      <text>
        <r>
          <rPr>
            <sz val="9"/>
            <color indexed="81"/>
            <rFont val="Segoe UI"/>
            <family val="2"/>
          </rPr>
          <t xml:space="preserve">
1-Evento Executado</t>
        </r>
      </text>
    </comment>
    <comment ref="D241" authorId="2" shapeId="0" xr:uid="{6C4AE99C-F489-4E5D-B8ED-440B87091DEC}">
      <text>
        <r>
          <rPr>
            <sz val="9"/>
            <color indexed="81"/>
            <rFont val="Segoe UI"/>
            <family val="2"/>
          </rPr>
          <t xml:space="preserve">1-Título
2-Tipo
3-Texto
4-Link
5-Matricula Usuário que solicitou
6-Nome usuário que solicitou
7-Setor do usuário que solicitou
8-CMD
9-MSG
</t>
        </r>
      </text>
    </comment>
    <comment ref="E241" authorId="2" shapeId="0" xr:uid="{8C4CBFCD-5E58-4623-82CE-C6D9A5CF3617}">
      <text>
        <r>
          <rPr>
            <sz val="9"/>
            <color indexed="81"/>
            <rFont val="Segoe UI"/>
            <family val="2"/>
          </rPr>
          <t xml:space="preserve">
1-Notificação
2-Usuário
3-Setor</t>
        </r>
      </text>
    </comment>
    <comment ref="D244" authorId="2" shapeId="0" xr:uid="{00000000-0006-0000-0100-00005A010000}">
      <text>
        <r>
          <rPr>
            <sz val="9"/>
            <color indexed="81"/>
            <rFont val="Segoe UI"/>
            <family val="2"/>
          </rPr>
          <t>1-Usuario
2-Ano
3-Mês
4-Dia
5-Situação Dia
6-Hora entrada 
7-Hora saida
8-Período
9-Total de horas
10-Data Criação
11 - Status
12-Arquivo
13-Alteração
14-Usuário Alteração
15-Observação alteração
16-Assinatura Usuário
17-Data Assinatura Usuário
18-Assinatura Gestor
19-Data Assinatura Gestor</t>
        </r>
      </text>
    </comment>
    <comment ref="E244" authorId="2" shapeId="0" xr:uid="{00000000-0006-0000-0100-00005B010000}">
      <text>
        <r>
          <rPr>
            <sz val="9"/>
            <color indexed="81"/>
            <rFont val="Segoe UI"/>
            <family val="2"/>
          </rPr>
          <t xml:space="preserve">
1-Folha de frequencia
2 - Ano
3 - Mês
4 - Situação Dia / Evento</t>
        </r>
      </text>
    </comment>
    <comment ref="D245" authorId="2" shapeId="0" xr:uid="{D80FD972-17BD-4DA6-982B-FAED65129EFC}">
      <text>
        <r>
          <rPr>
            <sz val="9"/>
            <color indexed="81"/>
            <rFont val="Segoe UI"/>
            <family val="2"/>
          </rPr>
          <t xml:space="preserve">
1 -Orgão
2 -Setor
3 -Nome do usuario
4 -Ano referencia
5 -Mes referencia
6 -Dia 
7 -Registro previsto
8 -Hora prevista
9 -Situação
10-CMD
11-MSG
</t>
        </r>
      </text>
    </comment>
    <comment ref="E245" authorId="2" shapeId="0" xr:uid="{C4EC5DAF-4E8E-42AB-A7F4-D502796C7BF5}">
      <text>
        <r>
          <rPr>
            <sz val="9"/>
            <color indexed="81"/>
            <rFont val="Segoe UI"/>
            <family val="2"/>
          </rPr>
          <t xml:space="preserve">
1-Orgão
2-Servidor
3-Folha de frequencia
4-Jornada de Trabalho
5-Ocorrência
6-Evento Executado</t>
        </r>
      </text>
    </comment>
    <comment ref="D246" authorId="1" shapeId="0" xr:uid="{00000000-0006-0000-0100-00005E010000}">
      <text>
        <r>
          <rPr>
            <sz val="9"/>
            <color indexed="81"/>
            <rFont val="Segoe UI"/>
            <family val="2"/>
          </rPr>
          <t>1 - Código
2 - Descrição
3 - Comando</t>
        </r>
      </text>
    </comment>
    <comment ref="E246" authorId="1" shapeId="0" xr:uid="{00000000-0006-0000-0100-00005F010000}">
      <text>
        <r>
          <rPr>
            <sz val="9"/>
            <color indexed="81"/>
            <rFont val="Segoe UI"/>
            <family val="2"/>
          </rPr>
          <t xml:space="preserve">1 - Ano
</t>
        </r>
      </text>
    </comment>
    <comment ref="D247" authorId="1" shapeId="0" xr:uid="{00000000-0006-0000-0100-000060010000}">
      <text>
        <r>
          <rPr>
            <sz val="9"/>
            <color indexed="81"/>
            <rFont val="Segoe UI"/>
            <family val="2"/>
          </rPr>
          <t>1 - Código
2 - Descrição
3 - Comando</t>
        </r>
      </text>
    </comment>
    <comment ref="E247" authorId="1" shapeId="0" xr:uid="{00000000-0006-0000-0100-000061010000}">
      <text>
        <r>
          <rPr>
            <sz val="9"/>
            <color indexed="81"/>
            <rFont val="Segoe UI"/>
            <family val="2"/>
          </rPr>
          <t xml:space="preserve">1 - Mês
</t>
        </r>
      </text>
    </comment>
    <comment ref="D248" authorId="2" shapeId="0" xr:uid="{00000000-0006-0000-0100-000062010000}">
      <text>
        <r>
          <rPr>
            <sz val="9"/>
            <color indexed="81"/>
            <rFont val="Segoe UI"/>
            <family val="2"/>
          </rPr>
          <t xml:space="preserve">
1-Entrada
2-Saida
3-Periodo
4-Total
5-Total registros
6-Total diario
7-Ocorrencia
8-Hora Inicio Ocorrencia
9-Hora Fim Ocorrencia
10-Turno Ocorrencia
11-Duração Ocorrencia
12-CMD
13-MSG</t>
        </r>
      </text>
    </comment>
    <comment ref="E248" authorId="2" shapeId="0" xr:uid="{00000000-0006-0000-0100-000063010000}">
      <text>
        <r>
          <rPr>
            <sz val="9"/>
            <color indexed="81"/>
            <rFont val="Segoe UI"/>
            <family val="2"/>
          </rPr>
          <t xml:space="preserve">
1-Orgão
2-Servidor
3-Folha de frequencia
4-Jornada de Trabalho
5-Ocorrência
6-Evento Executado</t>
        </r>
      </text>
    </comment>
    <comment ref="D249" authorId="2" shapeId="0" xr:uid="{61AA0EBE-790F-4290-9E9D-3F0D2B18119C}">
      <text>
        <r>
          <rPr>
            <sz val="9"/>
            <color indexed="81"/>
            <rFont val="Segoe UI"/>
            <family val="2"/>
          </rPr>
          <t xml:space="preserve">
1 -Ano
2 -Mes
3 -Data criação
4 -arquivo
5 -Status
6 -Data alteração
7 -nome do usuario
8 -Observação
9 - Setor
10-CMD
11-MSG
</t>
        </r>
      </text>
    </comment>
    <comment ref="E249" authorId="2" shapeId="0" xr:uid="{DCD1F0ED-66DC-45A5-AE20-B9ACEF7354C8}">
      <text>
        <r>
          <rPr>
            <sz val="9"/>
            <color indexed="81"/>
            <rFont val="Segoe UI"/>
            <family val="2"/>
          </rPr>
          <t xml:space="preserve">
1-Orgão
2-Servidor
3-Usuario
4-Folha de Frequencia
5-Setor</t>
        </r>
      </text>
    </comment>
    <comment ref="D250" authorId="2" shapeId="0" xr:uid="{00000000-0006-0000-0100-000066010000}">
      <text>
        <r>
          <rPr>
            <sz val="9"/>
            <color indexed="81"/>
            <rFont val="Segoe UI"/>
            <family val="2"/>
          </rPr>
          <t xml:space="preserve">
1-Arquivo
3-CMD
4-MSG</t>
        </r>
      </text>
    </comment>
    <comment ref="E250" authorId="2" shapeId="0" xr:uid="{00000000-0006-0000-0100-000067010000}">
      <text>
        <r>
          <rPr>
            <sz val="9"/>
            <color indexed="81"/>
            <rFont val="Segoe UI"/>
            <family val="2"/>
          </rPr>
          <t xml:space="preserve">
1-Folha de frequencia</t>
        </r>
      </text>
    </comment>
    <comment ref="D251" authorId="2" shapeId="0" xr:uid="{233A60D4-6BC7-4C9D-88F6-B672821DDBA9}">
      <text>
        <r>
          <rPr>
            <sz val="9"/>
            <color indexed="81"/>
            <rFont val="Segoe UI"/>
            <family val="2"/>
          </rPr>
          <t xml:space="preserve">
1-Usuario
2-Senha
3-Mês
4-Ano
5-CMD
6-MSG</t>
        </r>
      </text>
    </comment>
    <comment ref="E251" authorId="2" shapeId="0" xr:uid="{6DF5AC12-B24E-403A-92E3-C1ABB396C710}">
      <text>
        <r>
          <rPr>
            <sz val="9"/>
            <color indexed="81"/>
            <rFont val="Segoe UI"/>
            <family val="2"/>
          </rPr>
          <t xml:space="preserve">
1-Parametro
2-Folha de frequencia
3-Usuário</t>
        </r>
      </text>
    </comment>
    <comment ref="D254" authorId="2" shapeId="0" xr:uid="{62DC277A-DD54-4032-BF80-13760CA9BEE3}">
      <text>
        <r>
          <rPr>
            <sz val="9"/>
            <color indexed="81"/>
            <rFont val="Segoe UI"/>
            <family val="2"/>
          </rPr>
          <t xml:space="preserve">
1 -Orgao
2 -Setor
3 -Nome usuário
4 -Mês/Ano referência
5 -Data
6 -Registros previstos
7 -Hora prevista
8 -Registros (Entrada e Saída)
9 -Total registros realizados
10-Situação
11-Ocorrência
12-Período
13-Total
14-Total diário
15-Data impressão
16-Hora impressão
17-Assinatura do gestor
18-Data assinatura gestor
19-Assinatura do usuário
20-Data assinatura usuário
21-Matricula
22-Vínculo
23-CPF
24-Convocação
25-Total Convocação
26-Observação Ocorrência
27-CMD
28-MSG</t>
        </r>
      </text>
    </comment>
    <comment ref="E254" authorId="2" shapeId="0" xr:uid="{AD263BF7-8494-459B-8005-0CB789530BE7}">
      <text>
        <r>
          <rPr>
            <sz val="9"/>
            <color indexed="81"/>
            <rFont val="Segoe UI"/>
            <family val="2"/>
          </rPr>
          <t xml:space="preserve">
1-Orgão
2-Servidor
3-Folha de frequencia
4-Jornada de Trabalho
5-Ocorrência
6-Evento Executado</t>
        </r>
      </text>
    </comment>
    <comment ref="D257" authorId="2" shapeId="0" xr:uid="{00000000-0006-0000-0100-00006C010000}">
      <text>
        <r>
          <rPr>
            <sz val="9"/>
            <color indexed="81"/>
            <rFont val="Segoe UI"/>
            <family val="2"/>
          </rPr>
          <t xml:space="preserve">
1-Orgão
2-Setor
3-Ano
4-Mes
5-Usuário
6-Status
7-Status gestor
8 - Cor
9-CMD
10-MSG</t>
        </r>
      </text>
    </comment>
    <comment ref="E257" authorId="2" shapeId="0" xr:uid="{00000000-0006-0000-0100-00006D010000}">
      <text>
        <r>
          <rPr>
            <sz val="9"/>
            <color indexed="81"/>
            <rFont val="Segoe UI"/>
            <family val="2"/>
          </rPr>
          <t xml:space="preserve">
1-Orgão
2-Servidor
3-Usuario
4-Folha de frequencia</t>
        </r>
      </text>
    </comment>
    <comment ref="D258" authorId="2" shapeId="0" xr:uid="{EE9F3056-C9A3-4AB1-B898-76B65457BAE4}">
      <text>
        <r>
          <rPr>
            <sz val="9"/>
            <color indexed="81"/>
            <rFont val="Segoe UI"/>
            <family val="2"/>
          </rPr>
          <t xml:space="preserve">
1-Orgão
2-Setor
3-Ano
4-Mes
5-Usuário
6-Status
7-Status gestor
8 - Cor
9-CMD
10-MSG</t>
        </r>
      </text>
    </comment>
    <comment ref="E258" authorId="2" shapeId="0" xr:uid="{607E8E8B-627B-472A-89A3-8D8028697875}">
      <text>
        <r>
          <rPr>
            <sz val="9"/>
            <color indexed="81"/>
            <rFont val="Segoe UI"/>
            <family val="2"/>
          </rPr>
          <t xml:space="preserve">
1-Orgão
2-Servidor
3-Usuario
4-Folha de frequencia
5-Parâmetro</t>
        </r>
      </text>
    </comment>
    <comment ref="D261" authorId="1" shapeId="0" xr:uid="{00000000-0006-0000-0100-000070010000}">
      <text>
        <r>
          <rPr>
            <sz val="9"/>
            <color indexed="81"/>
            <rFont val="Segoe UI"/>
            <family val="2"/>
          </rPr>
          <t>1 - Código
2 - Descrição
3 - Usuário
4 - Data Início
5 - Data Fim
6 - Título
7 - Tipo
8 - Exclusão Lógica
9 - Status</t>
        </r>
      </text>
    </comment>
    <comment ref="E261" authorId="1" shapeId="0" xr:uid="{00000000-0006-0000-0100-000071010000}">
      <text>
        <r>
          <rPr>
            <sz val="9"/>
            <color indexed="81"/>
            <rFont val="Segoe UI"/>
            <family val="2"/>
          </rPr>
          <t>1 - Notificação
2 - Usuário
3 - Tipo</t>
        </r>
      </text>
    </comment>
    <comment ref="D262" authorId="2" shapeId="0" xr:uid="{00000000-0006-0000-0100-000072010000}">
      <text>
        <r>
          <rPr>
            <sz val="9"/>
            <color indexed="81"/>
            <rFont val="Segoe UI"/>
            <family val="2"/>
          </rPr>
          <t>1-Código
2-Evento
3-Data Inicio
4-Hora Inicio
5-Data Fim
6-Hora Fim
7-Servidor
8-Horário de Trabalho do Órgão
9-Jornada de Trabalho
10-Escala de trabalho
11-Parametro
12-Notificação
13 - Descrição crédito/débito
14 - Data transação
15 - Quantidade Horas
16 - Tipo Operação
17 - Data Expiração
18 - Tipo de Uso
19 - Quantidade Voucher
20 - Justificativa
21 - Valor saldo horas
22 - Valor saldo voucher
23 - Perfil lançar fora do horário
24 -Orgão Dispositivo
25 -setor Dispositivo
26 -tecnologia
27 -Nome dispositivo
28 -IP
29 -Latitude
30 -Longitude
31 -Data inicio
32 -Data Fim
33-Identificador
34-CMD
35-MSG</t>
        </r>
      </text>
    </comment>
    <comment ref="E262" authorId="2" shapeId="0" xr:uid="{00000000-0006-0000-0100-000073010000}">
      <text>
        <r>
          <rPr>
            <sz val="9"/>
            <color indexed="81"/>
            <rFont val="Segoe UI"/>
            <family val="2"/>
          </rPr>
          <t xml:space="preserve">
1-Horário de Trabalho do Órgão
2-Jornada de Trabalho
3-Servidor
4-Escala de trabalho
5-Parametro
6-Notificação
7-Folha Frequencia
8-Transição crédito/débito
9-Usuário
10-Dispositivo</t>
        </r>
      </text>
    </comment>
    <comment ref="D265" authorId="2" shapeId="0" xr:uid="{00000000-0006-0000-0100-000074010000}">
      <text>
        <r>
          <rPr>
            <sz val="9"/>
            <color indexed="81"/>
            <rFont val="Segoe UI"/>
            <family val="2"/>
          </rPr>
          <t>1-Código
2-Evento
3-Data Inicio
4-Hora Inicio
5-Data Fim
6-Hora Fim
7-Servidor
8-Horário de Trabalho do Órgão
9-Jornada de Trabalho
10-Escala de trabalho
11-Parametro
12-Notificação
13 - Descrição crédito/débito
14 - Data transação
15 - Quantidade Horas
16 - Tipo Operação
17 - Data Expiração
18 - Tipo de Uso
19 - Quantidade Voucher
20 - Justificativa
21 - Valor saldo horas
22 - Valor saldo voucher
23 - Perfil lançar fora do horário
24 -Orgão Dispositivo
25 -setor Dispositivo
26 -tecnologia
27 -Nome dispositivo
28 -IP
29 -Latitude
30 -Longitude
31 -Data inicio
32 -Data Fim
33-Identificador
34-CMD
35-MSG</t>
        </r>
      </text>
    </comment>
    <comment ref="E265" authorId="2" shapeId="0" xr:uid="{00000000-0006-0000-0100-000075010000}">
      <text>
        <r>
          <rPr>
            <sz val="9"/>
            <color indexed="81"/>
            <rFont val="Segoe UI"/>
            <family val="2"/>
          </rPr>
          <t xml:space="preserve">
1-Horário de Trabalho do Órgão
2-Jornada de Trabalho
3-Servidor
4-Escala de trabalho
5-Parametro
6-Notificação
7-Folha Frequencia
8 - Transação crédito/débito
9-Usuário
10-Dispositivo</t>
        </r>
      </text>
    </comment>
    <comment ref="D268" authorId="3" shapeId="0" xr:uid="{00000000-0006-0000-0100-000076010000}">
      <text>
        <r>
          <rPr>
            <sz val="9"/>
            <color indexed="81"/>
            <rFont val="Segoe UI"/>
            <family val="2"/>
          </rPr>
          <t xml:space="preserve">1. Título
2. CMD
3. Mensagem
</t>
        </r>
      </text>
    </comment>
    <comment ref="E268" authorId="3" shapeId="0" xr:uid="{00000000-0006-0000-0100-000077010000}">
      <text>
        <r>
          <rPr>
            <sz val="9"/>
            <color indexed="81"/>
            <rFont val="Segoe UI"/>
            <family val="2"/>
          </rPr>
          <t>1. Notificação
2. Mensagem</t>
        </r>
      </text>
    </comment>
    <comment ref="D269" authorId="3" shapeId="0" xr:uid="{00000000-0006-0000-0100-000078010000}">
      <text>
        <r>
          <rPr>
            <sz val="9"/>
            <color indexed="81"/>
            <rFont val="Segoe UI"/>
            <family val="2"/>
          </rPr>
          <t xml:space="preserve">1. Título
2. Descrição
3. CMD
4. Mensagem
</t>
        </r>
      </text>
    </comment>
    <comment ref="E269" authorId="3" shapeId="0" xr:uid="{00000000-0006-0000-0100-000079010000}">
      <text>
        <r>
          <rPr>
            <sz val="9"/>
            <color indexed="81"/>
            <rFont val="Segoe UI"/>
            <family val="2"/>
          </rPr>
          <t>1. Notificação
2. Mensagem</t>
        </r>
      </text>
    </comment>
    <comment ref="D270" authorId="3" shapeId="0" xr:uid="{00000000-0006-0000-0100-00007A010000}">
      <text>
        <r>
          <rPr>
            <sz val="9"/>
            <color indexed="81"/>
            <rFont val="Segoe UI"/>
            <family val="2"/>
          </rPr>
          <t>1. notificação
2. qtd
3. CMD
4. Mensagem</t>
        </r>
      </text>
    </comment>
    <comment ref="E270" authorId="3" shapeId="0" xr:uid="{00000000-0006-0000-0100-00007B010000}">
      <text>
        <r>
          <rPr>
            <sz val="9"/>
            <color indexed="81"/>
            <rFont val="Segoe UI"/>
            <family val="2"/>
          </rPr>
          <t>1. Notificação
2. Mensagem</t>
        </r>
      </text>
    </comment>
    <comment ref="D271" authorId="3" shapeId="0" xr:uid="{00000000-0006-0000-0100-00007C010000}">
      <text>
        <r>
          <rPr>
            <sz val="9"/>
            <color indexed="81"/>
            <rFont val="Segoe UI"/>
            <family val="2"/>
          </rPr>
          <t>1. Status notificação
2. CMD
3. Mensagem</t>
        </r>
      </text>
    </comment>
    <comment ref="E271" authorId="3" shapeId="0" xr:uid="{00000000-0006-0000-0100-00007D010000}">
      <text>
        <r>
          <rPr>
            <sz val="9"/>
            <color indexed="81"/>
            <rFont val="Segoe UI"/>
            <family val="2"/>
          </rPr>
          <t>1. Notificação
2. Mensagem</t>
        </r>
      </text>
    </comment>
    <comment ref="D272" authorId="3" shapeId="0" xr:uid="{00000000-0006-0000-0100-00007E010000}">
      <text>
        <r>
          <rPr>
            <sz val="9"/>
            <color indexed="81"/>
            <rFont val="Segoe UI"/>
            <family val="2"/>
          </rPr>
          <t>1. Descrição
2. data inicio
3. data fim
4. status
5. CMD
6. Mensagem</t>
        </r>
      </text>
    </comment>
    <comment ref="E272" authorId="3" shapeId="0" xr:uid="{00000000-0006-0000-0100-00007F010000}">
      <text>
        <r>
          <rPr>
            <sz val="9"/>
            <color indexed="81"/>
            <rFont val="Segoe UI"/>
            <family val="2"/>
          </rPr>
          <t>1. Notificação
2. Mensagem</t>
        </r>
      </text>
    </comment>
    <comment ref="D273" authorId="3" shapeId="0" xr:uid="{00000000-0006-0000-0100-000080010000}">
      <text>
        <r>
          <rPr>
            <sz val="9"/>
            <color indexed="81"/>
            <rFont val="Segoe UI"/>
            <family val="2"/>
          </rPr>
          <t>1. Título
2. Descrição
3. CMD
4. Mensagem</t>
        </r>
      </text>
    </comment>
    <comment ref="E273" authorId="3" shapeId="0" xr:uid="{00000000-0006-0000-0100-000081010000}">
      <text>
        <r>
          <rPr>
            <sz val="9"/>
            <color indexed="81"/>
            <rFont val="Segoe UI"/>
            <family val="2"/>
          </rPr>
          <t>1. Notificação
2. Mensagem</t>
        </r>
      </text>
    </comment>
    <comment ref="D274" authorId="3" shapeId="0" xr:uid="{00000000-0006-0000-0100-000082010000}">
      <text>
        <r>
          <rPr>
            <sz val="9"/>
            <color indexed="81"/>
            <rFont val="Segoe UI"/>
            <family val="2"/>
          </rPr>
          <t>1. Título
2. Descrição
3. CMD
4. Mensagem</t>
        </r>
      </text>
    </comment>
    <comment ref="E274" authorId="3" shapeId="0" xr:uid="{00000000-0006-0000-0100-000083010000}">
      <text>
        <r>
          <rPr>
            <sz val="9"/>
            <color indexed="81"/>
            <rFont val="Segoe UI"/>
            <family val="2"/>
          </rPr>
          <t>1. Notificação
2. Mensagem</t>
        </r>
      </text>
    </comment>
    <comment ref="D275" authorId="3" shapeId="0" xr:uid="{00000000-0006-0000-0100-000084010000}">
      <text>
        <r>
          <rPr>
            <sz val="9"/>
            <color indexed="81"/>
            <rFont val="Segoe UI"/>
            <family val="2"/>
          </rPr>
          <t>1. Título
2. Descrição
3. CMD
4. Mensagem</t>
        </r>
      </text>
    </comment>
    <comment ref="E275" authorId="3" shapeId="0" xr:uid="{00000000-0006-0000-0100-000085010000}">
      <text>
        <r>
          <rPr>
            <sz val="9"/>
            <color indexed="81"/>
            <rFont val="Segoe UI"/>
            <family val="2"/>
          </rPr>
          <t>1. Notificação
2. Mensagem</t>
        </r>
      </text>
    </comment>
    <comment ref="D276" authorId="3" shapeId="0" xr:uid="{00000000-0006-0000-0100-000086010000}">
      <text>
        <r>
          <rPr>
            <sz val="9"/>
            <color indexed="81"/>
            <rFont val="Segoe UI"/>
            <family val="2"/>
          </rPr>
          <t>1. Título
2. Descrição
3. CMD
4. Mensagem</t>
        </r>
      </text>
    </comment>
    <comment ref="E276" authorId="3" shapeId="0" xr:uid="{00000000-0006-0000-0100-000087010000}">
      <text>
        <r>
          <rPr>
            <sz val="9"/>
            <color indexed="81"/>
            <rFont val="Segoe UI"/>
            <family val="2"/>
          </rPr>
          <t>1. Notificação
2. Mensagem</t>
        </r>
      </text>
    </comment>
    <comment ref="D279" authorId="3" shapeId="0" xr:uid="{00000000-0006-0000-0100-000088010000}">
      <text>
        <r>
          <rPr>
            <sz val="9"/>
            <color indexed="81"/>
            <rFont val="Segoe UI"/>
            <family val="2"/>
          </rPr>
          <t>1. Órgão
2. Setor
3. Nome usuário
4. Data e hora do registro
5. Estação de registro
6. CPF
7. CMD
8. Mensagem</t>
        </r>
      </text>
    </comment>
    <comment ref="E279" authorId="3" shapeId="0" xr:uid="{00000000-0006-0000-0100-000089010000}">
      <text>
        <r>
          <rPr>
            <sz val="9"/>
            <color indexed="81"/>
            <rFont val="Segoe UI"/>
            <family val="2"/>
          </rPr>
          <t>1. Órgão
2. Setor
3. Usuário
4. Folha frequencia
5. Evento Executado</t>
        </r>
      </text>
    </comment>
    <comment ref="D280" authorId="2" shapeId="0" xr:uid="{00000000-0006-0000-0100-00008A010000}">
      <text>
        <r>
          <rPr>
            <sz val="9"/>
            <color indexed="81"/>
            <rFont val="Segoe UI"/>
            <family val="2"/>
          </rPr>
          <t>1-Código
2-Evento
3-Data Inicio
4-Hora Inicio
5-Data Fim
6-Hora Fim
7-Servidor
8-Horário de Trabalho do Órgão
9-Jornada de Trabalho
10-Escala de trabalho
11-Parametro
12-Notificação
13 - Descrição crédito/débito
14 - Data transação
15 - Quantidade Horas
16 - Tipo Operação
17 - Data Expiração
18 - Tipo de Uso
19 - Quantidade Voucher
20 - Justificativa
21 - Valor saldo horas
22 - Valor saldo voucher
23. Usuário log
24. Data log
25. Mensagem log
26-CMD
27-MSG</t>
        </r>
      </text>
    </comment>
    <comment ref="E280" authorId="2" shapeId="0" xr:uid="{00000000-0006-0000-0100-00008B010000}">
      <text>
        <r>
          <rPr>
            <sz val="9"/>
            <color indexed="81"/>
            <rFont val="Segoe UI"/>
            <family val="2"/>
          </rPr>
          <t xml:space="preserve">
1-Horário de Trabalho do Órgão
2-Jornada de Trabalho
3-Servidor
4-Escala de trabalho
5-Parametro
6-Notificação
7-Folha Frequencia
8 - Transação crédito/débito</t>
        </r>
      </text>
    </comment>
    <comment ref="D281" authorId="3" shapeId="0" xr:uid="{00000000-0006-0000-0100-00008C010000}">
      <text>
        <r>
          <rPr>
            <sz val="9"/>
            <color indexed="81"/>
            <rFont val="Segoe UI"/>
            <family val="2"/>
          </rPr>
          <t>1. Usuário
2. Data
3. Mensagem
4. CMD
5. Mensagem</t>
        </r>
      </text>
    </comment>
    <comment ref="E281" authorId="3" shapeId="0" xr:uid="{00000000-0006-0000-0100-00008D010000}">
      <text>
        <r>
          <rPr>
            <sz val="9"/>
            <color indexed="81"/>
            <rFont val="Segoe UI"/>
            <family val="2"/>
          </rPr>
          <t>1. Notificação</t>
        </r>
      </text>
    </comment>
    <comment ref="D284" authorId="2" shapeId="0" xr:uid="{00000000-0006-0000-0100-00008E010000}">
      <text>
        <r>
          <rPr>
            <sz val="9"/>
            <color indexed="81"/>
            <rFont val="Segoe UI"/>
            <family val="2"/>
          </rPr>
          <t xml:space="preserve">
1 -Orgão
2 -Setor
3 -Nome do usuario
4 -Codigo ocorencia
5 -permanencia
6 -data início
7 -data fim 
8 -matricula/cpf Responsável
9 -nome responsável
10-estado
11-Cidade
12-OBS
13-Gestor
14-Arquivos
15 - hora início
16 - hora fim 
17-CMD
18-MSG</t>
        </r>
      </text>
    </comment>
    <comment ref="E284" authorId="2" shapeId="0" xr:uid="{00000000-0006-0000-0100-00008F010000}">
      <text>
        <r>
          <rPr>
            <sz val="9"/>
            <color indexed="81"/>
            <rFont val="Segoe UI"/>
            <family val="2"/>
          </rPr>
          <t>1 - Servidor
2 - Ocorrencia
3 - Orgão
4 - Setor
5 - Parametro
6 - Justificativa</t>
        </r>
      </text>
    </comment>
    <comment ref="D285" authorId="2" shapeId="0" xr:uid="{00000000-0006-0000-0100-000090010000}">
      <text>
        <r>
          <rPr>
            <sz val="9"/>
            <color indexed="81"/>
            <rFont val="Segoe UI"/>
            <family val="2"/>
          </rPr>
          <t xml:space="preserve">
1-matrícula 
2-CPF 
3-descrição nome do gestor 
4-CMD</t>
        </r>
      </text>
    </comment>
    <comment ref="E285" authorId="2" shapeId="0" xr:uid="{00000000-0006-0000-0100-000091010000}">
      <text>
        <r>
          <rPr>
            <sz val="9"/>
            <color indexed="81"/>
            <rFont val="Segoe UI"/>
            <family val="2"/>
          </rPr>
          <t xml:space="preserve">
1-Servidor
2-Evento Lotação
3-Unidade</t>
        </r>
      </text>
    </comment>
    <comment ref="D288" authorId="2" shapeId="0" xr:uid="{00000000-0006-0000-0100-000092010000}">
      <text>
        <r>
          <rPr>
            <sz val="9"/>
            <color indexed="81"/>
            <rFont val="Segoe UI"/>
            <family val="2"/>
          </rPr>
          <t xml:space="preserve">
1 -Orgão 
2 -setor
3 -tecnologia
4 -Nome dispositivo
5 -IP
6 -Latitude
7 -Longitude
8 -Data inicio
9 -Data Fim
10-Identificador 
11-Codigo
12-Status
13-Tipo Dispositivo
14-Usuário
15-Senha
16 - Status</t>
        </r>
      </text>
    </comment>
    <comment ref="E288" authorId="2" shapeId="0" xr:uid="{00000000-0006-0000-0100-000093010000}">
      <text>
        <r>
          <rPr>
            <sz val="9"/>
            <color indexed="81"/>
            <rFont val="Segoe UI"/>
            <family val="2"/>
          </rPr>
          <t>1 - Dispositivo
2 - Tecnologia Biometria
3 - Tipo Dispositivo</t>
        </r>
      </text>
    </comment>
    <comment ref="D289" authorId="2" shapeId="0" xr:uid="{00000000-0006-0000-0100-000094010000}">
      <text>
        <r>
          <rPr>
            <sz val="9"/>
            <color indexed="81"/>
            <rFont val="Segoe UI"/>
            <family val="2"/>
          </rPr>
          <t xml:space="preserve">
1 -Orgão 
2 -setor
3 -tecnologia
4 -Nome dispositivo
5 -IP
6 -Data inicio
7 -Data fim 
8 -Status
9-Tipo Dispositivo
10 -CMD
11-MSG</t>
        </r>
      </text>
    </comment>
    <comment ref="E289" authorId="2" shapeId="0" xr:uid="{00000000-0006-0000-0100-000095010000}">
      <text>
        <r>
          <rPr>
            <sz val="9"/>
            <color indexed="81"/>
            <rFont val="Segoe UI"/>
            <family val="2"/>
          </rPr>
          <t>1 - Dispositivo
2 - Setor
3 - Orgão</t>
        </r>
      </text>
    </comment>
    <comment ref="D290" authorId="2" shapeId="0" xr:uid="{00000000-0006-0000-0100-000096010000}">
      <text>
        <r>
          <rPr>
            <sz val="9"/>
            <color indexed="81"/>
            <rFont val="Segoe UI"/>
            <family val="2"/>
          </rPr>
          <t xml:space="preserve">
1-matrícula 
2-CPF 
3-descrição nome do gestor 
4-CMD</t>
        </r>
      </text>
    </comment>
    <comment ref="E290" authorId="2" shapeId="0" xr:uid="{00000000-0006-0000-0100-000097010000}">
      <text>
        <r>
          <rPr>
            <sz val="9"/>
            <color indexed="81"/>
            <rFont val="Segoe UI"/>
            <family val="2"/>
          </rPr>
          <t xml:space="preserve">
1-Tipo Dispostivo</t>
        </r>
      </text>
    </comment>
    <comment ref="D291" authorId="2" shapeId="0" xr:uid="{00000000-0006-0000-0100-000098010000}">
      <text>
        <r>
          <rPr>
            <sz val="9"/>
            <color indexed="81"/>
            <rFont val="Segoe UI"/>
            <family val="2"/>
          </rPr>
          <t xml:space="preserve">
1 -Orgão 
2 -setor
3 -tecnologia
4 -Nome dispositivo
5 -IP
6 -Latitude
7 -Longitude
8 -Data inicio
9 -Data Fim
10-Identificador
11-Tipo Dispositivo
12-Usuário
13-Senha
14 - Status
15- CMD
16-MSG</t>
        </r>
      </text>
    </comment>
    <comment ref="E291" authorId="2" shapeId="0" xr:uid="{00000000-0006-0000-0100-000099010000}">
      <text>
        <r>
          <rPr>
            <sz val="9"/>
            <color indexed="81"/>
            <rFont val="Segoe UI"/>
            <family val="2"/>
          </rPr>
          <t>1 - Dispositivo
2 - Setor
3 - Orgão</t>
        </r>
      </text>
    </comment>
    <comment ref="D292" authorId="2" shapeId="0" xr:uid="{00000000-0006-0000-0100-00009A010000}">
      <text>
        <r>
          <rPr>
            <sz val="9"/>
            <color indexed="81"/>
            <rFont val="Segoe UI"/>
            <family val="2"/>
          </rPr>
          <t xml:space="preserve">
1-código 
2-descrição 
3-CMD</t>
        </r>
      </text>
    </comment>
    <comment ref="E292" authorId="2" shapeId="0" xr:uid="{00000000-0006-0000-0100-00009B010000}">
      <text>
        <r>
          <rPr>
            <sz val="9"/>
            <color indexed="81"/>
            <rFont val="Segoe UI"/>
            <family val="2"/>
          </rPr>
          <t>1 - Tecnologia Biometria</t>
        </r>
      </text>
    </comment>
    <comment ref="D293" authorId="2" shapeId="0" xr:uid="{00000000-0006-0000-0100-00009C010000}">
      <text>
        <r>
          <rPr>
            <sz val="9"/>
            <color indexed="81"/>
            <rFont val="Segoe UI"/>
            <family val="2"/>
          </rPr>
          <t xml:space="preserve">
1 -Orgão 
2 -setor
3 -tecnologia
4 -Nome dispositivo
5 -IP
6 -Latitude
7 -Longitude
8 -Data inicio
9 -Data Fim
10-Identificador 
11-Tipo Dispositivo
12-Usuário
13-Senha
14 - Status
15- CMD
16-MSG</t>
        </r>
      </text>
    </comment>
    <comment ref="E293" authorId="2" shapeId="0" xr:uid="{00000000-0006-0000-0100-00009D010000}">
      <text>
        <r>
          <rPr>
            <sz val="9"/>
            <color indexed="81"/>
            <rFont val="Segoe UI"/>
            <family val="2"/>
          </rPr>
          <t>1 - Dispositivo
2 - Setor
3 - Orgão</t>
        </r>
      </text>
    </comment>
    <comment ref="D294" authorId="2" shapeId="0" xr:uid="{00000000-0006-0000-0100-00009E010000}">
      <text>
        <r>
          <rPr>
            <sz val="9"/>
            <color indexed="81"/>
            <rFont val="Segoe UI"/>
            <family val="2"/>
          </rPr>
          <t xml:space="preserve">
1 -Orgão 
2 -setor
3 -tecnologia
4 -Nome dispositivo
5 -IP
6 -Latitude
7 -Longitude
8 -Data inicio
9 -Data Fim
10-Identificador 
11-Tipo Dispositivo
12-Usuário
13-Senha
14 - Status</t>
        </r>
      </text>
    </comment>
    <comment ref="E294" authorId="2" shapeId="0" xr:uid="{00000000-0006-0000-0100-00009F010000}">
      <text>
        <r>
          <rPr>
            <sz val="9"/>
            <color indexed="81"/>
            <rFont val="Segoe UI"/>
            <family val="2"/>
          </rPr>
          <t>1 - Dispositivo
2 - Setor
3 - Orgão</t>
        </r>
      </text>
    </comment>
    <comment ref="D295" authorId="2" shapeId="0" xr:uid="{00000000-0006-0000-0100-0000A0010000}">
      <text>
        <r>
          <rPr>
            <sz val="9"/>
            <color indexed="81"/>
            <rFont val="Segoe UI"/>
            <family val="2"/>
          </rPr>
          <t xml:space="preserve">
1 -Orgão 
2 -setor
3 -tecnologia
4 -Nome dispositivo
5 -IP
6 -Latitude
7 -Longitude
8 -Data inicio
9 -Data Fim
10-Identificador 
11-Tipo Dispositivo
12-Usuário
13-Senha
14 - Status
15- CMD
16-MSG</t>
        </r>
      </text>
    </comment>
    <comment ref="E295" authorId="2" shapeId="0" xr:uid="{00000000-0006-0000-0100-0000A1010000}">
      <text>
        <r>
          <rPr>
            <sz val="9"/>
            <color indexed="81"/>
            <rFont val="Segoe UI"/>
            <family val="2"/>
          </rPr>
          <t>1 - Dispositivo
2 - Setor
3 - Orgão</t>
        </r>
      </text>
    </comment>
    <comment ref="D296" authorId="2" shapeId="0" xr:uid="{00000000-0006-0000-0100-0000A2010000}">
      <text>
        <r>
          <rPr>
            <sz val="9"/>
            <color indexed="81"/>
            <rFont val="Segoe UI"/>
            <family val="2"/>
          </rPr>
          <t xml:space="preserve">
1 -Codigo 
2-CMD
3-MSG</t>
        </r>
      </text>
    </comment>
    <comment ref="E296" authorId="2" shapeId="0" xr:uid="{00000000-0006-0000-0100-0000A3010000}">
      <text>
        <r>
          <rPr>
            <sz val="9"/>
            <color indexed="81"/>
            <rFont val="Segoe UI"/>
            <family val="2"/>
          </rPr>
          <t xml:space="preserve">1 - Dispositivo
</t>
        </r>
      </text>
    </comment>
    <comment ref="D304" authorId="2" shapeId="0" xr:uid="{E023C3C6-ECBF-422E-B98D-8BECEFC2CFFB}">
      <text>
        <r>
          <rPr>
            <sz val="9"/>
            <color indexed="81"/>
            <rFont val="Segoe UI"/>
            <family val="2"/>
          </rPr>
          <t>1 - Descrição
2 - Data transação
3 - Quantidade Horas
4 - Tipo Operação
5 - Data Expiração
6 - Tipo de Uso
7 - Quantidade Voucher
8 - Justificativa
9 - Valor saldo horas
10 - Valor saldo voucher
11 - OBS
12 - Anexo</t>
        </r>
      </text>
    </comment>
    <comment ref="E304" authorId="2" shapeId="0" xr:uid="{644197E7-75A5-4926-A8E0-33A69AEECF90}">
      <text>
        <r>
          <rPr>
            <sz val="9"/>
            <color indexed="81"/>
            <rFont val="Segoe UI"/>
            <family val="2"/>
          </rPr>
          <t>1 - Transação crédito/débito</t>
        </r>
      </text>
    </comment>
    <comment ref="D307" authorId="2" shapeId="0" xr:uid="{00000000-0006-0000-0100-0000A6010000}">
      <text>
        <r>
          <rPr>
            <sz val="9"/>
            <color indexed="81"/>
            <rFont val="Segoe UI"/>
            <family val="2"/>
          </rPr>
          <t>1-Saldo atual
2-Horas compensadas
3-Saldo após resgate
4-Voucher
5-Total voucher
6-Data resgate
7-Data geração saldo
8-CMD
9-MSG</t>
        </r>
      </text>
    </comment>
    <comment ref="E307" authorId="2" shapeId="0" xr:uid="{00000000-0006-0000-0100-0000A7010000}">
      <text>
        <r>
          <rPr>
            <sz val="9"/>
            <color indexed="81"/>
            <rFont val="Segoe UI"/>
            <family val="2"/>
          </rPr>
          <t>1 - Servidor
2 - Ocorrencia
3 - Transação crédito/débito
4 - Parâmetro</t>
        </r>
      </text>
    </comment>
    <comment ref="D308" authorId="2" shapeId="0" xr:uid="{00000000-0006-0000-0100-0000A8010000}">
      <text>
        <r>
          <rPr>
            <sz val="9"/>
            <color indexed="81"/>
            <rFont val="Segoe UI"/>
            <family val="2"/>
          </rPr>
          <t>1-Saldo atual
2-Horas compensadas
3-Saldo após resgate
4-Total voucher
5-CMD
6-MSG</t>
        </r>
      </text>
    </comment>
    <comment ref="E308" authorId="2" shapeId="0" xr:uid="{00000000-0006-0000-0100-0000A9010000}">
      <text>
        <r>
          <rPr>
            <sz val="9"/>
            <color indexed="81"/>
            <rFont val="Segoe UI"/>
            <family val="2"/>
          </rPr>
          <t xml:space="preserve">
1-Transação crédito/débito</t>
        </r>
      </text>
    </comment>
    <comment ref="D311" authorId="2" shapeId="0" xr:uid="{00000000-0006-0000-0100-0000AA010000}">
      <text>
        <r>
          <rPr>
            <sz val="9"/>
            <color indexed="81"/>
            <rFont val="Segoe UI"/>
            <family val="2"/>
          </rPr>
          <t xml:space="preserve">
1 -orgão 
2 -Setor
3 -Usuario
4 -data inicio
5 -data fim 
6 -operação
7 -Saldo de horas
8 -Ocorrencia
9 -qtd horas
10-data vencimento
11-Saldo Voucher
12-CMD
13-MSG</t>
        </r>
      </text>
    </comment>
    <comment ref="E311" authorId="2" shapeId="0" xr:uid="{00000000-0006-0000-0100-0000AB010000}">
      <text>
        <r>
          <rPr>
            <sz val="9"/>
            <color indexed="81"/>
            <rFont val="Segoe UI"/>
            <family val="2"/>
          </rPr>
          <t>1 - Servidor
2 - Ocorrencia
3 - Transação crédito/débito
4 - Orgão
5 - Setor</t>
        </r>
      </text>
    </comment>
    <comment ref="D312" authorId="2" shapeId="0" xr:uid="{00000000-0006-0000-0100-0000AC010000}">
      <text>
        <r>
          <rPr>
            <sz val="9"/>
            <color indexed="81"/>
            <rFont val="Segoe UI"/>
            <family val="2"/>
          </rPr>
          <t xml:space="preserve">
1 -Usuario
2 -Matricula 
3 -Vinculo 
4 -CPF
5 -Saldo de horas
6 -Data
7 -Operação
8 -Ocorrencia
9 -qtd horas
10-data vencimento
11-Saldo Voucher
12-CMD
13-MSG</t>
        </r>
      </text>
    </comment>
    <comment ref="E312" authorId="2" shapeId="0" xr:uid="{00000000-0006-0000-0100-0000AD010000}">
      <text>
        <r>
          <rPr>
            <sz val="9"/>
            <color indexed="81"/>
            <rFont val="Segoe UI"/>
            <family val="2"/>
          </rPr>
          <t>1 - Servidor
2 - Ocorrencia
3 - Transação crédito/débito
4 - Orgão
5 - Setor</t>
        </r>
      </text>
    </comment>
    <comment ref="D313" authorId="2" shapeId="0" xr:uid="{00000000-0006-0000-0100-0000AE010000}">
      <text>
        <r>
          <rPr>
            <sz val="9"/>
            <color indexed="81"/>
            <rFont val="Segoe UI"/>
            <family val="2"/>
          </rPr>
          <t xml:space="preserve">
1-Data vencimento
2-Tipo
3-Observação
4-Anexo
5-CMD
6-MSG</t>
        </r>
      </text>
    </comment>
    <comment ref="E313" authorId="2" shapeId="0" xr:uid="{00000000-0006-0000-0100-0000AF010000}">
      <text>
        <r>
          <rPr>
            <sz val="9"/>
            <color indexed="81"/>
            <rFont val="Segoe UI"/>
            <family val="2"/>
          </rPr>
          <t>1 - Servidor
2 - Ocorrencia
3 - Transação crédito/débito</t>
        </r>
      </text>
    </comment>
    <comment ref="D314" authorId="2" shapeId="0" xr:uid="{FD1929A1-8158-49DA-9822-59DD8C93D28D}">
      <text>
        <r>
          <rPr>
            <sz val="9"/>
            <color indexed="81"/>
            <rFont val="Segoe UI"/>
            <family val="2"/>
          </rPr>
          <t xml:space="preserve">
1-Tipo Lançamento
2-Operação
3-Qtd
4-Data
5-OBS
6-Anexo
7-Observação
8-CMD
9-MSG</t>
        </r>
      </text>
    </comment>
    <comment ref="E314" authorId="2" shapeId="0" xr:uid="{0374BD11-C26A-4746-8483-5FA9AA726F80}">
      <text>
        <r>
          <rPr>
            <sz val="9"/>
            <color indexed="81"/>
            <rFont val="Segoe UI"/>
            <family val="2"/>
          </rPr>
          <t>1 - Servidor
2 - Ocorrencia
3 - Transação crédito/débito</t>
        </r>
      </text>
    </comment>
    <comment ref="D317" authorId="2" shapeId="0" xr:uid="{00000000-0006-0000-0100-0000B0010000}">
      <text>
        <r>
          <rPr>
            <sz val="9"/>
            <color indexed="81"/>
            <rFont val="Segoe UI"/>
            <family val="2"/>
          </rPr>
          <t xml:space="preserve">
1-Dispositivo 
2-Usuario 
</t>
        </r>
      </text>
    </comment>
    <comment ref="E317" authorId="2" shapeId="0" xr:uid="{00000000-0006-0000-0100-0000B1010000}">
      <text>
        <r>
          <rPr>
            <sz val="9"/>
            <color indexed="81"/>
            <rFont val="Segoe UI"/>
            <family val="2"/>
          </rPr>
          <t xml:space="preserve">1 - Dispositivo Usuario
</t>
        </r>
      </text>
    </comment>
    <comment ref="D318" authorId="2" shapeId="0" xr:uid="{00000000-0006-0000-0100-0000B2010000}">
      <text>
        <r>
          <rPr>
            <sz val="9"/>
            <color indexed="81"/>
            <rFont val="Segoe UI"/>
            <family val="2"/>
          </rPr>
          <t xml:space="preserve">
1-Servidor 
2-Dispositivo Vinculado
3-Órgão Usuário
4-Setor Usuário
</t>
        </r>
      </text>
    </comment>
    <comment ref="E318" authorId="2" shapeId="0" xr:uid="{00000000-0006-0000-0100-0000B3010000}">
      <text>
        <r>
          <rPr>
            <sz val="9"/>
            <color indexed="81"/>
            <rFont val="Segoe UI"/>
            <family val="2"/>
          </rPr>
          <t>1 - Dispositivo Usuario
2 - Servidor</t>
        </r>
      </text>
    </comment>
    <comment ref="D319" authorId="2" shapeId="0" xr:uid="{00000000-0006-0000-0100-0000B4010000}">
      <text>
        <r>
          <rPr>
            <sz val="9"/>
            <color indexed="81"/>
            <rFont val="Segoe UI"/>
            <family val="2"/>
          </rPr>
          <t xml:space="preserve">
1-código 
2-descrição </t>
        </r>
      </text>
    </comment>
    <comment ref="E319" authorId="2" shapeId="0" xr:uid="{00000000-0006-0000-0100-0000B5010000}">
      <text>
        <r>
          <rPr>
            <sz val="9"/>
            <color indexed="81"/>
            <rFont val="Segoe UI"/>
            <family val="2"/>
          </rPr>
          <t>1 - Dispositivo</t>
        </r>
      </text>
    </comment>
    <comment ref="D320" authorId="2" shapeId="0" xr:uid="{00000000-0006-0000-0100-0000B6010000}">
      <text>
        <r>
          <rPr>
            <sz val="9"/>
            <color indexed="81"/>
            <rFont val="Segoe UI"/>
            <family val="2"/>
          </rPr>
          <t xml:space="preserve">
1-Orgão 
2-Setor
3-Tecnologia 
4-Dispositivo 
5-CMD
6-MSG</t>
        </r>
      </text>
    </comment>
    <comment ref="E320" authorId="2" shapeId="0" xr:uid="{00000000-0006-0000-0100-0000B7010000}">
      <text>
        <r>
          <rPr>
            <sz val="9"/>
            <color indexed="81"/>
            <rFont val="Segoe UI"/>
            <family val="2"/>
          </rPr>
          <t>1 - Dispositivo
2 - Setor
3 - Orgão
4 - Servidor</t>
        </r>
      </text>
    </comment>
    <comment ref="D321" authorId="2" shapeId="0" xr:uid="{00000000-0006-0000-0100-0000B8010000}">
      <text>
        <r>
          <rPr>
            <sz val="9"/>
            <color indexed="81"/>
            <rFont val="Segoe UI"/>
            <family val="2"/>
          </rPr>
          <t xml:space="preserve">
1-Dispositivo 
2-CMD
3-MSG</t>
        </r>
      </text>
    </comment>
    <comment ref="E321" authorId="2" shapeId="0" xr:uid="{00000000-0006-0000-0100-0000B9010000}">
      <text>
        <r>
          <rPr>
            <sz val="9"/>
            <color indexed="81"/>
            <rFont val="Segoe UI"/>
            <family val="2"/>
          </rPr>
          <t xml:space="preserve">1 - Dispositivo
</t>
        </r>
      </text>
    </comment>
    <comment ref="D322" authorId="2" shapeId="0" xr:uid="{00000000-0006-0000-0100-0000BA010000}">
      <text>
        <r>
          <rPr>
            <sz val="9"/>
            <color indexed="81"/>
            <rFont val="Segoe UI"/>
            <family val="2"/>
          </rPr>
          <t xml:space="preserve">
1-Dispositivo 
2-Usuario 
3-CMD
4-MSG</t>
        </r>
      </text>
    </comment>
    <comment ref="E322" authorId="2" shapeId="0" xr:uid="{00000000-0006-0000-0100-0000BB010000}">
      <text>
        <r>
          <rPr>
            <sz val="9"/>
            <color indexed="81"/>
            <rFont val="Segoe UI"/>
            <family val="2"/>
          </rPr>
          <t xml:space="preserve">1 -  Dispositivo Usuario
</t>
        </r>
      </text>
    </comment>
    <comment ref="D325" authorId="2" shapeId="0" xr:uid="{B94FCFCA-B192-4F91-A78C-E47A2396BF28}">
      <text>
        <r>
          <rPr>
            <sz val="9"/>
            <color indexed="81"/>
            <rFont val="Segoe UI"/>
            <family val="2"/>
          </rPr>
          <t xml:space="preserve">
1-Orgão 
2-CPF
3-Dispositivo
4-Data Inicio
5-Data Fim
6-Nome usuario 
7-Mensagem
8-CMD
9-MSG
10-setor</t>
        </r>
      </text>
    </comment>
    <comment ref="E325" authorId="2" shapeId="0" xr:uid="{00000000-0006-0000-0100-0000BD010000}">
      <text>
        <r>
          <rPr>
            <sz val="9"/>
            <color indexed="81"/>
            <rFont val="Segoe UI"/>
            <family val="2"/>
          </rPr>
          <t>1 - Dispositivo
2 - Folha frequencia
3 - Orgão
4 - Servidor</t>
        </r>
      </text>
    </comment>
    <comment ref="D326" authorId="2" shapeId="0" xr:uid="{70F696AF-4E43-49A7-835A-BA03985298D1}">
      <text>
        <r>
          <rPr>
            <sz val="9"/>
            <color indexed="81"/>
            <rFont val="Segoe UI"/>
            <family val="2"/>
          </rPr>
          <t xml:space="preserve">
1-Orgão 
2-CPF
3-Dispositivo
4-Data Inicio
5-Data Fim
6-Nome usuario 
7-Mensagem
8-CMD
9-MSG
10-setor</t>
        </r>
      </text>
    </comment>
    <comment ref="E326" authorId="2" shapeId="0" xr:uid="{00000000-0006-0000-0100-0000BF010000}">
      <text>
        <r>
          <rPr>
            <sz val="9"/>
            <color indexed="81"/>
            <rFont val="Segoe UI"/>
            <family val="2"/>
          </rPr>
          <t>1 - Dispositivo
2 - Folha frequencia
3 - Orgão
4 - Servidor</t>
        </r>
      </text>
    </comment>
    <comment ref="D329" authorId="2" shapeId="0" xr:uid="{00000000-0006-0000-0100-0000C0010000}">
      <text>
        <r>
          <rPr>
            <sz val="9"/>
            <color indexed="81"/>
            <rFont val="Segoe UI"/>
            <family val="2"/>
          </rPr>
          <t xml:space="preserve">
1. CPF
2. Matrícula
3. Vínculo
4. Data início
5. Data fim
6. Período
7. Código Ocorrência
8. ID da ocorrência no SEAP
9. Status registro 
</t>
        </r>
      </text>
    </comment>
    <comment ref="E329" authorId="2" shapeId="0" xr:uid="{00000000-0006-0000-0100-0000C1010000}">
      <text>
        <r>
          <rPr>
            <sz val="9"/>
            <color indexed="81"/>
            <rFont val="Segoe UI"/>
            <family val="2"/>
          </rPr>
          <t xml:space="preserve">
1- Justificativa SEAP</t>
        </r>
      </text>
    </comment>
    <comment ref="D330" authorId="2" shapeId="0" xr:uid="{00000000-0006-0000-0100-0000C2010000}">
      <text>
        <r>
          <rPr>
            <sz val="9"/>
            <color indexed="81"/>
            <rFont val="Segoe UI"/>
            <family val="2"/>
          </rPr>
          <t xml:space="preserve">
1-CPF
2-Matrícula
3-Vínculo
4-Data início
5-Data fim
6-Período
7-Código Ocorrência
8-ID da ocorrência no SEAP
9-Status registro 
10-Órgão
11-Setor
12-Nome Usuário
13-Código ocorrência
14-Permanência
15-Nome responsável
16-Matrícula/CPF do responsável
17-Estado
18-Cidade
19-Observação
20-CMD
21-MSG</t>
        </r>
      </text>
    </comment>
    <comment ref="E330" authorId="2" shapeId="0" xr:uid="{00000000-0006-0000-0100-0000C3010000}">
      <text>
        <r>
          <rPr>
            <sz val="9"/>
            <color indexed="81"/>
            <rFont val="Segoe UI"/>
            <family val="2"/>
          </rPr>
          <t xml:space="preserve">
1-Ocorrência
2-Justificativa-SEAP
3-Servidor
4-Órgão
5-Setor</t>
        </r>
      </text>
    </comment>
    <comment ref="D331" authorId="2" shapeId="0" xr:uid="{00000000-0006-0000-0100-0000C4010000}">
      <text>
        <r>
          <rPr>
            <sz val="9"/>
            <color indexed="81"/>
            <rFont val="Segoe UI"/>
            <family val="2"/>
          </rPr>
          <t xml:space="preserve">
1-CPF
2-Matrícula
3-Vínculo
4-Data início
5-Data fim
6-Período
7-Código Ocorrência
8-ID da ocorrência no SEAP
9-Status registro 
10-Órgão
11-Setor
12-Nome Usuário
13-Código ocorrência
14-Permanência
15-Nome responsável
16-Matrícula/CPF do responsável
17-Estado
18-Cidade
19-Observação
20-CMD
21-MSG</t>
        </r>
      </text>
    </comment>
    <comment ref="E331" authorId="2" shapeId="0" xr:uid="{00000000-0006-0000-0100-0000C5010000}">
      <text>
        <r>
          <rPr>
            <sz val="9"/>
            <color indexed="81"/>
            <rFont val="Segoe UI"/>
            <family val="2"/>
          </rPr>
          <t xml:space="preserve">
1-Ocorrência
2-Justificativa-SEAP
3-Servidor
4-Órgão
5-Setor</t>
        </r>
      </text>
    </comment>
    <comment ref="D334" authorId="2" shapeId="0" xr:uid="{00000000-0006-0000-0100-0000C6010000}">
      <text>
        <r>
          <rPr>
            <sz val="9"/>
            <color indexed="81"/>
            <rFont val="Segoe UI"/>
            <family val="2"/>
          </rPr>
          <t xml:space="preserve">
1-Tecnologia
2-Tipo
3-Imagem 
4-Servidor
5-ID
</t>
        </r>
      </text>
    </comment>
    <comment ref="E334" authorId="2" shapeId="0" xr:uid="{00000000-0006-0000-0100-0000C7010000}">
      <text>
        <r>
          <rPr>
            <sz val="9"/>
            <color indexed="81"/>
            <rFont val="Segoe UI"/>
            <family val="2"/>
          </rPr>
          <t>1 - Biometria
2 - Tipo Biometria</t>
        </r>
      </text>
    </comment>
    <comment ref="D335" authorId="2" shapeId="0" xr:uid="{C5726CFA-7C70-4024-9D3F-514ECEF0D35B}">
      <text>
        <r>
          <rPr>
            <sz val="9"/>
            <color indexed="81"/>
            <rFont val="Segoe UI"/>
            <family val="2"/>
          </rPr>
          <t xml:space="preserve">
1-Usuário
2-Imagem
</t>
        </r>
      </text>
    </comment>
    <comment ref="E335" authorId="2" shapeId="0" xr:uid="{A3F3741E-F8E2-44CB-B774-DF340595F6F5}">
      <text>
        <r>
          <rPr>
            <sz val="9"/>
            <color indexed="81"/>
            <rFont val="Segoe UI"/>
            <family val="2"/>
          </rPr>
          <t>1 - API Webpontointegracao</t>
        </r>
      </text>
    </comment>
    <comment ref="D336" authorId="2" shapeId="0" xr:uid="{00000000-0006-0000-0100-0000C8010000}">
      <text>
        <r>
          <rPr>
            <sz val="9"/>
            <color indexed="81"/>
            <rFont val="Segoe UI"/>
            <family val="2"/>
          </rPr>
          <t xml:space="preserve">
1-Tecnologia
2-Tipo
3-Imagem 
4-Usuário
5-CPF
6-Data atualização
7-CMD
8-MSG 
</t>
        </r>
      </text>
    </comment>
    <comment ref="E336" authorId="2" shapeId="0" xr:uid="{00000000-0006-0000-0100-0000C9010000}">
      <text>
        <r>
          <rPr>
            <sz val="9"/>
            <color indexed="81"/>
            <rFont val="Segoe UI"/>
            <family val="2"/>
          </rPr>
          <t>1 - Biometria
2 - Usuário</t>
        </r>
      </text>
    </comment>
    <comment ref="D337" authorId="2" shapeId="0" xr:uid="{00000000-0006-0000-0100-0000CA010000}">
      <text>
        <r>
          <rPr>
            <sz val="9"/>
            <color indexed="81"/>
            <rFont val="Segoe UI"/>
            <family val="2"/>
          </rPr>
          <t xml:space="preserve">
1-código 
2-descrição </t>
        </r>
      </text>
    </comment>
    <comment ref="E337" authorId="2" shapeId="0" xr:uid="{00000000-0006-0000-0100-0000CB010000}">
      <text>
        <r>
          <rPr>
            <sz val="9"/>
            <color indexed="81"/>
            <rFont val="Segoe UI"/>
            <family val="2"/>
          </rPr>
          <t>1 - Tipo Biometria</t>
        </r>
      </text>
    </comment>
    <comment ref="D338" authorId="2" shapeId="0" xr:uid="{00000000-0006-0000-0100-0000CC010000}">
      <text>
        <r>
          <rPr>
            <sz val="9"/>
            <color indexed="81"/>
            <rFont val="Segoe UI"/>
            <family val="2"/>
          </rPr>
          <t xml:space="preserve">
1-Tecnologia
2-Tipo
3-Imagem 
4-Usuário
5-CPF
6-Data atualização
7-CMD
8-MSG 
</t>
        </r>
      </text>
    </comment>
    <comment ref="E338" authorId="2" shapeId="0" xr:uid="{00000000-0006-0000-0100-0000CD010000}">
      <text>
        <r>
          <rPr>
            <sz val="9"/>
            <color indexed="81"/>
            <rFont val="Segoe UI"/>
            <family val="2"/>
          </rPr>
          <t>1 - Biometria
2 - Usuário</t>
        </r>
      </text>
    </comment>
    <comment ref="D339" authorId="2" shapeId="0" xr:uid="{00000000-0006-0000-0100-0000CE010000}">
      <text>
        <r>
          <rPr>
            <sz val="9"/>
            <color indexed="81"/>
            <rFont val="Segoe UI"/>
            <family val="2"/>
          </rPr>
          <t xml:space="preserve">
1-Tecnologia
2-Tipo
3-Imagem 
4-Usuário</t>
        </r>
      </text>
    </comment>
    <comment ref="E339" authorId="2" shapeId="0" xr:uid="{00000000-0006-0000-0100-0000CF010000}">
      <text>
        <r>
          <rPr>
            <sz val="9"/>
            <color indexed="81"/>
            <rFont val="Segoe UI"/>
            <family val="2"/>
          </rPr>
          <t>1 - Biometria
2 - Usuário</t>
        </r>
      </text>
    </comment>
    <comment ref="D340" authorId="2" shapeId="0" xr:uid="{00000000-0006-0000-0100-0000D0010000}">
      <text>
        <r>
          <rPr>
            <sz val="9"/>
            <color indexed="81"/>
            <rFont val="Segoe UI"/>
            <family val="2"/>
          </rPr>
          <t xml:space="preserve">
1-Tecnologia
2-Tipo
3-Imagem 
4-Usuário
5-CMD
6-MSG 
</t>
        </r>
      </text>
    </comment>
    <comment ref="E340" authorId="2" shapeId="0" xr:uid="{00000000-0006-0000-0100-0000D1010000}">
      <text>
        <r>
          <rPr>
            <sz val="9"/>
            <color indexed="81"/>
            <rFont val="Segoe UI"/>
            <family val="2"/>
          </rPr>
          <t>1 - Biometria
2 - Usuário</t>
        </r>
      </text>
    </comment>
    <comment ref="D341" authorId="2" shapeId="0" xr:uid="{4B920837-6BC3-41EF-B162-8C04261B0463}">
      <text>
        <r>
          <rPr>
            <sz val="9"/>
            <color indexed="81"/>
            <rFont val="Segoe UI"/>
            <family val="2"/>
          </rPr>
          <t xml:space="preserve">
1-Usuário
2-Imagem
3 - CMD
4 - MSG</t>
        </r>
      </text>
    </comment>
    <comment ref="E341" authorId="2" shapeId="0" xr:uid="{BE7F4937-9D83-4F65-A1F6-3674701634BC}">
      <text>
        <r>
          <rPr>
            <sz val="9"/>
            <color indexed="81"/>
            <rFont val="Segoe UI"/>
            <family val="2"/>
          </rPr>
          <t>1 - API Webpontointegracao</t>
        </r>
      </text>
    </comment>
    <comment ref="D344" authorId="2" shapeId="0" xr:uid="{00000000-0006-0000-0100-0000D2010000}">
      <text>
        <r>
          <rPr>
            <sz val="9"/>
            <color indexed="81"/>
            <rFont val="Segoe UI"/>
            <family val="2"/>
          </rPr>
          <t xml:space="preserve">
1 - Órgão
2 - Setor
3 - Nome Usuário
4 - Ocorrência
5 - Data início
6 - Data fim
7 - Matrícula/Vínculo
8 - Data envio
9 - Data retorno
10 -CMD
11-MSG</t>
        </r>
      </text>
    </comment>
    <comment ref="E344" authorId="2" shapeId="0" xr:uid="{00000000-0006-0000-0100-0000D3010000}">
      <text>
        <r>
          <rPr>
            <sz val="9"/>
            <color indexed="81"/>
            <rFont val="Segoe UI"/>
            <family val="2"/>
          </rPr>
          <t>1 - Ocorrencia
2 - Orgão 
3 - Setor 
4 - Usuario 
5 - Justificativa SEAP</t>
        </r>
      </text>
    </comment>
    <comment ref="D345" authorId="2" shapeId="0" xr:uid="{00000000-0006-0000-0100-0000D4010000}">
      <text>
        <r>
          <rPr>
            <sz val="9"/>
            <color indexed="81"/>
            <rFont val="Segoe UI"/>
            <family val="2"/>
          </rPr>
          <t xml:space="preserve">
1-Código
2-Evento
3-Data Inicio
4-Hora Inicio
5-Data Fim
6-Hora Fim
7-Servidor
8-Notificação
9 - Descrição crédito/débito
10 - Data transação
11 - Quantidade Horas
12 - Tipo Operação
13 - Data Expiração
14 - Tipo de Uso
15 - Quantidade Voucher
16 - Justificativa
17 - Valor saldo horas
18 - Valor saldo voucher
19. Usuário log
20. Data log
21. Mensagem log
22-CMD
23-MSG</t>
        </r>
      </text>
    </comment>
    <comment ref="E345" authorId="2" shapeId="0" xr:uid="{00000000-0006-0000-0100-0000D5010000}">
      <text>
        <r>
          <rPr>
            <sz val="9"/>
            <color indexed="81"/>
            <rFont val="Segoe UI"/>
            <family val="2"/>
          </rPr>
          <t>1 - Evento
2 - Servidor 
3 - Justificativa SEAP
4 - Justificiativa
5 - Ocorrência
6 - Notificação
7 - Folha Frequencia</t>
        </r>
      </text>
    </comment>
    <comment ref="D349" authorId="2" shapeId="0" xr:uid="{00000000-0006-0000-0100-0000D6010000}">
      <text>
        <r>
          <rPr>
            <sz val="9"/>
            <color indexed="81"/>
            <rFont val="Segoe UI"/>
            <family val="2"/>
          </rPr>
          <t xml:space="preserve">1 - Órgão
2 - Setor
3 - Nome usuário
4 - Matrícula/Vínculo
5 - Tipo de usuário
6 - Jornada
7 - Status
8 - Login
9 - Tipo Biometria
10 - Último acesso
11 - CMD
12 - MSG
</t>
        </r>
      </text>
    </comment>
    <comment ref="E349" authorId="2" shapeId="0" xr:uid="{00000000-0006-0000-0100-0000D7010000}">
      <text>
        <r>
          <rPr>
            <sz val="9"/>
            <color indexed="81"/>
            <rFont val="Segoe UI"/>
            <family val="2"/>
          </rPr>
          <t>1 - Órgão
2 - Setor
3 - Servidor
4 - Usuário
5 - Perfil Manopla
6 - Jornada
7 - Biometria</t>
        </r>
      </text>
    </comment>
    <comment ref="D350" authorId="2" shapeId="0" xr:uid="{CEE19495-3AD1-4EBC-B206-4888EB1255CF}">
      <text>
        <r>
          <rPr>
            <sz val="9"/>
            <color indexed="81"/>
            <rFont val="Segoe UI"/>
            <family val="2"/>
          </rPr>
          <t xml:space="preserve">
1-código 
2-descrição 
3-CMD</t>
        </r>
      </text>
    </comment>
    <comment ref="E350" authorId="2" shapeId="0" xr:uid="{D8E8FD7A-D1E1-4E5D-9C84-3069B9A033B3}">
      <text>
        <r>
          <rPr>
            <sz val="9"/>
            <color indexed="81"/>
            <rFont val="Segoe UI"/>
            <family val="2"/>
          </rPr>
          <t>1 - Jornada de Trabalho
2 - Usuário
3 - Escala</t>
        </r>
      </text>
    </comment>
    <comment ref="D351" authorId="2" shapeId="0" xr:uid="{00000000-0006-0000-0100-0000D8010000}">
      <text>
        <r>
          <rPr>
            <sz val="9"/>
            <color indexed="81"/>
            <rFont val="Segoe UI"/>
            <family val="2"/>
          </rPr>
          <t xml:space="preserve">1 - Órgão
2 - Setor
3 - Nome usuário
4 - Matrícula/Vínculo
5 - Tipo de usuário
6 - Jornada
7 - Status
8 - Login
9 - Tipo Biometria
10 - Último acesso
11 - Usuario emissão
12 - CMD
13 - MSG
</t>
        </r>
      </text>
    </comment>
    <comment ref="E351" authorId="2" shapeId="0" xr:uid="{00000000-0006-0000-0100-0000D9010000}">
      <text>
        <r>
          <rPr>
            <sz val="9"/>
            <color indexed="81"/>
            <rFont val="Segoe UI"/>
            <family val="2"/>
          </rPr>
          <t>1 - Órgão
2 - Setor
3 - Servidor
4 - Usuário
5 - Perfil Manopla
6 - Jornada
7 - Biometria</t>
        </r>
      </text>
    </comment>
    <comment ref="D354" authorId="1" shapeId="0" xr:uid="{00000000-0006-0000-0100-0000DA010000}">
      <text>
        <r>
          <rPr>
            <sz val="9"/>
            <color indexed="81"/>
            <rFont val="Segoe UI"/>
            <family val="2"/>
          </rPr>
          <t xml:space="preserve">1 - Tela
2 - Comando
</t>
        </r>
      </text>
    </comment>
    <comment ref="E354" authorId="1" shapeId="0" xr:uid="{00000000-0006-0000-0100-0000DB010000}">
      <text>
        <r>
          <rPr>
            <sz val="9"/>
            <color indexed="81"/>
            <rFont val="Segoe UI"/>
            <family val="2"/>
          </rPr>
          <t>1 - Menu</t>
        </r>
      </text>
    </comment>
    <comment ref="D357" authorId="2" shapeId="0" xr:uid="{295938C1-FEAC-4C98-882D-4674370603ED}">
      <text>
        <r>
          <rPr>
            <sz val="9"/>
            <color indexed="81"/>
            <rFont val="Segoe UI"/>
            <family val="2"/>
          </rPr>
          <t xml:space="preserve">
1-Usuário
2-Imagem
</t>
        </r>
      </text>
    </comment>
    <comment ref="E357" authorId="2" shapeId="0" xr:uid="{CE2B2E54-FA60-493E-B1D8-C58A4A8D8056}">
      <text>
        <r>
          <rPr>
            <sz val="9"/>
            <color indexed="81"/>
            <rFont val="Segoe UI"/>
            <family val="2"/>
          </rPr>
          <t>1 - Base de Dados Politec</t>
        </r>
      </text>
    </comment>
    <comment ref="D358" authorId="1" shapeId="0" xr:uid="{00000000-0006-0000-0100-0000DC010000}">
      <text>
        <r>
          <rPr>
            <sz val="9"/>
            <color indexed="81"/>
            <rFont val="Segoe UI"/>
            <family val="2"/>
          </rPr>
          <t xml:space="preserve">1 - Vinculo 
2 - Imagem 
3 - Data hora
4 - Sugestão de saída 
5 - Total de horas previstas
6 - CMD
7 - MSG
</t>
        </r>
      </text>
    </comment>
    <comment ref="E358" authorId="3" shapeId="0" xr:uid="{00000000-0006-0000-0100-0000DD010000}">
      <text>
        <r>
          <rPr>
            <sz val="9"/>
            <color indexed="81"/>
            <rFont val="Segoe UI"/>
            <family val="2"/>
          </rPr>
          <t>1. Órgão
2. Setor
3. Usuário
4. Registro Frequencia
5. Base de Dados Politec
6. Parametro</t>
        </r>
      </text>
    </comment>
    <comment ref="D359" authorId="1" shapeId="0" xr:uid="{00000000-0006-0000-0100-0000DE010000}">
      <text>
        <r>
          <rPr>
            <sz val="9"/>
            <color indexed="81"/>
            <rFont val="Segoe UI"/>
            <family val="2"/>
          </rPr>
          <t xml:space="preserve">1 - Orgão  
2 - Setor 
3 - CPF
4 - Data hora
5 - Sugestão de saída
6 - Total de horas prevista
</t>
        </r>
      </text>
    </comment>
    <comment ref="E359" authorId="3" shapeId="0" xr:uid="{F9987CBB-C272-4242-AD3A-86A9A1DD4128}">
      <text>
        <r>
          <rPr>
            <sz val="9"/>
            <color indexed="81"/>
            <rFont val="Segoe UI"/>
            <family val="2"/>
          </rPr>
          <t>1. Órgão
2. Setor
3. Usuário
4. Parametro</t>
        </r>
      </text>
    </comment>
    <comment ref="D362" authorId="2" shapeId="0" xr:uid="{00000000-0006-0000-0100-0000E0010000}">
      <text>
        <r>
          <rPr>
            <sz val="9"/>
            <color indexed="81"/>
            <rFont val="Segoe UI"/>
            <family val="2"/>
          </rPr>
          <t xml:space="preserve">
1 -Orgão 
2 -Setor 
3 -Nome usuário
4 -Matricula 
5 -data inicio
6 -data fim 
7 -CPF 
8 -Qtd horas 
9 -Total de horas 
10-CMD
11-MSG
</t>
        </r>
      </text>
    </comment>
    <comment ref="E362" authorId="3" shapeId="0" xr:uid="{00000000-0006-0000-0100-0000E1010000}">
      <text>
        <r>
          <rPr>
            <sz val="9"/>
            <color indexed="81"/>
            <rFont val="Segoe UI"/>
            <family val="2"/>
          </rPr>
          <t xml:space="preserve">1. Órgão
2. Setor
3. Usuário
4. Folha frequencia
</t>
        </r>
      </text>
    </comment>
    <comment ref="D363" authorId="2" shapeId="0" xr:uid="{00000000-0006-0000-0100-0000E2010000}">
      <text>
        <r>
          <rPr>
            <sz val="9"/>
            <color indexed="81"/>
            <rFont val="Segoe UI"/>
            <family val="2"/>
          </rPr>
          <t xml:space="preserve">
1 -Orgão 
2 -Setor 
3 -Nome usuário
4 -Matricula 
5 -data inicio
6 -data fim 
7 -CPF 
8 -Qtd horas 
9 -Total de horas 
10-CMD
11-MSG
</t>
        </r>
      </text>
    </comment>
    <comment ref="E363" authorId="3" shapeId="0" xr:uid="{00000000-0006-0000-0100-0000E3010000}">
      <text>
        <r>
          <rPr>
            <sz val="9"/>
            <color indexed="81"/>
            <rFont val="Segoe UI"/>
            <family val="2"/>
          </rPr>
          <t xml:space="preserve">1. Órgão
2. Setor
3. Usuário
4. Folha frequencia
</t>
        </r>
      </text>
    </comment>
    <comment ref="D366" authorId="2" shapeId="0" xr:uid="{00000000-0006-0000-0100-0000E4010000}">
      <text>
        <r>
          <rPr>
            <sz val="9"/>
            <color indexed="81"/>
            <rFont val="Segoe UI"/>
            <family val="2"/>
          </rPr>
          <t xml:space="preserve">
1 -Orgão 
2 -Setor 
3 -Nome usuário
4 -Matricula 
5 -data inicio
6 -data fim 
7 -Chefia 
8 -Regime 
9 -Data
10-Total horas diárias
11-Horas Cumpridas
12-CMD
13-MSG
</t>
        </r>
      </text>
    </comment>
    <comment ref="E366" authorId="3" shapeId="0" xr:uid="{00000000-0006-0000-0100-0000E5010000}">
      <text>
        <r>
          <rPr>
            <sz val="9"/>
            <color indexed="81"/>
            <rFont val="Segoe UI"/>
            <family val="2"/>
          </rPr>
          <t>1 - Órgão
2 - Setor
3 - Usuário
4 - Folha Frequencia
5 - Chefia Imediata SEAP
6 - Parâmetro
7 - Ocorrência</t>
        </r>
      </text>
    </comment>
    <comment ref="D367" authorId="2" shapeId="0" xr:uid="{00000000-0006-0000-0100-0000E8010000}">
      <text>
        <r>
          <rPr>
            <sz val="9"/>
            <color indexed="81"/>
            <rFont val="Segoe UI"/>
            <family val="2"/>
          </rPr>
          <t xml:space="preserve">
1 -Referencia 
2 -usuario
3 -Senha 
4 -CMD
5 -MSG</t>
        </r>
      </text>
    </comment>
    <comment ref="E367" authorId="3" shapeId="0" xr:uid="{00000000-0006-0000-0100-0000E9010000}">
      <text>
        <r>
          <rPr>
            <sz val="9"/>
            <color indexed="81"/>
            <rFont val="Segoe UI"/>
            <family val="2"/>
          </rPr>
          <t xml:space="preserve">1. Usuário
2. Folha frequencia
</t>
        </r>
      </text>
    </comment>
    <comment ref="D370" authorId="2" shapeId="0" xr:uid="{00000000-0006-0000-0100-0000EA010000}">
      <text>
        <r>
          <rPr>
            <sz val="9"/>
            <color indexed="81"/>
            <rFont val="Segoe UI"/>
            <family val="2"/>
          </rPr>
          <t xml:space="preserve">
1 -Nome usuário;
2 -Matrícula;
3 -Vínculo;
4 -CPF;
5 -Cargo;
6 -Setor;
7 -Jornada diária;
8 -Jornada semanal; 
9 -Data início;
10-Data fim;
11-Chefia imediata;
12-Matrícula gestor;
13-Ocorrencia 
14-Mes
15-ano 
16-total 
17-Total geral 
18-pontos 
19-Resultado do pilar
20-Assinatura
21-Data assinatura
22-CMD
23-MSG</t>
        </r>
      </text>
    </comment>
    <comment ref="E370" authorId="3" shapeId="0" xr:uid="{00000000-0006-0000-0100-0000EB010000}">
      <text>
        <r>
          <rPr>
            <sz val="9"/>
            <color indexed="81"/>
            <rFont val="Segoe UI"/>
            <family val="2"/>
          </rPr>
          <t>1. Órgão
2. Setor
3. Usuário
4. Folha frequencia
5. Ocorrencia</t>
        </r>
      </text>
    </comment>
    <comment ref="D371" authorId="2" shapeId="0" xr:uid="{00000000-0006-0000-0100-0000EC010000}">
      <text>
        <r>
          <rPr>
            <sz val="9"/>
            <color indexed="81"/>
            <rFont val="Segoe UI"/>
            <family val="2"/>
          </rPr>
          <t xml:space="preserve">
1 -Nome usuário;
2 -Matrícula;
3 -Vínculo;
4 -CPF;
5 -Cargo;
6 -Setor;
7 -Jornada diária;
8 -Jornada semanal; 
9 -Data início;
10-Data fim;
11-Chefia imediata;
12-Matrícula gestor;
13-Ocorrencia 
14-Mes
15-ano 
16-total 
17-Total geral 
18-pontos 
19-Resultado do pilar
20-Assinatura
21-Data assinatura
22-CMD
23-MSG</t>
        </r>
      </text>
    </comment>
    <comment ref="E371" authorId="3" shapeId="0" xr:uid="{00000000-0006-0000-0100-0000ED010000}">
      <text>
        <r>
          <rPr>
            <sz val="9"/>
            <color indexed="81"/>
            <rFont val="Segoe UI"/>
            <family val="2"/>
          </rPr>
          <t>1. Órgão
2. Setor
3. Usuário
4. Folha frequencia
5. Ocorrencia</t>
        </r>
      </text>
    </comment>
    <comment ref="D374" authorId="2" shapeId="0" xr:uid="{2248C163-B875-427F-84D3-AECA50D70EE2}">
      <text>
        <r>
          <rPr>
            <sz val="9"/>
            <color indexed="81"/>
            <rFont val="Segoe UI"/>
            <family val="2"/>
          </rPr>
          <t>1-Código
2-Evento
3-Data Inicio
4-Hora Inicio
5-Data Fim
6-Hora Fim
7-Servidor
8-Horário de Trabalho do Órgão
9-Jornada de Trabalho
10-Escala de trabalho
11-Parametro
12-Notificação
13 - Descrição crédito/débito
14 - Data transação
15 - Quantidade Horas
16 - Tipo Operação
17 - Data Expiração
18 - Tipo de Uso
19 - Quantidade Voucher
20 - Justificativa
21 - Valor saldo horas
22 - Valor saldo voucher
23 - Perfil lançar fora do horário
24 -Orgão Dispositivo
25 -setor Dispositivo
26 -tecnologia
27 -Nome dispositivo
28 -IP
29 -Latitude
30 -Longitude
31 -Data inicio
32 -Data Fim
33-Identificador
34-CMD
35-MSG</t>
        </r>
      </text>
    </comment>
    <comment ref="E374" authorId="2" shapeId="0" xr:uid="{C213FE87-2D8F-4A38-8AD8-A5873803F2C8}">
      <text>
        <r>
          <rPr>
            <sz val="9"/>
            <color indexed="81"/>
            <rFont val="Segoe UI"/>
            <family val="2"/>
          </rPr>
          <t xml:space="preserve">
1-Horário de Trabalho do Órgão
2-Jornada de Trabalho
3-Servidor
4-Escala de trabalho
5-Parametro
6-Notificação
7-Folha Frequencia
8-Transição crédito/débito
9-Usuário
10-Dispositivo</t>
        </r>
      </text>
    </comment>
    <comment ref="D377" authorId="2" shapeId="0" xr:uid="{2740C627-39BA-4673-A44D-713C3DBE0CFF}">
      <text>
        <r>
          <rPr>
            <sz val="9"/>
            <color indexed="81"/>
            <rFont val="Segoe UI"/>
            <family val="2"/>
          </rPr>
          <t>1-Código
2-Evento
3-Data Inicio
4-Hora Inicio
5-Data Fim
6-Hora Fim
7-Servidor
8-Horário de Trabalho do Órgão
9-Jornada de Trabalho
10-Escala de trabalho
11-Parametro
12-Notificação
13 - Descrição crédito/débito
14 - Data transação
15 - Quantidade Horas
16 - Tipo Operação
17 - Data Expiração
18 - Tipo de Uso
19 - Quantidade Voucher
20 - Justificativa
21 - Valor saldo horas
22 - Valor saldo voucher
23 - Perfil lançar fora do horário
24 -Orgão Dispositivo
25 -setor Dispositivo
26 -tecnologia
27 -Nome dispositivo
28 -IP
29 -Latitude
30 -Longitude
31 -Data inicio
32 -Data Fim
33-Identificador
34-CMD
35-MSG</t>
        </r>
      </text>
    </comment>
    <comment ref="E377" authorId="2" shapeId="0" xr:uid="{7458F658-EB19-4181-A7F8-3DE866248272}">
      <text>
        <r>
          <rPr>
            <sz val="9"/>
            <color indexed="81"/>
            <rFont val="Segoe UI"/>
            <family val="2"/>
          </rPr>
          <t xml:space="preserve">
1-Horário de Trabalho do Órgão
2-Jornada de Trabalho
3-Servidor
4-Escala de trabalho
5-Parametro
6-Notificação
7-Folha Frequencia
8-Transição crédito/débito
9-Usuário
10-Dispositivo</t>
        </r>
      </text>
    </comment>
    <comment ref="D380" authorId="2" shapeId="0" xr:uid="{DBCB84F5-BF13-41B1-8DE1-D9865B2AB8D5}">
      <text>
        <r>
          <rPr>
            <sz val="9"/>
            <color indexed="81"/>
            <rFont val="Segoe UI"/>
            <family val="2"/>
          </rPr>
          <t xml:space="preserve">
1 - Órgão
2 - Setor
3 - Ano Referência
4 - Mês Referência
5 - Assinatura Usuário
6 - Assinatura Gestor
7 - Nome Usuário
8 - Matrícula/Vínculo
9 -Data
10-CMD
11-MSG</t>
        </r>
      </text>
    </comment>
    <comment ref="E380" authorId="3" shapeId="0" xr:uid="{EEE0D548-4F64-425A-BC43-9F0669238FC6}">
      <text>
        <r>
          <rPr>
            <sz val="9"/>
            <color indexed="81"/>
            <rFont val="Segoe UI"/>
            <family val="2"/>
          </rPr>
          <t>1. Órgão
2. Setor
3. Usuário
4. Folha frequencia</t>
        </r>
      </text>
    </comment>
    <comment ref="D381" authorId="2" shapeId="0" xr:uid="{7837828D-8B85-428E-A50C-08524C2ACFCC}">
      <text>
        <r>
          <rPr>
            <sz val="9"/>
            <color indexed="81"/>
            <rFont val="Segoe UI"/>
            <family val="2"/>
          </rPr>
          <t xml:space="preserve">
1 - Órgão
2 - Setor
3 - Ano Referência
4 - Mês Referência
5 - Assinatura Usuário
6 - Assinatura Gestor
7 - Nome Usuário
8 - Matrícula/Vínculo
9 -Data
10-CMD
11-MSG</t>
        </r>
      </text>
    </comment>
    <comment ref="E381" authorId="3" shapeId="0" xr:uid="{D2DA21F7-31DA-4505-A2AE-747212D0F3DC}">
      <text>
        <r>
          <rPr>
            <sz val="9"/>
            <color indexed="81"/>
            <rFont val="Segoe UI"/>
            <family val="2"/>
          </rPr>
          <t>1. Órgão
2. Setor
3. Usuário
4. Folha frequencia</t>
        </r>
      </text>
    </comment>
    <comment ref="D382" authorId="2" shapeId="0" xr:uid="{7D8C2836-0909-403E-835B-B946715A5F7A}">
      <text>
        <r>
          <rPr>
            <sz val="9"/>
            <color indexed="81"/>
            <rFont val="Segoe UI"/>
            <family val="2"/>
          </rPr>
          <t xml:space="preserve">
1-usuario
2-CMD
3-MSG</t>
        </r>
      </text>
    </comment>
    <comment ref="E382" authorId="3" shapeId="0" xr:uid="{1EC5EF80-BEB2-478E-99E3-AE10E6D752D4}">
      <text>
        <r>
          <rPr>
            <sz val="9"/>
            <color indexed="81"/>
            <rFont val="Segoe UI"/>
            <family val="2"/>
          </rPr>
          <t>1. Notificação
2. Mensagem</t>
        </r>
      </text>
    </comment>
    <comment ref="D385" authorId="2" shapeId="0" xr:uid="{B0E4B7CD-9354-4F1E-B504-AF43E81169CF}">
      <text>
        <r>
          <rPr>
            <sz val="9"/>
            <color indexed="81"/>
            <rFont val="Segoe UI"/>
            <family val="2"/>
          </rPr>
          <t>1 - Código
2 - Órgão
3 - Setor
4 - Nome Servidor
5 - Código ocorrência
6 - Permanência
7 - Data e Hora Início
8 - Data e Hora Fim
9 - Nome responsável
10 - Matrícula responsavel
11 - Estado
12 - Cidade
13 - Observação
14 - Arquivo
15 - Comando
16 - Mensagem</t>
        </r>
      </text>
    </comment>
    <comment ref="E385" authorId="2" shapeId="0" xr:uid="{6A1C8296-A444-4B70-B264-4B86203C6336}">
      <text>
        <r>
          <rPr>
            <sz val="9"/>
            <color indexed="81"/>
            <rFont val="Segoe UI"/>
            <family val="2"/>
          </rPr>
          <t>1 - Servidor
2 - Ocorrencia
3 - Orgão
4 - Setor</t>
        </r>
      </text>
    </comment>
    <comment ref="D386" authorId="2" shapeId="0" xr:uid="{70A84644-9DF6-43F8-9D3F-2525D7C4CAE9}">
      <text>
        <r>
          <rPr>
            <sz val="9"/>
            <color indexed="81"/>
            <rFont val="Segoe UI"/>
            <family val="2"/>
          </rPr>
          <t xml:space="preserve">
1-Data e Hora Início;
2-Nome do responsável;
3-Matrícula/CPF do responsável;
4-Estado;
5-Cidade;
6-Observação;
7-Upload Arquivo;
8-CMD
9-MSG</t>
        </r>
      </text>
    </comment>
    <comment ref="E386" authorId="2" shapeId="0" xr:uid="{3C99F6D3-FC13-4F04-A177-8E1EADE81535}">
      <text>
        <r>
          <rPr>
            <sz val="9"/>
            <color indexed="81"/>
            <rFont val="Segoe UI"/>
            <family val="2"/>
          </rPr>
          <t xml:space="preserve">1 - Servidor
2 - Ocorrencia
3 - Orgão
4 - Setor
</t>
        </r>
      </text>
    </comment>
    <comment ref="D389" authorId="2" shapeId="0" xr:uid="{D901AA59-7B9F-43EF-B10C-1ED96F6BF8B3}">
      <text>
        <r>
          <rPr>
            <sz val="9"/>
            <color indexed="81"/>
            <rFont val="Segoe UI"/>
            <family val="2"/>
          </rPr>
          <t xml:space="preserve">
1 . Órgão
2 . Setor
3 . Nome do Usuário
4 . Data inicio
5 . Data fim 
6 . Ocorrência
7 . Permanência
8 . Codigo orgão
9 .Nome orgão 
10.Nome usuario
11.CPF 
12.Matrícula/Vínculo
13.Ocorrencia 
14.Data
15. Quantidade Total Justificada 
16.Permanência
17.Total 
18. CMD
19. MSG</t>
        </r>
      </text>
    </comment>
    <comment ref="E389" authorId="2" shapeId="0" xr:uid="{DB90F6E7-44A5-428A-B452-2E3313CD3DF5}">
      <text>
        <r>
          <rPr>
            <sz val="9"/>
            <color indexed="81"/>
            <rFont val="Segoe UI"/>
            <family val="2"/>
          </rPr>
          <t xml:space="preserve">1 - Servidor
2 - Ocorrencia
3 - Orgão
4 - Setor
</t>
        </r>
      </text>
    </comment>
    <comment ref="D390" authorId="2" shapeId="0" xr:uid="{C34B0282-621C-49A1-8366-57A4C9F3D3F0}">
      <text>
        <r>
          <rPr>
            <sz val="9"/>
            <color indexed="81"/>
            <rFont val="Segoe UI"/>
            <family val="2"/>
          </rPr>
          <t xml:space="preserve">
1. Órgão
2. Setor
3. Nome do Usuário
4. CPF
5. Matrícula/Vínculo
6. Ocorrência
7. Data
8. Quantidade uso (unidade)
9. Permanencia
10. Total (Sintético)
11. CMD
12. MSG</t>
        </r>
      </text>
    </comment>
    <comment ref="E390" authorId="2" shapeId="0" xr:uid="{AB236A38-E3E6-4B54-A02E-3F51EF170A68}">
      <text>
        <r>
          <rPr>
            <sz val="9"/>
            <color indexed="81"/>
            <rFont val="Segoe UI"/>
            <family val="2"/>
          </rPr>
          <t xml:space="preserve">1 - Servidor
2 - Ocorrencia
3 - Orgão
4 - Setor
</t>
        </r>
      </text>
    </comment>
    <comment ref="D391" authorId="2" shapeId="0" xr:uid="{9993C359-CEB2-46A2-A752-0ADF06D023D6}">
      <text>
        <r>
          <rPr>
            <sz val="9"/>
            <color indexed="81"/>
            <rFont val="Segoe UI"/>
            <family val="2"/>
          </rPr>
          <t xml:space="preserve">
1. Órgão
2. Setor
3. Nome do Usuário
4. CPF
5. Matrícula/Vínculo
6. Ocorrência
7. Data
8. Quantidade uso (unidade)
9. Permanencia
10. Total (Sintético)
11. Nome Usuário Emissão
12. Data e Hora Emissão
13. CMD
14. MSG</t>
        </r>
      </text>
    </comment>
    <comment ref="E391" authorId="2" shapeId="0" xr:uid="{3E4EEA46-B868-4945-A0D6-BD13B0B70921}">
      <text>
        <r>
          <rPr>
            <sz val="9"/>
            <color indexed="81"/>
            <rFont val="Segoe UI"/>
            <family val="2"/>
          </rPr>
          <t xml:space="preserve">1 - Servidor
2 - Ocorrencia
3 - Orgão
4 - Setor
</t>
        </r>
      </text>
    </comment>
    <comment ref="D392" authorId="2" shapeId="0" xr:uid="{F24580FA-33BB-4F98-942D-B1BA72162178}">
      <text>
        <r>
          <rPr>
            <sz val="9"/>
            <color indexed="81"/>
            <rFont val="Segoe UI"/>
            <family val="2"/>
          </rPr>
          <t xml:space="preserve">
1. Órgão
2. Setor
3. Nome do Usuário
4. CPF
5. Matrícula/Vínculo
6. Ocorrência
7. Permanência
8. Data Início
9. Data Fim
10. Quantidade uso (unidade)
11. Quantidade Total Justificada
12. CMD
13. MSG
</t>
        </r>
      </text>
    </comment>
    <comment ref="E392" authorId="2" shapeId="0" xr:uid="{D706597A-6BE6-49E7-90B9-116EBF8E7F91}">
      <text>
        <r>
          <rPr>
            <sz val="9"/>
            <color indexed="81"/>
            <rFont val="Segoe UI"/>
            <family val="2"/>
          </rPr>
          <t xml:space="preserve">1 - Servidor
2 - Ocorrencia
3 - Orgão
4 - Setor
</t>
        </r>
      </text>
    </comment>
    <comment ref="D393" authorId="2" shapeId="0" xr:uid="{921C2AA4-4E75-438D-AC8F-26AEEB6B4EF4}">
      <text>
        <r>
          <rPr>
            <sz val="9"/>
            <color indexed="81"/>
            <rFont val="Segoe UI"/>
            <family val="2"/>
          </rPr>
          <t xml:space="preserve">
1. Órgão
2. Setor
3. Nome do Usuário
4. CPF
5. Matrícula/Vínculo
6. Ocorrência
7. Quantidade uso (Unidade)
8. Quantidade Total Justificada
9. Total Qtde
10. CMD
11. MSG
</t>
        </r>
      </text>
    </comment>
    <comment ref="E393" authorId="2" shapeId="0" xr:uid="{A79CD181-44C3-4BE0-90AC-99CB75A524A1}">
      <text>
        <r>
          <rPr>
            <sz val="9"/>
            <color indexed="81"/>
            <rFont val="Segoe UI"/>
            <family val="2"/>
          </rPr>
          <t xml:space="preserve">1 - Servidor
2 - Ocorrencia
3 - Orgão
4 - Setor
</t>
        </r>
      </text>
    </comment>
    <comment ref="D394" authorId="2" shapeId="0" xr:uid="{6409B3CC-7BE4-4B7F-A0FF-805438686115}">
      <text>
        <r>
          <rPr>
            <sz val="9"/>
            <color indexed="81"/>
            <rFont val="Segoe UI"/>
            <family val="2"/>
          </rPr>
          <t xml:space="preserve">
1. Órgão
2. Setor
3. Nome do Usuário
4. CPF
5. Matrícula/Vínculo
6. Ocorrência
7. Quantidade uso (Unidade)
8. Quantidade Total Justificada
9. Total Qtde
10. Nome Usuário Emissão
11. Data e Hora Emissão
12. CMD
13. MSG
</t>
        </r>
      </text>
    </comment>
    <comment ref="E394" authorId="2" shapeId="0" xr:uid="{60648AC9-5800-4AD1-9559-8535F05B2194}">
      <text>
        <r>
          <rPr>
            <sz val="9"/>
            <color indexed="81"/>
            <rFont val="Segoe UI"/>
            <family val="2"/>
          </rPr>
          <t xml:space="preserve">1 - Servidor
2 - Ocorrencia
3 - Orgão
4 - Setor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6" authorId="0" shapeId="0" xr:uid="{00000000-0006-0000-0300-000001000000}">
      <text>
        <r>
          <rPr>
            <b/>
            <sz val="8"/>
            <color indexed="8"/>
            <rFont val="Tahoma"/>
            <family val="2"/>
          </rPr>
          <t xml:space="preserve">Técnica de estimativa do tamanho desenvolvida pela NESMA. Assume que os arquivos lógicos são de complexidade baixa e as transações são de complexidade média. 
</t>
        </r>
      </text>
    </comment>
    <comment ref="B47" authorId="0" shapeId="0" xr:uid="{00000000-0006-0000-0300-000002000000}">
      <text>
        <r>
          <rPr>
            <b/>
            <sz val="8"/>
            <color indexed="8"/>
            <rFont val="Tahoma"/>
            <family val="2"/>
          </rPr>
          <t xml:space="preserve">Técnica de estimativa do tamanho desenvolvida pela NESMA. É baseada apenas nos arquivos lógicos. Assume que cada ALI tem um peso de 35 PF e cada AIE um peso de 15 PF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9" authorId="0" shapeId="0" xr:uid="{00000000-0006-0000-0400-000001000000}">
      <text>
        <r>
          <rPr>
            <b/>
            <sz val="8"/>
            <color indexed="8"/>
            <rFont val="Tahoma"/>
            <family val="2"/>
          </rPr>
          <t xml:space="preserve">Contribuição fixa em PF independentemente do tipo da funcionalidade
</t>
        </r>
      </text>
    </comment>
    <comment ref="H46" authorId="0" shapeId="0" xr:uid="{00000000-0006-0000-0400-000002000000}">
      <text>
        <r>
          <rPr>
            <b/>
            <sz val="8"/>
            <color indexed="8"/>
            <rFont val="Tahoma"/>
            <family val="2"/>
          </rPr>
          <t xml:space="preserve">Contribuição fixa em PF para o item não funcional
</t>
        </r>
      </text>
    </comment>
  </commentList>
</comments>
</file>

<file path=xl/sharedStrings.xml><?xml version="1.0" encoding="utf-8"?>
<sst xmlns="http://schemas.openxmlformats.org/spreadsheetml/2006/main" count="1173" uniqueCount="521">
  <si>
    <t>Identificação da Contagem</t>
  </si>
  <si>
    <t>Empresa</t>
  </si>
  <si>
    <t>Secretaria de Estado de Planejamento e Gestão de Mato Grosso</t>
  </si>
  <si>
    <t>PF IFPUG</t>
  </si>
  <si>
    <t>Aplicação</t>
  </si>
  <si>
    <t>Web Ponto 2.0</t>
  </si>
  <si>
    <t>PF Local do EM</t>
  </si>
  <si>
    <t>Tipo de Contagem</t>
  </si>
  <si>
    <t>Projeto de Desenvolvimento</t>
  </si>
  <si>
    <t>PF Local da FS</t>
  </si>
  <si>
    <t>Nível de Detalhe</t>
  </si>
  <si>
    <t>Estimativa (NESMA)</t>
  </si>
  <si>
    <t>Tecnologia</t>
  </si>
  <si>
    <t>Java</t>
  </si>
  <si>
    <t>Projeto</t>
  </si>
  <si>
    <t>Desenvolvimento do produto Web Ponto 2.0</t>
  </si>
  <si>
    <t>Versão do Guia</t>
  </si>
  <si>
    <t>4.3.1</t>
  </si>
  <si>
    <t>Responsável</t>
  </si>
  <si>
    <t>Ana Karyna da Silva Teixeira</t>
  </si>
  <si>
    <t>Criação</t>
  </si>
  <si>
    <t>Revisor</t>
  </si>
  <si>
    <t>Luana Alves de Araújo Passos Aguiar</t>
  </si>
  <si>
    <t>Revisão</t>
  </si>
  <si>
    <t>Propósito da Contagem</t>
  </si>
  <si>
    <r>
      <t xml:space="preserve">Criar medição funcional para o produto de software </t>
    </r>
    <r>
      <rPr>
        <b/>
        <sz val="10"/>
        <color rgb="FF0070C0"/>
        <rFont val="Franklin Gothic Medium"/>
        <family val="2"/>
      </rPr>
      <t>Web Ponto 2.0</t>
    </r>
    <r>
      <rPr>
        <sz val="10"/>
        <rFont val="Franklin Gothic Medium"/>
        <family val="2"/>
      </rPr>
      <t xml:space="preserve"> afim de propiciar o planejamento, execução e monitoramento do processo de desenvolvimento de software do referido produto. Com destaque:
- Dar suporte à análise de qualidade e produtividade;
- Estimar o custos e recursos requeridos para o desenvolvimento, melhoria e manutenção do software;
- Fornecer um fator de normalização para a comparação de software;
- Determinar o tamanho de um pacote de aplicação adquirido, por meio do dimensionamento funcional de todas as funções incluídas no mesmo;
- Ajudar os usuários a determinar o benefício provido por um pacote de aplicação para a sua organização, por meio do dimensionamento funcional das funções que correspondam especificamente aos seus requisitos.</t>
    </r>
  </si>
  <si>
    <t>Escopo da Contagem</t>
  </si>
  <si>
    <t xml:space="preserve">Estórias de Usuário da Sprint 1, do Grupo de Atividades II
27/02/2023: Sprint 1: funcionalidades a serem desenvolvidas no Grupo II de Atividades do Contrato 014/2022/SEPLAG a respeito da OS nº 007 do Web Ponto.
</t>
  </si>
  <si>
    <t>Documentação Utilizada na Análise</t>
  </si>
  <si>
    <t>História de Usuário - US03 - Consultar órgão
História de Usuário - US04 - Consultar cargo
História de Usuário - US05 - Consultar setor
História de Usuário - US06 - Cadastrar horário de trabalho do órgão
História de Usuário - US07 - Manter código de ocorrência
História de Usuário - US08 - Parametrizar funcionalidades
História de Usuário - US10 - Manter Mensagem
História de Usuário - US11 - Manter Feriado Municipal
História de Usuário - US12 - Manter jornada de trabalho
História de Usuário - US13 - Manter template escala de trabalho</t>
  </si>
  <si>
    <t>Planilha de contagem de ponto de função - Versão 2.4</t>
  </si>
  <si>
    <t>Nome da Função</t>
  </si>
  <si>
    <t>Tipo</t>
  </si>
  <si>
    <t>Manutenção</t>
  </si>
  <si>
    <t>TD</t>
  </si>
  <si>
    <t>AR/TR</t>
  </si>
  <si>
    <t>Complex.</t>
  </si>
  <si>
    <t>ctl</t>
  </si>
  <si>
    <t>C</t>
  </si>
  <si>
    <t>ctl2</t>
  </si>
  <si>
    <t>Pacote</t>
  </si>
  <si>
    <t>Referência</t>
  </si>
  <si>
    <t>Observações</t>
  </si>
  <si>
    <t>Retorno</t>
  </si>
  <si>
    <t>Tela de Login</t>
  </si>
  <si>
    <t>EE</t>
  </si>
  <si>
    <t>COS</t>
  </si>
  <si>
    <t>História de Usuário - US03 - Consultar órgão</t>
  </si>
  <si>
    <t>Órgão</t>
  </si>
  <si>
    <t>AIE</t>
  </si>
  <si>
    <t>I</t>
  </si>
  <si>
    <t>Órgão - Listar</t>
  </si>
  <si>
    <t>CE</t>
  </si>
  <si>
    <t>História de Usuário - US04 - Consultar cargo</t>
  </si>
  <si>
    <t>Cargo</t>
  </si>
  <si>
    <t>Cargo - Listar</t>
  </si>
  <si>
    <t>História de Usuário - US05 - Consultar setor</t>
  </si>
  <si>
    <t>Setor</t>
  </si>
  <si>
    <t>Setor - Listar</t>
  </si>
  <si>
    <t>História de Usuário - US06 - Cadastrar horário de trabalho do órgão</t>
  </si>
  <si>
    <t>Horário de Trabalho do Órgão</t>
  </si>
  <si>
    <t>ALI</t>
  </si>
  <si>
    <t>Periodo</t>
  </si>
  <si>
    <t>Combo-box Órgão</t>
  </si>
  <si>
    <t>Combo-box Unidade/Setor</t>
  </si>
  <si>
    <t>Combo-box Período</t>
  </si>
  <si>
    <t>Combo-box Dia da Semana</t>
  </si>
  <si>
    <t>Horário de Trabalho do Órgão - Listar</t>
  </si>
  <si>
    <t>Horário de Trabalho do Órgão - Incluir</t>
  </si>
  <si>
    <t>Horário de Trabalho do Órgão - Excluir</t>
  </si>
  <si>
    <t>Horário de Trabalho do Órgão - Ativar/Inativar</t>
  </si>
  <si>
    <t>Horário de Trabalho do Órgão - Visualizar</t>
  </si>
  <si>
    <t>História de Usuário - US07 - Manter código de ocorrência</t>
  </si>
  <si>
    <t>Código de Ocorrência</t>
  </si>
  <si>
    <t>Tipo de Usuário</t>
  </si>
  <si>
    <t>Código de Ocorrência - Incluir</t>
  </si>
  <si>
    <t>Combo-box Tipo de Usuário</t>
  </si>
  <si>
    <t>E</t>
  </si>
  <si>
    <t>Combo-box Utilização Máxima</t>
  </si>
  <si>
    <t>Combo-box Quantidade Máxima</t>
  </si>
  <si>
    <t>Combo-box Operação</t>
  </si>
  <si>
    <t>Código de Ocorrência - Editar</t>
  </si>
  <si>
    <t>Código de Ocorrência - Consulta Implícita</t>
  </si>
  <si>
    <t>Código de Ocorrência - Listar</t>
  </si>
  <si>
    <t>Código de Ocorrência - Visualizar</t>
  </si>
  <si>
    <t>Código de Ocorrência - Ativar/Inativar</t>
  </si>
  <si>
    <t>História de Usuário - US08 - Parametrizar funcionalidades</t>
  </si>
  <si>
    <t>Parametro</t>
  </si>
  <si>
    <t>Unidade de Medida</t>
  </si>
  <si>
    <t>Combo-box Unidade de Medida</t>
  </si>
  <si>
    <t>Combo-box Tempo de Dado</t>
  </si>
  <si>
    <t>Parâmetro - Listar</t>
  </si>
  <si>
    <t>Parâmetro - Excluir</t>
  </si>
  <si>
    <t>Parametro - Ativar/Inativar</t>
  </si>
  <si>
    <t>Aba Órgão</t>
  </si>
  <si>
    <t>Parâmetro por Órgão  - Editar</t>
  </si>
  <si>
    <t>Parâmetro por Órgão  - Consulta Implícita</t>
  </si>
  <si>
    <t>Parâmetro por Órgão - Visualizar</t>
  </si>
  <si>
    <t>Aba Tipo de Vínculo</t>
  </si>
  <si>
    <t>Combo-box Ocorrência</t>
  </si>
  <si>
    <t>Parâmetro por Tipo de Vínculo - Incluir</t>
  </si>
  <si>
    <t>Parâmetro por Tipo de Vínculo - Editar</t>
  </si>
  <si>
    <t>Parâmetro por Tipo de Vínculo - Consulta Implícita</t>
  </si>
  <si>
    <t>Parâmetro por Tipo de Vínculo - Visualizar</t>
  </si>
  <si>
    <t>História de Usuário - US10 - Manter Mensagem</t>
  </si>
  <si>
    <t>Mensagem</t>
  </si>
  <si>
    <t>Tipo de Notificação</t>
  </si>
  <si>
    <t>Mensagem - Listar</t>
  </si>
  <si>
    <t>Mensagem - Incluir</t>
  </si>
  <si>
    <t>Combo-box Tipo Notificação</t>
  </si>
  <si>
    <t>Mensagem - Editar</t>
  </si>
  <si>
    <t>Mensagem - Consulta Implícita</t>
  </si>
  <si>
    <t>Mensagem - Visualizar</t>
  </si>
  <si>
    <t>Mensagem - Excluir</t>
  </si>
  <si>
    <t>Mensagem - Ativar/Inativar</t>
  </si>
  <si>
    <t>História de Usuário - US11 - Manter Feriado Municipal</t>
  </si>
  <si>
    <t>Feriado Municipal</t>
  </si>
  <si>
    <t>Município</t>
  </si>
  <si>
    <t>Combo-box Município</t>
  </si>
  <si>
    <t>Feriado Municipal - Listar</t>
  </si>
  <si>
    <t>Feriado Municipal - Incluir</t>
  </si>
  <si>
    <t>Feriado Municipal - Editar</t>
  </si>
  <si>
    <t>Feriado Municipal - Consulta Implícita</t>
  </si>
  <si>
    <t>Feriado Municipal - Visualizar</t>
  </si>
  <si>
    <t>Feriado Municipal - Excluir</t>
  </si>
  <si>
    <t>Feriado Municipal - Ativar/Inativar</t>
  </si>
  <si>
    <t>História de Usuário - US12 - Manter jornada de trabalho</t>
  </si>
  <si>
    <t>Jornada de Trabalho</t>
  </si>
  <si>
    <t>Tipo / Periodicidade</t>
  </si>
  <si>
    <t>Combo-box Tipo/Periodicidade</t>
  </si>
  <si>
    <t>Jornada de Trabalho - Listar</t>
  </si>
  <si>
    <t>Jornada de Trabalho - Incluir</t>
  </si>
  <si>
    <t>Jornada de Trabalho - Editar</t>
  </si>
  <si>
    <t>Jornada de Trabalho - Consulta Implícita</t>
  </si>
  <si>
    <t>Jornada de Trabalho - Visualizar</t>
  </si>
  <si>
    <t>Jornada de Trabalho - Excluir</t>
  </si>
  <si>
    <t>Jornada de Trabalho - Ativar/Inativar</t>
  </si>
  <si>
    <t>História de Usuário - US13 - Manter template escala de trabalho</t>
  </si>
  <si>
    <t>Template Escala de Trabalho</t>
  </si>
  <si>
    <t>Mês</t>
  </si>
  <si>
    <t>Dia do Mês</t>
  </si>
  <si>
    <t>Combo-box Jornada de Trabalho</t>
  </si>
  <si>
    <t>Template Escala de Trabalho - Listar</t>
  </si>
  <si>
    <t>Template Escala de Trabalho - Incluir</t>
  </si>
  <si>
    <t>Template Escala de Trabalho - Editar</t>
  </si>
  <si>
    <t>Template Escala de Trabalho - Consulta Implícita</t>
  </si>
  <si>
    <t>Template Escala de Trabalho - Visualizar</t>
  </si>
  <si>
    <t>Template Escala de Trabalho - Excluir</t>
  </si>
  <si>
    <t>Template Escala de Trabalho - Ativar/Inativar</t>
  </si>
  <si>
    <t>Template Escala de Trabalho - Itens da Escala - Incluir</t>
  </si>
  <si>
    <t>Template Escala de Trabalho - Itens da Escala - Editar</t>
  </si>
  <si>
    <t>Template Escala de Trabalho - Itens da Escala - Excluir</t>
  </si>
  <si>
    <t xml:space="preserve">História de Usuário - US01 - Consultar Usuário Webponto </t>
  </si>
  <si>
    <t/>
  </si>
  <si>
    <t>Servidor</t>
  </si>
  <si>
    <t>Usuário - Listar</t>
  </si>
  <si>
    <t>Aba Dados Pessoais - Visualizar</t>
  </si>
  <si>
    <t>Aba Vínculos - Visualizar</t>
  </si>
  <si>
    <t xml:space="preserve">História de Usuário - US02 - Consultar evento de lotação </t>
  </si>
  <si>
    <t>Lotação</t>
  </si>
  <si>
    <t>Função SEAP</t>
  </si>
  <si>
    <t>Aba evento de Lotação - Visualizar</t>
  </si>
  <si>
    <t>Autorizar permissão bater ponto fora da escala</t>
  </si>
  <si>
    <t>Autorizar frequencia na estação de trabalho</t>
  </si>
  <si>
    <t xml:space="preserve">História de Usuário - US14 - Escala de trabalho Usuário </t>
  </si>
  <si>
    <t>Escala de trabalho</t>
  </si>
  <si>
    <t>Chefia Imediata</t>
  </si>
  <si>
    <t>Escala de trabalho - Incluir</t>
  </si>
  <si>
    <t>Combo-box Modelo Escala de Trabalho</t>
  </si>
  <si>
    <t>Escala de trabalho - Editar</t>
  </si>
  <si>
    <t>Escala de trabalho - Consulta Implicita</t>
  </si>
  <si>
    <t>Escala de trabalho - Listar</t>
  </si>
  <si>
    <t>Escala de trabalho - Excluir</t>
  </si>
  <si>
    <t>Escala de trabalho - Visualizar</t>
  </si>
  <si>
    <t>Escala de Trabalho - Itens da Escala - Incluir</t>
  </si>
  <si>
    <t>Escala de Trabalho - Itens da Escala - Editar</t>
  </si>
  <si>
    <t>Escala de Trabalho - Itens da Escala - Excluir</t>
  </si>
  <si>
    <t>História de Usuário - US15 - Eventos do Usuário</t>
  </si>
  <si>
    <t>Evento</t>
  </si>
  <si>
    <t>Evento Executado (dados do ponto capturado no coletor)</t>
  </si>
  <si>
    <t>Evento por dia - Visualizar</t>
  </si>
  <si>
    <t>SE</t>
  </si>
  <si>
    <t>Evento por semana - Visualizar</t>
  </si>
  <si>
    <t>Evento por mês - Visualizar</t>
  </si>
  <si>
    <t>Evento por dia - Pesquisar</t>
  </si>
  <si>
    <t>Detalhes do evento - Modal</t>
  </si>
  <si>
    <t>Pesquisar Órgão / Setor</t>
  </si>
  <si>
    <t>História de Usuário - US16 - Justificar ocorrência - Atestado</t>
  </si>
  <si>
    <t>Ocorrencia</t>
  </si>
  <si>
    <t>Justifcar ocorrencia Atestado - Incluir</t>
  </si>
  <si>
    <t>Combobox Permanência</t>
  </si>
  <si>
    <t>Combobox Permanência Parcial</t>
  </si>
  <si>
    <t>Combobox Estado</t>
  </si>
  <si>
    <t>Combobox Cidade</t>
  </si>
  <si>
    <t>Combobox Motivo do Comparecimento</t>
  </si>
  <si>
    <t>Combobox Categoria</t>
  </si>
  <si>
    <t>Combobox Categoria Familiar</t>
  </si>
  <si>
    <t>Combobox Conselho</t>
  </si>
  <si>
    <t>Combobox Nº do Conselho</t>
  </si>
  <si>
    <t>Justifcar ocorrencia Atestado - Editar</t>
  </si>
  <si>
    <t>Justifcar ocorrencia Atestado - Consulta Implícita</t>
  </si>
  <si>
    <t>Justifcar ocorrencia Atestado - Visualizar</t>
  </si>
  <si>
    <t>Modal visualizar arquivo</t>
  </si>
  <si>
    <t>História de Usuário - US17 - Justificar ocorrência</t>
  </si>
  <si>
    <t>Justificar Ocorrencia - Incluir</t>
  </si>
  <si>
    <t>Combobox Matricula / CPF Responsável</t>
  </si>
  <si>
    <t>Justificar Ocorrencia - Editar</t>
  </si>
  <si>
    <t>Justificar Ocorrencia - Consulta Implícita</t>
  </si>
  <si>
    <t>Justificar Ocorrencia - Visualizar</t>
  </si>
  <si>
    <t xml:space="preserve">História de Usuário - US18 - Visualizar ocorrências </t>
  </si>
  <si>
    <t>Ocorrências  - Listar</t>
  </si>
  <si>
    <t>Combobox Situação</t>
  </si>
  <si>
    <t>Excluir Justificativa</t>
  </si>
  <si>
    <t>Visualizar histórico da movimentação – Linha do tempo</t>
  </si>
  <si>
    <t xml:space="preserve">História de Usuário - US19 - Adicionar justificativa de ocorrência - teletrabalho </t>
  </si>
  <si>
    <t>Justificar Ocorrencia - Consultar</t>
  </si>
  <si>
    <t>Justificar Ocorrencia - Excluir</t>
  </si>
  <si>
    <t>Justificar Ocorrencia - Alterar</t>
  </si>
  <si>
    <t>Justificar Ocorrencia - Alterar - Consulta Implicia</t>
  </si>
  <si>
    <t xml:space="preserve">História de Usuário - US20 - Adicionar justificativa de ocorrência - atestado </t>
  </si>
  <si>
    <t>Lançar atestado – Consulta - Incluir</t>
  </si>
  <si>
    <t>Lançar atestado – Consulta - Alterar</t>
  </si>
  <si>
    <t>Lançar atestado – Consulta - Alterar - Consulta Implicita</t>
  </si>
  <si>
    <t>Lançar atestado – Exames - Incluir</t>
  </si>
  <si>
    <t>Lançar atestado – Exames - Alterar</t>
  </si>
  <si>
    <t>Lançar atestado – Exames - Alterar - Consulta Implicita</t>
  </si>
  <si>
    <t xml:space="preserve">História de Usuário - US21 - Adicionar justificativa de ocorrência </t>
  </si>
  <si>
    <t>Justificar ocorrência – outros códigos de ocorrência - Incluir</t>
  </si>
  <si>
    <t>Justificar ocorrência – outros códigos de ocorrência - Alterar</t>
  </si>
  <si>
    <t>Justificar ocorrência – outros códigos de ocorrência - Alterar - Consulta Implicita</t>
  </si>
  <si>
    <t xml:space="preserve">História de Usuário - US22 - Adicionar justificativa de ocorrência coletiva </t>
  </si>
  <si>
    <t>Justificar ocorrência – outros códigos de ocorrência - Incluir em lote</t>
  </si>
  <si>
    <t>Combobox Órgão - Selecionados</t>
  </si>
  <si>
    <t>Combobox Unidade/Setor - Selecionados</t>
  </si>
  <si>
    <t>Combobox Usuário - Selecionados</t>
  </si>
  <si>
    <t>História de Usuário - US23 - Analisar justificativa</t>
  </si>
  <si>
    <t>Justificativas - Listar</t>
  </si>
  <si>
    <t>Visualizar Dados da justificativa de ocorrência</t>
  </si>
  <si>
    <t>Visualizar Dados da justificativa de ocorrência - Aprovar/Validar</t>
  </si>
  <si>
    <t>Visualizar Dados da justificativa de ocorrência - Reprovar</t>
  </si>
  <si>
    <t>Justificativas Convocação - Finalizar</t>
  </si>
  <si>
    <t>Justificativas Convocação - Excluir Escala</t>
  </si>
  <si>
    <t>História de Usuário - US24 - Visualizar registro de ponto</t>
  </si>
  <si>
    <t>Visualizar registro de ponto</t>
  </si>
  <si>
    <t>História de Usuário - US25 - Gerar e Assinar folha de frequência</t>
  </si>
  <si>
    <t>Folha de frequencia</t>
  </si>
  <si>
    <t>Assinar folha de frequência - Pesquisar</t>
  </si>
  <si>
    <t>Combobox Ano</t>
  </si>
  <si>
    <t>Combobox Mês</t>
  </si>
  <si>
    <t>Assinar folha de frequência - Expandir</t>
  </si>
  <si>
    <t>Assinar folha de frequência - aba Folha de Frequencia</t>
  </si>
  <si>
    <t>Assinar folha de frequência - Download Arquivo</t>
  </si>
  <si>
    <t>Assinar folha de frequência - Assinar</t>
  </si>
  <si>
    <t>História de Usuário - US26 - Imprimir folha de frequência</t>
  </si>
  <si>
    <t xml:space="preserve"> Imprimir folha de frequência</t>
  </si>
  <si>
    <t>História de Usuário - US27- Assinar folha de frequência gestor</t>
  </si>
  <si>
    <t>Assinar folha de frequencia Gestor - Pesquisar</t>
  </si>
  <si>
    <t>Assinar folha de frequência Gestor - Assinar</t>
  </si>
  <si>
    <t xml:space="preserve">História de Usuário - US28 - Regras gerais jornadas 6 horas </t>
  </si>
  <si>
    <t>Notificação</t>
  </si>
  <si>
    <t>Processar jornadas de 6 horas</t>
  </si>
  <si>
    <t>História de Usuário - US29 - Regras gerais jornadas 8 horas</t>
  </si>
  <si>
    <t>Processar jornadas de 8 horas</t>
  </si>
  <si>
    <t>História de Usuário - US30- Visualizar notificações</t>
  </si>
  <si>
    <t>Visualizar mensagens e notificações fixas (lateral)</t>
  </si>
  <si>
    <t>Visualizar mensagens e notificações fixas (lateral expandida)</t>
  </si>
  <si>
    <t>Listar mensagens e notificações (sino)</t>
  </si>
  <si>
    <t>AKST: SE pelo contador de mensagens</t>
  </si>
  <si>
    <t>Marcar mensagens e notificações como lida</t>
  </si>
  <si>
    <t>Pesquisar mensagens e notificações</t>
  </si>
  <si>
    <t>Visualizar mensagens e notificações</t>
  </si>
  <si>
    <t>Excluir mensagens e notificações</t>
  </si>
  <si>
    <t>Minimizar notificações</t>
  </si>
  <si>
    <t>Maximizar notificações</t>
  </si>
  <si>
    <t>História de Usuário - US31- Reprocessar registros de frequencia</t>
  </si>
  <si>
    <t>Pesquisar execuções evento</t>
  </si>
  <si>
    <t>Reprocessar registros de frequencia</t>
  </si>
  <si>
    <t>Visualizar log</t>
  </si>
  <si>
    <t>História de Usuário - US33- Convocar trabalho extraordinário</t>
  </si>
  <si>
    <t>Convocação Extraordinária - Incluir</t>
  </si>
  <si>
    <t>Combo-box Gestor</t>
  </si>
  <si>
    <t>História de Usuário - US37 - Cadastrar dispositivo</t>
  </si>
  <si>
    <t>Dispositivo</t>
  </si>
  <si>
    <t>Dispositivo - Listar</t>
  </si>
  <si>
    <t>Combo-box Tipo Dispositivo</t>
  </si>
  <si>
    <t>Cadastrar dispositivo</t>
  </si>
  <si>
    <t>Combo-box Tecnologia</t>
  </si>
  <si>
    <t>Editar dispositivo</t>
  </si>
  <si>
    <t>Consulta implícita</t>
  </si>
  <si>
    <t>Visualizar dispositivo</t>
  </si>
  <si>
    <t>Excluir dispositivo</t>
  </si>
  <si>
    <t>História de Usuário - US38 - Visualizar card página inicial</t>
  </si>
  <si>
    <t>Criação de e cards para direcionar para tela de Agenda e Folha</t>
  </si>
  <si>
    <t>História de Usuário - US32- Convocar serviço eleitoral</t>
  </si>
  <si>
    <t xml:space="preserve">História de Usuário - US34 - Gerar saldo-credito convocação </t>
  </si>
  <si>
    <t>Transação crédito/débito</t>
  </si>
  <si>
    <t xml:space="preserve">História de Usuário - US35 - Compensar horas </t>
  </si>
  <si>
    <t>Compensar Horas</t>
  </si>
  <si>
    <t>Compensar Horas - Consulta implicita</t>
  </si>
  <si>
    <t>AKST: SE pois calcula o saldo após resgate</t>
  </si>
  <si>
    <t>História de Usuário - US36- Visualizar extrato horas</t>
  </si>
  <si>
    <t>Visualizar extrato - Pesquisar</t>
  </si>
  <si>
    <t>AKST: SE pois calcula o saldo conforme transações em tela</t>
  </si>
  <si>
    <t>Visualizar extrato - Imprimir</t>
  </si>
  <si>
    <t>Visualizar extrato - Prorrogar</t>
  </si>
  <si>
    <t xml:space="preserve">História de Usuário - US39 - Vincular dispositivos </t>
  </si>
  <si>
    <t>Dispositivo Usuario</t>
  </si>
  <si>
    <t>Vincular dispositivo - Consulta Implícita</t>
  </si>
  <si>
    <t>Combo-box Dispositivos Disponíveis</t>
  </si>
  <si>
    <t>Vincular dispositivo - Pesquisar</t>
  </si>
  <si>
    <t>Dispositivo - Pesquisar</t>
  </si>
  <si>
    <t>Dispositivo - Vincular / Desvincular</t>
  </si>
  <si>
    <t>História de Usuário - US40 - Consultar log registros</t>
  </si>
  <si>
    <t>Consultar Log registros</t>
  </si>
  <si>
    <t>Consultar Log registros - exportar</t>
  </si>
  <si>
    <t xml:space="preserve">História de Usuário - US41 - Justificar ocorrência_Integração_SEAP </t>
  </si>
  <si>
    <t>Justificativa SEAP</t>
  </si>
  <si>
    <t>Importar dados ocorrencia SEAP - Incluir</t>
  </si>
  <si>
    <t>Importar dados ocorrencia SEAP - Excluir</t>
  </si>
  <si>
    <t xml:space="preserve">História de Usuário - US42 - Cadastrar biometria </t>
  </si>
  <si>
    <t>Biometria</t>
  </si>
  <si>
    <t>Base de Dados Webpontointegracao</t>
  </si>
  <si>
    <t>Cadastrar Biometria</t>
  </si>
  <si>
    <t>Combo-box Tipo Biometria</t>
  </si>
  <si>
    <t>Alterar Biometria</t>
  </si>
  <si>
    <t>Consulta Implícita</t>
  </si>
  <si>
    <t>Visualizar Biometria</t>
  </si>
  <si>
    <t>Carregar Imagem atual - chamada API</t>
  </si>
  <si>
    <t>História de Usuário - US44 - Reprocessar justificativas de integração</t>
  </si>
  <si>
    <t>Consultar Integração</t>
  </si>
  <si>
    <t>Reprocessar Integração</t>
  </si>
  <si>
    <t>Visualizar Log (Idem US31)</t>
  </si>
  <si>
    <t xml:space="preserve">História de Usuário - US46 - Relatório ficha usuário </t>
  </si>
  <si>
    <t>Relatório ficha dos usuários</t>
  </si>
  <si>
    <t>Relatório ficha dos usuários - Exportar</t>
  </si>
  <si>
    <t>História de Usuário - US49- Personalizar ícones menu</t>
  </si>
  <si>
    <t>Menu</t>
  </si>
  <si>
    <t>US48 - Registrar frequência estação de trabalho</t>
  </si>
  <si>
    <t>Base de Dados Politec</t>
  </si>
  <si>
    <t>Registrar frequência estação de trabalho</t>
  </si>
  <si>
    <t>Registrar frequência estação de trabalho - Consulta implicita</t>
  </si>
  <si>
    <t>US50 - Relatório faltas e descontos</t>
  </si>
  <si>
    <t>Relatório faltas e descontos</t>
  </si>
  <si>
    <t>Relatório faltas e descontos - Exportar PDF</t>
  </si>
  <si>
    <t>US51 - Relatório avaliação de desempenho</t>
  </si>
  <si>
    <t xml:space="preserve">Relatório avaliação de desempenho </t>
  </si>
  <si>
    <t xml:space="preserve">Relatório avaliação de desempenho - Assinar </t>
  </si>
  <si>
    <t>US52 - Imprimir relatório avaliação de desempenho</t>
  </si>
  <si>
    <t>Imprimir relatório avaliação de desempenho</t>
  </si>
  <si>
    <t>Imprimir relatório avaliação de desempenho - PDF</t>
  </si>
  <si>
    <t>História de Usuário - US43 / US53 / US54</t>
  </si>
  <si>
    <t>Processar jornadas educação</t>
  </si>
  <si>
    <t>Itens Não Mensuráveis</t>
  </si>
  <si>
    <t>Tipo de Manutenção na Função</t>
  </si>
  <si>
    <t>Sigla</t>
  </si>
  <si>
    <t>Contribuição em PF Local</t>
  </si>
  <si>
    <t>PF Local FS</t>
  </si>
  <si>
    <t>Contrato</t>
  </si>
  <si>
    <t>Descrição</t>
  </si>
  <si>
    <t>Origem</t>
  </si>
  <si>
    <t>Percentual (%)</t>
  </si>
  <si>
    <t>Fixa (PF)</t>
  </si>
  <si>
    <t>Adicionada</t>
  </si>
  <si>
    <t>Inclusão</t>
  </si>
  <si>
    <t>Alterada</t>
  </si>
  <si>
    <t>Alteração (sem conhecimento do Fator de Impacto)</t>
  </si>
  <si>
    <t>SISP – 4.2 Projeto de Melhoria</t>
  </si>
  <si>
    <t>A</t>
  </si>
  <si>
    <t>Excluída</t>
  </si>
  <si>
    <t>Exclusão</t>
  </si>
  <si>
    <t>Alteração (50%) de função desenvolvida ou já alterada pela empresa atual</t>
  </si>
  <si>
    <t>A50</t>
  </si>
  <si>
    <t>Alteração (75%) de função não desenv. e ainda não alterada pela empresa atual</t>
  </si>
  <si>
    <t>A75</t>
  </si>
  <si>
    <t>Alteração (75%+15%): o mesmo acima + redocumentar a função</t>
  </si>
  <si>
    <t>A90</t>
  </si>
  <si>
    <t>Migração de Dados</t>
  </si>
  <si>
    <t>SISP – 4.3 Projetos de Migração de Dados</t>
  </si>
  <si>
    <t>PMD</t>
  </si>
  <si>
    <t>Corretiva (sem conhecimento do Fator de Impacto)</t>
  </si>
  <si>
    <t>SISP – 4.4 Manutenção Corretiva</t>
  </si>
  <si>
    <t>COR</t>
  </si>
  <si>
    <t>Corretiva (50%) - Fora da garantia (mesma empresa)</t>
  </si>
  <si>
    <t>COR50</t>
  </si>
  <si>
    <t>Corretiva (75%) - Fora da garantia (outra empresa)</t>
  </si>
  <si>
    <t>COR75</t>
  </si>
  <si>
    <t>Corretiva (75%+15%) - Fora da garantia (outra empresa) + Redocumentação</t>
  </si>
  <si>
    <t>COR90</t>
  </si>
  <si>
    <t>Corretiva em Garantia</t>
  </si>
  <si>
    <t>GAR</t>
  </si>
  <si>
    <t>Mudança de Plataforma - Linguagem de Programação</t>
  </si>
  <si>
    <t>SISP – 4.5.1 Mudança de Plataforma – Linguagem de Programação</t>
  </si>
  <si>
    <t>MLP</t>
  </si>
  <si>
    <t>Mudança de Plataforma - Banco de Dados (outro paradigma)</t>
  </si>
  <si>
    <t>SISP – 4.5.2 Mudança de Plataforma – Banco de Dados</t>
  </si>
  <si>
    <t>MBO</t>
  </si>
  <si>
    <t>Mudança de Plataforma - Banco de Dados (mesmo paradigma com alterações)</t>
  </si>
  <si>
    <t>MBM</t>
  </si>
  <si>
    <t>Atualização de Versão – Linguagem de Programação</t>
  </si>
  <si>
    <t>SISP – 4.6.1 Atualização de Versão – Linguagem de Programação</t>
  </si>
  <si>
    <t>ALP</t>
  </si>
  <si>
    <t>Atualização de Versão – Browser</t>
  </si>
  <si>
    <t>SISP – 4.6.2 Atualização de Versão – Browser</t>
  </si>
  <si>
    <t>AVB</t>
  </si>
  <si>
    <t>Atualização de Versão – Banco de Dados</t>
  </si>
  <si>
    <t>SISP – 4.6.3 Atualização de Versão – Banco de Dados</t>
  </si>
  <si>
    <t>ABD</t>
  </si>
  <si>
    <t>Manutenção Cosmética</t>
  </si>
  <si>
    <t>SISP – 4.7 Manutenção Cosmética</t>
  </si>
  <si>
    <t>Adaptação em Funcionalidades sem Alteração de Requisitos Funcionais
(sem conhecimento do Fator de Impacto)</t>
  </si>
  <si>
    <t>SISP – 4.8 Adaptação em Funcionalidades sem Alteração de Requisitos Funcionais</t>
  </si>
  <si>
    <t>ARN</t>
  </si>
  <si>
    <t>Adaptação em Funcionalidades sem Alteração de Requisitos Funcionais (50%)
(em função desenvolvida ou já alterada pela empresa atual)</t>
  </si>
  <si>
    <t>ARN50</t>
  </si>
  <si>
    <t>Adaptação em Funcionalidades sem Alteração de Requisitos Funcionais (75%)
(em função não desenvolvida e ainda não alterada pela empresa atual)</t>
  </si>
  <si>
    <t>ARN75</t>
  </si>
  <si>
    <t>Atualização de Dados sem Consulta Prévia</t>
  </si>
  <si>
    <t>SISP – 4.9.1 Apuração Especial – Base de Dados</t>
  </si>
  <si>
    <t>ADS</t>
  </si>
  <si>
    <t>Consulta Prévia sem Atualização</t>
  </si>
  <si>
    <t>CPA</t>
  </si>
  <si>
    <t>Atualização de Dados com Consulta Prévia</t>
  </si>
  <si>
    <t>ADC</t>
  </si>
  <si>
    <t>Apuração Especial – Geração de Relatórios</t>
  </si>
  <si>
    <t>SISP – 4.9.2 Apuração Especial – Geração de Relatórios</t>
  </si>
  <si>
    <t>AGR</t>
  </si>
  <si>
    <t>Apuração Especial – Reexecução</t>
  </si>
  <si>
    <t>SISP – 4.9.3 Apuração Especial – Reexecução</t>
  </si>
  <si>
    <t>AER</t>
  </si>
  <si>
    <t>Atualização de Dados</t>
  </si>
  <si>
    <t>SISP – 4.10 Atualização de Dados</t>
  </si>
  <si>
    <t>ATD</t>
  </si>
  <si>
    <t>Manutenção de Documentação de Sistemas Legados</t>
  </si>
  <si>
    <t>SISP – 4.12 Manutenção de Documentação de Sistemas Legados</t>
  </si>
  <si>
    <t>MSL</t>
  </si>
  <si>
    <t>Verificação de Erros (Sem Documentação de Teste existente)</t>
  </si>
  <si>
    <t>SISP – 4.13 Verificação de Erros</t>
  </si>
  <si>
    <t>VES</t>
  </si>
  <si>
    <t>Verificação de Erros (Com Documentação de Teste existente)</t>
  </si>
  <si>
    <t>VEC</t>
  </si>
  <si>
    <t>Pontos de Função de Teste</t>
  </si>
  <si>
    <t>SISP – 4.14 Pontos de Função de Teste</t>
  </si>
  <si>
    <t>PFT</t>
  </si>
  <si>
    <t>Componente Interno Reusável</t>
  </si>
  <si>
    <t>SISP – 4.15 Componente Interno Reusável</t>
  </si>
  <si>
    <t>CIR</t>
  </si>
  <si>
    <t xml:space="preserve">           .</t>
  </si>
  <si>
    <t>Quantidade</t>
  </si>
  <si>
    <t>Páginas Estáticas</t>
  </si>
  <si>
    <t>SISP – 4.11 Desenvolvimento, Manutenção e Publicação de Paginas Estáticas de Intranet, Internet ou Portal</t>
  </si>
  <si>
    <t>PAG</t>
  </si>
  <si>
    <t>Manutenção Cosmética (atrelada a algo não funcional)</t>
  </si>
  <si>
    <t>COSNF</t>
  </si>
  <si>
    <t>Dados de Código</t>
  </si>
  <si>
    <t>DC</t>
  </si>
  <si>
    <t>Sumário da Contagem</t>
  </si>
  <si>
    <t>Tipo de Função</t>
  </si>
  <si>
    <t>Complexidade Funcional</t>
  </si>
  <si>
    <t>Total PF IFPUG por Complexidade</t>
  </si>
  <si>
    <t>%</t>
  </si>
  <si>
    <t>Total PF Local FS por tipo de manutenção básica</t>
  </si>
  <si>
    <t>Baixa</t>
  </si>
  <si>
    <t>x 3</t>
  </si>
  <si>
    <t>Média</t>
  </si>
  <si>
    <t>x 4</t>
  </si>
  <si>
    <t>Alta</t>
  </si>
  <si>
    <t>x 6</t>
  </si>
  <si>
    <t>Qtd Total</t>
  </si>
  <si>
    <t>Total</t>
  </si>
  <si>
    <t>x 5</t>
  </si>
  <si>
    <t>x 7</t>
  </si>
  <si>
    <t>x 10</t>
  </si>
  <si>
    <t>x 15</t>
  </si>
  <si>
    <t>Total PF não ajustados (contagem detalhada)</t>
  </si>
  <si>
    <t>Total PF não ajustados (contagem estimativa)</t>
  </si>
  <si>
    <t>Total PF não ajustados (contagem indicativa)</t>
  </si>
  <si>
    <t>Sumário por Deflatores e Itens não mensuráveis</t>
  </si>
  <si>
    <t>Deflatores aplicados a Itens Funcionais</t>
  </si>
  <si>
    <t>Deflator</t>
  </si>
  <si>
    <t>Contrib. Fixa</t>
  </si>
  <si>
    <t>% LOCAL</t>
  </si>
  <si>
    <t>Total IFPUG</t>
  </si>
  <si>
    <t>Itens não Funcionais (Tipo de Função)</t>
  </si>
  <si>
    <t>Escala de trabalho - Incluir Escala Automação</t>
  </si>
  <si>
    <t>US55 - Regras gerais jornada Plantonista</t>
  </si>
  <si>
    <t>Aba Jornada de Trabalho</t>
  </si>
  <si>
    <t>Parâmetro por Jornada de Trabalho - Incluir</t>
  </si>
  <si>
    <t>Parâmetro por Jornada de Trabalho - Editar</t>
  </si>
  <si>
    <t>Parâmetro por Jornada de Trabalho - Consulta Implícita</t>
  </si>
  <si>
    <t>Parâmetro por Jornada de Trabalho - Visualizar</t>
  </si>
  <si>
    <t>Solicitar Reprocessamento</t>
  </si>
  <si>
    <t>Processar jornadas plantonista</t>
  </si>
  <si>
    <t>Relatório folhas de frequência assinadas</t>
  </si>
  <si>
    <t>US56 - Relatório folhas de frequência assinadas</t>
  </si>
  <si>
    <t>Analisar Convocação</t>
  </si>
  <si>
    <t>Excluir Justificativa Coletiva</t>
  </si>
  <si>
    <t>Visualizar Dados da justificativa coletiva</t>
  </si>
  <si>
    <t>Aprovar/Validar Justifica coletiva</t>
  </si>
  <si>
    <t>Reprovar Justificativa coletiva</t>
  </si>
  <si>
    <t>Gerenciar Extrato</t>
  </si>
  <si>
    <t>Combo-box Jornada da escala ativa do evento de lotação</t>
  </si>
  <si>
    <t>Relatório folhas de frequência assinadas - Exportar</t>
  </si>
  <si>
    <t>Ativar/Inativar  permissão bater ponto dispositivo Movel</t>
  </si>
  <si>
    <t>Notificar</t>
  </si>
  <si>
    <t>AKST: Virou um SE devido ao esquema de cores relacionado a ter escalas ativas</t>
  </si>
  <si>
    <t>Fechamento de escala automatizado pela data fim da escala</t>
  </si>
  <si>
    <t>Combobox Usuário - Selecionar</t>
  </si>
  <si>
    <t xml:space="preserve">História de Usuário - US58 - Justificar ocorrência - Ajuste de evento </t>
  </si>
  <si>
    <t>Escala de trabalho - Listar Escala Regular e Escala Convocação</t>
  </si>
  <si>
    <t>Arrastar evento na agenda e abre modal de alteração/justificativa com campos preenchidos</t>
  </si>
  <si>
    <t>Justificar ocorrência - Consulta Implicita (origem da ação na US15)</t>
  </si>
  <si>
    <t>Aciona a US 58</t>
  </si>
  <si>
    <t>Justificar ocorrência - Ajusta Data e hora Evento</t>
  </si>
  <si>
    <t xml:space="preserve">História de Usuário - US57 - Relatório Justificativas Ocorrências </t>
  </si>
  <si>
    <t>Consulta relatório justificativas de ocorrência</t>
  </si>
  <si>
    <t>Consulta relatório justificativas de ocorrência - Exportar</t>
  </si>
  <si>
    <t xml:space="preserve">Consulta relatório justificativas de ocorrência aba SINTÉTICO </t>
  </si>
  <si>
    <t>Consulta relatório justificativas de ocorrência aba SINTÉTICO - Exportar</t>
  </si>
  <si>
    <t>Combobox Permanência conforme ocorrência</t>
  </si>
  <si>
    <t>Consulta relatório justificativas de ocorrência - Imprimir</t>
  </si>
  <si>
    <t>Consulta relatório justificativas de ocorrência aba SINTÉTICO - Imprimir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</si>
</sst>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* #,##0.00\ ;* \(#,##0.00\);* \-#\ ;@\ "/>
    <numFmt numFmtId="165" formatCode="dd/mm/yy"/>
    <numFmt numFmtId="166" formatCode="0.0000"/>
    <numFmt numFmtId="167" formatCode="0.0%"/>
  </numFmts>
  <fonts count="26" x14ac:knownFonts="1">
    <font>
      <sz val="10"/>
      <name val="Arial"/>
      <family val="2"/>
    </font>
    <font>
      <b/>
      <sz val="15"/>
      <color indexed="56"/>
      <name val="Calibri"/>
      <family val="2"/>
    </font>
    <font>
      <sz val="10"/>
      <name val="Franklin Gothic Medium"/>
      <family val="2"/>
    </font>
    <font>
      <b/>
      <sz val="12"/>
      <name val="Franklin Gothic Medium"/>
      <family val="2"/>
    </font>
    <font>
      <sz val="9"/>
      <color indexed="12"/>
      <name val="Franklin Gothic Medium"/>
      <family val="2"/>
    </font>
    <font>
      <sz val="9"/>
      <name val="Franklin Gothic Medium"/>
      <family val="2"/>
    </font>
    <font>
      <b/>
      <sz val="10"/>
      <name val="Franklin Gothic Medium"/>
      <family val="2"/>
    </font>
    <font>
      <b/>
      <sz val="8.5"/>
      <color indexed="63"/>
      <name val="Times New Roman"/>
      <family val="1"/>
    </font>
    <font>
      <sz val="8.5"/>
      <color indexed="63"/>
      <name val="Times New Roman"/>
      <family val="1"/>
    </font>
    <font>
      <b/>
      <sz val="8.5"/>
      <name val="Times New Roman"/>
      <family val="1"/>
    </font>
    <font>
      <sz val="8"/>
      <name val="Franklin Gothic Medium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"/>
      <color indexed="63"/>
      <name val="Franklin Gothic Medium"/>
      <family val="2"/>
    </font>
    <font>
      <b/>
      <sz val="9"/>
      <name val="Franklin Gothic Medium"/>
      <family val="2"/>
    </font>
    <font>
      <sz val="10"/>
      <name val="Arial"/>
      <family val="2"/>
    </font>
    <font>
      <sz val="8.5"/>
      <color indexed="81"/>
      <name val="Times New Roman"/>
      <family val="1"/>
    </font>
    <font>
      <sz val="9"/>
      <color theme="0"/>
      <name val="Franklin Gothic Medium"/>
      <family val="2"/>
    </font>
    <font>
      <sz val="8"/>
      <color theme="0"/>
      <name val="Franklin Gothic Medium"/>
      <family val="2"/>
    </font>
    <font>
      <b/>
      <sz val="10"/>
      <color rgb="FF0070C0"/>
      <name val="Franklin Gothic Medium"/>
      <family val="2"/>
    </font>
    <font>
      <b/>
      <sz val="8"/>
      <name val="Franklin Gothic Medium"/>
      <family val="2"/>
    </font>
    <font>
      <b/>
      <u/>
      <sz val="8"/>
      <name val="Franklin Gothic Medium"/>
      <family val="2"/>
    </font>
    <font>
      <sz val="8"/>
      <color theme="1"/>
      <name val="Franklin Gothic Medium"/>
      <family val="2"/>
    </font>
    <font>
      <sz val="9"/>
      <color indexed="81"/>
      <name val="Segoe UI"/>
      <family val="2"/>
    </font>
    <font>
      <i/>
      <sz val="10"/>
      <color rgb="FF008000"/>
      <name val="Franklin Gothic Medium"/>
      <family val="2"/>
    </font>
    <font>
      <sz val="8"/>
      <color rgb="FFFF0000"/>
      <name val="Franklin Gothic Medium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23"/>
        <bgColor indexed="55"/>
      </patternFill>
    </fill>
    <fill>
      <patternFill patternType="solid">
        <fgColor rgb="FFCCFFFF"/>
        <bgColor rgb="FFCCFFFF"/>
      </patternFill>
    </fill>
  </fills>
  <borders count="5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9" fontId="15" fillId="0" borderId="0" applyBorder="0" applyAlignment="0" applyProtection="0"/>
    <xf numFmtId="0" fontId="1" fillId="0" borderId="1" applyAlignment="0" applyProtection="0"/>
    <xf numFmtId="164" fontId="15" fillId="0" borderId="0" applyBorder="0" applyAlignment="0" applyProtection="0"/>
  </cellStyleXfs>
  <cellXfs count="185">
    <xf numFmtId="0" fontId="0" fillId="0" borderId="0" xfId="0"/>
    <xf numFmtId="0" fontId="2" fillId="0" borderId="0" xfId="0" applyFont="1"/>
    <xf numFmtId="0" fontId="4" fillId="0" borderId="2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4" fontId="10" fillId="2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4" fontId="10" fillId="2" borderId="8" xfId="0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4" fontId="5" fillId="2" borderId="10" xfId="3" applyNumberFormat="1" applyFont="1" applyFill="1" applyBorder="1" applyAlignment="1" applyProtection="1">
      <alignment horizontal="center"/>
    </xf>
    <xf numFmtId="0" fontId="13" fillId="2" borderId="3" xfId="0" applyFont="1" applyFill="1" applyBorder="1" applyAlignment="1">
      <alignment horizontal="left" vertical="center"/>
    </xf>
    <xf numFmtId="3" fontId="5" fillId="2" borderId="2" xfId="3" applyNumberFormat="1" applyFont="1" applyFill="1" applyBorder="1" applyAlignment="1" applyProtection="1">
      <alignment horizontal="center"/>
    </xf>
    <xf numFmtId="0" fontId="13" fillId="2" borderId="11" xfId="0" applyFont="1" applyFill="1" applyBorder="1" applyAlignment="1">
      <alignment horizontal="center"/>
    </xf>
    <xf numFmtId="0" fontId="4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3" fontId="5" fillId="2" borderId="12" xfId="3" applyNumberFormat="1" applyFont="1" applyFill="1" applyBorder="1" applyAlignment="1" applyProtection="1">
      <alignment horizontal="center"/>
    </xf>
    <xf numFmtId="4" fontId="5" fillId="2" borderId="13" xfId="3" applyNumberFormat="1" applyFont="1" applyFill="1" applyBorder="1" applyAlignment="1" applyProtection="1">
      <alignment horizontal="center"/>
    </xf>
    <xf numFmtId="167" fontId="5" fillId="0" borderId="0" xfId="1" applyNumberFormat="1" applyFont="1" applyBorder="1" applyAlignment="1" applyProtection="1"/>
    <xf numFmtId="167" fontId="5" fillId="0" borderId="14" xfId="1" applyNumberFormat="1" applyFont="1" applyBorder="1" applyAlignment="1" applyProtection="1"/>
    <xf numFmtId="0" fontId="5" fillId="0" borderId="1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5" fillId="2" borderId="2" xfId="0" applyNumberFormat="1" applyFont="1" applyFill="1" applyBorder="1" applyAlignment="1">
      <alignment horizontal="center"/>
    </xf>
    <xf numFmtId="2" fontId="5" fillId="2" borderId="2" xfId="0" applyNumberFormat="1" applyFont="1" applyFill="1" applyBorder="1" applyAlignment="1">
      <alignment horizontal="center"/>
    </xf>
    <xf numFmtId="10" fontId="5" fillId="2" borderId="2" xfId="1" applyNumberFormat="1" applyFont="1" applyFill="1" applyBorder="1" applyAlignment="1" applyProtection="1">
      <alignment horizontal="center"/>
    </xf>
    <xf numFmtId="2" fontId="5" fillId="0" borderId="2" xfId="1" applyNumberFormat="1" applyFont="1" applyBorder="1" applyAlignment="1" applyProtection="1">
      <alignment horizontal="center"/>
    </xf>
    <xf numFmtId="2" fontId="14" fillId="3" borderId="2" xfId="1" applyNumberFormat="1" applyFont="1" applyFill="1" applyBorder="1" applyAlignment="1" applyProtection="1">
      <alignment horizontal="center"/>
    </xf>
    <xf numFmtId="0" fontId="0" fillId="0" borderId="16" xfId="0" applyBorder="1"/>
    <xf numFmtId="0" fontId="5" fillId="0" borderId="2" xfId="0" applyFont="1" applyBorder="1" applyAlignment="1">
      <alignment horizontal="center"/>
    </xf>
    <xf numFmtId="0" fontId="0" fillId="0" borderId="17" xfId="0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14" fillId="0" borderId="21" xfId="0" applyFont="1" applyBorder="1" applyAlignment="1">
      <alignment horizontal="center"/>
    </xf>
    <xf numFmtId="0" fontId="5" fillId="0" borderId="0" xfId="0" applyFont="1"/>
    <xf numFmtId="0" fontId="5" fillId="0" borderId="16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6" xfId="0" applyFont="1" applyBorder="1"/>
    <xf numFmtId="2" fontId="5" fillId="0" borderId="16" xfId="0" applyNumberFormat="1" applyFont="1" applyBorder="1" applyAlignment="1">
      <alignment vertical="center"/>
    </xf>
    <xf numFmtId="0" fontId="5" fillId="0" borderId="14" xfId="0" applyFont="1" applyBorder="1"/>
    <xf numFmtId="0" fontId="5" fillId="0" borderId="21" xfId="0" applyFont="1" applyBorder="1"/>
    <xf numFmtId="10" fontId="5" fillId="0" borderId="14" xfId="0" applyNumberFormat="1" applyFont="1" applyBorder="1"/>
    <xf numFmtId="2" fontId="5" fillId="0" borderId="0" xfId="0" applyNumberFormat="1" applyFont="1"/>
    <xf numFmtId="0" fontId="14" fillId="0" borderId="0" xfId="0" applyFont="1"/>
    <xf numFmtId="0" fontId="5" fillId="0" borderId="22" xfId="0" applyFont="1" applyBorder="1"/>
    <xf numFmtId="0" fontId="5" fillId="0" borderId="23" xfId="0" applyFont="1" applyBorder="1"/>
    <xf numFmtId="2" fontId="5" fillId="0" borderId="16" xfId="0" applyNumberFormat="1" applyFont="1" applyBorder="1"/>
    <xf numFmtId="0" fontId="5" fillId="0" borderId="24" xfId="0" applyFont="1" applyBorder="1"/>
    <xf numFmtId="0" fontId="5" fillId="0" borderId="25" xfId="0" applyFont="1" applyBorder="1"/>
    <xf numFmtId="0" fontId="5" fillId="0" borderId="26" xfId="0" applyFont="1" applyBorder="1"/>
    <xf numFmtId="0" fontId="17" fillId="4" borderId="19" xfId="0" applyFont="1" applyFill="1" applyBorder="1" applyAlignment="1">
      <alignment horizontal="left" vertical="center" wrapText="1"/>
    </xf>
    <xf numFmtId="0" fontId="17" fillId="4" borderId="16" xfId="0" applyFont="1" applyFill="1" applyBorder="1" applyAlignment="1">
      <alignment horizontal="left" vertical="center" wrapText="1"/>
    </xf>
    <xf numFmtId="0" fontId="18" fillId="4" borderId="27" xfId="0" applyFont="1" applyFill="1" applyBorder="1" applyAlignment="1">
      <alignment horizontal="left" vertical="center"/>
    </xf>
    <xf numFmtId="0" fontId="18" fillId="4" borderId="28" xfId="0" applyFont="1" applyFill="1" applyBorder="1" applyAlignment="1">
      <alignment horizontal="left" vertical="center"/>
    </xf>
    <xf numFmtId="0" fontId="18" fillId="4" borderId="27" xfId="0" applyFont="1" applyFill="1" applyBorder="1" applyAlignment="1">
      <alignment horizontal="left"/>
    </xf>
    <xf numFmtId="0" fontId="18" fillId="4" borderId="27" xfId="0" applyFont="1" applyFill="1" applyBorder="1" applyAlignment="1">
      <alignment horizontal="center"/>
    </xf>
    <xf numFmtId="0" fontId="18" fillId="4" borderId="29" xfId="0" applyFont="1" applyFill="1" applyBorder="1" applyAlignment="1">
      <alignment horizontal="center"/>
    </xf>
    <xf numFmtId="0" fontId="18" fillId="4" borderId="28" xfId="0" applyFont="1" applyFill="1" applyBorder="1" applyAlignment="1">
      <alignment horizontal="center"/>
    </xf>
    <xf numFmtId="0" fontId="18" fillId="4" borderId="30" xfId="0" applyFont="1" applyFill="1" applyBorder="1" applyAlignment="1">
      <alignment horizontal="center"/>
    </xf>
    <xf numFmtId="0" fontId="5" fillId="0" borderId="2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164" fontId="5" fillId="0" borderId="0" xfId="3" applyFont="1" applyBorder="1" applyAlignment="1" applyProtection="1">
      <alignment horizontal="right"/>
    </xf>
    <xf numFmtId="2" fontId="5" fillId="0" borderId="0" xfId="0" applyNumberFormat="1" applyFont="1" applyAlignment="1">
      <alignment horizontal="center"/>
    </xf>
    <xf numFmtId="2" fontId="5" fillId="0" borderId="14" xfId="0" applyNumberFormat="1" applyFont="1" applyBorder="1"/>
    <xf numFmtId="0" fontId="0" fillId="0" borderId="21" xfId="0" applyBorder="1"/>
    <xf numFmtId="0" fontId="0" fillId="0" borderId="14" xfId="0" applyBorder="1"/>
    <xf numFmtId="0" fontId="14" fillId="0" borderId="0" xfId="0" applyFont="1" applyAlignment="1">
      <alignment horizontal="center"/>
    </xf>
    <xf numFmtId="0" fontId="0" fillId="0" borderId="24" xfId="0" applyBorder="1"/>
    <xf numFmtId="0" fontId="4" fillId="0" borderId="25" xfId="0" applyFont="1" applyBorder="1" applyAlignment="1">
      <alignment horizontal="center" vertical="center"/>
    </xf>
    <xf numFmtId="0" fontId="0" fillId="0" borderId="25" xfId="0" applyBorder="1"/>
    <xf numFmtId="0" fontId="4" fillId="0" borderId="25" xfId="0" applyFont="1" applyBorder="1" applyAlignment="1">
      <alignment horizontal="center"/>
    </xf>
    <xf numFmtId="1" fontId="5" fillId="0" borderId="25" xfId="0" applyNumberFormat="1" applyFont="1" applyBorder="1" applyAlignment="1">
      <alignment horizontal="center"/>
    </xf>
    <xf numFmtId="2" fontId="5" fillId="0" borderId="25" xfId="0" applyNumberFormat="1" applyFont="1" applyBorder="1" applyAlignment="1">
      <alignment horizontal="center"/>
    </xf>
    <xf numFmtId="2" fontId="5" fillId="0" borderId="25" xfId="1" applyNumberFormat="1" applyFont="1" applyBorder="1" applyAlignment="1" applyProtection="1">
      <alignment horizontal="center"/>
    </xf>
    <xf numFmtId="10" fontId="5" fillId="0" borderId="25" xfId="1" applyNumberFormat="1" applyFont="1" applyBorder="1" applyAlignment="1" applyProtection="1"/>
    <xf numFmtId="0" fontId="0" fillId="0" borderId="26" xfId="0" applyBorder="1"/>
    <xf numFmtId="10" fontId="0" fillId="0" borderId="0" xfId="0" applyNumberFormat="1"/>
    <xf numFmtId="2" fontId="5" fillId="0" borderId="0" xfId="1" applyNumberFormat="1" applyFont="1" applyBorder="1" applyAlignment="1" applyProtection="1"/>
    <xf numFmtId="0" fontId="5" fillId="0" borderId="0" xfId="0" applyFont="1" applyAlignment="1">
      <alignment horizontal="center" vertical="center"/>
    </xf>
    <xf numFmtId="2" fontId="5" fillId="0" borderId="0" xfId="1" applyNumberFormat="1" applyFont="1" applyBorder="1" applyAlignment="1" applyProtection="1">
      <alignment horizontal="center"/>
    </xf>
    <xf numFmtId="10" fontId="5" fillId="0" borderId="0" xfId="1" applyNumberFormat="1" applyFont="1" applyBorder="1" applyAlignment="1" applyProtection="1"/>
    <xf numFmtId="0" fontId="4" fillId="0" borderId="2" xfId="0" applyFont="1" applyBorder="1" applyAlignment="1">
      <alignment horizontal="left" vertical="center" wrapText="1"/>
    </xf>
    <xf numFmtId="167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4" fontId="5" fillId="2" borderId="2" xfId="3" applyNumberFormat="1" applyFont="1" applyFill="1" applyBorder="1" applyAlignment="1" applyProtection="1">
      <alignment horizontal="center" vertical="center"/>
    </xf>
    <xf numFmtId="4" fontId="5" fillId="2" borderId="10" xfId="3" applyNumberFormat="1" applyFont="1" applyFill="1" applyBorder="1" applyAlignment="1" applyProtection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67" fontId="5" fillId="2" borderId="2" xfId="0" applyNumberFormat="1" applyFont="1" applyFill="1" applyBorder="1" applyAlignment="1">
      <alignment horizontal="center" vertical="center"/>
    </xf>
    <xf numFmtId="2" fontId="5" fillId="2" borderId="2" xfId="1" applyNumberFormat="1" applyFont="1" applyFill="1" applyBorder="1" applyAlignment="1" applyProtection="1">
      <alignment horizontal="center" vertical="center"/>
    </xf>
    <xf numFmtId="10" fontId="5" fillId="2" borderId="2" xfId="1" applyNumberFormat="1" applyFont="1" applyFill="1" applyBorder="1" applyAlignment="1" applyProtection="1">
      <alignment horizontal="center" vertical="center"/>
    </xf>
    <xf numFmtId="0" fontId="5" fillId="2" borderId="31" xfId="0" applyFont="1" applyFill="1" applyBorder="1" applyAlignment="1">
      <alignment vertical="center"/>
    </xf>
    <xf numFmtId="166" fontId="5" fillId="2" borderId="31" xfId="0" applyNumberFormat="1" applyFont="1" applyFill="1" applyBorder="1" applyAlignment="1">
      <alignment vertical="center"/>
    </xf>
    <xf numFmtId="2" fontId="5" fillId="2" borderId="31" xfId="0" applyNumberFormat="1" applyFont="1" applyFill="1" applyBorder="1" applyAlignment="1">
      <alignment vertical="center"/>
    </xf>
    <xf numFmtId="2" fontId="5" fillId="2" borderId="32" xfId="0" applyNumberFormat="1" applyFont="1" applyFill="1" applyBorder="1" applyAlignment="1">
      <alignment vertical="center"/>
    </xf>
    <xf numFmtId="0" fontId="4" fillId="0" borderId="31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18" fillId="4" borderId="3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/>
    </xf>
    <xf numFmtId="0" fontId="10" fillId="0" borderId="34" xfId="0" applyFont="1" applyBorder="1" applyAlignment="1">
      <alignment horizontal="left" vertical="center" wrapText="1"/>
    </xf>
    <xf numFmtId="0" fontId="10" fillId="0" borderId="35" xfId="0" applyFont="1" applyBorder="1" applyAlignment="1">
      <alignment horizontal="left" vertical="center" wrapText="1"/>
    </xf>
    <xf numFmtId="0" fontId="20" fillId="0" borderId="34" xfId="0" applyFont="1" applyBorder="1" applyAlignment="1">
      <alignment horizontal="left" vertical="center" wrapText="1"/>
    </xf>
    <xf numFmtId="0" fontId="21" fillId="0" borderId="34" xfId="0" applyFont="1" applyBorder="1" applyAlignment="1">
      <alignment horizontal="left" vertical="center" wrapText="1"/>
    </xf>
    <xf numFmtId="0" fontId="18" fillId="4" borderId="28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2" fillId="0" borderId="4" xfId="0" applyFont="1" applyBorder="1" applyAlignment="1">
      <alignment horizontal="center" vertical="center"/>
    </xf>
    <xf numFmtId="0" fontId="18" fillId="4" borderId="46" xfId="0" applyFont="1" applyFill="1" applyBorder="1" applyAlignment="1">
      <alignment horizontal="center"/>
    </xf>
    <xf numFmtId="4" fontId="10" fillId="0" borderId="5" xfId="0" applyNumberFormat="1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24" fillId="5" borderId="48" xfId="0" applyFont="1" applyFill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25" fillId="0" borderId="6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 indent="1"/>
    </xf>
    <xf numFmtId="0" fontId="10" fillId="0" borderId="6" xfId="0" applyFont="1" applyBorder="1" applyAlignment="1">
      <alignment horizontal="left" vertical="center" wrapText="1" indent="1"/>
    </xf>
    <xf numFmtId="0" fontId="0" fillId="0" borderId="0" xfId="0" applyAlignment="1">
      <alignment horizontal="left" indent="1"/>
    </xf>
    <xf numFmtId="0" fontId="4" fillId="0" borderId="3" xfId="0" applyFont="1" applyBorder="1" applyAlignment="1">
      <alignment horizontal="left" vertical="center"/>
    </xf>
    <xf numFmtId="0" fontId="5" fillId="0" borderId="31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>
      <alignment horizontal="left" vertical="center"/>
    </xf>
    <xf numFmtId="164" fontId="5" fillId="2" borderId="10" xfId="3" applyFont="1" applyFill="1" applyBorder="1" applyAlignment="1" applyProtection="1">
      <alignment horizontal="right" indent="1"/>
    </xf>
    <xf numFmtId="0" fontId="3" fillId="0" borderId="39" xfId="0" applyFont="1" applyBorder="1" applyAlignment="1">
      <alignment horizontal="center" vertical="center"/>
    </xf>
    <xf numFmtId="0" fontId="4" fillId="0" borderId="31" xfId="0" applyFont="1" applyBorder="1" applyAlignment="1" applyProtection="1">
      <alignment horizontal="left" vertical="center"/>
      <protection locked="0"/>
    </xf>
    <xf numFmtId="0" fontId="5" fillId="0" borderId="2" xfId="0" applyFont="1" applyBorder="1" applyAlignment="1" applyProtection="1">
      <alignment horizontal="left"/>
      <protection locked="0"/>
    </xf>
    <xf numFmtId="0" fontId="5" fillId="0" borderId="10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>
      <alignment horizontal="left"/>
    </xf>
    <xf numFmtId="165" fontId="5" fillId="0" borderId="10" xfId="0" applyNumberFormat="1" applyFont="1" applyBorder="1" applyAlignment="1" applyProtection="1">
      <alignment horizontal="center"/>
      <protection locked="0"/>
    </xf>
    <xf numFmtId="0" fontId="6" fillId="2" borderId="36" xfId="0" applyFont="1" applyFill="1" applyBorder="1" applyAlignment="1">
      <alignment horizontal="center" vertical="center"/>
    </xf>
    <xf numFmtId="0" fontId="2" fillId="0" borderId="37" xfId="0" quotePrefix="1" applyFont="1" applyBorder="1" applyAlignment="1" applyProtection="1">
      <alignment horizontal="justify" vertical="top" wrapText="1"/>
      <protection locked="0"/>
    </xf>
    <xf numFmtId="0" fontId="2" fillId="0" borderId="37" xfId="0" applyFont="1" applyBorder="1" applyAlignment="1" applyProtection="1">
      <alignment horizontal="justify" vertical="top" wrapText="1"/>
      <protection locked="0"/>
    </xf>
    <xf numFmtId="0" fontId="2" fillId="0" borderId="38" xfId="0" quotePrefix="1" applyFont="1" applyBorder="1" applyAlignment="1" applyProtection="1">
      <alignment horizontal="justify" vertical="top" wrapText="1"/>
      <protection locked="0"/>
    </xf>
    <xf numFmtId="0" fontId="2" fillId="0" borderId="38" xfId="0" applyFont="1" applyBorder="1" applyAlignment="1" applyProtection="1">
      <alignment horizontal="justify" vertical="top" wrapText="1"/>
      <protection locked="0"/>
    </xf>
    <xf numFmtId="0" fontId="5" fillId="2" borderId="40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5" fillId="2" borderId="41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3" fillId="0" borderId="42" xfId="0" applyFont="1" applyBorder="1" applyAlignment="1">
      <alignment horizontal="center" vertical="center"/>
    </xf>
    <xf numFmtId="2" fontId="5" fillId="2" borderId="10" xfId="0" applyNumberFormat="1" applyFont="1" applyFill="1" applyBorder="1" applyAlignment="1">
      <alignment horizontal="left" vertical="center"/>
    </xf>
    <xf numFmtId="0" fontId="5" fillId="2" borderId="31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0" borderId="31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2" fontId="13" fillId="0" borderId="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2" fontId="13" fillId="0" borderId="12" xfId="0" applyNumberFormat="1" applyFont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 wrapText="1"/>
    </xf>
    <xf numFmtId="0" fontId="17" fillId="4" borderId="4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17" fillId="4" borderId="43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4" fillId="0" borderId="45" xfId="0" applyFont="1" applyBorder="1" applyAlignment="1">
      <alignment horizontal="center"/>
    </xf>
    <xf numFmtId="0" fontId="10" fillId="0" borderId="34" xfId="0" applyFont="1" applyFill="1" applyBorder="1" applyAlignment="1">
      <alignment horizontal="left" vertical="center" wrapText="1"/>
    </xf>
    <xf numFmtId="0" fontId="10" fillId="0" borderId="34" xfId="0" applyFont="1" applyFill="1" applyBorder="1" applyAlignment="1">
      <alignment horizontal="left" vertical="center" wrapText="1" indent="1"/>
    </xf>
    <xf numFmtId="0" fontId="20" fillId="0" borderId="34" xfId="0" applyFont="1" applyFill="1" applyBorder="1" applyAlignment="1">
      <alignment horizontal="left" vertical="center" wrapText="1"/>
    </xf>
    <xf numFmtId="0" fontId="10" fillId="0" borderId="34" xfId="0" applyFont="1" applyFill="1" applyBorder="1" applyAlignment="1">
      <alignment horizontal="left" vertical="center" wrapText="1" indent="2"/>
    </xf>
    <xf numFmtId="0" fontId="10" fillId="0" borderId="47" xfId="0" applyFont="1" applyFill="1" applyBorder="1" applyAlignment="1">
      <alignment horizontal="left" vertical="center" wrapText="1"/>
    </xf>
    <xf numFmtId="0" fontId="21" fillId="0" borderId="34" xfId="0" applyFont="1" applyFill="1" applyBorder="1" applyAlignment="1">
      <alignment horizontal="left" vertical="center" wrapText="1"/>
    </xf>
  </cellXfs>
  <cellStyles count="4">
    <cellStyle name="Normal" xfId="0" builtinId="0"/>
    <cellStyle name="Porcentagem" xfId="1" builtinId="5"/>
    <cellStyle name="TableStyleLight1" xfId="2" xr:uid="{00000000-0005-0000-0000-000002000000}"/>
    <cellStyle name="Vírgula" xfId="3" builtinId="3"/>
  </cellStyles>
  <dxfs count="24"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C0504D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F81BD"/>
      <rgbColor rgb="004BACC6"/>
      <rgbColor rgb="009BBB59"/>
      <rgbColor rgb="00FFCC00"/>
      <rgbColor rgb="00FF9900"/>
      <rgbColor rgb="00FF6600"/>
      <rgbColor rgb="008064A2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333333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% por Tipo de Função</a:t>
            </a:r>
          </a:p>
        </c:rich>
      </c:tx>
      <c:layout>
        <c:manualLayout>
          <c:xMode val="edge"/>
          <c:yMode val="edge"/>
          <c:x val="0.25274802188188017"/>
          <c:y val="0.7734375"/>
        </c:manualLayout>
      </c:layout>
      <c:overlay val="0"/>
      <c:spPr>
        <a:noFill/>
        <a:ln w="25400">
          <a:noFill/>
        </a:ln>
      </c:spPr>
    </c:title>
    <c:autoTitleDeleted val="0"/>
    <c:view3D>
      <c:rotX val="8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868245865691769"/>
          <c:y val="0.125"/>
          <c:w val="0.27472625746286011"/>
          <c:h val="0.59375"/>
        </c:manualLayout>
      </c:layout>
      <c:pie3DChart>
        <c:varyColors val="1"/>
        <c:ser>
          <c:idx val="0"/>
          <c:order val="0"/>
          <c:spPr>
            <a:solidFill>
              <a:srgbClr val="4F81BD"/>
            </a:solidFill>
            <a:ln w="3175">
              <a:solidFill>
                <a:srgbClr val="333333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48B-44C7-BB9C-9A4018A6878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3175">
                <a:solidFill>
                  <a:srgbClr val="33333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548B-44C7-BB9C-9A4018A68789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3175">
                <a:solidFill>
                  <a:srgbClr val="33333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548B-44C7-BB9C-9A4018A68789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3175">
                <a:solidFill>
                  <a:srgbClr val="33333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548B-44C7-BB9C-9A4018A68789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3175">
                <a:solidFill>
                  <a:srgbClr val="33333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548B-44C7-BB9C-9A4018A68789}"/>
              </c:ext>
            </c:extLst>
          </c:dPt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548B-44C7-BB9C-9A4018A68789}"/>
                </c:ext>
              </c:extLst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548B-44C7-BB9C-9A4018A68789}"/>
                </c:ext>
              </c:extLst>
            </c:dLbl>
            <c:dLbl>
              <c:idx val="2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548B-44C7-BB9C-9A4018A68789}"/>
                </c:ext>
              </c:extLst>
            </c:dLbl>
            <c:dLbl>
              <c:idx val="3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548B-44C7-BB9C-9A4018A68789}"/>
                </c:ext>
              </c:extLst>
            </c:dLbl>
            <c:dLbl>
              <c:idx val="4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548B-44C7-BB9C-9A4018A68789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('Sumário 1'!$B$10,'Sumário 1'!$B$17,'Sumário 1'!$B$24,'Sumário 1'!$B$31,'Sumário 1'!$B$38)</c:f>
              <c:strCache>
                <c:ptCount val="5"/>
                <c:pt idx="0">
                  <c:v>EE</c:v>
                </c:pt>
                <c:pt idx="1">
                  <c:v>SE</c:v>
                </c:pt>
                <c:pt idx="2">
                  <c:v>CE</c:v>
                </c:pt>
                <c:pt idx="3">
                  <c:v>ALI</c:v>
                </c:pt>
                <c:pt idx="4">
                  <c:v>AIE</c:v>
                </c:pt>
              </c:strCache>
            </c:strRef>
          </c:cat>
          <c:val>
            <c:numRef>
              <c:f>('Sumário 1'!$H$14,'Sumário 1'!$H$21,'Sumário 1'!$H$28,'Sumário 1'!$H$35,'Sumário 1'!$H$42)</c:f>
              <c:numCache>
                <c:formatCode>0.0%</c:formatCode>
                <c:ptCount val="5"/>
                <c:pt idx="0">
                  <c:v>0.32872503840245776</c:v>
                </c:pt>
                <c:pt idx="1">
                  <c:v>0.10445468509984639</c:v>
                </c:pt>
                <c:pt idx="2">
                  <c:v>0.40783410138248849</c:v>
                </c:pt>
                <c:pt idx="3">
                  <c:v>7.8341013824884786E-2</c:v>
                </c:pt>
                <c:pt idx="4">
                  <c:v>8.0645161290322578E-2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48B-44C7-BB9C-9A4018A68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7399498139655623"/>
          <c:y val="6.25E-2"/>
          <c:w val="0.14652053108746022"/>
          <c:h val="0.9140625"/>
        </c:manualLayout>
      </c:layout>
      <c:overlay val="0"/>
      <c:spPr>
        <a:solidFill>
          <a:srgbClr val="FFFFFF"/>
        </a:solidFill>
        <a:ln w="3175">
          <a:solidFill>
            <a:srgbClr val="333333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25400</xdr:colOff>
      <xdr:row>0</xdr:row>
      <xdr:rowOff>133935</xdr:rowOff>
    </xdr:from>
    <xdr:to>
      <xdr:col>2</xdr:col>
      <xdr:colOff>324763</xdr:colOff>
      <xdr:row>2</xdr:row>
      <xdr:rowOff>107949</xdr:rowOff>
    </xdr:to>
    <xdr:pic>
      <xdr:nvPicPr>
        <xdr:cNvPr id="1296" name="Figura 1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13393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7" name="shapetype_202" hidden="1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8" name="shapetype_202" hidden="1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9" name="shapetype_202" hidden="1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29845</xdr:colOff>
      <xdr:row>0</xdr:row>
      <xdr:rowOff>126950</xdr:rowOff>
    </xdr:from>
    <xdr:to>
      <xdr:col>0</xdr:col>
      <xdr:colOff>1197253</xdr:colOff>
      <xdr:row>2</xdr:row>
      <xdr:rowOff>84454</xdr:rowOff>
    </xdr:to>
    <xdr:pic>
      <xdr:nvPicPr>
        <xdr:cNvPr id="66585" name="Figura 1">
          <a:extLst>
            <a:ext uri="{FF2B5EF4-FFF2-40B4-BE49-F238E27FC236}">
              <a16:creationId xmlns:a16="http://schemas.microsoft.com/office/drawing/2014/main" id="{00000000-0008-0000-0100-0000190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13393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85725</xdr:rowOff>
    </xdr:from>
    <xdr:to>
      <xdr:col>1</xdr:col>
      <xdr:colOff>429538</xdr:colOff>
      <xdr:row>0</xdr:row>
      <xdr:rowOff>380414</xdr:rowOff>
    </xdr:to>
    <xdr:pic>
      <xdr:nvPicPr>
        <xdr:cNvPr id="3" name="Figura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8572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43</xdr:row>
      <xdr:rowOff>28575</xdr:rowOff>
    </xdr:from>
    <xdr:to>
      <xdr:col>11</xdr:col>
      <xdr:colOff>342900</xdr:colOff>
      <xdr:row>50</xdr:row>
      <xdr:rowOff>142875</xdr:rowOff>
    </xdr:to>
    <xdr:graphicFrame macro="">
      <xdr:nvGraphicFramePr>
        <xdr:cNvPr id="4233" name="Gráfico 3">
          <a:extLst>
            <a:ext uri="{FF2B5EF4-FFF2-40B4-BE49-F238E27FC236}">
              <a16:creationId xmlns:a16="http://schemas.microsoft.com/office/drawing/2014/main" id="{00000000-0008-0000-0300-000089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76200</xdr:colOff>
      <xdr:row>0</xdr:row>
      <xdr:rowOff>123825</xdr:rowOff>
    </xdr:from>
    <xdr:to>
      <xdr:col>2</xdr:col>
      <xdr:colOff>505738</xdr:colOff>
      <xdr:row>2</xdr:row>
      <xdr:rowOff>94664</xdr:rowOff>
    </xdr:to>
    <xdr:pic>
      <xdr:nvPicPr>
        <xdr:cNvPr id="4" name="Figura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200" y="12382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0</xdr:row>
      <xdr:rowOff>114300</xdr:rowOff>
    </xdr:from>
    <xdr:to>
      <xdr:col>1</xdr:col>
      <xdr:colOff>1115338</xdr:colOff>
      <xdr:row>2</xdr:row>
      <xdr:rowOff>85139</xdr:rowOff>
    </xdr:to>
    <xdr:pic>
      <xdr:nvPicPr>
        <xdr:cNvPr id="3" name="Figura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2400" y="114300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V45"/>
  <sheetViews>
    <sheetView showGridLines="0" zoomScale="120" zoomScaleNormal="120" zoomScaleSheetLayoutView="100" workbookViewId="0">
      <pane ySplit="3" topLeftCell="A17" activePane="bottomLeft" state="frozen"/>
      <selection activeCell="B11" sqref="B11"/>
      <selection pane="bottomLeft" activeCell="A22" sqref="A22:V45"/>
    </sheetView>
  </sheetViews>
  <sheetFormatPr defaultRowHeight="13.5" x14ac:dyDescent="0.35"/>
  <cols>
    <col min="1" max="1" width="10.453125" style="1" customWidth="1"/>
    <col min="2" max="2" width="2.81640625" style="1" customWidth="1"/>
    <col min="3" max="3" width="8.54296875" style="1" customWidth="1"/>
    <col min="4" max="4" width="4.54296875" style="1" customWidth="1"/>
    <col min="5" max="5" width="4" style="1" customWidth="1"/>
    <col min="6" max="6" width="4.54296875" style="1" customWidth="1"/>
    <col min="7" max="12" width="6" style="1" customWidth="1"/>
    <col min="13" max="13" width="18.453125" style="1" customWidth="1"/>
    <col min="14" max="14" width="8.1796875" style="1" customWidth="1"/>
    <col min="15" max="15" width="11.54296875" style="1" customWidth="1"/>
    <col min="16" max="16" width="5.81640625" style="1" customWidth="1"/>
    <col min="17" max="18" width="2.81640625" style="1" customWidth="1"/>
    <col min="19" max="19" width="8" style="1" customWidth="1"/>
    <col min="20" max="22" width="2.81640625" style="1" customWidth="1"/>
  </cols>
  <sheetData>
    <row r="1" spans="1:22" ht="12.5" x14ac:dyDescent="0.25">
      <c r="A1" s="139" t="s">
        <v>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</row>
    <row r="2" spans="1:22" ht="12.5" x14ac:dyDescent="0.25">
      <c r="A2" s="139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</row>
    <row r="3" spans="1:22" ht="12.5" x14ac:dyDescent="0.25">
      <c r="A3" s="139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</row>
    <row r="4" spans="1:22" x14ac:dyDescent="0.35">
      <c r="A4" s="135" t="s">
        <v>1</v>
      </c>
      <c r="B4" s="135"/>
      <c r="C4" s="135"/>
      <c r="D4" s="135"/>
      <c r="E4" s="135"/>
      <c r="F4" s="136" t="s">
        <v>2</v>
      </c>
      <c r="G4" s="136"/>
      <c r="H4" s="136"/>
      <c r="I4" s="136"/>
      <c r="J4" s="136"/>
      <c r="K4" s="136"/>
      <c r="L4" s="136"/>
      <c r="M4" s="136"/>
      <c r="N4" s="136"/>
      <c r="O4" s="140" t="s">
        <v>3</v>
      </c>
      <c r="P4" s="140"/>
      <c r="Q4" s="138">
        <f>Funções!L4</f>
        <v>1302</v>
      </c>
      <c r="R4" s="138"/>
      <c r="S4" s="138"/>
      <c r="T4" s="138"/>
      <c r="U4" s="138"/>
      <c r="V4" s="138"/>
    </row>
    <row r="5" spans="1:22" x14ac:dyDescent="0.35">
      <c r="A5" s="135" t="s">
        <v>4</v>
      </c>
      <c r="B5" s="135"/>
      <c r="C5" s="135"/>
      <c r="D5" s="135"/>
      <c r="E5" s="135"/>
      <c r="F5" s="136" t="s">
        <v>5</v>
      </c>
      <c r="G5" s="136"/>
      <c r="H5" s="136"/>
      <c r="I5" s="136"/>
      <c r="J5" s="136"/>
      <c r="K5" s="136"/>
      <c r="L5" s="136"/>
      <c r="M5" s="136"/>
      <c r="N5" s="136"/>
      <c r="O5" s="137" t="s">
        <v>6</v>
      </c>
      <c r="P5" s="137"/>
      <c r="Q5" s="138">
        <f>Funções!L5</f>
        <v>1302</v>
      </c>
      <c r="R5" s="138"/>
      <c r="S5" s="138"/>
      <c r="T5" s="138"/>
      <c r="U5" s="138"/>
      <c r="V5" s="138"/>
    </row>
    <row r="6" spans="1:22" x14ac:dyDescent="0.35">
      <c r="A6" s="135" t="s">
        <v>7</v>
      </c>
      <c r="B6" s="135"/>
      <c r="C6" s="135"/>
      <c r="D6" s="135"/>
      <c r="E6" s="135"/>
      <c r="F6" s="141" t="s">
        <v>8</v>
      </c>
      <c r="G6" s="141"/>
      <c r="H6" s="141"/>
      <c r="I6" s="141"/>
      <c r="J6" s="141"/>
      <c r="K6" s="141"/>
      <c r="L6" s="141"/>
      <c r="M6" s="141"/>
      <c r="N6" s="141"/>
      <c r="O6" s="137" t="s">
        <v>9</v>
      </c>
      <c r="P6" s="137"/>
      <c r="Q6" s="138">
        <f>Funções!L6</f>
        <v>1288.5999999999999</v>
      </c>
      <c r="R6" s="138"/>
      <c r="S6" s="138"/>
      <c r="T6" s="138"/>
      <c r="U6" s="138"/>
      <c r="V6" s="138"/>
    </row>
    <row r="7" spans="1:22" ht="12.5" x14ac:dyDescent="0.25">
      <c r="A7" s="135" t="s">
        <v>10</v>
      </c>
      <c r="B7" s="135"/>
      <c r="C7" s="135"/>
      <c r="D7" s="135"/>
      <c r="E7" s="135"/>
      <c r="F7" s="136" t="s">
        <v>11</v>
      </c>
      <c r="G7" s="136"/>
      <c r="H7" s="136"/>
      <c r="I7" s="136"/>
      <c r="J7" s="136"/>
      <c r="K7" s="136"/>
      <c r="L7" s="136"/>
      <c r="M7" s="136"/>
      <c r="N7" s="136"/>
      <c r="O7" s="137" t="s">
        <v>12</v>
      </c>
      <c r="P7" s="137"/>
      <c r="Q7" s="137"/>
      <c r="R7" s="142" t="s">
        <v>13</v>
      </c>
      <c r="S7" s="142"/>
      <c r="T7" s="142"/>
      <c r="U7" s="142"/>
      <c r="V7" s="142"/>
    </row>
    <row r="8" spans="1:22" ht="12.5" x14ac:dyDescent="0.25">
      <c r="A8" s="135" t="s">
        <v>14</v>
      </c>
      <c r="B8" s="135"/>
      <c r="C8" s="135"/>
      <c r="D8" s="135"/>
      <c r="E8" s="135"/>
      <c r="F8" s="136" t="s">
        <v>15</v>
      </c>
      <c r="G8" s="136"/>
      <c r="H8" s="136"/>
      <c r="I8" s="136"/>
      <c r="J8" s="136"/>
      <c r="K8" s="136"/>
      <c r="L8" s="136"/>
      <c r="M8" s="136"/>
      <c r="N8" s="136"/>
      <c r="O8" s="137" t="s">
        <v>16</v>
      </c>
      <c r="P8" s="137"/>
      <c r="Q8" s="137"/>
      <c r="R8" s="142" t="s">
        <v>17</v>
      </c>
      <c r="S8" s="142"/>
      <c r="T8" s="142"/>
      <c r="U8" s="142"/>
      <c r="V8" s="142"/>
    </row>
    <row r="9" spans="1:22" x14ac:dyDescent="0.35">
      <c r="A9" s="135" t="s">
        <v>18</v>
      </c>
      <c r="B9" s="135"/>
      <c r="C9" s="135"/>
      <c r="D9" s="135"/>
      <c r="E9" s="135"/>
      <c r="F9" s="141" t="s">
        <v>19</v>
      </c>
      <c r="G9" s="141"/>
      <c r="H9" s="141"/>
      <c r="I9" s="141"/>
      <c r="J9" s="141"/>
      <c r="K9" s="141"/>
      <c r="L9" s="141"/>
      <c r="M9" s="141"/>
      <c r="N9" s="141"/>
      <c r="O9" s="143" t="s">
        <v>20</v>
      </c>
      <c r="P9" s="143"/>
      <c r="Q9" s="143"/>
      <c r="R9" s="144">
        <v>45103</v>
      </c>
      <c r="S9" s="144"/>
      <c r="T9" s="144"/>
      <c r="U9" s="144"/>
      <c r="V9" s="144"/>
    </row>
    <row r="10" spans="1:22" x14ac:dyDescent="0.35">
      <c r="A10" s="135" t="s">
        <v>21</v>
      </c>
      <c r="B10" s="135"/>
      <c r="C10" s="135"/>
      <c r="D10" s="135"/>
      <c r="E10" s="135"/>
      <c r="F10" s="141" t="s">
        <v>22</v>
      </c>
      <c r="G10" s="141"/>
      <c r="H10" s="141"/>
      <c r="I10" s="141"/>
      <c r="J10" s="141"/>
      <c r="K10" s="141"/>
      <c r="L10" s="141"/>
      <c r="M10" s="141"/>
      <c r="N10" s="141"/>
      <c r="O10" s="143" t="s">
        <v>23</v>
      </c>
      <c r="P10" s="143"/>
      <c r="Q10" s="143"/>
      <c r="R10" s="144"/>
      <c r="S10" s="144"/>
      <c r="T10" s="144"/>
      <c r="U10" s="144"/>
      <c r="V10" s="144"/>
    </row>
    <row r="11" spans="1:22" x14ac:dyDescent="0.25">
      <c r="A11" s="145" t="s">
        <v>24</v>
      </c>
      <c r="B11" s="145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</row>
    <row r="12" spans="1:22" ht="12.5" x14ac:dyDescent="0.25">
      <c r="A12" s="147" t="s">
        <v>25</v>
      </c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</row>
    <row r="13" spans="1:22" ht="12.5" x14ac:dyDescent="0.25">
      <c r="A13" s="147"/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</row>
    <row r="14" spans="1:22" ht="12.5" x14ac:dyDescent="0.25">
      <c r="A14" s="147"/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</row>
    <row r="15" spans="1:22" ht="90.75" customHeight="1" x14ac:dyDescent="0.25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</row>
    <row r="16" spans="1:22" x14ac:dyDescent="0.25">
      <c r="A16" s="145" t="s">
        <v>26</v>
      </c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</row>
    <row r="17" spans="1:22" ht="12.5" x14ac:dyDescent="0.25">
      <c r="A17" s="146" t="s">
        <v>27</v>
      </c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</row>
    <row r="18" spans="1:22" ht="12.5" x14ac:dyDescent="0.25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</row>
    <row r="19" spans="1:22" ht="13.5" customHeight="1" x14ac:dyDescent="0.25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</row>
    <row r="20" spans="1:22" ht="19.5" customHeight="1" x14ac:dyDescent="0.25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</row>
    <row r="21" spans="1:22" x14ac:dyDescent="0.25">
      <c r="A21" s="145" t="s">
        <v>28</v>
      </c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</row>
    <row r="22" spans="1:22" ht="12.5" x14ac:dyDescent="0.25">
      <c r="A22" s="148" t="s">
        <v>29</v>
      </c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</row>
    <row r="23" spans="1:22" ht="12.5" x14ac:dyDescent="0.25">
      <c r="A23" s="149"/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</row>
    <row r="24" spans="1:22" ht="12.5" x14ac:dyDescent="0.25">
      <c r="A24" s="149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</row>
    <row r="25" spans="1:22" ht="12.5" x14ac:dyDescent="0.25">
      <c r="A25" s="149"/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</row>
    <row r="26" spans="1:22" ht="12.5" x14ac:dyDescent="0.25">
      <c r="A26" s="149"/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</row>
    <row r="27" spans="1:22" ht="12.5" x14ac:dyDescent="0.25">
      <c r="A27" s="149"/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</row>
    <row r="28" spans="1:22" ht="12.5" x14ac:dyDescent="0.25">
      <c r="A28" s="149"/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</row>
    <row r="29" spans="1:22" ht="12.5" x14ac:dyDescent="0.25">
      <c r="A29" s="149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</row>
    <row r="30" spans="1:22" ht="12.5" x14ac:dyDescent="0.25">
      <c r="A30" s="149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</row>
    <row r="31" spans="1:22" ht="12.5" x14ac:dyDescent="0.25">
      <c r="A31" s="149"/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</row>
    <row r="32" spans="1:22" ht="12.5" x14ac:dyDescent="0.25">
      <c r="A32" s="149"/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</row>
    <row r="33" spans="1:22" ht="12.5" x14ac:dyDescent="0.25">
      <c r="A33" s="149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</row>
    <row r="34" spans="1:22" ht="12.5" x14ac:dyDescent="0.25">
      <c r="A34" s="149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</row>
    <row r="35" spans="1:22" ht="12.5" x14ac:dyDescent="0.25">
      <c r="A35" s="149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</row>
    <row r="36" spans="1:22" ht="12.5" x14ac:dyDescent="0.25">
      <c r="A36" s="149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</row>
    <row r="37" spans="1:22" ht="12.5" x14ac:dyDescent="0.25">
      <c r="A37" s="149"/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</row>
    <row r="38" spans="1:22" ht="12.5" x14ac:dyDescent="0.25">
      <c r="A38" s="149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</row>
    <row r="39" spans="1:22" ht="12.5" x14ac:dyDescent="0.25">
      <c r="A39" s="149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</row>
    <row r="40" spans="1:22" ht="12.5" x14ac:dyDescent="0.25">
      <c r="A40" s="149"/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</row>
    <row r="41" spans="1:22" ht="12.5" x14ac:dyDescent="0.25">
      <c r="A41" s="149"/>
      <c r="B41" s="149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</row>
    <row r="42" spans="1:22" ht="12.5" x14ac:dyDescent="0.25">
      <c r="A42" s="149"/>
      <c r="B42" s="149"/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</row>
    <row r="43" spans="1:22" ht="12.5" x14ac:dyDescent="0.25">
      <c r="A43" s="149"/>
      <c r="B43" s="149"/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</row>
    <row r="44" spans="1:22" ht="12.5" x14ac:dyDescent="0.25">
      <c r="A44" s="149"/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</row>
    <row r="45" spans="1:22" ht="18" customHeight="1" x14ac:dyDescent="0.25">
      <c r="A45" s="149"/>
      <c r="B45" s="149"/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</row>
  </sheetData>
  <sheetProtection selectLockedCells="1" selectUnlockedCells="1"/>
  <mergeCells count="35">
    <mergeCell ref="A16:V16"/>
    <mergeCell ref="A17:V20"/>
    <mergeCell ref="A21:V21"/>
    <mergeCell ref="A22:V45"/>
    <mergeCell ref="A10:E10"/>
    <mergeCell ref="F10:N10"/>
    <mergeCell ref="O10:Q10"/>
    <mergeCell ref="R10:V10"/>
    <mergeCell ref="A11:V11"/>
    <mergeCell ref="A12:V15"/>
    <mergeCell ref="A8:E8"/>
    <mergeCell ref="F8:N8"/>
    <mergeCell ref="O8:Q8"/>
    <mergeCell ref="R8:V8"/>
    <mergeCell ref="A9:E9"/>
    <mergeCell ref="F9:N9"/>
    <mergeCell ref="O9:Q9"/>
    <mergeCell ref="R9:V9"/>
    <mergeCell ref="A6:E6"/>
    <mergeCell ref="F6:N6"/>
    <mergeCell ref="O6:P6"/>
    <mergeCell ref="Q6:V6"/>
    <mergeCell ref="A7:E7"/>
    <mergeCell ref="F7:N7"/>
    <mergeCell ref="O7:Q7"/>
    <mergeCell ref="R7:V7"/>
    <mergeCell ref="A5:E5"/>
    <mergeCell ref="F5:N5"/>
    <mergeCell ref="O5:P5"/>
    <mergeCell ref="Q5:V5"/>
    <mergeCell ref="A1:V3"/>
    <mergeCell ref="A4:E4"/>
    <mergeCell ref="F4:N4"/>
    <mergeCell ref="O4:P4"/>
    <mergeCell ref="Q4:V4"/>
  </mergeCells>
  <dataValidations count="3">
    <dataValidation type="list" operator="equal" allowBlank="1" showErrorMessage="1" sqref="F6" xr:uid="{00000000-0002-0000-0000-000000000000}">
      <formula1>"Aplicação,Projeto de Desenvolvimento,Projeto de Melhoria"</formula1>
      <formula2>0</formula2>
    </dataValidation>
    <dataValidation type="list" operator="equal" allowBlank="1" showErrorMessage="1" sqref="G6:N7" xr:uid="{00000000-0002-0000-0000-000001000000}">
      <formula1>"Aplicação,Estimativa,Projeto de Desenvolvimento,Projeto de Melhoria"</formula1>
      <formula2>0</formula2>
    </dataValidation>
    <dataValidation type="list" operator="equal" allowBlank="1" showErrorMessage="1" promptTitle="Método de COntagem" prompt="Detalhada (IFPUG)_x000a_Estimativa (NESMA)_x000a_Indicativa (NESMA)" sqref="F7" xr:uid="{00000000-0002-0000-0000-000002000000}">
      <formula1>"Detalhada (IFPUG),Estimativa (NESMA),Indicativa (NESMA)"</formula1>
      <formula2>0</formula2>
    </dataValidation>
  </dataValidations>
  <pageMargins left="0.78749999999999998" right="0.78749999999999998" top="0.78749999999999998" bottom="0.78749999999999998" header="0.51180555555555551" footer="0.51180555555555551"/>
  <pageSetup paperSize="9" scale="59" firstPageNumber="0" orientation="portrait" horizontalDpi="300" verticalDpi="300" r:id="rId1"/>
  <headerFooter alignWithMargins="0">
    <oddFooter>&amp;R&amp;"Tahoma,Normal"&amp;8&amp;F - &amp;A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>
    <pageSetUpPr fitToPage="1"/>
  </sheetPr>
  <dimension ref="A1:P824"/>
  <sheetViews>
    <sheetView showGridLines="0" tabSelected="1" zoomScale="115" zoomScaleNormal="115" zoomScaleSheetLayoutView="100" workbookViewId="0">
      <pane ySplit="7" topLeftCell="A8" activePane="bottomLeft" state="frozen"/>
      <selection activeCell="B11" sqref="B11"/>
      <selection pane="bottomLeft" activeCell="A8" sqref="A8"/>
    </sheetView>
  </sheetViews>
  <sheetFormatPr defaultRowHeight="12.5" x14ac:dyDescent="0.25"/>
  <cols>
    <col min="1" max="1" width="60" customWidth="1"/>
    <col min="2" max="2" width="5" customWidth="1"/>
    <col min="3" max="3" width="10.453125" customWidth="1"/>
    <col min="4" max="4" width="3.81640625" customWidth="1"/>
    <col min="5" max="5" width="6.1796875" customWidth="1"/>
    <col min="6" max="6" width="8" customWidth="1"/>
    <col min="7" max="7" width="3.81640625" hidden="1" customWidth="1"/>
    <col min="8" max="8" width="12" customWidth="1"/>
    <col min="9" max="9" width="4" hidden="1" customWidth="1"/>
    <col min="10" max="10" width="4.453125" hidden="1" customWidth="1"/>
    <col min="11" max="11" width="12.54296875" customWidth="1"/>
    <col min="12" max="12" width="12" customWidth="1"/>
    <col min="13" max="13" width="6.81640625" customWidth="1"/>
    <col min="14" max="14" width="7.453125" style="124" customWidth="1"/>
    <col min="15" max="15" width="37.453125" customWidth="1"/>
    <col min="16" max="16" width="12.1796875" bestFit="1" customWidth="1"/>
  </cols>
  <sheetData>
    <row r="1" spans="1:16" ht="13" thickBot="1" x14ac:dyDescent="0.3">
      <c r="A1" s="154" t="s">
        <v>30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</row>
    <row r="2" spans="1:16" ht="13" thickBot="1" x14ac:dyDescent="0.3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</row>
    <row r="3" spans="1:16" x14ac:dyDescent="0.25">
      <c r="A3" s="154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6" x14ac:dyDescent="0.25">
      <c r="A4" s="3" t="str">
        <f>Contagem!A5&amp;" : "&amp;Contagem!F5</f>
        <v>Aplicação : Web Ponto 2.0</v>
      </c>
      <c r="B4" s="156" t="str">
        <f>Contagem!A8&amp;" : "&amp;Contagem!F8</f>
        <v>Projeto : Desenvolvimento do produto Web Ponto 2.0</v>
      </c>
      <c r="C4" s="157"/>
      <c r="D4" s="157"/>
      <c r="E4" s="157"/>
      <c r="F4" s="157"/>
      <c r="G4" s="157"/>
      <c r="H4" s="157"/>
      <c r="I4" s="157"/>
      <c r="J4" s="158"/>
      <c r="K4" s="107" t="s">
        <v>3</v>
      </c>
      <c r="L4" s="110">
        <f>SUM(H11:H824)</f>
        <v>1302</v>
      </c>
      <c r="M4" s="153"/>
      <c r="N4" s="153"/>
      <c r="O4" s="153"/>
    </row>
    <row r="5" spans="1:16" x14ac:dyDescent="0.25">
      <c r="A5" s="3" t="str">
        <f>Contagem!A9&amp;" : "&amp;Contagem!F9</f>
        <v>Responsável : Ana Karyna da Silva Teixeira</v>
      </c>
      <c r="B5" s="156" t="str">
        <f>Contagem!A10&amp;" : "&amp;Contagem!F10</f>
        <v>Revisor : Luana Alves de Araújo Passos Aguiar</v>
      </c>
      <c r="C5" s="157"/>
      <c r="D5" s="157"/>
      <c r="E5" s="157"/>
      <c r="F5" s="157"/>
      <c r="G5" s="157"/>
      <c r="H5" s="157"/>
      <c r="I5" s="157"/>
      <c r="J5" s="158"/>
      <c r="K5" s="109" t="s">
        <v>6</v>
      </c>
      <c r="L5" s="110">
        <f>SUM(K11:K824)</f>
        <v>1302</v>
      </c>
      <c r="M5" s="155"/>
      <c r="N5" s="155"/>
      <c r="O5" s="155"/>
    </row>
    <row r="6" spans="1:16" x14ac:dyDescent="0.25">
      <c r="A6" s="115" t="str">
        <f>Contagem!A4&amp;" : "&amp;Contagem!F4</f>
        <v>Empresa : Secretaria de Estado de Planejamento e Gestão de Mato Grosso</v>
      </c>
      <c r="B6" s="150" t="str">
        <f>"Tipo da Contagem : "&amp;Contagem!F6</f>
        <v>Tipo da Contagem : Projeto de Desenvolvimento</v>
      </c>
      <c r="C6" s="151"/>
      <c r="D6" s="151"/>
      <c r="E6" s="151"/>
      <c r="F6" s="151"/>
      <c r="G6" s="151"/>
      <c r="H6" s="151"/>
      <c r="I6" s="151"/>
      <c r="J6" s="152"/>
      <c r="K6" s="108" t="s">
        <v>9</v>
      </c>
      <c r="L6" s="110">
        <f>SUM(L11:L824)</f>
        <v>1288.5999999999999</v>
      </c>
      <c r="M6" s="153"/>
      <c r="N6" s="153"/>
      <c r="O6" s="153"/>
    </row>
    <row r="7" spans="1:16" ht="13.5" customHeight="1" x14ac:dyDescent="0.3">
      <c r="A7" s="114" t="s">
        <v>31</v>
      </c>
      <c r="B7" s="67" t="s">
        <v>32</v>
      </c>
      <c r="C7" s="68" t="s">
        <v>33</v>
      </c>
      <c r="D7" s="69" t="s">
        <v>34</v>
      </c>
      <c r="E7" s="69" t="s">
        <v>35</v>
      </c>
      <c r="F7" s="69" t="s">
        <v>36</v>
      </c>
      <c r="G7" s="70" t="s">
        <v>37</v>
      </c>
      <c r="H7" s="70" t="s">
        <v>3</v>
      </c>
      <c r="I7" s="118" t="s">
        <v>38</v>
      </c>
      <c r="J7" s="118" t="s">
        <v>39</v>
      </c>
      <c r="K7" s="70" t="s">
        <v>6</v>
      </c>
      <c r="L7" s="71" t="s">
        <v>9</v>
      </c>
      <c r="M7" s="72" t="s">
        <v>40</v>
      </c>
      <c r="N7" s="123" t="s">
        <v>41</v>
      </c>
      <c r="O7" s="73" t="s">
        <v>42</v>
      </c>
      <c r="P7" s="126" t="s">
        <v>43</v>
      </c>
    </row>
    <row r="8" spans="1:16" x14ac:dyDescent="0.25">
      <c r="A8" s="121" t="s">
        <v>44</v>
      </c>
      <c r="B8" s="4"/>
      <c r="C8" s="4"/>
      <c r="D8" s="7"/>
      <c r="E8" s="7"/>
      <c r="F8" s="116" t="str">
        <f t="shared" ref="F8" si="0">IF(ISBLANK(B8),"",IF(I8="L","Baixa",IF(I8="A","Média",IF(I8="","","Alta"))))</f>
        <v/>
      </c>
      <c r="G8" s="7" t="str">
        <f t="shared" ref="G8" si="1">CONCATENATE(B8,I8)</f>
        <v/>
      </c>
      <c r="H8" s="7" t="str">
        <f t="shared" ref="H8" si="2">IF(ISBLANK(B8),"",IF(B8="ALI",IF(I8="L",7,IF(I8="A",10,15)),IF(B8="AIE",IF(I8="L",5,IF(I8="A",7,10)),IF(B8="SE",IF(I8="L",4,IF(I8="A",5,7)),IF(OR(B8="EE",B8="CE"),IF(I8="L",3,IF(I8="A",4,6)),0)))))</f>
        <v/>
      </c>
      <c r="I8" s="116" t="str">
        <f t="shared" ref="I8" si="3">IF(OR(ISBLANK(D8),ISBLANK(E8)),IF(OR(B8="ALI",B8="AIE"),"L",IF(OR(B8="EE",B8="SE",B8="CE"),"A","")),IF(B8="EE",IF(E8&gt;=3,IF(D8&gt;=5,"H","A"),IF(E8&gt;=2,IF(D8&gt;=16,"H",IF(D8&lt;=4,"L","A")),IF(D8&lt;=15,"L","A"))),IF(OR(B8="SE",B8="CE"),IF(E8&gt;=4,IF(D8&gt;=6,"H","A"),IF(E8&gt;=2,IF(D8&gt;=20,"H",IF(D8&lt;=5,"L","A")),IF(D8&lt;=19,"L","A"))),IF(OR(B8="ALI",B8="AIE"),IF(E8&gt;=6,IF(D8&gt;=20,"H","A"),IF(E8&gt;=2,IF(D8&gt;=51,"H",IF(D8&lt;=19,"L","A")),IF(D8&lt;=50,"L","A"))),""))))</f>
        <v/>
      </c>
      <c r="J8" s="7" t="str">
        <f t="shared" ref="J8" si="4">CONCATENATE(B8,C8)</f>
        <v/>
      </c>
      <c r="K8" s="127" t="str">
        <f t="shared" ref="K8" si="5">IF(OR(H8="",H8=0),L8,H8)</f>
        <v/>
      </c>
      <c r="L8" s="127" t="str">
        <f>IF(NOT(ISERROR(VLOOKUP(B8,Deflatores!G$42:H$64,2,FALSE))),VLOOKUP(B8,Deflatores!G$42:H$64,2,FALSE),IF(OR(ISBLANK(C8),ISBLANK(B8)),"",VLOOKUP(C8,Deflatores!G$4:H$38,2,FALSE)*H8+VLOOKUP(C8,Deflatores!G$4:I$38,3,FALSE)))</f>
        <v/>
      </c>
      <c r="M8" s="10"/>
      <c r="N8" s="10"/>
      <c r="O8" s="6"/>
    </row>
    <row r="9" spans="1:16" x14ac:dyDescent="0.25">
      <c r="A9" s="119" t="s">
        <v>44</v>
      </c>
      <c r="B9" s="4" t="s">
        <v>45</v>
      </c>
      <c r="C9" s="4" t="s">
        <v>46</v>
      </c>
      <c r="D9" s="7">
        <v>5</v>
      </c>
      <c r="E9" s="7">
        <v>3</v>
      </c>
      <c r="F9" s="116" t="str">
        <f t="shared" ref="F9:F10" si="6">IF(ISBLANK(B9),"",IF(I9="L","Baixa",IF(I9="A","Média",IF(I9="","","Alta"))))</f>
        <v>Alta</v>
      </c>
      <c r="G9" s="7" t="str">
        <f t="shared" ref="G9:G10" si="7">CONCATENATE(B9,I9)</f>
        <v>EEH</v>
      </c>
      <c r="H9" s="7">
        <f t="shared" ref="H9:H10" si="8">IF(ISBLANK(B9),"",IF(B9="ALI",IF(I9="L",7,IF(I9="A",10,15)),IF(B9="AIE",IF(I9="L",5,IF(I9="A",7,10)),IF(B9="SE",IF(I9="L",4,IF(I9="A",5,7)),IF(OR(B9="EE",B9="CE"),IF(I9="L",3,IF(I9="A",4,6)),0)))))</f>
        <v>6</v>
      </c>
      <c r="I9" s="116" t="str">
        <f t="shared" ref="I9:I10" si="9">IF(OR(ISBLANK(D9),ISBLANK(E9)),IF(OR(B9="ALI",B9="AIE"),"L",IF(OR(B9="EE",B9="SE",B9="CE"),"A","")),IF(B9="EE",IF(E9&gt;=3,IF(D9&gt;=5,"H","A"),IF(E9&gt;=2,IF(D9&gt;=16,"H",IF(D9&lt;=4,"L","A")),IF(D9&lt;=15,"L","A"))),IF(OR(B9="SE",B9="CE"),IF(E9&gt;=4,IF(D9&gt;=6,"H","A"),IF(E9&gt;=2,IF(D9&gt;=20,"H",IF(D9&lt;=5,"L","A")),IF(D9&lt;=19,"L","A"))),IF(OR(B9="ALI",B9="AIE"),IF(E9&gt;=6,IF(D9&gt;=20,"H","A"),IF(E9&gt;=2,IF(D9&gt;=51,"H",IF(D9&lt;=19,"L","A")),IF(D9&lt;=50,"L","A"))),""))))</f>
        <v>H</v>
      </c>
      <c r="J9" s="7" t="str">
        <f t="shared" ref="J9:J10" si="10">CONCATENATE(B9,C9)</f>
        <v>EECOS</v>
      </c>
      <c r="K9" s="127">
        <f t="shared" ref="K9:K10" si="11">IF(OR(H9="",H9=0),L9,H9)</f>
        <v>6</v>
      </c>
      <c r="L9" s="127">
        <f>IF(NOT(ISERROR(VLOOKUP(B9,Deflatores!G$42:H$64,2,FALSE))),VLOOKUP(B9,Deflatores!G$42:H$64,2,FALSE),IF(OR(ISBLANK(C9),ISBLANK(B9)),"",VLOOKUP(C9,Deflatores!G$4:H$38,2,FALSE)*H9+VLOOKUP(C9,Deflatores!G$4:I$38,3,FALSE)))</f>
        <v>0.6</v>
      </c>
      <c r="M9" s="10"/>
      <c r="N9" s="10"/>
      <c r="O9" s="6"/>
    </row>
    <row r="10" spans="1:16" x14ac:dyDescent="0.25">
      <c r="A10" s="119"/>
      <c r="B10" s="4"/>
      <c r="C10" s="4"/>
      <c r="D10" s="7"/>
      <c r="E10" s="7"/>
      <c r="F10" s="116" t="str">
        <f t="shared" si="6"/>
        <v/>
      </c>
      <c r="G10" s="7" t="str">
        <f t="shared" si="7"/>
        <v/>
      </c>
      <c r="H10" s="7" t="str">
        <f t="shared" si="8"/>
        <v/>
      </c>
      <c r="I10" s="116" t="str">
        <f t="shared" si="9"/>
        <v/>
      </c>
      <c r="J10" s="7" t="str">
        <f t="shared" si="10"/>
        <v/>
      </c>
      <c r="K10" s="127" t="str">
        <f t="shared" si="11"/>
        <v/>
      </c>
      <c r="L10" s="127" t="str">
        <f>IF(NOT(ISERROR(VLOOKUP(B10,Deflatores!G$42:H$64,2,FALSE))),VLOOKUP(B10,Deflatores!G$42:H$64,2,FALSE),IF(OR(ISBLANK(C10),ISBLANK(B10)),"",VLOOKUP(C10,Deflatores!G$4:H$38,2,FALSE)*H10+VLOOKUP(C10,Deflatores!G$4:I$38,3,FALSE)))</f>
        <v/>
      </c>
      <c r="M10" s="10"/>
      <c r="N10" s="10"/>
      <c r="O10" s="6"/>
    </row>
    <row r="11" spans="1:16" x14ac:dyDescent="0.25">
      <c r="A11" s="121" t="s">
        <v>47</v>
      </c>
      <c r="B11" s="4"/>
      <c r="C11" s="4"/>
      <c r="D11" s="7"/>
      <c r="E11" s="7"/>
      <c r="F11" s="116" t="str">
        <f t="shared" ref="F11:F16" si="12">IF(ISBLANK(B11),"",IF(I11="L","Baixa",IF(I11="A","Média",IF(I11="","","Alta"))))</f>
        <v/>
      </c>
      <c r="G11" s="7" t="str">
        <f t="shared" ref="G11:G16" si="13">CONCATENATE(B11,I11)</f>
        <v/>
      </c>
      <c r="H11" s="7" t="str">
        <f t="shared" ref="H11:H16" si="14">IF(ISBLANK(B11),"",IF(B11="ALI",IF(I11="L",7,IF(I11="A",10,15)),IF(B11="AIE",IF(I11="L",5,IF(I11="A",7,10)),IF(B11="SE",IF(I11="L",4,IF(I11="A",5,7)),IF(OR(B11="EE",B11="CE"),IF(I11="L",3,IF(I11="A",4,6)),0)))))</f>
        <v/>
      </c>
      <c r="I11" s="116" t="str">
        <f t="shared" ref="I11:I16" si="15">IF(OR(ISBLANK(D11),ISBLANK(E11)),IF(OR(B11="ALI",B11="AIE"),"L",IF(OR(B11="EE",B11="SE",B11="CE"),"A","")),IF(B11="EE",IF(E11&gt;=3,IF(D11&gt;=5,"H","A"),IF(E11&gt;=2,IF(D11&gt;=16,"H",IF(D11&lt;=4,"L","A")),IF(D11&lt;=15,"L","A"))),IF(OR(B11="SE",B11="CE"),IF(E11&gt;=4,IF(D11&gt;=6,"H","A"),IF(E11&gt;=2,IF(D11&gt;=20,"H",IF(D11&lt;=5,"L","A")),IF(D11&lt;=19,"L","A"))),IF(OR(B11="ALI",B11="AIE"),IF(E11&gt;=6,IF(D11&gt;=20,"H","A"),IF(E11&gt;=2,IF(D11&gt;=51,"H",IF(D11&lt;=19,"L","A")),IF(D11&lt;=50,"L","A"))),""))))</f>
        <v/>
      </c>
      <c r="J11" s="7" t="str">
        <f t="shared" ref="J11:J16" si="16">CONCATENATE(B11,C11)</f>
        <v/>
      </c>
      <c r="K11" s="127" t="str">
        <f t="shared" ref="K11:K16" si="17">IF(OR(H11="",H11=0),L11,H11)</f>
        <v/>
      </c>
      <c r="L11" s="127" t="str">
        <f>IF(NOT(ISERROR(VLOOKUP(B11,Deflatores!G$42:H$64,2,FALSE))),VLOOKUP(B11,Deflatores!G$42:H$64,2,FALSE),IF(OR(ISBLANK(C11),ISBLANK(B11)),"",VLOOKUP(C11,Deflatores!G$4:H$38,2,FALSE)*H11+VLOOKUP(C11,Deflatores!G$4:I$38,3,FALSE)))</f>
        <v/>
      </c>
      <c r="M11" s="10"/>
      <c r="N11" s="10"/>
      <c r="O11" s="6"/>
    </row>
    <row r="12" spans="1:16" x14ac:dyDescent="0.25">
      <c r="A12" s="119" t="s">
        <v>48</v>
      </c>
      <c r="B12" s="4" t="s">
        <v>49</v>
      </c>
      <c r="C12" s="4" t="s">
        <v>50</v>
      </c>
      <c r="D12" s="7">
        <v>6</v>
      </c>
      <c r="E12" s="7">
        <v>1</v>
      </c>
      <c r="F12" s="116" t="str">
        <f>IF(ISBLANK(B12),"",IF(I12="L","Baixa",IF(I12="A","Média",IF(I12="","","Alta"))))</f>
        <v>Baixa</v>
      </c>
      <c r="G12" s="7" t="str">
        <f>CONCATENATE(B12,I12)</f>
        <v>AIEL</v>
      </c>
      <c r="H12" s="7">
        <f>IF(ISBLANK(B12),"",IF(B12="ALI",IF(I12="L",7,IF(I12="A",10,15)),IF(B12="AIE",IF(I12="L",5,IF(I12="A",7,10)),IF(B12="SE",IF(I12="L",4,IF(I12="A",5,7)),IF(OR(B12="EE",B12="CE"),IF(I12="L",3,IF(I12="A",4,6)),0)))))</f>
        <v>5</v>
      </c>
      <c r="I12" s="116" t="str">
        <f>IF(OR(ISBLANK(D12),ISBLANK(E12)),IF(OR(B12="ALI",B12="AIE"),"L",IF(OR(B12="EE",B12="SE",B12="CE"),"A","")),IF(B12="EE",IF(E12&gt;=3,IF(D12&gt;=5,"H","A"),IF(E12&gt;=2,IF(D12&gt;=16,"H",IF(D12&lt;=4,"L","A")),IF(D12&lt;=15,"L","A"))),IF(OR(B12="SE",B12="CE"),IF(E12&gt;=4,IF(D12&gt;=6,"H","A"),IF(E12&gt;=2,IF(D12&gt;=20,"H",IF(D12&lt;=5,"L","A")),IF(D12&lt;=19,"L","A"))),IF(OR(B12="ALI",B12="AIE"),IF(E12&gt;=6,IF(D12&gt;=20,"H","A"),IF(E12&gt;=2,IF(D12&gt;=51,"H",IF(D12&lt;=19,"L","A")),IF(D12&lt;=50,"L","A"))),""))))</f>
        <v>L</v>
      </c>
      <c r="J12" s="7" t="str">
        <f>CONCATENATE(B12,C12)</f>
        <v>AIEI</v>
      </c>
      <c r="K12" s="127">
        <f>IF(OR(H12="",H12=0),L12,H12)</f>
        <v>5</v>
      </c>
      <c r="L12" s="127">
        <f>IF(NOT(ISERROR(VLOOKUP(B12,Deflatores!G$42:H$64,2,FALSE))),VLOOKUP(B12,Deflatores!G$42:H$64,2,FALSE),IF(OR(ISBLANK(C12),ISBLANK(B12)),"",VLOOKUP(C12,Deflatores!G$4:H$38,2,FALSE)*H12+VLOOKUP(C12,Deflatores!G$4:I$38,3,FALSE)))</f>
        <v>5</v>
      </c>
      <c r="M12" s="10"/>
      <c r="N12" s="10"/>
      <c r="O12" s="6"/>
    </row>
    <row r="13" spans="1:16" x14ac:dyDescent="0.25">
      <c r="A13" s="119" t="s">
        <v>51</v>
      </c>
      <c r="B13" s="4" t="s">
        <v>52</v>
      </c>
      <c r="C13" s="4" t="s">
        <v>50</v>
      </c>
      <c r="D13" s="7">
        <v>7</v>
      </c>
      <c r="E13" s="7">
        <v>2</v>
      </c>
      <c r="F13" s="116" t="str">
        <f t="shared" si="12"/>
        <v>Média</v>
      </c>
      <c r="G13" s="7" t="str">
        <f t="shared" si="13"/>
        <v>CEA</v>
      </c>
      <c r="H13" s="7">
        <f t="shared" si="14"/>
        <v>4</v>
      </c>
      <c r="I13" s="116" t="str">
        <f t="shared" si="15"/>
        <v>A</v>
      </c>
      <c r="J13" s="7" t="str">
        <f t="shared" si="16"/>
        <v>CEI</v>
      </c>
      <c r="K13" s="127">
        <f t="shared" si="17"/>
        <v>4</v>
      </c>
      <c r="L13" s="127">
        <f>IF(NOT(ISERROR(VLOOKUP(B13,Deflatores!G$42:H$64,2,FALSE))),VLOOKUP(B13,Deflatores!G$42:H$64,2,FALSE),IF(OR(ISBLANK(C13),ISBLANK(B13)),"",VLOOKUP(C13,Deflatores!G$4:H$38,2,FALSE)*H13+VLOOKUP(C13,Deflatores!G$4:I$38,3,FALSE)))</f>
        <v>4</v>
      </c>
      <c r="M13" s="10"/>
      <c r="N13" s="10"/>
      <c r="O13" s="6"/>
    </row>
    <row r="14" spans="1:16" x14ac:dyDescent="0.25">
      <c r="A14" s="119"/>
      <c r="B14" s="4"/>
      <c r="C14" s="4"/>
      <c r="D14" s="7"/>
      <c r="E14" s="7"/>
      <c r="F14" s="116" t="str">
        <f t="shared" si="12"/>
        <v/>
      </c>
      <c r="G14" s="7" t="str">
        <f t="shared" si="13"/>
        <v/>
      </c>
      <c r="H14" s="7" t="str">
        <f t="shared" si="14"/>
        <v/>
      </c>
      <c r="I14" s="116" t="str">
        <f t="shared" si="15"/>
        <v/>
      </c>
      <c r="J14" s="7" t="str">
        <f t="shared" si="16"/>
        <v/>
      </c>
      <c r="K14" s="127" t="str">
        <f t="shared" si="17"/>
        <v/>
      </c>
      <c r="L14" s="127" t="str">
        <f>IF(NOT(ISERROR(VLOOKUP(B14,Deflatores!G$42:H$64,2,FALSE))),VLOOKUP(B14,Deflatores!G$42:H$64,2,FALSE),IF(OR(ISBLANK(C14),ISBLANK(B14)),"",VLOOKUP(C14,Deflatores!G$4:H$38,2,FALSE)*H14+VLOOKUP(C14,Deflatores!G$4:I$38,3,FALSE)))</f>
        <v/>
      </c>
      <c r="M14" s="10"/>
      <c r="N14" s="10"/>
      <c r="O14" s="6"/>
    </row>
    <row r="15" spans="1:16" x14ac:dyDescent="0.25">
      <c r="A15" s="121" t="s">
        <v>53</v>
      </c>
      <c r="B15" s="4"/>
      <c r="C15" s="4"/>
      <c r="D15" s="7"/>
      <c r="E15" s="7"/>
      <c r="F15" s="116" t="str">
        <f t="shared" si="12"/>
        <v/>
      </c>
      <c r="G15" s="7" t="str">
        <f t="shared" si="13"/>
        <v/>
      </c>
      <c r="H15" s="7" t="str">
        <f t="shared" si="14"/>
        <v/>
      </c>
      <c r="I15" s="116" t="str">
        <f t="shared" si="15"/>
        <v/>
      </c>
      <c r="J15" s="7" t="str">
        <f t="shared" si="16"/>
        <v/>
      </c>
      <c r="K15" s="127" t="str">
        <f t="shared" si="17"/>
        <v/>
      </c>
      <c r="L15" s="127" t="str">
        <f>IF(NOT(ISERROR(VLOOKUP(B15,Deflatores!G$42:H$64,2,FALSE))),VLOOKUP(B15,Deflatores!G$42:H$64,2,FALSE),IF(OR(ISBLANK(C15),ISBLANK(B15)),"",VLOOKUP(C15,Deflatores!G$4:H$38,2,FALSE)*H15+VLOOKUP(C15,Deflatores!G$4:I$38,3,FALSE)))</f>
        <v/>
      </c>
      <c r="M15" s="10"/>
      <c r="N15" s="10"/>
      <c r="O15" s="6"/>
    </row>
    <row r="16" spans="1:16" x14ac:dyDescent="0.25">
      <c r="A16" s="119" t="s">
        <v>54</v>
      </c>
      <c r="B16" s="4" t="s">
        <v>49</v>
      </c>
      <c r="C16" s="4" t="s">
        <v>50</v>
      </c>
      <c r="D16" s="7">
        <v>2</v>
      </c>
      <c r="E16" s="7">
        <v>1</v>
      </c>
      <c r="F16" s="116" t="str">
        <f t="shared" si="12"/>
        <v>Baixa</v>
      </c>
      <c r="G16" s="7" t="str">
        <f t="shared" si="13"/>
        <v>AIEL</v>
      </c>
      <c r="H16" s="7">
        <f t="shared" si="14"/>
        <v>5</v>
      </c>
      <c r="I16" s="116" t="str">
        <f t="shared" si="15"/>
        <v>L</v>
      </c>
      <c r="J16" s="7" t="str">
        <f t="shared" si="16"/>
        <v>AIEI</v>
      </c>
      <c r="K16" s="127">
        <f t="shared" si="17"/>
        <v>5</v>
      </c>
      <c r="L16" s="127">
        <f>IF(NOT(ISERROR(VLOOKUP(B16,Deflatores!G$42:H$64,2,FALSE))),VLOOKUP(B16,Deflatores!G$42:H$64,2,FALSE),IF(OR(ISBLANK(C16),ISBLANK(B16)),"",VLOOKUP(C16,Deflatores!G$4:H$38,2,FALSE)*H16+VLOOKUP(C16,Deflatores!G$4:I$38,3,FALSE)))</f>
        <v>5</v>
      </c>
      <c r="M16" s="10"/>
      <c r="N16" s="10"/>
      <c r="O16" s="6"/>
    </row>
    <row r="17" spans="1:15" x14ac:dyDescent="0.25">
      <c r="A17" s="119" t="s">
        <v>55</v>
      </c>
      <c r="B17" s="4" t="s">
        <v>52</v>
      </c>
      <c r="C17" s="4" t="s">
        <v>50</v>
      </c>
      <c r="D17" s="7">
        <v>4</v>
      </c>
      <c r="E17" s="7">
        <v>1</v>
      </c>
      <c r="F17" s="116" t="str">
        <f t="shared" ref="F17:F40" si="18">IF(ISBLANK(B17),"",IF(I17="L","Baixa",IF(I17="A","Média",IF(I17="","","Alta"))))</f>
        <v>Baixa</v>
      </c>
      <c r="G17" s="7" t="str">
        <f t="shared" ref="G17:G40" si="19">CONCATENATE(B17,I17)</f>
        <v>CEL</v>
      </c>
      <c r="H17" s="7">
        <f t="shared" ref="H17:H40" si="20">IF(ISBLANK(B17),"",IF(B17="ALI",IF(I17="L",7,IF(I17="A",10,15)),IF(B17="AIE",IF(I17="L",5,IF(I17="A",7,10)),IF(B17="SE",IF(I17="L",4,IF(I17="A",5,7)),IF(OR(B17="EE",B17="CE"),IF(I17="L",3,IF(I17="A",4,6)),0)))))</f>
        <v>3</v>
      </c>
      <c r="I17" s="116" t="str">
        <f t="shared" ref="I17:I40" si="21">IF(OR(ISBLANK(D17),ISBLANK(E17)),IF(OR(B17="ALI",B17="AIE"),"L",IF(OR(B17="EE",B17="SE",B17="CE"),"A","")),IF(B17="EE",IF(E17&gt;=3,IF(D17&gt;=5,"H","A"),IF(E17&gt;=2,IF(D17&gt;=16,"H",IF(D17&lt;=4,"L","A")),IF(D17&lt;=15,"L","A"))),IF(OR(B17="SE",B17="CE"),IF(E17&gt;=4,IF(D17&gt;=6,"H","A"),IF(E17&gt;=2,IF(D17&gt;=20,"H",IF(D17&lt;=5,"L","A")),IF(D17&lt;=19,"L","A"))),IF(OR(B17="ALI",B17="AIE"),IF(E17&gt;=6,IF(D17&gt;=20,"H","A"),IF(E17&gt;=2,IF(D17&gt;=51,"H",IF(D17&lt;=19,"L","A")),IF(D17&lt;=50,"L","A"))),""))))</f>
        <v>L</v>
      </c>
      <c r="J17" s="7" t="str">
        <f t="shared" ref="J17:J40" si="22">CONCATENATE(B17,C17)</f>
        <v>CEI</v>
      </c>
      <c r="K17" s="127">
        <f t="shared" ref="K17:K40" si="23">IF(OR(H17="",H17=0),L17,H17)</f>
        <v>3</v>
      </c>
      <c r="L17" s="127">
        <f>IF(NOT(ISERROR(VLOOKUP(B17,Deflatores!G$42:H$64,2,FALSE))),VLOOKUP(B17,Deflatores!G$42:H$64,2,FALSE),IF(OR(ISBLANK(C17),ISBLANK(B17)),"",VLOOKUP(C17,Deflatores!G$4:H$38,2,FALSE)*H17+VLOOKUP(C17,Deflatores!G$4:I$38,3,FALSE)))</f>
        <v>3</v>
      </c>
      <c r="M17" s="10"/>
      <c r="N17" s="10"/>
      <c r="O17" s="6"/>
    </row>
    <row r="18" spans="1:15" x14ac:dyDescent="0.25">
      <c r="A18" s="119" t="s">
        <v>494</v>
      </c>
      <c r="B18" s="4" t="s">
        <v>45</v>
      </c>
      <c r="C18" s="4" t="s">
        <v>50</v>
      </c>
      <c r="D18" s="7">
        <v>4</v>
      </c>
      <c r="E18" s="7">
        <v>2</v>
      </c>
      <c r="F18" s="116" t="str">
        <f t="shared" si="18"/>
        <v>Baixa</v>
      </c>
      <c r="G18" s="7" t="str">
        <f t="shared" si="19"/>
        <v>EEL</v>
      </c>
      <c r="H18" s="7">
        <f t="shared" si="20"/>
        <v>3</v>
      </c>
      <c r="I18" s="116" t="str">
        <f t="shared" si="21"/>
        <v>L</v>
      </c>
      <c r="J18" s="7" t="str">
        <f t="shared" si="22"/>
        <v>EEI</v>
      </c>
      <c r="K18" s="127">
        <f t="shared" si="23"/>
        <v>3</v>
      </c>
      <c r="L18" s="127">
        <f>IF(NOT(ISERROR(VLOOKUP(B18,Deflatores!G$42:H$64,2,FALSE))),VLOOKUP(B18,Deflatores!G$42:H$64,2,FALSE),IF(OR(ISBLANK(C18),ISBLANK(B18)),"",VLOOKUP(C18,Deflatores!G$4:H$38,2,FALSE)*H18+VLOOKUP(C18,Deflatores!G$4:I$38,3,FALSE)))</f>
        <v>3</v>
      </c>
      <c r="M18" s="10"/>
      <c r="N18" s="10"/>
      <c r="O18" s="6"/>
    </row>
    <row r="19" spans="1:15" x14ac:dyDescent="0.25">
      <c r="A19" s="119"/>
      <c r="B19" s="4"/>
      <c r="C19" s="4"/>
      <c r="D19" s="7"/>
      <c r="E19" s="7"/>
      <c r="F19" s="116" t="str">
        <f t="shared" si="18"/>
        <v/>
      </c>
      <c r="G19" s="7" t="str">
        <f t="shared" si="19"/>
        <v/>
      </c>
      <c r="H19" s="7" t="str">
        <f t="shared" si="20"/>
        <v/>
      </c>
      <c r="I19" s="116" t="str">
        <f t="shared" si="21"/>
        <v/>
      </c>
      <c r="J19" s="7" t="str">
        <f t="shared" si="22"/>
        <v/>
      </c>
      <c r="K19" s="127" t="str">
        <f t="shared" si="23"/>
        <v/>
      </c>
      <c r="L19" s="127" t="str">
        <f>IF(NOT(ISERROR(VLOOKUP(B19,Deflatores!G$42:H$64,2,FALSE))),VLOOKUP(B19,Deflatores!G$42:H$64,2,FALSE),IF(OR(ISBLANK(C19),ISBLANK(B19)),"",VLOOKUP(C19,Deflatores!G$4:H$38,2,FALSE)*H19+VLOOKUP(C19,Deflatores!G$4:I$38,3,FALSE)))</f>
        <v/>
      </c>
      <c r="M19" s="10"/>
      <c r="N19" s="10"/>
      <c r="O19" s="6"/>
    </row>
    <row r="20" spans="1:15" x14ac:dyDescent="0.25">
      <c r="A20" s="121" t="s">
        <v>56</v>
      </c>
      <c r="B20" s="4"/>
      <c r="C20" s="4"/>
      <c r="D20" s="7"/>
      <c r="E20" s="7"/>
      <c r="F20" s="116" t="str">
        <f t="shared" si="18"/>
        <v/>
      </c>
      <c r="G20" s="7" t="str">
        <f t="shared" si="19"/>
        <v/>
      </c>
      <c r="H20" s="7" t="str">
        <f t="shared" si="20"/>
        <v/>
      </c>
      <c r="I20" s="116" t="str">
        <f t="shared" si="21"/>
        <v/>
      </c>
      <c r="J20" s="7" t="str">
        <f t="shared" si="22"/>
        <v/>
      </c>
      <c r="K20" s="127" t="str">
        <f t="shared" si="23"/>
        <v/>
      </c>
      <c r="L20" s="127" t="str">
        <f>IF(NOT(ISERROR(VLOOKUP(B20,Deflatores!G$42:H$64,2,FALSE))),VLOOKUP(B20,Deflatores!G$42:H$64,2,FALSE),IF(OR(ISBLANK(C20),ISBLANK(B20)),"",VLOOKUP(C20,Deflatores!G$4:H$38,2,FALSE)*H20+VLOOKUP(C20,Deflatores!G$4:I$38,3,FALSE)))</f>
        <v/>
      </c>
      <c r="M20" s="10"/>
      <c r="N20" s="10"/>
      <c r="O20" s="6"/>
    </row>
    <row r="21" spans="1:15" x14ac:dyDescent="0.25">
      <c r="A21" s="119" t="s">
        <v>57</v>
      </c>
      <c r="B21" s="4" t="s">
        <v>49</v>
      </c>
      <c r="C21" s="4" t="s">
        <v>50</v>
      </c>
      <c r="D21" s="7">
        <v>11</v>
      </c>
      <c r="E21" s="7">
        <v>1</v>
      </c>
      <c r="F21" s="116" t="str">
        <f t="shared" si="18"/>
        <v>Baixa</v>
      </c>
      <c r="G21" s="7" t="str">
        <f t="shared" si="19"/>
        <v>AIEL</v>
      </c>
      <c r="H21" s="7">
        <f t="shared" si="20"/>
        <v>5</v>
      </c>
      <c r="I21" s="116" t="str">
        <f t="shared" si="21"/>
        <v>L</v>
      </c>
      <c r="J21" s="7" t="str">
        <f t="shared" si="22"/>
        <v>AIEI</v>
      </c>
      <c r="K21" s="127">
        <f t="shared" si="23"/>
        <v>5</v>
      </c>
      <c r="L21" s="127">
        <f>IF(NOT(ISERROR(VLOOKUP(B21,Deflatores!G$42:H$64,2,FALSE))),VLOOKUP(B21,Deflatores!G$42:H$64,2,FALSE),IF(OR(ISBLANK(C21),ISBLANK(B21)),"",VLOOKUP(C21,Deflatores!G$4:H$38,2,FALSE)*H21+VLOOKUP(C21,Deflatores!G$4:I$38,3,FALSE)))</f>
        <v>5</v>
      </c>
      <c r="M21" s="10"/>
      <c r="N21" s="10"/>
      <c r="O21" s="6"/>
    </row>
    <row r="22" spans="1:15" x14ac:dyDescent="0.25">
      <c r="A22" s="119" t="s">
        <v>58</v>
      </c>
      <c r="B22" s="4" t="s">
        <v>52</v>
      </c>
      <c r="C22" s="4" t="s">
        <v>50</v>
      </c>
      <c r="D22" s="7">
        <v>11</v>
      </c>
      <c r="E22" s="7">
        <v>2</v>
      </c>
      <c r="F22" s="116" t="str">
        <f t="shared" si="18"/>
        <v>Média</v>
      </c>
      <c r="G22" s="7" t="str">
        <f t="shared" si="19"/>
        <v>CEA</v>
      </c>
      <c r="H22" s="7">
        <f t="shared" si="20"/>
        <v>4</v>
      </c>
      <c r="I22" s="116" t="str">
        <f t="shared" si="21"/>
        <v>A</v>
      </c>
      <c r="J22" s="7" t="str">
        <f t="shared" si="22"/>
        <v>CEI</v>
      </c>
      <c r="K22" s="127">
        <f t="shared" si="23"/>
        <v>4</v>
      </c>
      <c r="L22" s="127">
        <f>IF(NOT(ISERROR(VLOOKUP(B22,Deflatores!G$42:H$64,2,FALSE))),VLOOKUP(B22,Deflatores!G$42:H$64,2,FALSE),IF(OR(ISBLANK(C22),ISBLANK(B22)),"",VLOOKUP(C22,Deflatores!G$4:H$38,2,FALSE)*H22+VLOOKUP(C22,Deflatores!G$4:I$38,3,FALSE)))</f>
        <v>4</v>
      </c>
      <c r="M22" s="10"/>
      <c r="N22" s="10"/>
      <c r="O22" s="6"/>
    </row>
    <row r="23" spans="1:15" x14ac:dyDescent="0.25">
      <c r="A23" s="119"/>
      <c r="B23" s="4"/>
      <c r="C23" s="4"/>
      <c r="D23" s="7"/>
      <c r="E23" s="7"/>
      <c r="F23" s="116" t="str">
        <f t="shared" si="18"/>
        <v/>
      </c>
      <c r="G23" s="7" t="str">
        <f t="shared" si="19"/>
        <v/>
      </c>
      <c r="H23" s="7" t="str">
        <f t="shared" si="20"/>
        <v/>
      </c>
      <c r="I23" s="116" t="str">
        <f t="shared" si="21"/>
        <v/>
      </c>
      <c r="J23" s="7" t="str">
        <f t="shared" si="22"/>
        <v/>
      </c>
      <c r="K23" s="127" t="str">
        <f t="shared" si="23"/>
        <v/>
      </c>
      <c r="L23" s="127" t="str">
        <f>IF(NOT(ISERROR(VLOOKUP(B23,Deflatores!G$42:H$64,2,FALSE))),VLOOKUP(B23,Deflatores!G$42:H$64,2,FALSE),IF(OR(ISBLANK(C23),ISBLANK(B23)),"",VLOOKUP(C23,Deflatores!G$4:H$38,2,FALSE)*H23+VLOOKUP(C23,Deflatores!G$4:I$38,3,FALSE)))</f>
        <v/>
      </c>
      <c r="M23" s="10"/>
      <c r="N23" s="10"/>
      <c r="O23" s="6"/>
    </row>
    <row r="24" spans="1:15" x14ac:dyDescent="0.25">
      <c r="A24" s="121" t="s">
        <v>59</v>
      </c>
      <c r="B24" s="4"/>
      <c r="C24" s="4"/>
      <c r="D24" s="7"/>
      <c r="E24" s="7"/>
      <c r="F24" s="116" t="str">
        <f t="shared" si="18"/>
        <v/>
      </c>
      <c r="G24" s="7" t="str">
        <f t="shared" si="19"/>
        <v/>
      </c>
      <c r="H24" s="7" t="str">
        <f t="shared" si="20"/>
        <v/>
      </c>
      <c r="I24" s="116" t="str">
        <f t="shared" si="21"/>
        <v/>
      </c>
      <c r="J24" s="7" t="str">
        <f t="shared" si="22"/>
        <v/>
      </c>
      <c r="K24" s="127" t="str">
        <f t="shared" si="23"/>
        <v/>
      </c>
      <c r="L24" s="127" t="str">
        <f>IF(NOT(ISERROR(VLOOKUP(B24,Deflatores!G$42:H$64,2,FALSE))),VLOOKUP(B24,Deflatores!G$42:H$64,2,FALSE),IF(OR(ISBLANK(C24),ISBLANK(B24)),"",VLOOKUP(C24,Deflatores!G$4:H$38,2,FALSE)*H24+VLOOKUP(C24,Deflatores!G$4:I$38,3,FALSE)))</f>
        <v/>
      </c>
      <c r="M24" s="10"/>
      <c r="N24" s="10"/>
      <c r="O24" s="6"/>
    </row>
    <row r="25" spans="1:15" x14ac:dyDescent="0.25">
      <c r="A25" s="119" t="s">
        <v>60</v>
      </c>
      <c r="B25" s="4" t="s">
        <v>61</v>
      </c>
      <c r="C25" s="4" t="s">
        <v>50</v>
      </c>
      <c r="D25" s="7">
        <v>8</v>
      </c>
      <c r="E25" s="7">
        <v>2</v>
      </c>
      <c r="F25" s="116" t="str">
        <f t="shared" si="18"/>
        <v>Baixa</v>
      </c>
      <c r="G25" s="7" t="str">
        <f t="shared" si="19"/>
        <v>ALIL</v>
      </c>
      <c r="H25" s="7">
        <f t="shared" si="20"/>
        <v>7</v>
      </c>
      <c r="I25" s="116" t="str">
        <f t="shared" si="21"/>
        <v>L</v>
      </c>
      <c r="J25" s="7" t="str">
        <f t="shared" si="22"/>
        <v>ALII</v>
      </c>
      <c r="K25" s="127">
        <f t="shared" si="23"/>
        <v>7</v>
      </c>
      <c r="L25" s="127">
        <f>IF(NOT(ISERROR(VLOOKUP(B25,Deflatores!G$42:H$64,2,FALSE))),VLOOKUP(B25,Deflatores!G$42:H$64,2,FALSE),IF(OR(ISBLANK(C25),ISBLANK(B25)),"",VLOOKUP(C25,Deflatores!G$4:H$38,2,FALSE)*H25+VLOOKUP(C25,Deflatores!G$4:I$38,3,FALSE)))</f>
        <v>7</v>
      </c>
      <c r="M25" s="10"/>
      <c r="N25" s="10"/>
      <c r="O25" s="6"/>
    </row>
    <row r="26" spans="1:15" x14ac:dyDescent="0.25">
      <c r="A26" s="119" t="s">
        <v>62</v>
      </c>
      <c r="B26" s="4" t="s">
        <v>49</v>
      </c>
      <c r="C26" s="4" t="s">
        <v>50</v>
      </c>
      <c r="D26" s="7">
        <v>2</v>
      </c>
      <c r="E26" s="7">
        <v>1</v>
      </c>
      <c r="F26" s="116" t="str">
        <f t="shared" si="18"/>
        <v>Baixa</v>
      </c>
      <c r="G26" s="7" t="str">
        <f t="shared" si="19"/>
        <v>AIEL</v>
      </c>
      <c r="H26" s="7">
        <f t="shared" si="20"/>
        <v>5</v>
      </c>
      <c r="I26" s="116" t="str">
        <f t="shared" si="21"/>
        <v>L</v>
      </c>
      <c r="J26" s="7" t="str">
        <f t="shared" si="22"/>
        <v>AIEI</v>
      </c>
      <c r="K26" s="127">
        <f t="shared" si="23"/>
        <v>5</v>
      </c>
      <c r="L26" s="127">
        <f>IF(NOT(ISERROR(VLOOKUP(B26,Deflatores!G$42:H$64,2,FALSE))),VLOOKUP(B26,Deflatores!G$42:H$64,2,FALSE),IF(OR(ISBLANK(C26),ISBLANK(B26)),"",VLOOKUP(C26,Deflatores!G$4:H$38,2,FALSE)*H26+VLOOKUP(C26,Deflatores!G$4:I$38,3,FALSE)))</f>
        <v>5</v>
      </c>
      <c r="M26" s="10"/>
      <c r="N26" s="10"/>
      <c r="O26" s="6"/>
    </row>
    <row r="27" spans="1:15" x14ac:dyDescent="0.25">
      <c r="A27" s="119" t="s">
        <v>63</v>
      </c>
      <c r="B27" s="4" t="s">
        <v>52</v>
      </c>
      <c r="C27" s="4" t="s">
        <v>50</v>
      </c>
      <c r="D27" s="7">
        <v>4</v>
      </c>
      <c r="E27" s="7">
        <v>1</v>
      </c>
      <c r="F27" s="116" t="str">
        <f t="shared" si="18"/>
        <v>Baixa</v>
      </c>
      <c r="G27" s="7" t="str">
        <f t="shared" si="19"/>
        <v>CEL</v>
      </c>
      <c r="H27" s="7">
        <f t="shared" si="20"/>
        <v>3</v>
      </c>
      <c r="I27" s="116" t="str">
        <f t="shared" si="21"/>
        <v>L</v>
      </c>
      <c r="J27" s="7" t="str">
        <f t="shared" si="22"/>
        <v>CEI</v>
      </c>
      <c r="K27" s="127">
        <f t="shared" si="23"/>
        <v>3</v>
      </c>
      <c r="L27" s="127">
        <f>IF(NOT(ISERROR(VLOOKUP(B27,Deflatores!G$42:H$64,2,FALSE))),VLOOKUP(B27,Deflatores!G$42:H$64,2,FALSE),IF(OR(ISBLANK(C27),ISBLANK(B27)),"",VLOOKUP(C27,Deflatores!G$4:H$38,2,FALSE)*H27+VLOOKUP(C27,Deflatores!G$4:I$38,3,FALSE)))</f>
        <v>3</v>
      </c>
      <c r="M27" s="10"/>
      <c r="N27" s="10"/>
      <c r="O27" s="6"/>
    </row>
    <row r="28" spans="1:15" x14ac:dyDescent="0.25">
      <c r="A28" s="119" t="s">
        <v>64</v>
      </c>
      <c r="B28" s="4" t="s">
        <v>52</v>
      </c>
      <c r="C28" s="4" t="s">
        <v>50</v>
      </c>
      <c r="D28" s="7">
        <v>3</v>
      </c>
      <c r="E28" s="7">
        <v>1</v>
      </c>
      <c r="F28" s="116" t="str">
        <f t="shared" si="18"/>
        <v>Baixa</v>
      </c>
      <c r="G28" s="7" t="str">
        <f t="shared" si="19"/>
        <v>CEL</v>
      </c>
      <c r="H28" s="7">
        <f t="shared" si="20"/>
        <v>3</v>
      </c>
      <c r="I28" s="116" t="str">
        <f t="shared" si="21"/>
        <v>L</v>
      </c>
      <c r="J28" s="7" t="str">
        <f t="shared" si="22"/>
        <v>CEI</v>
      </c>
      <c r="K28" s="127">
        <f t="shared" si="23"/>
        <v>3</v>
      </c>
      <c r="L28" s="127">
        <f>IF(NOT(ISERROR(VLOOKUP(B28,Deflatores!G$42:H$64,2,FALSE))),VLOOKUP(B28,Deflatores!G$42:H$64,2,FALSE),IF(OR(ISBLANK(C28),ISBLANK(B28)),"",VLOOKUP(C28,Deflatores!G$4:H$38,2,FALSE)*H28+VLOOKUP(C28,Deflatores!G$4:I$38,3,FALSE)))</f>
        <v>3</v>
      </c>
      <c r="M28" s="10"/>
      <c r="N28" s="10"/>
      <c r="O28" s="6"/>
    </row>
    <row r="29" spans="1:15" x14ac:dyDescent="0.25">
      <c r="A29" s="119" t="s">
        <v>65</v>
      </c>
      <c r="B29" s="4" t="s">
        <v>52</v>
      </c>
      <c r="C29" s="4" t="s">
        <v>50</v>
      </c>
      <c r="D29" s="7">
        <v>3</v>
      </c>
      <c r="E29" s="7">
        <v>1</v>
      </c>
      <c r="F29" s="116" t="str">
        <f t="shared" si="18"/>
        <v>Baixa</v>
      </c>
      <c r="G29" s="7" t="str">
        <f t="shared" si="19"/>
        <v>CEL</v>
      </c>
      <c r="H29" s="7">
        <f t="shared" si="20"/>
        <v>3</v>
      </c>
      <c r="I29" s="116" t="str">
        <f t="shared" si="21"/>
        <v>L</v>
      </c>
      <c r="J29" s="7" t="str">
        <f t="shared" si="22"/>
        <v>CEI</v>
      </c>
      <c r="K29" s="127">
        <f t="shared" si="23"/>
        <v>3</v>
      </c>
      <c r="L29" s="127">
        <f>IF(NOT(ISERROR(VLOOKUP(B29,Deflatores!G$42:H$64,2,FALSE))),VLOOKUP(B29,Deflatores!G$42:H$64,2,FALSE),IF(OR(ISBLANK(C29),ISBLANK(B29)),"",VLOOKUP(C29,Deflatores!G$4:H$38,2,FALSE)*H29+VLOOKUP(C29,Deflatores!G$4:I$38,3,FALSE)))</f>
        <v>3</v>
      </c>
      <c r="M29" s="10"/>
      <c r="N29" s="10"/>
      <c r="O29" s="6"/>
    </row>
    <row r="30" spans="1:15" x14ac:dyDescent="0.25">
      <c r="A30" s="119" t="s">
        <v>66</v>
      </c>
      <c r="B30" s="4" t="s">
        <v>52</v>
      </c>
      <c r="C30" s="4" t="s">
        <v>50</v>
      </c>
      <c r="D30" s="7">
        <v>3</v>
      </c>
      <c r="E30" s="7">
        <v>1</v>
      </c>
      <c r="F30" s="116" t="str">
        <f t="shared" si="18"/>
        <v>Baixa</v>
      </c>
      <c r="G30" s="7" t="str">
        <f t="shared" si="19"/>
        <v>CEL</v>
      </c>
      <c r="H30" s="7">
        <f t="shared" si="20"/>
        <v>3</v>
      </c>
      <c r="I30" s="116" t="str">
        <f t="shared" si="21"/>
        <v>L</v>
      </c>
      <c r="J30" s="7" t="str">
        <f t="shared" si="22"/>
        <v>CEI</v>
      </c>
      <c r="K30" s="127">
        <f t="shared" si="23"/>
        <v>3</v>
      </c>
      <c r="L30" s="127">
        <f>IF(NOT(ISERROR(VLOOKUP(B30,Deflatores!G$42:H$64,2,FALSE))),VLOOKUP(B30,Deflatores!G$42:H$64,2,FALSE),IF(OR(ISBLANK(C30),ISBLANK(B30)),"",VLOOKUP(C30,Deflatores!G$4:H$38,2,FALSE)*H30+VLOOKUP(C30,Deflatores!G$4:I$38,3,FALSE)))</f>
        <v>3</v>
      </c>
      <c r="M30" s="10"/>
      <c r="N30" s="10"/>
      <c r="O30" s="6"/>
    </row>
    <row r="31" spans="1:15" x14ac:dyDescent="0.25">
      <c r="A31" s="119" t="s">
        <v>67</v>
      </c>
      <c r="B31" s="4" t="s">
        <v>52</v>
      </c>
      <c r="C31" s="4" t="s">
        <v>50</v>
      </c>
      <c r="D31" s="7">
        <v>8</v>
      </c>
      <c r="E31" s="7">
        <v>4</v>
      </c>
      <c r="F31" s="116" t="str">
        <f t="shared" si="18"/>
        <v>Alta</v>
      </c>
      <c r="G31" s="7" t="str">
        <f t="shared" si="19"/>
        <v>CEH</v>
      </c>
      <c r="H31" s="7">
        <f t="shared" si="20"/>
        <v>6</v>
      </c>
      <c r="I31" s="116" t="str">
        <f t="shared" si="21"/>
        <v>H</v>
      </c>
      <c r="J31" s="7" t="str">
        <f t="shared" si="22"/>
        <v>CEI</v>
      </c>
      <c r="K31" s="127">
        <f t="shared" si="23"/>
        <v>6</v>
      </c>
      <c r="L31" s="127">
        <f>IF(NOT(ISERROR(VLOOKUP(B31,Deflatores!G$42:H$64,2,FALSE))),VLOOKUP(B31,Deflatores!G$42:H$64,2,FALSE),IF(OR(ISBLANK(C31),ISBLANK(B31)),"",VLOOKUP(C31,Deflatores!G$4:H$38,2,FALSE)*H31+VLOOKUP(C31,Deflatores!G$4:I$38,3,FALSE)))</f>
        <v>6</v>
      </c>
      <c r="M31" s="10"/>
      <c r="N31" s="10"/>
      <c r="O31" s="6"/>
    </row>
    <row r="32" spans="1:15" ht="24.65" customHeight="1" x14ac:dyDescent="0.25">
      <c r="A32" s="119" t="s">
        <v>68</v>
      </c>
      <c r="B32" s="4" t="s">
        <v>45</v>
      </c>
      <c r="C32" s="4" t="s">
        <v>50</v>
      </c>
      <c r="D32" s="7">
        <v>10</v>
      </c>
      <c r="E32" s="7">
        <v>4</v>
      </c>
      <c r="F32" s="116" t="str">
        <f t="shared" si="18"/>
        <v>Alta</v>
      </c>
      <c r="G32" s="7" t="str">
        <f t="shared" si="19"/>
        <v>EEH</v>
      </c>
      <c r="H32" s="7">
        <f t="shared" si="20"/>
        <v>6</v>
      </c>
      <c r="I32" s="116" t="str">
        <f t="shared" si="21"/>
        <v>H</v>
      </c>
      <c r="J32" s="7" t="str">
        <f t="shared" si="22"/>
        <v>EEI</v>
      </c>
      <c r="K32" s="127">
        <f t="shared" si="23"/>
        <v>6</v>
      </c>
      <c r="L32" s="127">
        <f>IF(NOT(ISERROR(VLOOKUP(B32,Deflatores!G$42:H$64,2,FALSE))),VLOOKUP(B32,Deflatores!G$42:H$64,2,FALSE),IF(OR(ISBLANK(C32),ISBLANK(B32)),"",VLOOKUP(C32,Deflatores!G$4:H$38,2,FALSE)*H32+VLOOKUP(C32,Deflatores!G$4:I$38,3,FALSE)))</f>
        <v>6</v>
      </c>
      <c r="M32" s="10"/>
      <c r="N32" s="10"/>
      <c r="O32" s="6"/>
    </row>
    <row r="33" spans="1:15" x14ac:dyDescent="0.25">
      <c r="A33" s="119" t="s">
        <v>69</v>
      </c>
      <c r="B33" s="4" t="s">
        <v>45</v>
      </c>
      <c r="C33" s="4" t="s">
        <v>50</v>
      </c>
      <c r="D33" s="7">
        <v>3</v>
      </c>
      <c r="E33" s="7">
        <v>1</v>
      </c>
      <c r="F33" s="116" t="str">
        <f t="shared" si="18"/>
        <v>Baixa</v>
      </c>
      <c r="G33" s="7" t="str">
        <f t="shared" si="19"/>
        <v>EEL</v>
      </c>
      <c r="H33" s="7">
        <f t="shared" si="20"/>
        <v>3</v>
      </c>
      <c r="I33" s="116" t="str">
        <f t="shared" si="21"/>
        <v>L</v>
      </c>
      <c r="J33" s="7" t="str">
        <f t="shared" si="22"/>
        <v>EEI</v>
      </c>
      <c r="K33" s="127">
        <f t="shared" si="23"/>
        <v>3</v>
      </c>
      <c r="L33" s="127">
        <f>IF(NOT(ISERROR(VLOOKUP(B33,Deflatores!G$42:H$64,2,FALSE))),VLOOKUP(B33,Deflatores!G$42:H$64,2,FALSE),IF(OR(ISBLANK(C33),ISBLANK(B33)),"",VLOOKUP(C33,Deflatores!G$4:H$38,2,FALSE)*H33+VLOOKUP(C33,Deflatores!G$4:I$38,3,FALSE)))</f>
        <v>3</v>
      </c>
      <c r="M33" s="10"/>
      <c r="N33" s="10"/>
      <c r="O33" s="6"/>
    </row>
    <row r="34" spans="1:15" x14ac:dyDescent="0.25">
      <c r="A34" s="119" t="s">
        <v>70</v>
      </c>
      <c r="B34" s="4" t="s">
        <v>45</v>
      </c>
      <c r="C34" s="4" t="s">
        <v>50</v>
      </c>
      <c r="D34" s="7">
        <v>4</v>
      </c>
      <c r="E34" s="7">
        <v>1</v>
      </c>
      <c r="F34" s="116" t="str">
        <f t="shared" si="18"/>
        <v>Baixa</v>
      </c>
      <c r="G34" s="7" t="str">
        <f t="shared" si="19"/>
        <v>EEL</v>
      </c>
      <c r="H34" s="7">
        <f t="shared" si="20"/>
        <v>3</v>
      </c>
      <c r="I34" s="116" t="str">
        <f t="shared" si="21"/>
        <v>L</v>
      </c>
      <c r="J34" s="7" t="str">
        <f t="shared" si="22"/>
        <v>EEI</v>
      </c>
      <c r="K34" s="127">
        <f t="shared" si="23"/>
        <v>3</v>
      </c>
      <c r="L34" s="127">
        <f>IF(NOT(ISERROR(VLOOKUP(B34,Deflatores!G$42:H$64,2,FALSE))),VLOOKUP(B34,Deflatores!G$42:H$64,2,FALSE),IF(OR(ISBLANK(C34),ISBLANK(B34)),"",VLOOKUP(C34,Deflatores!G$4:H$38,2,FALSE)*H34+VLOOKUP(C34,Deflatores!G$4:I$38,3,FALSE)))</f>
        <v>3</v>
      </c>
      <c r="M34" s="10"/>
      <c r="N34" s="10"/>
      <c r="O34" s="6"/>
    </row>
    <row r="35" spans="1:15" x14ac:dyDescent="0.25">
      <c r="A35" s="119" t="s">
        <v>71</v>
      </c>
      <c r="B35" s="4" t="s">
        <v>45</v>
      </c>
      <c r="C35" s="4" t="s">
        <v>50</v>
      </c>
      <c r="D35" s="7">
        <v>10</v>
      </c>
      <c r="E35" s="7">
        <v>4</v>
      </c>
      <c r="F35" s="116" t="str">
        <f t="shared" si="18"/>
        <v>Alta</v>
      </c>
      <c r="G35" s="7" t="str">
        <f t="shared" si="19"/>
        <v>EEH</v>
      </c>
      <c r="H35" s="7">
        <f t="shared" si="20"/>
        <v>6</v>
      </c>
      <c r="I35" s="116" t="str">
        <f t="shared" si="21"/>
        <v>H</v>
      </c>
      <c r="J35" s="7" t="str">
        <f t="shared" si="22"/>
        <v>EEI</v>
      </c>
      <c r="K35" s="127">
        <f t="shared" si="23"/>
        <v>6</v>
      </c>
      <c r="L35" s="127">
        <f>IF(NOT(ISERROR(VLOOKUP(B35,Deflatores!G$42:H$64,2,FALSE))),VLOOKUP(B35,Deflatores!G$42:H$64,2,FALSE),IF(OR(ISBLANK(C35),ISBLANK(B35)),"",VLOOKUP(C35,Deflatores!G$4:H$38,2,FALSE)*H35+VLOOKUP(C35,Deflatores!G$4:I$38,3,FALSE)))</f>
        <v>6</v>
      </c>
      <c r="M35" s="10"/>
      <c r="N35" s="10"/>
      <c r="O35" s="6"/>
    </row>
    <row r="36" spans="1:15" x14ac:dyDescent="0.25">
      <c r="A36" s="179"/>
      <c r="B36" s="125"/>
      <c r="C36" s="4"/>
      <c r="D36" s="7"/>
      <c r="E36" s="7"/>
      <c r="F36" s="116" t="str">
        <f t="shared" si="18"/>
        <v/>
      </c>
      <c r="G36" s="7" t="str">
        <f t="shared" si="19"/>
        <v/>
      </c>
      <c r="H36" s="7" t="str">
        <f t="shared" si="20"/>
        <v/>
      </c>
      <c r="I36" s="116" t="str">
        <f t="shared" si="21"/>
        <v/>
      </c>
      <c r="J36" s="7" t="str">
        <f t="shared" si="22"/>
        <v/>
      </c>
      <c r="K36" s="127" t="str">
        <f t="shared" si="23"/>
        <v/>
      </c>
      <c r="L36" s="127" t="str">
        <f>IF(NOT(ISERROR(VLOOKUP(B36,Deflatores!G$42:H$64,2,FALSE))),VLOOKUP(B36,Deflatores!G$42:H$64,2,FALSE),IF(OR(ISBLANK(C36),ISBLANK(B36)),"",VLOOKUP(C36,Deflatores!G$4:H$38,2,FALSE)*H36+VLOOKUP(C36,Deflatores!G$4:I$38,3,FALSE)))</f>
        <v/>
      </c>
      <c r="M36" s="10"/>
      <c r="N36" s="10"/>
      <c r="O36" s="6"/>
    </row>
    <row r="37" spans="1:15" x14ac:dyDescent="0.25">
      <c r="A37" s="181" t="s">
        <v>72</v>
      </c>
      <c r="B37" s="125"/>
      <c r="C37" s="4"/>
      <c r="D37" s="7"/>
      <c r="E37" s="7"/>
      <c r="F37" s="116" t="str">
        <f t="shared" si="18"/>
        <v/>
      </c>
      <c r="G37" s="7" t="str">
        <f t="shared" si="19"/>
        <v/>
      </c>
      <c r="H37" s="7" t="str">
        <f t="shared" si="20"/>
        <v/>
      </c>
      <c r="I37" s="116" t="str">
        <f t="shared" si="21"/>
        <v/>
      </c>
      <c r="J37" s="7" t="str">
        <f t="shared" si="22"/>
        <v/>
      </c>
      <c r="K37" s="127" t="str">
        <f t="shared" si="23"/>
        <v/>
      </c>
      <c r="L37" s="127" t="str">
        <f>IF(NOT(ISERROR(VLOOKUP(B37,Deflatores!G$42:H$64,2,FALSE))),VLOOKUP(B37,Deflatores!G$42:H$64,2,FALSE),IF(OR(ISBLANK(C37),ISBLANK(B37)),"",VLOOKUP(C37,Deflatores!G$4:H$38,2,FALSE)*H37+VLOOKUP(C37,Deflatores!G$4:I$38,3,FALSE)))</f>
        <v/>
      </c>
      <c r="M37" s="10"/>
      <c r="N37" s="10"/>
      <c r="O37" s="6"/>
    </row>
    <row r="38" spans="1:15" x14ac:dyDescent="0.25">
      <c r="A38" s="179" t="s">
        <v>73</v>
      </c>
      <c r="B38" s="125" t="s">
        <v>61</v>
      </c>
      <c r="C38" s="4" t="s">
        <v>50</v>
      </c>
      <c r="D38" s="7">
        <v>16</v>
      </c>
      <c r="E38" s="7">
        <v>3</v>
      </c>
      <c r="F38" s="116" t="str">
        <f t="shared" si="18"/>
        <v>Baixa</v>
      </c>
      <c r="G38" s="7" t="str">
        <f t="shared" si="19"/>
        <v>ALIL</v>
      </c>
      <c r="H38" s="7">
        <f t="shared" si="20"/>
        <v>7</v>
      </c>
      <c r="I38" s="116" t="str">
        <f t="shared" si="21"/>
        <v>L</v>
      </c>
      <c r="J38" s="7" t="str">
        <f t="shared" si="22"/>
        <v>ALII</v>
      </c>
      <c r="K38" s="127">
        <f t="shared" si="23"/>
        <v>7</v>
      </c>
      <c r="L38" s="127">
        <f>IF(NOT(ISERROR(VLOOKUP(B38,Deflatores!G$42:H$64,2,FALSE))),VLOOKUP(B38,Deflatores!G$42:H$64,2,FALSE),IF(OR(ISBLANK(C38),ISBLANK(B38)),"",VLOOKUP(C38,Deflatores!G$4:H$38,2,FALSE)*H38+VLOOKUP(C38,Deflatores!G$4:I$38,3,FALSE)))</f>
        <v>7</v>
      </c>
      <c r="M38" s="10"/>
      <c r="N38" s="10"/>
      <c r="O38" s="6"/>
    </row>
    <row r="39" spans="1:15" ht="13.5" customHeight="1" x14ac:dyDescent="0.25">
      <c r="A39" s="179" t="s">
        <v>74</v>
      </c>
      <c r="B39" s="4" t="s">
        <v>49</v>
      </c>
      <c r="C39" s="4" t="s">
        <v>50</v>
      </c>
      <c r="D39" s="7">
        <v>3</v>
      </c>
      <c r="E39" s="7">
        <v>1</v>
      </c>
      <c r="F39" s="116" t="str">
        <f t="shared" si="18"/>
        <v>Baixa</v>
      </c>
      <c r="G39" s="7" t="str">
        <f t="shared" si="19"/>
        <v>AIEL</v>
      </c>
      <c r="H39" s="7">
        <f t="shared" si="20"/>
        <v>5</v>
      </c>
      <c r="I39" s="116" t="str">
        <f t="shared" si="21"/>
        <v>L</v>
      </c>
      <c r="J39" s="7" t="str">
        <f t="shared" si="22"/>
        <v>AIEI</v>
      </c>
      <c r="K39" s="127">
        <f t="shared" si="23"/>
        <v>5</v>
      </c>
      <c r="L39" s="127">
        <f>IF(NOT(ISERROR(VLOOKUP(B39,Deflatores!G$42:H$64,2,FALSE))),VLOOKUP(B39,Deflatores!G$42:H$64,2,FALSE),IF(OR(ISBLANK(C39),ISBLANK(B39)),"",VLOOKUP(C39,Deflatores!G$4:H$38,2,FALSE)*H39+VLOOKUP(C39,Deflatores!G$4:I$38,3,FALSE)))</f>
        <v>5</v>
      </c>
      <c r="M39" s="10"/>
      <c r="N39" s="10"/>
      <c r="O39" s="6"/>
    </row>
    <row r="40" spans="1:15" x14ac:dyDescent="0.25">
      <c r="A40" s="179" t="s">
        <v>75</v>
      </c>
      <c r="B40" s="4" t="s">
        <v>45</v>
      </c>
      <c r="C40" s="4" t="s">
        <v>50</v>
      </c>
      <c r="D40" s="7">
        <v>18</v>
      </c>
      <c r="E40" s="7">
        <v>3</v>
      </c>
      <c r="F40" s="116" t="str">
        <f t="shared" si="18"/>
        <v>Alta</v>
      </c>
      <c r="G40" s="7" t="str">
        <f t="shared" si="19"/>
        <v>EEH</v>
      </c>
      <c r="H40" s="7">
        <f t="shared" si="20"/>
        <v>6</v>
      </c>
      <c r="I40" s="116" t="str">
        <f t="shared" si="21"/>
        <v>H</v>
      </c>
      <c r="J40" s="7" t="str">
        <f t="shared" si="22"/>
        <v>EEI</v>
      </c>
      <c r="K40" s="127">
        <f t="shared" si="23"/>
        <v>6</v>
      </c>
      <c r="L40" s="127">
        <f>IF(NOT(ISERROR(VLOOKUP(B40,Deflatores!G$42:H$64,2,FALSE))),VLOOKUP(B40,Deflatores!G$42:H$64,2,FALSE),IF(OR(ISBLANK(C40),ISBLANK(B40)),"",VLOOKUP(C40,Deflatores!G$4:H$38,2,FALSE)*H40+VLOOKUP(C40,Deflatores!G$4:I$38,3,FALSE)))</f>
        <v>6</v>
      </c>
      <c r="M40" s="10"/>
      <c r="N40" s="10"/>
      <c r="O40" s="6"/>
    </row>
    <row r="41" spans="1:15" x14ac:dyDescent="0.25">
      <c r="A41" s="180" t="s">
        <v>76</v>
      </c>
      <c r="B41" s="4" t="s">
        <v>52</v>
      </c>
      <c r="C41" s="4" t="s">
        <v>77</v>
      </c>
      <c r="D41" s="7">
        <v>3</v>
      </c>
      <c r="E41" s="7">
        <v>1</v>
      </c>
      <c r="F41" s="116" t="str">
        <f t="shared" ref="F41:F74" si="24">IF(ISBLANK(B41),"",IF(I41="L","Baixa",IF(I41="A","Média",IF(I41="","","Alta"))))</f>
        <v>Baixa</v>
      </c>
      <c r="G41" s="7" t="str">
        <f t="shared" ref="G41:G74" si="25">CONCATENATE(B41,I41)</f>
        <v>CEL</v>
      </c>
      <c r="H41" s="7">
        <f t="shared" ref="H41:H74" si="26">IF(ISBLANK(B41),"",IF(B41="ALI",IF(I41="L",7,IF(I41="A",10,15)),IF(B41="AIE",IF(I41="L",5,IF(I41="A",7,10)),IF(B41="SE",IF(I41="L",4,IF(I41="A",5,7)),IF(OR(B41="EE",B41="CE"),IF(I41="L",3,IF(I41="A",4,6)),0)))))</f>
        <v>3</v>
      </c>
      <c r="I41" s="116" t="str">
        <f t="shared" ref="I41:I74" si="27">IF(OR(ISBLANK(D41),ISBLANK(E41)),IF(OR(B41="ALI",B41="AIE"),"L",IF(OR(B41="EE",B41="SE",B41="CE"),"A","")),IF(B41="EE",IF(E41&gt;=3,IF(D41&gt;=5,"H","A"),IF(E41&gt;=2,IF(D41&gt;=16,"H",IF(D41&lt;=4,"L","A")),IF(D41&lt;=15,"L","A"))),IF(OR(B41="SE",B41="CE"),IF(E41&gt;=4,IF(D41&gt;=6,"H","A"),IF(E41&gt;=2,IF(D41&gt;=20,"H",IF(D41&lt;=5,"L","A")),IF(D41&lt;=19,"L","A"))),IF(OR(B41="ALI",B41="AIE"),IF(E41&gt;=6,IF(D41&gt;=20,"H","A"),IF(E41&gt;=2,IF(D41&gt;=51,"H",IF(D41&lt;=19,"L","A")),IF(D41&lt;=50,"L","A"))),""))))</f>
        <v>L</v>
      </c>
      <c r="J41" s="7" t="str">
        <f t="shared" ref="J41:J74" si="28">CONCATENATE(B41,C41)</f>
        <v>CEE</v>
      </c>
      <c r="K41" s="127">
        <f t="shared" ref="K41:K74" si="29">IF(OR(H41="",H41=0),L41,H41)</f>
        <v>3</v>
      </c>
      <c r="L41" s="127">
        <f>IF(NOT(ISERROR(VLOOKUP(B41,Deflatores!G$42:H$64,2,FALSE))),VLOOKUP(B41,Deflatores!G$42:H$64,2,FALSE),IF(OR(ISBLANK(C41),ISBLANK(B41)),"",VLOOKUP(C41,Deflatores!G$4:H$38,2,FALSE)*H41+VLOOKUP(C41,Deflatores!G$4:I$38,3,FALSE)))</f>
        <v>1.2000000000000002</v>
      </c>
      <c r="M41" s="10"/>
      <c r="N41" s="10"/>
      <c r="O41" s="6"/>
    </row>
    <row r="42" spans="1:15" x14ac:dyDescent="0.25">
      <c r="A42" s="180" t="s">
        <v>78</v>
      </c>
      <c r="B42" s="4" t="s">
        <v>52</v>
      </c>
      <c r="C42" s="4" t="s">
        <v>77</v>
      </c>
      <c r="D42" s="7">
        <v>3</v>
      </c>
      <c r="E42" s="7">
        <v>1</v>
      </c>
      <c r="F42" s="116" t="str">
        <f t="shared" si="24"/>
        <v>Baixa</v>
      </c>
      <c r="G42" s="7" t="str">
        <f t="shared" si="25"/>
        <v>CEL</v>
      </c>
      <c r="H42" s="7">
        <f t="shared" si="26"/>
        <v>3</v>
      </c>
      <c r="I42" s="116" t="str">
        <f t="shared" si="27"/>
        <v>L</v>
      </c>
      <c r="J42" s="7" t="str">
        <f t="shared" si="28"/>
        <v>CEE</v>
      </c>
      <c r="K42" s="127">
        <f t="shared" si="29"/>
        <v>3</v>
      </c>
      <c r="L42" s="127">
        <f>IF(NOT(ISERROR(VLOOKUP(B42,Deflatores!G$42:H$64,2,FALSE))),VLOOKUP(B42,Deflatores!G$42:H$64,2,FALSE),IF(OR(ISBLANK(C42),ISBLANK(B42)),"",VLOOKUP(C42,Deflatores!G$4:H$38,2,FALSE)*H42+VLOOKUP(C42,Deflatores!G$4:I$38,3,FALSE)))</f>
        <v>1.2000000000000002</v>
      </c>
      <c r="M42" s="10"/>
      <c r="N42" s="10"/>
      <c r="O42" s="6"/>
    </row>
    <row r="43" spans="1:15" x14ac:dyDescent="0.25">
      <c r="A43" s="180" t="s">
        <v>79</v>
      </c>
      <c r="B43" s="4" t="s">
        <v>52</v>
      </c>
      <c r="C43" s="4" t="s">
        <v>50</v>
      </c>
      <c r="D43" s="7">
        <v>3</v>
      </c>
      <c r="E43" s="7">
        <v>1</v>
      </c>
      <c r="F43" s="116" t="str">
        <f t="shared" si="24"/>
        <v>Baixa</v>
      </c>
      <c r="G43" s="7" t="str">
        <f t="shared" si="25"/>
        <v>CEL</v>
      </c>
      <c r="H43" s="7">
        <f t="shared" si="26"/>
        <v>3</v>
      </c>
      <c r="I43" s="116" t="str">
        <f t="shared" si="27"/>
        <v>L</v>
      </c>
      <c r="J43" s="7" t="str">
        <f t="shared" si="28"/>
        <v>CEI</v>
      </c>
      <c r="K43" s="127">
        <f t="shared" si="29"/>
        <v>3</v>
      </c>
      <c r="L43" s="127">
        <f>IF(NOT(ISERROR(VLOOKUP(B43,Deflatores!G$42:H$64,2,FALSE))),VLOOKUP(B43,Deflatores!G$42:H$64,2,FALSE),IF(OR(ISBLANK(C43),ISBLANK(B43)),"",VLOOKUP(C43,Deflatores!G$4:H$38,2,FALSE)*H43+VLOOKUP(C43,Deflatores!G$4:I$38,3,FALSE)))</f>
        <v>3</v>
      </c>
      <c r="M43" s="10"/>
      <c r="N43" s="10"/>
      <c r="O43" s="6"/>
    </row>
    <row r="44" spans="1:15" x14ac:dyDescent="0.25">
      <c r="A44" s="180" t="s">
        <v>80</v>
      </c>
      <c r="B44" s="4" t="s">
        <v>52</v>
      </c>
      <c r="C44" s="4" t="s">
        <v>50</v>
      </c>
      <c r="D44" s="7">
        <v>3</v>
      </c>
      <c r="E44" s="7">
        <v>1</v>
      </c>
      <c r="F44" s="116" t="str">
        <f t="shared" si="24"/>
        <v>Baixa</v>
      </c>
      <c r="G44" s="7" t="str">
        <f t="shared" si="25"/>
        <v>CEL</v>
      </c>
      <c r="H44" s="7">
        <f t="shared" si="26"/>
        <v>3</v>
      </c>
      <c r="I44" s="116" t="str">
        <f t="shared" si="27"/>
        <v>L</v>
      </c>
      <c r="J44" s="7" t="str">
        <f t="shared" si="28"/>
        <v>CEI</v>
      </c>
      <c r="K44" s="127">
        <f t="shared" si="29"/>
        <v>3</v>
      </c>
      <c r="L44" s="127">
        <f>IF(NOT(ISERROR(VLOOKUP(B44,Deflatores!G$42:H$64,2,FALSE))),VLOOKUP(B44,Deflatores!G$42:H$64,2,FALSE),IF(OR(ISBLANK(C44),ISBLANK(B44)),"",VLOOKUP(C44,Deflatores!G$4:H$38,2,FALSE)*H44+VLOOKUP(C44,Deflatores!G$4:I$38,3,FALSE)))</f>
        <v>3</v>
      </c>
      <c r="M44" s="10"/>
      <c r="N44" s="10"/>
      <c r="O44" s="6"/>
    </row>
    <row r="45" spans="1:15" x14ac:dyDescent="0.25">
      <c r="A45" s="179" t="s">
        <v>81</v>
      </c>
      <c r="B45" s="4" t="s">
        <v>45</v>
      </c>
      <c r="C45" s="4" t="s">
        <v>50</v>
      </c>
      <c r="D45" s="7">
        <v>16</v>
      </c>
      <c r="E45" s="7">
        <v>2</v>
      </c>
      <c r="F45" s="116" t="str">
        <f t="shared" si="24"/>
        <v>Alta</v>
      </c>
      <c r="G45" s="7" t="str">
        <f t="shared" si="25"/>
        <v>EEH</v>
      </c>
      <c r="H45" s="7">
        <f t="shared" si="26"/>
        <v>6</v>
      </c>
      <c r="I45" s="116" t="str">
        <f t="shared" si="27"/>
        <v>H</v>
      </c>
      <c r="J45" s="7" t="str">
        <f t="shared" si="28"/>
        <v>EEI</v>
      </c>
      <c r="K45" s="127">
        <f t="shared" si="29"/>
        <v>6</v>
      </c>
      <c r="L45" s="127">
        <f>IF(NOT(ISERROR(VLOOKUP(B45,Deflatores!G$42:H$64,2,FALSE))),VLOOKUP(B45,Deflatores!G$42:H$64,2,FALSE),IF(OR(ISBLANK(C45),ISBLANK(B45)),"",VLOOKUP(C45,Deflatores!G$4:H$38,2,FALSE)*H45+VLOOKUP(C45,Deflatores!G$4:I$38,3,FALSE)))</f>
        <v>6</v>
      </c>
      <c r="M45" s="10"/>
      <c r="N45" s="10"/>
      <c r="O45" s="6"/>
    </row>
    <row r="46" spans="1:15" x14ac:dyDescent="0.25">
      <c r="A46" s="180" t="s">
        <v>82</v>
      </c>
      <c r="B46" s="4" t="s">
        <v>52</v>
      </c>
      <c r="C46" s="4" t="s">
        <v>50</v>
      </c>
      <c r="D46" s="7">
        <v>16</v>
      </c>
      <c r="E46" s="7">
        <v>3</v>
      </c>
      <c r="F46" s="116" t="str">
        <f t="shared" si="24"/>
        <v>Média</v>
      </c>
      <c r="G46" s="7" t="str">
        <f t="shared" si="25"/>
        <v>CEA</v>
      </c>
      <c r="H46" s="7">
        <f t="shared" si="26"/>
        <v>4</v>
      </c>
      <c r="I46" s="116" t="str">
        <f t="shared" si="27"/>
        <v>A</v>
      </c>
      <c r="J46" s="7" t="str">
        <f t="shared" si="28"/>
        <v>CEI</v>
      </c>
      <c r="K46" s="127">
        <f t="shared" si="29"/>
        <v>4</v>
      </c>
      <c r="L46" s="127">
        <f>IF(NOT(ISERROR(VLOOKUP(B46,Deflatores!G$42:H$64,2,FALSE))),VLOOKUP(B46,Deflatores!G$42:H$64,2,FALSE),IF(OR(ISBLANK(C46),ISBLANK(B46)),"",VLOOKUP(C46,Deflatores!G$4:H$38,2,FALSE)*H46+VLOOKUP(C46,Deflatores!G$4:I$38,3,FALSE)))</f>
        <v>4</v>
      </c>
      <c r="M46" s="10"/>
      <c r="N46" s="10"/>
      <c r="O46" s="6"/>
    </row>
    <row r="47" spans="1:15" x14ac:dyDescent="0.25">
      <c r="A47" s="179" t="s">
        <v>83</v>
      </c>
      <c r="B47" s="4" t="s">
        <v>52</v>
      </c>
      <c r="C47" s="4" t="s">
        <v>50</v>
      </c>
      <c r="D47" s="7">
        <v>8</v>
      </c>
      <c r="E47" s="7">
        <v>2</v>
      </c>
      <c r="F47" s="116" t="str">
        <f t="shared" si="24"/>
        <v>Média</v>
      </c>
      <c r="G47" s="7" t="str">
        <f t="shared" si="25"/>
        <v>CEA</v>
      </c>
      <c r="H47" s="7">
        <f t="shared" si="26"/>
        <v>4</v>
      </c>
      <c r="I47" s="116" t="str">
        <f t="shared" si="27"/>
        <v>A</v>
      </c>
      <c r="J47" s="7" t="str">
        <f t="shared" si="28"/>
        <v>CEI</v>
      </c>
      <c r="K47" s="127">
        <f t="shared" si="29"/>
        <v>4</v>
      </c>
      <c r="L47" s="127">
        <f>IF(NOT(ISERROR(VLOOKUP(B47,Deflatores!G$42:H$64,2,FALSE))),VLOOKUP(B47,Deflatores!G$42:H$64,2,FALSE),IF(OR(ISBLANK(C47),ISBLANK(B47)),"",VLOOKUP(C47,Deflatores!G$4:H$38,2,FALSE)*H47+VLOOKUP(C47,Deflatores!G$4:I$38,3,FALSE)))</f>
        <v>4</v>
      </c>
      <c r="M47" s="10"/>
      <c r="N47" s="10"/>
      <c r="O47" s="6"/>
    </row>
    <row r="48" spans="1:15" x14ac:dyDescent="0.25">
      <c r="A48" s="179" t="s">
        <v>84</v>
      </c>
      <c r="B48" s="4" t="s">
        <v>52</v>
      </c>
      <c r="C48" s="4" t="s">
        <v>50</v>
      </c>
      <c r="D48" s="7">
        <v>18</v>
      </c>
      <c r="E48" s="7">
        <v>3</v>
      </c>
      <c r="F48" s="116" t="str">
        <f t="shared" si="24"/>
        <v>Média</v>
      </c>
      <c r="G48" s="7" t="str">
        <f t="shared" si="25"/>
        <v>CEA</v>
      </c>
      <c r="H48" s="7">
        <f t="shared" si="26"/>
        <v>4</v>
      </c>
      <c r="I48" s="116" t="str">
        <f t="shared" si="27"/>
        <v>A</v>
      </c>
      <c r="J48" s="7" t="str">
        <f t="shared" si="28"/>
        <v>CEI</v>
      </c>
      <c r="K48" s="127">
        <f t="shared" si="29"/>
        <v>4</v>
      </c>
      <c r="L48" s="127">
        <f>IF(NOT(ISERROR(VLOOKUP(B48,Deflatores!G$42:H$64,2,FALSE))),VLOOKUP(B48,Deflatores!G$42:H$64,2,FALSE),IF(OR(ISBLANK(C48),ISBLANK(B48)),"",VLOOKUP(C48,Deflatores!G$4:H$38,2,FALSE)*H48+VLOOKUP(C48,Deflatores!G$4:I$38,3,FALSE)))</f>
        <v>4</v>
      </c>
      <c r="M48" s="10"/>
      <c r="N48" s="10"/>
      <c r="O48" s="6"/>
    </row>
    <row r="49" spans="1:15" x14ac:dyDescent="0.25">
      <c r="A49" s="179" t="s">
        <v>85</v>
      </c>
      <c r="B49" s="4" t="s">
        <v>45</v>
      </c>
      <c r="C49" s="4" t="s">
        <v>50</v>
      </c>
      <c r="D49" s="7">
        <v>4</v>
      </c>
      <c r="E49" s="7">
        <v>1</v>
      </c>
      <c r="F49" s="116" t="str">
        <f t="shared" si="24"/>
        <v>Baixa</v>
      </c>
      <c r="G49" s="7" t="str">
        <f t="shared" si="25"/>
        <v>EEL</v>
      </c>
      <c r="H49" s="7">
        <f t="shared" si="26"/>
        <v>3</v>
      </c>
      <c r="I49" s="116" t="str">
        <f t="shared" si="27"/>
        <v>L</v>
      </c>
      <c r="J49" s="7" t="str">
        <f t="shared" si="28"/>
        <v>EEI</v>
      </c>
      <c r="K49" s="127">
        <f t="shared" si="29"/>
        <v>3</v>
      </c>
      <c r="L49" s="127">
        <f>IF(NOT(ISERROR(VLOOKUP(B49,Deflatores!G$42:H$64,2,FALSE))),VLOOKUP(B49,Deflatores!G$42:H$64,2,FALSE),IF(OR(ISBLANK(C49),ISBLANK(B49)),"",VLOOKUP(C49,Deflatores!G$4:H$38,2,FALSE)*H49+VLOOKUP(C49,Deflatores!G$4:I$38,3,FALSE)))</f>
        <v>3</v>
      </c>
      <c r="M49" s="10"/>
      <c r="N49" s="10"/>
      <c r="O49" s="6"/>
    </row>
    <row r="50" spans="1:15" x14ac:dyDescent="0.25">
      <c r="A50" s="179"/>
      <c r="B50" s="4"/>
      <c r="C50" s="4"/>
      <c r="D50" s="7"/>
      <c r="E50" s="7"/>
      <c r="F50" s="116" t="str">
        <f t="shared" si="24"/>
        <v/>
      </c>
      <c r="G50" s="7" t="str">
        <f t="shared" si="25"/>
        <v/>
      </c>
      <c r="H50" s="7" t="str">
        <f t="shared" si="26"/>
        <v/>
      </c>
      <c r="I50" s="116" t="str">
        <f t="shared" si="27"/>
        <v/>
      </c>
      <c r="J50" s="7" t="str">
        <f t="shared" si="28"/>
        <v/>
      </c>
      <c r="K50" s="127" t="str">
        <f t="shared" si="29"/>
        <v/>
      </c>
      <c r="L50" s="127" t="str">
        <f>IF(NOT(ISERROR(VLOOKUP(B50,Deflatores!G$42:H$64,2,FALSE))),VLOOKUP(B50,Deflatores!G$42:H$64,2,FALSE),IF(OR(ISBLANK(C50),ISBLANK(B50)),"",VLOOKUP(C50,Deflatores!G$4:H$38,2,FALSE)*H50+VLOOKUP(C50,Deflatores!G$4:I$38,3,FALSE)))</f>
        <v/>
      </c>
      <c r="M50" s="10"/>
      <c r="N50" s="10"/>
      <c r="O50" s="6"/>
    </row>
    <row r="51" spans="1:15" x14ac:dyDescent="0.25">
      <c r="A51" s="181" t="s">
        <v>86</v>
      </c>
      <c r="B51" s="4"/>
      <c r="C51" s="4"/>
      <c r="D51" s="7"/>
      <c r="E51" s="7"/>
      <c r="F51" s="116" t="str">
        <f t="shared" si="24"/>
        <v/>
      </c>
      <c r="G51" s="7" t="str">
        <f t="shared" si="25"/>
        <v/>
      </c>
      <c r="H51" s="7" t="str">
        <f t="shared" si="26"/>
        <v/>
      </c>
      <c r="I51" s="116" t="str">
        <f t="shared" si="27"/>
        <v/>
      </c>
      <c r="J51" s="7" t="str">
        <f t="shared" si="28"/>
        <v/>
      </c>
      <c r="K51" s="127" t="str">
        <f t="shared" si="29"/>
        <v/>
      </c>
      <c r="L51" s="127" t="str">
        <f>IF(NOT(ISERROR(VLOOKUP(B51,Deflatores!G$42:H$64,2,FALSE))),VLOOKUP(B51,Deflatores!G$42:H$64,2,FALSE),IF(OR(ISBLANK(C51),ISBLANK(B51)),"",VLOOKUP(C51,Deflatores!G$4:H$38,2,FALSE)*H51+VLOOKUP(C51,Deflatores!G$4:I$38,3,FALSE)))</f>
        <v/>
      </c>
      <c r="M51" s="10"/>
      <c r="N51" s="10"/>
      <c r="O51" s="6"/>
    </row>
    <row r="52" spans="1:15" x14ac:dyDescent="0.25">
      <c r="A52" s="179" t="s">
        <v>87</v>
      </c>
      <c r="B52" s="4" t="s">
        <v>49</v>
      </c>
      <c r="C52" s="4" t="s">
        <v>50</v>
      </c>
      <c r="D52" s="7">
        <v>9</v>
      </c>
      <c r="E52" s="7">
        <v>4</v>
      </c>
      <c r="F52" s="116" t="str">
        <f t="shared" si="24"/>
        <v>Baixa</v>
      </c>
      <c r="G52" s="7" t="str">
        <f t="shared" si="25"/>
        <v>AIEL</v>
      </c>
      <c r="H52" s="7">
        <f t="shared" si="26"/>
        <v>5</v>
      </c>
      <c r="I52" s="116" t="str">
        <f t="shared" si="27"/>
        <v>L</v>
      </c>
      <c r="J52" s="7" t="str">
        <f t="shared" si="28"/>
        <v>AIEI</v>
      </c>
      <c r="K52" s="127">
        <f t="shared" si="29"/>
        <v>5</v>
      </c>
      <c r="L52" s="127">
        <f>IF(NOT(ISERROR(VLOOKUP(B52,Deflatores!G$42:H$64,2,FALSE))),VLOOKUP(B52,Deflatores!G$42:H$64,2,FALSE),IF(OR(ISBLANK(C52),ISBLANK(B52)),"",VLOOKUP(C52,Deflatores!G$4:H$38,2,FALSE)*H52+VLOOKUP(C52,Deflatores!G$4:I$38,3,FALSE)))</f>
        <v>5</v>
      </c>
      <c r="M52" s="10"/>
      <c r="N52" s="10"/>
      <c r="O52" s="6"/>
    </row>
    <row r="53" spans="1:15" x14ac:dyDescent="0.25">
      <c r="A53" s="179" t="s">
        <v>88</v>
      </c>
      <c r="B53" s="4" t="s">
        <v>49</v>
      </c>
      <c r="C53" s="4" t="s">
        <v>50</v>
      </c>
      <c r="D53" s="7">
        <v>2</v>
      </c>
      <c r="E53" s="7">
        <v>1</v>
      </c>
      <c r="F53" s="116" t="str">
        <f t="shared" si="24"/>
        <v>Baixa</v>
      </c>
      <c r="G53" s="7" t="str">
        <f t="shared" si="25"/>
        <v>AIEL</v>
      </c>
      <c r="H53" s="7">
        <f t="shared" si="26"/>
        <v>5</v>
      </c>
      <c r="I53" s="116" t="str">
        <f t="shared" si="27"/>
        <v>L</v>
      </c>
      <c r="J53" s="7" t="str">
        <f t="shared" si="28"/>
        <v>AIEI</v>
      </c>
      <c r="K53" s="127">
        <f t="shared" si="29"/>
        <v>5</v>
      </c>
      <c r="L53" s="127">
        <f>IF(NOT(ISERROR(VLOOKUP(B53,Deflatores!G$42:H$64,2,FALSE))),VLOOKUP(B53,Deflatores!G$42:H$64,2,FALSE),IF(OR(ISBLANK(C53),ISBLANK(B53)),"",VLOOKUP(C53,Deflatores!G$4:H$38,2,FALSE)*H53+VLOOKUP(C53,Deflatores!G$4:I$38,3,FALSE)))</f>
        <v>5</v>
      </c>
      <c r="M53" s="10"/>
      <c r="N53" s="10"/>
      <c r="O53" s="6"/>
    </row>
    <row r="54" spans="1:15" x14ac:dyDescent="0.25">
      <c r="A54" s="179" t="s">
        <v>89</v>
      </c>
      <c r="B54" s="4" t="s">
        <v>52</v>
      </c>
      <c r="C54" s="4" t="s">
        <v>50</v>
      </c>
      <c r="D54" s="7">
        <v>3</v>
      </c>
      <c r="E54" s="7">
        <v>1</v>
      </c>
      <c r="F54" s="116" t="str">
        <f t="shared" si="24"/>
        <v>Baixa</v>
      </c>
      <c r="G54" s="7" t="str">
        <f t="shared" si="25"/>
        <v>CEL</v>
      </c>
      <c r="H54" s="7">
        <f t="shared" si="26"/>
        <v>3</v>
      </c>
      <c r="I54" s="116" t="str">
        <f t="shared" si="27"/>
        <v>L</v>
      </c>
      <c r="J54" s="7" t="str">
        <f t="shared" si="28"/>
        <v>CEI</v>
      </c>
      <c r="K54" s="127">
        <f t="shared" si="29"/>
        <v>3</v>
      </c>
      <c r="L54" s="127">
        <f>IF(NOT(ISERROR(VLOOKUP(B54,Deflatores!G$42:H$64,2,FALSE))),VLOOKUP(B54,Deflatores!G$42:H$64,2,FALSE),IF(OR(ISBLANK(C54),ISBLANK(B54)),"",VLOOKUP(C54,Deflatores!G$4:H$38,2,FALSE)*H54+VLOOKUP(C54,Deflatores!G$4:I$38,3,FALSE)))</f>
        <v>3</v>
      </c>
      <c r="M54" s="10"/>
      <c r="N54" s="10"/>
      <c r="O54" s="6"/>
    </row>
    <row r="55" spans="1:15" x14ac:dyDescent="0.25">
      <c r="A55" s="179" t="s">
        <v>90</v>
      </c>
      <c r="B55" s="4" t="s">
        <v>52</v>
      </c>
      <c r="C55" s="4" t="s">
        <v>50</v>
      </c>
      <c r="D55" s="7">
        <v>3</v>
      </c>
      <c r="E55" s="7">
        <v>1</v>
      </c>
      <c r="F55" s="116" t="str">
        <f t="shared" ref="F55" si="30">IF(ISBLANK(B55),"",IF(I55="L","Baixa",IF(I55="A","Média",IF(I55="","","Alta"))))</f>
        <v>Baixa</v>
      </c>
      <c r="G55" s="7" t="str">
        <f t="shared" ref="G55" si="31">CONCATENATE(B55,I55)</f>
        <v>CEL</v>
      </c>
      <c r="H55" s="7">
        <f t="shared" ref="H55" si="32">IF(ISBLANK(B55),"",IF(B55="ALI",IF(I55="L",7,IF(I55="A",10,15)),IF(B55="AIE",IF(I55="L",5,IF(I55="A",7,10)),IF(B55="SE",IF(I55="L",4,IF(I55="A",5,7)),IF(OR(B55="EE",B55="CE"),IF(I55="L",3,IF(I55="A",4,6)),0)))))</f>
        <v>3</v>
      </c>
      <c r="I55" s="116" t="str">
        <f t="shared" ref="I55" si="33">IF(OR(ISBLANK(D55),ISBLANK(E55)),IF(OR(B55="ALI",B55="AIE"),"L",IF(OR(B55="EE",B55="SE",B55="CE"),"A","")),IF(B55="EE",IF(E55&gt;=3,IF(D55&gt;=5,"H","A"),IF(E55&gt;=2,IF(D55&gt;=16,"H",IF(D55&lt;=4,"L","A")),IF(D55&lt;=15,"L","A"))),IF(OR(B55="SE",B55="CE"),IF(E55&gt;=4,IF(D55&gt;=6,"H","A"),IF(E55&gt;=2,IF(D55&gt;=20,"H",IF(D55&lt;=5,"L","A")),IF(D55&lt;=19,"L","A"))),IF(OR(B55="ALI",B55="AIE"),IF(E55&gt;=6,IF(D55&gt;=20,"H","A"),IF(E55&gt;=2,IF(D55&gt;=51,"H",IF(D55&lt;=19,"L","A")),IF(D55&lt;=50,"L","A"))),""))))</f>
        <v>L</v>
      </c>
      <c r="J55" s="7" t="str">
        <f t="shared" ref="J55" si="34">CONCATENATE(B55,C55)</f>
        <v>CEI</v>
      </c>
      <c r="K55" s="127">
        <f t="shared" ref="K55" si="35">IF(OR(H55="",H55=0),L55,H55)</f>
        <v>3</v>
      </c>
      <c r="L55" s="127">
        <f>IF(NOT(ISERROR(VLOOKUP(B55,Deflatores!G$42:H$64,2,FALSE))),VLOOKUP(B55,Deflatores!G$42:H$64,2,FALSE),IF(OR(ISBLANK(C55),ISBLANK(B55)),"",VLOOKUP(C55,Deflatores!G$4:H$38,2,FALSE)*H55+VLOOKUP(C55,Deflatores!G$4:I$38,3,FALSE)))</f>
        <v>3</v>
      </c>
      <c r="M55" s="10"/>
      <c r="N55" s="10"/>
      <c r="O55" s="6"/>
    </row>
    <row r="56" spans="1:15" x14ac:dyDescent="0.25">
      <c r="A56" s="179" t="s">
        <v>91</v>
      </c>
      <c r="B56" s="4" t="s">
        <v>52</v>
      </c>
      <c r="C56" s="4" t="s">
        <v>50</v>
      </c>
      <c r="D56" s="7">
        <v>9</v>
      </c>
      <c r="E56" s="7">
        <v>3</v>
      </c>
      <c r="F56" s="116" t="str">
        <f t="shared" ref="F56:F58" si="36">IF(ISBLANK(B56),"",IF(I56="L","Baixa",IF(I56="A","Média",IF(I56="","","Alta"))))</f>
        <v>Média</v>
      </c>
      <c r="G56" s="7" t="str">
        <f t="shared" ref="G56:G58" si="37">CONCATENATE(B56,I56)</f>
        <v>CEA</v>
      </c>
      <c r="H56" s="7">
        <f t="shared" ref="H56:H58" si="38">IF(ISBLANK(B56),"",IF(B56="ALI",IF(I56="L",7,IF(I56="A",10,15)),IF(B56="AIE",IF(I56="L",5,IF(I56="A",7,10)),IF(B56="SE",IF(I56="L",4,IF(I56="A",5,7)),IF(OR(B56="EE",B56="CE"),IF(I56="L",3,IF(I56="A",4,6)),0)))))</f>
        <v>4</v>
      </c>
      <c r="I56" s="116" t="str">
        <f t="shared" ref="I56:I58" si="39">IF(OR(ISBLANK(D56),ISBLANK(E56)),IF(OR(B56="ALI",B56="AIE"),"L",IF(OR(B56="EE",B56="SE",B56="CE"),"A","")),IF(B56="EE",IF(E56&gt;=3,IF(D56&gt;=5,"H","A"),IF(E56&gt;=2,IF(D56&gt;=16,"H",IF(D56&lt;=4,"L","A")),IF(D56&lt;=15,"L","A"))),IF(OR(B56="SE",B56="CE"),IF(E56&gt;=4,IF(D56&gt;=6,"H","A"),IF(E56&gt;=2,IF(D56&gt;=20,"H",IF(D56&lt;=5,"L","A")),IF(D56&lt;=19,"L","A"))),IF(OR(B56="ALI",B56="AIE"),IF(E56&gt;=6,IF(D56&gt;=20,"H","A"),IF(E56&gt;=2,IF(D56&gt;=51,"H",IF(D56&lt;=19,"L","A")),IF(D56&lt;=50,"L","A"))),""))))</f>
        <v>A</v>
      </c>
      <c r="J56" s="7" t="str">
        <f t="shared" ref="J56:J58" si="40">CONCATENATE(B56,C56)</f>
        <v>CEI</v>
      </c>
      <c r="K56" s="127">
        <f t="shared" ref="K56:K58" si="41">IF(OR(H56="",H56=0),L56,H56)</f>
        <v>4</v>
      </c>
      <c r="L56" s="127">
        <f>IF(NOT(ISERROR(VLOOKUP(B56,Deflatores!G$42:H$64,2,FALSE))),VLOOKUP(B56,Deflatores!G$42:H$64,2,FALSE),IF(OR(ISBLANK(C56),ISBLANK(B56)),"",VLOOKUP(C56,Deflatores!G$4:H$38,2,FALSE)*H56+VLOOKUP(C56,Deflatores!G$4:I$38,3,FALSE)))</f>
        <v>4</v>
      </c>
      <c r="M56" s="10"/>
      <c r="N56" s="10"/>
      <c r="O56" s="6"/>
    </row>
    <row r="57" spans="1:15" x14ac:dyDescent="0.25">
      <c r="A57" s="179" t="s">
        <v>92</v>
      </c>
      <c r="B57" s="4" t="s">
        <v>45</v>
      </c>
      <c r="C57" s="4" t="s">
        <v>50</v>
      </c>
      <c r="D57" s="7">
        <v>3</v>
      </c>
      <c r="E57" s="7">
        <v>1</v>
      </c>
      <c r="F57" s="116" t="str">
        <f t="shared" si="36"/>
        <v>Baixa</v>
      </c>
      <c r="G57" s="7" t="str">
        <f t="shared" si="37"/>
        <v>EEL</v>
      </c>
      <c r="H57" s="7">
        <f t="shared" si="38"/>
        <v>3</v>
      </c>
      <c r="I57" s="116" t="str">
        <f t="shared" si="39"/>
        <v>L</v>
      </c>
      <c r="J57" s="7" t="str">
        <f t="shared" si="40"/>
        <v>EEI</v>
      </c>
      <c r="K57" s="127">
        <f t="shared" si="41"/>
        <v>3</v>
      </c>
      <c r="L57" s="127">
        <f>IF(NOT(ISERROR(VLOOKUP(B57,Deflatores!G$42:H$64,2,FALSE))),VLOOKUP(B57,Deflatores!G$42:H$64,2,FALSE),IF(OR(ISBLANK(C57),ISBLANK(B57)),"",VLOOKUP(C57,Deflatores!G$4:H$38,2,FALSE)*H57+VLOOKUP(C57,Deflatores!G$4:I$38,3,FALSE)))</f>
        <v>3</v>
      </c>
      <c r="M57" s="10"/>
      <c r="N57" s="10"/>
      <c r="O57" s="6"/>
    </row>
    <row r="58" spans="1:15" x14ac:dyDescent="0.25">
      <c r="A58" s="179" t="s">
        <v>93</v>
      </c>
      <c r="B58" s="4" t="s">
        <v>45</v>
      </c>
      <c r="C58" s="4" t="s">
        <v>50</v>
      </c>
      <c r="D58" s="7">
        <v>4</v>
      </c>
      <c r="E58" s="7">
        <v>1</v>
      </c>
      <c r="F58" s="116" t="str">
        <f t="shared" si="36"/>
        <v>Baixa</v>
      </c>
      <c r="G58" s="7" t="str">
        <f t="shared" si="37"/>
        <v>EEL</v>
      </c>
      <c r="H58" s="7">
        <f t="shared" si="38"/>
        <v>3</v>
      </c>
      <c r="I58" s="116" t="str">
        <f t="shared" si="39"/>
        <v>L</v>
      </c>
      <c r="J58" s="7" t="str">
        <f t="shared" si="40"/>
        <v>EEI</v>
      </c>
      <c r="K58" s="127">
        <f t="shared" si="41"/>
        <v>3</v>
      </c>
      <c r="L58" s="127">
        <f>IF(NOT(ISERROR(VLOOKUP(B58,Deflatores!G$42:H$64,2,FALSE))),VLOOKUP(B58,Deflatores!G$42:H$64,2,FALSE),IF(OR(ISBLANK(C58),ISBLANK(B58)),"",VLOOKUP(C58,Deflatores!G$4:H$38,2,FALSE)*H58+VLOOKUP(C58,Deflatores!G$4:I$38,3,FALSE)))</f>
        <v>3</v>
      </c>
      <c r="M58" s="10"/>
      <c r="N58" s="10"/>
      <c r="O58" s="6"/>
    </row>
    <row r="59" spans="1:15" x14ac:dyDescent="0.25">
      <c r="A59" s="179" t="s">
        <v>94</v>
      </c>
      <c r="B59" s="4"/>
      <c r="C59" s="4" t="s">
        <v>50</v>
      </c>
      <c r="D59" s="7"/>
      <c r="E59" s="7"/>
      <c r="F59" s="116"/>
      <c r="G59" s="7"/>
      <c r="H59" s="7"/>
      <c r="I59" s="116"/>
      <c r="J59" s="7"/>
      <c r="K59" s="127"/>
      <c r="L59" s="127" t="str">
        <f>IF(NOT(ISERROR(VLOOKUP(B59,Deflatores!G$42:H$64,2,FALSE))),VLOOKUP(B59,Deflatores!G$42:H$64,2,FALSE),IF(OR(ISBLANK(C59),ISBLANK(B59)),"",VLOOKUP(C59,Deflatores!G$4:H$38,2,FALSE)*H59+VLOOKUP(C59,Deflatores!G$4:I$38,3,FALSE)))</f>
        <v/>
      </c>
      <c r="M59" s="10"/>
      <c r="N59" s="10"/>
      <c r="O59" s="6"/>
    </row>
    <row r="60" spans="1:15" x14ac:dyDescent="0.25">
      <c r="A60" s="180" t="s">
        <v>95</v>
      </c>
      <c r="B60" s="4" t="s">
        <v>45</v>
      </c>
      <c r="C60" s="4" t="s">
        <v>50</v>
      </c>
      <c r="D60" s="7">
        <v>9</v>
      </c>
      <c r="E60" s="7">
        <v>3</v>
      </c>
      <c r="F60" s="116" t="str">
        <f t="shared" ref="F60:F62" si="42">IF(ISBLANK(B60),"",IF(I60="L","Baixa",IF(I60="A","Média",IF(I60="","","Alta"))))</f>
        <v>Alta</v>
      </c>
      <c r="G60" s="7" t="str">
        <f t="shared" ref="G60:G62" si="43">CONCATENATE(B60,I60)</f>
        <v>EEH</v>
      </c>
      <c r="H60" s="7">
        <f t="shared" ref="H60:H62" si="44">IF(ISBLANK(B60),"",IF(B60="ALI",IF(I60="L",7,IF(I60="A",10,15)),IF(B60="AIE",IF(I60="L",5,IF(I60="A",7,10)),IF(B60="SE",IF(I60="L",4,IF(I60="A",5,7)),IF(OR(B60="EE",B60="CE"),IF(I60="L",3,IF(I60="A",4,6)),0)))))</f>
        <v>6</v>
      </c>
      <c r="I60" s="116" t="str">
        <f t="shared" ref="I60:I62" si="45">IF(OR(ISBLANK(D60),ISBLANK(E60)),IF(OR(B60="ALI",B60="AIE"),"L",IF(OR(B60="EE",B60="SE",B60="CE"),"A","")),IF(B60="EE",IF(E60&gt;=3,IF(D60&gt;=5,"H","A"),IF(E60&gt;=2,IF(D60&gt;=16,"H",IF(D60&lt;=4,"L","A")),IF(D60&lt;=15,"L","A"))),IF(OR(B60="SE",B60="CE"),IF(E60&gt;=4,IF(D60&gt;=6,"H","A"),IF(E60&gt;=2,IF(D60&gt;=20,"H",IF(D60&lt;=5,"L","A")),IF(D60&lt;=19,"L","A"))),IF(OR(B60="ALI",B60="AIE"),IF(E60&gt;=6,IF(D60&gt;=20,"H","A"),IF(E60&gt;=2,IF(D60&gt;=51,"H",IF(D60&lt;=19,"L","A")),IF(D60&lt;=50,"L","A"))),""))))</f>
        <v>H</v>
      </c>
      <c r="J60" s="7" t="str">
        <f t="shared" ref="J60:J62" si="46">CONCATENATE(B60,C60)</f>
        <v>EEI</v>
      </c>
      <c r="K60" s="127">
        <f t="shared" ref="K60:K62" si="47">IF(OR(H60="",H60=0),L60,H60)</f>
        <v>6</v>
      </c>
      <c r="L60" s="127">
        <f>IF(NOT(ISERROR(VLOOKUP(B60,Deflatores!G$42:H$64,2,FALSE))),VLOOKUP(B60,Deflatores!G$42:H$64,2,FALSE),IF(OR(ISBLANK(C60),ISBLANK(B60)),"",VLOOKUP(C60,Deflatores!G$4:H$38,2,FALSE)*H60+VLOOKUP(C60,Deflatores!G$4:I$38,3,FALSE)))</f>
        <v>6</v>
      </c>
      <c r="M60" s="10"/>
      <c r="N60" s="10"/>
      <c r="O60" s="6"/>
    </row>
    <row r="61" spans="1:15" x14ac:dyDescent="0.25">
      <c r="A61" s="182" t="s">
        <v>96</v>
      </c>
      <c r="B61" s="4" t="s">
        <v>52</v>
      </c>
      <c r="C61" s="4" t="s">
        <v>50</v>
      </c>
      <c r="D61" s="7">
        <v>8</v>
      </c>
      <c r="E61" s="7">
        <v>3</v>
      </c>
      <c r="F61" s="116" t="str">
        <f t="shared" si="42"/>
        <v>Média</v>
      </c>
      <c r="G61" s="7" t="str">
        <f t="shared" si="43"/>
        <v>CEA</v>
      </c>
      <c r="H61" s="7">
        <f t="shared" si="44"/>
        <v>4</v>
      </c>
      <c r="I61" s="116" t="str">
        <f t="shared" si="45"/>
        <v>A</v>
      </c>
      <c r="J61" s="7" t="str">
        <f t="shared" si="46"/>
        <v>CEI</v>
      </c>
      <c r="K61" s="127">
        <f t="shared" si="47"/>
        <v>4</v>
      </c>
      <c r="L61" s="127">
        <f>IF(NOT(ISERROR(VLOOKUP(B61,Deflatores!G$42:H$64,2,FALSE))),VLOOKUP(B61,Deflatores!G$42:H$64,2,FALSE),IF(OR(ISBLANK(C61),ISBLANK(B61)),"",VLOOKUP(C61,Deflatores!G$4:H$38,2,FALSE)*H61+VLOOKUP(C61,Deflatores!G$4:I$38,3,FALSE)))</f>
        <v>4</v>
      </c>
      <c r="M61" s="10"/>
      <c r="N61" s="10"/>
      <c r="O61" s="6"/>
    </row>
    <row r="62" spans="1:15" x14ac:dyDescent="0.25">
      <c r="A62" s="180" t="s">
        <v>97</v>
      </c>
      <c r="B62" s="4" t="s">
        <v>52</v>
      </c>
      <c r="C62" s="4" t="s">
        <v>50</v>
      </c>
      <c r="D62" s="7">
        <v>10</v>
      </c>
      <c r="E62" s="7">
        <v>3</v>
      </c>
      <c r="F62" s="116" t="str">
        <f t="shared" si="42"/>
        <v>Média</v>
      </c>
      <c r="G62" s="7" t="str">
        <f t="shared" si="43"/>
        <v>CEA</v>
      </c>
      <c r="H62" s="7">
        <f t="shared" si="44"/>
        <v>4</v>
      </c>
      <c r="I62" s="116" t="str">
        <f t="shared" si="45"/>
        <v>A</v>
      </c>
      <c r="J62" s="7" t="str">
        <f t="shared" si="46"/>
        <v>CEI</v>
      </c>
      <c r="K62" s="127">
        <f t="shared" si="47"/>
        <v>4</v>
      </c>
      <c r="L62" s="127">
        <f>IF(NOT(ISERROR(VLOOKUP(B62,Deflatores!G$42:H$64,2,FALSE))),VLOOKUP(B62,Deflatores!G$42:H$64,2,FALSE),IF(OR(ISBLANK(C62),ISBLANK(B62)),"",VLOOKUP(C62,Deflatores!G$4:H$38,2,FALSE)*H62+VLOOKUP(C62,Deflatores!G$4:I$38,3,FALSE)))</f>
        <v>4</v>
      </c>
      <c r="M62" s="10"/>
      <c r="N62" s="10"/>
      <c r="O62" s="6"/>
    </row>
    <row r="63" spans="1:15" ht="12" customHeight="1" x14ac:dyDescent="0.25">
      <c r="A63" s="179" t="s">
        <v>98</v>
      </c>
      <c r="B63" s="4"/>
      <c r="C63" s="4" t="s">
        <v>50</v>
      </c>
      <c r="D63" s="7"/>
      <c r="E63" s="7"/>
      <c r="F63" s="116"/>
      <c r="G63" s="7"/>
      <c r="H63" s="7"/>
      <c r="I63" s="116"/>
      <c r="J63" s="7"/>
      <c r="K63" s="127"/>
      <c r="L63" s="127" t="str">
        <f>IF(NOT(ISERROR(VLOOKUP(B63,Deflatores!G$42:H$64,2,FALSE))),VLOOKUP(B63,Deflatores!G$42:H$64,2,FALSE),IF(OR(ISBLANK(C63),ISBLANK(B63)),"",VLOOKUP(C63,Deflatores!G$4:H$38,2,FALSE)*H63+VLOOKUP(C63,Deflatores!G$4:I$38,3,FALSE)))</f>
        <v/>
      </c>
      <c r="M63" s="10"/>
      <c r="N63" s="10"/>
      <c r="O63" s="6"/>
    </row>
    <row r="64" spans="1:15" x14ac:dyDescent="0.25">
      <c r="A64" s="180" t="s">
        <v>99</v>
      </c>
      <c r="B64" s="4" t="s">
        <v>52</v>
      </c>
      <c r="C64" s="4" t="s">
        <v>50</v>
      </c>
      <c r="D64" s="7">
        <v>4</v>
      </c>
      <c r="E64" s="7">
        <v>2</v>
      </c>
      <c r="F64" s="116" t="str">
        <f t="shared" ref="F64" si="48">IF(ISBLANK(B64),"",IF(I64="L","Baixa",IF(I64="A","Média",IF(I64="","","Alta"))))</f>
        <v>Baixa</v>
      </c>
      <c r="G64" s="7" t="str">
        <f t="shared" ref="G64" si="49">CONCATENATE(B64,I64)</f>
        <v>CEL</v>
      </c>
      <c r="H64" s="7">
        <f t="shared" ref="H64" si="50">IF(ISBLANK(B64),"",IF(B64="ALI",IF(I64="L",7,IF(I64="A",10,15)),IF(B64="AIE",IF(I64="L",5,IF(I64="A",7,10)),IF(B64="SE",IF(I64="L",4,IF(I64="A",5,7)),IF(OR(B64="EE",B64="CE"),IF(I64="L",3,IF(I64="A",4,6)),0)))))</f>
        <v>3</v>
      </c>
      <c r="I64" s="116" t="str">
        <f t="shared" ref="I64" si="51">IF(OR(ISBLANK(D64),ISBLANK(E64)),IF(OR(B64="ALI",B64="AIE"),"L",IF(OR(B64="EE",B64="SE",B64="CE"),"A","")),IF(B64="EE",IF(E64&gt;=3,IF(D64&gt;=5,"H","A"),IF(E64&gt;=2,IF(D64&gt;=16,"H",IF(D64&lt;=4,"L","A")),IF(D64&lt;=15,"L","A"))),IF(OR(B64="SE",B64="CE"),IF(E64&gt;=4,IF(D64&gt;=6,"H","A"),IF(E64&gt;=2,IF(D64&gt;=20,"H",IF(D64&lt;=5,"L","A")),IF(D64&lt;=19,"L","A"))),IF(OR(B64="ALI",B64="AIE"),IF(E64&gt;=6,IF(D64&gt;=20,"H","A"),IF(E64&gt;=2,IF(D64&gt;=51,"H",IF(D64&lt;=19,"L","A")),IF(D64&lt;=50,"L","A"))),""))))</f>
        <v>L</v>
      </c>
      <c r="J64" s="7" t="str">
        <f t="shared" ref="J64" si="52">CONCATENATE(B64,C64)</f>
        <v>CEI</v>
      </c>
      <c r="K64" s="127">
        <f t="shared" ref="K64" si="53">IF(OR(H64="",H64=0),L64,H64)</f>
        <v>3</v>
      </c>
      <c r="L64" s="127">
        <f>IF(NOT(ISERROR(VLOOKUP(B64,Deflatores!G$42:H$64,2,FALSE))),VLOOKUP(B64,Deflatores!G$42:H$64,2,FALSE),IF(OR(ISBLANK(C64),ISBLANK(B64)),"",VLOOKUP(C64,Deflatores!G$4:H$38,2,FALSE)*H64+VLOOKUP(C64,Deflatores!G$4:I$38,3,FALSE)))</f>
        <v>3</v>
      </c>
      <c r="M64" s="10"/>
      <c r="N64" s="10"/>
      <c r="O64" s="6"/>
    </row>
    <row r="65" spans="1:15" x14ac:dyDescent="0.25">
      <c r="A65" s="180" t="s">
        <v>100</v>
      </c>
      <c r="B65" s="4" t="s">
        <v>45</v>
      </c>
      <c r="C65" s="4" t="s">
        <v>50</v>
      </c>
      <c r="D65" s="7">
        <v>7</v>
      </c>
      <c r="E65" s="7">
        <v>1</v>
      </c>
      <c r="F65" s="116" t="str">
        <f t="shared" ref="F65:F68" si="54">IF(ISBLANK(B65),"",IF(I65="L","Baixa",IF(I65="A","Média",IF(I65="","","Alta"))))</f>
        <v>Baixa</v>
      </c>
      <c r="G65" s="7" t="str">
        <f t="shared" ref="G65:G68" si="55">CONCATENATE(B65,I65)</f>
        <v>EEL</v>
      </c>
      <c r="H65" s="7">
        <f t="shared" ref="H65:H68" si="56">IF(ISBLANK(B65),"",IF(B65="ALI",IF(I65="L",7,IF(I65="A",10,15)),IF(B65="AIE",IF(I65="L",5,IF(I65="A",7,10)),IF(B65="SE",IF(I65="L",4,IF(I65="A",5,7)),IF(OR(B65="EE",B65="CE"),IF(I65="L",3,IF(I65="A",4,6)),0)))))</f>
        <v>3</v>
      </c>
      <c r="I65" s="116" t="str">
        <f t="shared" ref="I65:I68" si="57">IF(OR(ISBLANK(D65),ISBLANK(E65)),IF(OR(B65="ALI",B65="AIE"),"L",IF(OR(B65="EE",B65="SE",B65="CE"),"A","")),IF(B65="EE",IF(E65&gt;=3,IF(D65&gt;=5,"H","A"),IF(E65&gt;=2,IF(D65&gt;=16,"H",IF(D65&lt;=4,"L","A")),IF(D65&lt;=15,"L","A"))),IF(OR(B65="SE",B65="CE"),IF(E65&gt;=4,IF(D65&gt;=6,"H","A"),IF(E65&gt;=2,IF(D65&gt;=20,"H",IF(D65&lt;=5,"L","A")),IF(D65&lt;=19,"L","A"))),IF(OR(B65="ALI",B65="AIE"),IF(E65&gt;=6,IF(D65&gt;=20,"H","A"),IF(E65&gt;=2,IF(D65&gt;=51,"H",IF(D65&lt;=19,"L","A")),IF(D65&lt;=50,"L","A"))),""))))</f>
        <v>L</v>
      </c>
      <c r="J65" s="7" t="str">
        <f t="shared" ref="J65:J68" si="58">CONCATENATE(B65,C65)</f>
        <v>EEI</v>
      </c>
      <c r="K65" s="127">
        <f t="shared" ref="K65:K68" si="59">IF(OR(H65="",H65=0),L65,H65)</f>
        <v>3</v>
      </c>
      <c r="L65" s="127">
        <f>IF(NOT(ISERROR(VLOOKUP(B65,Deflatores!G$42:H$64,2,FALSE))),VLOOKUP(B65,Deflatores!G$42:H$64,2,FALSE),IF(OR(ISBLANK(C65),ISBLANK(B65)),"",VLOOKUP(C65,Deflatores!G$4:H$38,2,FALSE)*H65+VLOOKUP(C65,Deflatores!G$4:I$38,3,FALSE)))</f>
        <v>3</v>
      </c>
      <c r="M65" s="10"/>
      <c r="N65" s="10"/>
      <c r="O65" s="6"/>
    </row>
    <row r="66" spans="1:15" x14ac:dyDescent="0.25">
      <c r="A66" s="180" t="s">
        <v>101</v>
      </c>
      <c r="B66" s="4" t="s">
        <v>45</v>
      </c>
      <c r="C66" s="4" t="s">
        <v>50</v>
      </c>
      <c r="D66" s="7">
        <v>7</v>
      </c>
      <c r="E66" s="7">
        <v>1</v>
      </c>
      <c r="F66" s="116" t="str">
        <f t="shared" si="54"/>
        <v>Baixa</v>
      </c>
      <c r="G66" s="7" t="str">
        <f t="shared" si="55"/>
        <v>EEL</v>
      </c>
      <c r="H66" s="7">
        <f t="shared" si="56"/>
        <v>3</v>
      </c>
      <c r="I66" s="116" t="str">
        <f t="shared" si="57"/>
        <v>L</v>
      </c>
      <c r="J66" s="7" t="str">
        <f t="shared" si="58"/>
        <v>EEI</v>
      </c>
      <c r="K66" s="127">
        <f t="shared" si="59"/>
        <v>3</v>
      </c>
      <c r="L66" s="127">
        <f>IF(NOT(ISERROR(VLOOKUP(B66,Deflatores!G$42:H$64,2,FALSE))),VLOOKUP(B66,Deflatores!G$42:H$64,2,FALSE),IF(OR(ISBLANK(C66),ISBLANK(B66)),"",VLOOKUP(C66,Deflatores!G$4:H$38,2,FALSE)*H66+VLOOKUP(C66,Deflatores!G$4:I$38,3,FALSE)))</f>
        <v>3</v>
      </c>
      <c r="M66" s="10"/>
      <c r="N66" s="10"/>
      <c r="O66" s="131"/>
    </row>
    <row r="67" spans="1:15" x14ac:dyDescent="0.25">
      <c r="A67" s="182" t="s">
        <v>102</v>
      </c>
      <c r="B67" s="4" t="s">
        <v>52</v>
      </c>
      <c r="C67" s="4" t="s">
        <v>50</v>
      </c>
      <c r="D67" s="7">
        <v>5</v>
      </c>
      <c r="E67" s="7">
        <v>1</v>
      </c>
      <c r="F67" s="116" t="str">
        <f t="shared" si="54"/>
        <v>Baixa</v>
      </c>
      <c r="G67" s="7" t="str">
        <f t="shared" si="55"/>
        <v>CEL</v>
      </c>
      <c r="H67" s="7">
        <f t="shared" si="56"/>
        <v>3</v>
      </c>
      <c r="I67" s="116" t="str">
        <f t="shared" si="57"/>
        <v>L</v>
      </c>
      <c r="J67" s="7" t="str">
        <f t="shared" si="58"/>
        <v>CEI</v>
      </c>
      <c r="K67" s="127">
        <f t="shared" si="59"/>
        <v>3</v>
      </c>
      <c r="L67" s="127">
        <f>IF(NOT(ISERROR(VLOOKUP(B67,Deflatores!G$42:H$64,2,FALSE))),VLOOKUP(B67,Deflatores!G$42:H$64,2,FALSE),IF(OR(ISBLANK(C67),ISBLANK(B67)),"",VLOOKUP(C67,Deflatores!G$4:H$38,2,FALSE)*H67+VLOOKUP(C67,Deflatores!G$4:I$38,3,FALSE)))</f>
        <v>3</v>
      </c>
      <c r="M67" s="10"/>
      <c r="N67" s="10"/>
      <c r="O67" s="131"/>
    </row>
    <row r="68" spans="1:15" x14ac:dyDescent="0.25">
      <c r="A68" s="180" t="s">
        <v>103</v>
      </c>
      <c r="B68" s="4" t="s">
        <v>52</v>
      </c>
      <c r="C68" s="4" t="s">
        <v>50</v>
      </c>
      <c r="D68" s="7">
        <v>7</v>
      </c>
      <c r="E68" s="7">
        <v>1</v>
      </c>
      <c r="F68" s="116" t="str">
        <f t="shared" si="54"/>
        <v>Baixa</v>
      </c>
      <c r="G68" s="7" t="str">
        <f t="shared" si="55"/>
        <v>CEL</v>
      </c>
      <c r="H68" s="7">
        <f t="shared" si="56"/>
        <v>3</v>
      </c>
      <c r="I68" s="116" t="str">
        <f t="shared" si="57"/>
        <v>L</v>
      </c>
      <c r="J68" s="7" t="str">
        <f t="shared" si="58"/>
        <v>CEI</v>
      </c>
      <c r="K68" s="127">
        <f t="shared" si="59"/>
        <v>3</v>
      </c>
      <c r="L68" s="127">
        <f>IF(NOT(ISERROR(VLOOKUP(B68,Deflatores!G$42:H$64,2,FALSE))),VLOOKUP(B68,Deflatores!G$42:H$64,2,FALSE),IF(OR(ISBLANK(C68),ISBLANK(B68)),"",VLOOKUP(C68,Deflatores!G$4:H$38,2,FALSE)*H68+VLOOKUP(C68,Deflatores!G$4:I$38,3,FALSE)))</f>
        <v>3</v>
      </c>
      <c r="M68" s="10"/>
      <c r="N68" s="10"/>
      <c r="O68" s="131"/>
    </row>
    <row r="69" spans="1:15" ht="12" customHeight="1" x14ac:dyDescent="0.25">
      <c r="A69" s="179" t="s">
        <v>485</v>
      </c>
      <c r="B69" s="4"/>
      <c r="C69" s="4" t="s">
        <v>50</v>
      </c>
      <c r="D69" s="7"/>
      <c r="E69" s="7"/>
      <c r="F69" s="116"/>
      <c r="G69" s="7"/>
      <c r="H69" s="7"/>
      <c r="I69" s="116"/>
      <c r="J69" s="7"/>
      <c r="K69" s="127"/>
      <c r="L69" s="127" t="str">
        <f>IF(NOT(ISERROR(VLOOKUP(B69,Deflatores!G$42:H$64,2,FALSE))),VLOOKUP(B69,Deflatores!G$42:H$64,2,FALSE),IF(OR(ISBLANK(C69),ISBLANK(B69)),"",VLOOKUP(C69,Deflatores!G$4:H$38,2,FALSE)*H69+VLOOKUP(C69,Deflatores!G$4:I$38,3,FALSE)))</f>
        <v/>
      </c>
      <c r="M69" s="10"/>
      <c r="N69" s="10"/>
      <c r="O69" s="6"/>
    </row>
    <row r="70" spans="1:15" x14ac:dyDescent="0.25">
      <c r="A70" s="180" t="s">
        <v>486</v>
      </c>
      <c r="B70" s="4" t="s">
        <v>45</v>
      </c>
      <c r="C70" s="4" t="s">
        <v>50</v>
      </c>
      <c r="D70" s="7">
        <v>7</v>
      </c>
      <c r="E70" s="7">
        <v>1</v>
      </c>
      <c r="F70" s="116" t="str">
        <f t="shared" ref="F70:F73" si="60">IF(ISBLANK(B70),"",IF(I70="L","Baixa",IF(I70="A","Média",IF(I70="","","Alta"))))</f>
        <v>Baixa</v>
      </c>
      <c r="G70" s="7" t="str">
        <f t="shared" ref="G70:G73" si="61">CONCATENATE(B70,I70)</f>
        <v>EEL</v>
      </c>
      <c r="H70" s="7">
        <f t="shared" ref="H70:H73" si="62">IF(ISBLANK(B70),"",IF(B70="ALI",IF(I70="L",7,IF(I70="A",10,15)),IF(B70="AIE",IF(I70="L",5,IF(I70="A",7,10)),IF(B70="SE",IF(I70="L",4,IF(I70="A",5,7)),IF(OR(B70="EE",B70="CE"),IF(I70="L",3,IF(I70="A",4,6)),0)))))</f>
        <v>3</v>
      </c>
      <c r="I70" s="116" t="str">
        <f t="shared" ref="I70:I73" si="63">IF(OR(ISBLANK(D70),ISBLANK(E70)),IF(OR(B70="ALI",B70="AIE"),"L",IF(OR(B70="EE",B70="SE",B70="CE"),"A","")),IF(B70="EE",IF(E70&gt;=3,IF(D70&gt;=5,"H","A"),IF(E70&gt;=2,IF(D70&gt;=16,"H",IF(D70&lt;=4,"L","A")),IF(D70&lt;=15,"L","A"))),IF(OR(B70="SE",B70="CE"),IF(E70&gt;=4,IF(D70&gt;=6,"H","A"),IF(E70&gt;=2,IF(D70&gt;=20,"H",IF(D70&lt;=5,"L","A")),IF(D70&lt;=19,"L","A"))),IF(OR(B70="ALI",B70="AIE"),IF(E70&gt;=6,IF(D70&gt;=20,"H","A"),IF(E70&gt;=2,IF(D70&gt;=51,"H",IF(D70&lt;=19,"L","A")),IF(D70&lt;=50,"L","A"))),""))))</f>
        <v>L</v>
      </c>
      <c r="J70" s="7" t="str">
        <f t="shared" ref="J70:J73" si="64">CONCATENATE(B70,C70)</f>
        <v>EEI</v>
      </c>
      <c r="K70" s="127">
        <f t="shared" ref="K70:K73" si="65">IF(OR(H70="",H70=0),L70,H70)</f>
        <v>3</v>
      </c>
      <c r="L70" s="127">
        <f>IF(NOT(ISERROR(VLOOKUP(B70,Deflatores!G$42:H$64,2,FALSE))),VLOOKUP(B70,Deflatores!G$42:H$64,2,FALSE),IF(OR(ISBLANK(C70),ISBLANK(B70)),"",VLOOKUP(C70,Deflatores!G$4:H$38,2,FALSE)*H70+VLOOKUP(C70,Deflatores!G$4:I$38,3,FALSE)))</f>
        <v>3</v>
      </c>
      <c r="M70" s="10"/>
      <c r="N70" s="10"/>
      <c r="O70" s="6"/>
    </row>
    <row r="71" spans="1:15" x14ac:dyDescent="0.25">
      <c r="A71" s="180" t="s">
        <v>487</v>
      </c>
      <c r="B71" s="4" t="s">
        <v>45</v>
      </c>
      <c r="C71" s="4" t="s">
        <v>50</v>
      </c>
      <c r="D71" s="7">
        <v>7</v>
      </c>
      <c r="E71" s="7">
        <v>1</v>
      </c>
      <c r="F71" s="116" t="str">
        <f t="shared" si="60"/>
        <v>Baixa</v>
      </c>
      <c r="G71" s="7" t="str">
        <f t="shared" si="61"/>
        <v>EEL</v>
      </c>
      <c r="H71" s="7">
        <f t="shared" si="62"/>
        <v>3</v>
      </c>
      <c r="I71" s="116" t="str">
        <f t="shared" si="63"/>
        <v>L</v>
      </c>
      <c r="J71" s="7" t="str">
        <f t="shared" si="64"/>
        <v>EEI</v>
      </c>
      <c r="K71" s="127">
        <f t="shared" si="65"/>
        <v>3</v>
      </c>
      <c r="L71" s="127">
        <f>IF(NOT(ISERROR(VLOOKUP(B71,Deflatores!G$42:H$64,2,FALSE))),VLOOKUP(B71,Deflatores!G$42:H$64,2,FALSE),IF(OR(ISBLANK(C71),ISBLANK(B71)),"",VLOOKUP(C71,Deflatores!G$4:H$38,2,FALSE)*H71+VLOOKUP(C71,Deflatores!G$4:I$38,3,FALSE)))</f>
        <v>3</v>
      </c>
      <c r="M71" s="10"/>
      <c r="N71" s="10"/>
      <c r="O71" s="131"/>
    </row>
    <row r="72" spans="1:15" x14ac:dyDescent="0.25">
      <c r="A72" s="182" t="s">
        <v>488</v>
      </c>
      <c r="B72" s="4" t="s">
        <v>52</v>
      </c>
      <c r="C72" s="4" t="s">
        <v>50</v>
      </c>
      <c r="D72" s="7">
        <v>5</v>
      </c>
      <c r="E72" s="7">
        <v>1</v>
      </c>
      <c r="F72" s="116" t="str">
        <f t="shared" si="60"/>
        <v>Baixa</v>
      </c>
      <c r="G72" s="7" t="str">
        <f t="shared" si="61"/>
        <v>CEL</v>
      </c>
      <c r="H72" s="7">
        <f t="shared" si="62"/>
        <v>3</v>
      </c>
      <c r="I72" s="116" t="str">
        <f t="shared" si="63"/>
        <v>L</v>
      </c>
      <c r="J72" s="7" t="str">
        <f t="shared" si="64"/>
        <v>CEI</v>
      </c>
      <c r="K72" s="127">
        <f t="shared" si="65"/>
        <v>3</v>
      </c>
      <c r="L72" s="127">
        <f>IF(NOT(ISERROR(VLOOKUP(B72,Deflatores!G$42:H$64,2,FALSE))),VLOOKUP(B72,Deflatores!G$42:H$64,2,FALSE),IF(OR(ISBLANK(C72),ISBLANK(B72)),"",VLOOKUP(C72,Deflatores!G$4:H$38,2,FALSE)*H72+VLOOKUP(C72,Deflatores!G$4:I$38,3,FALSE)))</f>
        <v>3</v>
      </c>
      <c r="M72" s="10"/>
      <c r="N72" s="10"/>
      <c r="O72" s="131"/>
    </row>
    <row r="73" spans="1:15" x14ac:dyDescent="0.25">
      <c r="A73" s="180" t="s">
        <v>489</v>
      </c>
      <c r="B73" s="4" t="s">
        <v>52</v>
      </c>
      <c r="C73" s="4" t="s">
        <v>50</v>
      </c>
      <c r="D73" s="7">
        <v>7</v>
      </c>
      <c r="E73" s="7">
        <v>1</v>
      </c>
      <c r="F73" s="116" t="str">
        <f t="shared" si="60"/>
        <v>Baixa</v>
      </c>
      <c r="G73" s="7" t="str">
        <f t="shared" si="61"/>
        <v>CEL</v>
      </c>
      <c r="H73" s="7">
        <f t="shared" si="62"/>
        <v>3</v>
      </c>
      <c r="I73" s="116" t="str">
        <f t="shared" si="63"/>
        <v>L</v>
      </c>
      <c r="J73" s="7" t="str">
        <f t="shared" si="64"/>
        <v>CEI</v>
      </c>
      <c r="K73" s="127">
        <f t="shared" si="65"/>
        <v>3</v>
      </c>
      <c r="L73" s="127">
        <f>IF(NOT(ISERROR(VLOOKUP(B73,Deflatores!G$42:H$64,2,FALSE))),VLOOKUP(B73,Deflatores!G$42:H$64,2,FALSE),IF(OR(ISBLANK(C73),ISBLANK(B73)),"",VLOOKUP(C73,Deflatores!G$4:H$38,2,FALSE)*H73+VLOOKUP(C73,Deflatores!G$4:I$38,3,FALSE)))</f>
        <v>3</v>
      </c>
      <c r="M73" s="10"/>
      <c r="N73" s="10"/>
      <c r="O73" s="131"/>
    </row>
    <row r="74" spans="1:15" x14ac:dyDescent="0.25">
      <c r="A74" s="179"/>
      <c r="B74" s="4"/>
      <c r="C74" s="4"/>
      <c r="D74" s="7"/>
      <c r="E74" s="7"/>
      <c r="F74" s="116" t="str">
        <f t="shared" si="24"/>
        <v/>
      </c>
      <c r="G74" s="7" t="str">
        <f t="shared" si="25"/>
        <v/>
      </c>
      <c r="H74" s="7" t="str">
        <f t="shared" si="26"/>
        <v/>
      </c>
      <c r="I74" s="116" t="str">
        <f t="shared" si="27"/>
        <v/>
      </c>
      <c r="J74" s="7" t="str">
        <f t="shared" si="28"/>
        <v/>
      </c>
      <c r="K74" s="127" t="str">
        <f t="shared" si="29"/>
        <v/>
      </c>
      <c r="L74" s="127" t="str">
        <f>IF(NOT(ISERROR(VLOOKUP(B74,Deflatores!G$42:H$64,2,FALSE))),VLOOKUP(B74,Deflatores!G$42:H$64,2,FALSE),IF(OR(ISBLANK(C74),ISBLANK(B74)),"",VLOOKUP(C74,Deflatores!G$4:H$38,2,FALSE)*H74+VLOOKUP(C74,Deflatores!G$4:I$38,3,FALSE)))</f>
        <v/>
      </c>
      <c r="M74" s="10"/>
      <c r="N74" s="10"/>
      <c r="O74" s="6"/>
    </row>
    <row r="75" spans="1:15" x14ac:dyDescent="0.25">
      <c r="A75" s="181" t="s">
        <v>104</v>
      </c>
      <c r="B75" s="4"/>
      <c r="C75" s="4"/>
      <c r="D75" s="7"/>
      <c r="E75" s="7"/>
      <c r="F75" s="116" t="str">
        <f t="shared" ref="F75:F107" si="66">IF(ISBLANK(B75),"",IF(I75="L","Baixa",IF(I75="A","Média",IF(I75="","","Alta"))))</f>
        <v/>
      </c>
      <c r="G75" s="7" t="str">
        <f t="shared" ref="G75:G107" si="67">CONCATENATE(B75,I75)</f>
        <v/>
      </c>
      <c r="H75" s="7" t="str">
        <f t="shared" ref="H75:H107" si="68">IF(ISBLANK(B75),"",IF(B75="ALI",IF(I75="L",7,IF(I75="A",10,15)),IF(B75="AIE",IF(I75="L",5,IF(I75="A",7,10)),IF(B75="SE",IF(I75="L",4,IF(I75="A",5,7)),IF(OR(B75="EE",B75="CE"),IF(I75="L",3,IF(I75="A",4,6)),0)))))</f>
        <v/>
      </c>
      <c r="I75" s="116" t="str">
        <f t="shared" ref="I75:I107" si="69">IF(OR(ISBLANK(D75),ISBLANK(E75)),IF(OR(B75="ALI",B75="AIE"),"L",IF(OR(B75="EE",B75="SE",B75="CE"),"A","")),IF(B75="EE",IF(E75&gt;=3,IF(D75&gt;=5,"H","A"),IF(E75&gt;=2,IF(D75&gt;=16,"H",IF(D75&lt;=4,"L","A")),IF(D75&lt;=15,"L","A"))),IF(OR(B75="SE",B75="CE"),IF(E75&gt;=4,IF(D75&gt;=6,"H","A"),IF(E75&gt;=2,IF(D75&gt;=20,"H",IF(D75&lt;=5,"L","A")),IF(D75&lt;=19,"L","A"))),IF(OR(B75="ALI",B75="AIE"),IF(E75&gt;=6,IF(D75&gt;=20,"H","A"),IF(E75&gt;=2,IF(D75&gt;=51,"H",IF(D75&lt;=19,"L","A")),IF(D75&lt;=50,"L","A"))),""))))</f>
        <v/>
      </c>
      <c r="J75" s="7" t="str">
        <f t="shared" ref="J75:J107" si="70">CONCATENATE(B75,C75)</f>
        <v/>
      </c>
      <c r="K75" s="127" t="str">
        <f t="shared" ref="K75:K107" si="71">IF(OR(H75="",H75=0),L75,H75)</f>
        <v/>
      </c>
      <c r="L75" s="127" t="str">
        <f>IF(NOT(ISERROR(VLOOKUP(B75,Deflatores!G$42:H$64,2,FALSE))),VLOOKUP(B75,Deflatores!G$42:H$64,2,FALSE),IF(OR(ISBLANK(C75),ISBLANK(B75)),"",VLOOKUP(C75,Deflatores!G$4:H$38,2,FALSE)*H75+VLOOKUP(C75,Deflatores!G$4:I$38,3,FALSE)))</f>
        <v/>
      </c>
      <c r="M75" s="10"/>
      <c r="N75" s="10"/>
      <c r="O75" s="6"/>
    </row>
    <row r="76" spans="1:15" x14ac:dyDescent="0.25">
      <c r="A76" s="179" t="s">
        <v>105</v>
      </c>
      <c r="B76" s="4" t="s">
        <v>49</v>
      </c>
      <c r="C76" s="4" t="s">
        <v>50</v>
      </c>
      <c r="D76" s="7">
        <v>9</v>
      </c>
      <c r="E76" s="7">
        <v>1</v>
      </c>
      <c r="F76" s="116" t="str">
        <f t="shared" si="66"/>
        <v>Baixa</v>
      </c>
      <c r="G76" s="7" t="str">
        <f t="shared" si="67"/>
        <v>AIEL</v>
      </c>
      <c r="H76" s="7">
        <f t="shared" si="68"/>
        <v>5</v>
      </c>
      <c r="I76" s="116" t="str">
        <f t="shared" si="69"/>
        <v>L</v>
      </c>
      <c r="J76" s="7" t="str">
        <f t="shared" si="70"/>
        <v>AIEI</v>
      </c>
      <c r="K76" s="127">
        <f t="shared" si="71"/>
        <v>5</v>
      </c>
      <c r="L76" s="127">
        <f>IF(NOT(ISERROR(VLOOKUP(B76,Deflatores!G$42:H$64,2,FALSE))),VLOOKUP(B76,Deflatores!G$42:H$64,2,FALSE),IF(OR(ISBLANK(C76),ISBLANK(B76)),"",VLOOKUP(C76,Deflatores!G$4:H$38,2,FALSE)*H76+VLOOKUP(C76,Deflatores!G$4:I$38,3,FALSE)))</f>
        <v>5</v>
      </c>
      <c r="M76" s="10"/>
      <c r="N76" s="10"/>
      <c r="O76" s="6"/>
    </row>
    <row r="77" spans="1:15" x14ac:dyDescent="0.25">
      <c r="A77" s="179" t="s">
        <v>106</v>
      </c>
      <c r="B77" s="4" t="s">
        <v>49</v>
      </c>
      <c r="C77" s="4" t="s">
        <v>50</v>
      </c>
      <c r="D77" s="7">
        <v>2</v>
      </c>
      <c r="E77" s="7">
        <v>1</v>
      </c>
      <c r="F77" s="116" t="str">
        <f t="shared" si="66"/>
        <v>Baixa</v>
      </c>
      <c r="G77" s="7" t="str">
        <f t="shared" si="67"/>
        <v>AIEL</v>
      </c>
      <c r="H77" s="7">
        <f t="shared" si="68"/>
        <v>5</v>
      </c>
      <c r="I77" s="116" t="str">
        <f t="shared" si="69"/>
        <v>L</v>
      </c>
      <c r="J77" s="7" t="str">
        <f t="shared" si="70"/>
        <v>AIEI</v>
      </c>
      <c r="K77" s="127">
        <f t="shared" si="71"/>
        <v>5</v>
      </c>
      <c r="L77" s="127">
        <f>IF(NOT(ISERROR(VLOOKUP(B77,Deflatores!G$42:H$64,2,FALSE))),VLOOKUP(B77,Deflatores!G$42:H$64,2,FALSE),IF(OR(ISBLANK(C77),ISBLANK(B77)),"",VLOOKUP(C77,Deflatores!G$4:H$38,2,FALSE)*H77+VLOOKUP(C77,Deflatores!G$4:I$38,3,FALSE)))</f>
        <v>5</v>
      </c>
      <c r="M77" s="10"/>
      <c r="N77" s="10"/>
      <c r="O77" s="6"/>
    </row>
    <row r="78" spans="1:15" x14ac:dyDescent="0.25">
      <c r="A78" s="179" t="s">
        <v>107</v>
      </c>
      <c r="B78" s="4" t="s">
        <v>52</v>
      </c>
      <c r="C78" s="4" t="s">
        <v>50</v>
      </c>
      <c r="D78" s="7">
        <v>8</v>
      </c>
      <c r="E78" s="7">
        <v>2</v>
      </c>
      <c r="F78" s="116" t="str">
        <f t="shared" si="66"/>
        <v>Média</v>
      </c>
      <c r="G78" s="7" t="str">
        <f t="shared" si="67"/>
        <v>CEA</v>
      </c>
      <c r="H78" s="7">
        <f t="shared" si="68"/>
        <v>4</v>
      </c>
      <c r="I78" s="116" t="str">
        <f t="shared" si="69"/>
        <v>A</v>
      </c>
      <c r="J78" s="7" t="str">
        <f t="shared" si="70"/>
        <v>CEI</v>
      </c>
      <c r="K78" s="127">
        <f t="shared" si="71"/>
        <v>4</v>
      </c>
      <c r="L78" s="127">
        <f>IF(NOT(ISERROR(VLOOKUP(B78,Deflatores!G$42:H$64,2,FALSE))),VLOOKUP(B78,Deflatores!G$42:H$64,2,FALSE),IF(OR(ISBLANK(C78),ISBLANK(B78)),"",VLOOKUP(C78,Deflatores!G$4:H$38,2,FALSE)*H78+VLOOKUP(C78,Deflatores!G$4:I$38,3,FALSE)))</f>
        <v>4</v>
      </c>
      <c r="M78" s="10"/>
      <c r="N78" s="10"/>
      <c r="O78" s="6"/>
    </row>
    <row r="79" spans="1:15" x14ac:dyDescent="0.25">
      <c r="A79" s="179" t="s">
        <v>108</v>
      </c>
      <c r="B79" s="4" t="s">
        <v>45</v>
      </c>
      <c r="C79" s="4" t="s">
        <v>50</v>
      </c>
      <c r="D79" s="7">
        <v>11</v>
      </c>
      <c r="E79" s="7">
        <v>3</v>
      </c>
      <c r="F79" s="116" t="str">
        <f t="shared" si="66"/>
        <v>Alta</v>
      </c>
      <c r="G79" s="7" t="str">
        <f t="shared" si="67"/>
        <v>EEH</v>
      </c>
      <c r="H79" s="7">
        <f t="shared" si="68"/>
        <v>6</v>
      </c>
      <c r="I79" s="116" t="str">
        <f t="shared" si="69"/>
        <v>H</v>
      </c>
      <c r="J79" s="7" t="str">
        <f t="shared" si="70"/>
        <v>EEI</v>
      </c>
      <c r="K79" s="127">
        <f t="shared" si="71"/>
        <v>6</v>
      </c>
      <c r="L79" s="127">
        <f>IF(NOT(ISERROR(VLOOKUP(B79,Deflatores!G$42:H$64,2,FALSE))),VLOOKUP(B79,Deflatores!G$42:H$64,2,FALSE),IF(OR(ISBLANK(C79),ISBLANK(B79)),"",VLOOKUP(C79,Deflatores!G$4:H$38,2,FALSE)*H79+VLOOKUP(C79,Deflatores!G$4:I$38,3,FALSE)))</f>
        <v>6</v>
      </c>
      <c r="M79" s="10"/>
      <c r="N79" s="10"/>
      <c r="O79" s="6"/>
    </row>
    <row r="80" spans="1:15" x14ac:dyDescent="0.25">
      <c r="A80" s="180" t="s">
        <v>109</v>
      </c>
      <c r="B80" s="4" t="s">
        <v>52</v>
      </c>
      <c r="C80" s="4" t="s">
        <v>50</v>
      </c>
      <c r="D80" s="7">
        <v>3</v>
      </c>
      <c r="E80" s="7">
        <v>1</v>
      </c>
      <c r="F80" s="116" t="str">
        <f t="shared" si="66"/>
        <v>Baixa</v>
      </c>
      <c r="G80" s="7" t="str">
        <f t="shared" si="67"/>
        <v>CEL</v>
      </c>
      <c r="H80" s="7">
        <f t="shared" si="68"/>
        <v>3</v>
      </c>
      <c r="I80" s="116" t="str">
        <f t="shared" si="69"/>
        <v>L</v>
      </c>
      <c r="J80" s="7" t="str">
        <f t="shared" si="70"/>
        <v>CEI</v>
      </c>
      <c r="K80" s="127">
        <f t="shared" si="71"/>
        <v>3</v>
      </c>
      <c r="L80" s="127">
        <f>IF(NOT(ISERROR(VLOOKUP(B80,Deflatores!G$42:H$64,2,FALSE))),VLOOKUP(B80,Deflatores!G$42:H$64,2,FALSE),IF(OR(ISBLANK(C80),ISBLANK(B80)),"",VLOOKUP(C80,Deflatores!G$4:H$38,2,FALSE)*H80+VLOOKUP(C80,Deflatores!G$4:I$38,3,FALSE)))</f>
        <v>3</v>
      </c>
      <c r="M80" s="10"/>
      <c r="N80" s="10"/>
      <c r="O80" s="6"/>
    </row>
    <row r="81" spans="1:15" x14ac:dyDescent="0.25">
      <c r="A81" s="179" t="s">
        <v>110</v>
      </c>
      <c r="B81" s="4" t="s">
        <v>45</v>
      </c>
      <c r="C81" s="4" t="s">
        <v>50</v>
      </c>
      <c r="D81" s="7">
        <v>8</v>
      </c>
      <c r="E81" s="7">
        <v>3</v>
      </c>
      <c r="F81" s="116" t="str">
        <f t="shared" si="66"/>
        <v>Alta</v>
      </c>
      <c r="G81" s="7" t="str">
        <f t="shared" si="67"/>
        <v>EEH</v>
      </c>
      <c r="H81" s="7">
        <f t="shared" si="68"/>
        <v>6</v>
      </c>
      <c r="I81" s="116" t="str">
        <f t="shared" si="69"/>
        <v>H</v>
      </c>
      <c r="J81" s="7" t="str">
        <f t="shared" si="70"/>
        <v>EEI</v>
      </c>
      <c r="K81" s="127">
        <f t="shared" si="71"/>
        <v>6</v>
      </c>
      <c r="L81" s="127">
        <f>IF(NOT(ISERROR(VLOOKUP(B81,Deflatores!G$42:H$64,2,FALSE))),VLOOKUP(B81,Deflatores!G$42:H$64,2,FALSE),IF(OR(ISBLANK(C81),ISBLANK(B81)),"",VLOOKUP(C81,Deflatores!G$4:H$38,2,FALSE)*H81+VLOOKUP(C81,Deflatores!G$4:I$38,3,FALSE)))</f>
        <v>6</v>
      </c>
      <c r="M81" s="10"/>
      <c r="N81" s="10"/>
      <c r="O81" s="6"/>
    </row>
    <row r="82" spans="1:15" x14ac:dyDescent="0.25">
      <c r="A82" s="180" t="s">
        <v>111</v>
      </c>
      <c r="B82" s="4" t="s">
        <v>52</v>
      </c>
      <c r="C82" s="4" t="s">
        <v>50</v>
      </c>
      <c r="D82" s="7">
        <v>8</v>
      </c>
      <c r="E82" s="7">
        <v>3</v>
      </c>
      <c r="F82" s="116" t="str">
        <f t="shared" si="66"/>
        <v>Média</v>
      </c>
      <c r="G82" s="7" t="str">
        <f t="shared" si="67"/>
        <v>CEA</v>
      </c>
      <c r="H82" s="7">
        <f t="shared" si="68"/>
        <v>4</v>
      </c>
      <c r="I82" s="116" t="str">
        <f t="shared" si="69"/>
        <v>A</v>
      </c>
      <c r="J82" s="7" t="str">
        <f t="shared" si="70"/>
        <v>CEI</v>
      </c>
      <c r="K82" s="127">
        <f t="shared" si="71"/>
        <v>4</v>
      </c>
      <c r="L82" s="127">
        <f>IF(NOT(ISERROR(VLOOKUP(B82,Deflatores!G$42:H$64,2,FALSE))),VLOOKUP(B82,Deflatores!G$42:H$64,2,FALSE),IF(OR(ISBLANK(C82),ISBLANK(B82)),"",VLOOKUP(C82,Deflatores!G$4:H$38,2,FALSE)*H82+VLOOKUP(C82,Deflatores!G$4:I$38,3,FALSE)))</f>
        <v>4</v>
      </c>
      <c r="M82" s="10"/>
      <c r="N82" s="10"/>
      <c r="O82" s="6"/>
    </row>
    <row r="83" spans="1:15" x14ac:dyDescent="0.25">
      <c r="A83" s="179" t="s">
        <v>112</v>
      </c>
      <c r="B83" s="4" t="s">
        <v>52</v>
      </c>
      <c r="C83" s="4" t="s">
        <v>50</v>
      </c>
      <c r="D83" s="7">
        <v>10</v>
      </c>
      <c r="E83" s="7">
        <v>3</v>
      </c>
      <c r="F83" s="116" t="str">
        <f t="shared" si="66"/>
        <v>Média</v>
      </c>
      <c r="G83" s="7" t="str">
        <f t="shared" si="67"/>
        <v>CEA</v>
      </c>
      <c r="H83" s="7">
        <f t="shared" si="68"/>
        <v>4</v>
      </c>
      <c r="I83" s="116" t="str">
        <f t="shared" si="69"/>
        <v>A</v>
      </c>
      <c r="J83" s="7" t="str">
        <f t="shared" si="70"/>
        <v>CEI</v>
      </c>
      <c r="K83" s="127">
        <f t="shared" si="71"/>
        <v>4</v>
      </c>
      <c r="L83" s="127">
        <f>IF(NOT(ISERROR(VLOOKUP(B83,Deflatores!G$42:H$64,2,FALSE))),VLOOKUP(B83,Deflatores!G$42:H$64,2,FALSE),IF(OR(ISBLANK(C83),ISBLANK(B83)),"",VLOOKUP(C83,Deflatores!G$4:H$38,2,FALSE)*H83+VLOOKUP(C83,Deflatores!G$4:I$38,3,FALSE)))</f>
        <v>4</v>
      </c>
      <c r="M83" s="10"/>
      <c r="N83" s="10"/>
      <c r="O83" s="6"/>
    </row>
    <row r="84" spans="1:15" x14ac:dyDescent="0.25">
      <c r="A84" s="179" t="s">
        <v>113</v>
      </c>
      <c r="B84" s="4" t="s">
        <v>45</v>
      </c>
      <c r="C84" s="4" t="s">
        <v>50</v>
      </c>
      <c r="D84" s="7">
        <v>3</v>
      </c>
      <c r="E84" s="7">
        <v>1</v>
      </c>
      <c r="F84" s="116" t="str">
        <f t="shared" si="66"/>
        <v>Baixa</v>
      </c>
      <c r="G84" s="7" t="str">
        <f t="shared" si="67"/>
        <v>EEL</v>
      </c>
      <c r="H84" s="7">
        <f t="shared" si="68"/>
        <v>3</v>
      </c>
      <c r="I84" s="116" t="str">
        <f t="shared" si="69"/>
        <v>L</v>
      </c>
      <c r="J84" s="7" t="str">
        <f t="shared" si="70"/>
        <v>EEI</v>
      </c>
      <c r="K84" s="127">
        <f t="shared" si="71"/>
        <v>3</v>
      </c>
      <c r="L84" s="127">
        <f>IF(NOT(ISERROR(VLOOKUP(B84,Deflatores!G$42:H$64,2,FALSE))),VLOOKUP(B84,Deflatores!G$42:H$64,2,FALSE),IF(OR(ISBLANK(C84),ISBLANK(B84)),"",VLOOKUP(C84,Deflatores!G$4:H$38,2,FALSE)*H84+VLOOKUP(C84,Deflatores!G$4:I$38,3,FALSE)))</f>
        <v>3</v>
      </c>
      <c r="M84" s="10"/>
      <c r="N84" s="10"/>
      <c r="O84" s="6"/>
    </row>
    <row r="85" spans="1:15" x14ac:dyDescent="0.25">
      <c r="A85" s="179" t="s">
        <v>114</v>
      </c>
      <c r="B85" s="4" t="s">
        <v>45</v>
      </c>
      <c r="C85" s="4" t="s">
        <v>50</v>
      </c>
      <c r="D85" s="7">
        <v>4</v>
      </c>
      <c r="E85" s="7">
        <v>1</v>
      </c>
      <c r="F85" s="116" t="str">
        <f t="shared" si="66"/>
        <v>Baixa</v>
      </c>
      <c r="G85" s="7" t="str">
        <f t="shared" si="67"/>
        <v>EEL</v>
      </c>
      <c r="H85" s="7">
        <f t="shared" si="68"/>
        <v>3</v>
      </c>
      <c r="I85" s="116" t="str">
        <f t="shared" si="69"/>
        <v>L</v>
      </c>
      <c r="J85" s="7" t="str">
        <f t="shared" si="70"/>
        <v>EEI</v>
      </c>
      <c r="K85" s="127">
        <f t="shared" si="71"/>
        <v>3</v>
      </c>
      <c r="L85" s="127">
        <f>IF(NOT(ISERROR(VLOOKUP(B85,Deflatores!G$42:H$64,2,FALSE))),VLOOKUP(B85,Deflatores!G$42:H$64,2,FALSE),IF(OR(ISBLANK(C85),ISBLANK(B85)),"",VLOOKUP(C85,Deflatores!G$4:H$38,2,FALSE)*H85+VLOOKUP(C85,Deflatores!G$4:I$38,3,FALSE)))</f>
        <v>3</v>
      </c>
      <c r="M85" s="10"/>
      <c r="N85" s="10"/>
      <c r="O85" s="6"/>
    </row>
    <row r="86" spans="1:15" x14ac:dyDescent="0.25">
      <c r="A86" s="179"/>
      <c r="B86" s="4"/>
      <c r="C86" s="4"/>
      <c r="D86" s="7"/>
      <c r="E86" s="7"/>
      <c r="F86" s="116" t="str">
        <f t="shared" si="66"/>
        <v/>
      </c>
      <c r="G86" s="7" t="str">
        <f t="shared" si="67"/>
        <v/>
      </c>
      <c r="H86" s="7" t="str">
        <f t="shared" si="68"/>
        <v/>
      </c>
      <c r="I86" s="116" t="str">
        <f t="shared" si="69"/>
        <v/>
      </c>
      <c r="J86" s="7" t="str">
        <f t="shared" si="70"/>
        <v/>
      </c>
      <c r="K86" s="127" t="str">
        <f t="shared" si="71"/>
        <v/>
      </c>
      <c r="L86" s="127" t="str">
        <f>IF(NOT(ISERROR(VLOOKUP(B86,Deflatores!G$42:H$64,2,FALSE))),VLOOKUP(B86,Deflatores!G$42:H$64,2,FALSE),IF(OR(ISBLANK(C86),ISBLANK(B86)),"",VLOOKUP(C86,Deflatores!G$4:H$38,2,FALSE)*H86+VLOOKUP(C86,Deflatores!G$4:I$38,3,FALSE)))</f>
        <v/>
      </c>
      <c r="M86" s="10"/>
      <c r="N86" s="10"/>
      <c r="O86" s="6"/>
    </row>
    <row r="87" spans="1:15" x14ac:dyDescent="0.25">
      <c r="A87" s="181" t="s">
        <v>115</v>
      </c>
      <c r="B87" s="4"/>
      <c r="C87" s="4"/>
      <c r="D87" s="7"/>
      <c r="E87" s="7"/>
      <c r="F87" s="116" t="str">
        <f t="shared" si="66"/>
        <v/>
      </c>
      <c r="G87" s="7" t="str">
        <f t="shared" si="67"/>
        <v/>
      </c>
      <c r="H87" s="7" t="str">
        <f t="shared" si="68"/>
        <v/>
      </c>
      <c r="I87" s="116" t="str">
        <f t="shared" si="69"/>
        <v/>
      </c>
      <c r="J87" s="7" t="str">
        <f t="shared" si="70"/>
        <v/>
      </c>
      <c r="K87" s="127" t="str">
        <f t="shared" si="71"/>
        <v/>
      </c>
      <c r="L87" s="127" t="str">
        <f>IF(NOT(ISERROR(VLOOKUP(B87,Deflatores!G$42:H$64,2,FALSE))),VLOOKUP(B87,Deflatores!G$42:H$64,2,FALSE),IF(OR(ISBLANK(C87),ISBLANK(B87)),"",VLOOKUP(C87,Deflatores!G$4:H$38,2,FALSE)*H87+VLOOKUP(C87,Deflatores!G$4:I$38,3,FALSE)))</f>
        <v/>
      </c>
      <c r="M87" s="10"/>
      <c r="N87" s="10"/>
      <c r="O87" s="6"/>
    </row>
    <row r="88" spans="1:15" x14ac:dyDescent="0.25">
      <c r="A88" s="179" t="s">
        <v>116</v>
      </c>
      <c r="B88" s="4" t="s">
        <v>49</v>
      </c>
      <c r="C88" s="4" t="s">
        <v>50</v>
      </c>
      <c r="D88" s="7">
        <v>12</v>
      </c>
      <c r="E88" s="7">
        <v>1</v>
      </c>
      <c r="F88" s="116" t="str">
        <f t="shared" si="66"/>
        <v>Baixa</v>
      </c>
      <c r="G88" s="7" t="str">
        <f t="shared" si="67"/>
        <v>AIEL</v>
      </c>
      <c r="H88" s="7">
        <f t="shared" si="68"/>
        <v>5</v>
      </c>
      <c r="I88" s="116" t="str">
        <f t="shared" si="69"/>
        <v>L</v>
      </c>
      <c r="J88" s="7" t="str">
        <f t="shared" si="70"/>
        <v>AIEI</v>
      </c>
      <c r="K88" s="127">
        <f t="shared" si="71"/>
        <v>5</v>
      </c>
      <c r="L88" s="127">
        <f>IF(NOT(ISERROR(VLOOKUP(B88,Deflatores!G$42:H$64,2,FALSE))),VLOOKUP(B88,Deflatores!G$42:H$64,2,FALSE),IF(OR(ISBLANK(C88),ISBLANK(B88)),"",VLOOKUP(C88,Deflatores!G$4:H$38,2,FALSE)*H88+VLOOKUP(C88,Deflatores!G$4:I$38,3,FALSE)))</f>
        <v>5</v>
      </c>
      <c r="M88" s="10"/>
      <c r="N88" s="10"/>
      <c r="O88" s="6"/>
    </row>
    <row r="89" spans="1:15" x14ac:dyDescent="0.25">
      <c r="A89" s="179" t="s">
        <v>117</v>
      </c>
      <c r="B89" s="4" t="s">
        <v>49</v>
      </c>
      <c r="C89" s="4" t="s">
        <v>50</v>
      </c>
      <c r="D89" s="7">
        <v>2</v>
      </c>
      <c r="E89" s="7">
        <v>1</v>
      </c>
      <c r="F89" s="116" t="str">
        <f t="shared" si="66"/>
        <v>Baixa</v>
      </c>
      <c r="G89" s="7" t="str">
        <f t="shared" si="67"/>
        <v>AIEL</v>
      </c>
      <c r="H89" s="7">
        <f t="shared" si="68"/>
        <v>5</v>
      </c>
      <c r="I89" s="116" t="str">
        <f t="shared" si="69"/>
        <v>L</v>
      </c>
      <c r="J89" s="7" t="str">
        <f t="shared" si="70"/>
        <v>AIEI</v>
      </c>
      <c r="K89" s="127">
        <f t="shared" si="71"/>
        <v>5</v>
      </c>
      <c r="L89" s="127">
        <f>IF(NOT(ISERROR(VLOOKUP(B89,Deflatores!G$42:H$64,2,FALSE))),VLOOKUP(B89,Deflatores!G$42:H$64,2,FALSE),IF(OR(ISBLANK(C89),ISBLANK(B89)),"",VLOOKUP(C89,Deflatores!G$4:H$38,2,FALSE)*H89+VLOOKUP(C89,Deflatores!G$4:I$38,3,FALSE)))</f>
        <v>5</v>
      </c>
      <c r="M89" s="10"/>
      <c r="N89" s="10"/>
      <c r="O89" s="6"/>
    </row>
    <row r="90" spans="1:15" x14ac:dyDescent="0.25">
      <c r="A90" s="179" t="s">
        <v>118</v>
      </c>
      <c r="B90" s="4" t="s">
        <v>52</v>
      </c>
      <c r="C90" s="4" t="s">
        <v>50</v>
      </c>
      <c r="D90" s="7">
        <v>3</v>
      </c>
      <c r="E90" s="7">
        <v>1</v>
      </c>
      <c r="F90" s="116" t="str">
        <f t="shared" si="66"/>
        <v>Baixa</v>
      </c>
      <c r="G90" s="7" t="str">
        <f t="shared" si="67"/>
        <v>CEL</v>
      </c>
      <c r="H90" s="7">
        <f t="shared" si="68"/>
        <v>3</v>
      </c>
      <c r="I90" s="116" t="str">
        <f t="shared" si="69"/>
        <v>L</v>
      </c>
      <c r="J90" s="7" t="str">
        <f t="shared" si="70"/>
        <v>CEI</v>
      </c>
      <c r="K90" s="127">
        <f t="shared" si="71"/>
        <v>3</v>
      </c>
      <c r="L90" s="127">
        <f>IF(NOT(ISERROR(VLOOKUP(B90,Deflatores!G$42:H$64,2,FALSE))),VLOOKUP(B90,Deflatores!G$42:H$64,2,FALSE),IF(OR(ISBLANK(C90),ISBLANK(B90)),"",VLOOKUP(C90,Deflatores!G$4:H$38,2,FALSE)*H90+VLOOKUP(C90,Deflatores!G$4:I$38,3,FALSE)))</f>
        <v>3</v>
      </c>
      <c r="M90" s="10"/>
      <c r="N90" s="10"/>
      <c r="O90" s="6"/>
    </row>
    <row r="91" spans="1:15" x14ac:dyDescent="0.25">
      <c r="A91" s="179" t="s">
        <v>119</v>
      </c>
      <c r="B91" s="4" t="s">
        <v>52</v>
      </c>
      <c r="C91" s="4" t="s">
        <v>50</v>
      </c>
      <c r="D91" s="7">
        <v>9</v>
      </c>
      <c r="E91" s="7">
        <v>3</v>
      </c>
      <c r="F91" s="116" t="str">
        <f t="shared" si="66"/>
        <v>Média</v>
      </c>
      <c r="G91" s="7" t="str">
        <f t="shared" si="67"/>
        <v>CEA</v>
      </c>
      <c r="H91" s="7">
        <f t="shared" si="68"/>
        <v>4</v>
      </c>
      <c r="I91" s="116" t="str">
        <f t="shared" si="69"/>
        <v>A</v>
      </c>
      <c r="J91" s="7" t="str">
        <f t="shared" si="70"/>
        <v>CEI</v>
      </c>
      <c r="K91" s="127">
        <f t="shared" si="71"/>
        <v>4</v>
      </c>
      <c r="L91" s="127">
        <f>IF(NOT(ISERROR(VLOOKUP(B91,Deflatores!G$42:H$64,2,FALSE))),VLOOKUP(B91,Deflatores!G$42:H$64,2,FALSE),IF(OR(ISBLANK(C91),ISBLANK(B91)),"",VLOOKUP(C91,Deflatores!G$4:H$38,2,FALSE)*H91+VLOOKUP(C91,Deflatores!G$4:I$38,3,FALSE)))</f>
        <v>4</v>
      </c>
      <c r="M91" s="10"/>
      <c r="N91" s="10"/>
      <c r="O91" s="6"/>
    </row>
    <row r="92" spans="1:15" x14ac:dyDescent="0.25">
      <c r="A92" s="179" t="s">
        <v>120</v>
      </c>
      <c r="B92" s="4" t="s">
        <v>45</v>
      </c>
      <c r="C92" s="4" t="s">
        <v>50</v>
      </c>
      <c r="D92" s="7">
        <v>31</v>
      </c>
      <c r="E92" s="7">
        <v>5</v>
      </c>
      <c r="F92" s="116" t="str">
        <f t="shared" si="66"/>
        <v>Alta</v>
      </c>
      <c r="G92" s="7" t="str">
        <f t="shared" si="67"/>
        <v>EEH</v>
      </c>
      <c r="H92" s="7">
        <f t="shared" si="68"/>
        <v>6</v>
      </c>
      <c r="I92" s="116" t="str">
        <f t="shared" si="69"/>
        <v>H</v>
      </c>
      <c r="J92" s="7" t="str">
        <f t="shared" si="70"/>
        <v>EEI</v>
      </c>
      <c r="K92" s="127">
        <f t="shared" si="71"/>
        <v>6</v>
      </c>
      <c r="L92" s="127">
        <f>IF(NOT(ISERROR(VLOOKUP(B92,Deflatores!G$42:H$64,2,FALSE))),VLOOKUP(B92,Deflatores!G$42:H$64,2,FALSE),IF(OR(ISBLANK(C92),ISBLANK(B92)),"",VLOOKUP(C92,Deflatores!G$4:H$38,2,FALSE)*H92+VLOOKUP(C92,Deflatores!G$4:I$38,3,FALSE)))</f>
        <v>6</v>
      </c>
      <c r="M92" s="10"/>
      <c r="N92" s="10"/>
      <c r="O92" s="6"/>
    </row>
    <row r="93" spans="1:15" x14ac:dyDescent="0.25">
      <c r="A93" s="179" t="s">
        <v>121</v>
      </c>
      <c r="B93" s="4" t="s">
        <v>45</v>
      </c>
      <c r="C93" s="4" t="s">
        <v>50</v>
      </c>
      <c r="D93" s="7">
        <v>10</v>
      </c>
      <c r="E93" s="7">
        <v>1</v>
      </c>
      <c r="F93" s="116" t="str">
        <f t="shared" si="66"/>
        <v>Baixa</v>
      </c>
      <c r="G93" s="7" t="str">
        <f t="shared" si="67"/>
        <v>EEL</v>
      </c>
      <c r="H93" s="7">
        <f t="shared" si="68"/>
        <v>3</v>
      </c>
      <c r="I93" s="116" t="str">
        <f t="shared" si="69"/>
        <v>L</v>
      </c>
      <c r="J93" s="7" t="str">
        <f t="shared" si="70"/>
        <v>EEI</v>
      </c>
      <c r="K93" s="127">
        <f t="shared" si="71"/>
        <v>3</v>
      </c>
      <c r="L93" s="127">
        <f>IF(NOT(ISERROR(VLOOKUP(B93,Deflatores!G$42:H$64,2,FALSE))),VLOOKUP(B93,Deflatores!G$42:H$64,2,FALSE),IF(OR(ISBLANK(C93),ISBLANK(B93)),"",VLOOKUP(C93,Deflatores!G$4:H$38,2,FALSE)*H93+VLOOKUP(C93,Deflatores!G$4:I$38,3,FALSE)))</f>
        <v>3</v>
      </c>
      <c r="M93" s="10"/>
      <c r="N93" s="10"/>
      <c r="O93" s="6"/>
    </row>
    <row r="94" spans="1:15" x14ac:dyDescent="0.25">
      <c r="A94" s="180" t="s">
        <v>122</v>
      </c>
      <c r="B94" s="4" t="s">
        <v>52</v>
      </c>
      <c r="C94" s="4" t="s">
        <v>50</v>
      </c>
      <c r="D94" s="7">
        <v>10</v>
      </c>
      <c r="E94" s="7">
        <v>3</v>
      </c>
      <c r="F94" s="116" t="str">
        <f t="shared" si="66"/>
        <v>Média</v>
      </c>
      <c r="G94" s="7" t="str">
        <f t="shared" si="67"/>
        <v>CEA</v>
      </c>
      <c r="H94" s="7">
        <f t="shared" si="68"/>
        <v>4</v>
      </c>
      <c r="I94" s="116" t="str">
        <f t="shared" si="69"/>
        <v>A</v>
      </c>
      <c r="J94" s="7" t="str">
        <f t="shared" si="70"/>
        <v>CEI</v>
      </c>
      <c r="K94" s="127">
        <f t="shared" si="71"/>
        <v>4</v>
      </c>
      <c r="L94" s="127">
        <f>IF(NOT(ISERROR(VLOOKUP(B94,Deflatores!G$42:H$64,2,FALSE))),VLOOKUP(B94,Deflatores!G$42:H$64,2,FALSE),IF(OR(ISBLANK(C94),ISBLANK(B94)),"",VLOOKUP(C94,Deflatores!G$4:H$38,2,FALSE)*H94+VLOOKUP(C94,Deflatores!G$4:I$38,3,FALSE)))</f>
        <v>4</v>
      </c>
      <c r="M94" s="10"/>
      <c r="N94" s="10"/>
      <c r="O94" s="6"/>
    </row>
    <row r="95" spans="1:15" x14ac:dyDescent="0.25">
      <c r="A95" s="179" t="s">
        <v>123</v>
      </c>
      <c r="B95" s="4" t="s">
        <v>52</v>
      </c>
      <c r="C95" s="4" t="s">
        <v>50</v>
      </c>
      <c r="D95" s="7">
        <v>12</v>
      </c>
      <c r="E95" s="7">
        <v>3</v>
      </c>
      <c r="F95" s="116" t="str">
        <f t="shared" si="66"/>
        <v>Média</v>
      </c>
      <c r="G95" s="7" t="str">
        <f t="shared" si="67"/>
        <v>CEA</v>
      </c>
      <c r="H95" s="7">
        <f t="shared" si="68"/>
        <v>4</v>
      </c>
      <c r="I95" s="116" t="str">
        <f t="shared" si="69"/>
        <v>A</v>
      </c>
      <c r="J95" s="7" t="str">
        <f t="shared" si="70"/>
        <v>CEI</v>
      </c>
      <c r="K95" s="127">
        <f t="shared" si="71"/>
        <v>4</v>
      </c>
      <c r="L95" s="127">
        <f>IF(NOT(ISERROR(VLOOKUP(B95,Deflatores!G$42:H$64,2,FALSE))),VLOOKUP(B95,Deflatores!G$42:H$64,2,FALSE),IF(OR(ISBLANK(C95),ISBLANK(B95)),"",VLOOKUP(C95,Deflatores!G$4:H$38,2,FALSE)*H95+VLOOKUP(C95,Deflatores!G$4:I$38,3,FALSE)))</f>
        <v>4</v>
      </c>
      <c r="M95" s="10"/>
      <c r="N95" s="10"/>
      <c r="O95" s="6"/>
    </row>
    <row r="96" spans="1:15" x14ac:dyDescent="0.25">
      <c r="A96" s="179" t="s">
        <v>124</v>
      </c>
      <c r="B96" s="4" t="s">
        <v>45</v>
      </c>
      <c r="C96" s="4" t="s">
        <v>50</v>
      </c>
      <c r="D96" s="7">
        <v>3</v>
      </c>
      <c r="E96" s="7">
        <v>1</v>
      </c>
      <c r="F96" s="116" t="str">
        <f t="shared" si="66"/>
        <v>Baixa</v>
      </c>
      <c r="G96" s="7" t="str">
        <f t="shared" si="67"/>
        <v>EEL</v>
      </c>
      <c r="H96" s="7">
        <f t="shared" si="68"/>
        <v>3</v>
      </c>
      <c r="I96" s="116" t="str">
        <f t="shared" si="69"/>
        <v>L</v>
      </c>
      <c r="J96" s="7" t="str">
        <f t="shared" si="70"/>
        <v>EEI</v>
      </c>
      <c r="K96" s="127">
        <f t="shared" si="71"/>
        <v>3</v>
      </c>
      <c r="L96" s="127">
        <f>IF(NOT(ISERROR(VLOOKUP(B96,Deflatores!G$42:H$64,2,FALSE))),VLOOKUP(B96,Deflatores!G$42:H$64,2,FALSE),IF(OR(ISBLANK(C96),ISBLANK(B96)),"",VLOOKUP(C96,Deflatores!G$4:H$38,2,FALSE)*H96+VLOOKUP(C96,Deflatores!G$4:I$38,3,FALSE)))</f>
        <v>3</v>
      </c>
      <c r="M96" s="10"/>
      <c r="N96" s="10"/>
      <c r="O96" s="6"/>
    </row>
    <row r="97" spans="1:15" x14ac:dyDescent="0.25">
      <c r="A97" s="179" t="s">
        <v>125</v>
      </c>
      <c r="B97" s="4" t="s">
        <v>45</v>
      </c>
      <c r="C97" s="4" t="s">
        <v>50</v>
      </c>
      <c r="D97" s="7">
        <v>4</v>
      </c>
      <c r="E97" s="7">
        <v>1</v>
      </c>
      <c r="F97" s="116" t="str">
        <f t="shared" si="66"/>
        <v>Baixa</v>
      </c>
      <c r="G97" s="7" t="str">
        <f t="shared" si="67"/>
        <v>EEL</v>
      </c>
      <c r="H97" s="7">
        <f t="shared" si="68"/>
        <v>3</v>
      </c>
      <c r="I97" s="116" t="str">
        <f t="shared" si="69"/>
        <v>L</v>
      </c>
      <c r="J97" s="7" t="str">
        <f t="shared" si="70"/>
        <v>EEI</v>
      </c>
      <c r="K97" s="127">
        <f t="shared" si="71"/>
        <v>3</v>
      </c>
      <c r="L97" s="127">
        <f>IF(NOT(ISERROR(VLOOKUP(B97,Deflatores!G$42:H$64,2,FALSE))),VLOOKUP(B97,Deflatores!G$42:H$64,2,FALSE),IF(OR(ISBLANK(C97),ISBLANK(B97)),"",VLOOKUP(C97,Deflatores!G$4:H$38,2,FALSE)*H97+VLOOKUP(C97,Deflatores!G$4:I$38,3,FALSE)))</f>
        <v>3</v>
      </c>
      <c r="M97" s="10"/>
      <c r="N97" s="10"/>
      <c r="O97" s="6"/>
    </row>
    <row r="98" spans="1:15" x14ac:dyDescent="0.25">
      <c r="A98" s="179"/>
      <c r="B98" s="4"/>
      <c r="C98" s="4"/>
      <c r="D98" s="7"/>
      <c r="E98" s="7"/>
      <c r="F98" s="116" t="str">
        <f t="shared" si="66"/>
        <v/>
      </c>
      <c r="G98" s="7" t="str">
        <f t="shared" si="67"/>
        <v/>
      </c>
      <c r="H98" s="7" t="str">
        <f t="shared" si="68"/>
        <v/>
      </c>
      <c r="I98" s="116" t="str">
        <f t="shared" si="69"/>
        <v/>
      </c>
      <c r="J98" s="7" t="str">
        <f t="shared" si="70"/>
        <v/>
      </c>
      <c r="K98" s="127" t="str">
        <f t="shared" si="71"/>
        <v/>
      </c>
      <c r="L98" s="127" t="str">
        <f>IF(NOT(ISERROR(VLOOKUP(B98,Deflatores!G$42:H$64,2,FALSE))),VLOOKUP(B98,Deflatores!G$42:H$64,2,FALSE),IF(OR(ISBLANK(C98),ISBLANK(B98)),"",VLOOKUP(C98,Deflatores!G$4:H$38,2,FALSE)*H98+VLOOKUP(C98,Deflatores!G$4:I$38,3,FALSE)))</f>
        <v/>
      </c>
      <c r="M98" s="10"/>
      <c r="N98" s="10"/>
      <c r="O98" s="6"/>
    </row>
    <row r="99" spans="1:15" x14ac:dyDescent="0.25">
      <c r="A99" s="181" t="s">
        <v>126</v>
      </c>
      <c r="B99" s="4"/>
      <c r="C99" s="4"/>
      <c r="D99" s="7"/>
      <c r="E99" s="7"/>
      <c r="F99" s="116" t="str">
        <f t="shared" si="66"/>
        <v/>
      </c>
      <c r="G99" s="7" t="str">
        <f t="shared" si="67"/>
        <v/>
      </c>
      <c r="H99" s="7" t="str">
        <f t="shared" si="68"/>
        <v/>
      </c>
      <c r="I99" s="116" t="str">
        <f t="shared" si="69"/>
        <v/>
      </c>
      <c r="J99" s="7" t="str">
        <f t="shared" si="70"/>
        <v/>
      </c>
      <c r="K99" s="127" t="str">
        <f t="shared" si="71"/>
        <v/>
      </c>
      <c r="L99" s="127" t="str">
        <f>IF(NOT(ISERROR(VLOOKUP(B99,Deflatores!G$42:H$64,2,FALSE))),VLOOKUP(B99,Deflatores!G$42:H$64,2,FALSE),IF(OR(ISBLANK(C99),ISBLANK(B99)),"",VLOOKUP(C99,Deflatores!G$4:H$38,2,FALSE)*H99+VLOOKUP(C99,Deflatores!G$4:I$38,3,FALSE)))</f>
        <v/>
      </c>
      <c r="M99" s="10"/>
      <c r="N99" s="10"/>
      <c r="O99" s="6"/>
    </row>
    <row r="100" spans="1:15" x14ac:dyDescent="0.25">
      <c r="A100" s="179" t="s">
        <v>127</v>
      </c>
      <c r="B100" s="4" t="s">
        <v>61</v>
      </c>
      <c r="C100" s="4" t="s">
        <v>50</v>
      </c>
      <c r="D100" s="7">
        <v>9</v>
      </c>
      <c r="E100" s="7">
        <v>1</v>
      </c>
      <c r="F100" s="116" t="str">
        <f t="shared" si="66"/>
        <v>Baixa</v>
      </c>
      <c r="G100" s="7" t="str">
        <f t="shared" si="67"/>
        <v>ALIL</v>
      </c>
      <c r="H100" s="7">
        <f t="shared" si="68"/>
        <v>7</v>
      </c>
      <c r="I100" s="116" t="str">
        <f t="shared" si="69"/>
        <v>L</v>
      </c>
      <c r="J100" s="7" t="str">
        <f t="shared" si="70"/>
        <v>ALII</v>
      </c>
      <c r="K100" s="127">
        <f t="shared" si="71"/>
        <v>7</v>
      </c>
      <c r="L100" s="127">
        <f>IF(NOT(ISERROR(VLOOKUP(B100,Deflatores!G$42:H$64,2,FALSE))),VLOOKUP(B100,Deflatores!G$42:H$64,2,FALSE),IF(OR(ISBLANK(C100),ISBLANK(B100)),"",VLOOKUP(C100,Deflatores!G$4:H$38,2,FALSE)*H100+VLOOKUP(C100,Deflatores!G$4:I$38,3,FALSE)))</f>
        <v>7</v>
      </c>
      <c r="M100" s="10"/>
      <c r="N100" s="10"/>
      <c r="O100" s="6"/>
    </row>
    <row r="101" spans="1:15" x14ac:dyDescent="0.25">
      <c r="A101" s="179" t="s">
        <v>128</v>
      </c>
      <c r="B101" s="4" t="s">
        <v>49</v>
      </c>
      <c r="C101" s="4" t="s">
        <v>50</v>
      </c>
      <c r="D101" s="7">
        <v>2</v>
      </c>
      <c r="E101" s="7">
        <v>1</v>
      </c>
      <c r="F101" s="116" t="str">
        <f t="shared" si="66"/>
        <v>Baixa</v>
      </c>
      <c r="G101" s="7" t="str">
        <f t="shared" si="67"/>
        <v>AIEL</v>
      </c>
      <c r="H101" s="7">
        <f t="shared" si="68"/>
        <v>5</v>
      </c>
      <c r="I101" s="116" t="str">
        <f t="shared" si="69"/>
        <v>L</v>
      </c>
      <c r="J101" s="7" t="str">
        <f t="shared" si="70"/>
        <v>AIEI</v>
      </c>
      <c r="K101" s="127">
        <f t="shared" si="71"/>
        <v>5</v>
      </c>
      <c r="L101" s="127">
        <f>IF(NOT(ISERROR(VLOOKUP(B101,Deflatores!G$42:H$64,2,FALSE))),VLOOKUP(B101,Deflatores!G$42:H$64,2,FALSE),IF(OR(ISBLANK(C101),ISBLANK(B101)),"",VLOOKUP(C101,Deflatores!G$4:H$38,2,FALSE)*H101+VLOOKUP(C101,Deflatores!G$4:I$38,3,FALSE)))</f>
        <v>5</v>
      </c>
      <c r="M101" s="10"/>
      <c r="N101" s="10"/>
      <c r="O101" s="6"/>
    </row>
    <row r="102" spans="1:15" x14ac:dyDescent="0.25">
      <c r="A102" s="179" t="s">
        <v>129</v>
      </c>
      <c r="B102" s="4" t="s">
        <v>52</v>
      </c>
      <c r="C102" s="4" t="s">
        <v>50</v>
      </c>
      <c r="D102" s="7">
        <v>3</v>
      </c>
      <c r="E102" s="7">
        <v>1</v>
      </c>
      <c r="F102" s="116" t="str">
        <f t="shared" si="66"/>
        <v>Baixa</v>
      </c>
      <c r="G102" s="7" t="str">
        <f t="shared" si="67"/>
        <v>CEL</v>
      </c>
      <c r="H102" s="7">
        <f t="shared" si="68"/>
        <v>3</v>
      </c>
      <c r="I102" s="116" t="str">
        <f t="shared" si="69"/>
        <v>L</v>
      </c>
      <c r="J102" s="7" t="str">
        <f t="shared" si="70"/>
        <v>CEI</v>
      </c>
      <c r="K102" s="127">
        <f t="shared" si="71"/>
        <v>3</v>
      </c>
      <c r="L102" s="127">
        <f>IF(NOT(ISERROR(VLOOKUP(B102,Deflatores!G$42:H$64,2,FALSE))),VLOOKUP(B102,Deflatores!G$42:H$64,2,FALSE),IF(OR(ISBLANK(C102),ISBLANK(B102)),"",VLOOKUP(C102,Deflatores!G$4:H$38,2,FALSE)*H102+VLOOKUP(C102,Deflatores!G$4:I$38,3,FALSE)))</f>
        <v>3</v>
      </c>
      <c r="M102" s="10"/>
      <c r="N102" s="10"/>
      <c r="O102" s="6"/>
    </row>
    <row r="103" spans="1:15" x14ac:dyDescent="0.25">
      <c r="A103" s="179" t="s">
        <v>130</v>
      </c>
      <c r="B103" s="4" t="s">
        <v>52</v>
      </c>
      <c r="C103" s="4" t="s">
        <v>50</v>
      </c>
      <c r="D103" s="7">
        <v>8</v>
      </c>
      <c r="E103" s="7">
        <v>2</v>
      </c>
      <c r="F103" s="116" t="str">
        <f t="shared" si="66"/>
        <v>Média</v>
      </c>
      <c r="G103" s="7" t="str">
        <f t="shared" si="67"/>
        <v>CEA</v>
      </c>
      <c r="H103" s="7">
        <f t="shared" si="68"/>
        <v>4</v>
      </c>
      <c r="I103" s="116" t="str">
        <f t="shared" si="69"/>
        <v>A</v>
      </c>
      <c r="J103" s="7" t="str">
        <f t="shared" si="70"/>
        <v>CEI</v>
      </c>
      <c r="K103" s="127">
        <f t="shared" si="71"/>
        <v>4</v>
      </c>
      <c r="L103" s="127">
        <f>IF(NOT(ISERROR(VLOOKUP(B103,Deflatores!G$42:H$64,2,FALSE))),VLOOKUP(B103,Deflatores!G$42:H$64,2,FALSE),IF(OR(ISBLANK(C103),ISBLANK(B103)),"",VLOOKUP(C103,Deflatores!G$4:H$38,2,FALSE)*H103+VLOOKUP(C103,Deflatores!G$4:I$38,3,FALSE)))</f>
        <v>4</v>
      </c>
      <c r="M103" s="10"/>
      <c r="N103" s="10"/>
      <c r="O103" s="6"/>
    </row>
    <row r="104" spans="1:15" x14ac:dyDescent="0.25">
      <c r="A104" s="179" t="s">
        <v>131</v>
      </c>
      <c r="B104" s="4" t="s">
        <v>45</v>
      </c>
      <c r="C104" s="4" t="s">
        <v>50</v>
      </c>
      <c r="D104" s="7">
        <v>11</v>
      </c>
      <c r="E104" s="7">
        <v>2</v>
      </c>
      <c r="F104" s="116" t="str">
        <f t="shared" si="66"/>
        <v>Média</v>
      </c>
      <c r="G104" s="7" t="str">
        <f t="shared" si="67"/>
        <v>EEA</v>
      </c>
      <c r="H104" s="7">
        <f t="shared" si="68"/>
        <v>4</v>
      </c>
      <c r="I104" s="116" t="str">
        <f t="shared" si="69"/>
        <v>A</v>
      </c>
      <c r="J104" s="7" t="str">
        <f t="shared" si="70"/>
        <v>EEI</v>
      </c>
      <c r="K104" s="127">
        <f t="shared" si="71"/>
        <v>4</v>
      </c>
      <c r="L104" s="127">
        <f>IF(NOT(ISERROR(VLOOKUP(B104,Deflatores!G$42:H$64,2,FALSE))),VLOOKUP(B104,Deflatores!G$42:H$64,2,FALSE),IF(OR(ISBLANK(C104),ISBLANK(B104)),"",VLOOKUP(C104,Deflatores!G$4:H$38,2,FALSE)*H104+VLOOKUP(C104,Deflatores!G$4:I$38,3,FALSE)))</f>
        <v>4</v>
      </c>
      <c r="M104" s="10"/>
      <c r="N104" s="10"/>
      <c r="O104" s="6"/>
    </row>
    <row r="105" spans="1:15" x14ac:dyDescent="0.25">
      <c r="A105" s="179" t="s">
        <v>132</v>
      </c>
      <c r="B105" s="4" t="s">
        <v>45</v>
      </c>
      <c r="C105" s="4" t="s">
        <v>50</v>
      </c>
      <c r="D105" s="7">
        <v>9</v>
      </c>
      <c r="E105" s="7">
        <v>2</v>
      </c>
      <c r="F105" s="116" t="str">
        <f t="shared" si="66"/>
        <v>Média</v>
      </c>
      <c r="G105" s="7" t="str">
        <f t="shared" si="67"/>
        <v>EEA</v>
      </c>
      <c r="H105" s="7">
        <f t="shared" si="68"/>
        <v>4</v>
      </c>
      <c r="I105" s="116" t="str">
        <f t="shared" si="69"/>
        <v>A</v>
      </c>
      <c r="J105" s="7" t="str">
        <f t="shared" si="70"/>
        <v>EEI</v>
      </c>
      <c r="K105" s="127">
        <f t="shared" si="71"/>
        <v>4</v>
      </c>
      <c r="L105" s="127">
        <f>IF(NOT(ISERROR(VLOOKUP(B105,Deflatores!G$42:H$64,2,FALSE))),VLOOKUP(B105,Deflatores!G$42:H$64,2,FALSE),IF(OR(ISBLANK(C105),ISBLANK(B105)),"",VLOOKUP(C105,Deflatores!G$4:H$38,2,FALSE)*H105+VLOOKUP(C105,Deflatores!G$4:I$38,3,FALSE)))</f>
        <v>4</v>
      </c>
      <c r="M105" s="10"/>
      <c r="N105" s="10"/>
      <c r="O105" s="6"/>
    </row>
    <row r="106" spans="1:15" x14ac:dyDescent="0.25">
      <c r="A106" s="180" t="s">
        <v>133</v>
      </c>
      <c r="B106" s="4" t="s">
        <v>52</v>
      </c>
      <c r="C106" s="4" t="s">
        <v>50</v>
      </c>
      <c r="D106" s="7">
        <v>8</v>
      </c>
      <c r="E106" s="7">
        <v>2</v>
      </c>
      <c r="F106" s="116" t="str">
        <f t="shared" si="66"/>
        <v>Média</v>
      </c>
      <c r="G106" s="7" t="str">
        <f t="shared" si="67"/>
        <v>CEA</v>
      </c>
      <c r="H106" s="7">
        <f t="shared" si="68"/>
        <v>4</v>
      </c>
      <c r="I106" s="116" t="str">
        <f t="shared" si="69"/>
        <v>A</v>
      </c>
      <c r="J106" s="7" t="str">
        <f t="shared" si="70"/>
        <v>CEI</v>
      </c>
      <c r="K106" s="127">
        <f t="shared" si="71"/>
        <v>4</v>
      </c>
      <c r="L106" s="127">
        <f>IF(NOT(ISERROR(VLOOKUP(B106,Deflatores!G$42:H$64,2,FALSE))),VLOOKUP(B106,Deflatores!G$42:H$64,2,FALSE),IF(OR(ISBLANK(C106),ISBLANK(B106)),"",VLOOKUP(C106,Deflatores!G$4:H$38,2,FALSE)*H106+VLOOKUP(C106,Deflatores!G$4:I$38,3,FALSE)))</f>
        <v>4</v>
      </c>
      <c r="M106" s="10"/>
      <c r="N106" s="10"/>
      <c r="O106" s="6"/>
    </row>
    <row r="107" spans="1:15" x14ac:dyDescent="0.25">
      <c r="A107" s="179" t="s">
        <v>134</v>
      </c>
      <c r="B107" s="4" t="s">
        <v>52</v>
      </c>
      <c r="C107" s="4" t="s">
        <v>50</v>
      </c>
      <c r="D107" s="7">
        <v>10</v>
      </c>
      <c r="E107" s="7">
        <v>2</v>
      </c>
      <c r="F107" s="116" t="str">
        <f t="shared" si="66"/>
        <v>Média</v>
      </c>
      <c r="G107" s="7" t="str">
        <f t="shared" si="67"/>
        <v>CEA</v>
      </c>
      <c r="H107" s="7">
        <f t="shared" si="68"/>
        <v>4</v>
      </c>
      <c r="I107" s="116" t="str">
        <f t="shared" si="69"/>
        <v>A</v>
      </c>
      <c r="J107" s="7" t="str">
        <f t="shared" si="70"/>
        <v>CEI</v>
      </c>
      <c r="K107" s="127">
        <f t="shared" si="71"/>
        <v>4</v>
      </c>
      <c r="L107" s="127">
        <f>IF(NOT(ISERROR(VLOOKUP(B107,Deflatores!G$42:H$64,2,FALSE))),VLOOKUP(B107,Deflatores!G$42:H$64,2,FALSE),IF(OR(ISBLANK(C107),ISBLANK(B107)),"",VLOOKUP(C107,Deflatores!G$4:H$38,2,FALSE)*H107+VLOOKUP(C107,Deflatores!G$4:I$38,3,FALSE)))</f>
        <v>4</v>
      </c>
      <c r="M107" s="10"/>
      <c r="N107" s="10"/>
      <c r="O107" s="6"/>
    </row>
    <row r="108" spans="1:15" x14ac:dyDescent="0.25">
      <c r="A108" s="179" t="s">
        <v>135</v>
      </c>
      <c r="B108" s="4" t="s">
        <v>45</v>
      </c>
      <c r="C108" s="4" t="s">
        <v>50</v>
      </c>
      <c r="D108" s="7">
        <v>3</v>
      </c>
      <c r="E108" s="7">
        <v>1</v>
      </c>
      <c r="F108" s="116" t="str">
        <f t="shared" ref="F108:F155" si="72">IF(ISBLANK(B108),"",IF(I108="L","Baixa",IF(I108="A","Média",IF(I108="","","Alta"))))</f>
        <v>Baixa</v>
      </c>
      <c r="G108" s="7" t="str">
        <f t="shared" ref="G108:G155" si="73">CONCATENATE(B108,I108)</f>
        <v>EEL</v>
      </c>
      <c r="H108" s="7">
        <f t="shared" ref="H108:H155" si="74">IF(ISBLANK(B108),"",IF(B108="ALI",IF(I108="L",7,IF(I108="A",10,15)),IF(B108="AIE",IF(I108="L",5,IF(I108="A",7,10)),IF(B108="SE",IF(I108="L",4,IF(I108="A",5,7)),IF(OR(B108="EE",B108="CE"),IF(I108="L",3,IF(I108="A",4,6)),0)))))</f>
        <v>3</v>
      </c>
      <c r="I108" s="116" t="str">
        <f t="shared" ref="I108:I155" si="75">IF(OR(ISBLANK(D108),ISBLANK(E108)),IF(OR(B108="ALI",B108="AIE"),"L",IF(OR(B108="EE",B108="SE",B108="CE"),"A","")),IF(B108="EE",IF(E108&gt;=3,IF(D108&gt;=5,"H","A"),IF(E108&gt;=2,IF(D108&gt;=16,"H",IF(D108&lt;=4,"L","A")),IF(D108&lt;=15,"L","A"))),IF(OR(B108="SE",B108="CE"),IF(E108&gt;=4,IF(D108&gt;=6,"H","A"),IF(E108&gt;=2,IF(D108&gt;=20,"H",IF(D108&lt;=5,"L","A")),IF(D108&lt;=19,"L","A"))),IF(OR(B108="ALI",B108="AIE"),IF(E108&gt;=6,IF(D108&gt;=20,"H","A"),IF(E108&gt;=2,IF(D108&gt;=51,"H",IF(D108&lt;=19,"L","A")),IF(D108&lt;=50,"L","A"))),""))))</f>
        <v>L</v>
      </c>
      <c r="J108" s="7" t="str">
        <f t="shared" ref="J108:J155" si="76">CONCATENATE(B108,C108)</f>
        <v>EEI</v>
      </c>
      <c r="K108" s="127">
        <f t="shared" ref="K108:K155" si="77">IF(OR(H108="",H108=0),L108,H108)</f>
        <v>3</v>
      </c>
      <c r="L108" s="127">
        <f>IF(NOT(ISERROR(VLOOKUP(B108,Deflatores!G$42:H$64,2,FALSE))),VLOOKUP(B108,Deflatores!G$42:H$64,2,FALSE),IF(OR(ISBLANK(C108),ISBLANK(B108)),"",VLOOKUP(C108,Deflatores!G$4:H$38,2,FALSE)*H108+VLOOKUP(C108,Deflatores!G$4:I$38,3,FALSE)))</f>
        <v>3</v>
      </c>
      <c r="M108" s="10"/>
      <c r="N108" s="10"/>
      <c r="O108" s="6"/>
    </row>
    <row r="109" spans="1:15" x14ac:dyDescent="0.25">
      <c r="A109" s="179" t="s">
        <v>136</v>
      </c>
      <c r="B109" s="4" t="s">
        <v>45</v>
      </c>
      <c r="C109" s="4" t="s">
        <v>50</v>
      </c>
      <c r="D109" s="7">
        <v>4</v>
      </c>
      <c r="E109" s="7">
        <v>1</v>
      </c>
      <c r="F109" s="116" t="str">
        <f t="shared" si="72"/>
        <v>Baixa</v>
      </c>
      <c r="G109" s="7" t="str">
        <f t="shared" si="73"/>
        <v>EEL</v>
      </c>
      <c r="H109" s="7">
        <f t="shared" si="74"/>
        <v>3</v>
      </c>
      <c r="I109" s="116" t="str">
        <f t="shared" si="75"/>
        <v>L</v>
      </c>
      <c r="J109" s="7" t="str">
        <f t="shared" si="76"/>
        <v>EEI</v>
      </c>
      <c r="K109" s="127">
        <f t="shared" si="77"/>
        <v>3</v>
      </c>
      <c r="L109" s="127">
        <f>IF(NOT(ISERROR(VLOOKUP(B109,Deflatores!G$42:H$64,2,FALSE))),VLOOKUP(B109,Deflatores!G$42:H$64,2,FALSE),IF(OR(ISBLANK(C109),ISBLANK(B109)),"",VLOOKUP(C109,Deflatores!G$4:H$38,2,FALSE)*H109+VLOOKUP(C109,Deflatores!G$4:I$38,3,FALSE)))</f>
        <v>3</v>
      </c>
      <c r="M109" s="10"/>
      <c r="N109" s="10"/>
      <c r="O109" s="6"/>
    </row>
    <row r="110" spans="1:15" x14ac:dyDescent="0.25">
      <c r="A110" s="179"/>
      <c r="B110" s="4"/>
      <c r="C110" s="4"/>
      <c r="D110" s="7"/>
      <c r="E110" s="7"/>
      <c r="F110" s="116" t="str">
        <f t="shared" si="72"/>
        <v/>
      </c>
      <c r="G110" s="7" t="str">
        <f t="shared" si="73"/>
        <v/>
      </c>
      <c r="H110" s="7" t="str">
        <f t="shared" si="74"/>
        <v/>
      </c>
      <c r="I110" s="116" t="str">
        <f t="shared" si="75"/>
        <v/>
      </c>
      <c r="J110" s="7" t="str">
        <f t="shared" si="76"/>
        <v/>
      </c>
      <c r="K110" s="127" t="str">
        <f t="shared" si="77"/>
        <v/>
      </c>
      <c r="L110" s="127" t="str">
        <f>IF(NOT(ISERROR(VLOOKUP(B110,Deflatores!G$42:H$64,2,FALSE))),VLOOKUP(B110,Deflatores!G$42:H$64,2,FALSE),IF(OR(ISBLANK(C110),ISBLANK(B110)),"",VLOOKUP(C110,Deflatores!G$4:H$38,2,FALSE)*H110+VLOOKUP(C110,Deflatores!G$4:I$38,3,FALSE)))</f>
        <v/>
      </c>
      <c r="M110" s="10"/>
      <c r="N110" s="10"/>
      <c r="O110" s="6"/>
    </row>
    <row r="111" spans="1:15" x14ac:dyDescent="0.25">
      <c r="A111" s="181" t="s">
        <v>137</v>
      </c>
      <c r="B111" s="4"/>
      <c r="C111" s="4"/>
      <c r="D111" s="7"/>
      <c r="E111" s="7"/>
      <c r="F111" s="116" t="str">
        <f t="shared" si="72"/>
        <v/>
      </c>
      <c r="G111" s="7" t="str">
        <f t="shared" si="73"/>
        <v/>
      </c>
      <c r="H111" s="7" t="str">
        <f t="shared" si="74"/>
        <v/>
      </c>
      <c r="I111" s="116" t="str">
        <f t="shared" si="75"/>
        <v/>
      </c>
      <c r="J111" s="7" t="str">
        <f t="shared" si="76"/>
        <v/>
      </c>
      <c r="K111" s="127" t="str">
        <f t="shared" si="77"/>
        <v/>
      </c>
      <c r="L111" s="127" t="str">
        <f>IF(NOT(ISERROR(VLOOKUP(B111,Deflatores!G$42:H$64,2,FALSE))),VLOOKUP(B111,Deflatores!G$42:H$64,2,FALSE),IF(OR(ISBLANK(C111),ISBLANK(B111)),"",VLOOKUP(C111,Deflatores!G$4:H$38,2,FALSE)*H111+VLOOKUP(C111,Deflatores!G$4:I$38,3,FALSE)))</f>
        <v/>
      </c>
      <c r="M111" s="10"/>
      <c r="N111" s="10"/>
      <c r="O111" s="6"/>
    </row>
    <row r="112" spans="1:15" x14ac:dyDescent="0.25">
      <c r="A112" s="179" t="s">
        <v>138</v>
      </c>
      <c r="B112" s="4" t="s">
        <v>61</v>
      </c>
      <c r="C112" s="4" t="s">
        <v>50</v>
      </c>
      <c r="D112" s="7">
        <v>13</v>
      </c>
      <c r="E112" s="7">
        <v>2</v>
      </c>
      <c r="F112" s="116" t="str">
        <f t="shared" si="72"/>
        <v>Baixa</v>
      </c>
      <c r="G112" s="7" t="str">
        <f t="shared" si="73"/>
        <v>ALIL</v>
      </c>
      <c r="H112" s="7">
        <f t="shared" si="74"/>
        <v>7</v>
      </c>
      <c r="I112" s="116" t="str">
        <f t="shared" si="75"/>
        <v>L</v>
      </c>
      <c r="J112" s="7" t="str">
        <f t="shared" si="76"/>
        <v>ALII</v>
      </c>
      <c r="K112" s="127">
        <f t="shared" si="77"/>
        <v>7</v>
      </c>
      <c r="L112" s="127">
        <f>IF(NOT(ISERROR(VLOOKUP(B112,Deflatores!G$42:H$64,2,FALSE))),VLOOKUP(B112,Deflatores!G$42:H$64,2,FALSE),IF(OR(ISBLANK(C112),ISBLANK(B112)),"",VLOOKUP(C112,Deflatores!G$4:H$38,2,FALSE)*H112+VLOOKUP(C112,Deflatores!G$4:I$38,3,FALSE)))</f>
        <v>7</v>
      </c>
      <c r="M112" s="10"/>
      <c r="N112" s="10"/>
      <c r="O112" s="6"/>
    </row>
    <row r="113" spans="1:15" x14ac:dyDescent="0.25">
      <c r="A113" s="179" t="s">
        <v>139</v>
      </c>
      <c r="B113" s="4" t="s">
        <v>52</v>
      </c>
      <c r="C113" s="4" t="s">
        <v>50</v>
      </c>
      <c r="D113" s="7">
        <v>2</v>
      </c>
      <c r="E113" s="7">
        <v>1</v>
      </c>
      <c r="F113" s="116" t="str">
        <f t="shared" si="72"/>
        <v>Baixa</v>
      </c>
      <c r="G113" s="7" t="str">
        <f t="shared" si="73"/>
        <v>CEL</v>
      </c>
      <c r="H113" s="7">
        <f t="shared" si="74"/>
        <v>3</v>
      </c>
      <c r="I113" s="116" t="str">
        <f t="shared" si="75"/>
        <v>L</v>
      </c>
      <c r="J113" s="7" t="str">
        <f t="shared" si="76"/>
        <v>CEI</v>
      </c>
      <c r="K113" s="127">
        <f t="shared" si="77"/>
        <v>3</v>
      </c>
      <c r="L113" s="127">
        <f>IF(NOT(ISERROR(VLOOKUP(B113,Deflatores!G$42:H$64,2,FALSE))),VLOOKUP(B113,Deflatores!G$42:H$64,2,FALSE),IF(OR(ISBLANK(C113),ISBLANK(B113)),"",VLOOKUP(C113,Deflatores!G$4:H$38,2,FALSE)*H113+VLOOKUP(C113,Deflatores!G$4:I$38,3,FALSE)))</f>
        <v>3</v>
      </c>
      <c r="M113" s="10"/>
      <c r="N113" s="10"/>
      <c r="O113" s="6"/>
    </row>
    <row r="114" spans="1:15" x14ac:dyDescent="0.25">
      <c r="A114" s="179" t="s">
        <v>140</v>
      </c>
      <c r="B114" s="4" t="s">
        <v>52</v>
      </c>
      <c r="C114" s="4" t="s">
        <v>50</v>
      </c>
      <c r="D114" s="7">
        <v>2</v>
      </c>
      <c r="E114" s="7">
        <v>1</v>
      </c>
      <c r="F114" s="116" t="str">
        <f t="shared" si="72"/>
        <v>Baixa</v>
      </c>
      <c r="G114" s="7" t="str">
        <f t="shared" si="73"/>
        <v>CEL</v>
      </c>
      <c r="H114" s="7">
        <f t="shared" si="74"/>
        <v>3</v>
      </c>
      <c r="I114" s="116" t="str">
        <f t="shared" si="75"/>
        <v>L</v>
      </c>
      <c r="J114" s="7" t="str">
        <f t="shared" si="76"/>
        <v>CEI</v>
      </c>
      <c r="K114" s="127">
        <f t="shared" si="77"/>
        <v>3</v>
      </c>
      <c r="L114" s="127">
        <f>IF(NOT(ISERROR(VLOOKUP(B114,Deflatores!G$42:H$64,2,FALSE))),VLOOKUP(B114,Deflatores!G$42:H$64,2,FALSE),IF(OR(ISBLANK(C114),ISBLANK(B114)),"",VLOOKUP(C114,Deflatores!G$4:H$38,2,FALSE)*H114+VLOOKUP(C114,Deflatores!G$4:I$38,3,FALSE)))</f>
        <v>3</v>
      </c>
      <c r="M114" s="10"/>
      <c r="N114" s="10"/>
      <c r="O114" s="6"/>
    </row>
    <row r="115" spans="1:15" x14ac:dyDescent="0.25">
      <c r="A115" s="179" t="s">
        <v>141</v>
      </c>
      <c r="B115" s="4" t="s">
        <v>52</v>
      </c>
      <c r="C115" s="4" t="s">
        <v>50</v>
      </c>
      <c r="D115" s="7">
        <v>3</v>
      </c>
      <c r="E115" s="7">
        <v>1</v>
      </c>
      <c r="F115" s="116" t="str">
        <f t="shared" si="72"/>
        <v>Baixa</v>
      </c>
      <c r="G115" s="7" t="str">
        <f t="shared" si="73"/>
        <v>CEL</v>
      </c>
      <c r="H115" s="7">
        <f t="shared" si="74"/>
        <v>3</v>
      </c>
      <c r="I115" s="116" t="str">
        <f t="shared" si="75"/>
        <v>L</v>
      </c>
      <c r="J115" s="7" t="str">
        <f t="shared" si="76"/>
        <v>CEI</v>
      </c>
      <c r="K115" s="127">
        <f t="shared" si="77"/>
        <v>3</v>
      </c>
      <c r="L115" s="127">
        <f>IF(NOT(ISERROR(VLOOKUP(B115,Deflatores!G$42:H$64,2,FALSE))),VLOOKUP(B115,Deflatores!G$42:H$64,2,FALSE),IF(OR(ISBLANK(C115),ISBLANK(B115)),"",VLOOKUP(C115,Deflatores!G$4:H$38,2,FALSE)*H115+VLOOKUP(C115,Deflatores!G$4:I$38,3,FALSE)))</f>
        <v>3</v>
      </c>
      <c r="M115" s="10"/>
      <c r="N115" s="10"/>
      <c r="O115" s="6"/>
    </row>
    <row r="116" spans="1:15" x14ac:dyDescent="0.25">
      <c r="A116" s="179" t="s">
        <v>142</v>
      </c>
      <c r="B116" s="4" t="s">
        <v>52</v>
      </c>
      <c r="C116" s="4" t="s">
        <v>50</v>
      </c>
      <c r="D116" s="7">
        <v>7</v>
      </c>
      <c r="E116" s="7">
        <v>1</v>
      </c>
      <c r="F116" s="116" t="str">
        <f t="shared" si="72"/>
        <v>Baixa</v>
      </c>
      <c r="G116" s="7" t="str">
        <f t="shared" si="73"/>
        <v>CEL</v>
      </c>
      <c r="H116" s="7">
        <f t="shared" si="74"/>
        <v>3</v>
      </c>
      <c r="I116" s="116" t="str">
        <f t="shared" si="75"/>
        <v>L</v>
      </c>
      <c r="J116" s="7" t="str">
        <f t="shared" si="76"/>
        <v>CEI</v>
      </c>
      <c r="K116" s="127">
        <f t="shared" si="77"/>
        <v>3</v>
      </c>
      <c r="L116" s="127">
        <f>IF(NOT(ISERROR(VLOOKUP(B116,Deflatores!G$42:H$64,2,FALSE))),VLOOKUP(B116,Deflatores!G$42:H$64,2,FALSE),IF(OR(ISBLANK(C116),ISBLANK(B116)),"",VLOOKUP(C116,Deflatores!G$4:H$38,2,FALSE)*H116+VLOOKUP(C116,Deflatores!G$4:I$38,3,FALSE)))</f>
        <v>3</v>
      </c>
      <c r="M116" s="10"/>
      <c r="N116" s="10"/>
      <c r="O116" s="6"/>
    </row>
    <row r="117" spans="1:15" x14ac:dyDescent="0.25">
      <c r="A117" s="179" t="s">
        <v>143</v>
      </c>
      <c r="B117" s="4" t="s">
        <v>45</v>
      </c>
      <c r="C117" s="4" t="s">
        <v>50</v>
      </c>
      <c r="D117" s="7">
        <v>15</v>
      </c>
      <c r="E117" s="7">
        <v>5</v>
      </c>
      <c r="F117" s="116" t="str">
        <f t="shared" si="72"/>
        <v>Alta</v>
      </c>
      <c r="G117" s="7" t="str">
        <f t="shared" si="73"/>
        <v>EEH</v>
      </c>
      <c r="H117" s="7">
        <f t="shared" si="74"/>
        <v>6</v>
      </c>
      <c r="I117" s="116" t="str">
        <f t="shared" si="75"/>
        <v>H</v>
      </c>
      <c r="J117" s="7" t="str">
        <f t="shared" si="76"/>
        <v>EEI</v>
      </c>
      <c r="K117" s="127">
        <f t="shared" si="77"/>
        <v>6</v>
      </c>
      <c r="L117" s="127">
        <f>IF(NOT(ISERROR(VLOOKUP(B117,Deflatores!G$42:H$64,2,FALSE))),VLOOKUP(B117,Deflatores!G$42:H$64,2,FALSE),IF(OR(ISBLANK(C117),ISBLANK(B117)),"",VLOOKUP(C117,Deflatores!G$4:H$38,2,FALSE)*H117+VLOOKUP(C117,Deflatores!G$4:I$38,3,FALSE)))</f>
        <v>6</v>
      </c>
      <c r="M117" s="10"/>
      <c r="N117" s="10"/>
      <c r="O117" s="6"/>
    </row>
    <row r="118" spans="1:15" x14ac:dyDescent="0.25">
      <c r="A118" s="179" t="s">
        <v>144</v>
      </c>
      <c r="B118" s="4" t="s">
        <v>45</v>
      </c>
      <c r="C118" s="4" t="s">
        <v>50</v>
      </c>
      <c r="D118" s="7">
        <v>5</v>
      </c>
      <c r="E118" s="7">
        <v>1</v>
      </c>
      <c r="F118" s="116" t="str">
        <f t="shared" si="72"/>
        <v>Baixa</v>
      </c>
      <c r="G118" s="7" t="str">
        <f t="shared" si="73"/>
        <v>EEL</v>
      </c>
      <c r="H118" s="7">
        <f t="shared" si="74"/>
        <v>3</v>
      </c>
      <c r="I118" s="116" t="str">
        <f t="shared" si="75"/>
        <v>L</v>
      </c>
      <c r="J118" s="7" t="str">
        <f t="shared" si="76"/>
        <v>EEI</v>
      </c>
      <c r="K118" s="127">
        <f t="shared" si="77"/>
        <v>3</v>
      </c>
      <c r="L118" s="127">
        <f>IF(NOT(ISERROR(VLOOKUP(B118,Deflatores!G$42:H$64,2,FALSE))),VLOOKUP(B118,Deflatores!G$42:H$64,2,FALSE),IF(OR(ISBLANK(C118),ISBLANK(B118)),"",VLOOKUP(C118,Deflatores!G$4:H$38,2,FALSE)*H118+VLOOKUP(C118,Deflatores!G$4:I$38,3,FALSE)))</f>
        <v>3</v>
      </c>
      <c r="M118" s="10"/>
      <c r="N118" s="10"/>
      <c r="O118" s="6"/>
    </row>
    <row r="119" spans="1:15" x14ac:dyDescent="0.25">
      <c r="A119" s="180" t="s">
        <v>145</v>
      </c>
      <c r="B119" s="4" t="s">
        <v>52</v>
      </c>
      <c r="C119" s="4" t="s">
        <v>50</v>
      </c>
      <c r="D119" s="7">
        <v>12</v>
      </c>
      <c r="E119" s="7">
        <v>5</v>
      </c>
      <c r="F119" s="116" t="str">
        <f t="shared" si="72"/>
        <v>Alta</v>
      </c>
      <c r="G119" s="7" t="str">
        <f t="shared" si="73"/>
        <v>CEH</v>
      </c>
      <c r="H119" s="7">
        <f t="shared" si="74"/>
        <v>6</v>
      </c>
      <c r="I119" s="116" t="str">
        <f t="shared" si="75"/>
        <v>H</v>
      </c>
      <c r="J119" s="7" t="str">
        <f t="shared" si="76"/>
        <v>CEI</v>
      </c>
      <c r="K119" s="127">
        <f t="shared" si="77"/>
        <v>6</v>
      </c>
      <c r="L119" s="127">
        <f>IF(NOT(ISERROR(VLOOKUP(B119,Deflatores!G$42:H$64,2,FALSE))),VLOOKUP(B119,Deflatores!G$42:H$64,2,FALSE),IF(OR(ISBLANK(C119),ISBLANK(B119)),"",VLOOKUP(C119,Deflatores!G$4:H$38,2,FALSE)*H119+VLOOKUP(C119,Deflatores!G$4:I$38,3,FALSE)))</f>
        <v>6</v>
      </c>
      <c r="M119" s="10"/>
      <c r="N119" s="10"/>
      <c r="O119" s="6"/>
    </row>
    <row r="120" spans="1:15" x14ac:dyDescent="0.25">
      <c r="A120" s="179" t="s">
        <v>146</v>
      </c>
      <c r="B120" s="4" t="s">
        <v>52</v>
      </c>
      <c r="C120" s="4" t="s">
        <v>50</v>
      </c>
      <c r="D120" s="7">
        <v>14</v>
      </c>
      <c r="E120" s="7">
        <v>5</v>
      </c>
      <c r="F120" s="116" t="str">
        <f t="shared" si="72"/>
        <v>Alta</v>
      </c>
      <c r="G120" s="7" t="str">
        <f t="shared" si="73"/>
        <v>CEH</v>
      </c>
      <c r="H120" s="7">
        <f t="shared" si="74"/>
        <v>6</v>
      </c>
      <c r="I120" s="116" t="str">
        <f t="shared" si="75"/>
        <v>H</v>
      </c>
      <c r="J120" s="7" t="str">
        <f t="shared" si="76"/>
        <v>CEI</v>
      </c>
      <c r="K120" s="127">
        <f t="shared" si="77"/>
        <v>6</v>
      </c>
      <c r="L120" s="127">
        <f>IF(NOT(ISERROR(VLOOKUP(B120,Deflatores!G$42:H$64,2,FALSE))),VLOOKUP(B120,Deflatores!G$42:H$64,2,FALSE),IF(OR(ISBLANK(C120),ISBLANK(B120)),"",VLOOKUP(C120,Deflatores!G$4:H$38,2,FALSE)*H120+VLOOKUP(C120,Deflatores!G$4:I$38,3,FALSE)))</f>
        <v>6</v>
      </c>
      <c r="M120" s="10"/>
      <c r="N120" s="10"/>
      <c r="O120" s="6"/>
    </row>
    <row r="121" spans="1:15" x14ac:dyDescent="0.25">
      <c r="A121" s="179" t="s">
        <v>147</v>
      </c>
      <c r="B121" s="4" t="s">
        <v>52</v>
      </c>
      <c r="C121" s="4" t="s">
        <v>50</v>
      </c>
      <c r="D121" s="7">
        <v>3</v>
      </c>
      <c r="E121" s="7">
        <v>1</v>
      </c>
      <c r="F121" s="116" t="str">
        <f t="shared" si="72"/>
        <v>Baixa</v>
      </c>
      <c r="G121" s="7" t="str">
        <f t="shared" si="73"/>
        <v>CEL</v>
      </c>
      <c r="H121" s="7">
        <f t="shared" si="74"/>
        <v>3</v>
      </c>
      <c r="I121" s="116" t="str">
        <f t="shared" si="75"/>
        <v>L</v>
      </c>
      <c r="J121" s="7" t="str">
        <f t="shared" si="76"/>
        <v>CEI</v>
      </c>
      <c r="K121" s="127">
        <f t="shared" si="77"/>
        <v>3</v>
      </c>
      <c r="L121" s="127">
        <f>IF(NOT(ISERROR(VLOOKUP(B121,Deflatores!G$42:H$64,2,FALSE))),VLOOKUP(B121,Deflatores!G$42:H$64,2,FALSE),IF(OR(ISBLANK(C121),ISBLANK(B121)),"",VLOOKUP(C121,Deflatores!G$4:H$38,2,FALSE)*H121+VLOOKUP(C121,Deflatores!G$4:I$38,3,FALSE)))</f>
        <v>3</v>
      </c>
      <c r="M121" s="10"/>
      <c r="N121" s="10"/>
      <c r="O121" s="6"/>
    </row>
    <row r="122" spans="1:15" x14ac:dyDescent="0.25">
      <c r="A122" s="179" t="s">
        <v>148</v>
      </c>
      <c r="B122" s="4" t="s">
        <v>52</v>
      </c>
      <c r="C122" s="4" t="s">
        <v>50</v>
      </c>
      <c r="D122" s="7">
        <v>4</v>
      </c>
      <c r="E122" s="7">
        <v>1</v>
      </c>
      <c r="F122" s="116" t="str">
        <f t="shared" si="72"/>
        <v>Baixa</v>
      </c>
      <c r="G122" s="7" t="str">
        <f t="shared" si="73"/>
        <v>CEL</v>
      </c>
      <c r="H122" s="7">
        <f t="shared" si="74"/>
        <v>3</v>
      </c>
      <c r="I122" s="116" t="str">
        <f t="shared" si="75"/>
        <v>L</v>
      </c>
      <c r="J122" s="7" t="str">
        <f t="shared" si="76"/>
        <v>CEI</v>
      </c>
      <c r="K122" s="127">
        <f t="shared" si="77"/>
        <v>3</v>
      </c>
      <c r="L122" s="127">
        <f>IF(NOT(ISERROR(VLOOKUP(B122,Deflatores!G$42:H$64,2,FALSE))),VLOOKUP(B122,Deflatores!G$42:H$64,2,FALSE),IF(OR(ISBLANK(C122),ISBLANK(B122)),"",VLOOKUP(C122,Deflatores!G$4:H$38,2,FALSE)*H122+VLOOKUP(C122,Deflatores!G$4:I$38,3,FALSE)))</f>
        <v>3</v>
      </c>
      <c r="M122" s="10"/>
      <c r="N122" s="10"/>
      <c r="O122" s="6"/>
    </row>
    <row r="123" spans="1:15" x14ac:dyDescent="0.25">
      <c r="A123" s="179" t="s">
        <v>149</v>
      </c>
      <c r="B123" s="4" t="s">
        <v>45</v>
      </c>
      <c r="C123" s="4" t="s">
        <v>50</v>
      </c>
      <c r="D123" s="7">
        <v>10</v>
      </c>
      <c r="E123" s="7">
        <v>4</v>
      </c>
      <c r="F123" s="116" t="str">
        <f t="shared" si="72"/>
        <v>Alta</v>
      </c>
      <c r="G123" s="7" t="str">
        <f t="shared" si="73"/>
        <v>EEH</v>
      </c>
      <c r="H123" s="7">
        <f t="shared" si="74"/>
        <v>6</v>
      </c>
      <c r="I123" s="116" t="str">
        <f t="shared" si="75"/>
        <v>H</v>
      </c>
      <c r="J123" s="7" t="str">
        <f t="shared" si="76"/>
        <v>EEI</v>
      </c>
      <c r="K123" s="127">
        <f t="shared" si="77"/>
        <v>6</v>
      </c>
      <c r="L123" s="127">
        <f>IF(NOT(ISERROR(VLOOKUP(B123,Deflatores!G$42:H$64,2,FALSE))),VLOOKUP(B123,Deflatores!G$42:H$64,2,FALSE),IF(OR(ISBLANK(C123),ISBLANK(B123)),"",VLOOKUP(C123,Deflatores!G$4:H$38,2,FALSE)*H123+VLOOKUP(C123,Deflatores!G$4:I$38,3,FALSE)))</f>
        <v>6</v>
      </c>
      <c r="M123" s="10"/>
      <c r="N123" s="10"/>
      <c r="O123" s="6"/>
    </row>
    <row r="124" spans="1:15" x14ac:dyDescent="0.25">
      <c r="A124" s="179" t="s">
        <v>150</v>
      </c>
      <c r="B124" s="4" t="s">
        <v>45</v>
      </c>
      <c r="C124" s="4" t="s">
        <v>50</v>
      </c>
      <c r="D124" s="7">
        <v>10</v>
      </c>
      <c r="E124" s="7">
        <v>4</v>
      </c>
      <c r="F124" s="116" t="str">
        <f t="shared" si="72"/>
        <v>Alta</v>
      </c>
      <c r="G124" s="7" t="str">
        <f t="shared" si="73"/>
        <v>EEH</v>
      </c>
      <c r="H124" s="7">
        <f t="shared" si="74"/>
        <v>6</v>
      </c>
      <c r="I124" s="116" t="str">
        <f t="shared" si="75"/>
        <v>H</v>
      </c>
      <c r="J124" s="7" t="str">
        <f t="shared" si="76"/>
        <v>EEI</v>
      </c>
      <c r="K124" s="127">
        <f t="shared" si="77"/>
        <v>6</v>
      </c>
      <c r="L124" s="127">
        <f>IF(NOT(ISERROR(VLOOKUP(B124,Deflatores!G$42:H$64,2,FALSE))),VLOOKUP(B124,Deflatores!G$42:H$64,2,FALSE),IF(OR(ISBLANK(C124),ISBLANK(B124)),"",VLOOKUP(C124,Deflatores!G$4:H$38,2,FALSE)*H124+VLOOKUP(C124,Deflatores!G$4:I$38,3,FALSE)))</f>
        <v>6</v>
      </c>
      <c r="M124" s="10"/>
      <c r="N124" s="10"/>
      <c r="O124" s="6"/>
    </row>
    <row r="125" spans="1:15" x14ac:dyDescent="0.25">
      <c r="A125" s="179" t="s">
        <v>151</v>
      </c>
      <c r="B125" s="4" t="s">
        <v>45</v>
      </c>
      <c r="C125" s="4" t="s">
        <v>50</v>
      </c>
      <c r="D125" s="7">
        <v>4</v>
      </c>
      <c r="E125" s="7">
        <v>1</v>
      </c>
      <c r="F125" s="116" t="str">
        <f t="shared" si="72"/>
        <v>Baixa</v>
      </c>
      <c r="G125" s="7" t="str">
        <f t="shared" si="73"/>
        <v>EEL</v>
      </c>
      <c r="H125" s="7">
        <f t="shared" si="74"/>
        <v>3</v>
      </c>
      <c r="I125" s="116" t="str">
        <f t="shared" si="75"/>
        <v>L</v>
      </c>
      <c r="J125" s="7" t="str">
        <f t="shared" si="76"/>
        <v>EEI</v>
      </c>
      <c r="K125" s="127">
        <f t="shared" si="77"/>
        <v>3</v>
      </c>
      <c r="L125" s="127">
        <f>IF(NOT(ISERROR(VLOOKUP(B125,Deflatores!G$42:H$64,2,FALSE))),VLOOKUP(B125,Deflatores!G$42:H$64,2,FALSE),IF(OR(ISBLANK(C125),ISBLANK(B125)),"",VLOOKUP(C125,Deflatores!G$4:H$38,2,FALSE)*H125+VLOOKUP(C125,Deflatores!G$4:I$38,3,FALSE)))</f>
        <v>3</v>
      </c>
      <c r="M125" s="10"/>
      <c r="N125" s="10"/>
      <c r="O125" s="6"/>
    </row>
    <row r="126" spans="1:15" x14ac:dyDescent="0.25">
      <c r="A126" s="181"/>
      <c r="B126" s="4"/>
      <c r="C126" s="4"/>
      <c r="D126" s="7"/>
      <c r="E126" s="7"/>
      <c r="F126" s="116" t="str">
        <f t="shared" si="72"/>
        <v/>
      </c>
      <c r="G126" s="7" t="str">
        <f t="shared" si="73"/>
        <v/>
      </c>
      <c r="H126" s="7" t="str">
        <f t="shared" si="74"/>
        <v/>
      </c>
      <c r="I126" s="116" t="str">
        <f t="shared" si="75"/>
        <v/>
      </c>
      <c r="J126" s="7" t="str">
        <f t="shared" si="76"/>
        <v/>
      </c>
      <c r="K126" s="127" t="str">
        <f t="shared" si="77"/>
        <v/>
      </c>
      <c r="L126" s="127" t="str">
        <f>IF(NOT(ISERROR(VLOOKUP(B126,Deflatores!G$42:H$64,2,FALSE))),VLOOKUP(B126,Deflatores!G$42:H$64,2,FALSE),IF(OR(ISBLANK(C126),ISBLANK(B126)),"",VLOOKUP(C126,Deflatores!G$4:H$38,2,FALSE)*H126+VLOOKUP(C126,Deflatores!G$4:I$38,3,FALSE)))</f>
        <v/>
      </c>
      <c r="M126" s="10"/>
      <c r="N126" s="10"/>
      <c r="O126" s="6"/>
    </row>
    <row r="127" spans="1:15" x14ac:dyDescent="0.25">
      <c r="A127" s="181" t="s">
        <v>152</v>
      </c>
      <c r="B127" s="4"/>
      <c r="C127" s="4"/>
      <c r="D127" s="7"/>
      <c r="E127" s="7"/>
      <c r="F127" s="116" t="str">
        <f t="shared" si="72"/>
        <v/>
      </c>
      <c r="G127" s="7" t="str">
        <f t="shared" si="73"/>
        <v/>
      </c>
      <c r="H127" s="7" t="str">
        <f t="shared" si="74"/>
        <v/>
      </c>
      <c r="I127" s="116" t="str">
        <f t="shared" si="75"/>
        <v/>
      </c>
      <c r="J127" s="7" t="str">
        <f t="shared" si="76"/>
        <v/>
      </c>
      <c r="K127" s="127" t="str">
        <f t="shared" si="77"/>
        <v/>
      </c>
      <c r="L127" s="127" t="s">
        <v>153</v>
      </c>
      <c r="M127" s="10"/>
      <c r="N127" s="10"/>
      <c r="O127" s="6"/>
    </row>
    <row r="128" spans="1:15" x14ac:dyDescent="0.25">
      <c r="A128" s="179" t="s">
        <v>154</v>
      </c>
      <c r="B128" s="4" t="s">
        <v>49</v>
      </c>
      <c r="C128" s="4" t="s">
        <v>50</v>
      </c>
      <c r="D128" s="7">
        <v>30</v>
      </c>
      <c r="E128" s="7">
        <v>6</v>
      </c>
      <c r="F128" s="116" t="str">
        <f t="shared" si="72"/>
        <v>Alta</v>
      </c>
      <c r="G128" s="7" t="str">
        <f t="shared" si="73"/>
        <v>AIEH</v>
      </c>
      <c r="H128" s="7">
        <f t="shared" si="74"/>
        <v>10</v>
      </c>
      <c r="I128" s="116" t="str">
        <f t="shared" si="75"/>
        <v>H</v>
      </c>
      <c r="J128" s="7" t="str">
        <f t="shared" si="76"/>
        <v>AIEI</v>
      </c>
      <c r="K128" s="127">
        <f t="shared" si="77"/>
        <v>10</v>
      </c>
      <c r="L128" s="127">
        <f>IF(NOT(ISERROR(VLOOKUP(B128,Deflatores!G$42:H$64,2,FALSE))),VLOOKUP(B128,Deflatores!G$42:H$64,2,FALSE),IF(OR(ISBLANK(C128),ISBLANK(B128)),"",VLOOKUP(C128,Deflatores!G$4:H$38,2,FALSE)*H128+VLOOKUP(C128,Deflatores!G$4:I$38,3,FALSE)))</f>
        <v>10</v>
      </c>
      <c r="M128" s="10"/>
      <c r="N128" s="10"/>
      <c r="O128" s="6"/>
    </row>
    <row r="129" spans="1:15" x14ac:dyDescent="0.25">
      <c r="A129" s="179" t="s">
        <v>155</v>
      </c>
      <c r="B129" s="4" t="s">
        <v>52</v>
      </c>
      <c r="C129" s="4" t="s">
        <v>50</v>
      </c>
      <c r="D129" s="7">
        <v>7</v>
      </c>
      <c r="E129" s="7">
        <v>3</v>
      </c>
      <c r="F129" s="116" t="str">
        <f t="shared" si="72"/>
        <v>Média</v>
      </c>
      <c r="G129" s="7" t="str">
        <f t="shared" si="73"/>
        <v>CEA</v>
      </c>
      <c r="H129" s="7">
        <f t="shared" si="74"/>
        <v>4</v>
      </c>
      <c r="I129" s="116" t="str">
        <f t="shared" si="75"/>
        <v>A</v>
      </c>
      <c r="J129" s="7" t="str">
        <f t="shared" si="76"/>
        <v>CEI</v>
      </c>
      <c r="K129" s="127">
        <f t="shared" si="77"/>
        <v>4</v>
      </c>
      <c r="L129" s="127">
        <f>IF(NOT(ISERROR(VLOOKUP(B129,Deflatores!G$42:H$64,2,FALSE))),VLOOKUP(B129,Deflatores!G$42:H$64,2,FALSE),IF(OR(ISBLANK(C129),ISBLANK(B129)),"",VLOOKUP(C129,Deflatores!G$4:H$38,2,FALSE)*H129+VLOOKUP(C129,Deflatores!G$4:I$38,3,FALSE)))</f>
        <v>4</v>
      </c>
      <c r="M129" s="10"/>
      <c r="N129" s="10"/>
      <c r="O129" s="6"/>
    </row>
    <row r="130" spans="1:15" x14ac:dyDescent="0.25">
      <c r="A130" s="179" t="s">
        <v>156</v>
      </c>
      <c r="B130" s="4" t="s">
        <v>52</v>
      </c>
      <c r="C130" s="4" t="s">
        <v>50</v>
      </c>
      <c r="D130" s="7">
        <v>17</v>
      </c>
      <c r="E130" s="7">
        <v>3</v>
      </c>
      <c r="F130" s="116" t="str">
        <f t="shared" si="72"/>
        <v>Média</v>
      </c>
      <c r="G130" s="7" t="str">
        <f t="shared" si="73"/>
        <v>CEA</v>
      </c>
      <c r="H130" s="7">
        <f t="shared" si="74"/>
        <v>4</v>
      </c>
      <c r="I130" s="116" t="str">
        <f t="shared" si="75"/>
        <v>A</v>
      </c>
      <c r="J130" s="7" t="str">
        <f t="shared" si="76"/>
        <v>CEI</v>
      </c>
      <c r="K130" s="127">
        <f t="shared" si="77"/>
        <v>4</v>
      </c>
      <c r="L130" s="127">
        <f>IF(NOT(ISERROR(VLOOKUP(B130,Deflatores!G$42:H$64,2,FALSE))),VLOOKUP(B130,Deflatores!G$42:H$64,2,FALSE),IF(OR(ISBLANK(C130),ISBLANK(B130)),"",VLOOKUP(C130,Deflatores!G$4:H$38,2,FALSE)*H130+VLOOKUP(C130,Deflatores!G$4:I$38,3,FALSE)))</f>
        <v>4</v>
      </c>
      <c r="M130" s="10"/>
      <c r="N130" s="10"/>
      <c r="O130" s="6"/>
    </row>
    <row r="131" spans="1:15" x14ac:dyDescent="0.25">
      <c r="A131" s="179" t="s">
        <v>157</v>
      </c>
      <c r="B131" s="4" t="s">
        <v>52</v>
      </c>
      <c r="C131" s="4" t="s">
        <v>50</v>
      </c>
      <c r="D131" s="7">
        <v>8</v>
      </c>
      <c r="E131" s="7">
        <v>3</v>
      </c>
      <c r="F131" s="116" t="str">
        <f t="shared" si="72"/>
        <v>Média</v>
      </c>
      <c r="G131" s="7" t="str">
        <f t="shared" si="73"/>
        <v>CEA</v>
      </c>
      <c r="H131" s="7">
        <f t="shared" si="74"/>
        <v>4</v>
      </c>
      <c r="I131" s="116" t="str">
        <f t="shared" si="75"/>
        <v>A</v>
      </c>
      <c r="J131" s="7" t="str">
        <f t="shared" si="76"/>
        <v>CEI</v>
      </c>
      <c r="K131" s="127">
        <f t="shared" si="77"/>
        <v>4</v>
      </c>
      <c r="L131" s="127">
        <f>IF(NOT(ISERROR(VLOOKUP(B131,Deflatores!G$42:H$64,2,FALSE))),VLOOKUP(B131,Deflatores!G$42:H$64,2,FALSE),IF(OR(ISBLANK(C131),ISBLANK(B131)),"",VLOOKUP(C131,Deflatores!G$4:H$38,2,FALSE)*H131+VLOOKUP(C131,Deflatores!G$4:I$38,3,FALSE)))</f>
        <v>4</v>
      </c>
      <c r="M131" s="10"/>
      <c r="N131" s="10"/>
      <c r="O131" s="6"/>
    </row>
    <row r="132" spans="1:15" x14ac:dyDescent="0.25">
      <c r="A132" s="179"/>
      <c r="B132" s="4"/>
      <c r="C132" s="4"/>
      <c r="D132" s="7"/>
      <c r="E132" s="7"/>
      <c r="F132" s="116" t="str">
        <f t="shared" si="72"/>
        <v/>
      </c>
      <c r="G132" s="7" t="str">
        <f t="shared" si="73"/>
        <v/>
      </c>
      <c r="H132" s="7" t="str">
        <f t="shared" si="74"/>
        <v/>
      </c>
      <c r="I132" s="116" t="str">
        <f t="shared" si="75"/>
        <v/>
      </c>
      <c r="J132" s="7" t="str">
        <f t="shared" si="76"/>
        <v/>
      </c>
      <c r="K132" s="127" t="str">
        <f t="shared" si="77"/>
        <v/>
      </c>
      <c r="L132" s="127" t="s">
        <v>153</v>
      </c>
      <c r="M132" s="10"/>
      <c r="N132" s="10"/>
      <c r="O132" s="6"/>
    </row>
    <row r="133" spans="1:15" x14ac:dyDescent="0.25">
      <c r="A133" s="181" t="s">
        <v>158</v>
      </c>
      <c r="B133" s="4"/>
      <c r="C133" s="4"/>
      <c r="D133" s="7"/>
      <c r="E133" s="7"/>
      <c r="F133" s="116" t="str">
        <f t="shared" si="72"/>
        <v/>
      </c>
      <c r="G133" s="7" t="str">
        <f t="shared" si="73"/>
        <v/>
      </c>
      <c r="H133" s="7" t="str">
        <f t="shared" si="74"/>
        <v/>
      </c>
      <c r="I133" s="116" t="str">
        <f t="shared" si="75"/>
        <v/>
      </c>
      <c r="J133" s="7" t="str">
        <f t="shared" si="76"/>
        <v/>
      </c>
      <c r="K133" s="127" t="str">
        <f t="shared" si="77"/>
        <v/>
      </c>
      <c r="L133" s="127" t="s">
        <v>153</v>
      </c>
      <c r="M133" s="10"/>
      <c r="N133" s="10"/>
      <c r="O133" s="6"/>
    </row>
    <row r="134" spans="1:15" ht="15.75" customHeight="1" x14ac:dyDescent="0.25">
      <c r="A134" s="179" t="s">
        <v>159</v>
      </c>
      <c r="B134" s="4" t="s">
        <v>49</v>
      </c>
      <c r="C134" s="4" t="s">
        <v>50</v>
      </c>
      <c r="D134" s="7">
        <v>11</v>
      </c>
      <c r="E134" s="7">
        <v>1</v>
      </c>
      <c r="F134" s="116" t="str">
        <f t="shared" si="72"/>
        <v>Baixa</v>
      </c>
      <c r="G134" s="7" t="str">
        <f t="shared" si="73"/>
        <v>AIEL</v>
      </c>
      <c r="H134" s="7">
        <f t="shared" si="74"/>
        <v>5</v>
      </c>
      <c r="I134" s="116" t="str">
        <f t="shared" si="75"/>
        <v>L</v>
      </c>
      <c r="J134" s="7" t="str">
        <f t="shared" si="76"/>
        <v>AIEI</v>
      </c>
      <c r="K134" s="127">
        <f t="shared" si="77"/>
        <v>5</v>
      </c>
      <c r="L134" s="127">
        <f>IF(NOT(ISERROR(VLOOKUP(B134,Deflatores!G$42:H$64,2,FALSE))),VLOOKUP(B134,Deflatores!G$42:H$64,2,FALSE),IF(OR(ISBLANK(C134),ISBLANK(B134)),"",VLOOKUP(C134,Deflatores!G$4:H$38,2,FALSE)*H134+VLOOKUP(C134,Deflatores!G$4:I$38,3,FALSE)))</f>
        <v>5</v>
      </c>
      <c r="M134" s="10"/>
      <c r="N134" s="10"/>
      <c r="O134" s="6"/>
    </row>
    <row r="135" spans="1:15" ht="13.5" customHeight="1" x14ac:dyDescent="0.25">
      <c r="A135" s="183" t="s">
        <v>160</v>
      </c>
      <c r="B135" s="128" t="s">
        <v>49</v>
      </c>
      <c r="C135" s="4" t="s">
        <v>50</v>
      </c>
      <c r="D135" s="130">
        <v>4</v>
      </c>
      <c r="E135" s="130">
        <v>1</v>
      </c>
      <c r="F135" s="116" t="str">
        <f>IF(ISBLANK(B135),"",IF(I135="L","Baixa",IF(I135="A","Média",IF(I135="","","Alta"))))</f>
        <v>Baixa</v>
      </c>
      <c r="G135" s="7" t="str">
        <f>CONCATENATE(B135,I135)</f>
        <v>AIEL</v>
      </c>
      <c r="H135" s="7">
        <f>IF(ISBLANK(B135),"",IF(B135="ALI",IF(I135="L",7,IF(I135="A",10,15)),IF(B135="AIE",IF(I135="L",5,IF(I135="A",7,10)),IF(B135="SE",IF(I135="L",4,IF(I135="A",5,7)),IF(OR(B135="EE",B135="CE"),IF(I135="L",3,IF(I135="A",4,6)),0)))))</f>
        <v>5</v>
      </c>
      <c r="I135" s="116" t="str">
        <f>IF(OR(ISBLANK(D135),ISBLANK(E135)),IF(OR(B135="ALI",B135="AIE"),"L",IF(OR(B135="EE",B135="SE",B135="CE"),"A","")),IF(B135="EE",IF(E135&gt;=3,IF(D135&gt;=5,"H","A"),IF(E135&gt;=2,IF(D135&gt;=16,"H",IF(D135&lt;=4,"L","A")),IF(D135&lt;=15,"L","A"))),IF(OR(B135="SE",B135="CE"),IF(E135&gt;=4,IF(D135&gt;=6,"H","A"),IF(E135&gt;=2,IF(D135&gt;=20,"H",IF(D135&lt;=5,"L","A")),IF(D135&lt;=19,"L","A"))),IF(OR(B135="ALI",B135="AIE"),IF(E135&gt;=6,IF(D135&gt;=20,"H","A"),IF(E135&gt;=2,IF(D135&gt;=51,"H",IF(D135&lt;=19,"L","A")),IF(D135&lt;=50,"L","A"))),""))))</f>
        <v>L</v>
      </c>
      <c r="J135" s="7" t="str">
        <f>CONCATENATE(B135,C135)</f>
        <v>AIEI</v>
      </c>
      <c r="K135" s="127">
        <f t="shared" si="77"/>
        <v>5</v>
      </c>
      <c r="L135" s="127">
        <f>IF(NOT(ISERROR(VLOOKUP(B135,Deflatores!G$42:H$64,2,FALSE))),VLOOKUP(B135,Deflatores!G$42:H$64,2,FALSE),IF(OR(ISBLANK(C135),ISBLANK(B135)),"",VLOOKUP(C135,Deflatores!G$4:H$38,2,FALSE)*H135+VLOOKUP(C135,Deflatores!G$4:I$38,3,FALSE)))</f>
        <v>5</v>
      </c>
      <c r="M135" s="10"/>
      <c r="N135" s="10"/>
      <c r="O135" s="6"/>
    </row>
    <row r="136" spans="1:15" ht="22" x14ac:dyDescent="0.25">
      <c r="A136" s="179" t="s">
        <v>161</v>
      </c>
      <c r="B136" s="4" t="s">
        <v>181</v>
      </c>
      <c r="C136" s="4" t="s">
        <v>50</v>
      </c>
      <c r="D136" s="7">
        <v>14</v>
      </c>
      <c r="E136" s="7">
        <v>4</v>
      </c>
      <c r="F136" s="116" t="str">
        <f t="shared" si="72"/>
        <v>Alta</v>
      </c>
      <c r="G136" s="7" t="str">
        <f t="shared" si="73"/>
        <v>SEH</v>
      </c>
      <c r="H136" s="7">
        <f t="shared" si="74"/>
        <v>7</v>
      </c>
      <c r="I136" s="116" t="str">
        <f t="shared" si="75"/>
        <v>H</v>
      </c>
      <c r="J136" s="7" t="str">
        <f t="shared" si="76"/>
        <v>SEI</v>
      </c>
      <c r="K136" s="127">
        <f t="shared" si="77"/>
        <v>7</v>
      </c>
      <c r="L136" s="127">
        <f>IF(NOT(ISERROR(VLOOKUP(B136,Deflatores!G$42:H$64,2,FALSE))),VLOOKUP(B136,Deflatores!G$42:H$64,2,FALSE),IF(OR(ISBLANK(C136),ISBLANK(B136)),"",VLOOKUP(C136,Deflatores!G$4:H$38,2,FALSE)*H136+VLOOKUP(C136,Deflatores!G$4:I$38,3,FALSE)))</f>
        <v>7</v>
      </c>
      <c r="M136" s="10"/>
      <c r="N136" s="10"/>
      <c r="O136" s="6" t="s">
        <v>504</v>
      </c>
    </row>
    <row r="137" spans="1:15" x14ac:dyDescent="0.25">
      <c r="A137" s="179" t="s">
        <v>162</v>
      </c>
      <c r="B137" s="4" t="s">
        <v>45</v>
      </c>
      <c r="C137" s="4" t="s">
        <v>50</v>
      </c>
      <c r="D137" s="7">
        <v>2</v>
      </c>
      <c r="E137" s="7">
        <v>1</v>
      </c>
      <c r="F137" s="116" t="str">
        <f t="shared" ref="F137" si="78">IF(ISBLANK(B137),"",IF(I137="L","Baixa",IF(I137="A","Média",IF(I137="","","Alta"))))</f>
        <v>Baixa</v>
      </c>
      <c r="G137" s="7" t="str">
        <f t="shared" ref="G137" si="79">CONCATENATE(B137,I137)</f>
        <v>EEL</v>
      </c>
      <c r="H137" s="7">
        <f t="shared" ref="H137" si="80">IF(ISBLANK(B137),"",IF(B137="ALI",IF(I137="L",7,IF(I137="A",10,15)),IF(B137="AIE",IF(I137="L",5,IF(I137="A",7,10)),IF(B137="SE",IF(I137="L",4,IF(I137="A",5,7)),IF(OR(B137="EE",B137="CE"),IF(I137="L",3,IF(I137="A",4,6)),0)))))</f>
        <v>3</v>
      </c>
      <c r="I137" s="116" t="str">
        <f t="shared" ref="I137" si="81">IF(OR(ISBLANK(D137),ISBLANK(E137)),IF(OR(B137="ALI",B137="AIE"),"L",IF(OR(B137="EE",B137="SE",B137="CE"),"A","")),IF(B137="EE",IF(E137&gt;=3,IF(D137&gt;=5,"H","A"),IF(E137&gt;=2,IF(D137&gt;=16,"H",IF(D137&lt;=4,"L","A")),IF(D137&lt;=15,"L","A"))),IF(OR(B137="SE",B137="CE"),IF(E137&gt;=4,IF(D137&gt;=6,"H","A"),IF(E137&gt;=2,IF(D137&gt;=20,"H",IF(D137&lt;=5,"L","A")),IF(D137&lt;=19,"L","A"))),IF(OR(B137="ALI",B137="AIE"),IF(E137&gt;=6,IF(D137&gt;=20,"H","A"),IF(E137&gt;=2,IF(D137&gt;=51,"H",IF(D137&lt;=19,"L","A")),IF(D137&lt;=50,"L","A"))),""))))</f>
        <v>L</v>
      </c>
      <c r="J137" s="7" t="str">
        <f t="shared" ref="J137" si="82">CONCATENATE(B137,C137)</f>
        <v>EEI</v>
      </c>
      <c r="K137" s="127">
        <f t="shared" ref="K137" si="83">IF(OR(H137="",H137=0),L137,H137)</f>
        <v>3</v>
      </c>
      <c r="L137" s="127">
        <f>IF(NOT(ISERROR(VLOOKUP(B137,Deflatores!G$42:H$64,2,FALSE))),VLOOKUP(B137,Deflatores!G$42:H$64,2,FALSE),IF(OR(ISBLANK(C137),ISBLANK(B137)),"",VLOOKUP(C137,Deflatores!G$4:H$38,2,FALSE)*H137+VLOOKUP(C137,Deflatores!G$4:I$38,3,FALSE)))</f>
        <v>3</v>
      </c>
      <c r="M137" s="10"/>
      <c r="N137" s="10"/>
      <c r="O137" s="6"/>
    </row>
    <row r="138" spans="1:15" x14ac:dyDescent="0.25">
      <c r="A138" s="179" t="s">
        <v>163</v>
      </c>
      <c r="B138" s="4" t="s">
        <v>45</v>
      </c>
      <c r="C138" s="4" t="s">
        <v>50</v>
      </c>
      <c r="D138" s="7">
        <v>2</v>
      </c>
      <c r="E138" s="7">
        <v>1</v>
      </c>
      <c r="F138" s="116" t="str">
        <f t="shared" ref="F138:F139" si="84">IF(ISBLANK(B138),"",IF(I138="L","Baixa",IF(I138="A","Média",IF(I138="","","Alta"))))</f>
        <v>Baixa</v>
      </c>
      <c r="G138" s="7" t="str">
        <f t="shared" ref="G138:G139" si="85">CONCATENATE(B138,I138)</f>
        <v>EEL</v>
      </c>
      <c r="H138" s="7">
        <f t="shared" ref="H138:H139" si="86">IF(ISBLANK(B138),"",IF(B138="ALI",IF(I138="L",7,IF(I138="A",10,15)),IF(B138="AIE",IF(I138="L",5,IF(I138="A",7,10)),IF(B138="SE",IF(I138="L",4,IF(I138="A",5,7)),IF(OR(B138="EE",B138="CE"),IF(I138="L",3,IF(I138="A",4,6)),0)))))</f>
        <v>3</v>
      </c>
      <c r="I138" s="116" t="str">
        <f t="shared" ref="I138:I139" si="87">IF(OR(ISBLANK(D138),ISBLANK(E138)),IF(OR(B138="ALI",B138="AIE"),"L",IF(OR(B138="EE",B138="SE",B138="CE"),"A","")),IF(B138="EE",IF(E138&gt;=3,IF(D138&gt;=5,"H","A"),IF(E138&gt;=2,IF(D138&gt;=16,"H",IF(D138&lt;=4,"L","A")),IF(D138&lt;=15,"L","A"))),IF(OR(B138="SE",B138="CE"),IF(E138&gt;=4,IF(D138&gt;=6,"H","A"),IF(E138&gt;=2,IF(D138&gt;=20,"H",IF(D138&lt;=5,"L","A")),IF(D138&lt;=19,"L","A"))),IF(OR(B138="ALI",B138="AIE"),IF(E138&gt;=6,IF(D138&gt;=20,"H","A"),IF(E138&gt;=2,IF(D138&gt;=51,"H",IF(D138&lt;=19,"L","A")),IF(D138&lt;=50,"L","A"))),""))))</f>
        <v>L</v>
      </c>
      <c r="J138" s="7" t="str">
        <f t="shared" ref="J138:J139" si="88">CONCATENATE(B138,C138)</f>
        <v>EEI</v>
      </c>
      <c r="K138" s="127">
        <f t="shared" ref="K138:K139" si="89">IF(OR(H138="",H138=0),L138,H138)</f>
        <v>3</v>
      </c>
      <c r="L138" s="127">
        <f>IF(NOT(ISERROR(VLOOKUP(B138,Deflatores!G$42:H$64,2,FALSE))),VLOOKUP(B138,Deflatores!G$42:H$64,2,FALSE),IF(OR(ISBLANK(C138),ISBLANK(B138)),"",VLOOKUP(C138,Deflatores!G$4:H$38,2,FALSE)*H138+VLOOKUP(C138,Deflatores!G$4:I$38,3,FALSE)))</f>
        <v>3</v>
      </c>
      <c r="M138" s="10"/>
      <c r="N138" s="10"/>
      <c r="O138" s="6"/>
    </row>
    <row r="139" spans="1:15" x14ac:dyDescent="0.25">
      <c r="A139" s="179" t="s">
        <v>502</v>
      </c>
      <c r="B139" s="4" t="s">
        <v>45</v>
      </c>
      <c r="C139" s="4" t="s">
        <v>50</v>
      </c>
      <c r="D139" s="7">
        <v>3</v>
      </c>
      <c r="E139" s="7">
        <v>1</v>
      </c>
      <c r="F139" s="116" t="str">
        <f t="shared" si="84"/>
        <v>Baixa</v>
      </c>
      <c r="G139" s="7" t="str">
        <f t="shared" si="85"/>
        <v>EEL</v>
      </c>
      <c r="H139" s="7">
        <f t="shared" si="86"/>
        <v>3</v>
      </c>
      <c r="I139" s="116" t="str">
        <f t="shared" si="87"/>
        <v>L</v>
      </c>
      <c r="J139" s="7" t="str">
        <f t="shared" si="88"/>
        <v>EEI</v>
      </c>
      <c r="K139" s="127">
        <f t="shared" si="89"/>
        <v>3</v>
      </c>
      <c r="L139" s="127">
        <f>IF(NOT(ISERROR(VLOOKUP(B139,Deflatores!G$42:H$64,2,FALSE))),VLOOKUP(B139,Deflatores!G$42:H$64,2,FALSE),IF(OR(ISBLANK(C139),ISBLANK(B139)),"",VLOOKUP(C139,Deflatores!G$4:H$38,2,FALSE)*H139+VLOOKUP(C139,Deflatores!G$4:I$38,3,FALSE)))</f>
        <v>3</v>
      </c>
      <c r="M139" s="10"/>
      <c r="N139" s="10"/>
      <c r="O139" s="6"/>
    </row>
    <row r="140" spans="1:15" ht="15.75" customHeight="1" x14ac:dyDescent="0.25">
      <c r="A140" s="179"/>
      <c r="B140" s="4"/>
      <c r="C140" s="4"/>
      <c r="D140" s="7"/>
      <c r="E140" s="7"/>
      <c r="F140" s="116" t="str">
        <f t="shared" si="72"/>
        <v/>
      </c>
      <c r="G140" s="7" t="str">
        <f t="shared" si="73"/>
        <v/>
      </c>
      <c r="H140" s="7" t="str">
        <f t="shared" si="74"/>
        <v/>
      </c>
      <c r="I140" s="116" t="str">
        <f t="shared" si="75"/>
        <v/>
      </c>
      <c r="J140" s="7" t="str">
        <f t="shared" si="76"/>
        <v/>
      </c>
      <c r="K140" s="127" t="str">
        <f t="shared" si="77"/>
        <v/>
      </c>
      <c r="L140" s="127" t="str">
        <f>IF(NOT(ISERROR(VLOOKUP(B140,Deflatores!G$42:H$64,2,FALSE))),VLOOKUP(B140,Deflatores!G$42:H$64,2,FALSE),IF(OR(ISBLANK(C140),ISBLANK(B140)),"",VLOOKUP(C140,Deflatores!G$4:H$38,2,FALSE)*H140+VLOOKUP(C140,Deflatores!G$4:I$38,3,FALSE)))</f>
        <v/>
      </c>
      <c r="M140" s="10"/>
      <c r="N140" s="10"/>
      <c r="O140" s="6"/>
    </row>
    <row r="141" spans="1:15" x14ac:dyDescent="0.25">
      <c r="A141" s="181" t="s">
        <v>164</v>
      </c>
      <c r="B141" s="4"/>
      <c r="C141" s="4"/>
      <c r="D141" s="7"/>
      <c r="E141" s="7"/>
      <c r="F141" s="116" t="str">
        <f t="shared" si="72"/>
        <v/>
      </c>
      <c r="G141" s="7" t="str">
        <f t="shared" si="73"/>
        <v/>
      </c>
      <c r="H141" s="7" t="str">
        <f t="shared" si="74"/>
        <v/>
      </c>
      <c r="I141" s="116" t="str">
        <f t="shared" si="75"/>
        <v/>
      </c>
      <c r="J141" s="7" t="str">
        <f t="shared" si="76"/>
        <v/>
      </c>
      <c r="K141" s="127" t="str">
        <f t="shared" si="77"/>
        <v/>
      </c>
      <c r="L141" s="127" t="str">
        <f>IF(NOT(ISERROR(VLOOKUP(B141,Deflatores!G$42:H$64,2,FALSE))),VLOOKUP(B141,Deflatores!G$42:H$64,2,FALSE),IF(OR(ISBLANK(C141),ISBLANK(B141)),"",VLOOKUP(C141,Deflatores!G$4:H$38,2,FALSE)*H141+VLOOKUP(C141,Deflatores!G$4:I$38,3,FALSE)))</f>
        <v/>
      </c>
      <c r="M141" s="10"/>
      <c r="N141" s="10"/>
      <c r="O141" s="6"/>
    </row>
    <row r="142" spans="1:15" ht="13.5" customHeight="1" x14ac:dyDescent="0.25">
      <c r="A142" s="179" t="s">
        <v>165</v>
      </c>
      <c r="B142" s="4" t="s">
        <v>61</v>
      </c>
      <c r="C142" s="4" t="s">
        <v>50</v>
      </c>
      <c r="D142" s="7">
        <v>27</v>
      </c>
      <c r="E142" s="7">
        <v>2</v>
      </c>
      <c r="F142" s="116" t="str">
        <f>IF(ISBLANK(B142),"",IF(I142="L","Baixa",IF(I142="A","Média",IF(I142="","","Alta"))))</f>
        <v>Média</v>
      </c>
      <c r="G142" s="7" t="str">
        <f>CONCATENATE(B142,I142)</f>
        <v>ALIA</v>
      </c>
      <c r="H142" s="7">
        <f>IF(ISBLANK(B142),"",IF(B142="ALI",IF(I142="L",7,IF(I142="A",10,15)),IF(B142="AIE",IF(I142="L",5,IF(I142="A",7,10)),IF(B142="SE",IF(I142="L",4,IF(I142="A",5,7)),IF(OR(B142="EE",B142="CE"),IF(I142="L",3,IF(I142="A",4,6)),0)))))</f>
        <v>10</v>
      </c>
      <c r="I142" s="116" t="str">
        <f>IF(OR(ISBLANK(D142),ISBLANK(E142)),IF(OR(B142="ALI",B142="AIE"),"L",IF(OR(B142="EE",B142="SE",B142="CE"),"A","")),IF(B142="EE",IF(E142&gt;=3,IF(D142&gt;=5,"H","A"),IF(E142&gt;=2,IF(D142&gt;=16,"H",IF(D142&lt;=4,"L","A")),IF(D142&lt;=15,"L","A"))),IF(OR(B142="SE",B142="CE"),IF(E142&gt;=4,IF(D142&gt;=6,"H","A"),IF(E142&gt;=2,IF(D142&gt;=20,"H",IF(D142&lt;=5,"L","A")),IF(D142&lt;=19,"L","A"))),IF(OR(B142="ALI",B142="AIE"),IF(E142&gt;=6,IF(D142&gt;=20,"H","A"),IF(E142&gt;=2,IF(D142&gt;=51,"H",IF(D142&lt;=19,"L","A")),IF(D142&lt;=50,"L","A"))),""))))</f>
        <v>A</v>
      </c>
      <c r="J142" s="7" t="str">
        <f>CONCATENATE(B142,C142)</f>
        <v>ALII</v>
      </c>
      <c r="K142" s="127">
        <f t="shared" si="77"/>
        <v>10</v>
      </c>
      <c r="L142" s="127">
        <f>IF(NOT(ISERROR(VLOOKUP(B142,Deflatores!G$42:H$64,2,FALSE))),VLOOKUP(B142,Deflatores!G$42:H$64,2,FALSE),IF(OR(ISBLANK(C142),ISBLANK(B142)),"",VLOOKUP(C142,Deflatores!G$4:H$38,2,FALSE)*H142+VLOOKUP(C142,Deflatores!G$4:I$38,3,FALSE)))</f>
        <v>10</v>
      </c>
      <c r="M142" s="10"/>
      <c r="N142" s="10"/>
      <c r="O142" s="6"/>
    </row>
    <row r="143" spans="1:15" ht="13.5" customHeight="1" x14ac:dyDescent="0.25">
      <c r="A143" s="183" t="s">
        <v>166</v>
      </c>
      <c r="B143" s="128" t="s">
        <v>49</v>
      </c>
      <c r="C143" s="129" t="s">
        <v>50</v>
      </c>
      <c r="D143" s="130">
        <v>4</v>
      </c>
      <c r="E143" s="130">
        <v>1</v>
      </c>
      <c r="F143" s="116" t="str">
        <f>IF(ISBLANK(B143),"",IF(I143="L","Baixa",IF(I143="A","Média",IF(I143="","","Alta"))))</f>
        <v>Baixa</v>
      </c>
      <c r="G143" s="7" t="str">
        <f>CONCATENATE(B143,I143)</f>
        <v>AIEL</v>
      </c>
      <c r="H143" s="7">
        <f>IF(ISBLANK(B143),"",IF(B143="ALI",IF(I143="L",7,IF(I143="A",10,15)),IF(B143="AIE",IF(I143="L",5,IF(I143="A",7,10)),IF(B143="SE",IF(I143="L",4,IF(I143="A",5,7)),IF(OR(B143="EE",B143="CE"),IF(I143="L",3,IF(I143="A",4,6)),0)))))</f>
        <v>5</v>
      </c>
      <c r="I143" s="116" t="str">
        <f>IF(OR(ISBLANK(D143),ISBLANK(E143)),IF(OR(B143="ALI",B143="AIE"),"L",IF(OR(B143="EE",B143="SE",B143="CE"),"A","")),IF(B143="EE",IF(E143&gt;=3,IF(D143&gt;=5,"H","A"),IF(E143&gt;=2,IF(D143&gt;=16,"H",IF(D143&lt;=4,"L","A")),IF(D143&lt;=15,"L","A"))),IF(OR(B143="SE",B143="CE"),IF(E143&gt;=4,IF(D143&gt;=6,"H","A"),IF(E143&gt;=2,IF(D143&gt;=20,"H",IF(D143&lt;=5,"L","A")),IF(D143&lt;=19,"L","A"))),IF(OR(B143="ALI",B143="AIE"),IF(E143&gt;=6,IF(D143&gt;=20,"H","A"),IF(E143&gt;=2,IF(D143&gt;=51,"H",IF(D143&lt;=19,"L","A")),IF(D143&lt;=50,"L","A"))),""))))</f>
        <v>L</v>
      </c>
      <c r="J143" s="7" t="str">
        <f>CONCATENATE(B143,C143)</f>
        <v>AIEI</v>
      </c>
      <c r="K143" s="127">
        <f t="shared" si="77"/>
        <v>5</v>
      </c>
      <c r="L143" s="127">
        <f>IF(NOT(ISERROR(VLOOKUP(B143,Deflatores!G$42:H$64,2,FALSE))),VLOOKUP(B143,Deflatores!G$42:H$64,2,FALSE),IF(OR(ISBLANK(C143),ISBLANK(B143)),"",VLOOKUP(C143,Deflatores!G$4:H$38,2,FALSE)*H143+VLOOKUP(C143,Deflatores!G$4:I$38,3,FALSE)))</f>
        <v>5</v>
      </c>
      <c r="M143" s="10"/>
      <c r="N143" s="10"/>
      <c r="O143" s="6"/>
    </row>
    <row r="144" spans="1:15" x14ac:dyDescent="0.25">
      <c r="A144" s="179" t="s">
        <v>167</v>
      </c>
      <c r="B144" s="4" t="s">
        <v>45</v>
      </c>
      <c r="C144" s="4" t="s">
        <v>50</v>
      </c>
      <c r="D144" s="7">
        <v>17</v>
      </c>
      <c r="E144" s="7">
        <v>6</v>
      </c>
      <c r="F144" s="116" t="str">
        <f t="shared" si="72"/>
        <v>Alta</v>
      </c>
      <c r="G144" s="7" t="str">
        <f t="shared" si="73"/>
        <v>EEH</v>
      </c>
      <c r="H144" s="7">
        <f t="shared" si="74"/>
        <v>6</v>
      </c>
      <c r="I144" s="116" t="str">
        <f t="shared" si="75"/>
        <v>H</v>
      </c>
      <c r="J144" s="7" t="str">
        <f t="shared" si="76"/>
        <v>EEI</v>
      </c>
      <c r="K144" s="127">
        <f t="shared" si="77"/>
        <v>6</v>
      </c>
      <c r="L144" s="127">
        <f>IF(NOT(ISERROR(VLOOKUP(B144,Deflatores!G$42:H$64,2,FALSE))),VLOOKUP(B144,Deflatores!G$42:H$64,2,FALSE),IF(OR(ISBLANK(C144),ISBLANK(B144)),"",VLOOKUP(C144,Deflatores!G$4:H$38,2,FALSE)*H144+VLOOKUP(C144,Deflatores!G$4:I$38,3,FALSE)))</f>
        <v>6</v>
      </c>
      <c r="M144" s="10"/>
      <c r="N144" s="10"/>
      <c r="O144" s="6"/>
    </row>
    <row r="145" spans="1:15" x14ac:dyDescent="0.25">
      <c r="A145" s="180" t="s">
        <v>168</v>
      </c>
      <c r="B145" s="4" t="s">
        <v>52</v>
      </c>
      <c r="C145" s="4" t="s">
        <v>50</v>
      </c>
      <c r="D145" s="7">
        <v>3</v>
      </c>
      <c r="E145" s="7">
        <v>1</v>
      </c>
      <c r="F145" s="116" t="str">
        <f t="shared" si="72"/>
        <v>Baixa</v>
      </c>
      <c r="G145" s="7" t="str">
        <f t="shared" si="73"/>
        <v>CEL</v>
      </c>
      <c r="H145" s="7">
        <f t="shared" si="74"/>
        <v>3</v>
      </c>
      <c r="I145" s="116" t="str">
        <f t="shared" si="75"/>
        <v>L</v>
      </c>
      <c r="J145" s="7" t="str">
        <f t="shared" si="76"/>
        <v>CEI</v>
      </c>
      <c r="K145" s="127">
        <f t="shared" si="77"/>
        <v>3</v>
      </c>
      <c r="L145" s="127">
        <f>IF(NOT(ISERROR(VLOOKUP(B145,Deflatores!G$42:H$64,2,FALSE))),VLOOKUP(B145,Deflatores!G$42:H$64,2,FALSE),IF(OR(ISBLANK(C145),ISBLANK(B145)),"",VLOOKUP(C145,Deflatores!G$4:H$38,2,FALSE)*H145+VLOOKUP(C145,Deflatores!G$4:I$38,3,FALSE)))</f>
        <v>3</v>
      </c>
      <c r="M145" s="10"/>
      <c r="N145" s="10"/>
      <c r="O145" s="6"/>
    </row>
    <row r="146" spans="1:15" x14ac:dyDescent="0.25">
      <c r="A146" s="179" t="s">
        <v>169</v>
      </c>
      <c r="B146" s="4" t="s">
        <v>45</v>
      </c>
      <c r="C146" s="4" t="s">
        <v>50</v>
      </c>
      <c r="D146" s="7">
        <v>14</v>
      </c>
      <c r="E146" s="7">
        <v>4</v>
      </c>
      <c r="F146" s="116" t="str">
        <f t="shared" si="72"/>
        <v>Alta</v>
      </c>
      <c r="G146" s="7" t="str">
        <f t="shared" si="73"/>
        <v>EEH</v>
      </c>
      <c r="H146" s="7">
        <f t="shared" si="74"/>
        <v>6</v>
      </c>
      <c r="I146" s="116" t="str">
        <f t="shared" si="75"/>
        <v>H</v>
      </c>
      <c r="J146" s="7" t="str">
        <f t="shared" si="76"/>
        <v>EEI</v>
      </c>
      <c r="K146" s="127">
        <f t="shared" si="77"/>
        <v>6</v>
      </c>
      <c r="L146" s="127">
        <f>IF(NOT(ISERROR(VLOOKUP(B146,Deflatores!G$42:H$64,2,FALSE))),VLOOKUP(B146,Deflatores!G$42:H$64,2,FALSE),IF(OR(ISBLANK(C146),ISBLANK(B146)),"",VLOOKUP(C146,Deflatores!G$4:H$38,2,FALSE)*H146+VLOOKUP(C146,Deflatores!G$4:I$38,3,FALSE)))</f>
        <v>6</v>
      </c>
      <c r="M146" s="10"/>
      <c r="N146" s="10"/>
      <c r="O146" s="6"/>
    </row>
    <row r="147" spans="1:15" x14ac:dyDescent="0.25">
      <c r="A147" s="180" t="s">
        <v>170</v>
      </c>
      <c r="B147" s="4" t="s">
        <v>52</v>
      </c>
      <c r="C147" s="4" t="s">
        <v>50</v>
      </c>
      <c r="D147" s="7">
        <v>13</v>
      </c>
      <c r="E147" s="7">
        <v>3</v>
      </c>
      <c r="F147" s="116" t="str">
        <f>IF(ISBLANK(B147),"",IF(I147="L","Baixa",IF(I147="A","Média",IF(I147="","","Alta"))))</f>
        <v>Média</v>
      </c>
      <c r="G147" s="7" t="str">
        <f>CONCATENATE(B147,I147)</f>
        <v>CEA</v>
      </c>
      <c r="H147" s="7">
        <f>IF(ISBLANK(B147),"",IF(B147="ALI",IF(I147="L",7,IF(I147="A",10,15)),IF(B147="AIE",IF(I147="L",5,IF(I147="A",7,10)),IF(B147="SE",IF(I147="L",4,IF(I147="A",5,7)),IF(OR(B147="EE",B147="CE"),IF(I147="L",3,IF(I147="A",4,6)),0)))))</f>
        <v>4</v>
      </c>
      <c r="I147" s="116" t="str">
        <f>IF(OR(ISBLANK(D147),ISBLANK(E147)),IF(OR(B147="ALI",B147="AIE"),"L",IF(OR(B147="EE",B147="SE",B147="CE"),"A","")),IF(B147="EE",IF(E147&gt;=3,IF(D147&gt;=5,"H","A"),IF(E147&gt;=2,IF(D147&gt;=16,"H",IF(D147&lt;=4,"L","A")),IF(D147&lt;=15,"L","A"))),IF(OR(B147="SE",B147="CE"),IF(E147&gt;=4,IF(D147&gt;=6,"H","A"),IF(E147&gt;=2,IF(D147&gt;=20,"H",IF(D147&lt;=5,"L","A")),IF(D147&lt;=19,"L","A"))),IF(OR(B147="ALI",B147="AIE"),IF(E147&gt;=6,IF(D147&gt;=20,"H","A"),IF(E147&gt;=2,IF(D147&gt;=51,"H",IF(D147&lt;=19,"L","A")),IF(D147&lt;=50,"L","A"))),""))))</f>
        <v>A</v>
      </c>
      <c r="J147" s="7" t="str">
        <f>CONCATENATE(B147,C147)</f>
        <v>CEI</v>
      </c>
      <c r="K147" s="127">
        <f>IF(OR(H147="",H147=0),L147,H147)</f>
        <v>4</v>
      </c>
      <c r="L147" s="127">
        <f>IF(NOT(ISERROR(VLOOKUP(B147,Deflatores!G$42:H$64,2,FALSE))),VLOOKUP(B147,Deflatores!G$42:H$64,2,FALSE),IF(OR(ISBLANK(C147),ISBLANK(B147)),"",VLOOKUP(C147,Deflatores!G$4:H$38,2,FALSE)*H147+VLOOKUP(C147,Deflatores!G$4:I$38,3,FALSE)))</f>
        <v>4</v>
      </c>
      <c r="M147" s="10"/>
      <c r="N147" s="10"/>
      <c r="O147" s="6"/>
    </row>
    <row r="148" spans="1:15" x14ac:dyDescent="0.25">
      <c r="A148" s="179" t="s">
        <v>171</v>
      </c>
      <c r="B148" s="4" t="s">
        <v>52</v>
      </c>
      <c r="C148" s="4" t="s">
        <v>50</v>
      </c>
      <c r="D148" s="7">
        <v>6</v>
      </c>
      <c r="E148" s="7">
        <v>1</v>
      </c>
      <c r="F148" s="116" t="str">
        <f>IF(ISBLANK(B148),"",IF(I148="L","Baixa",IF(I148="A","Média",IF(I148="","","Alta"))))</f>
        <v>Baixa</v>
      </c>
      <c r="G148" s="7" t="str">
        <f>CONCATENATE(B148,I148)</f>
        <v>CEL</v>
      </c>
      <c r="H148" s="7">
        <f>IF(ISBLANK(B148),"",IF(B148="ALI",IF(I148="L",7,IF(I148="A",10,15)),IF(B148="AIE",IF(I148="L",5,IF(I148="A",7,10)),IF(B148="SE",IF(I148="L",4,IF(I148="A",5,7)),IF(OR(B148="EE",B148="CE"),IF(I148="L",3,IF(I148="A",4,6)),0)))))</f>
        <v>3</v>
      </c>
      <c r="I148" s="116" t="str">
        <f>IF(OR(ISBLANK(D148),ISBLANK(E148)),IF(OR(B148="ALI",B148="AIE"),"L",IF(OR(B148="EE",B148="SE",B148="CE"),"A","")),IF(B148="EE",IF(E148&gt;=3,IF(D148&gt;=5,"H","A"),IF(E148&gt;=2,IF(D148&gt;=16,"H",IF(D148&lt;=4,"L","A")),IF(D148&lt;=15,"L","A"))),IF(OR(B148="SE",B148="CE"),IF(E148&gt;=4,IF(D148&gt;=6,"H","A"),IF(E148&gt;=2,IF(D148&gt;=20,"H",IF(D148&lt;=5,"L","A")),IF(D148&lt;=19,"L","A"))),IF(OR(B148="ALI",B148="AIE"),IF(E148&gt;=6,IF(D148&gt;=20,"H","A"),IF(E148&gt;=2,IF(D148&gt;=51,"H",IF(D148&lt;=19,"L","A")),IF(D148&lt;=50,"L","A"))),""))))</f>
        <v>L</v>
      </c>
      <c r="J148" s="7" t="str">
        <f>CONCATENATE(B148,C148)</f>
        <v>CEI</v>
      </c>
      <c r="K148" s="127">
        <f>IF(OR(H148="",H148=0),L148,H148)</f>
        <v>3</v>
      </c>
      <c r="L148" s="127">
        <f>IF(NOT(ISERROR(VLOOKUP(B148,Deflatores!G$42:H$64,2,FALSE))),VLOOKUP(B148,Deflatores!G$42:H$64,2,FALSE),IF(OR(ISBLANK(C148),ISBLANK(B148)),"",VLOOKUP(C148,Deflatores!G$4:H$38,2,FALSE)*H148+VLOOKUP(C148,Deflatores!G$4:I$38,3,FALSE)))</f>
        <v>3</v>
      </c>
      <c r="M148" s="10"/>
      <c r="N148" s="10"/>
      <c r="O148" s="6"/>
    </row>
    <row r="149" spans="1:15" x14ac:dyDescent="0.25">
      <c r="A149" s="180" t="s">
        <v>508</v>
      </c>
      <c r="B149" s="4" t="s">
        <v>52</v>
      </c>
      <c r="C149" s="4" t="s">
        <v>50</v>
      </c>
      <c r="D149" s="7">
        <v>12</v>
      </c>
      <c r="E149" s="7">
        <v>2</v>
      </c>
      <c r="F149" s="116" t="str">
        <f>IF(ISBLANK(B149),"",IF(I149="L","Baixa",IF(I149="A","Média",IF(I149="","","Alta"))))</f>
        <v>Média</v>
      </c>
      <c r="G149" s="7" t="str">
        <f>CONCATENATE(B149,I149)</f>
        <v>CEA</v>
      </c>
      <c r="H149" s="7">
        <f>IF(ISBLANK(B149),"",IF(B149="ALI",IF(I149="L",7,IF(I149="A",10,15)),IF(B149="AIE",IF(I149="L",5,IF(I149="A",7,10)),IF(B149="SE",IF(I149="L",4,IF(I149="A",5,7)),IF(OR(B149="EE",B149="CE"),IF(I149="L",3,IF(I149="A",4,6)),0)))))</f>
        <v>4</v>
      </c>
      <c r="I149" s="116" t="str">
        <f>IF(OR(ISBLANK(D149),ISBLANK(E149)),IF(OR(B149="ALI",B149="AIE"),"L",IF(OR(B149="EE",B149="SE",B149="CE"),"A","")),IF(B149="EE",IF(E149&gt;=3,IF(D149&gt;=5,"H","A"),IF(E149&gt;=2,IF(D149&gt;=16,"H",IF(D149&lt;=4,"L","A")),IF(D149&lt;=15,"L","A"))),IF(OR(B149="SE",B149="CE"),IF(E149&gt;=4,IF(D149&gt;=6,"H","A"),IF(E149&gt;=2,IF(D149&gt;=20,"H",IF(D149&lt;=5,"L","A")),IF(D149&lt;=19,"L","A"))),IF(OR(B149="ALI",B149="AIE"),IF(E149&gt;=6,IF(D149&gt;=20,"H","A"),IF(E149&gt;=2,IF(D149&gt;=51,"H",IF(D149&lt;=19,"L","A")),IF(D149&lt;=50,"L","A"))),""))))</f>
        <v>A</v>
      </c>
      <c r="J149" s="7" t="str">
        <f>CONCATENATE(B149,C149)</f>
        <v>CEI</v>
      </c>
      <c r="K149" s="127">
        <f>IF(OR(H149="",H149=0),L149,H149)</f>
        <v>4</v>
      </c>
      <c r="L149" s="127">
        <f>IF(NOT(ISERROR(VLOOKUP(B149,Deflatores!G$42:H$64,2,FALSE))),VLOOKUP(B149,Deflatores!G$42:H$64,2,FALSE),IF(OR(ISBLANK(C149),ISBLANK(B149)),"",VLOOKUP(C149,Deflatores!G$4:H$38,2,FALSE)*H149+VLOOKUP(C149,Deflatores!G$4:I$38,3,FALSE)))</f>
        <v>4</v>
      </c>
      <c r="M149" s="10"/>
      <c r="N149" s="10"/>
      <c r="O149" s="6"/>
    </row>
    <row r="150" spans="1:15" x14ac:dyDescent="0.25">
      <c r="A150" s="179" t="s">
        <v>172</v>
      </c>
      <c r="B150" s="4" t="s">
        <v>45</v>
      </c>
      <c r="C150" s="4" t="s">
        <v>50</v>
      </c>
      <c r="D150" s="7">
        <v>4</v>
      </c>
      <c r="E150" s="7">
        <v>3</v>
      </c>
      <c r="F150" s="116" t="str">
        <f t="shared" si="72"/>
        <v>Média</v>
      </c>
      <c r="G150" s="7" t="str">
        <f t="shared" si="73"/>
        <v>EEA</v>
      </c>
      <c r="H150" s="7">
        <f t="shared" si="74"/>
        <v>4</v>
      </c>
      <c r="I150" s="116" t="str">
        <f t="shared" si="75"/>
        <v>A</v>
      </c>
      <c r="J150" s="7" t="str">
        <f t="shared" si="76"/>
        <v>EEI</v>
      </c>
      <c r="K150" s="127">
        <f t="shared" si="77"/>
        <v>4</v>
      </c>
      <c r="L150" s="127">
        <f>IF(NOT(ISERROR(VLOOKUP(B150,Deflatores!G$42:H$64,2,FALSE))),VLOOKUP(B150,Deflatores!G$42:H$64,2,FALSE),IF(OR(ISBLANK(C150),ISBLANK(B150)),"",VLOOKUP(C150,Deflatores!G$4:H$38,2,FALSE)*H150+VLOOKUP(C150,Deflatores!G$4:I$38,3,FALSE)))</f>
        <v>4</v>
      </c>
      <c r="M150" s="10"/>
      <c r="N150" s="10"/>
      <c r="O150" s="6"/>
    </row>
    <row r="151" spans="1:15" x14ac:dyDescent="0.25">
      <c r="A151" s="179" t="s">
        <v>173</v>
      </c>
      <c r="B151" s="4" t="s">
        <v>52</v>
      </c>
      <c r="C151" s="4" t="s">
        <v>50</v>
      </c>
      <c r="D151" s="7">
        <v>17</v>
      </c>
      <c r="E151" s="7">
        <v>3</v>
      </c>
      <c r="F151" s="116" t="str">
        <f t="shared" si="72"/>
        <v>Média</v>
      </c>
      <c r="G151" s="7" t="str">
        <f t="shared" si="73"/>
        <v>CEA</v>
      </c>
      <c r="H151" s="7">
        <f t="shared" si="74"/>
        <v>4</v>
      </c>
      <c r="I151" s="116" t="str">
        <f t="shared" si="75"/>
        <v>A</v>
      </c>
      <c r="J151" s="7" t="str">
        <f t="shared" si="76"/>
        <v>CEI</v>
      </c>
      <c r="K151" s="127">
        <f t="shared" si="77"/>
        <v>4</v>
      </c>
      <c r="L151" s="127">
        <f>IF(NOT(ISERROR(VLOOKUP(B151,Deflatores!G$42:H$64,2,FALSE))),VLOOKUP(B151,Deflatores!G$42:H$64,2,FALSE),IF(OR(ISBLANK(C151),ISBLANK(B151)),"",VLOOKUP(C151,Deflatores!G$4:H$38,2,FALSE)*H151+VLOOKUP(C151,Deflatores!G$4:I$38,3,FALSE)))</f>
        <v>4</v>
      </c>
      <c r="M151" s="10"/>
      <c r="N151" s="10"/>
      <c r="O151" s="6"/>
    </row>
    <row r="152" spans="1:15" x14ac:dyDescent="0.25">
      <c r="A152" s="179" t="s">
        <v>174</v>
      </c>
      <c r="B152" s="4" t="s">
        <v>45</v>
      </c>
      <c r="C152" s="4" t="s">
        <v>50</v>
      </c>
      <c r="D152" s="7">
        <v>11</v>
      </c>
      <c r="E152" s="7">
        <v>4</v>
      </c>
      <c r="F152" s="116" t="str">
        <f t="shared" si="72"/>
        <v>Alta</v>
      </c>
      <c r="G152" s="7" t="str">
        <f t="shared" si="73"/>
        <v>EEH</v>
      </c>
      <c r="H152" s="7">
        <f t="shared" si="74"/>
        <v>6</v>
      </c>
      <c r="I152" s="116" t="str">
        <f t="shared" si="75"/>
        <v>H</v>
      </c>
      <c r="J152" s="7" t="str">
        <f t="shared" si="76"/>
        <v>EEI</v>
      </c>
      <c r="K152" s="127">
        <f t="shared" si="77"/>
        <v>6</v>
      </c>
      <c r="L152" s="127">
        <f>IF(NOT(ISERROR(VLOOKUP(B152,Deflatores!G$42:H$64,2,FALSE))),VLOOKUP(B152,Deflatores!G$42:H$64,2,FALSE),IF(OR(ISBLANK(C152),ISBLANK(B152)),"",VLOOKUP(C152,Deflatores!G$4:H$38,2,FALSE)*H152+VLOOKUP(C152,Deflatores!G$4:I$38,3,FALSE)))</f>
        <v>6</v>
      </c>
      <c r="M152" s="10"/>
      <c r="N152" s="10"/>
      <c r="O152" s="6"/>
    </row>
    <row r="153" spans="1:15" x14ac:dyDescent="0.25">
      <c r="A153" s="179" t="s">
        <v>175</v>
      </c>
      <c r="B153" s="4" t="s">
        <v>45</v>
      </c>
      <c r="C153" s="4" t="s">
        <v>50</v>
      </c>
      <c r="D153" s="7">
        <v>11</v>
      </c>
      <c r="E153" s="7">
        <v>4</v>
      </c>
      <c r="F153" s="116" t="str">
        <f t="shared" si="72"/>
        <v>Alta</v>
      </c>
      <c r="G153" s="7" t="str">
        <f t="shared" si="73"/>
        <v>EEH</v>
      </c>
      <c r="H153" s="7">
        <f t="shared" si="74"/>
        <v>6</v>
      </c>
      <c r="I153" s="116" t="str">
        <f t="shared" si="75"/>
        <v>H</v>
      </c>
      <c r="J153" s="7" t="str">
        <f t="shared" si="76"/>
        <v>EEI</v>
      </c>
      <c r="K153" s="127">
        <f t="shared" si="77"/>
        <v>6</v>
      </c>
      <c r="L153" s="127">
        <f>IF(NOT(ISERROR(VLOOKUP(B153,Deflatores!G$42:H$64,2,FALSE))),VLOOKUP(B153,Deflatores!G$42:H$64,2,FALSE),IF(OR(ISBLANK(C153),ISBLANK(B153)),"",VLOOKUP(C153,Deflatores!G$4:H$38,2,FALSE)*H153+VLOOKUP(C153,Deflatores!G$4:I$38,3,FALSE)))</f>
        <v>6</v>
      </c>
      <c r="M153" s="10"/>
      <c r="N153" s="10"/>
      <c r="O153" s="6"/>
    </row>
    <row r="154" spans="1:15" x14ac:dyDescent="0.25">
      <c r="A154" s="179" t="s">
        <v>176</v>
      </c>
      <c r="B154" s="4" t="s">
        <v>45</v>
      </c>
      <c r="C154" s="4" t="s">
        <v>50</v>
      </c>
      <c r="D154" s="7">
        <v>4</v>
      </c>
      <c r="E154" s="7">
        <v>1</v>
      </c>
      <c r="F154" s="116" t="str">
        <f t="shared" si="72"/>
        <v>Baixa</v>
      </c>
      <c r="G154" s="7" t="str">
        <f t="shared" si="73"/>
        <v>EEL</v>
      </c>
      <c r="H154" s="7">
        <f t="shared" si="74"/>
        <v>3</v>
      </c>
      <c r="I154" s="116" t="str">
        <f t="shared" si="75"/>
        <v>L</v>
      </c>
      <c r="J154" s="7" t="str">
        <f t="shared" si="76"/>
        <v>EEI</v>
      </c>
      <c r="K154" s="127">
        <f t="shared" si="77"/>
        <v>3</v>
      </c>
      <c r="L154" s="127">
        <f>IF(NOT(ISERROR(VLOOKUP(B154,Deflatores!G$42:H$64,2,FALSE))),VLOOKUP(B154,Deflatores!G$42:H$64,2,FALSE),IF(OR(ISBLANK(C154),ISBLANK(B154)),"",VLOOKUP(C154,Deflatores!G$4:H$38,2,FALSE)*H154+VLOOKUP(C154,Deflatores!G$4:I$38,3,FALSE)))</f>
        <v>3</v>
      </c>
      <c r="M154" s="10"/>
      <c r="N154" s="10"/>
      <c r="O154" s="6"/>
    </row>
    <row r="155" spans="1:15" x14ac:dyDescent="0.25">
      <c r="A155" s="179" t="s">
        <v>483</v>
      </c>
      <c r="B155" s="4" t="s">
        <v>45</v>
      </c>
      <c r="C155" s="4" t="s">
        <v>50</v>
      </c>
      <c r="D155" s="7">
        <v>14</v>
      </c>
      <c r="E155" s="7">
        <v>5</v>
      </c>
      <c r="F155" s="116" t="str">
        <f t="shared" si="72"/>
        <v>Alta</v>
      </c>
      <c r="G155" s="7" t="str">
        <f t="shared" si="73"/>
        <v>EEH</v>
      </c>
      <c r="H155" s="7">
        <f t="shared" si="74"/>
        <v>6</v>
      </c>
      <c r="I155" s="116" t="str">
        <f t="shared" si="75"/>
        <v>H</v>
      </c>
      <c r="J155" s="7" t="str">
        <f t="shared" si="76"/>
        <v>EEI</v>
      </c>
      <c r="K155" s="127">
        <f t="shared" si="77"/>
        <v>6</v>
      </c>
      <c r="L155" s="127">
        <f>IF(NOT(ISERROR(VLOOKUP(B155,Deflatores!G$42:H$64,2,FALSE))),VLOOKUP(B155,Deflatores!G$42:H$64,2,FALSE),IF(OR(ISBLANK(C155),ISBLANK(B155)),"",VLOOKUP(C155,Deflatores!G$4:H$38,2,FALSE)*H155+VLOOKUP(C155,Deflatores!G$4:I$38,3,FALSE)))</f>
        <v>6</v>
      </c>
      <c r="M155" s="10"/>
      <c r="N155" s="10"/>
      <c r="O155" s="6"/>
    </row>
    <row r="156" spans="1:15" x14ac:dyDescent="0.25">
      <c r="A156" s="179" t="s">
        <v>505</v>
      </c>
      <c r="B156" s="4" t="s">
        <v>45</v>
      </c>
      <c r="C156" s="4" t="s">
        <v>50</v>
      </c>
      <c r="D156" s="7">
        <v>9</v>
      </c>
      <c r="E156" s="7">
        <v>4</v>
      </c>
      <c r="F156" s="116" t="str">
        <f>IF(ISBLANK(B156),"",IF(I156="L","Baixa",IF(I156="A","Média",IF(I156="","","Alta"))))</f>
        <v>Alta</v>
      </c>
      <c r="G156" s="7" t="str">
        <f>CONCATENATE(B156,I156)</f>
        <v>EEH</v>
      </c>
      <c r="H156" s="7">
        <f>IF(ISBLANK(B156),"",IF(B156="ALI",IF(I156="L",7,IF(I156="A",10,15)),IF(B156="AIE",IF(I156="L",5,IF(I156="A",7,10)),IF(B156="SE",IF(I156="L",4,IF(I156="A",5,7)),IF(OR(B156="EE",B156="CE"),IF(I156="L",3,IF(I156="A",4,6)),0)))))</f>
        <v>6</v>
      </c>
      <c r="I156" s="116" t="str">
        <f>IF(OR(ISBLANK(D156),ISBLANK(E156)),IF(OR(B156="ALI",B156="AIE"),"L",IF(OR(B156="EE",B156="SE",B156="CE"),"A","")),IF(B156="EE",IF(E156&gt;=3,IF(D156&gt;=5,"H","A"),IF(E156&gt;=2,IF(D156&gt;=16,"H",IF(D156&lt;=4,"L","A")),IF(D156&lt;=15,"L","A"))),IF(OR(B156="SE",B156="CE"),IF(E156&gt;=4,IF(D156&gt;=6,"H","A"),IF(E156&gt;=2,IF(D156&gt;=20,"H",IF(D156&lt;=5,"L","A")),IF(D156&lt;=19,"L","A"))),IF(OR(B156="ALI",B156="AIE"),IF(E156&gt;=6,IF(D156&gt;=20,"H","A"),IF(E156&gt;=2,IF(D156&gt;=51,"H",IF(D156&lt;=19,"L","A")),IF(D156&lt;=50,"L","A"))),""))))</f>
        <v>H</v>
      </c>
      <c r="J156" s="7" t="str">
        <f>CONCATENATE(B156,C156)</f>
        <v>EEI</v>
      </c>
      <c r="K156" s="127">
        <f>IF(OR(H156="",H156=0),L156,H156)</f>
        <v>6</v>
      </c>
      <c r="L156" s="127">
        <f>IF(NOT(ISERROR(VLOOKUP(B156,Deflatores!G$42:H$64,2,FALSE))),VLOOKUP(B156,Deflatores!G$42:H$64,2,FALSE),IF(OR(ISBLANK(C156),ISBLANK(B156)),"",VLOOKUP(C156,Deflatores!G$4:H$38,2,FALSE)*H156+VLOOKUP(C156,Deflatores!G$4:I$38,3,FALSE)))</f>
        <v>6</v>
      </c>
      <c r="M156" s="10"/>
      <c r="N156" s="10"/>
      <c r="O156" s="6"/>
    </row>
    <row r="157" spans="1:15" x14ac:dyDescent="0.25">
      <c r="A157" s="179"/>
      <c r="B157" s="4"/>
      <c r="C157" s="4"/>
      <c r="D157" s="7"/>
      <c r="E157" s="7"/>
      <c r="F157" s="116" t="str">
        <f t="shared" ref="F157:F230" si="90">IF(ISBLANK(B157),"",IF(I157="L","Baixa",IF(I157="A","Média",IF(I157="","","Alta"))))</f>
        <v/>
      </c>
      <c r="G157" s="7" t="str">
        <f t="shared" ref="G157:G230" si="91">CONCATENATE(B157,I157)</f>
        <v/>
      </c>
      <c r="H157" s="7" t="str">
        <f t="shared" ref="H157:H230" si="92">IF(ISBLANK(B157),"",IF(B157="ALI",IF(I157="L",7,IF(I157="A",10,15)),IF(B157="AIE",IF(I157="L",5,IF(I157="A",7,10)),IF(B157="SE",IF(I157="L",4,IF(I157="A",5,7)),IF(OR(B157="EE",B157="CE"),IF(I157="L",3,IF(I157="A",4,6)),0)))))</f>
        <v/>
      </c>
      <c r="I157" s="116" t="str">
        <f t="shared" ref="I157:I230" si="93">IF(OR(ISBLANK(D157),ISBLANK(E157)),IF(OR(B157="ALI",B157="AIE"),"L",IF(OR(B157="EE",B157="SE",B157="CE"),"A","")),IF(B157="EE",IF(E157&gt;=3,IF(D157&gt;=5,"H","A"),IF(E157&gt;=2,IF(D157&gt;=16,"H",IF(D157&lt;=4,"L","A")),IF(D157&lt;=15,"L","A"))),IF(OR(B157="SE",B157="CE"),IF(E157&gt;=4,IF(D157&gt;=6,"H","A"),IF(E157&gt;=2,IF(D157&gt;=20,"H",IF(D157&lt;=5,"L","A")),IF(D157&lt;=19,"L","A"))),IF(OR(B157="ALI",B157="AIE"),IF(E157&gt;=6,IF(D157&gt;=20,"H","A"),IF(E157&gt;=2,IF(D157&gt;=51,"H",IF(D157&lt;=19,"L","A")),IF(D157&lt;=50,"L","A"))),""))))</f>
        <v/>
      </c>
      <c r="J157" s="7" t="str">
        <f t="shared" ref="J157:J230" si="94">CONCATENATE(B157,C157)</f>
        <v/>
      </c>
      <c r="K157" s="127" t="str">
        <f t="shared" ref="K157:K230" si="95">IF(OR(H157="",H157=0),L157,H157)</f>
        <v/>
      </c>
      <c r="L157" s="127" t="str">
        <f>IF(NOT(ISERROR(VLOOKUP(B157,Deflatores!G$42:H$64,2,FALSE))),VLOOKUP(B157,Deflatores!G$42:H$64,2,FALSE),IF(OR(ISBLANK(C157),ISBLANK(B157)),"",VLOOKUP(C157,Deflatores!G$4:H$38,2,FALSE)*H157+VLOOKUP(C157,Deflatores!G$4:I$38,3,FALSE)))</f>
        <v/>
      </c>
      <c r="M157" s="10"/>
      <c r="N157" s="10"/>
      <c r="O157" s="6"/>
    </row>
    <row r="158" spans="1:15" x14ac:dyDescent="0.25">
      <c r="A158" s="181" t="s">
        <v>177</v>
      </c>
      <c r="B158" s="4"/>
      <c r="C158" s="4"/>
      <c r="D158" s="7"/>
      <c r="E158" s="7"/>
      <c r="F158" s="116" t="str">
        <f>IF(ISBLANK(B158),"",IF(I158="L","Baixa",IF(I158="A","Média",IF(I158="","","Alta"))))</f>
        <v/>
      </c>
      <c r="G158" s="7" t="str">
        <f>CONCATENATE(B158,I158)</f>
        <v/>
      </c>
      <c r="H158" s="7" t="str">
        <f>IF(ISBLANK(B158),"",IF(B158="ALI",IF(I158="L",7,IF(I158="A",10,15)),IF(B158="AIE",IF(I158="L",5,IF(I158="A",7,10)),IF(B158="SE",IF(I158="L",4,IF(I158="A",5,7)),IF(OR(B158="EE",B158="CE"),IF(I158="L",3,IF(I158="A",4,6)),0)))))</f>
        <v/>
      </c>
      <c r="I158" s="116" t="str">
        <f>IF(OR(ISBLANK(D158),ISBLANK(E158)),IF(OR(B158="ALI",B158="AIE"),"L",IF(OR(B158="EE",B158="SE",B158="CE"),"A","")),IF(B158="EE",IF(E158&gt;=3,IF(D158&gt;=5,"H","A"),IF(E158&gt;=2,IF(D158&gt;=16,"H",IF(D158&lt;=4,"L","A")),IF(D158&lt;=15,"L","A"))),IF(OR(B158="SE",B158="CE"),IF(E158&gt;=4,IF(D158&gt;=6,"H","A"),IF(E158&gt;=2,IF(D158&gt;=20,"H",IF(D158&lt;=5,"L","A")),IF(D158&lt;=19,"L","A"))),IF(OR(B158="ALI",B158="AIE"),IF(E158&gt;=6,IF(D158&gt;=20,"H","A"),IF(E158&gt;=2,IF(D158&gt;=51,"H",IF(D158&lt;=19,"L","A")),IF(D158&lt;=50,"L","A"))),""))))</f>
        <v/>
      </c>
      <c r="J158" s="7" t="str">
        <f>CONCATENATE(B158,C158)</f>
        <v/>
      </c>
      <c r="K158" s="127" t="str">
        <f>IF(OR(H158="",H158=0),L158,H158)</f>
        <v/>
      </c>
      <c r="L158" s="127" t="str">
        <f>IF(NOT(ISERROR(VLOOKUP(B158,Deflatores!G$42:H$64,2,FALSE))),VLOOKUP(B158,Deflatores!G$42:H$64,2,FALSE),IF(OR(ISBLANK(C158),ISBLANK(B158)),"",VLOOKUP(C158,Deflatores!G$4:H$38,2,FALSE)*H158+VLOOKUP(C158,Deflatores!G$4:I$38,3,FALSE)))</f>
        <v/>
      </c>
      <c r="M158" s="10"/>
      <c r="N158" s="10"/>
      <c r="O158" s="6"/>
    </row>
    <row r="159" spans="1:15" x14ac:dyDescent="0.25">
      <c r="A159" s="179" t="s">
        <v>178</v>
      </c>
      <c r="B159" s="4" t="s">
        <v>61</v>
      </c>
      <c r="C159" s="4" t="s">
        <v>50</v>
      </c>
      <c r="D159" s="7">
        <v>10</v>
      </c>
      <c r="E159" s="7">
        <v>4</v>
      </c>
      <c r="F159" s="116" t="str">
        <f>IF(ISBLANK(B159),"",IF(I159="L","Baixa",IF(I159="A","Média",IF(I159="","","Alta"))))</f>
        <v>Baixa</v>
      </c>
      <c r="G159" s="7" t="str">
        <f>CONCATENATE(B159,I159)</f>
        <v>ALIL</v>
      </c>
      <c r="H159" s="7">
        <f>IF(ISBLANK(B159),"",IF(B159="ALI",IF(I159="L",7,IF(I159="A",10,15)),IF(B159="AIE",IF(I159="L",5,IF(I159="A",7,10)),IF(B159="SE",IF(I159="L",4,IF(I159="A",5,7)),IF(OR(B159="EE",B159="CE"),IF(I159="L",3,IF(I159="A",4,6)),0)))))</f>
        <v>7</v>
      </c>
      <c r="I159" s="116" t="str">
        <f>IF(OR(ISBLANK(D159),ISBLANK(E159)),IF(OR(B159="ALI",B159="AIE"),"L",IF(OR(B159="EE",B159="SE",B159="CE"),"A","")),IF(B159="EE",IF(E159&gt;=3,IF(D159&gt;=5,"H","A"),IF(E159&gt;=2,IF(D159&gt;=16,"H",IF(D159&lt;=4,"L","A")),IF(D159&lt;=15,"L","A"))),IF(OR(B159="SE",B159="CE"),IF(E159&gt;=4,IF(D159&gt;=6,"H","A"),IF(E159&gt;=2,IF(D159&gt;=20,"H",IF(D159&lt;=5,"L","A")),IF(D159&lt;=19,"L","A"))),IF(OR(B159="ALI",B159="AIE"),IF(E159&gt;=6,IF(D159&gt;=20,"H","A"),IF(E159&gt;=2,IF(D159&gt;=51,"H",IF(D159&lt;=19,"L","A")),IF(D159&lt;=50,"L","A"))),""))))</f>
        <v>L</v>
      </c>
      <c r="J159" s="7" t="str">
        <f>CONCATENATE(B159,C159)</f>
        <v>ALII</v>
      </c>
      <c r="K159" s="127">
        <f>IF(OR(H159="",H159=0),L159,H159)</f>
        <v>7</v>
      </c>
      <c r="L159" s="127">
        <f>IF(NOT(ISERROR(VLOOKUP(B159,Deflatores!G$42:H$64,2,FALSE))),VLOOKUP(B159,Deflatores!G$42:H$64,2,FALSE),IF(OR(ISBLANK(C159),ISBLANK(B159)),"",VLOOKUP(C159,Deflatores!G$4:H$38,2,FALSE)*H159+VLOOKUP(C159,Deflatores!G$4:I$38,3,FALSE)))</f>
        <v>7</v>
      </c>
      <c r="M159" s="10"/>
      <c r="N159" s="10"/>
      <c r="O159" s="6"/>
    </row>
    <row r="160" spans="1:15" x14ac:dyDescent="0.25">
      <c r="A160" s="179" t="s">
        <v>179</v>
      </c>
      <c r="B160" s="4" t="s">
        <v>61</v>
      </c>
      <c r="C160" s="4" t="s">
        <v>50</v>
      </c>
      <c r="D160" s="7">
        <v>9</v>
      </c>
      <c r="E160" s="7">
        <v>3</v>
      </c>
      <c r="F160" s="116" t="str">
        <f>IF(ISBLANK(B160),"",IF(I160="L","Baixa",IF(I160="A","Média",IF(I160="","","Alta"))))</f>
        <v>Baixa</v>
      </c>
      <c r="G160" s="7" t="str">
        <f>CONCATENATE(B160,I160)</f>
        <v>ALIL</v>
      </c>
      <c r="H160" s="7">
        <f>IF(ISBLANK(B160),"",IF(B160="ALI",IF(I160="L",7,IF(I160="A",10,15)),IF(B160="AIE",IF(I160="L",5,IF(I160="A",7,10)),IF(B160="SE",IF(I160="L",4,IF(I160="A",5,7)),IF(OR(B160="EE",B160="CE"),IF(I160="L",3,IF(I160="A",4,6)),0)))))</f>
        <v>7</v>
      </c>
      <c r="I160" s="116" t="str">
        <f>IF(OR(ISBLANK(D160),ISBLANK(E160)),IF(OR(B160="ALI",B160="AIE"),"L",IF(OR(B160="EE",B160="SE",B160="CE"),"A","")),IF(B160="EE",IF(E160&gt;=3,IF(D160&gt;=5,"H","A"),IF(E160&gt;=2,IF(D160&gt;=16,"H",IF(D160&lt;=4,"L","A")),IF(D160&lt;=15,"L","A"))),IF(OR(B160="SE",B160="CE"),IF(E160&gt;=4,IF(D160&gt;=6,"H","A"),IF(E160&gt;=2,IF(D160&gt;=20,"H",IF(D160&lt;=5,"L","A")),IF(D160&lt;=19,"L","A"))),IF(OR(B160="ALI",B160="AIE"),IF(E160&gt;=6,IF(D160&gt;=20,"H","A"),IF(E160&gt;=2,IF(D160&gt;=51,"H",IF(D160&lt;=19,"L","A")),IF(D160&lt;=50,"L","A"))),""))))</f>
        <v>L</v>
      </c>
      <c r="J160" s="7" t="str">
        <f>CONCATENATE(B160,C160)</f>
        <v>ALII</v>
      </c>
      <c r="K160" s="127">
        <f>IF(OR(H160="",H160=0),L160,H160)</f>
        <v>7</v>
      </c>
      <c r="L160" s="127">
        <f>IF(NOT(ISERROR(VLOOKUP(B160,Deflatores!G$42:H$64,2,FALSE))),VLOOKUP(B160,Deflatores!G$42:H$64,2,FALSE),IF(OR(ISBLANK(C160),ISBLANK(B160)),"",VLOOKUP(C160,Deflatores!G$4:H$38,2,FALSE)*H160+VLOOKUP(C160,Deflatores!G$4:I$38,3,FALSE)))</f>
        <v>7</v>
      </c>
      <c r="M160" s="10"/>
      <c r="N160" s="10"/>
      <c r="O160" s="6"/>
    </row>
    <row r="161" spans="1:15" x14ac:dyDescent="0.25">
      <c r="A161" s="179" t="s">
        <v>180</v>
      </c>
      <c r="B161" s="4" t="s">
        <v>181</v>
      </c>
      <c r="C161" s="4" t="s">
        <v>50</v>
      </c>
      <c r="D161" s="7">
        <v>15</v>
      </c>
      <c r="E161" s="7">
        <v>7</v>
      </c>
      <c r="F161" s="116" t="str">
        <f>IF(ISBLANK(B161),"",IF(I161="L","Baixa",IF(I161="A","Média",IF(I161="","","Alta"))))</f>
        <v>Alta</v>
      </c>
      <c r="G161" s="7" t="str">
        <f>CONCATENATE(B161,I161)</f>
        <v>SEH</v>
      </c>
      <c r="H161" s="7">
        <f>IF(ISBLANK(B161),"",IF(B161="ALI",IF(I161="L",7,IF(I161="A",10,15)),IF(B161="AIE",IF(I161="L",5,IF(I161="A",7,10)),IF(B161="SE",IF(I161="L",4,IF(I161="A",5,7)),IF(OR(B161="EE",B161="CE"),IF(I161="L",3,IF(I161="A",4,6)),0)))))</f>
        <v>7</v>
      </c>
      <c r="I161" s="116" t="str">
        <f>IF(OR(ISBLANK(D161),ISBLANK(E161)),IF(OR(B161="ALI",B161="AIE"),"L",IF(OR(B161="EE",B161="SE",B161="CE"),"A","")),IF(B161="EE",IF(E161&gt;=3,IF(D161&gt;=5,"H","A"),IF(E161&gt;=2,IF(D161&gt;=16,"H",IF(D161&lt;=4,"L","A")),IF(D161&lt;=15,"L","A"))),IF(OR(B161="SE",B161="CE"),IF(E161&gt;=4,IF(D161&gt;=6,"H","A"),IF(E161&gt;=2,IF(D161&gt;=20,"H",IF(D161&lt;=5,"L","A")),IF(D161&lt;=19,"L","A"))),IF(OR(B161="ALI",B161="AIE"),IF(E161&gt;=6,IF(D161&gt;=20,"H","A"),IF(E161&gt;=2,IF(D161&gt;=51,"H",IF(D161&lt;=19,"L","A")),IF(D161&lt;=50,"L","A"))),""))))</f>
        <v>H</v>
      </c>
      <c r="J161" s="7" t="str">
        <f>CONCATENATE(B161,C161)</f>
        <v>SEI</v>
      </c>
      <c r="K161" s="127">
        <f>IF(OR(H161="",H161=0),L161,H161)</f>
        <v>7</v>
      </c>
      <c r="L161" s="127">
        <f>IF(NOT(ISERROR(VLOOKUP(B161,Deflatores!G$42:H$64,2,FALSE))),VLOOKUP(B161,Deflatores!G$42:H$64,2,FALSE),IF(OR(ISBLANK(C161),ISBLANK(B161)),"",VLOOKUP(C161,Deflatores!G$4:H$38,2,FALSE)*H161+VLOOKUP(C161,Deflatores!G$4:I$38,3,FALSE)))</f>
        <v>7</v>
      </c>
      <c r="M161" s="10"/>
      <c r="N161" s="10"/>
      <c r="O161" s="6"/>
    </row>
    <row r="162" spans="1:15" x14ac:dyDescent="0.25">
      <c r="A162" s="179" t="s">
        <v>182</v>
      </c>
      <c r="B162" s="4" t="s">
        <v>181</v>
      </c>
      <c r="C162" s="4" t="s">
        <v>50</v>
      </c>
      <c r="D162" s="7">
        <v>15</v>
      </c>
      <c r="E162" s="7">
        <v>7</v>
      </c>
      <c r="F162" s="116" t="str">
        <f t="shared" si="90"/>
        <v>Alta</v>
      </c>
      <c r="G162" s="7" t="str">
        <f t="shared" si="91"/>
        <v>SEH</v>
      </c>
      <c r="H162" s="7">
        <f t="shared" si="92"/>
        <v>7</v>
      </c>
      <c r="I162" s="116" t="str">
        <f t="shared" si="93"/>
        <v>H</v>
      </c>
      <c r="J162" s="7" t="str">
        <f t="shared" si="94"/>
        <v>SEI</v>
      </c>
      <c r="K162" s="127">
        <f t="shared" si="95"/>
        <v>7</v>
      </c>
      <c r="L162" s="127">
        <f>IF(NOT(ISERROR(VLOOKUP(B162,Deflatores!G$42:H$64,2,FALSE))),VLOOKUP(B162,Deflatores!G$42:H$64,2,FALSE),IF(OR(ISBLANK(C162),ISBLANK(B162)),"",VLOOKUP(C162,Deflatores!G$4:H$38,2,FALSE)*H162+VLOOKUP(C162,Deflatores!G$4:I$38,3,FALSE)))</f>
        <v>7</v>
      </c>
      <c r="M162" s="10"/>
      <c r="N162" s="10"/>
      <c r="O162" s="6"/>
    </row>
    <row r="163" spans="1:15" x14ac:dyDescent="0.25">
      <c r="A163" s="179" t="s">
        <v>183</v>
      </c>
      <c r="B163" s="4" t="s">
        <v>181</v>
      </c>
      <c r="C163" s="4" t="s">
        <v>50</v>
      </c>
      <c r="D163" s="7">
        <v>15</v>
      </c>
      <c r="E163" s="7">
        <v>7</v>
      </c>
      <c r="F163" s="116" t="str">
        <f>IF(ISBLANK(B163),"",IF(I163="L","Baixa",IF(I163="A","Média",IF(I163="","","Alta"))))</f>
        <v>Alta</v>
      </c>
      <c r="G163" s="7" t="str">
        <f>CONCATENATE(B163,I163)</f>
        <v>SEH</v>
      </c>
      <c r="H163" s="7">
        <f>IF(ISBLANK(B163),"",IF(B163="ALI",IF(I163="L",7,IF(I163="A",10,15)),IF(B163="AIE",IF(I163="L",5,IF(I163="A",7,10)),IF(B163="SE",IF(I163="L",4,IF(I163="A",5,7)),IF(OR(B163="EE",B163="CE"),IF(I163="L",3,IF(I163="A",4,6)),0)))))</f>
        <v>7</v>
      </c>
      <c r="I163" s="116" t="str">
        <f>IF(OR(ISBLANK(D163),ISBLANK(E163)),IF(OR(B163="ALI",B163="AIE"),"L",IF(OR(B163="EE",B163="SE",B163="CE"),"A","")),IF(B163="EE",IF(E163&gt;=3,IF(D163&gt;=5,"H","A"),IF(E163&gt;=2,IF(D163&gt;=16,"H",IF(D163&lt;=4,"L","A")),IF(D163&lt;=15,"L","A"))),IF(OR(B163="SE",B163="CE"),IF(E163&gt;=4,IF(D163&gt;=6,"H","A"),IF(E163&gt;=2,IF(D163&gt;=20,"H",IF(D163&lt;=5,"L","A")),IF(D163&lt;=19,"L","A"))),IF(OR(B163="ALI",B163="AIE"),IF(E163&gt;=6,IF(D163&gt;=20,"H","A"),IF(E163&gt;=2,IF(D163&gt;=51,"H",IF(D163&lt;=19,"L","A")),IF(D163&lt;=50,"L","A"))),""))))</f>
        <v>H</v>
      </c>
      <c r="J163" s="7" t="str">
        <f>CONCATENATE(B163,C163)</f>
        <v>SEI</v>
      </c>
      <c r="K163" s="127">
        <f>IF(OR(H163="",H163=0),L163,H163)</f>
        <v>7</v>
      </c>
      <c r="L163" s="127">
        <f>IF(NOT(ISERROR(VLOOKUP(B163,Deflatores!G$42:H$64,2,FALSE))),VLOOKUP(B163,Deflatores!G$42:H$64,2,FALSE),IF(OR(ISBLANK(C163),ISBLANK(B163)),"",VLOOKUP(C163,Deflatores!G$4:H$38,2,FALSE)*H163+VLOOKUP(C163,Deflatores!G$4:I$38,3,FALSE)))</f>
        <v>7</v>
      </c>
      <c r="M163" s="10"/>
      <c r="N163" s="10"/>
      <c r="O163" s="6"/>
    </row>
    <row r="164" spans="1:15" x14ac:dyDescent="0.25">
      <c r="A164" s="179" t="s">
        <v>184</v>
      </c>
      <c r="B164" s="4" t="s">
        <v>52</v>
      </c>
      <c r="C164" s="4" t="s">
        <v>50</v>
      </c>
      <c r="D164" s="7">
        <v>9</v>
      </c>
      <c r="E164" s="7">
        <v>1</v>
      </c>
      <c r="F164" s="116" t="str">
        <f>IF(ISBLANK(B164),"",IF(I164="L","Baixa",IF(I164="A","Média",IF(I164="","","Alta"))))</f>
        <v>Baixa</v>
      </c>
      <c r="G164" s="7" t="str">
        <f>CONCATENATE(B164,I164)</f>
        <v>CEL</v>
      </c>
      <c r="H164" s="7">
        <f>IF(ISBLANK(B164),"",IF(B164="ALI",IF(I164="L",7,IF(I164="A",10,15)),IF(B164="AIE",IF(I164="L",5,IF(I164="A",7,10)),IF(B164="SE",IF(I164="L",4,IF(I164="A",5,7)),IF(OR(B164="EE",B164="CE"),IF(I164="L",3,IF(I164="A",4,6)),0)))))</f>
        <v>3</v>
      </c>
      <c r="I164" s="116" t="str">
        <f>IF(OR(ISBLANK(D164),ISBLANK(E164)),IF(OR(B164="ALI",B164="AIE"),"L",IF(OR(B164="EE",B164="SE",B164="CE"),"A","")),IF(B164="EE",IF(E164&gt;=3,IF(D164&gt;=5,"H","A"),IF(E164&gt;=2,IF(D164&gt;=16,"H",IF(D164&lt;=4,"L","A")),IF(D164&lt;=15,"L","A"))),IF(OR(B164="SE",B164="CE"),IF(E164&gt;=4,IF(D164&gt;=6,"H","A"),IF(E164&gt;=2,IF(D164&gt;=20,"H",IF(D164&lt;=5,"L","A")),IF(D164&lt;=19,"L","A"))),IF(OR(B164="ALI",B164="AIE"),IF(E164&gt;=6,IF(D164&gt;=20,"H","A"),IF(E164&gt;=2,IF(D164&gt;=51,"H",IF(D164&lt;=19,"L","A")),IF(D164&lt;=50,"L","A"))),""))))</f>
        <v>L</v>
      </c>
      <c r="J164" s="7" t="str">
        <f>CONCATENATE(B164,C164)</f>
        <v>CEI</v>
      </c>
      <c r="K164" s="127">
        <f>IF(OR(H164="",H164=0),L164,H164)</f>
        <v>3</v>
      </c>
      <c r="L164" s="127">
        <f>IF(NOT(ISERROR(VLOOKUP(B164,Deflatores!G$42:H$64,2,FALSE))),VLOOKUP(B164,Deflatores!G$42:H$64,2,FALSE),IF(OR(ISBLANK(C164),ISBLANK(B164)),"",VLOOKUP(C164,Deflatores!G$4:H$38,2,FALSE)*H164+VLOOKUP(C164,Deflatores!G$4:I$38,3,FALSE)))</f>
        <v>3</v>
      </c>
      <c r="M164" s="10"/>
      <c r="N164" s="10"/>
      <c r="O164" s="6"/>
    </row>
    <row r="165" spans="1:15" x14ac:dyDescent="0.25">
      <c r="A165" s="179" t="s">
        <v>185</v>
      </c>
      <c r="B165" s="4" t="s">
        <v>52</v>
      </c>
      <c r="C165" s="4" t="s">
        <v>50</v>
      </c>
      <c r="D165" s="7">
        <v>10</v>
      </c>
      <c r="E165" s="7">
        <v>5</v>
      </c>
      <c r="F165" s="116" t="str">
        <f>IF(ISBLANK(B165),"",IF(I165="L","Baixa",IF(I165="A","Média",IF(I165="","","Alta"))))</f>
        <v>Alta</v>
      </c>
      <c r="G165" s="7" t="str">
        <f>CONCATENATE(B165,I165)</f>
        <v>CEH</v>
      </c>
      <c r="H165" s="7">
        <f>IF(ISBLANK(B165),"",IF(B165="ALI",IF(I165="L",7,IF(I165="A",10,15)),IF(B165="AIE",IF(I165="L",5,IF(I165="A",7,10)),IF(B165="SE",IF(I165="L",4,IF(I165="A",5,7)),IF(OR(B165="EE",B165="CE"),IF(I165="L",3,IF(I165="A",4,6)),0)))))</f>
        <v>6</v>
      </c>
      <c r="I165" s="116" t="str">
        <f>IF(OR(ISBLANK(D165),ISBLANK(E165)),IF(OR(B165="ALI",B165="AIE"),"L",IF(OR(B165="EE",B165="SE",B165="CE"),"A","")),IF(B165="EE",IF(E165&gt;=3,IF(D165&gt;=5,"H","A"),IF(E165&gt;=2,IF(D165&gt;=16,"H",IF(D165&lt;=4,"L","A")),IF(D165&lt;=15,"L","A"))),IF(OR(B165="SE",B165="CE"),IF(E165&gt;=4,IF(D165&gt;=6,"H","A"),IF(E165&gt;=2,IF(D165&gt;=20,"H",IF(D165&lt;=5,"L","A")),IF(D165&lt;=19,"L","A"))),IF(OR(B165="ALI",B165="AIE"),IF(E165&gt;=6,IF(D165&gt;=20,"H","A"),IF(E165&gt;=2,IF(D165&gt;=51,"H",IF(D165&lt;=19,"L","A")),IF(D165&lt;=50,"L","A"))),""))))</f>
        <v>H</v>
      </c>
      <c r="J165" s="7" t="str">
        <f>CONCATENATE(B165,C165)</f>
        <v>CEI</v>
      </c>
      <c r="K165" s="127">
        <f>IF(OR(H165="",H165=0),L165,H165)</f>
        <v>6</v>
      </c>
      <c r="L165" s="127">
        <f>IF(NOT(ISERROR(VLOOKUP(B165,Deflatores!G$42:H$64,2,FALSE))),VLOOKUP(B165,Deflatores!G$42:H$64,2,FALSE),IF(OR(ISBLANK(C165),ISBLANK(B165)),"",VLOOKUP(C165,Deflatores!G$4:H$38,2,FALSE)*H165+VLOOKUP(C165,Deflatores!G$4:I$38,3,FALSE)))</f>
        <v>6</v>
      </c>
      <c r="M165" s="10"/>
      <c r="N165" s="10"/>
      <c r="O165" s="6"/>
    </row>
    <row r="166" spans="1:15" x14ac:dyDescent="0.25">
      <c r="A166" s="179" t="s">
        <v>186</v>
      </c>
      <c r="B166" s="4" t="s">
        <v>52</v>
      </c>
      <c r="C166" s="4" t="s">
        <v>50</v>
      </c>
      <c r="D166" s="7">
        <v>9</v>
      </c>
      <c r="E166" s="7">
        <v>10</v>
      </c>
      <c r="F166" s="116" t="str">
        <f>IF(ISBLANK(B166),"",IF(I166="L","Baixa",IF(I166="A","Média",IF(I166="","","Alta"))))</f>
        <v>Alta</v>
      </c>
      <c r="G166" s="7" t="str">
        <f>CONCATENATE(B166,I166)</f>
        <v>CEH</v>
      </c>
      <c r="H166" s="7">
        <f>IF(ISBLANK(B166),"",IF(B166="ALI",IF(I166="L",7,IF(I166="A",10,15)),IF(B166="AIE",IF(I166="L",5,IF(I166="A",7,10)),IF(B166="SE",IF(I166="L",4,IF(I166="A",5,7)),IF(OR(B166="EE",B166="CE"),IF(I166="L",3,IF(I166="A",4,6)),0)))))</f>
        <v>6</v>
      </c>
      <c r="I166" s="116" t="str">
        <f>IF(OR(ISBLANK(D166),ISBLANK(E166)),IF(OR(B166="ALI",B166="AIE"),"L",IF(OR(B166="EE",B166="SE",B166="CE"),"A","")),IF(B166="EE",IF(E166&gt;=3,IF(D166&gt;=5,"H","A"),IF(E166&gt;=2,IF(D166&gt;=16,"H",IF(D166&lt;=4,"L","A")),IF(D166&lt;=15,"L","A"))),IF(OR(B166="SE",B166="CE"),IF(E166&gt;=4,IF(D166&gt;=6,"H","A"),IF(E166&gt;=2,IF(D166&gt;=20,"H",IF(D166&lt;=5,"L","A")),IF(D166&lt;=19,"L","A"))),IF(OR(B166="ALI",B166="AIE"),IF(E166&gt;=6,IF(D166&gt;=20,"H","A"),IF(E166&gt;=2,IF(D166&gt;=51,"H",IF(D166&lt;=19,"L","A")),IF(D166&lt;=50,"L","A"))),""))))</f>
        <v>H</v>
      </c>
      <c r="J166" s="7" t="str">
        <f>CONCATENATE(B166,C166)</f>
        <v>CEI</v>
      </c>
      <c r="K166" s="127">
        <f>IF(OR(H166="",H166=0),L166,H166)</f>
        <v>6</v>
      </c>
      <c r="L166" s="127">
        <f>IF(NOT(ISERROR(VLOOKUP(B166,Deflatores!G$42:H$64,2,FALSE))),VLOOKUP(B166,Deflatores!G$42:H$64,2,FALSE),IF(OR(ISBLANK(C166),ISBLANK(B166)),"",VLOOKUP(C166,Deflatores!G$4:H$38,2,FALSE)*H166+VLOOKUP(C166,Deflatores!G$4:I$38,3,FALSE)))</f>
        <v>6</v>
      </c>
      <c r="M166" s="10"/>
      <c r="N166" s="10"/>
      <c r="O166" s="6"/>
    </row>
    <row r="167" spans="1:15" x14ac:dyDescent="0.25">
      <c r="A167" s="179" t="s">
        <v>509</v>
      </c>
      <c r="B167" s="4" t="s">
        <v>52</v>
      </c>
      <c r="C167" s="4"/>
      <c r="D167" s="7"/>
      <c r="E167" s="7"/>
      <c r="F167" s="116" t="str">
        <f>IF(ISBLANK(B167),"",IF(I167="L","Baixa",IF(I167="A","Média",IF(I167="","","Alta"))))</f>
        <v>Média</v>
      </c>
      <c r="G167" s="7" t="str">
        <f>CONCATENATE(B167,I167)</f>
        <v>CEA</v>
      </c>
      <c r="H167" s="7">
        <f>IF(ISBLANK(B167),"",IF(B167="ALI",IF(I167="L",7,IF(I167="A",10,15)),IF(B167="AIE",IF(I167="L",5,IF(I167="A",7,10)),IF(B167="SE",IF(I167="L",4,IF(I167="A",5,7)),IF(OR(B167="EE",B167="CE"),IF(I167="L",3,IF(I167="A",4,6)),0)))))</f>
        <v>4</v>
      </c>
      <c r="I167" s="116" t="str">
        <f>IF(OR(ISBLANK(D167),ISBLANK(E167)),IF(OR(B167="ALI",B167="AIE"),"L",IF(OR(B167="EE",B167="SE",B167="CE"),"A","")),IF(B167="EE",IF(E167&gt;=3,IF(D167&gt;=5,"H","A"),IF(E167&gt;=2,IF(D167&gt;=16,"H",IF(D167&lt;=4,"L","A")),IF(D167&lt;=15,"L","A"))),IF(OR(B167="SE",B167="CE"),IF(E167&gt;=4,IF(D167&gt;=6,"H","A"),IF(E167&gt;=2,IF(D167&gt;=20,"H",IF(D167&lt;=5,"L","A")),IF(D167&lt;=19,"L","A"))),IF(OR(B167="ALI",B167="AIE"),IF(E167&gt;=6,IF(D167&gt;=20,"H","A"),IF(E167&gt;=2,IF(D167&gt;=51,"H",IF(D167&lt;=19,"L","A")),IF(D167&lt;=50,"L","A"))),""))))</f>
        <v>A</v>
      </c>
      <c r="J167" s="7" t="str">
        <f>CONCATENATE(B167,C167)</f>
        <v>CE</v>
      </c>
      <c r="K167" s="127">
        <f>IF(OR(H167="",H167=0),L167,H167)</f>
        <v>4</v>
      </c>
      <c r="L167" s="127" t="str">
        <f>IF(NOT(ISERROR(VLOOKUP(B167,Deflatores!G$42:H$64,2,FALSE))),VLOOKUP(B167,Deflatores!G$42:H$64,2,FALSE),IF(OR(ISBLANK(C167),ISBLANK(B167)),"",VLOOKUP(C167,Deflatores!G$4:H$38,2,FALSE)*H167+VLOOKUP(C167,Deflatores!G$4:I$38,3,FALSE)))</f>
        <v/>
      </c>
      <c r="M167" s="10"/>
      <c r="N167" s="10"/>
      <c r="O167" s="6" t="s">
        <v>511</v>
      </c>
    </row>
    <row r="168" spans="1:15" x14ac:dyDescent="0.25">
      <c r="A168" s="179"/>
      <c r="B168" s="4"/>
      <c r="C168" s="4"/>
      <c r="D168" s="7"/>
      <c r="E168" s="7"/>
      <c r="F168" s="116" t="str">
        <f t="shared" si="90"/>
        <v/>
      </c>
      <c r="G168" s="7" t="str">
        <f t="shared" si="91"/>
        <v/>
      </c>
      <c r="H168" s="7" t="str">
        <f t="shared" si="92"/>
        <v/>
      </c>
      <c r="I168" s="116" t="str">
        <f t="shared" si="93"/>
        <v/>
      </c>
      <c r="J168" s="7" t="str">
        <f t="shared" si="94"/>
        <v/>
      </c>
      <c r="K168" s="127" t="str">
        <f t="shared" si="95"/>
        <v/>
      </c>
      <c r="L168" s="127" t="str">
        <f>IF(NOT(ISERROR(VLOOKUP(B168,Deflatores!G$42:H$64,2,FALSE))),VLOOKUP(B168,Deflatores!G$42:H$64,2,FALSE),IF(OR(ISBLANK(C168),ISBLANK(B168)),"",VLOOKUP(C168,Deflatores!G$4:H$38,2,FALSE)*H168+VLOOKUP(C168,Deflatores!G$4:I$38,3,FALSE)))</f>
        <v/>
      </c>
      <c r="M168" s="10"/>
      <c r="N168" s="10"/>
      <c r="O168" s="6"/>
    </row>
    <row r="169" spans="1:15" x14ac:dyDescent="0.25">
      <c r="A169" s="181" t="s">
        <v>187</v>
      </c>
      <c r="B169" s="4"/>
      <c r="C169" s="4"/>
      <c r="D169" s="7"/>
      <c r="E169" s="7"/>
      <c r="F169" s="116" t="str">
        <f t="shared" si="90"/>
        <v/>
      </c>
      <c r="G169" s="7" t="str">
        <f t="shared" si="91"/>
        <v/>
      </c>
      <c r="H169" s="7" t="str">
        <f t="shared" si="92"/>
        <v/>
      </c>
      <c r="I169" s="116" t="str">
        <f t="shared" si="93"/>
        <v/>
      </c>
      <c r="J169" s="7" t="str">
        <f t="shared" si="94"/>
        <v/>
      </c>
      <c r="K169" s="127" t="str">
        <f t="shared" si="95"/>
        <v/>
      </c>
      <c r="L169" s="127" t="str">
        <f>IF(NOT(ISERROR(VLOOKUP(B169,Deflatores!G$42:H$64,2,FALSE))),VLOOKUP(B169,Deflatores!G$42:H$64,2,FALSE),IF(OR(ISBLANK(C169),ISBLANK(B169)),"",VLOOKUP(C169,Deflatores!G$4:H$38,2,FALSE)*H169+VLOOKUP(C169,Deflatores!G$4:I$38,3,FALSE)))</f>
        <v/>
      </c>
      <c r="M169" s="10"/>
      <c r="N169" s="10"/>
      <c r="O169" s="6"/>
    </row>
    <row r="170" spans="1:15" x14ac:dyDescent="0.25">
      <c r="A170" s="179" t="s">
        <v>188</v>
      </c>
      <c r="B170" s="4" t="s">
        <v>61</v>
      </c>
      <c r="C170" s="4" t="s">
        <v>50</v>
      </c>
      <c r="D170" s="7">
        <v>31</v>
      </c>
      <c r="E170" s="7">
        <v>11</v>
      </c>
      <c r="F170" s="116" t="str">
        <f>IF(ISBLANK(B170),"",IF(I170="L","Baixa",IF(I170="A","Média",IF(I170="","","Alta"))))</f>
        <v>Alta</v>
      </c>
      <c r="G170" s="7" t="str">
        <f>CONCATENATE(B170,I170)</f>
        <v>ALIH</v>
      </c>
      <c r="H170" s="7">
        <f>IF(ISBLANK(B170),"",IF(B170="ALI",IF(I170="L",7,IF(I170="A",10,15)),IF(B170="AIE",IF(I170="L",5,IF(I170="A",7,10)),IF(B170="SE",IF(I170="L",4,IF(I170="A",5,7)),IF(OR(B170="EE",B170="CE"),IF(I170="L",3,IF(I170="A",4,6)),0)))))</f>
        <v>15</v>
      </c>
      <c r="I170" s="116" t="str">
        <f>IF(OR(ISBLANK(D170),ISBLANK(E170)),IF(OR(B170="ALI",B170="AIE"),"L",IF(OR(B170="EE",B170="SE",B170="CE"),"A","")),IF(B170="EE",IF(E170&gt;=3,IF(D170&gt;=5,"H","A"),IF(E170&gt;=2,IF(D170&gt;=16,"H",IF(D170&lt;=4,"L","A")),IF(D170&lt;=15,"L","A"))),IF(OR(B170="SE",B170="CE"),IF(E170&gt;=4,IF(D170&gt;=6,"H","A"),IF(E170&gt;=2,IF(D170&gt;=20,"H",IF(D170&lt;=5,"L","A")),IF(D170&lt;=19,"L","A"))),IF(OR(B170="ALI",B170="AIE"),IF(E170&gt;=6,IF(D170&gt;=20,"H","A"),IF(E170&gt;=2,IF(D170&gt;=51,"H",IF(D170&lt;=19,"L","A")),IF(D170&lt;=50,"L","A"))),""))))</f>
        <v>H</v>
      </c>
      <c r="J170" s="7" t="str">
        <f>CONCATENATE(B170,C170)</f>
        <v>ALII</v>
      </c>
      <c r="K170" s="127">
        <f>IF(OR(H170="",H170=0),L170,H170)</f>
        <v>15</v>
      </c>
      <c r="L170" s="127">
        <f>IF(NOT(ISERROR(VLOOKUP(B170,Deflatores!G$42:H$64,2,FALSE))),VLOOKUP(B170,Deflatores!G$42:H$64,2,FALSE),IF(OR(ISBLANK(C170),ISBLANK(B170)),"",VLOOKUP(C170,Deflatores!G$4:H$38,2,FALSE)*H170+VLOOKUP(C170,Deflatores!G$4:I$38,3,FALSE)))</f>
        <v>15</v>
      </c>
      <c r="M170" s="10"/>
      <c r="N170" s="10"/>
      <c r="O170" s="6"/>
    </row>
    <row r="171" spans="1:15" x14ac:dyDescent="0.25">
      <c r="A171" s="179" t="s">
        <v>189</v>
      </c>
      <c r="B171" s="4" t="s">
        <v>45</v>
      </c>
      <c r="C171" s="4" t="s">
        <v>50</v>
      </c>
      <c r="D171" s="7">
        <v>30</v>
      </c>
      <c r="E171" s="7">
        <v>4</v>
      </c>
      <c r="F171" s="116" t="str">
        <f>IF(ISBLANK(B171),"",IF(I171="L","Baixa",IF(I171="A","Média",IF(I171="","","Alta"))))</f>
        <v>Alta</v>
      </c>
      <c r="G171" s="7" t="str">
        <f>CONCATENATE(B171,I171)</f>
        <v>EEH</v>
      </c>
      <c r="H171" s="7">
        <f>IF(ISBLANK(B171),"",IF(B171="ALI",IF(I171="L",7,IF(I171="A",10,15)),IF(B171="AIE",IF(I171="L",5,IF(I171="A",7,10)),IF(B171="SE",IF(I171="L",4,IF(I171="A",5,7)),IF(OR(B171="EE",B171="CE"),IF(I171="L",3,IF(I171="A",4,6)),0)))))</f>
        <v>6</v>
      </c>
      <c r="I171" s="116" t="str">
        <f>IF(OR(ISBLANK(D171),ISBLANK(E171)),IF(OR(B171="ALI",B171="AIE"),"L",IF(OR(B171="EE",B171="SE",B171="CE"),"A","")),IF(B171="EE",IF(E171&gt;=3,IF(D171&gt;=5,"H","A"),IF(E171&gt;=2,IF(D171&gt;=16,"H",IF(D171&lt;=4,"L","A")),IF(D171&lt;=15,"L","A"))),IF(OR(B171="SE",B171="CE"),IF(E171&gt;=4,IF(D171&gt;=6,"H","A"),IF(E171&gt;=2,IF(D171&gt;=20,"H",IF(D171&lt;=5,"L","A")),IF(D171&lt;=19,"L","A"))),IF(OR(B171="ALI",B171="AIE"),IF(E171&gt;=6,IF(D171&gt;=20,"H","A"),IF(E171&gt;=2,IF(D171&gt;=51,"H",IF(D171&lt;=19,"L","A")),IF(D171&lt;=50,"L","A"))),""))))</f>
        <v>H</v>
      </c>
      <c r="J171" s="7" t="str">
        <f>CONCATENATE(B171,C171)</f>
        <v>EEI</v>
      </c>
      <c r="K171" s="127">
        <f>IF(OR(H171="",H171=0),L171,H171)</f>
        <v>6</v>
      </c>
      <c r="L171" s="127">
        <f>IF(NOT(ISERROR(VLOOKUP(B171,Deflatores!G$42:H$64,2,FALSE))),VLOOKUP(B171,Deflatores!G$42:H$64,2,FALSE),IF(OR(ISBLANK(C171),ISBLANK(B171)),"",VLOOKUP(C171,Deflatores!G$4:H$38,2,FALSE)*H171+VLOOKUP(C171,Deflatores!G$4:I$38,3,FALSE)))</f>
        <v>6</v>
      </c>
      <c r="M171" s="10"/>
      <c r="N171" s="10"/>
      <c r="O171" s="6"/>
    </row>
    <row r="172" spans="1:15" ht="13" customHeight="1" x14ac:dyDescent="0.25">
      <c r="A172" s="180" t="s">
        <v>190</v>
      </c>
      <c r="B172" s="4" t="s">
        <v>52</v>
      </c>
      <c r="C172" s="4" t="s">
        <v>50</v>
      </c>
      <c r="D172" s="7">
        <v>3</v>
      </c>
      <c r="E172" s="7">
        <v>1</v>
      </c>
      <c r="F172" s="116" t="str">
        <f t="shared" ref="F172:F181" si="96">IF(ISBLANK(B172),"",IF(I172="L","Baixa",IF(I172="A","Média",IF(I172="","","Alta"))))</f>
        <v>Baixa</v>
      </c>
      <c r="G172" s="7" t="str">
        <f t="shared" ref="G172:G181" si="97">CONCATENATE(B172,I172)</f>
        <v>CEL</v>
      </c>
      <c r="H172" s="7">
        <f t="shared" ref="H172:H181" si="98">IF(ISBLANK(B172),"",IF(B172="ALI",IF(I172="L",7,IF(I172="A",10,15)),IF(B172="AIE",IF(I172="L",5,IF(I172="A",7,10)),IF(B172="SE",IF(I172="L",4,IF(I172="A",5,7)),IF(OR(B172="EE",B172="CE"),IF(I172="L",3,IF(I172="A",4,6)),0)))))</f>
        <v>3</v>
      </c>
      <c r="I172" s="116" t="str">
        <f t="shared" ref="I172:I181" si="99">IF(OR(ISBLANK(D172),ISBLANK(E172)),IF(OR(B172="ALI",B172="AIE"),"L",IF(OR(B172="EE",B172="SE",B172="CE"),"A","")),IF(B172="EE",IF(E172&gt;=3,IF(D172&gt;=5,"H","A"),IF(E172&gt;=2,IF(D172&gt;=16,"H",IF(D172&lt;=4,"L","A")),IF(D172&lt;=15,"L","A"))),IF(OR(B172="SE",B172="CE"),IF(E172&gt;=4,IF(D172&gt;=6,"H","A"),IF(E172&gt;=2,IF(D172&gt;=20,"H",IF(D172&lt;=5,"L","A")),IF(D172&lt;=19,"L","A"))),IF(OR(B172="ALI",B172="AIE"),IF(E172&gt;=6,IF(D172&gt;=20,"H","A"),IF(E172&gt;=2,IF(D172&gt;=51,"H",IF(D172&lt;=19,"L","A")),IF(D172&lt;=50,"L","A"))),""))))</f>
        <v>L</v>
      </c>
      <c r="J172" s="7" t="str">
        <f t="shared" ref="J172:J181" si="100">CONCATENATE(B172,C172)</f>
        <v>CEI</v>
      </c>
      <c r="K172" s="127">
        <f t="shared" ref="K172:K181" si="101">IF(OR(H172="",H172=0),L172,H172)</f>
        <v>3</v>
      </c>
      <c r="L172" s="127">
        <f>IF(NOT(ISERROR(VLOOKUP(B172,Deflatores!G$42:H$64,2,FALSE))),VLOOKUP(B172,Deflatores!G$42:H$64,2,FALSE),IF(OR(ISBLANK(C172),ISBLANK(B172)),"",VLOOKUP(C172,Deflatores!G$4:H$38,2,FALSE)*H172+VLOOKUP(C172,Deflatores!G$4:I$38,3,FALSE)))</f>
        <v>3</v>
      </c>
      <c r="M172" s="10"/>
      <c r="N172" s="10"/>
      <c r="O172" s="6"/>
    </row>
    <row r="173" spans="1:15" x14ac:dyDescent="0.25">
      <c r="A173" s="180" t="s">
        <v>518</v>
      </c>
      <c r="B173" s="4" t="s">
        <v>52</v>
      </c>
      <c r="C173" s="4" t="s">
        <v>50</v>
      </c>
      <c r="D173" s="7">
        <v>3</v>
      </c>
      <c r="E173" s="7">
        <v>1</v>
      </c>
      <c r="F173" s="116" t="str">
        <f t="shared" ref="F173" si="102">IF(ISBLANK(B173),"",IF(I173="L","Baixa",IF(I173="A","Média",IF(I173="","","Alta"))))</f>
        <v>Baixa</v>
      </c>
      <c r="G173" s="7" t="str">
        <f t="shared" ref="G173" si="103">CONCATENATE(B173,I173)</f>
        <v>CEL</v>
      </c>
      <c r="H173" s="7">
        <f t="shared" ref="H173" si="104">IF(ISBLANK(B173),"",IF(B173="ALI",IF(I173="L",7,IF(I173="A",10,15)),IF(B173="AIE",IF(I173="L",5,IF(I173="A",7,10)),IF(B173="SE",IF(I173="L",4,IF(I173="A",5,7)),IF(OR(B173="EE",B173="CE"),IF(I173="L",3,IF(I173="A",4,6)),0)))))</f>
        <v>3</v>
      </c>
      <c r="I173" s="116" t="str">
        <f t="shared" ref="I173" si="105">IF(OR(ISBLANK(D173),ISBLANK(E173)),IF(OR(B173="ALI",B173="AIE"),"L",IF(OR(B173="EE",B173="SE",B173="CE"),"A","")),IF(B173="EE",IF(E173&gt;=3,IF(D173&gt;=5,"H","A"),IF(E173&gt;=2,IF(D173&gt;=16,"H",IF(D173&lt;=4,"L","A")),IF(D173&lt;=15,"L","A"))),IF(OR(B173="SE",B173="CE"),IF(E173&gt;=4,IF(D173&gt;=6,"H","A"),IF(E173&gt;=2,IF(D173&gt;=20,"H",IF(D173&lt;=5,"L","A")),IF(D173&lt;=19,"L","A"))),IF(OR(B173="ALI",B173="AIE"),IF(E173&gt;=6,IF(D173&gt;=20,"H","A"),IF(E173&gt;=2,IF(D173&gt;=51,"H",IF(D173&lt;=19,"L","A")),IF(D173&lt;=50,"L","A"))),""))))</f>
        <v>L</v>
      </c>
      <c r="J173" s="7" t="str">
        <f t="shared" ref="J173" si="106">CONCATENATE(B173,C173)</f>
        <v>CEI</v>
      </c>
      <c r="K173" s="127">
        <f t="shared" ref="K173" si="107">IF(OR(H173="",H173=0),L173,H173)</f>
        <v>3</v>
      </c>
      <c r="L173" s="127">
        <f>IF(NOT(ISERROR(VLOOKUP(B173,Deflatores!G$42:H$64,2,FALSE))),VLOOKUP(B173,Deflatores!G$42:H$64,2,FALSE),IF(OR(ISBLANK(C173),ISBLANK(B173)),"",VLOOKUP(C173,Deflatores!G$4:H$38,2,FALSE)*H173+VLOOKUP(C173,Deflatores!G$4:I$38,3,FALSE)))</f>
        <v>3</v>
      </c>
      <c r="M173" s="10"/>
      <c r="N173" s="10"/>
      <c r="O173" s="6"/>
    </row>
    <row r="174" spans="1:15" x14ac:dyDescent="0.25">
      <c r="A174" s="180" t="s">
        <v>191</v>
      </c>
      <c r="B174" s="4" t="s">
        <v>52</v>
      </c>
      <c r="C174" s="4" t="s">
        <v>50</v>
      </c>
      <c r="D174" s="7">
        <v>3</v>
      </c>
      <c r="E174" s="7">
        <v>1</v>
      </c>
      <c r="F174" s="116" t="str">
        <f t="shared" si="96"/>
        <v>Baixa</v>
      </c>
      <c r="G174" s="7" t="str">
        <f t="shared" si="97"/>
        <v>CEL</v>
      </c>
      <c r="H174" s="7">
        <f t="shared" si="98"/>
        <v>3</v>
      </c>
      <c r="I174" s="116" t="str">
        <f t="shared" si="99"/>
        <v>L</v>
      </c>
      <c r="J174" s="7" t="str">
        <f t="shared" si="100"/>
        <v>CEI</v>
      </c>
      <c r="K174" s="127">
        <f t="shared" si="101"/>
        <v>3</v>
      </c>
      <c r="L174" s="127">
        <f>IF(NOT(ISERROR(VLOOKUP(B174,Deflatores!G$42:H$64,2,FALSE))),VLOOKUP(B174,Deflatores!G$42:H$64,2,FALSE),IF(OR(ISBLANK(C174),ISBLANK(B174)),"",VLOOKUP(C174,Deflatores!G$4:H$38,2,FALSE)*H174+VLOOKUP(C174,Deflatores!G$4:I$38,3,FALSE)))</f>
        <v>3</v>
      </c>
      <c r="M174" s="10"/>
      <c r="N174" s="10"/>
      <c r="O174" s="6"/>
    </row>
    <row r="175" spans="1:15" x14ac:dyDescent="0.25">
      <c r="A175" s="180" t="s">
        <v>192</v>
      </c>
      <c r="B175" s="4" t="s">
        <v>52</v>
      </c>
      <c r="C175" s="4" t="s">
        <v>50</v>
      </c>
      <c r="D175" s="7">
        <v>3</v>
      </c>
      <c r="E175" s="7">
        <v>1</v>
      </c>
      <c r="F175" s="116" t="str">
        <f t="shared" si="96"/>
        <v>Baixa</v>
      </c>
      <c r="G175" s="7" t="str">
        <f t="shared" si="97"/>
        <v>CEL</v>
      </c>
      <c r="H175" s="7">
        <f t="shared" si="98"/>
        <v>3</v>
      </c>
      <c r="I175" s="116" t="str">
        <f t="shared" si="99"/>
        <v>L</v>
      </c>
      <c r="J175" s="7" t="str">
        <f t="shared" si="100"/>
        <v>CEI</v>
      </c>
      <c r="K175" s="127">
        <f t="shared" si="101"/>
        <v>3</v>
      </c>
      <c r="L175" s="127">
        <f>IF(NOT(ISERROR(VLOOKUP(B175,Deflatores!G$42:H$64,2,FALSE))),VLOOKUP(B175,Deflatores!G$42:H$64,2,FALSE),IF(OR(ISBLANK(C175),ISBLANK(B175)),"",VLOOKUP(C175,Deflatores!G$4:H$38,2,FALSE)*H175+VLOOKUP(C175,Deflatores!G$4:I$38,3,FALSE)))</f>
        <v>3</v>
      </c>
      <c r="M175" s="10"/>
      <c r="N175" s="10"/>
      <c r="O175" s="6"/>
    </row>
    <row r="176" spans="1:15" x14ac:dyDescent="0.25">
      <c r="A176" s="180" t="s">
        <v>193</v>
      </c>
      <c r="B176" s="4" t="s">
        <v>52</v>
      </c>
      <c r="C176" s="4" t="s">
        <v>50</v>
      </c>
      <c r="D176" s="7">
        <v>3</v>
      </c>
      <c r="E176" s="7">
        <v>1</v>
      </c>
      <c r="F176" s="116" t="str">
        <f t="shared" si="96"/>
        <v>Baixa</v>
      </c>
      <c r="G176" s="7" t="str">
        <f t="shared" si="97"/>
        <v>CEL</v>
      </c>
      <c r="H176" s="7">
        <f t="shared" si="98"/>
        <v>3</v>
      </c>
      <c r="I176" s="116" t="str">
        <f t="shared" si="99"/>
        <v>L</v>
      </c>
      <c r="J176" s="7" t="str">
        <f t="shared" si="100"/>
        <v>CEI</v>
      </c>
      <c r="K176" s="127">
        <f t="shared" si="101"/>
        <v>3</v>
      </c>
      <c r="L176" s="127">
        <f>IF(NOT(ISERROR(VLOOKUP(B176,Deflatores!G$42:H$64,2,FALSE))),VLOOKUP(B176,Deflatores!G$42:H$64,2,FALSE),IF(OR(ISBLANK(C176),ISBLANK(B176)),"",VLOOKUP(C176,Deflatores!G$4:H$38,2,FALSE)*H176+VLOOKUP(C176,Deflatores!G$4:I$38,3,FALSE)))</f>
        <v>3</v>
      </c>
      <c r="M176" s="10"/>
      <c r="N176" s="10"/>
      <c r="O176" s="6"/>
    </row>
    <row r="177" spans="1:15" x14ac:dyDescent="0.25">
      <c r="A177" s="180" t="s">
        <v>194</v>
      </c>
      <c r="B177" s="4" t="s">
        <v>52</v>
      </c>
      <c r="C177" s="4" t="s">
        <v>50</v>
      </c>
      <c r="D177" s="7">
        <v>3</v>
      </c>
      <c r="E177" s="7">
        <v>1</v>
      </c>
      <c r="F177" s="116" t="str">
        <f t="shared" si="96"/>
        <v>Baixa</v>
      </c>
      <c r="G177" s="7" t="str">
        <f t="shared" si="97"/>
        <v>CEL</v>
      </c>
      <c r="H177" s="7">
        <f t="shared" si="98"/>
        <v>3</v>
      </c>
      <c r="I177" s="116" t="str">
        <f t="shared" si="99"/>
        <v>L</v>
      </c>
      <c r="J177" s="7" t="str">
        <f t="shared" si="100"/>
        <v>CEI</v>
      </c>
      <c r="K177" s="127">
        <f t="shared" si="101"/>
        <v>3</v>
      </c>
      <c r="L177" s="127">
        <f>IF(NOT(ISERROR(VLOOKUP(B177,Deflatores!G$42:H$64,2,FALSE))),VLOOKUP(B177,Deflatores!G$42:H$64,2,FALSE),IF(OR(ISBLANK(C177),ISBLANK(B177)),"",VLOOKUP(C177,Deflatores!G$4:H$38,2,FALSE)*H177+VLOOKUP(C177,Deflatores!G$4:I$38,3,FALSE)))</f>
        <v>3</v>
      </c>
      <c r="M177" s="10"/>
      <c r="N177" s="10"/>
      <c r="O177" s="6"/>
    </row>
    <row r="178" spans="1:15" x14ac:dyDescent="0.25">
      <c r="A178" s="180" t="s">
        <v>195</v>
      </c>
      <c r="B178" s="4" t="s">
        <v>52</v>
      </c>
      <c r="C178" s="4" t="s">
        <v>50</v>
      </c>
      <c r="D178" s="7">
        <v>3</v>
      </c>
      <c r="E178" s="7">
        <v>1</v>
      </c>
      <c r="F178" s="116" t="str">
        <f t="shared" si="96"/>
        <v>Baixa</v>
      </c>
      <c r="G178" s="7" t="str">
        <f t="shared" si="97"/>
        <v>CEL</v>
      </c>
      <c r="H178" s="7">
        <f t="shared" si="98"/>
        <v>3</v>
      </c>
      <c r="I178" s="116" t="str">
        <f t="shared" si="99"/>
        <v>L</v>
      </c>
      <c r="J178" s="7" t="str">
        <f t="shared" si="100"/>
        <v>CEI</v>
      </c>
      <c r="K178" s="127">
        <f t="shared" si="101"/>
        <v>3</v>
      </c>
      <c r="L178" s="127">
        <f>IF(NOT(ISERROR(VLOOKUP(B178,Deflatores!G$42:H$64,2,FALSE))),VLOOKUP(B178,Deflatores!G$42:H$64,2,FALSE),IF(OR(ISBLANK(C178),ISBLANK(B178)),"",VLOOKUP(C178,Deflatores!G$4:H$38,2,FALSE)*H178+VLOOKUP(C178,Deflatores!G$4:I$38,3,FALSE)))</f>
        <v>3</v>
      </c>
      <c r="M178" s="10"/>
      <c r="N178" s="10"/>
      <c r="O178" s="6"/>
    </row>
    <row r="179" spans="1:15" x14ac:dyDescent="0.25">
      <c r="A179" s="180" t="s">
        <v>196</v>
      </c>
      <c r="B179" s="4" t="s">
        <v>52</v>
      </c>
      <c r="C179" s="4" t="s">
        <v>50</v>
      </c>
      <c r="D179" s="7">
        <v>3</v>
      </c>
      <c r="E179" s="7">
        <v>1</v>
      </c>
      <c r="F179" s="116" t="str">
        <f t="shared" si="96"/>
        <v>Baixa</v>
      </c>
      <c r="G179" s="7" t="str">
        <f t="shared" si="97"/>
        <v>CEL</v>
      </c>
      <c r="H179" s="7">
        <f t="shared" si="98"/>
        <v>3</v>
      </c>
      <c r="I179" s="116" t="str">
        <f t="shared" si="99"/>
        <v>L</v>
      </c>
      <c r="J179" s="7" t="str">
        <f t="shared" si="100"/>
        <v>CEI</v>
      </c>
      <c r="K179" s="127">
        <f t="shared" si="101"/>
        <v>3</v>
      </c>
      <c r="L179" s="127">
        <f>IF(NOT(ISERROR(VLOOKUP(B179,Deflatores!G$42:H$64,2,FALSE))),VLOOKUP(B179,Deflatores!G$42:H$64,2,FALSE),IF(OR(ISBLANK(C179),ISBLANK(B179)),"",VLOOKUP(C179,Deflatores!G$4:H$38,2,FALSE)*H179+VLOOKUP(C179,Deflatores!G$4:I$38,3,FALSE)))</f>
        <v>3</v>
      </c>
      <c r="M179" s="10"/>
      <c r="N179" s="10"/>
      <c r="O179" s="6"/>
    </row>
    <row r="180" spans="1:15" x14ac:dyDescent="0.25">
      <c r="A180" s="180" t="s">
        <v>197</v>
      </c>
      <c r="B180" s="4" t="s">
        <v>52</v>
      </c>
      <c r="C180" s="4" t="s">
        <v>50</v>
      </c>
      <c r="D180" s="7">
        <v>3</v>
      </c>
      <c r="E180" s="7">
        <v>1</v>
      </c>
      <c r="F180" s="116" t="str">
        <f t="shared" si="96"/>
        <v>Baixa</v>
      </c>
      <c r="G180" s="7" t="str">
        <f t="shared" si="97"/>
        <v>CEL</v>
      </c>
      <c r="H180" s="7">
        <f t="shared" si="98"/>
        <v>3</v>
      </c>
      <c r="I180" s="116" t="str">
        <f t="shared" si="99"/>
        <v>L</v>
      </c>
      <c r="J180" s="7" t="str">
        <f t="shared" si="100"/>
        <v>CEI</v>
      </c>
      <c r="K180" s="127">
        <f t="shared" si="101"/>
        <v>3</v>
      </c>
      <c r="L180" s="127">
        <f>IF(NOT(ISERROR(VLOOKUP(B180,Deflatores!G$42:H$64,2,FALSE))),VLOOKUP(B180,Deflatores!G$42:H$64,2,FALSE),IF(OR(ISBLANK(C180),ISBLANK(B180)),"",VLOOKUP(C180,Deflatores!G$4:H$38,2,FALSE)*H180+VLOOKUP(C180,Deflatores!G$4:I$38,3,FALSE)))</f>
        <v>3</v>
      </c>
      <c r="M180" s="10"/>
      <c r="N180" s="10"/>
      <c r="O180" s="6"/>
    </row>
    <row r="181" spans="1:15" x14ac:dyDescent="0.25">
      <c r="A181" s="180" t="s">
        <v>198</v>
      </c>
      <c r="B181" s="4" t="s">
        <v>52</v>
      </c>
      <c r="C181" s="4" t="s">
        <v>50</v>
      </c>
      <c r="D181" s="7">
        <v>3</v>
      </c>
      <c r="E181" s="7">
        <v>1</v>
      </c>
      <c r="F181" s="116" t="str">
        <f t="shared" si="96"/>
        <v>Baixa</v>
      </c>
      <c r="G181" s="7" t="str">
        <f t="shared" si="97"/>
        <v>CEL</v>
      </c>
      <c r="H181" s="7">
        <f t="shared" si="98"/>
        <v>3</v>
      </c>
      <c r="I181" s="116" t="str">
        <f t="shared" si="99"/>
        <v>L</v>
      </c>
      <c r="J181" s="7" t="str">
        <f t="shared" si="100"/>
        <v>CEI</v>
      </c>
      <c r="K181" s="127">
        <f t="shared" si="101"/>
        <v>3</v>
      </c>
      <c r="L181" s="127">
        <f>IF(NOT(ISERROR(VLOOKUP(B181,Deflatores!G$42:H$64,2,FALSE))),VLOOKUP(B181,Deflatores!G$42:H$64,2,FALSE),IF(OR(ISBLANK(C181),ISBLANK(B181)),"",VLOOKUP(C181,Deflatores!G$4:H$38,2,FALSE)*H181+VLOOKUP(C181,Deflatores!G$4:I$38,3,FALSE)))</f>
        <v>3</v>
      </c>
      <c r="M181" s="10"/>
      <c r="N181" s="10"/>
      <c r="O181" s="6"/>
    </row>
    <row r="182" spans="1:15" x14ac:dyDescent="0.25">
      <c r="A182" s="179" t="s">
        <v>199</v>
      </c>
      <c r="B182" s="4" t="s">
        <v>45</v>
      </c>
      <c r="C182" s="4" t="s">
        <v>50</v>
      </c>
      <c r="D182" s="7">
        <v>24</v>
      </c>
      <c r="E182" s="7">
        <v>5</v>
      </c>
      <c r="F182" s="116" t="str">
        <f>IF(ISBLANK(B182),"",IF(I182="L","Baixa",IF(I182="A","Média",IF(I182="","","Alta"))))</f>
        <v>Alta</v>
      </c>
      <c r="G182" s="7" t="str">
        <f>CONCATENATE(B182,I182)</f>
        <v>EEH</v>
      </c>
      <c r="H182" s="7">
        <f>IF(ISBLANK(B182),"",IF(B182="ALI",IF(I182="L",7,IF(I182="A",10,15)),IF(B182="AIE",IF(I182="L",5,IF(I182="A",7,10)),IF(B182="SE",IF(I182="L",4,IF(I182="A",5,7)),IF(OR(B182="EE",B182="CE"),IF(I182="L",3,IF(I182="A",4,6)),0)))))</f>
        <v>6</v>
      </c>
      <c r="I182" s="116" t="str">
        <f>IF(OR(ISBLANK(D182),ISBLANK(E182)),IF(OR(B182="ALI",B182="AIE"),"L",IF(OR(B182="EE",B182="SE",B182="CE"),"A","")),IF(B182="EE",IF(E182&gt;=3,IF(D182&gt;=5,"H","A"),IF(E182&gt;=2,IF(D182&gt;=16,"H",IF(D182&lt;=4,"L","A")),IF(D182&lt;=15,"L","A"))),IF(OR(B182="SE",B182="CE"),IF(E182&gt;=4,IF(D182&gt;=6,"H","A"),IF(E182&gt;=2,IF(D182&gt;=20,"H",IF(D182&lt;=5,"L","A")),IF(D182&lt;=19,"L","A"))),IF(OR(B182="ALI",B182="AIE"),IF(E182&gt;=6,IF(D182&gt;=20,"H","A"),IF(E182&gt;=2,IF(D182&gt;=51,"H",IF(D182&lt;=19,"L","A")),IF(D182&lt;=50,"L","A"))),""))))</f>
        <v>H</v>
      </c>
      <c r="J182" s="7" t="str">
        <f>CONCATENATE(B182,C182)</f>
        <v>EEI</v>
      </c>
      <c r="K182" s="127">
        <f>IF(OR(H182="",H182=0),L182,H182)</f>
        <v>6</v>
      </c>
      <c r="L182" s="127">
        <f>IF(NOT(ISERROR(VLOOKUP(B182,Deflatores!G$42:H$64,2,FALSE))),VLOOKUP(B182,Deflatores!G$42:H$64,2,FALSE),IF(OR(ISBLANK(C182),ISBLANK(B182)),"",VLOOKUP(C182,Deflatores!G$4:H$38,2,FALSE)*H182+VLOOKUP(C182,Deflatores!G$4:I$38,3,FALSE)))</f>
        <v>6</v>
      </c>
      <c r="M182" s="10"/>
      <c r="N182" s="10"/>
      <c r="O182" s="6"/>
    </row>
    <row r="183" spans="1:15" x14ac:dyDescent="0.25">
      <c r="A183" s="180" t="s">
        <v>200</v>
      </c>
      <c r="B183" s="4" t="s">
        <v>52</v>
      </c>
      <c r="C183" s="4" t="s">
        <v>50</v>
      </c>
      <c r="D183" s="7">
        <v>26</v>
      </c>
      <c r="E183" s="7">
        <v>4</v>
      </c>
      <c r="F183" s="116" t="str">
        <f>IF(ISBLANK(B183),"",IF(I183="L","Baixa",IF(I183="A","Média",IF(I183="","","Alta"))))</f>
        <v>Alta</v>
      </c>
      <c r="G183" s="7" t="str">
        <f>CONCATENATE(B183,I183)</f>
        <v>CEH</v>
      </c>
      <c r="H183" s="7">
        <f>IF(ISBLANK(B183),"",IF(B183="ALI",IF(I183="L",7,IF(I183="A",10,15)),IF(B183="AIE",IF(I183="L",5,IF(I183="A",7,10)),IF(B183="SE",IF(I183="L",4,IF(I183="A",5,7)),IF(OR(B183="EE",B183="CE"),IF(I183="L",3,IF(I183="A",4,6)),0)))))</f>
        <v>6</v>
      </c>
      <c r="I183" s="116" t="str">
        <f>IF(OR(ISBLANK(D183),ISBLANK(E183)),IF(OR(B183="ALI",B183="AIE"),"L",IF(OR(B183="EE",B183="SE",B183="CE"),"A","")),IF(B183="EE",IF(E183&gt;=3,IF(D183&gt;=5,"H","A"),IF(E183&gt;=2,IF(D183&gt;=16,"H",IF(D183&lt;=4,"L","A")),IF(D183&lt;=15,"L","A"))),IF(OR(B183="SE",B183="CE"),IF(E183&gt;=4,IF(D183&gt;=6,"H","A"),IF(E183&gt;=2,IF(D183&gt;=20,"H",IF(D183&lt;=5,"L","A")),IF(D183&lt;=19,"L","A"))),IF(OR(B183="ALI",B183="AIE"),IF(E183&gt;=6,IF(D183&gt;=20,"H","A"),IF(E183&gt;=2,IF(D183&gt;=51,"H",IF(D183&lt;=19,"L","A")),IF(D183&lt;=50,"L","A"))),""))))</f>
        <v>H</v>
      </c>
      <c r="J183" s="7" t="str">
        <f>CONCATENATE(B183,C183)</f>
        <v>CEI</v>
      </c>
      <c r="K183" s="127">
        <f>IF(OR(H183="",H183=0),L183,H183)</f>
        <v>6</v>
      </c>
      <c r="L183" s="127">
        <f>IF(NOT(ISERROR(VLOOKUP(B183,Deflatores!G$42:H$64,2,FALSE))),VLOOKUP(B183,Deflatores!G$42:H$64,2,FALSE),IF(OR(ISBLANK(C183),ISBLANK(B183)),"",VLOOKUP(C183,Deflatores!G$4:H$38,2,FALSE)*H183+VLOOKUP(C183,Deflatores!G$4:I$38,3,FALSE)))</f>
        <v>6</v>
      </c>
      <c r="M183" s="10"/>
      <c r="N183" s="10"/>
      <c r="O183" s="6"/>
    </row>
    <row r="184" spans="1:15" x14ac:dyDescent="0.25">
      <c r="A184" s="179" t="s">
        <v>201</v>
      </c>
      <c r="B184" s="4" t="s">
        <v>52</v>
      </c>
      <c r="C184" s="4" t="s">
        <v>50</v>
      </c>
      <c r="D184" s="7">
        <v>28</v>
      </c>
      <c r="E184" s="7">
        <v>4</v>
      </c>
      <c r="F184" s="116" t="str">
        <f>IF(ISBLANK(B184),"",IF(I184="L","Baixa",IF(I184="A","Média",IF(I184="","","Alta"))))</f>
        <v>Alta</v>
      </c>
      <c r="G184" s="7" t="str">
        <f>CONCATENATE(B184,I184)</f>
        <v>CEH</v>
      </c>
      <c r="H184" s="7">
        <f>IF(ISBLANK(B184),"",IF(B184="ALI",IF(I184="L",7,IF(I184="A",10,15)),IF(B184="AIE",IF(I184="L",5,IF(I184="A",7,10)),IF(B184="SE",IF(I184="L",4,IF(I184="A",5,7)),IF(OR(B184="EE",B184="CE"),IF(I184="L",3,IF(I184="A",4,6)),0)))))</f>
        <v>6</v>
      </c>
      <c r="I184" s="116" t="str">
        <f>IF(OR(ISBLANK(D184),ISBLANK(E184)),IF(OR(B184="ALI",B184="AIE"),"L",IF(OR(B184="EE",B184="SE",B184="CE"),"A","")),IF(B184="EE",IF(E184&gt;=3,IF(D184&gt;=5,"H","A"),IF(E184&gt;=2,IF(D184&gt;=16,"H",IF(D184&lt;=4,"L","A")),IF(D184&lt;=15,"L","A"))),IF(OR(B184="SE",B184="CE"),IF(E184&gt;=4,IF(D184&gt;=6,"H","A"),IF(E184&gt;=2,IF(D184&gt;=20,"H",IF(D184&lt;=5,"L","A")),IF(D184&lt;=19,"L","A"))),IF(OR(B184="ALI",B184="AIE"),IF(E184&gt;=6,IF(D184&gt;=20,"H","A"),IF(E184&gt;=2,IF(D184&gt;=51,"H",IF(D184&lt;=19,"L","A")),IF(D184&lt;=50,"L","A"))),""))))</f>
        <v>H</v>
      </c>
      <c r="J184" s="7" t="str">
        <f>CONCATENATE(B184,C184)</f>
        <v>CEI</v>
      </c>
      <c r="K184" s="127">
        <f>IF(OR(H184="",H184=0),L184,H184)</f>
        <v>6</v>
      </c>
      <c r="L184" s="127">
        <f>IF(NOT(ISERROR(VLOOKUP(B184,Deflatores!G$42:H$64,2,FALSE))),VLOOKUP(B184,Deflatores!G$42:H$64,2,FALSE),IF(OR(ISBLANK(C184),ISBLANK(B184)),"",VLOOKUP(C184,Deflatores!G$4:H$38,2,FALSE)*H184+VLOOKUP(C184,Deflatores!G$4:I$38,3,FALSE)))</f>
        <v>6</v>
      </c>
      <c r="M184" s="10"/>
      <c r="N184" s="10"/>
      <c r="O184" s="6"/>
    </row>
    <row r="185" spans="1:15" x14ac:dyDescent="0.25">
      <c r="A185" s="179" t="s">
        <v>202</v>
      </c>
      <c r="B185" s="4" t="s">
        <v>52</v>
      </c>
      <c r="C185" s="4" t="s">
        <v>50</v>
      </c>
      <c r="D185" s="7">
        <v>4</v>
      </c>
      <c r="E185" s="7">
        <v>1</v>
      </c>
      <c r="F185" s="116" t="str">
        <f>IF(ISBLANK(B185),"",IF(I185="L","Baixa",IF(I185="A","Média",IF(I185="","","Alta"))))</f>
        <v>Baixa</v>
      </c>
      <c r="G185" s="7" t="str">
        <f>CONCATENATE(B185,I185)</f>
        <v>CEL</v>
      </c>
      <c r="H185" s="7">
        <f>IF(ISBLANK(B185),"",IF(B185="ALI",IF(I185="L",7,IF(I185="A",10,15)),IF(B185="AIE",IF(I185="L",5,IF(I185="A",7,10)),IF(B185="SE",IF(I185="L",4,IF(I185="A",5,7)),IF(OR(B185="EE",B185="CE"),IF(I185="L",3,IF(I185="A",4,6)),0)))))</f>
        <v>3</v>
      </c>
      <c r="I185" s="116" t="str">
        <f>IF(OR(ISBLANK(D185),ISBLANK(E185)),IF(OR(B185="ALI",B185="AIE"),"L",IF(OR(B185="EE",B185="SE",B185="CE"),"A","")),IF(B185="EE",IF(E185&gt;=3,IF(D185&gt;=5,"H","A"),IF(E185&gt;=2,IF(D185&gt;=16,"H",IF(D185&lt;=4,"L","A")),IF(D185&lt;=15,"L","A"))),IF(OR(B185="SE",B185="CE"),IF(E185&gt;=4,IF(D185&gt;=6,"H","A"),IF(E185&gt;=2,IF(D185&gt;=20,"H",IF(D185&lt;=5,"L","A")),IF(D185&lt;=19,"L","A"))),IF(OR(B185="ALI",B185="AIE"),IF(E185&gt;=6,IF(D185&gt;=20,"H","A"),IF(E185&gt;=2,IF(D185&gt;=51,"H",IF(D185&lt;=19,"L","A")),IF(D185&lt;=50,"L","A"))),""))))</f>
        <v>L</v>
      </c>
      <c r="J185" s="7" t="str">
        <f>CONCATENATE(B185,C185)</f>
        <v>CEI</v>
      </c>
      <c r="K185" s="127">
        <f>IF(OR(H185="",H185=0),L185,H185)</f>
        <v>3</v>
      </c>
      <c r="L185" s="127">
        <f>IF(NOT(ISERROR(VLOOKUP(B185,Deflatores!G$42:H$64,2,FALSE))),VLOOKUP(B185,Deflatores!G$42:H$64,2,FALSE),IF(OR(ISBLANK(C185),ISBLANK(B185)),"",VLOOKUP(C185,Deflatores!G$4:H$38,2,FALSE)*H185+VLOOKUP(C185,Deflatores!G$4:I$38,3,FALSE)))</f>
        <v>3</v>
      </c>
      <c r="M185" s="10"/>
      <c r="N185" s="10"/>
      <c r="O185" s="6"/>
    </row>
    <row r="186" spans="1:15" x14ac:dyDescent="0.25">
      <c r="A186" s="179"/>
      <c r="B186" s="4"/>
      <c r="C186" s="4"/>
      <c r="D186" s="7"/>
      <c r="E186" s="7"/>
      <c r="F186" s="116" t="str">
        <f t="shared" si="90"/>
        <v/>
      </c>
      <c r="G186" s="7" t="str">
        <f t="shared" si="91"/>
        <v/>
      </c>
      <c r="H186" s="7" t="str">
        <f t="shared" si="92"/>
        <v/>
      </c>
      <c r="I186" s="116" t="str">
        <f t="shared" si="93"/>
        <v/>
      </c>
      <c r="J186" s="7" t="str">
        <f t="shared" si="94"/>
        <v/>
      </c>
      <c r="K186" s="127" t="str">
        <f t="shared" si="95"/>
        <v/>
      </c>
      <c r="L186" s="127" t="str">
        <f>IF(NOT(ISERROR(VLOOKUP(B186,Deflatores!G$42:H$64,2,FALSE))),VLOOKUP(B186,Deflatores!G$42:H$64,2,FALSE),IF(OR(ISBLANK(C186),ISBLANK(B186)),"",VLOOKUP(C186,Deflatores!G$4:H$38,2,FALSE)*H186+VLOOKUP(C186,Deflatores!G$4:I$38,3,FALSE)))</f>
        <v/>
      </c>
      <c r="M186" s="10"/>
      <c r="N186" s="10"/>
      <c r="O186" s="6"/>
    </row>
    <row r="187" spans="1:15" x14ac:dyDescent="0.25">
      <c r="A187" s="181" t="s">
        <v>203</v>
      </c>
      <c r="B187" s="4"/>
      <c r="C187" s="4"/>
      <c r="D187" s="7"/>
      <c r="E187" s="7"/>
      <c r="F187" s="116" t="str">
        <f t="shared" ref="F187:F193" si="108">IF(ISBLANK(B187),"",IF(I187="L","Baixa",IF(I187="A","Média",IF(I187="","","Alta"))))</f>
        <v/>
      </c>
      <c r="G187" s="7" t="str">
        <f t="shared" ref="G187:G193" si="109">CONCATENATE(B187,I187)</f>
        <v/>
      </c>
      <c r="H187" s="7" t="str">
        <f t="shared" ref="H187:H193" si="110">IF(ISBLANK(B187),"",IF(B187="ALI",IF(I187="L",7,IF(I187="A",10,15)),IF(B187="AIE",IF(I187="L",5,IF(I187="A",7,10)),IF(B187="SE",IF(I187="L",4,IF(I187="A",5,7)),IF(OR(B187="EE",B187="CE"),IF(I187="L",3,IF(I187="A",4,6)),0)))))</f>
        <v/>
      </c>
      <c r="I187" s="116" t="str">
        <f t="shared" ref="I187:I193" si="111">IF(OR(ISBLANK(D187),ISBLANK(E187)),IF(OR(B187="ALI",B187="AIE"),"L",IF(OR(B187="EE",B187="SE",B187="CE"),"A","")),IF(B187="EE",IF(E187&gt;=3,IF(D187&gt;=5,"H","A"),IF(E187&gt;=2,IF(D187&gt;=16,"H",IF(D187&lt;=4,"L","A")),IF(D187&lt;=15,"L","A"))),IF(OR(B187="SE",B187="CE"),IF(E187&gt;=4,IF(D187&gt;=6,"H","A"),IF(E187&gt;=2,IF(D187&gt;=20,"H",IF(D187&lt;=5,"L","A")),IF(D187&lt;=19,"L","A"))),IF(OR(B187="ALI",B187="AIE"),IF(E187&gt;=6,IF(D187&gt;=20,"H","A"),IF(E187&gt;=2,IF(D187&gt;=51,"H",IF(D187&lt;=19,"L","A")),IF(D187&lt;=50,"L","A"))),""))))</f>
        <v/>
      </c>
      <c r="J187" s="7" t="str">
        <f t="shared" ref="J187:J193" si="112">CONCATENATE(B187,C187)</f>
        <v/>
      </c>
      <c r="K187" s="127" t="str">
        <f t="shared" ref="K187:K193" si="113">IF(OR(H187="",H187=0),L187,H187)</f>
        <v/>
      </c>
      <c r="L187" s="127" t="str">
        <f>IF(NOT(ISERROR(VLOOKUP(B187,Deflatores!G$42:H$64,2,FALSE))),VLOOKUP(B187,Deflatores!G$42:H$64,2,FALSE),IF(OR(ISBLANK(C187),ISBLANK(B187)),"",VLOOKUP(C187,Deflatores!G$4:H$38,2,FALSE)*H187+VLOOKUP(C187,Deflatores!G$4:I$38,3,FALSE)))</f>
        <v/>
      </c>
      <c r="M187" s="10"/>
      <c r="N187" s="10"/>
      <c r="O187" s="6"/>
    </row>
    <row r="188" spans="1:15" x14ac:dyDescent="0.25">
      <c r="A188" s="179" t="s">
        <v>204</v>
      </c>
      <c r="B188" s="4" t="s">
        <v>45</v>
      </c>
      <c r="C188" s="4" t="s">
        <v>50</v>
      </c>
      <c r="D188" s="7">
        <v>20</v>
      </c>
      <c r="E188" s="7">
        <v>5</v>
      </c>
      <c r="F188" s="116" t="str">
        <f t="shared" si="108"/>
        <v>Alta</v>
      </c>
      <c r="G188" s="7" t="str">
        <f t="shared" si="109"/>
        <v>EEH</v>
      </c>
      <c r="H188" s="7">
        <f t="shared" si="110"/>
        <v>6</v>
      </c>
      <c r="I188" s="116" t="str">
        <f t="shared" si="111"/>
        <v>H</v>
      </c>
      <c r="J188" s="7" t="str">
        <f t="shared" si="112"/>
        <v>EEI</v>
      </c>
      <c r="K188" s="127">
        <f t="shared" si="113"/>
        <v>6</v>
      </c>
      <c r="L188" s="127">
        <f>IF(NOT(ISERROR(VLOOKUP(B188,Deflatores!G$42:H$64,2,FALSE))),VLOOKUP(B188,Deflatores!G$42:H$64,2,FALSE),IF(OR(ISBLANK(C188),ISBLANK(B188)),"",VLOOKUP(C188,Deflatores!G$4:H$38,2,FALSE)*H188+VLOOKUP(C188,Deflatores!G$4:I$38,3,FALSE)))</f>
        <v>6</v>
      </c>
      <c r="M188" s="10"/>
      <c r="N188" s="10"/>
      <c r="O188" s="6"/>
    </row>
    <row r="189" spans="1:15" x14ac:dyDescent="0.25">
      <c r="A189" s="180" t="s">
        <v>205</v>
      </c>
      <c r="B189" s="4" t="s">
        <v>52</v>
      </c>
      <c r="C189" s="4" t="s">
        <v>50</v>
      </c>
      <c r="D189" s="7">
        <v>5</v>
      </c>
      <c r="E189" s="7">
        <v>1</v>
      </c>
      <c r="F189" s="116" t="str">
        <f t="shared" si="108"/>
        <v>Baixa</v>
      </c>
      <c r="G189" s="7" t="str">
        <f t="shared" si="109"/>
        <v>CEL</v>
      </c>
      <c r="H189" s="7">
        <f t="shared" si="110"/>
        <v>3</v>
      </c>
      <c r="I189" s="116" t="str">
        <f t="shared" si="111"/>
        <v>L</v>
      </c>
      <c r="J189" s="7" t="str">
        <f t="shared" si="112"/>
        <v>CEI</v>
      </c>
      <c r="K189" s="127">
        <f t="shared" si="113"/>
        <v>3</v>
      </c>
      <c r="L189" s="127">
        <f>IF(NOT(ISERROR(VLOOKUP(B189,Deflatores!G$42:H$64,2,FALSE))),VLOOKUP(B189,Deflatores!G$42:H$64,2,FALSE),IF(OR(ISBLANK(C189),ISBLANK(B189)),"",VLOOKUP(C189,Deflatores!G$4:H$38,2,FALSE)*H189+VLOOKUP(C189,Deflatores!G$4:I$38,3,FALSE)))</f>
        <v>3</v>
      </c>
      <c r="M189" s="10"/>
      <c r="N189" s="10"/>
      <c r="O189" s="6"/>
    </row>
    <row r="190" spans="1:15" x14ac:dyDescent="0.25">
      <c r="A190" s="179" t="s">
        <v>206</v>
      </c>
      <c r="B190" s="4" t="s">
        <v>45</v>
      </c>
      <c r="C190" s="4" t="s">
        <v>50</v>
      </c>
      <c r="D190" s="7">
        <v>14</v>
      </c>
      <c r="E190" s="7">
        <v>5</v>
      </c>
      <c r="F190" s="116" t="str">
        <f t="shared" si="108"/>
        <v>Alta</v>
      </c>
      <c r="G190" s="7" t="str">
        <f t="shared" si="109"/>
        <v>EEH</v>
      </c>
      <c r="H190" s="7">
        <f t="shared" si="110"/>
        <v>6</v>
      </c>
      <c r="I190" s="116" t="str">
        <f t="shared" si="111"/>
        <v>H</v>
      </c>
      <c r="J190" s="7" t="str">
        <f t="shared" si="112"/>
        <v>EEI</v>
      </c>
      <c r="K190" s="127">
        <f t="shared" si="113"/>
        <v>6</v>
      </c>
      <c r="L190" s="127">
        <f>IF(NOT(ISERROR(VLOOKUP(B190,Deflatores!G$42:H$64,2,FALSE))),VLOOKUP(B190,Deflatores!G$42:H$64,2,FALSE),IF(OR(ISBLANK(C190),ISBLANK(B190)),"",VLOOKUP(C190,Deflatores!G$4:H$38,2,FALSE)*H190+VLOOKUP(C190,Deflatores!G$4:I$38,3,FALSE)))</f>
        <v>6</v>
      </c>
      <c r="M190" s="10"/>
      <c r="N190" s="10"/>
      <c r="O190" s="6"/>
    </row>
    <row r="191" spans="1:15" s="134" customFormat="1" x14ac:dyDescent="0.25">
      <c r="A191" s="180" t="s">
        <v>207</v>
      </c>
      <c r="B191" s="4" t="s">
        <v>52</v>
      </c>
      <c r="C191" s="4" t="s">
        <v>50</v>
      </c>
      <c r="D191" s="7">
        <v>17</v>
      </c>
      <c r="E191" s="7">
        <v>4</v>
      </c>
      <c r="F191" s="116" t="str">
        <f t="shared" si="108"/>
        <v>Alta</v>
      </c>
      <c r="G191" s="7" t="str">
        <f t="shared" si="109"/>
        <v>CEH</v>
      </c>
      <c r="H191" s="7">
        <f t="shared" si="110"/>
        <v>6</v>
      </c>
      <c r="I191" s="116" t="str">
        <f t="shared" si="111"/>
        <v>H</v>
      </c>
      <c r="J191" s="7" t="str">
        <f t="shared" si="112"/>
        <v>CEI</v>
      </c>
      <c r="K191" s="127">
        <f t="shared" si="113"/>
        <v>6</v>
      </c>
      <c r="L191" s="127">
        <f>IF(NOT(ISERROR(VLOOKUP(B191,Deflatores!G$42:H$64,2,FALSE))),VLOOKUP(B191,Deflatores!G$42:H$64,2,FALSE),IF(OR(ISBLANK(C191),ISBLANK(B191)),"",VLOOKUP(C191,Deflatores!G$4:H$38,2,FALSE)*H191+VLOOKUP(C191,Deflatores!G$4:I$38,3,FALSE)))</f>
        <v>6</v>
      </c>
      <c r="M191" s="132"/>
      <c r="N191" s="132"/>
      <c r="O191" s="133"/>
    </row>
    <row r="192" spans="1:15" x14ac:dyDescent="0.25">
      <c r="A192" s="179" t="s">
        <v>208</v>
      </c>
      <c r="B192" s="4" t="s">
        <v>52</v>
      </c>
      <c r="C192" s="4" t="s">
        <v>50</v>
      </c>
      <c r="D192" s="7">
        <v>17</v>
      </c>
      <c r="E192" s="7">
        <v>4</v>
      </c>
      <c r="F192" s="116" t="str">
        <f t="shared" si="108"/>
        <v>Alta</v>
      </c>
      <c r="G192" s="7" t="str">
        <f t="shared" si="109"/>
        <v>CEH</v>
      </c>
      <c r="H192" s="7">
        <f t="shared" si="110"/>
        <v>6</v>
      </c>
      <c r="I192" s="116" t="str">
        <f t="shared" si="111"/>
        <v>H</v>
      </c>
      <c r="J192" s="7" t="str">
        <f t="shared" si="112"/>
        <v>CEI</v>
      </c>
      <c r="K192" s="127">
        <f t="shared" si="113"/>
        <v>6</v>
      </c>
      <c r="L192" s="127">
        <f>IF(NOT(ISERROR(VLOOKUP(B192,Deflatores!G$42:H$64,2,FALSE))),VLOOKUP(B192,Deflatores!G$42:H$64,2,FALSE),IF(OR(ISBLANK(C192),ISBLANK(B192)),"",VLOOKUP(C192,Deflatores!G$4:H$38,2,FALSE)*H192+VLOOKUP(C192,Deflatores!G$4:I$38,3,FALSE)))</f>
        <v>6</v>
      </c>
      <c r="M192" s="10"/>
      <c r="N192" s="10"/>
      <c r="O192" s="6"/>
    </row>
    <row r="193" spans="1:15" x14ac:dyDescent="0.25">
      <c r="A193" s="179"/>
      <c r="B193" s="4"/>
      <c r="C193" s="4"/>
      <c r="D193" s="7"/>
      <c r="E193" s="7"/>
      <c r="F193" s="116" t="str">
        <f t="shared" si="108"/>
        <v/>
      </c>
      <c r="G193" s="7" t="str">
        <f t="shared" si="109"/>
        <v/>
      </c>
      <c r="H193" s="7" t="str">
        <f t="shared" si="110"/>
        <v/>
      </c>
      <c r="I193" s="116" t="str">
        <f t="shared" si="111"/>
        <v/>
      </c>
      <c r="J193" s="7" t="str">
        <f t="shared" si="112"/>
        <v/>
      </c>
      <c r="K193" s="127" t="str">
        <f t="shared" si="113"/>
        <v/>
      </c>
      <c r="L193" s="127" t="str">
        <f>IF(NOT(ISERROR(VLOOKUP(B193,Deflatores!G$42:H$64,2,FALSE))),VLOOKUP(B193,Deflatores!G$42:H$64,2,FALSE),IF(OR(ISBLANK(C193),ISBLANK(B193)),"",VLOOKUP(C193,Deflatores!G$4:H$38,2,FALSE)*H193+VLOOKUP(C193,Deflatores!G$4:I$38,3,FALSE)))</f>
        <v/>
      </c>
      <c r="M193" s="10"/>
      <c r="N193" s="10"/>
      <c r="O193" s="6"/>
    </row>
    <row r="194" spans="1:15" x14ac:dyDescent="0.25">
      <c r="A194" s="181" t="s">
        <v>209</v>
      </c>
      <c r="B194" s="4"/>
      <c r="C194" s="4"/>
      <c r="D194" s="7"/>
      <c r="E194" s="7"/>
      <c r="F194" s="116" t="str">
        <f t="shared" si="90"/>
        <v/>
      </c>
      <c r="G194" s="7" t="str">
        <f t="shared" si="91"/>
        <v/>
      </c>
      <c r="H194" s="7" t="str">
        <f t="shared" si="92"/>
        <v/>
      </c>
      <c r="I194" s="116" t="str">
        <f t="shared" si="93"/>
        <v/>
      </c>
      <c r="J194" s="7" t="str">
        <f t="shared" si="94"/>
        <v/>
      </c>
      <c r="K194" s="127" t="str">
        <f t="shared" si="95"/>
        <v/>
      </c>
      <c r="L194" s="127" t="str">
        <f>IF(NOT(ISERROR(VLOOKUP(B194,Deflatores!G$42:H$64,2,FALSE))),VLOOKUP(B194,Deflatores!G$42:H$64,2,FALSE),IF(OR(ISBLANK(C194),ISBLANK(B194)),"",VLOOKUP(C194,Deflatores!G$4:H$38,2,FALSE)*H194+VLOOKUP(C194,Deflatores!G$4:I$38,3,FALSE)))</f>
        <v/>
      </c>
      <c r="M194" s="10"/>
      <c r="N194" s="10"/>
      <c r="O194" s="6"/>
    </row>
    <row r="195" spans="1:15" x14ac:dyDescent="0.25">
      <c r="A195" s="179" t="s">
        <v>210</v>
      </c>
      <c r="B195" s="4" t="s">
        <v>181</v>
      </c>
      <c r="C195" s="4" t="s">
        <v>50</v>
      </c>
      <c r="D195" s="7">
        <v>9</v>
      </c>
      <c r="E195" s="7">
        <v>2</v>
      </c>
      <c r="F195" s="116" t="str">
        <f t="shared" si="90"/>
        <v>Média</v>
      </c>
      <c r="G195" s="7" t="str">
        <f t="shared" si="91"/>
        <v>SEA</v>
      </c>
      <c r="H195" s="7">
        <f t="shared" si="92"/>
        <v>5</v>
      </c>
      <c r="I195" s="116" t="str">
        <f t="shared" si="93"/>
        <v>A</v>
      </c>
      <c r="J195" s="7" t="str">
        <f t="shared" si="94"/>
        <v>SEI</v>
      </c>
      <c r="K195" s="127">
        <f t="shared" si="95"/>
        <v>5</v>
      </c>
      <c r="L195" s="127">
        <f>IF(NOT(ISERROR(VLOOKUP(B195,Deflatores!G$42:H$64,2,FALSE))),VLOOKUP(B195,Deflatores!G$42:H$64,2,FALSE),IF(OR(ISBLANK(C195),ISBLANK(B195)),"",VLOOKUP(C195,Deflatores!G$4:H$38,2,FALSE)*H195+VLOOKUP(C195,Deflatores!G$4:I$38,3,FALSE)))</f>
        <v>5</v>
      </c>
      <c r="M195" s="10"/>
      <c r="N195" s="10"/>
      <c r="O195" s="6"/>
    </row>
    <row r="196" spans="1:15" x14ac:dyDescent="0.25">
      <c r="A196" s="180" t="s">
        <v>211</v>
      </c>
      <c r="B196" s="4" t="s">
        <v>52</v>
      </c>
      <c r="C196" s="4" t="s">
        <v>50</v>
      </c>
      <c r="D196" s="7">
        <v>3</v>
      </c>
      <c r="E196" s="7">
        <v>1</v>
      </c>
      <c r="F196" s="116" t="str">
        <f t="shared" si="90"/>
        <v>Baixa</v>
      </c>
      <c r="G196" s="7" t="str">
        <f t="shared" si="91"/>
        <v>CEL</v>
      </c>
      <c r="H196" s="7">
        <f t="shared" si="92"/>
        <v>3</v>
      </c>
      <c r="I196" s="116" t="str">
        <f t="shared" si="93"/>
        <v>L</v>
      </c>
      <c r="J196" s="7" t="str">
        <f t="shared" si="94"/>
        <v>CEI</v>
      </c>
      <c r="K196" s="127">
        <f t="shared" si="95"/>
        <v>3</v>
      </c>
      <c r="L196" s="127">
        <f>IF(NOT(ISERROR(VLOOKUP(B196,Deflatores!G$42:H$64,2,FALSE))),VLOOKUP(B196,Deflatores!G$42:H$64,2,FALSE),IF(OR(ISBLANK(C196),ISBLANK(B196)),"",VLOOKUP(C196,Deflatores!G$4:H$38,2,FALSE)*H196+VLOOKUP(C196,Deflatores!G$4:I$38,3,FALSE)))</f>
        <v>3</v>
      </c>
      <c r="M196" s="10"/>
      <c r="N196" s="10"/>
      <c r="O196" s="6"/>
    </row>
    <row r="197" spans="1:15" x14ac:dyDescent="0.25">
      <c r="A197" s="179" t="s">
        <v>212</v>
      </c>
      <c r="B197" s="4" t="s">
        <v>45</v>
      </c>
      <c r="C197" s="4" t="s">
        <v>50</v>
      </c>
      <c r="D197" s="7">
        <v>3</v>
      </c>
      <c r="E197" s="7">
        <v>2</v>
      </c>
      <c r="F197" s="116" t="str">
        <f t="shared" si="90"/>
        <v>Baixa</v>
      </c>
      <c r="G197" s="7" t="str">
        <f t="shared" si="91"/>
        <v>EEL</v>
      </c>
      <c r="H197" s="7">
        <f t="shared" si="92"/>
        <v>3</v>
      </c>
      <c r="I197" s="116" t="str">
        <f t="shared" si="93"/>
        <v>L</v>
      </c>
      <c r="J197" s="7" t="str">
        <f t="shared" si="94"/>
        <v>EEI</v>
      </c>
      <c r="K197" s="127">
        <f t="shared" si="95"/>
        <v>3</v>
      </c>
      <c r="L197" s="127">
        <f>IF(NOT(ISERROR(VLOOKUP(B197,Deflatores!G$42:H$64,2,FALSE))),VLOOKUP(B197,Deflatores!G$42:H$64,2,FALSE),IF(OR(ISBLANK(C197),ISBLANK(B197)),"",VLOOKUP(C197,Deflatores!G$4:H$38,2,FALSE)*H197+VLOOKUP(C197,Deflatores!G$4:I$38,3,FALSE)))</f>
        <v>3</v>
      </c>
      <c r="M197" s="10"/>
      <c r="N197" s="10"/>
      <c r="O197" s="6"/>
    </row>
    <row r="198" spans="1:15" x14ac:dyDescent="0.25">
      <c r="A198" s="179" t="s">
        <v>213</v>
      </c>
      <c r="B198" s="4" t="s">
        <v>52</v>
      </c>
      <c r="C198" s="4" t="s">
        <v>50</v>
      </c>
      <c r="D198" s="7">
        <v>6</v>
      </c>
      <c r="E198" s="7">
        <v>2</v>
      </c>
      <c r="F198" s="116" t="str">
        <f>IF(ISBLANK(B198),"",IF(I198="L","Baixa",IF(I198="A","Média",IF(I198="","","Alta"))))</f>
        <v>Média</v>
      </c>
      <c r="G198" s="7" t="str">
        <f>CONCATENATE(B198,I198)</f>
        <v>CEA</v>
      </c>
      <c r="H198" s="7">
        <f>IF(ISBLANK(B198),"",IF(B198="ALI",IF(I198="L",7,IF(I198="A",10,15)),IF(B198="AIE",IF(I198="L",5,IF(I198="A",7,10)),IF(B198="SE",IF(I198="L",4,IF(I198="A",5,7)),IF(OR(B198="EE",B198="CE"),IF(I198="L",3,IF(I198="A",4,6)),0)))))</f>
        <v>4</v>
      </c>
      <c r="I198" s="116" t="str">
        <f>IF(OR(ISBLANK(D198),ISBLANK(E198)),IF(OR(B198="ALI",B198="AIE"),"L",IF(OR(B198="EE",B198="SE",B198="CE"),"A","")),IF(B198="EE",IF(E198&gt;=3,IF(D198&gt;=5,"H","A"),IF(E198&gt;=2,IF(D198&gt;=16,"H",IF(D198&lt;=4,"L","A")),IF(D198&lt;=15,"L","A"))),IF(OR(B198="SE",B198="CE"),IF(E198&gt;=4,IF(D198&gt;=6,"H","A"),IF(E198&gt;=2,IF(D198&gt;=20,"H",IF(D198&lt;=5,"L","A")),IF(D198&lt;=19,"L","A"))),IF(OR(B198="ALI",B198="AIE"),IF(E198&gt;=6,IF(D198&gt;=20,"H","A"),IF(E198&gt;=2,IF(D198&gt;=51,"H",IF(D198&lt;=19,"L","A")),IF(D198&lt;=50,"L","A"))),""))))</f>
        <v>A</v>
      </c>
      <c r="J198" s="7" t="str">
        <f>CONCATENATE(B198,C198)</f>
        <v>CEI</v>
      </c>
      <c r="K198" s="127">
        <f>IF(OR(H198="",H198=0),L198,H198)</f>
        <v>4</v>
      </c>
      <c r="L198" s="127">
        <f>IF(NOT(ISERROR(VLOOKUP(B198,Deflatores!G$42:H$64,2,FALSE))),VLOOKUP(B198,Deflatores!G$42:H$64,2,FALSE),IF(OR(ISBLANK(C198),ISBLANK(B198)),"",VLOOKUP(C198,Deflatores!G$4:H$38,2,FALSE)*H198+VLOOKUP(C198,Deflatores!G$4:I$38,3,FALSE)))</f>
        <v>4</v>
      </c>
      <c r="M198" s="10"/>
      <c r="N198" s="10"/>
      <c r="O198" s="6"/>
    </row>
    <row r="199" spans="1:15" x14ac:dyDescent="0.25">
      <c r="A199" s="179"/>
      <c r="B199" s="4"/>
      <c r="C199" s="4"/>
      <c r="D199" s="7"/>
      <c r="E199" s="7"/>
      <c r="F199" s="116" t="str">
        <f t="shared" si="90"/>
        <v/>
      </c>
      <c r="G199" s="7" t="str">
        <f t="shared" si="91"/>
        <v/>
      </c>
      <c r="H199" s="7" t="str">
        <f t="shared" si="92"/>
        <v/>
      </c>
      <c r="I199" s="116" t="str">
        <f t="shared" si="93"/>
        <v/>
      </c>
      <c r="J199" s="7" t="str">
        <f t="shared" si="94"/>
        <v/>
      </c>
      <c r="K199" s="127" t="str">
        <f t="shared" si="95"/>
        <v/>
      </c>
      <c r="L199" s="127" t="str">
        <f>IF(NOT(ISERROR(VLOOKUP(B199,Deflatores!G$42:H$64,2,FALSE))),VLOOKUP(B199,Deflatores!G$42:H$64,2,FALSE),IF(OR(ISBLANK(C199),ISBLANK(B199)),"",VLOOKUP(C199,Deflatores!G$4:H$38,2,FALSE)*H199+VLOOKUP(C199,Deflatores!G$4:I$38,3,FALSE)))</f>
        <v/>
      </c>
      <c r="M199" s="10"/>
      <c r="N199" s="10"/>
      <c r="O199" s="6"/>
    </row>
    <row r="200" spans="1:15" x14ac:dyDescent="0.25">
      <c r="A200" s="181" t="s">
        <v>214</v>
      </c>
      <c r="B200" s="4"/>
      <c r="C200" s="4"/>
      <c r="D200" s="7"/>
      <c r="E200" s="7"/>
      <c r="F200" s="116" t="str">
        <f t="shared" si="90"/>
        <v/>
      </c>
      <c r="G200" s="7" t="str">
        <f t="shared" si="91"/>
        <v/>
      </c>
      <c r="H200" s="7" t="str">
        <f t="shared" si="92"/>
        <v/>
      </c>
      <c r="I200" s="116" t="str">
        <f t="shared" si="93"/>
        <v/>
      </c>
      <c r="J200" s="7" t="str">
        <f t="shared" si="94"/>
        <v/>
      </c>
      <c r="K200" s="127" t="str">
        <f t="shared" si="95"/>
        <v/>
      </c>
      <c r="L200" s="127" t="str">
        <f>IF(NOT(ISERROR(VLOOKUP(B200,Deflatores!G$42:H$64,2,FALSE))),VLOOKUP(B200,Deflatores!G$42:H$64,2,FALSE),IF(OR(ISBLANK(C200),ISBLANK(B200)),"",VLOOKUP(C200,Deflatores!G$4:H$38,2,FALSE)*H200+VLOOKUP(C200,Deflatores!G$4:I$38,3,FALSE)))</f>
        <v/>
      </c>
      <c r="M200" s="10"/>
      <c r="N200" s="10"/>
      <c r="O200" s="6"/>
    </row>
    <row r="201" spans="1:15" x14ac:dyDescent="0.25">
      <c r="A201" s="179" t="s">
        <v>215</v>
      </c>
      <c r="B201" s="4" t="s">
        <v>52</v>
      </c>
      <c r="C201" s="4" t="s">
        <v>50</v>
      </c>
      <c r="D201" s="7">
        <v>12</v>
      </c>
      <c r="E201" s="7">
        <v>4</v>
      </c>
      <c r="F201" s="116" t="str">
        <f t="shared" si="90"/>
        <v>Alta</v>
      </c>
      <c r="G201" s="7" t="str">
        <f t="shared" si="91"/>
        <v>CEH</v>
      </c>
      <c r="H201" s="7">
        <f t="shared" si="92"/>
        <v>6</v>
      </c>
      <c r="I201" s="116" t="str">
        <f t="shared" si="93"/>
        <v>H</v>
      </c>
      <c r="J201" s="7" t="str">
        <f t="shared" si="94"/>
        <v>CEI</v>
      </c>
      <c r="K201" s="127">
        <f t="shared" si="95"/>
        <v>6</v>
      </c>
      <c r="L201" s="127">
        <f>IF(NOT(ISERROR(VLOOKUP(B201,Deflatores!G$42:H$64,2,FALSE))),VLOOKUP(B201,Deflatores!G$42:H$64,2,FALSE),IF(OR(ISBLANK(C201),ISBLANK(B201)),"",VLOOKUP(C201,Deflatores!G$4:H$38,2,FALSE)*H201+VLOOKUP(C201,Deflatores!G$4:I$38,3,FALSE)))</f>
        <v>6</v>
      </c>
      <c r="M201" s="10"/>
      <c r="N201" s="10"/>
      <c r="O201" s="6"/>
    </row>
    <row r="202" spans="1:15" x14ac:dyDescent="0.25">
      <c r="A202" s="179" t="s">
        <v>216</v>
      </c>
      <c r="B202" s="4" t="s">
        <v>45</v>
      </c>
      <c r="C202" s="4" t="s">
        <v>50</v>
      </c>
      <c r="D202" s="7">
        <v>3</v>
      </c>
      <c r="E202" s="7">
        <v>1</v>
      </c>
      <c r="F202" s="116" t="str">
        <f t="shared" si="90"/>
        <v>Baixa</v>
      </c>
      <c r="G202" s="7" t="str">
        <f t="shared" si="91"/>
        <v>EEL</v>
      </c>
      <c r="H202" s="7">
        <f t="shared" si="92"/>
        <v>3</v>
      </c>
      <c r="I202" s="116" t="str">
        <f t="shared" si="93"/>
        <v>L</v>
      </c>
      <c r="J202" s="7" t="str">
        <f t="shared" si="94"/>
        <v>EEI</v>
      </c>
      <c r="K202" s="127">
        <f t="shared" si="95"/>
        <v>3</v>
      </c>
      <c r="L202" s="127">
        <f>IF(NOT(ISERROR(VLOOKUP(B202,Deflatores!G$42:H$64,2,FALSE))),VLOOKUP(B202,Deflatores!G$42:H$64,2,FALSE),IF(OR(ISBLANK(C202),ISBLANK(B202)),"",VLOOKUP(C202,Deflatores!G$4:H$38,2,FALSE)*H202+VLOOKUP(C202,Deflatores!G$4:I$38,3,FALSE)))</f>
        <v>3</v>
      </c>
      <c r="M202" s="10"/>
      <c r="N202" s="10"/>
      <c r="O202" s="6"/>
    </row>
    <row r="203" spans="1:15" x14ac:dyDescent="0.25">
      <c r="A203" s="179" t="s">
        <v>204</v>
      </c>
      <c r="B203" s="4" t="s">
        <v>45</v>
      </c>
      <c r="C203" s="4" t="s">
        <v>50</v>
      </c>
      <c r="D203" s="7">
        <v>18</v>
      </c>
      <c r="E203" s="7">
        <v>4</v>
      </c>
      <c r="F203" s="116" t="str">
        <f t="shared" si="90"/>
        <v>Alta</v>
      </c>
      <c r="G203" s="7" t="str">
        <f t="shared" si="91"/>
        <v>EEH</v>
      </c>
      <c r="H203" s="7">
        <f t="shared" si="92"/>
        <v>6</v>
      </c>
      <c r="I203" s="116" t="str">
        <f t="shared" si="93"/>
        <v>H</v>
      </c>
      <c r="J203" s="7" t="str">
        <f t="shared" si="94"/>
        <v>EEI</v>
      </c>
      <c r="K203" s="127">
        <f t="shared" si="95"/>
        <v>6</v>
      </c>
      <c r="L203" s="127">
        <f>IF(NOT(ISERROR(VLOOKUP(B203,Deflatores!G$42:H$64,2,FALSE))),VLOOKUP(B203,Deflatores!G$42:H$64,2,FALSE),IF(OR(ISBLANK(C203),ISBLANK(B203)),"",VLOOKUP(C203,Deflatores!G$4:H$38,2,FALSE)*H203+VLOOKUP(C203,Deflatores!G$4:I$38,3,FALSE)))</f>
        <v>6</v>
      </c>
      <c r="M203" s="10"/>
      <c r="N203" s="10"/>
      <c r="O203" s="6"/>
    </row>
    <row r="204" spans="1:15" x14ac:dyDescent="0.25">
      <c r="A204" s="179" t="s">
        <v>217</v>
      </c>
      <c r="B204" s="4" t="s">
        <v>45</v>
      </c>
      <c r="C204" s="4" t="s">
        <v>50</v>
      </c>
      <c r="D204" s="7">
        <v>18</v>
      </c>
      <c r="E204" s="7">
        <v>4</v>
      </c>
      <c r="F204" s="116" t="str">
        <f t="shared" si="90"/>
        <v>Alta</v>
      </c>
      <c r="G204" s="7" t="str">
        <f t="shared" si="91"/>
        <v>EEH</v>
      </c>
      <c r="H204" s="7">
        <f t="shared" si="92"/>
        <v>6</v>
      </c>
      <c r="I204" s="116" t="str">
        <f t="shared" si="93"/>
        <v>H</v>
      </c>
      <c r="J204" s="7" t="str">
        <f t="shared" si="94"/>
        <v>EEI</v>
      </c>
      <c r="K204" s="127">
        <f t="shared" si="95"/>
        <v>6</v>
      </c>
      <c r="L204" s="127">
        <f>IF(NOT(ISERROR(VLOOKUP(B204,Deflatores!G$42:H$64,2,FALSE))),VLOOKUP(B204,Deflatores!G$42:H$64,2,FALSE),IF(OR(ISBLANK(C204),ISBLANK(B204)),"",VLOOKUP(C204,Deflatores!G$4:H$38,2,FALSE)*H204+VLOOKUP(C204,Deflatores!G$4:I$38,3,FALSE)))</f>
        <v>6</v>
      </c>
      <c r="M204" s="10"/>
      <c r="N204" s="10"/>
      <c r="O204" s="6"/>
    </row>
    <row r="205" spans="1:15" x14ac:dyDescent="0.25">
      <c r="A205" s="180" t="s">
        <v>218</v>
      </c>
      <c r="B205" s="4" t="s">
        <v>52</v>
      </c>
      <c r="C205" s="4" t="s">
        <v>50</v>
      </c>
      <c r="D205" s="7">
        <v>18</v>
      </c>
      <c r="E205" s="7">
        <v>4</v>
      </c>
      <c r="F205" s="116" t="str">
        <f t="shared" si="90"/>
        <v>Alta</v>
      </c>
      <c r="G205" s="7" t="str">
        <f t="shared" si="91"/>
        <v>CEH</v>
      </c>
      <c r="H205" s="7">
        <f t="shared" si="92"/>
        <v>6</v>
      </c>
      <c r="I205" s="116" t="str">
        <f t="shared" si="93"/>
        <v>H</v>
      </c>
      <c r="J205" s="7" t="str">
        <f t="shared" si="94"/>
        <v>CEI</v>
      </c>
      <c r="K205" s="127">
        <f t="shared" si="95"/>
        <v>6</v>
      </c>
      <c r="L205" s="127">
        <f>IF(NOT(ISERROR(VLOOKUP(B205,Deflatores!G$42:H$64,2,FALSE))),VLOOKUP(B205,Deflatores!G$42:H$64,2,FALSE),IF(OR(ISBLANK(C205),ISBLANK(B205)),"",VLOOKUP(C205,Deflatores!G$4:H$38,2,FALSE)*H205+VLOOKUP(C205,Deflatores!G$4:I$38,3,FALSE)))</f>
        <v>6</v>
      </c>
      <c r="M205" s="10"/>
      <c r="N205" s="10"/>
      <c r="O205" s="6"/>
    </row>
    <row r="206" spans="1:15" x14ac:dyDescent="0.25">
      <c r="A206" s="179"/>
      <c r="B206" s="4"/>
      <c r="C206" s="4"/>
      <c r="D206" s="7"/>
      <c r="E206" s="7"/>
      <c r="F206" s="116" t="str">
        <f t="shared" si="90"/>
        <v/>
      </c>
      <c r="G206" s="7" t="str">
        <f t="shared" si="91"/>
        <v/>
      </c>
      <c r="H206" s="7" t="str">
        <f t="shared" si="92"/>
        <v/>
      </c>
      <c r="I206" s="116" t="str">
        <f t="shared" si="93"/>
        <v/>
      </c>
      <c r="J206" s="7" t="str">
        <f t="shared" si="94"/>
        <v/>
      </c>
      <c r="K206" s="127" t="str">
        <f t="shared" si="95"/>
        <v/>
      </c>
      <c r="L206" s="127" t="str">
        <f>IF(NOT(ISERROR(VLOOKUP(B206,Deflatores!G$42:H$64,2,FALSE))),VLOOKUP(B206,Deflatores!G$42:H$64,2,FALSE),IF(OR(ISBLANK(C206),ISBLANK(B206)),"",VLOOKUP(C206,Deflatores!G$4:H$38,2,FALSE)*H206+VLOOKUP(C206,Deflatores!G$4:I$38,3,FALSE)))</f>
        <v/>
      </c>
      <c r="M206" s="10"/>
      <c r="N206" s="10"/>
      <c r="O206" s="6"/>
    </row>
    <row r="207" spans="1:15" x14ac:dyDescent="0.25">
      <c r="A207" s="181" t="s">
        <v>219</v>
      </c>
      <c r="B207" s="4"/>
      <c r="C207" s="4"/>
      <c r="D207" s="7"/>
      <c r="E207" s="7"/>
      <c r="F207" s="116" t="str">
        <f t="shared" si="90"/>
        <v/>
      </c>
      <c r="G207" s="7" t="str">
        <f t="shared" si="91"/>
        <v/>
      </c>
      <c r="H207" s="7" t="str">
        <f t="shared" si="92"/>
        <v/>
      </c>
      <c r="I207" s="116" t="str">
        <f t="shared" si="93"/>
        <v/>
      </c>
      <c r="J207" s="7" t="str">
        <f t="shared" si="94"/>
        <v/>
      </c>
      <c r="K207" s="127" t="str">
        <f t="shared" si="95"/>
        <v/>
      </c>
      <c r="L207" s="127" t="str">
        <f>IF(NOT(ISERROR(VLOOKUP(B207,Deflatores!G$42:H$64,2,FALSE))),VLOOKUP(B207,Deflatores!G$42:H$64,2,FALSE),IF(OR(ISBLANK(C207),ISBLANK(B207)),"",VLOOKUP(C207,Deflatores!G$4:H$38,2,FALSE)*H207+VLOOKUP(C207,Deflatores!G$4:I$38,3,FALSE)))</f>
        <v/>
      </c>
      <c r="M207" s="10"/>
      <c r="N207" s="10"/>
      <c r="O207" s="6"/>
    </row>
    <row r="208" spans="1:15" x14ac:dyDescent="0.25">
      <c r="A208" s="179" t="s">
        <v>220</v>
      </c>
      <c r="B208" s="4" t="s">
        <v>45</v>
      </c>
      <c r="C208" s="4" t="s">
        <v>50</v>
      </c>
      <c r="D208" s="7">
        <v>27</v>
      </c>
      <c r="E208" s="7">
        <v>4</v>
      </c>
      <c r="F208" s="116" t="str">
        <f t="shared" si="90"/>
        <v>Alta</v>
      </c>
      <c r="G208" s="7" t="str">
        <f t="shared" si="91"/>
        <v>EEH</v>
      </c>
      <c r="H208" s="7">
        <f t="shared" si="92"/>
        <v>6</v>
      </c>
      <c r="I208" s="116" t="str">
        <f t="shared" si="93"/>
        <v>H</v>
      </c>
      <c r="J208" s="7" t="str">
        <f t="shared" si="94"/>
        <v>EEI</v>
      </c>
      <c r="K208" s="127">
        <f t="shared" si="95"/>
        <v>6</v>
      </c>
      <c r="L208" s="127">
        <f>IF(NOT(ISERROR(VLOOKUP(B208,Deflatores!G$42:H$64,2,FALSE))),VLOOKUP(B208,Deflatores!G$42:H$64,2,FALSE),IF(OR(ISBLANK(C208),ISBLANK(B208)),"",VLOOKUP(C208,Deflatores!G$4:H$38,2,FALSE)*H208+VLOOKUP(C208,Deflatores!G$4:I$38,3,FALSE)))</f>
        <v>6</v>
      </c>
      <c r="M208" s="10"/>
      <c r="N208" s="10"/>
      <c r="O208" s="6"/>
    </row>
    <row r="209" spans="1:15" x14ac:dyDescent="0.25">
      <c r="A209" s="179" t="s">
        <v>221</v>
      </c>
      <c r="B209" s="4" t="s">
        <v>45</v>
      </c>
      <c r="C209" s="4" t="s">
        <v>50</v>
      </c>
      <c r="D209" s="7">
        <v>27</v>
      </c>
      <c r="E209" s="7">
        <v>4</v>
      </c>
      <c r="F209" s="116" t="str">
        <f t="shared" si="90"/>
        <v>Alta</v>
      </c>
      <c r="G209" s="7" t="str">
        <f t="shared" si="91"/>
        <v>EEH</v>
      </c>
      <c r="H209" s="7">
        <f t="shared" si="92"/>
        <v>6</v>
      </c>
      <c r="I209" s="116" t="str">
        <f t="shared" si="93"/>
        <v>H</v>
      </c>
      <c r="J209" s="7" t="str">
        <f t="shared" si="94"/>
        <v>EEI</v>
      </c>
      <c r="K209" s="127">
        <f t="shared" si="95"/>
        <v>6</v>
      </c>
      <c r="L209" s="127">
        <f>IF(NOT(ISERROR(VLOOKUP(B209,Deflatores!G$42:H$64,2,FALSE))),VLOOKUP(B209,Deflatores!G$42:H$64,2,FALSE),IF(OR(ISBLANK(C209),ISBLANK(B209)),"",VLOOKUP(C209,Deflatores!G$4:H$38,2,FALSE)*H209+VLOOKUP(C209,Deflatores!G$4:I$38,3,FALSE)))</f>
        <v>6</v>
      </c>
      <c r="M209" s="10"/>
      <c r="N209" s="10"/>
      <c r="O209" s="6"/>
    </row>
    <row r="210" spans="1:15" x14ac:dyDescent="0.25">
      <c r="A210" s="180" t="s">
        <v>222</v>
      </c>
      <c r="B210" s="4" t="s">
        <v>52</v>
      </c>
      <c r="C210" s="4" t="s">
        <v>50</v>
      </c>
      <c r="D210" s="7">
        <v>25</v>
      </c>
      <c r="E210" s="7">
        <v>4</v>
      </c>
      <c r="F210" s="116" t="str">
        <f t="shared" si="90"/>
        <v>Alta</v>
      </c>
      <c r="G210" s="7" t="str">
        <f t="shared" si="91"/>
        <v>CEH</v>
      </c>
      <c r="H210" s="7">
        <f t="shared" si="92"/>
        <v>6</v>
      </c>
      <c r="I210" s="116" t="str">
        <f t="shared" si="93"/>
        <v>H</v>
      </c>
      <c r="J210" s="7" t="str">
        <f t="shared" si="94"/>
        <v>CEI</v>
      </c>
      <c r="K210" s="127">
        <f t="shared" si="95"/>
        <v>6</v>
      </c>
      <c r="L210" s="127">
        <f>IF(NOT(ISERROR(VLOOKUP(B210,Deflatores!G$42:H$64,2,FALSE))),VLOOKUP(B210,Deflatores!G$42:H$64,2,FALSE),IF(OR(ISBLANK(C210),ISBLANK(B210)),"",VLOOKUP(C210,Deflatores!G$4:H$38,2,FALSE)*H210+VLOOKUP(C210,Deflatores!G$4:I$38,3,FALSE)))</f>
        <v>6</v>
      </c>
      <c r="M210" s="10"/>
      <c r="N210" s="10"/>
      <c r="O210" s="6"/>
    </row>
    <row r="211" spans="1:15" x14ac:dyDescent="0.25">
      <c r="A211" s="179" t="s">
        <v>223</v>
      </c>
      <c r="B211" s="4" t="s">
        <v>45</v>
      </c>
      <c r="C211" s="4" t="s">
        <v>50</v>
      </c>
      <c r="D211" s="7">
        <v>22</v>
      </c>
      <c r="E211" s="7">
        <v>4</v>
      </c>
      <c r="F211" s="116" t="str">
        <f t="shared" si="90"/>
        <v>Alta</v>
      </c>
      <c r="G211" s="7" t="str">
        <f t="shared" si="91"/>
        <v>EEH</v>
      </c>
      <c r="H211" s="7">
        <f t="shared" si="92"/>
        <v>6</v>
      </c>
      <c r="I211" s="116" t="str">
        <f t="shared" si="93"/>
        <v>H</v>
      </c>
      <c r="J211" s="7" t="str">
        <f t="shared" si="94"/>
        <v>EEI</v>
      </c>
      <c r="K211" s="127">
        <f t="shared" si="95"/>
        <v>6</v>
      </c>
      <c r="L211" s="127">
        <f>IF(NOT(ISERROR(VLOOKUP(B211,Deflatores!G$42:H$64,2,FALSE))),VLOOKUP(B211,Deflatores!G$42:H$64,2,FALSE),IF(OR(ISBLANK(C211),ISBLANK(B211)),"",VLOOKUP(C211,Deflatores!G$4:H$38,2,FALSE)*H211+VLOOKUP(C211,Deflatores!G$4:I$38,3,FALSE)))</f>
        <v>6</v>
      </c>
      <c r="M211" s="10"/>
      <c r="N211" s="10"/>
      <c r="O211" s="6"/>
    </row>
    <row r="212" spans="1:15" x14ac:dyDescent="0.25">
      <c r="A212" s="179" t="s">
        <v>224</v>
      </c>
      <c r="B212" s="4" t="s">
        <v>45</v>
      </c>
      <c r="C212" s="4" t="s">
        <v>50</v>
      </c>
      <c r="D212" s="7">
        <v>22</v>
      </c>
      <c r="E212" s="7">
        <v>4</v>
      </c>
      <c r="F212" s="116" t="str">
        <f t="shared" si="90"/>
        <v>Alta</v>
      </c>
      <c r="G212" s="7" t="str">
        <f t="shared" si="91"/>
        <v>EEH</v>
      </c>
      <c r="H212" s="7">
        <f t="shared" si="92"/>
        <v>6</v>
      </c>
      <c r="I212" s="116" t="str">
        <f t="shared" si="93"/>
        <v>H</v>
      </c>
      <c r="J212" s="7" t="str">
        <f t="shared" si="94"/>
        <v>EEI</v>
      </c>
      <c r="K212" s="127">
        <f t="shared" si="95"/>
        <v>6</v>
      </c>
      <c r="L212" s="127">
        <f>IF(NOT(ISERROR(VLOOKUP(B212,Deflatores!G$42:H$64,2,FALSE))),VLOOKUP(B212,Deflatores!G$42:H$64,2,FALSE),IF(OR(ISBLANK(C212),ISBLANK(B212)),"",VLOOKUP(C212,Deflatores!G$4:H$38,2,FALSE)*H212+VLOOKUP(C212,Deflatores!G$4:I$38,3,FALSE)))</f>
        <v>6</v>
      </c>
      <c r="M212" s="10"/>
      <c r="N212" s="10"/>
      <c r="O212" s="6"/>
    </row>
    <row r="213" spans="1:15" x14ac:dyDescent="0.25">
      <c r="A213" s="180" t="s">
        <v>225</v>
      </c>
      <c r="B213" s="4" t="s">
        <v>52</v>
      </c>
      <c r="C213" s="4" t="s">
        <v>50</v>
      </c>
      <c r="D213" s="7">
        <v>20</v>
      </c>
      <c r="E213" s="7">
        <v>4</v>
      </c>
      <c r="F213" s="116" t="str">
        <f t="shared" si="90"/>
        <v>Alta</v>
      </c>
      <c r="G213" s="7" t="str">
        <f t="shared" si="91"/>
        <v>CEH</v>
      </c>
      <c r="H213" s="7">
        <f t="shared" si="92"/>
        <v>6</v>
      </c>
      <c r="I213" s="116" t="str">
        <f t="shared" si="93"/>
        <v>H</v>
      </c>
      <c r="J213" s="7" t="str">
        <f t="shared" si="94"/>
        <v>CEI</v>
      </c>
      <c r="K213" s="127">
        <f t="shared" si="95"/>
        <v>6</v>
      </c>
      <c r="L213" s="127">
        <f>IF(NOT(ISERROR(VLOOKUP(B213,Deflatores!G$42:H$64,2,FALSE))),VLOOKUP(B213,Deflatores!G$42:H$64,2,FALSE),IF(OR(ISBLANK(C213),ISBLANK(B213)),"",VLOOKUP(C213,Deflatores!G$4:H$38,2,FALSE)*H213+VLOOKUP(C213,Deflatores!G$4:I$38,3,FALSE)))</f>
        <v>6</v>
      </c>
      <c r="M213" s="10"/>
      <c r="N213" s="10"/>
      <c r="O213" s="6"/>
    </row>
    <row r="214" spans="1:15" x14ac:dyDescent="0.25">
      <c r="A214" s="179"/>
      <c r="B214" s="4"/>
      <c r="C214" s="4"/>
      <c r="D214" s="7"/>
      <c r="E214" s="7"/>
      <c r="F214" s="116" t="str">
        <f t="shared" si="90"/>
        <v/>
      </c>
      <c r="G214" s="7" t="str">
        <f t="shared" si="91"/>
        <v/>
      </c>
      <c r="H214" s="7" t="str">
        <f t="shared" si="92"/>
        <v/>
      </c>
      <c r="I214" s="116" t="str">
        <f t="shared" si="93"/>
        <v/>
      </c>
      <c r="J214" s="7" t="str">
        <f t="shared" si="94"/>
        <v/>
      </c>
      <c r="K214" s="127" t="str">
        <f t="shared" si="95"/>
        <v/>
      </c>
      <c r="L214" s="127" t="str">
        <f>IF(NOT(ISERROR(VLOOKUP(B214,Deflatores!G$42:H$64,2,FALSE))),VLOOKUP(B214,Deflatores!G$42:H$64,2,FALSE),IF(OR(ISBLANK(C214),ISBLANK(B214)),"",VLOOKUP(C214,Deflatores!G$4:H$38,2,FALSE)*H214+VLOOKUP(C214,Deflatores!G$4:I$38,3,FALSE)))</f>
        <v/>
      </c>
      <c r="M214" s="10"/>
      <c r="N214" s="10"/>
      <c r="O214" s="6"/>
    </row>
    <row r="215" spans="1:15" x14ac:dyDescent="0.25">
      <c r="A215" s="181" t="s">
        <v>226</v>
      </c>
      <c r="B215" s="4"/>
      <c r="C215" s="4"/>
      <c r="D215" s="7"/>
      <c r="E215" s="7"/>
      <c r="F215" s="116" t="str">
        <f t="shared" si="90"/>
        <v/>
      </c>
      <c r="G215" s="7" t="str">
        <f t="shared" si="91"/>
        <v/>
      </c>
      <c r="H215" s="7" t="str">
        <f t="shared" si="92"/>
        <v/>
      </c>
      <c r="I215" s="116" t="str">
        <f t="shared" si="93"/>
        <v/>
      </c>
      <c r="J215" s="7" t="str">
        <f t="shared" si="94"/>
        <v/>
      </c>
      <c r="K215" s="127" t="str">
        <f t="shared" si="95"/>
        <v/>
      </c>
      <c r="L215" s="127" t="str">
        <f>IF(NOT(ISERROR(VLOOKUP(B215,Deflatores!G$42:H$64,2,FALSE))),VLOOKUP(B215,Deflatores!G$42:H$64,2,FALSE),IF(OR(ISBLANK(C215),ISBLANK(B215)),"",VLOOKUP(C215,Deflatores!G$4:H$38,2,FALSE)*H215+VLOOKUP(C215,Deflatores!G$4:I$38,3,FALSE)))</f>
        <v/>
      </c>
      <c r="M215" s="10"/>
      <c r="N215" s="10"/>
      <c r="O215" s="6"/>
    </row>
    <row r="216" spans="1:15" x14ac:dyDescent="0.25">
      <c r="A216" s="179" t="s">
        <v>227</v>
      </c>
      <c r="B216" s="4" t="s">
        <v>45</v>
      </c>
      <c r="C216" s="4" t="s">
        <v>50</v>
      </c>
      <c r="D216" s="7">
        <v>16</v>
      </c>
      <c r="E216" s="7">
        <v>4</v>
      </c>
      <c r="F216" s="116" t="str">
        <f t="shared" si="90"/>
        <v>Alta</v>
      </c>
      <c r="G216" s="7" t="str">
        <f t="shared" si="91"/>
        <v>EEH</v>
      </c>
      <c r="H216" s="7">
        <f t="shared" si="92"/>
        <v>6</v>
      </c>
      <c r="I216" s="116" t="str">
        <f t="shared" si="93"/>
        <v>H</v>
      </c>
      <c r="J216" s="7" t="str">
        <f t="shared" si="94"/>
        <v>EEI</v>
      </c>
      <c r="K216" s="127">
        <f t="shared" si="95"/>
        <v>6</v>
      </c>
      <c r="L216" s="127">
        <f>IF(NOT(ISERROR(VLOOKUP(B216,Deflatores!G$42:H$64,2,FALSE))),VLOOKUP(B216,Deflatores!G$42:H$64,2,FALSE),IF(OR(ISBLANK(C216),ISBLANK(B216)),"",VLOOKUP(C216,Deflatores!G$4:H$38,2,FALSE)*H216+VLOOKUP(C216,Deflatores!G$4:I$38,3,FALSE)))</f>
        <v>6</v>
      </c>
      <c r="M216" s="10"/>
      <c r="N216" s="10"/>
      <c r="O216" s="6"/>
    </row>
    <row r="217" spans="1:15" x14ac:dyDescent="0.25">
      <c r="A217" s="179" t="s">
        <v>228</v>
      </c>
      <c r="B217" s="4" t="s">
        <v>45</v>
      </c>
      <c r="C217" s="4" t="s">
        <v>50</v>
      </c>
      <c r="D217" s="7">
        <v>16</v>
      </c>
      <c r="E217" s="7">
        <v>4</v>
      </c>
      <c r="F217" s="116" t="str">
        <f t="shared" si="90"/>
        <v>Alta</v>
      </c>
      <c r="G217" s="7" t="str">
        <f t="shared" si="91"/>
        <v>EEH</v>
      </c>
      <c r="H217" s="7">
        <f t="shared" si="92"/>
        <v>6</v>
      </c>
      <c r="I217" s="116" t="str">
        <f t="shared" si="93"/>
        <v>H</v>
      </c>
      <c r="J217" s="7" t="str">
        <f t="shared" si="94"/>
        <v>EEI</v>
      </c>
      <c r="K217" s="127">
        <f t="shared" si="95"/>
        <v>6</v>
      </c>
      <c r="L217" s="127">
        <f>IF(NOT(ISERROR(VLOOKUP(B217,Deflatores!G$42:H$64,2,FALSE))),VLOOKUP(B217,Deflatores!G$42:H$64,2,FALSE),IF(OR(ISBLANK(C217),ISBLANK(B217)),"",VLOOKUP(C217,Deflatores!G$4:H$38,2,FALSE)*H217+VLOOKUP(C217,Deflatores!G$4:I$38,3,FALSE)))</f>
        <v>6</v>
      </c>
      <c r="M217" s="10"/>
      <c r="N217" s="10"/>
      <c r="O217" s="6"/>
    </row>
    <row r="218" spans="1:15" x14ac:dyDescent="0.25">
      <c r="A218" s="180" t="s">
        <v>229</v>
      </c>
      <c r="B218" s="4" t="s">
        <v>52</v>
      </c>
      <c r="C218" s="4" t="s">
        <v>50</v>
      </c>
      <c r="D218" s="7">
        <v>16</v>
      </c>
      <c r="E218" s="7">
        <v>4</v>
      </c>
      <c r="F218" s="116" t="str">
        <f t="shared" si="90"/>
        <v>Alta</v>
      </c>
      <c r="G218" s="7" t="str">
        <f t="shared" si="91"/>
        <v>CEH</v>
      </c>
      <c r="H218" s="7">
        <f t="shared" si="92"/>
        <v>6</v>
      </c>
      <c r="I218" s="116" t="str">
        <f t="shared" si="93"/>
        <v>H</v>
      </c>
      <c r="J218" s="7" t="str">
        <f t="shared" si="94"/>
        <v>CEI</v>
      </c>
      <c r="K218" s="127">
        <f t="shared" si="95"/>
        <v>6</v>
      </c>
      <c r="L218" s="127">
        <f>IF(NOT(ISERROR(VLOOKUP(B218,Deflatores!G$42:H$64,2,FALSE))),VLOOKUP(B218,Deflatores!G$42:H$64,2,FALSE),IF(OR(ISBLANK(C218),ISBLANK(B218)),"",VLOOKUP(C218,Deflatores!G$4:H$38,2,FALSE)*H218+VLOOKUP(C218,Deflatores!G$4:I$38,3,FALSE)))</f>
        <v>6</v>
      </c>
      <c r="M218" s="10"/>
      <c r="N218" s="10"/>
      <c r="O218" s="6"/>
    </row>
    <row r="219" spans="1:15" x14ac:dyDescent="0.25">
      <c r="A219" s="179"/>
      <c r="B219" s="4"/>
      <c r="C219" s="4"/>
      <c r="D219" s="7"/>
      <c r="E219" s="7"/>
      <c r="F219" s="116" t="str">
        <f t="shared" si="90"/>
        <v/>
      </c>
      <c r="G219" s="7" t="str">
        <f t="shared" si="91"/>
        <v/>
      </c>
      <c r="H219" s="7" t="str">
        <f t="shared" si="92"/>
        <v/>
      </c>
      <c r="I219" s="116" t="str">
        <f t="shared" si="93"/>
        <v/>
      </c>
      <c r="J219" s="7" t="str">
        <f t="shared" si="94"/>
        <v/>
      </c>
      <c r="K219" s="127" t="str">
        <f t="shared" si="95"/>
        <v/>
      </c>
      <c r="L219" s="127" t="str">
        <f>IF(NOT(ISERROR(VLOOKUP(B219,Deflatores!G$42:H$64,2,FALSE))),VLOOKUP(B219,Deflatores!G$42:H$64,2,FALSE),IF(OR(ISBLANK(C219),ISBLANK(B219)),"",VLOOKUP(C219,Deflatores!G$4:H$38,2,FALSE)*H219+VLOOKUP(C219,Deflatores!G$4:I$38,3,FALSE)))</f>
        <v/>
      </c>
      <c r="M219" s="10"/>
      <c r="N219" s="10"/>
      <c r="O219" s="6"/>
    </row>
    <row r="220" spans="1:15" x14ac:dyDescent="0.25">
      <c r="A220" s="181" t="s">
        <v>230</v>
      </c>
      <c r="B220" s="4"/>
      <c r="C220" s="4"/>
      <c r="D220" s="7"/>
      <c r="E220" s="7"/>
      <c r="F220" s="116" t="str">
        <f t="shared" si="90"/>
        <v/>
      </c>
      <c r="G220" s="7" t="str">
        <f t="shared" si="91"/>
        <v/>
      </c>
      <c r="H220" s="7" t="str">
        <f t="shared" si="92"/>
        <v/>
      </c>
      <c r="I220" s="116" t="str">
        <f t="shared" si="93"/>
        <v/>
      </c>
      <c r="J220" s="7" t="str">
        <f t="shared" si="94"/>
        <v/>
      </c>
      <c r="K220" s="127" t="str">
        <f t="shared" si="95"/>
        <v/>
      </c>
      <c r="L220" s="127" t="str">
        <f>IF(NOT(ISERROR(VLOOKUP(B220,Deflatores!G$42:H$64,2,FALSE))),VLOOKUP(B220,Deflatores!G$42:H$64,2,FALSE),IF(OR(ISBLANK(C220),ISBLANK(B220)),"",VLOOKUP(C220,Deflatores!G$4:H$38,2,FALSE)*H220+VLOOKUP(C220,Deflatores!G$4:I$38,3,FALSE)))</f>
        <v/>
      </c>
      <c r="M220" s="10"/>
      <c r="N220" s="10"/>
      <c r="O220" s="6"/>
    </row>
    <row r="221" spans="1:15" x14ac:dyDescent="0.25">
      <c r="A221" s="179" t="s">
        <v>231</v>
      </c>
      <c r="B221" s="4" t="s">
        <v>45</v>
      </c>
      <c r="C221" s="4" t="s">
        <v>50</v>
      </c>
      <c r="D221" s="7">
        <v>16</v>
      </c>
      <c r="E221" s="7">
        <v>4</v>
      </c>
      <c r="F221" s="116" t="str">
        <f t="shared" si="90"/>
        <v>Alta</v>
      </c>
      <c r="G221" s="7" t="str">
        <f t="shared" si="91"/>
        <v>EEH</v>
      </c>
      <c r="H221" s="7">
        <f t="shared" si="92"/>
        <v>6</v>
      </c>
      <c r="I221" s="116" t="str">
        <f t="shared" si="93"/>
        <v>H</v>
      </c>
      <c r="J221" s="7" t="str">
        <f t="shared" si="94"/>
        <v>EEI</v>
      </c>
      <c r="K221" s="127">
        <f t="shared" si="95"/>
        <v>6</v>
      </c>
      <c r="L221" s="127">
        <f>IF(NOT(ISERROR(VLOOKUP(B221,Deflatores!G$42:H$64,2,FALSE))),VLOOKUP(B221,Deflatores!G$42:H$64,2,FALSE),IF(OR(ISBLANK(C221),ISBLANK(B221)),"",VLOOKUP(C221,Deflatores!G$4:H$38,2,FALSE)*H221+VLOOKUP(C221,Deflatores!G$4:I$38,3,FALSE)))</f>
        <v>6</v>
      </c>
      <c r="M221" s="10"/>
      <c r="N221" s="10"/>
      <c r="O221" s="6"/>
    </row>
    <row r="222" spans="1:15" x14ac:dyDescent="0.25">
      <c r="A222" s="180" t="s">
        <v>232</v>
      </c>
      <c r="B222" s="4" t="s">
        <v>52</v>
      </c>
      <c r="C222" s="4" t="s">
        <v>50</v>
      </c>
      <c r="D222" s="7">
        <v>3</v>
      </c>
      <c r="E222" s="7">
        <v>1</v>
      </c>
      <c r="F222" s="116" t="str">
        <f>IF(ISBLANK(B222),"",IF(I222="L","Baixa",IF(I222="A","Média",IF(I222="","","Alta"))))</f>
        <v>Baixa</v>
      </c>
      <c r="G222" s="7" t="str">
        <f>CONCATENATE(B222,I222)</f>
        <v>CEL</v>
      </c>
      <c r="H222" s="7">
        <f>IF(ISBLANK(B222),"",IF(B222="ALI",IF(I222="L",7,IF(I222="A",10,15)),IF(B222="AIE",IF(I222="L",5,IF(I222="A",7,10)),IF(B222="SE",IF(I222="L",4,IF(I222="A",5,7)),IF(OR(B222="EE",B222="CE"),IF(I222="L",3,IF(I222="A",4,6)),0)))))</f>
        <v>3</v>
      </c>
      <c r="I222" s="116" t="str">
        <f>IF(OR(ISBLANK(D222),ISBLANK(E222)),IF(OR(B222="ALI",B222="AIE"),"L",IF(OR(B222="EE",B222="SE",B222="CE"),"A","")),IF(B222="EE",IF(E222&gt;=3,IF(D222&gt;=5,"H","A"),IF(E222&gt;=2,IF(D222&gt;=16,"H",IF(D222&lt;=4,"L","A")),IF(D222&lt;=15,"L","A"))),IF(OR(B222="SE",B222="CE"),IF(E222&gt;=4,IF(D222&gt;=6,"H","A"),IF(E222&gt;=2,IF(D222&gt;=20,"H",IF(D222&lt;=5,"L","A")),IF(D222&lt;=19,"L","A"))),IF(OR(B222="ALI",B222="AIE"),IF(E222&gt;=6,IF(D222&gt;=20,"H","A"),IF(E222&gt;=2,IF(D222&gt;=51,"H",IF(D222&lt;=19,"L","A")),IF(D222&lt;=50,"L","A"))),""))))</f>
        <v>L</v>
      </c>
      <c r="J222" s="7" t="str">
        <f>CONCATENATE(B222,C222)</f>
        <v>CEI</v>
      </c>
      <c r="K222" s="127">
        <f>IF(OR(H222="",H222=0),L222,H222)</f>
        <v>3</v>
      </c>
      <c r="L222" s="127">
        <f>IF(NOT(ISERROR(VLOOKUP(B222,Deflatores!G$42:H$64,2,FALSE))),VLOOKUP(B222,Deflatores!G$42:H$64,2,FALSE),IF(OR(ISBLANK(C222),ISBLANK(B222)),"",VLOOKUP(C222,Deflatores!G$4:H$38,2,FALSE)*H222+VLOOKUP(C222,Deflatores!G$4:I$38,3,FALSE)))</f>
        <v>3</v>
      </c>
      <c r="M222" s="10"/>
      <c r="N222" s="10"/>
      <c r="O222" s="6"/>
    </row>
    <row r="223" spans="1:15" x14ac:dyDescent="0.25">
      <c r="A223" s="180" t="s">
        <v>233</v>
      </c>
      <c r="B223" s="4" t="s">
        <v>52</v>
      </c>
      <c r="C223" s="4" t="s">
        <v>50</v>
      </c>
      <c r="D223" s="7">
        <v>3</v>
      </c>
      <c r="E223" s="7">
        <v>1</v>
      </c>
      <c r="F223" s="116" t="str">
        <f>IF(ISBLANK(B223),"",IF(I223="L","Baixa",IF(I223="A","Média",IF(I223="","","Alta"))))</f>
        <v>Baixa</v>
      </c>
      <c r="G223" s="7" t="str">
        <f>CONCATENATE(B223,I223)</f>
        <v>CEL</v>
      </c>
      <c r="H223" s="7">
        <f>IF(ISBLANK(B223),"",IF(B223="ALI",IF(I223="L",7,IF(I223="A",10,15)),IF(B223="AIE",IF(I223="L",5,IF(I223="A",7,10)),IF(B223="SE",IF(I223="L",4,IF(I223="A",5,7)),IF(OR(B223="EE",B223="CE"),IF(I223="L",3,IF(I223="A",4,6)),0)))))</f>
        <v>3</v>
      </c>
      <c r="I223" s="116" t="str">
        <f>IF(OR(ISBLANK(D223),ISBLANK(E223)),IF(OR(B223="ALI",B223="AIE"),"L",IF(OR(B223="EE",B223="SE",B223="CE"),"A","")),IF(B223="EE",IF(E223&gt;=3,IF(D223&gt;=5,"H","A"),IF(E223&gt;=2,IF(D223&gt;=16,"H",IF(D223&lt;=4,"L","A")),IF(D223&lt;=15,"L","A"))),IF(OR(B223="SE",B223="CE"),IF(E223&gt;=4,IF(D223&gt;=6,"H","A"),IF(E223&gt;=2,IF(D223&gt;=20,"H",IF(D223&lt;=5,"L","A")),IF(D223&lt;=19,"L","A"))),IF(OR(B223="ALI",B223="AIE"),IF(E223&gt;=6,IF(D223&gt;=20,"H","A"),IF(E223&gt;=2,IF(D223&gt;=51,"H",IF(D223&lt;=19,"L","A")),IF(D223&lt;=50,"L","A"))),""))))</f>
        <v>L</v>
      </c>
      <c r="J223" s="7" t="str">
        <f>CONCATENATE(B223,C223)</f>
        <v>CEI</v>
      </c>
      <c r="K223" s="127">
        <f>IF(OR(H223="",H223=0),L223,H223)</f>
        <v>3</v>
      </c>
      <c r="L223" s="127">
        <f>IF(NOT(ISERROR(VLOOKUP(B223,Deflatores!G$42:H$64,2,FALSE))),VLOOKUP(B223,Deflatores!G$42:H$64,2,FALSE),IF(OR(ISBLANK(C223),ISBLANK(B223)),"",VLOOKUP(C223,Deflatores!G$4:H$38,2,FALSE)*H223+VLOOKUP(C223,Deflatores!G$4:I$38,3,FALSE)))</f>
        <v>3</v>
      </c>
      <c r="M223" s="10"/>
      <c r="N223" s="10"/>
      <c r="O223" s="6"/>
    </row>
    <row r="224" spans="1:15" x14ac:dyDescent="0.25">
      <c r="A224" s="180" t="s">
        <v>506</v>
      </c>
      <c r="B224" s="4" t="s">
        <v>52</v>
      </c>
      <c r="C224" s="4" t="s">
        <v>50</v>
      </c>
      <c r="D224" s="7">
        <v>3</v>
      </c>
      <c r="E224" s="7">
        <v>4</v>
      </c>
      <c r="F224" s="116" t="str">
        <f>IF(ISBLANK(B224),"",IF(I224="L","Baixa",IF(I224="A","Média",IF(I224="","","Alta"))))</f>
        <v>Média</v>
      </c>
      <c r="G224" s="7" t="str">
        <f>CONCATENATE(B224,I224)</f>
        <v>CEA</v>
      </c>
      <c r="H224" s="7">
        <f>IF(ISBLANK(B224),"",IF(B224="ALI",IF(I224="L",7,IF(I224="A",10,15)),IF(B224="AIE",IF(I224="L",5,IF(I224="A",7,10)),IF(B224="SE",IF(I224="L",4,IF(I224="A",5,7)),IF(OR(B224="EE",B224="CE"),IF(I224="L",3,IF(I224="A",4,6)),0)))))</f>
        <v>4</v>
      </c>
      <c r="I224" s="116" t="str">
        <f>IF(OR(ISBLANK(D224),ISBLANK(E224)),IF(OR(B224="ALI",B224="AIE"),"L",IF(OR(B224="EE",B224="SE",B224="CE"),"A","")),IF(B224="EE",IF(E224&gt;=3,IF(D224&gt;=5,"H","A"),IF(E224&gt;=2,IF(D224&gt;=16,"H",IF(D224&lt;=4,"L","A")),IF(D224&lt;=15,"L","A"))),IF(OR(B224="SE",B224="CE"),IF(E224&gt;=4,IF(D224&gt;=6,"H","A"),IF(E224&gt;=2,IF(D224&gt;=20,"H",IF(D224&lt;=5,"L","A")),IF(D224&lt;=19,"L","A"))),IF(OR(B224="ALI",B224="AIE"),IF(E224&gt;=6,IF(D224&gt;=20,"H","A"),IF(E224&gt;=2,IF(D224&gt;=51,"H",IF(D224&lt;=19,"L","A")),IF(D224&lt;=50,"L","A"))),""))))</f>
        <v>A</v>
      </c>
      <c r="J224" s="7" t="str">
        <f>CONCATENATE(B224,C224)</f>
        <v>CEI</v>
      </c>
      <c r="K224" s="127">
        <f>IF(OR(H224="",H224=0),L224,H224)</f>
        <v>4</v>
      </c>
      <c r="L224" s="127">
        <f>IF(NOT(ISERROR(VLOOKUP(B224,Deflatores!G$42:H$64,2,FALSE))),VLOOKUP(B224,Deflatores!G$42:H$64,2,FALSE),IF(OR(ISBLANK(C224),ISBLANK(B224)),"",VLOOKUP(C224,Deflatores!G$4:H$38,2,FALSE)*H224+VLOOKUP(C224,Deflatores!G$4:I$38,3,FALSE)))</f>
        <v>4</v>
      </c>
      <c r="M224" s="10"/>
      <c r="N224" s="10"/>
      <c r="O224" s="6"/>
    </row>
    <row r="225" spans="1:15" x14ac:dyDescent="0.25">
      <c r="A225" s="180" t="s">
        <v>234</v>
      </c>
      <c r="B225" s="4" t="s">
        <v>52</v>
      </c>
      <c r="C225" s="4" t="s">
        <v>50</v>
      </c>
      <c r="D225" s="7">
        <v>3</v>
      </c>
      <c r="E225" s="7">
        <v>3</v>
      </c>
      <c r="F225" s="116" t="str">
        <f>IF(ISBLANK(B225),"",IF(I225="L","Baixa",IF(I225="A","Média",IF(I225="","","Alta"))))</f>
        <v>Baixa</v>
      </c>
      <c r="G225" s="7" t="str">
        <f>CONCATENATE(B225,I225)</f>
        <v>CEL</v>
      </c>
      <c r="H225" s="7">
        <f>IF(ISBLANK(B225),"",IF(B225="ALI",IF(I225="L",7,IF(I225="A",10,15)),IF(B225="AIE",IF(I225="L",5,IF(I225="A",7,10)),IF(B225="SE",IF(I225="L",4,IF(I225="A",5,7)),IF(OR(B225="EE",B225="CE"),IF(I225="L",3,IF(I225="A",4,6)),0)))))</f>
        <v>3</v>
      </c>
      <c r="I225" s="116" t="str">
        <f>IF(OR(ISBLANK(D225),ISBLANK(E225)),IF(OR(B225="ALI",B225="AIE"),"L",IF(OR(B225="EE",B225="SE",B225="CE"),"A","")),IF(B225="EE",IF(E225&gt;=3,IF(D225&gt;=5,"H","A"),IF(E225&gt;=2,IF(D225&gt;=16,"H",IF(D225&lt;=4,"L","A")),IF(D225&lt;=15,"L","A"))),IF(OR(B225="SE",B225="CE"),IF(E225&gt;=4,IF(D225&gt;=6,"H","A"),IF(E225&gt;=2,IF(D225&gt;=20,"H",IF(D225&lt;=5,"L","A")),IF(D225&lt;=19,"L","A"))),IF(OR(B225="ALI",B225="AIE"),IF(E225&gt;=6,IF(D225&gt;=20,"H","A"),IF(E225&gt;=2,IF(D225&gt;=51,"H",IF(D225&lt;=19,"L","A")),IF(D225&lt;=50,"L","A"))),""))))</f>
        <v>L</v>
      </c>
      <c r="J225" s="7" t="str">
        <f>CONCATENATE(B225,C225)</f>
        <v>CEI</v>
      </c>
      <c r="K225" s="127">
        <f>IF(OR(H225="",H225=0),L225,H225)</f>
        <v>3</v>
      </c>
      <c r="L225" s="127">
        <f>IF(NOT(ISERROR(VLOOKUP(B225,Deflatores!G$42:H$64,2,FALSE))),VLOOKUP(B225,Deflatores!G$42:H$64,2,FALSE),IF(OR(ISBLANK(C225),ISBLANK(B225)),"",VLOOKUP(C225,Deflatores!G$4:H$38,2,FALSE)*H225+VLOOKUP(C225,Deflatores!G$4:I$38,3,FALSE)))</f>
        <v>3</v>
      </c>
      <c r="M225" s="10"/>
      <c r="N225" s="10"/>
      <c r="O225" s="6"/>
    </row>
    <row r="226" spans="1:15" x14ac:dyDescent="0.25">
      <c r="A226" s="179"/>
      <c r="B226" s="4"/>
      <c r="C226" s="4"/>
      <c r="D226" s="7"/>
      <c r="E226" s="7"/>
      <c r="F226" s="116" t="str">
        <f t="shared" si="90"/>
        <v/>
      </c>
      <c r="G226" s="7" t="str">
        <f t="shared" si="91"/>
        <v/>
      </c>
      <c r="H226" s="7" t="str">
        <f t="shared" si="92"/>
        <v/>
      </c>
      <c r="I226" s="116" t="str">
        <f t="shared" si="93"/>
        <v/>
      </c>
      <c r="J226" s="7" t="str">
        <f t="shared" si="94"/>
        <v/>
      </c>
      <c r="K226" s="127" t="str">
        <f t="shared" si="95"/>
        <v/>
      </c>
      <c r="L226" s="127" t="str">
        <f>IF(NOT(ISERROR(VLOOKUP(B226,Deflatores!G$42:H$64,2,FALSE))),VLOOKUP(B226,Deflatores!G$42:H$64,2,FALSE),IF(OR(ISBLANK(C226),ISBLANK(B226)),"",VLOOKUP(C226,Deflatores!G$4:H$38,2,FALSE)*H226+VLOOKUP(C226,Deflatores!G$4:I$38,3,FALSE)))</f>
        <v/>
      </c>
      <c r="M226" s="10"/>
      <c r="N226" s="10"/>
      <c r="O226" s="6"/>
    </row>
    <row r="227" spans="1:15" x14ac:dyDescent="0.25">
      <c r="A227" s="181" t="s">
        <v>235</v>
      </c>
      <c r="B227" s="4"/>
      <c r="C227" s="4"/>
      <c r="D227" s="7"/>
      <c r="E227" s="7"/>
      <c r="F227" s="116" t="str">
        <f t="shared" si="90"/>
        <v/>
      </c>
      <c r="G227" s="7" t="str">
        <f t="shared" si="91"/>
        <v/>
      </c>
      <c r="H227" s="7" t="str">
        <f t="shared" si="92"/>
        <v/>
      </c>
      <c r="I227" s="116" t="str">
        <f t="shared" si="93"/>
        <v/>
      </c>
      <c r="J227" s="7" t="str">
        <f t="shared" si="94"/>
        <v/>
      </c>
      <c r="K227" s="127" t="str">
        <f t="shared" si="95"/>
        <v/>
      </c>
      <c r="L227" s="127" t="str">
        <f>IF(NOT(ISERROR(VLOOKUP(B227,Deflatores!G$42:H$64,2,FALSE))),VLOOKUP(B227,Deflatores!G$42:H$64,2,FALSE),IF(OR(ISBLANK(C227),ISBLANK(B227)),"",VLOOKUP(C227,Deflatores!G$4:H$38,2,FALSE)*H227+VLOOKUP(C227,Deflatores!G$4:I$38,3,FALSE)))</f>
        <v/>
      </c>
      <c r="M227" s="10"/>
      <c r="N227" s="10"/>
      <c r="O227" s="6"/>
    </row>
    <row r="228" spans="1:15" x14ac:dyDescent="0.25">
      <c r="A228" s="179" t="s">
        <v>236</v>
      </c>
      <c r="B228" s="4" t="s">
        <v>52</v>
      </c>
      <c r="C228" s="4" t="s">
        <v>50</v>
      </c>
      <c r="D228" s="7">
        <v>15</v>
      </c>
      <c r="E228" s="7">
        <v>5</v>
      </c>
      <c r="F228" s="116" t="str">
        <f t="shared" si="90"/>
        <v>Alta</v>
      </c>
      <c r="G228" s="7" t="str">
        <f t="shared" si="91"/>
        <v>CEH</v>
      </c>
      <c r="H228" s="7">
        <f t="shared" si="92"/>
        <v>6</v>
      </c>
      <c r="I228" s="116" t="str">
        <f t="shared" si="93"/>
        <v>H</v>
      </c>
      <c r="J228" s="7" t="str">
        <f t="shared" si="94"/>
        <v>CEI</v>
      </c>
      <c r="K228" s="127">
        <f t="shared" si="95"/>
        <v>6</v>
      </c>
      <c r="L228" s="127">
        <f>IF(NOT(ISERROR(VLOOKUP(B228,Deflatores!G$42:H$64,2,FALSE))),VLOOKUP(B228,Deflatores!G$42:H$64,2,FALSE),IF(OR(ISBLANK(C228),ISBLANK(B228)),"",VLOOKUP(C228,Deflatores!G$4:H$38,2,FALSE)*H228+VLOOKUP(C228,Deflatores!G$4:I$38,3,FALSE)))</f>
        <v>6</v>
      </c>
      <c r="M228" s="10"/>
      <c r="N228" s="10"/>
      <c r="O228" s="6"/>
    </row>
    <row r="229" spans="1:15" x14ac:dyDescent="0.25">
      <c r="A229" s="179" t="s">
        <v>237</v>
      </c>
      <c r="B229" s="4" t="s">
        <v>52</v>
      </c>
      <c r="C229" s="4" t="s">
        <v>50</v>
      </c>
      <c r="D229" s="7">
        <v>27</v>
      </c>
      <c r="E229" s="7">
        <v>4</v>
      </c>
      <c r="F229" s="116" t="str">
        <f t="shared" si="90"/>
        <v>Alta</v>
      </c>
      <c r="G229" s="7" t="str">
        <f t="shared" si="91"/>
        <v>CEH</v>
      </c>
      <c r="H229" s="7">
        <f t="shared" si="92"/>
        <v>6</v>
      </c>
      <c r="I229" s="116" t="str">
        <f t="shared" si="93"/>
        <v>H</v>
      </c>
      <c r="J229" s="7" t="str">
        <f t="shared" si="94"/>
        <v>CEI</v>
      </c>
      <c r="K229" s="127">
        <f t="shared" si="95"/>
        <v>6</v>
      </c>
      <c r="L229" s="127">
        <f>IF(NOT(ISERROR(VLOOKUP(B229,Deflatores!G$42:H$64,2,FALSE))),VLOOKUP(B229,Deflatores!G$42:H$64,2,FALSE),IF(OR(ISBLANK(C229),ISBLANK(B229)),"",VLOOKUP(C229,Deflatores!G$4:H$38,2,FALSE)*H229+VLOOKUP(C229,Deflatores!G$4:I$38,3,FALSE)))</f>
        <v>6</v>
      </c>
      <c r="M229" s="10"/>
      <c r="N229" s="10"/>
      <c r="O229" s="6"/>
    </row>
    <row r="230" spans="1:15" x14ac:dyDescent="0.25">
      <c r="A230" s="179" t="s">
        <v>238</v>
      </c>
      <c r="B230" s="4" t="s">
        <v>45</v>
      </c>
      <c r="C230" s="4" t="s">
        <v>50</v>
      </c>
      <c r="D230" s="7">
        <v>13</v>
      </c>
      <c r="E230" s="7">
        <v>4</v>
      </c>
      <c r="F230" s="116" t="str">
        <f t="shared" si="90"/>
        <v>Alta</v>
      </c>
      <c r="G230" s="7" t="str">
        <f t="shared" si="91"/>
        <v>EEH</v>
      </c>
      <c r="H230" s="7">
        <f t="shared" si="92"/>
        <v>6</v>
      </c>
      <c r="I230" s="116" t="str">
        <f t="shared" si="93"/>
        <v>H</v>
      </c>
      <c r="J230" s="7" t="str">
        <f t="shared" si="94"/>
        <v>EEI</v>
      </c>
      <c r="K230" s="127">
        <f t="shared" si="95"/>
        <v>6</v>
      </c>
      <c r="L230" s="127">
        <f>IF(NOT(ISERROR(VLOOKUP(B230,Deflatores!G$42:H$64,2,FALSE))),VLOOKUP(B230,Deflatores!G$42:H$64,2,FALSE),IF(OR(ISBLANK(C230),ISBLANK(B230)),"",VLOOKUP(C230,Deflatores!G$4:H$38,2,FALSE)*H230+VLOOKUP(C230,Deflatores!G$4:I$38,3,FALSE)))</f>
        <v>6</v>
      </c>
      <c r="M230" s="10"/>
      <c r="N230" s="10"/>
      <c r="O230" s="6"/>
    </row>
    <row r="231" spans="1:15" x14ac:dyDescent="0.25">
      <c r="A231" s="179" t="s">
        <v>239</v>
      </c>
      <c r="B231" s="4" t="s">
        <v>45</v>
      </c>
      <c r="C231" s="4" t="s">
        <v>50</v>
      </c>
      <c r="D231" s="7">
        <v>14</v>
      </c>
      <c r="E231" s="7">
        <v>4</v>
      </c>
      <c r="F231" s="116" t="str">
        <f t="shared" ref="F231:F258" si="114">IF(ISBLANK(B231),"",IF(I231="L","Baixa",IF(I231="A","Média",IF(I231="","","Alta"))))</f>
        <v>Alta</v>
      </c>
      <c r="G231" s="7" t="str">
        <f t="shared" ref="G231:G258" si="115">CONCATENATE(B231,I231)</f>
        <v>EEH</v>
      </c>
      <c r="H231" s="7">
        <f t="shared" ref="H231:H258" si="116">IF(ISBLANK(B231),"",IF(B231="ALI",IF(I231="L",7,IF(I231="A",10,15)),IF(B231="AIE",IF(I231="L",5,IF(I231="A",7,10)),IF(B231="SE",IF(I231="L",4,IF(I231="A",5,7)),IF(OR(B231="EE",B231="CE"),IF(I231="L",3,IF(I231="A",4,6)),0)))))</f>
        <v>6</v>
      </c>
      <c r="I231" s="116" t="str">
        <f t="shared" ref="I231:I258" si="117">IF(OR(ISBLANK(D231),ISBLANK(E231)),IF(OR(B231="ALI",B231="AIE"),"L",IF(OR(B231="EE",B231="SE",B231="CE"),"A","")),IF(B231="EE",IF(E231&gt;=3,IF(D231&gt;=5,"H","A"),IF(E231&gt;=2,IF(D231&gt;=16,"H",IF(D231&lt;=4,"L","A")),IF(D231&lt;=15,"L","A"))),IF(OR(B231="SE",B231="CE"),IF(E231&gt;=4,IF(D231&gt;=6,"H","A"),IF(E231&gt;=2,IF(D231&gt;=20,"H",IF(D231&lt;=5,"L","A")),IF(D231&lt;=19,"L","A"))),IF(OR(B231="ALI",B231="AIE"),IF(E231&gt;=6,IF(D231&gt;=20,"H","A"),IF(E231&gt;=2,IF(D231&gt;=51,"H",IF(D231&lt;=19,"L","A")),IF(D231&lt;=50,"L","A"))),""))))</f>
        <v>H</v>
      </c>
      <c r="J231" s="7" t="str">
        <f t="shared" ref="J231:J258" si="118">CONCATENATE(B231,C231)</f>
        <v>EEI</v>
      </c>
      <c r="K231" s="127">
        <f t="shared" ref="K231:K258" si="119">IF(OR(H231="",H231=0),L231,H231)</f>
        <v>6</v>
      </c>
      <c r="L231" s="127">
        <f>IF(NOT(ISERROR(VLOOKUP(B231,Deflatores!G$42:H$64,2,FALSE))),VLOOKUP(B231,Deflatores!G$42:H$64,2,FALSE),IF(OR(ISBLANK(C231),ISBLANK(B231)),"",VLOOKUP(C231,Deflatores!G$4:H$38,2,FALSE)*H231+VLOOKUP(C231,Deflatores!G$4:I$38,3,FALSE)))</f>
        <v>6</v>
      </c>
      <c r="M231" s="10"/>
      <c r="N231" s="10"/>
      <c r="O231" s="6"/>
    </row>
    <row r="232" spans="1:15" x14ac:dyDescent="0.25">
      <c r="A232" s="179" t="s">
        <v>240</v>
      </c>
      <c r="B232" s="4" t="s">
        <v>52</v>
      </c>
      <c r="C232" s="4" t="s">
        <v>50</v>
      </c>
      <c r="D232" s="7">
        <v>7</v>
      </c>
      <c r="E232" s="7">
        <v>5</v>
      </c>
      <c r="F232" s="116" t="str">
        <f t="shared" si="114"/>
        <v>Alta</v>
      </c>
      <c r="G232" s="7" t="str">
        <f t="shared" si="115"/>
        <v>CEH</v>
      </c>
      <c r="H232" s="7">
        <f t="shared" si="116"/>
        <v>6</v>
      </c>
      <c r="I232" s="116" t="str">
        <f t="shared" si="117"/>
        <v>H</v>
      </c>
      <c r="J232" s="7" t="str">
        <f t="shared" si="118"/>
        <v>CEI</v>
      </c>
      <c r="K232" s="127">
        <f t="shared" si="119"/>
        <v>6</v>
      </c>
      <c r="L232" s="127">
        <f>IF(NOT(ISERROR(VLOOKUP(B232,Deflatores!G$42:H$64,2,FALSE))),VLOOKUP(B232,Deflatores!G$42:H$64,2,FALSE),IF(OR(ISBLANK(C232),ISBLANK(B232)),"",VLOOKUP(C232,Deflatores!G$4:H$38,2,FALSE)*H232+VLOOKUP(C232,Deflatores!G$4:I$38,3,FALSE)))</f>
        <v>6</v>
      </c>
      <c r="M232" s="10"/>
      <c r="N232" s="10"/>
      <c r="O232" s="6"/>
    </row>
    <row r="233" spans="1:15" x14ac:dyDescent="0.25">
      <c r="A233" s="179" t="s">
        <v>241</v>
      </c>
      <c r="B233" s="4" t="s">
        <v>52</v>
      </c>
      <c r="C233" s="4" t="s">
        <v>50</v>
      </c>
      <c r="D233" s="7">
        <v>6</v>
      </c>
      <c r="E233" s="7">
        <v>3</v>
      </c>
      <c r="F233" s="116" t="str">
        <f t="shared" si="114"/>
        <v>Média</v>
      </c>
      <c r="G233" s="7" t="str">
        <f t="shared" si="115"/>
        <v>CEA</v>
      </c>
      <c r="H233" s="7">
        <f t="shared" si="116"/>
        <v>4</v>
      </c>
      <c r="I233" s="116" t="str">
        <f t="shared" si="117"/>
        <v>A</v>
      </c>
      <c r="J233" s="7" t="str">
        <f t="shared" si="118"/>
        <v>CEI</v>
      </c>
      <c r="K233" s="127">
        <f t="shared" si="119"/>
        <v>4</v>
      </c>
      <c r="L233" s="127">
        <f>IF(NOT(ISERROR(VLOOKUP(B233,Deflatores!G$42:H$64,2,FALSE))),VLOOKUP(B233,Deflatores!G$42:H$64,2,FALSE),IF(OR(ISBLANK(C233),ISBLANK(B233)),"",VLOOKUP(C233,Deflatores!G$4:H$38,2,FALSE)*H233+VLOOKUP(C233,Deflatores!G$4:I$38,3,FALSE)))</f>
        <v>4</v>
      </c>
      <c r="M233" s="10"/>
      <c r="N233" s="10"/>
      <c r="O233" s="6"/>
    </row>
    <row r="234" spans="1:15" x14ac:dyDescent="0.25">
      <c r="A234" s="179" t="s">
        <v>495</v>
      </c>
      <c r="B234" s="4" t="s">
        <v>45</v>
      </c>
      <c r="C234" s="4" t="s">
        <v>50</v>
      </c>
      <c r="D234" s="7">
        <v>6</v>
      </c>
      <c r="E234" s="7">
        <v>1</v>
      </c>
      <c r="F234" s="116" t="str">
        <f t="shared" ref="F234:F237" si="120">IF(ISBLANK(B234),"",IF(I234="L","Baixa",IF(I234="A","Média",IF(I234="","","Alta"))))</f>
        <v>Baixa</v>
      </c>
      <c r="G234" s="7" t="str">
        <f t="shared" ref="G234:G237" si="121">CONCATENATE(B234,I234)</f>
        <v>EEL</v>
      </c>
      <c r="H234" s="7">
        <f t="shared" ref="H234:H237" si="122">IF(ISBLANK(B234),"",IF(B234="ALI",IF(I234="L",7,IF(I234="A",10,15)),IF(B234="AIE",IF(I234="L",5,IF(I234="A",7,10)),IF(B234="SE",IF(I234="L",4,IF(I234="A",5,7)),IF(OR(B234="EE",B234="CE"),IF(I234="L",3,IF(I234="A",4,6)),0)))))</f>
        <v>3</v>
      </c>
      <c r="I234" s="116" t="str">
        <f t="shared" ref="I234:I237" si="123">IF(OR(ISBLANK(D234),ISBLANK(E234)),IF(OR(B234="ALI",B234="AIE"),"L",IF(OR(B234="EE",B234="SE",B234="CE"),"A","")),IF(B234="EE",IF(E234&gt;=3,IF(D234&gt;=5,"H","A"),IF(E234&gt;=2,IF(D234&gt;=16,"H",IF(D234&lt;=4,"L","A")),IF(D234&lt;=15,"L","A"))),IF(OR(B234="SE",B234="CE"),IF(E234&gt;=4,IF(D234&gt;=6,"H","A"),IF(E234&gt;=2,IF(D234&gt;=20,"H",IF(D234&lt;=5,"L","A")),IF(D234&lt;=19,"L","A"))),IF(OR(B234="ALI",B234="AIE"),IF(E234&gt;=6,IF(D234&gt;=20,"H","A"),IF(E234&gt;=2,IF(D234&gt;=51,"H",IF(D234&lt;=19,"L","A")),IF(D234&lt;=50,"L","A"))),""))))</f>
        <v>L</v>
      </c>
      <c r="J234" s="7" t="str">
        <f t="shared" ref="J234:J237" si="124">CONCATENATE(B234,C234)</f>
        <v>EEI</v>
      </c>
      <c r="K234" s="127">
        <f t="shared" ref="K234:K237" si="125">IF(OR(H234="",H234=0),L234,H234)</f>
        <v>3</v>
      </c>
      <c r="L234" s="127">
        <f>IF(NOT(ISERROR(VLOOKUP(B234,Deflatores!G$42:H$64,2,FALSE))),VLOOKUP(B234,Deflatores!G$42:H$64,2,FALSE),IF(OR(ISBLANK(C234),ISBLANK(B234)),"",VLOOKUP(C234,Deflatores!G$4:H$38,2,FALSE)*H234+VLOOKUP(C234,Deflatores!G$4:I$38,3,FALSE)))</f>
        <v>3</v>
      </c>
      <c r="M234" s="10"/>
      <c r="N234" s="10"/>
      <c r="O234" s="6"/>
    </row>
    <row r="235" spans="1:15" x14ac:dyDescent="0.25">
      <c r="A235" s="179" t="s">
        <v>496</v>
      </c>
      <c r="B235" s="4" t="s">
        <v>52</v>
      </c>
      <c r="C235" s="4" t="s">
        <v>50</v>
      </c>
      <c r="D235" s="7">
        <v>18</v>
      </c>
      <c r="E235" s="7">
        <v>4</v>
      </c>
      <c r="F235" s="116" t="str">
        <f t="shared" si="120"/>
        <v>Alta</v>
      </c>
      <c r="G235" s="7" t="str">
        <f t="shared" si="121"/>
        <v>CEH</v>
      </c>
      <c r="H235" s="7">
        <f t="shared" si="122"/>
        <v>6</v>
      </c>
      <c r="I235" s="116" t="str">
        <f t="shared" si="123"/>
        <v>H</v>
      </c>
      <c r="J235" s="7" t="str">
        <f t="shared" si="124"/>
        <v>CEI</v>
      </c>
      <c r="K235" s="127">
        <f t="shared" si="125"/>
        <v>6</v>
      </c>
      <c r="L235" s="127">
        <f>IF(NOT(ISERROR(VLOOKUP(B235,Deflatores!G$42:H$64,2,FALSE))),VLOOKUP(B235,Deflatores!G$42:H$64,2,FALSE),IF(OR(ISBLANK(C235),ISBLANK(B235)),"",VLOOKUP(C235,Deflatores!G$4:H$38,2,FALSE)*H235+VLOOKUP(C235,Deflatores!G$4:I$38,3,FALSE)))</f>
        <v>6</v>
      </c>
      <c r="M235" s="10"/>
      <c r="N235" s="10"/>
      <c r="O235" s="6"/>
    </row>
    <row r="236" spans="1:15" x14ac:dyDescent="0.25">
      <c r="A236" s="179" t="s">
        <v>497</v>
      </c>
      <c r="B236" s="4" t="s">
        <v>45</v>
      </c>
      <c r="C236" s="4" t="s">
        <v>50</v>
      </c>
      <c r="D236" s="7">
        <v>3</v>
      </c>
      <c r="E236" s="7">
        <v>3</v>
      </c>
      <c r="F236" s="116" t="str">
        <f t="shared" si="120"/>
        <v>Média</v>
      </c>
      <c r="G236" s="7" t="str">
        <f t="shared" si="121"/>
        <v>EEA</v>
      </c>
      <c r="H236" s="7">
        <f t="shared" si="122"/>
        <v>4</v>
      </c>
      <c r="I236" s="116" t="str">
        <f t="shared" si="123"/>
        <v>A</v>
      </c>
      <c r="J236" s="7" t="str">
        <f t="shared" si="124"/>
        <v>EEI</v>
      </c>
      <c r="K236" s="127">
        <f t="shared" si="125"/>
        <v>4</v>
      </c>
      <c r="L236" s="127">
        <f>IF(NOT(ISERROR(VLOOKUP(B236,Deflatores!G$42:H$64,2,FALSE))),VLOOKUP(B236,Deflatores!G$42:H$64,2,FALSE),IF(OR(ISBLANK(C236),ISBLANK(B236)),"",VLOOKUP(C236,Deflatores!G$4:H$38,2,FALSE)*H236+VLOOKUP(C236,Deflatores!G$4:I$38,3,FALSE)))</f>
        <v>4</v>
      </c>
      <c r="M236" s="10"/>
      <c r="N236" s="10"/>
      <c r="O236" s="6"/>
    </row>
    <row r="237" spans="1:15" x14ac:dyDescent="0.25">
      <c r="A237" s="179" t="s">
        <v>498</v>
      </c>
      <c r="B237" s="4" t="s">
        <v>45</v>
      </c>
      <c r="C237" s="4" t="s">
        <v>50</v>
      </c>
      <c r="D237" s="7">
        <v>4</v>
      </c>
      <c r="E237" s="7">
        <v>3</v>
      </c>
      <c r="F237" s="116" t="str">
        <f t="shared" si="120"/>
        <v>Média</v>
      </c>
      <c r="G237" s="7" t="str">
        <f t="shared" si="121"/>
        <v>EEA</v>
      </c>
      <c r="H237" s="7">
        <f t="shared" si="122"/>
        <v>4</v>
      </c>
      <c r="I237" s="116" t="str">
        <f t="shared" si="123"/>
        <v>A</v>
      </c>
      <c r="J237" s="7" t="str">
        <f t="shared" si="124"/>
        <v>EEI</v>
      </c>
      <c r="K237" s="127">
        <f t="shared" si="125"/>
        <v>4</v>
      </c>
      <c r="L237" s="127">
        <f>IF(NOT(ISERROR(VLOOKUP(B237,Deflatores!G$42:H$64,2,FALSE))),VLOOKUP(B237,Deflatores!G$42:H$64,2,FALSE),IF(OR(ISBLANK(C237),ISBLANK(B237)),"",VLOOKUP(C237,Deflatores!G$4:H$38,2,FALSE)*H237+VLOOKUP(C237,Deflatores!G$4:I$38,3,FALSE)))</f>
        <v>4</v>
      </c>
      <c r="M237" s="10"/>
      <c r="N237" s="10"/>
      <c r="O237" s="6"/>
    </row>
    <row r="238" spans="1:15" x14ac:dyDescent="0.25">
      <c r="A238" s="179"/>
      <c r="B238" s="4"/>
      <c r="C238" s="4"/>
      <c r="D238" s="7"/>
      <c r="E238" s="7"/>
      <c r="F238" s="116" t="str">
        <f t="shared" si="114"/>
        <v/>
      </c>
      <c r="G238" s="7" t="str">
        <f t="shared" si="115"/>
        <v/>
      </c>
      <c r="H238" s="7" t="str">
        <f t="shared" si="116"/>
        <v/>
      </c>
      <c r="I238" s="116" t="str">
        <f t="shared" si="117"/>
        <v/>
      </c>
      <c r="J238" s="7" t="str">
        <f t="shared" si="118"/>
        <v/>
      </c>
      <c r="K238" s="127" t="str">
        <f t="shared" si="119"/>
        <v/>
      </c>
      <c r="L238" s="127" t="str">
        <f>IF(NOT(ISERROR(VLOOKUP(B238,Deflatores!G$42:H$64,2,FALSE))),VLOOKUP(B238,Deflatores!G$42:H$64,2,FALSE),IF(OR(ISBLANK(C238),ISBLANK(B238)),"",VLOOKUP(C238,Deflatores!G$4:H$38,2,FALSE)*H238+VLOOKUP(C238,Deflatores!G$4:I$38,3,FALSE)))</f>
        <v/>
      </c>
      <c r="M238" s="10"/>
      <c r="N238" s="10"/>
      <c r="O238" s="6"/>
    </row>
    <row r="239" spans="1:15" x14ac:dyDescent="0.25">
      <c r="A239" s="181" t="s">
        <v>242</v>
      </c>
      <c r="B239" s="4"/>
      <c r="C239" s="4"/>
      <c r="D239" s="7"/>
      <c r="E239" s="7"/>
      <c r="F239" s="116" t="str">
        <f t="shared" si="114"/>
        <v/>
      </c>
      <c r="G239" s="7" t="str">
        <f t="shared" si="115"/>
        <v/>
      </c>
      <c r="H239" s="7" t="str">
        <f t="shared" si="116"/>
        <v/>
      </c>
      <c r="I239" s="116" t="str">
        <f t="shared" si="117"/>
        <v/>
      </c>
      <c r="J239" s="7" t="str">
        <f t="shared" si="118"/>
        <v/>
      </c>
      <c r="K239" s="127" t="str">
        <f t="shared" si="119"/>
        <v/>
      </c>
      <c r="L239" s="127" t="str">
        <f>IF(NOT(ISERROR(VLOOKUP(B239,Deflatores!G$42:H$64,2,FALSE))),VLOOKUP(B239,Deflatores!G$42:H$64,2,FALSE),IF(OR(ISBLANK(C239),ISBLANK(B239)),"",VLOOKUP(C239,Deflatores!G$4:H$38,2,FALSE)*H239+VLOOKUP(C239,Deflatores!G$4:I$38,3,FALSE)))</f>
        <v/>
      </c>
      <c r="M239" s="10"/>
      <c r="N239" s="10"/>
      <c r="O239" s="6"/>
    </row>
    <row r="240" spans="1:15" x14ac:dyDescent="0.25">
      <c r="A240" s="179" t="s">
        <v>243</v>
      </c>
      <c r="B240" s="4" t="s">
        <v>181</v>
      </c>
      <c r="C240" s="4" t="s">
        <v>50</v>
      </c>
      <c r="D240" s="7">
        <v>7</v>
      </c>
      <c r="E240" s="7">
        <v>1</v>
      </c>
      <c r="F240" s="116" t="str">
        <f t="shared" si="114"/>
        <v>Baixa</v>
      </c>
      <c r="G240" s="7" t="str">
        <f t="shared" si="115"/>
        <v>SEL</v>
      </c>
      <c r="H240" s="7">
        <f t="shared" si="116"/>
        <v>4</v>
      </c>
      <c r="I240" s="116" t="str">
        <f t="shared" si="117"/>
        <v>L</v>
      </c>
      <c r="J240" s="7" t="str">
        <f t="shared" si="118"/>
        <v>SEI</v>
      </c>
      <c r="K240" s="127">
        <f t="shared" si="119"/>
        <v>4</v>
      </c>
      <c r="L240" s="127">
        <f>IF(NOT(ISERROR(VLOOKUP(B240,Deflatores!G$42:H$64,2,FALSE))),VLOOKUP(B240,Deflatores!G$42:H$64,2,FALSE),IF(OR(ISBLANK(C240),ISBLANK(B240)),"",VLOOKUP(C240,Deflatores!G$4:H$38,2,FALSE)*H240+VLOOKUP(C240,Deflatores!G$4:I$38,3,FALSE)))</f>
        <v>4</v>
      </c>
      <c r="M240" s="10"/>
      <c r="N240" s="10"/>
      <c r="O240" s="6"/>
    </row>
    <row r="241" spans="1:15" x14ac:dyDescent="0.25">
      <c r="A241" s="179" t="s">
        <v>490</v>
      </c>
      <c r="B241" s="4" t="s">
        <v>45</v>
      </c>
      <c r="C241" s="4" t="s">
        <v>50</v>
      </c>
      <c r="D241" s="7">
        <v>9</v>
      </c>
      <c r="E241" s="7">
        <v>3</v>
      </c>
      <c r="F241" s="116" t="str">
        <f t="shared" ref="F241" si="126">IF(ISBLANK(B241),"",IF(I241="L","Baixa",IF(I241="A","Média",IF(I241="","","Alta"))))</f>
        <v>Alta</v>
      </c>
      <c r="G241" s="7" t="str">
        <f t="shared" ref="G241" si="127">CONCATENATE(B241,I241)</f>
        <v>EEH</v>
      </c>
      <c r="H241" s="7">
        <f t="shared" ref="H241" si="128">IF(ISBLANK(B241),"",IF(B241="ALI",IF(I241="L",7,IF(I241="A",10,15)),IF(B241="AIE",IF(I241="L",5,IF(I241="A",7,10)),IF(B241="SE",IF(I241="L",4,IF(I241="A",5,7)),IF(OR(B241="EE",B241="CE"),IF(I241="L",3,IF(I241="A",4,6)),0)))))</f>
        <v>6</v>
      </c>
      <c r="I241" s="116" t="str">
        <f t="shared" ref="I241" si="129">IF(OR(ISBLANK(D241),ISBLANK(E241)),IF(OR(B241="ALI",B241="AIE"),"L",IF(OR(B241="EE",B241="SE",B241="CE"),"A","")),IF(B241="EE",IF(E241&gt;=3,IF(D241&gt;=5,"H","A"),IF(E241&gt;=2,IF(D241&gt;=16,"H",IF(D241&lt;=4,"L","A")),IF(D241&lt;=15,"L","A"))),IF(OR(B241="SE",B241="CE"),IF(E241&gt;=4,IF(D241&gt;=6,"H","A"),IF(E241&gt;=2,IF(D241&gt;=20,"H",IF(D241&lt;=5,"L","A")),IF(D241&lt;=19,"L","A"))),IF(OR(B241="ALI",B241="AIE"),IF(E241&gt;=6,IF(D241&gt;=20,"H","A"),IF(E241&gt;=2,IF(D241&gt;=51,"H",IF(D241&lt;=19,"L","A")),IF(D241&lt;=50,"L","A"))),""))))</f>
        <v>H</v>
      </c>
      <c r="J241" s="7" t="str">
        <f t="shared" ref="J241" si="130">CONCATENATE(B241,C241)</f>
        <v>EEI</v>
      </c>
      <c r="K241" s="127">
        <f t="shared" ref="K241" si="131">IF(OR(H241="",H241=0),L241,H241)</f>
        <v>6</v>
      </c>
      <c r="L241" s="127">
        <f>IF(NOT(ISERROR(VLOOKUP(B241,Deflatores!G$42:H$64,2,FALSE))),VLOOKUP(B241,Deflatores!G$42:H$64,2,FALSE),IF(OR(ISBLANK(C241),ISBLANK(B241)),"",VLOOKUP(C241,Deflatores!G$4:H$38,2,FALSE)*H241+VLOOKUP(C241,Deflatores!G$4:I$38,3,FALSE)))</f>
        <v>6</v>
      </c>
      <c r="M241" s="10"/>
      <c r="N241" s="10"/>
      <c r="O241" s="6"/>
    </row>
    <row r="242" spans="1:15" x14ac:dyDescent="0.25">
      <c r="A242" s="181"/>
      <c r="B242" s="4"/>
      <c r="C242" s="4"/>
      <c r="D242" s="7"/>
      <c r="E242" s="7"/>
      <c r="F242" s="116" t="str">
        <f t="shared" si="114"/>
        <v/>
      </c>
      <c r="G242" s="7" t="str">
        <f t="shared" si="115"/>
        <v/>
      </c>
      <c r="H242" s="7" t="str">
        <f t="shared" si="116"/>
        <v/>
      </c>
      <c r="I242" s="116" t="str">
        <f t="shared" si="117"/>
        <v/>
      </c>
      <c r="J242" s="7" t="str">
        <f t="shared" si="118"/>
        <v/>
      </c>
      <c r="K242" s="127" t="str">
        <f t="shared" si="119"/>
        <v/>
      </c>
      <c r="L242" s="127" t="str">
        <f>IF(NOT(ISERROR(VLOOKUP(B242,Deflatores!G$42:H$64,2,FALSE))),VLOOKUP(B242,Deflatores!G$42:H$64,2,FALSE),IF(OR(ISBLANK(C242),ISBLANK(B242)),"",VLOOKUP(C242,Deflatores!G$4:H$38,2,FALSE)*H242+VLOOKUP(C242,Deflatores!G$4:I$38,3,FALSE)))</f>
        <v/>
      </c>
      <c r="M242" s="10"/>
      <c r="N242" s="10"/>
      <c r="O242" s="6"/>
    </row>
    <row r="243" spans="1:15" x14ac:dyDescent="0.25">
      <c r="A243" s="181" t="s">
        <v>244</v>
      </c>
      <c r="B243" s="4"/>
      <c r="C243" s="4"/>
      <c r="D243" s="7"/>
      <c r="E243" s="7"/>
      <c r="F243" s="116" t="str">
        <f t="shared" ref="F243:F249" si="132">IF(ISBLANK(B243),"",IF(I243="L","Baixa",IF(I243="A","Média",IF(I243="","","Alta"))))</f>
        <v/>
      </c>
      <c r="G243" s="7" t="str">
        <f t="shared" ref="G243:G249" si="133">CONCATENATE(B243,I243)</f>
        <v/>
      </c>
      <c r="H243" s="7" t="str">
        <f t="shared" ref="H243:H249" si="134">IF(ISBLANK(B243),"",IF(B243="ALI",IF(I243="L",7,IF(I243="A",10,15)),IF(B243="AIE",IF(I243="L",5,IF(I243="A",7,10)),IF(B243="SE",IF(I243="L",4,IF(I243="A",5,7)),IF(OR(B243="EE",B243="CE"),IF(I243="L",3,IF(I243="A",4,6)),0)))))</f>
        <v/>
      </c>
      <c r="I243" s="116" t="str">
        <f t="shared" ref="I243:I249" si="135">IF(OR(ISBLANK(D243),ISBLANK(E243)),IF(OR(B243="ALI",B243="AIE"),"L",IF(OR(B243="EE",B243="SE",B243="CE"),"A","")),IF(B243="EE",IF(E243&gt;=3,IF(D243&gt;=5,"H","A"),IF(E243&gt;=2,IF(D243&gt;=16,"H",IF(D243&lt;=4,"L","A")),IF(D243&lt;=15,"L","A"))),IF(OR(B243="SE",B243="CE"),IF(E243&gt;=4,IF(D243&gt;=6,"H","A"),IF(E243&gt;=2,IF(D243&gt;=20,"H",IF(D243&lt;=5,"L","A")),IF(D243&lt;=19,"L","A"))),IF(OR(B243="ALI",B243="AIE"),IF(E243&gt;=6,IF(D243&gt;=20,"H","A"),IF(E243&gt;=2,IF(D243&gt;=51,"H",IF(D243&lt;=19,"L","A")),IF(D243&lt;=50,"L","A"))),""))))</f>
        <v/>
      </c>
      <c r="J243" s="7" t="str">
        <f t="shared" ref="J243:J249" si="136">CONCATENATE(B243,C243)</f>
        <v/>
      </c>
      <c r="K243" s="127" t="str">
        <f t="shared" ref="K243:K249" si="137">IF(OR(H243="",H243=0),L243,H243)</f>
        <v/>
      </c>
      <c r="L243" s="127" t="str">
        <f>IF(NOT(ISERROR(VLOOKUP(B243,Deflatores!G$42:H$64,2,FALSE))),VLOOKUP(B243,Deflatores!G$42:H$64,2,FALSE),IF(OR(ISBLANK(C243),ISBLANK(B243)),"",VLOOKUP(C243,Deflatores!G$4:H$38,2,FALSE)*H243+VLOOKUP(C243,Deflatores!G$4:I$38,3,FALSE)))</f>
        <v/>
      </c>
      <c r="M243" s="10"/>
      <c r="N243" s="10"/>
      <c r="O243" s="6"/>
    </row>
    <row r="244" spans="1:15" x14ac:dyDescent="0.25">
      <c r="A244" s="179" t="s">
        <v>245</v>
      </c>
      <c r="B244" s="4" t="s">
        <v>61</v>
      </c>
      <c r="C244" s="4" t="s">
        <v>50</v>
      </c>
      <c r="D244" s="7">
        <v>15</v>
      </c>
      <c r="E244" s="7">
        <v>3</v>
      </c>
      <c r="F244" s="116" t="str">
        <f t="shared" si="132"/>
        <v>Baixa</v>
      </c>
      <c r="G244" s="7" t="str">
        <f t="shared" si="133"/>
        <v>ALIL</v>
      </c>
      <c r="H244" s="7">
        <f t="shared" si="134"/>
        <v>7</v>
      </c>
      <c r="I244" s="116" t="str">
        <f t="shared" si="135"/>
        <v>L</v>
      </c>
      <c r="J244" s="7" t="str">
        <f t="shared" si="136"/>
        <v>ALII</v>
      </c>
      <c r="K244" s="127">
        <f t="shared" si="137"/>
        <v>7</v>
      </c>
      <c r="L244" s="127">
        <f>IF(NOT(ISERROR(VLOOKUP(B244,Deflatores!G$42:H$64,2,FALSE))),VLOOKUP(B244,Deflatores!G$42:H$64,2,FALSE),IF(OR(ISBLANK(C244),ISBLANK(B244)),"",VLOOKUP(C244,Deflatores!G$4:H$38,2,FALSE)*H244+VLOOKUP(C244,Deflatores!G$4:I$38,3,FALSE)))</f>
        <v>7</v>
      </c>
      <c r="M244" s="10"/>
      <c r="N244" s="10"/>
      <c r="O244" s="6"/>
    </row>
    <row r="245" spans="1:15" x14ac:dyDescent="0.25">
      <c r="A245" s="179" t="s">
        <v>246</v>
      </c>
      <c r="B245" s="4" t="s">
        <v>52</v>
      </c>
      <c r="C245" s="4" t="s">
        <v>50</v>
      </c>
      <c r="D245" s="7">
        <v>11</v>
      </c>
      <c r="E245" s="7">
        <v>6</v>
      </c>
      <c r="F245" s="116" t="str">
        <f t="shared" si="132"/>
        <v>Alta</v>
      </c>
      <c r="G245" s="7" t="str">
        <f t="shared" si="133"/>
        <v>CEH</v>
      </c>
      <c r="H245" s="7">
        <f t="shared" si="134"/>
        <v>6</v>
      </c>
      <c r="I245" s="116" t="str">
        <f t="shared" si="135"/>
        <v>H</v>
      </c>
      <c r="J245" s="7" t="str">
        <f t="shared" si="136"/>
        <v>CEI</v>
      </c>
      <c r="K245" s="127">
        <f t="shared" si="137"/>
        <v>6</v>
      </c>
      <c r="L245" s="127">
        <f>IF(NOT(ISERROR(VLOOKUP(B245,Deflatores!G$42:H$64,2,FALSE))),VLOOKUP(B245,Deflatores!G$42:H$64,2,FALSE),IF(OR(ISBLANK(C245),ISBLANK(B245)),"",VLOOKUP(C245,Deflatores!G$4:H$38,2,FALSE)*H245+VLOOKUP(C245,Deflatores!G$4:I$38,3,FALSE)))</f>
        <v>6</v>
      </c>
      <c r="M245" s="10"/>
      <c r="N245" s="10"/>
      <c r="O245" s="6"/>
    </row>
    <row r="246" spans="1:15" x14ac:dyDescent="0.25">
      <c r="A246" s="180" t="s">
        <v>247</v>
      </c>
      <c r="B246" s="4" t="s">
        <v>52</v>
      </c>
      <c r="C246" s="4" t="s">
        <v>50</v>
      </c>
      <c r="D246" s="7">
        <v>3</v>
      </c>
      <c r="E246" s="7">
        <v>1</v>
      </c>
      <c r="F246" s="116" t="str">
        <f t="shared" si="132"/>
        <v>Baixa</v>
      </c>
      <c r="G246" s="7" t="str">
        <f t="shared" si="133"/>
        <v>CEL</v>
      </c>
      <c r="H246" s="7">
        <f t="shared" si="134"/>
        <v>3</v>
      </c>
      <c r="I246" s="116" t="str">
        <f t="shared" si="135"/>
        <v>L</v>
      </c>
      <c r="J246" s="7" t="str">
        <f t="shared" si="136"/>
        <v>CEI</v>
      </c>
      <c r="K246" s="127">
        <f t="shared" si="137"/>
        <v>3</v>
      </c>
      <c r="L246" s="127">
        <f>IF(NOT(ISERROR(VLOOKUP(B246,Deflatores!G$42:H$64,2,FALSE))),VLOOKUP(B246,Deflatores!G$42:H$64,2,FALSE),IF(OR(ISBLANK(C246),ISBLANK(B246)),"",VLOOKUP(C246,Deflatores!G$4:H$38,2,FALSE)*H246+VLOOKUP(C246,Deflatores!G$4:I$38,3,FALSE)))</f>
        <v>3</v>
      </c>
      <c r="M246" s="10"/>
      <c r="N246" s="10"/>
      <c r="O246" s="6"/>
    </row>
    <row r="247" spans="1:15" x14ac:dyDescent="0.25">
      <c r="A247" s="180" t="s">
        <v>248</v>
      </c>
      <c r="B247" s="4" t="s">
        <v>52</v>
      </c>
      <c r="C247" s="4" t="s">
        <v>50</v>
      </c>
      <c r="D247" s="7">
        <v>3</v>
      </c>
      <c r="E247" s="7">
        <v>1</v>
      </c>
      <c r="F247" s="116" t="str">
        <f t="shared" si="132"/>
        <v>Baixa</v>
      </c>
      <c r="G247" s="7" t="str">
        <f t="shared" si="133"/>
        <v>CEL</v>
      </c>
      <c r="H247" s="7">
        <f t="shared" si="134"/>
        <v>3</v>
      </c>
      <c r="I247" s="116" t="str">
        <f t="shared" si="135"/>
        <v>L</v>
      </c>
      <c r="J247" s="7" t="str">
        <f t="shared" si="136"/>
        <v>CEI</v>
      </c>
      <c r="K247" s="127">
        <f t="shared" si="137"/>
        <v>3</v>
      </c>
      <c r="L247" s="127">
        <f>IF(NOT(ISERROR(VLOOKUP(B247,Deflatores!G$42:H$64,2,FALSE))),VLOOKUP(B247,Deflatores!G$42:H$64,2,FALSE),IF(OR(ISBLANK(C247),ISBLANK(B247)),"",VLOOKUP(C247,Deflatores!G$4:H$38,2,FALSE)*H247+VLOOKUP(C247,Deflatores!G$4:I$38,3,FALSE)))</f>
        <v>3</v>
      </c>
      <c r="M247" s="10"/>
      <c r="N247" s="10"/>
      <c r="O247" s="6"/>
    </row>
    <row r="248" spans="1:15" x14ac:dyDescent="0.25">
      <c r="A248" s="179" t="s">
        <v>249</v>
      </c>
      <c r="B248" s="4" t="s">
        <v>181</v>
      </c>
      <c r="C248" s="4" t="s">
        <v>50</v>
      </c>
      <c r="D248" s="7">
        <v>13</v>
      </c>
      <c r="E248" s="7">
        <v>6</v>
      </c>
      <c r="F248" s="116" t="str">
        <f t="shared" si="132"/>
        <v>Alta</v>
      </c>
      <c r="G248" s="7" t="str">
        <f t="shared" si="133"/>
        <v>SEH</v>
      </c>
      <c r="H248" s="7">
        <f t="shared" si="134"/>
        <v>7</v>
      </c>
      <c r="I248" s="116" t="str">
        <f t="shared" si="135"/>
        <v>H</v>
      </c>
      <c r="J248" s="7" t="str">
        <f t="shared" si="136"/>
        <v>SEI</v>
      </c>
      <c r="K248" s="127">
        <f t="shared" si="137"/>
        <v>7</v>
      </c>
      <c r="L248" s="127">
        <f>IF(NOT(ISERROR(VLOOKUP(B248,Deflatores!G$42:H$64,2,FALSE))),VLOOKUP(B248,Deflatores!G$42:H$64,2,FALSE),IF(OR(ISBLANK(C248),ISBLANK(B248)),"",VLOOKUP(C248,Deflatores!G$4:H$38,2,FALSE)*H248+VLOOKUP(C248,Deflatores!G$4:I$38,3,FALSE)))</f>
        <v>7</v>
      </c>
      <c r="M248" s="10"/>
      <c r="N248" s="10"/>
      <c r="O248" s="6"/>
    </row>
    <row r="249" spans="1:15" x14ac:dyDescent="0.25">
      <c r="A249" s="179" t="s">
        <v>250</v>
      </c>
      <c r="B249" s="4" t="s">
        <v>52</v>
      </c>
      <c r="C249" s="4" t="s">
        <v>50</v>
      </c>
      <c r="D249" s="7">
        <v>11</v>
      </c>
      <c r="E249" s="7">
        <v>5</v>
      </c>
      <c r="F249" s="116" t="str">
        <f t="shared" si="132"/>
        <v>Alta</v>
      </c>
      <c r="G249" s="7" t="str">
        <f t="shared" si="133"/>
        <v>CEH</v>
      </c>
      <c r="H249" s="7">
        <f t="shared" si="134"/>
        <v>6</v>
      </c>
      <c r="I249" s="116" t="str">
        <f t="shared" si="135"/>
        <v>H</v>
      </c>
      <c r="J249" s="7" t="str">
        <f t="shared" si="136"/>
        <v>CEI</v>
      </c>
      <c r="K249" s="127">
        <f t="shared" si="137"/>
        <v>6</v>
      </c>
      <c r="L249" s="127">
        <f>IF(NOT(ISERROR(VLOOKUP(B249,Deflatores!G$42:H$64,2,FALSE))),VLOOKUP(B249,Deflatores!G$42:H$64,2,FALSE),IF(OR(ISBLANK(C249),ISBLANK(B249)),"",VLOOKUP(C249,Deflatores!G$4:H$38,2,FALSE)*H249+VLOOKUP(C249,Deflatores!G$4:I$38,3,FALSE)))</f>
        <v>6</v>
      </c>
      <c r="M249" s="10"/>
      <c r="N249" s="10"/>
      <c r="O249" s="6"/>
    </row>
    <row r="250" spans="1:15" x14ac:dyDescent="0.25">
      <c r="A250" s="180" t="s">
        <v>251</v>
      </c>
      <c r="B250" s="4" t="s">
        <v>52</v>
      </c>
      <c r="C250" s="4" t="s">
        <v>50</v>
      </c>
      <c r="D250" s="7">
        <v>4</v>
      </c>
      <c r="E250" s="7">
        <v>1</v>
      </c>
      <c r="F250" s="116" t="str">
        <f t="shared" ref="F250" si="138">IF(ISBLANK(B250),"",IF(I250="L","Baixa",IF(I250="A","Média",IF(I250="","","Alta"))))</f>
        <v>Baixa</v>
      </c>
      <c r="G250" s="7" t="str">
        <f t="shared" ref="G250" si="139">CONCATENATE(B250,I250)</f>
        <v>CEL</v>
      </c>
      <c r="H250" s="7">
        <f t="shared" ref="H250" si="140">IF(ISBLANK(B250),"",IF(B250="ALI",IF(I250="L",7,IF(I250="A",10,15)),IF(B250="AIE",IF(I250="L",5,IF(I250="A",7,10)),IF(B250="SE",IF(I250="L",4,IF(I250="A",5,7)),IF(OR(B250="EE",B250="CE"),IF(I250="L",3,IF(I250="A",4,6)),0)))))</f>
        <v>3</v>
      </c>
      <c r="I250" s="116" t="str">
        <f t="shared" ref="I250" si="141">IF(OR(ISBLANK(D250),ISBLANK(E250)),IF(OR(B250="ALI",B250="AIE"),"L",IF(OR(B250="EE",B250="SE",B250="CE"),"A","")),IF(B250="EE",IF(E250&gt;=3,IF(D250&gt;=5,"H","A"),IF(E250&gt;=2,IF(D250&gt;=16,"H",IF(D250&lt;=4,"L","A")),IF(D250&lt;=15,"L","A"))),IF(OR(B250="SE",B250="CE"),IF(E250&gt;=4,IF(D250&gt;=6,"H","A"),IF(E250&gt;=2,IF(D250&gt;=20,"H",IF(D250&lt;=5,"L","A")),IF(D250&lt;=19,"L","A"))),IF(OR(B250="ALI",B250="AIE"),IF(E250&gt;=6,IF(D250&gt;=20,"H","A"),IF(E250&gt;=2,IF(D250&gt;=51,"H",IF(D250&lt;=19,"L","A")),IF(D250&lt;=50,"L","A"))),""))))</f>
        <v>L</v>
      </c>
      <c r="J250" s="7" t="str">
        <f t="shared" ref="J250" si="142">CONCATENATE(B250,C250)</f>
        <v>CEI</v>
      </c>
      <c r="K250" s="127">
        <f t="shared" ref="K250" si="143">IF(OR(H250="",H250=0),L250,H250)</f>
        <v>3</v>
      </c>
      <c r="L250" s="127">
        <f>IF(NOT(ISERROR(VLOOKUP(B250,Deflatores!G$42:H$64,2,FALSE))),VLOOKUP(B250,Deflatores!G$42:H$64,2,FALSE),IF(OR(ISBLANK(C250),ISBLANK(B250)),"",VLOOKUP(C250,Deflatores!G$4:H$38,2,FALSE)*H250+VLOOKUP(C250,Deflatores!G$4:I$38,3,FALSE)))</f>
        <v>3</v>
      </c>
      <c r="M250" s="10"/>
      <c r="N250" s="10"/>
      <c r="O250" s="6"/>
    </row>
    <row r="251" spans="1:15" x14ac:dyDescent="0.25">
      <c r="A251" s="179" t="s">
        <v>252</v>
      </c>
      <c r="B251" s="4" t="s">
        <v>45</v>
      </c>
      <c r="C251" s="4" t="s">
        <v>50</v>
      </c>
      <c r="D251" s="7">
        <v>6</v>
      </c>
      <c r="E251" s="7">
        <v>3</v>
      </c>
      <c r="F251" s="116" t="str">
        <f t="shared" si="114"/>
        <v>Alta</v>
      </c>
      <c r="G251" s="7" t="str">
        <f t="shared" si="115"/>
        <v>EEH</v>
      </c>
      <c r="H251" s="7">
        <f t="shared" si="116"/>
        <v>6</v>
      </c>
      <c r="I251" s="116" t="str">
        <f t="shared" si="117"/>
        <v>H</v>
      </c>
      <c r="J251" s="7" t="str">
        <f t="shared" si="118"/>
        <v>EEI</v>
      </c>
      <c r="K251" s="127">
        <f t="shared" si="119"/>
        <v>6</v>
      </c>
      <c r="L251" s="127">
        <f>IF(NOT(ISERROR(VLOOKUP(B251,Deflatores!G$42:H$64,2,FALSE))),VLOOKUP(B251,Deflatores!G$42:H$64,2,FALSE),IF(OR(ISBLANK(C251),ISBLANK(B251)),"",VLOOKUP(C251,Deflatores!G$4:H$38,2,FALSE)*H251+VLOOKUP(C251,Deflatores!G$4:I$38,3,FALSE)))</f>
        <v>6</v>
      </c>
      <c r="M251" s="10"/>
      <c r="N251" s="10"/>
      <c r="O251" s="6"/>
    </row>
    <row r="252" spans="1:15" x14ac:dyDescent="0.25">
      <c r="A252" s="179"/>
      <c r="B252" s="4"/>
      <c r="C252" s="4"/>
      <c r="D252" s="7"/>
      <c r="E252" s="7"/>
      <c r="F252" s="116" t="str">
        <f t="shared" si="114"/>
        <v/>
      </c>
      <c r="G252" s="7" t="str">
        <f t="shared" si="115"/>
        <v/>
      </c>
      <c r="H252" s="7" t="str">
        <f t="shared" si="116"/>
        <v/>
      </c>
      <c r="I252" s="116" t="str">
        <f t="shared" si="117"/>
        <v/>
      </c>
      <c r="J252" s="7" t="str">
        <f t="shared" si="118"/>
        <v/>
      </c>
      <c r="K252" s="127" t="str">
        <f t="shared" si="119"/>
        <v/>
      </c>
      <c r="L252" s="127" t="str">
        <f>IF(NOT(ISERROR(VLOOKUP(B252,Deflatores!G$42:H$64,2,FALSE))),VLOOKUP(B252,Deflatores!G$42:H$64,2,FALSE),IF(OR(ISBLANK(C252),ISBLANK(B252)),"",VLOOKUP(C252,Deflatores!G$4:H$38,2,FALSE)*H252+VLOOKUP(C252,Deflatores!G$4:I$38,3,FALSE)))</f>
        <v/>
      </c>
      <c r="M252" s="10"/>
      <c r="N252" s="10"/>
      <c r="O252" s="6"/>
    </row>
    <row r="253" spans="1:15" x14ac:dyDescent="0.25">
      <c r="A253" s="181" t="s">
        <v>253</v>
      </c>
      <c r="B253" s="4"/>
      <c r="C253" s="4"/>
      <c r="D253" s="7"/>
      <c r="E253" s="7"/>
      <c r="F253" s="116" t="str">
        <f t="shared" si="114"/>
        <v/>
      </c>
      <c r="G253" s="7" t="str">
        <f t="shared" si="115"/>
        <v/>
      </c>
      <c r="H253" s="7" t="str">
        <f t="shared" si="116"/>
        <v/>
      </c>
      <c r="I253" s="116" t="str">
        <f t="shared" si="117"/>
        <v/>
      </c>
      <c r="J253" s="7" t="str">
        <f t="shared" si="118"/>
        <v/>
      </c>
      <c r="K253" s="127" t="str">
        <f t="shared" si="119"/>
        <v/>
      </c>
      <c r="L253" s="127" t="str">
        <f>IF(NOT(ISERROR(VLOOKUP(B253,Deflatores!G$42:H$64,2,FALSE))),VLOOKUP(B253,Deflatores!G$42:H$64,2,FALSE),IF(OR(ISBLANK(C253),ISBLANK(B253)),"",VLOOKUP(C253,Deflatores!G$4:H$38,2,FALSE)*H253+VLOOKUP(C253,Deflatores!G$4:I$38,3,FALSE)))</f>
        <v/>
      </c>
      <c r="M253" s="10"/>
      <c r="N253" s="10"/>
      <c r="O253" s="6"/>
    </row>
    <row r="254" spans="1:15" x14ac:dyDescent="0.25">
      <c r="A254" s="179" t="s">
        <v>254</v>
      </c>
      <c r="B254" s="4" t="s">
        <v>181</v>
      </c>
      <c r="C254" s="4" t="s">
        <v>50</v>
      </c>
      <c r="D254" s="7">
        <v>28</v>
      </c>
      <c r="E254" s="7">
        <v>6</v>
      </c>
      <c r="F254" s="116" t="str">
        <f>IF(ISBLANK(B254),"",IF(I254="L","Baixa",IF(I254="A","Média",IF(I254="","","Alta"))))</f>
        <v>Alta</v>
      </c>
      <c r="G254" s="7" t="str">
        <f>CONCATENATE(B254,I254)</f>
        <v>SEH</v>
      </c>
      <c r="H254" s="7">
        <f>IF(ISBLANK(B254),"",IF(B254="ALI",IF(I254="L",7,IF(I254="A",10,15)),IF(B254="AIE",IF(I254="L",5,IF(I254="A",7,10)),IF(B254="SE",IF(I254="L",4,IF(I254="A",5,7)),IF(OR(B254="EE",B254="CE"),IF(I254="L",3,IF(I254="A",4,6)),0)))))</f>
        <v>7</v>
      </c>
      <c r="I254" s="116" t="str">
        <f>IF(OR(ISBLANK(D254),ISBLANK(E254)),IF(OR(B254="ALI",B254="AIE"),"L",IF(OR(B254="EE",B254="SE",B254="CE"),"A","")),IF(B254="EE",IF(E254&gt;=3,IF(D254&gt;=5,"H","A"),IF(E254&gt;=2,IF(D254&gt;=16,"H",IF(D254&lt;=4,"L","A")),IF(D254&lt;=15,"L","A"))),IF(OR(B254="SE",B254="CE"),IF(E254&gt;=4,IF(D254&gt;=6,"H","A"),IF(E254&gt;=2,IF(D254&gt;=20,"H",IF(D254&lt;=5,"L","A")),IF(D254&lt;=19,"L","A"))),IF(OR(B254="ALI",B254="AIE"),IF(E254&gt;=6,IF(D254&gt;=20,"H","A"),IF(E254&gt;=2,IF(D254&gt;=51,"H",IF(D254&lt;=19,"L","A")),IF(D254&lt;=50,"L","A"))),""))))</f>
        <v>H</v>
      </c>
      <c r="J254" s="7" t="str">
        <f>CONCATENATE(B254,C254)</f>
        <v>SEI</v>
      </c>
      <c r="K254" s="127">
        <f>IF(OR(H254="",H254=0),L254,H254)</f>
        <v>7</v>
      </c>
      <c r="L254" s="127">
        <f>IF(NOT(ISERROR(VLOOKUP(B254,Deflatores!G$42:H$64,2,FALSE))),VLOOKUP(B254,Deflatores!G$42:H$64,2,FALSE),IF(OR(ISBLANK(C254),ISBLANK(B254)),"",VLOOKUP(C254,Deflatores!G$4:H$38,2,FALSE)*H254+VLOOKUP(C254,Deflatores!G$4:I$38,3,FALSE)))</f>
        <v>7</v>
      </c>
      <c r="M254" s="10"/>
      <c r="N254" s="10"/>
      <c r="O254" s="6"/>
    </row>
    <row r="255" spans="1:15" x14ac:dyDescent="0.25">
      <c r="A255" s="179"/>
      <c r="B255" s="4"/>
      <c r="C255" s="4"/>
      <c r="D255" s="7"/>
      <c r="E255" s="7"/>
      <c r="F255" s="116" t="str">
        <f>IF(ISBLANK(B255),"",IF(I255="L","Baixa",IF(I255="A","Média",IF(I255="","","Alta"))))</f>
        <v/>
      </c>
      <c r="G255" s="7" t="str">
        <f>CONCATENATE(B255,I255)</f>
        <v/>
      </c>
      <c r="H255" s="7" t="str">
        <f>IF(ISBLANK(B255),"",IF(B255="ALI",IF(I255="L",7,IF(I255="A",10,15)),IF(B255="AIE",IF(I255="L",5,IF(I255="A",7,10)),IF(B255="SE",IF(I255="L",4,IF(I255="A",5,7)),IF(OR(B255="EE",B255="CE"),IF(I255="L",3,IF(I255="A",4,6)),0)))))</f>
        <v/>
      </c>
      <c r="I255" s="116" t="str">
        <f>IF(OR(ISBLANK(D255),ISBLANK(E255)),IF(OR(B255="ALI",B255="AIE"),"L",IF(OR(B255="EE",B255="SE",B255="CE"),"A","")),IF(B255="EE",IF(E255&gt;=3,IF(D255&gt;=5,"H","A"),IF(E255&gt;=2,IF(D255&gt;=16,"H",IF(D255&lt;=4,"L","A")),IF(D255&lt;=15,"L","A"))),IF(OR(B255="SE",B255="CE"),IF(E255&gt;=4,IF(D255&gt;=6,"H","A"),IF(E255&gt;=2,IF(D255&gt;=20,"H",IF(D255&lt;=5,"L","A")),IF(D255&lt;=19,"L","A"))),IF(OR(B255="ALI",B255="AIE"),IF(E255&gt;=6,IF(D255&gt;=20,"H","A"),IF(E255&gt;=2,IF(D255&gt;=51,"H",IF(D255&lt;=19,"L","A")),IF(D255&lt;=50,"L","A"))),""))))</f>
        <v/>
      </c>
      <c r="J255" s="7" t="str">
        <f>CONCATENATE(B255,C255)</f>
        <v/>
      </c>
      <c r="K255" s="127" t="str">
        <f>IF(OR(H255="",H255=0),L255,H255)</f>
        <v/>
      </c>
      <c r="L255" s="127" t="str">
        <f>IF(NOT(ISERROR(VLOOKUP(B255,Deflatores!G$42:H$64,2,FALSE))),VLOOKUP(B255,Deflatores!G$42:H$64,2,FALSE),IF(OR(ISBLANK(C255),ISBLANK(B255)),"",VLOOKUP(C255,Deflatores!G$4:H$38,2,FALSE)*H255+VLOOKUP(C255,Deflatores!G$4:I$38,3,FALSE)))</f>
        <v/>
      </c>
      <c r="M255" s="10"/>
      <c r="N255" s="10"/>
      <c r="O255" s="6"/>
    </row>
    <row r="256" spans="1:15" x14ac:dyDescent="0.25">
      <c r="A256" s="181" t="s">
        <v>255</v>
      </c>
      <c r="B256" s="4"/>
      <c r="C256" s="4"/>
      <c r="D256" s="7"/>
      <c r="E256" s="7"/>
      <c r="F256" s="116" t="str">
        <f>IF(ISBLANK(B256),"",IF(I256="L","Baixa",IF(I256="A","Média",IF(I256="","","Alta"))))</f>
        <v/>
      </c>
      <c r="G256" s="7" t="str">
        <f>CONCATENATE(B256,I256)</f>
        <v/>
      </c>
      <c r="H256" s="7" t="str">
        <f>IF(ISBLANK(B256),"",IF(B256="ALI",IF(I256="L",7,IF(I256="A",10,15)),IF(B256="AIE",IF(I256="L",5,IF(I256="A",7,10)),IF(B256="SE",IF(I256="L",4,IF(I256="A",5,7)),IF(OR(B256="EE",B256="CE"),IF(I256="L",3,IF(I256="A",4,6)),0)))))</f>
        <v/>
      </c>
      <c r="I256" s="116" t="str">
        <f>IF(OR(ISBLANK(D256),ISBLANK(E256)),IF(OR(B256="ALI",B256="AIE"),"L",IF(OR(B256="EE",B256="SE",B256="CE"),"A","")),IF(B256="EE",IF(E256&gt;=3,IF(D256&gt;=5,"H","A"),IF(E256&gt;=2,IF(D256&gt;=16,"H",IF(D256&lt;=4,"L","A")),IF(D256&lt;=15,"L","A"))),IF(OR(B256="SE",B256="CE"),IF(E256&gt;=4,IF(D256&gt;=6,"H","A"),IF(E256&gt;=2,IF(D256&gt;=20,"H",IF(D256&lt;=5,"L","A")),IF(D256&lt;=19,"L","A"))),IF(OR(B256="ALI",B256="AIE"),IF(E256&gt;=6,IF(D256&gt;=20,"H","A"),IF(E256&gt;=2,IF(D256&gt;=51,"H",IF(D256&lt;=19,"L","A")),IF(D256&lt;=50,"L","A"))),""))))</f>
        <v/>
      </c>
      <c r="J256" s="7" t="str">
        <f>CONCATENATE(B256,C256)</f>
        <v/>
      </c>
      <c r="K256" s="127" t="str">
        <f>IF(OR(H256="",H256=0),L256,H256)</f>
        <v/>
      </c>
      <c r="L256" s="127" t="str">
        <f>IF(NOT(ISERROR(VLOOKUP(B256,Deflatores!G$42:H$64,2,FALSE))),VLOOKUP(B256,Deflatores!G$42:H$64,2,FALSE),IF(OR(ISBLANK(C256),ISBLANK(B256)),"",VLOOKUP(C256,Deflatores!G$4:H$38,2,FALSE)*H256+VLOOKUP(C256,Deflatores!G$4:I$38,3,FALSE)))</f>
        <v/>
      </c>
      <c r="M256" s="10"/>
      <c r="N256" s="10"/>
      <c r="O256" s="6"/>
    </row>
    <row r="257" spans="1:15" x14ac:dyDescent="0.25">
      <c r="A257" s="179" t="s">
        <v>256</v>
      </c>
      <c r="B257" s="4" t="s">
        <v>181</v>
      </c>
      <c r="C257" s="4" t="s">
        <v>50</v>
      </c>
      <c r="D257" s="7">
        <v>10</v>
      </c>
      <c r="E257" s="7">
        <v>4</v>
      </c>
      <c r="F257" s="116" t="str">
        <f>IF(ISBLANK(B257),"",IF(I257="L","Baixa",IF(I257="A","Média",IF(I257="","","Alta"))))</f>
        <v>Alta</v>
      </c>
      <c r="G257" s="7" t="str">
        <f>CONCATENATE(B257,I257)</f>
        <v>SEH</v>
      </c>
      <c r="H257" s="7">
        <f>IF(ISBLANK(B257),"",IF(B257="ALI",IF(I257="L",7,IF(I257="A",10,15)),IF(B257="AIE",IF(I257="L",5,IF(I257="A",7,10)),IF(B257="SE",IF(I257="L",4,IF(I257="A",5,7)),IF(OR(B257="EE",B257="CE"),IF(I257="L",3,IF(I257="A",4,6)),0)))))</f>
        <v>7</v>
      </c>
      <c r="I257" s="116" t="str">
        <f>IF(OR(ISBLANK(D257),ISBLANK(E257)),IF(OR(B257="ALI",B257="AIE"),"L",IF(OR(B257="EE",B257="SE",B257="CE"),"A","")),IF(B257="EE",IF(E257&gt;=3,IF(D257&gt;=5,"H","A"),IF(E257&gt;=2,IF(D257&gt;=16,"H",IF(D257&lt;=4,"L","A")),IF(D257&lt;=15,"L","A"))),IF(OR(B257="SE",B257="CE"),IF(E257&gt;=4,IF(D257&gt;=6,"H","A"),IF(E257&gt;=2,IF(D257&gt;=20,"H",IF(D257&lt;=5,"L","A")),IF(D257&lt;=19,"L","A"))),IF(OR(B257="ALI",B257="AIE"),IF(E257&gt;=6,IF(D257&gt;=20,"H","A"),IF(E257&gt;=2,IF(D257&gt;=51,"H",IF(D257&lt;=19,"L","A")),IF(D257&lt;=50,"L","A"))),""))))</f>
        <v>H</v>
      </c>
      <c r="J257" s="7" t="str">
        <f>CONCATENATE(B257,C257)</f>
        <v>SEI</v>
      </c>
      <c r="K257" s="127">
        <f>IF(OR(H257="",H257=0),L257,H257)</f>
        <v>7</v>
      </c>
      <c r="L257" s="127">
        <f>IF(NOT(ISERROR(VLOOKUP(B257,Deflatores!G$42:H$64,2,FALSE))),VLOOKUP(B257,Deflatores!G$42:H$64,2,FALSE),IF(OR(ISBLANK(C257),ISBLANK(B257)),"",VLOOKUP(C257,Deflatores!G$4:H$38,2,FALSE)*H257+VLOOKUP(C257,Deflatores!G$4:I$38,3,FALSE)))</f>
        <v>7</v>
      </c>
      <c r="M257" s="10"/>
      <c r="N257" s="10"/>
      <c r="O257" s="6"/>
    </row>
    <row r="258" spans="1:15" x14ac:dyDescent="0.25">
      <c r="A258" s="179" t="s">
        <v>257</v>
      </c>
      <c r="B258" s="4" t="s">
        <v>45</v>
      </c>
      <c r="C258" s="4" t="s">
        <v>50</v>
      </c>
      <c r="D258" s="7">
        <v>10</v>
      </c>
      <c r="E258" s="7">
        <v>5</v>
      </c>
      <c r="F258" s="116" t="str">
        <f t="shared" si="114"/>
        <v>Alta</v>
      </c>
      <c r="G258" s="7" t="str">
        <f t="shared" si="115"/>
        <v>EEH</v>
      </c>
      <c r="H258" s="7">
        <f t="shared" si="116"/>
        <v>6</v>
      </c>
      <c r="I258" s="116" t="str">
        <f t="shared" si="117"/>
        <v>H</v>
      </c>
      <c r="J258" s="7" t="str">
        <f t="shared" si="118"/>
        <v>EEI</v>
      </c>
      <c r="K258" s="127">
        <f t="shared" si="119"/>
        <v>6</v>
      </c>
      <c r="L258" s="127">
        <f>IF(NOT(ISERROR(VLOOKUP(B258,Deflatores!G$42:H$64,2,FALSE))),VLOOKUP(B258,Deflatores!G$42:H$64,2,FALSE),IF(OR(ISBLANK(C258),ISBLANK(B258)),"",VLOOKUP(C258,Deflatores!G$4:H$38,2,FALSE)*H258+VLOOKUP(C258,Deflatores!G$4:I$38,3,FALSE)))</f>
        <v>6</v>
      </c>
      <c r="M258" s="10"/>
      <c r="N258" s="10"/>
      <c r="O258" s="6"/>
    </row>
    <row r="259" spans="1:15" x14ac:dyDescent="0.25">
      <c r="A259" s="179"/>
      <c r="B259" s="4"/>
      <c r="C259" s="4"/>
      <c r="D259" s="7"/>
      <c r="E259" s="7"/>
      <c r="F259" s="116" t="str">
        <f t="shared" ref="F259" si="144">IF(ISBLANK(B259),"",IF(I259="L","Baixa",IF(I259="A","Média",IF(I259="","","Alta"))))</f>
        <v/>
      </c>
      <c r="G259" s="7" t="str">
        <f t="shared" ref="G259" si="145">CONCATENATE(B259,I259)</f>
        <v/>
      </c>
      <c r="H259" s="7" t="str">
        <f t="shared" ref="H259" si="146">IF(ISBLANK(B259),"",IF(B259="ALI",IF(I259="L",7,IF(I259="A",10,15)),IF(B259="AIE",IF(I259="L",5,IF(I259="A",7,10)),IF(B259="SE",IF(I259="L",4,IF(I259="A",5,7)),IF(OR(B259="EE",B259="CE"),IF(I259="L",3,IF(I259="A",4,6)),0)))))</f>
        <v/>
      </c>
      <c r="I259" s="116" t="str">
        <f t="shared" ref="I259" si="147">IF(OR(ISBLANK(D259),ISBLANK(E259)),IF(OR(B259="ALI",B259="AIE"),"L",IF(OR(B259="EE",B259="SE",B259="CE"),"A","")),IF(B259="EE",IF(E259&gt;=3,IF(D259&gt;=5,"H","A"),IF(E259&gt;=2,IF(D259&gt;=16,"H",IF(D259&lt;=4,"L","A")),IF(D259&lt;=15,"L","A"))),IF(OR(B259="SE",B259="CE"),IF(E259&gt;=4,IF(D259&gt;=6,"H","A"),IF(E259&gt;=2,IF(D259&gt;=20,"H",IF(D259&lt;=5,"L","A")),IF(D259&lt;=19,"L","A"))),IF(OR(B259="ALI",B259="AIE"),IF(E259&gt;=6,IF(D259&gt;=20,"H","A"),IF(E259&gt;=2,IF(D259&gt;=51,"H",IF(D259&lt;=19,"L","A")),IF(D259&lt;=50,"L","A"))),""))))</f>
        <v/>
      </c>
      <c r="J259" s="7" t="str">
        <f t="shared" ref="J259" si="148">CONCATENATE(B259,C259)</f>
        <v/>
      </c>
      <c r="K259" s="127" t="str">
        <f t="shared" ref="K259" si="149">IF(OR(H259="",H259=0),L259,H259)</f>
        <v/>
      </c>
      <c r="L259" s="127" t="str">
        <f>IF(NOT(ISERROR(VLOOKUP(B259,Deflatores!G$42:H$64,2,FALSE))),VLOOKUP(B259,Deflatores!G$42:H$64,2,FALSE),IF(OR(ISBLANK(C259),ISBLANK(B259)),"",VLOOKUP(C259,Deflatores!G$4:H$38,2,FALSE)*H259+VLOOKUP(C259,Deflatores!G$4:I$38,3,FALSE)))</f>
        <v/>
      </c>
      <c r="M259" s="10"/>
      <c r="N259" s="10"/>
      <c r="O259" s="6"/>
    </row>
    <row r="260" spans="1:15" x14ac:dyDescent="0.25">
      <c r="A260" s="181" t="s">
        <v>258</v>
      </c>
      <c r="B260" s="4"/>
      <c r="C260" s="4"/>
      <c r="D260" s="7"/>
      <c r="E260" s="7"/>
      <c r="F260" s="116" t="str">
        <f t="shared" ref="F260:F262" si="150">IF(ISBLANK(B260),"",IF(I260="L","Baixa",IF(I260="A","Média",IF(I260="","","Alta"))))</f>
        <v/>
      </c>
      <c r="G260" s="7" t="str">
        <f t="shared" ref="G260:G262" si="151">CONCATENATE(B260,I260)</f>
        <v/>
      </c>
      <c r="H260" s="7" t="str">
        <f t="shared" ref="H260:H262" si="152">IF(ISBLANK(B260),"",IF(B260="ALI",IF(I260="L",7,IF(I260="A",10,15)),IF(B260="AIE",IF(I260="L",5,IF(I260="A",7,10)),IF(B260="SE",IF(I260="L",4,IF(I260="A",5,7)),IF(OR(B260="EE",B260="CE"),IF(I260="L",3,IF(I260="A",4,6)),0)))))</f>
        <v/>
      </c>
      <c r="I260" s="116" t="str">
        <f t="shared" ref="I260:I262" si="153">IF(OR(ISBLANK(D260),ISBLANK(E260)),IF(OR(B260="ALI",B260="AIE"),"L",IF(OR(B260="EE",B260="SE",B260="CE"),"A","")),IF(B260="EE",IF(E260&gt;=3,IF(D260&gt;=5,"H","A"),IF(E260&gt;=2,IF(D260&gt;=16,"H",IF(D260&lt;=4,"L","A")),IF(D260&lt;=15,"L","A"))),IF(OR(B260="SE",B260="CE"),IF(E260&gt;=4,IF(D260&gt;=6,"H","A"),IF(E260&gt;=2,IF(D260&gt;=20,"H",IF(D260&lt;=5,"L","A")),IF(D260&lt;=19,"L","A"))),IF(OR(B260="ALI",B260="AIE"),IF(E260&gt;=6,IF(D260&gt;=20,"H","A"),IF(E260&gt;=2,IF(D260&gt;=51,"H",IF(D260&lt;=19,"L","A")),IF(D260&lt;=50,"L","A"))),""))))</f>
        <v/>
      </c>
      <c r="J260" s="7" t="str">
        <f t="shared" ref="J260:J262" si="154">CONCATENATE(B260,C260)</f>
        <v/>
      </c>
      <c r="K260" s="127" t="str">
        <f t="shared" ref="K260:K262" si="155">IF(OR(H260="",H260=0),L260,H260)</f>
        <v/>
      </c>
      <c r="L260" s="127" t="str">
        <f>IF(NOT(ISERROR(VLOOKUP(B260,Deflatores!G$42:H$64,2,FALSE))),VLOOKUP(B260,Deflatores!G$42:H$64,2,FALSE),IF(OR(ISBLANK(C260),ISBLANK(B260)),"",VLOOKUP(C260,Deflatores!G$4:H$38,2,FALSE)*H260+VLOOKUP(C260,Deflatores!G$4:I$38,3,FALSE)))</f>
        <v/>
      </c>
      <c r="M260" s="10"/>
      <c r="N260" s="10"/>
      <c r="O260" s="6"/>
    </row>
    <row r="261" spans="1:15" x14ac:dyDescent="0.25">
      <c r="A261" s="179" t="s">
        <v>259</v>
      </c>
      <c r="B261" s="4" t="s">
        <v>49</v>
      </c>
      <c r="C261" s="4" t="s">
        <v>50</v>
      </c>
      <c r="D261" s="7">
        <v>9</v>
      </c>
      <c r="E261" s="7">
        <v>3</v>
      </c>
      <c r="F261" s="116" t="str">
        <f t="shared" si="150"/>
        <v>Baixa</v>
      </c>
      <c r="G261" s="7" t="str">
        <f t="shared" si="151"/>
        <v>AIEL</v>
      </c>
      <c r="H261" s="7">
        <f t="shared" si="152"/>
        <v>5</v>
      </c>
      <c r="I261" s="116" t="str">
        <f t="shared" si="153"/>
        <v>L</v>
      </c>
      <c r="J261" s="7" t="str">
        <f t="shared" si="154"/>
        <v>AIEI</v>
      </c>
      <c r="K261" s="127">
        <f t="shared" si="155"/>
        <v>5</v>
      </c>
      <c r="L261" s="127">
        <f>IF(NOT(ISERROR(VLOOKUP(B261,Deflatores!G$42:H$64,2,FALSE))),VLOOKUP(B261,Deflatores!G$42:H$64,2,FALSE),IF(OR(ISBLANK(C261),ISBLANK(B261)),"",VLOOKUP(C261,Deflatores!G$4:H$38,2,FALSE)*H261+VLOOKUP(C261,Deflatores!G$4:I$38,3,FALSE)))</f>
        <v>5</v>
      </c>
      <c r="M261" s="10"/>
      <c r="N261" s="10"/>
      <c r="O261" s="6"/>
    </row>
    <row r="262" spans="1:15" x14ac:dyDescent="0.25">
      <c r="A262" s="179" t="s">
        <v>260</v>
      </c>
      <c r="B262" s="4" t="s">
        <v>45</v>
      </c>
      <c r="C262" s="4" t="s">
        <v>50</v>
      </c>
      <c r="D262" s="7">
        <v>35</v>
      </c>
      <c r="E262" s="7">
        <v>10</v>
      </c>
      <c r="F262" s="116" t="str">
        <f t="shared" si="150"/>
        <v>Alta</v>
      </c>
      <c r="G262" s="7" t="str">
        <f t="shared" si="151"/>
        <v>EEH</v>
      </c>
      <c r="H262" s="7">
        <f t="shared" si="152"/>
        <v>6</v>
      </c>
      <c r="I262" s="116" t="str">
        <f t="shared" si="153"/>
        <v>H</v>
      </c>
      <c r="J262" s="7" t="str">
        <f t="shared" si="154"/>
        <v>EEI</v>
      </c>
      <c r="K262" s="127">
        <f t="shared" si="155"/>
        <v>6</v>
      </c>
      <c r="L262" s="127">
        <f>IF(NOT(ISERROR(VLOOKUP(B262,Deflatores!G$42:H$64,2,FALSE))),VLOOKUP(B262,Deflatores!G$42:H$64,2,FALSE),IF(OR(ISBLANK(C262),ISBLANK(B262)),"",VLOOKUP(C262,Deflatores!G$4:H$38,2,FALSE)*H262+VLOOKUP(C262,Deflatores!G$4:I$38,3,FALSE)))</f>
        <v>6</v>
      </c>
      <c r="M262" s="10"/>
      <c r="N262" s="10"/>
      <c r="O262" s="6"/>
    </row>
    <row r="263" spans="1:15" x14ac:dyDescent="0.25">
      <c r="A263" s="179"/>
      <c r="B263" s="4"/>
      <c r="C263" s="4"/>
      <c r="D263" s="7"/>
      <c r="E263" s="7"/>
      <c r="F263" s="116" t="str">
        <f>IF(ISBLANK(B263),"",IF(I263="L","Baixa",IF(I263="A","Média",IF(I263="","","Alta"))))</f>
        <v/>
      </c>
      <c r="G263" s="7" t="str">
        <f>CONCATENATE(B263,I263)</f>
        <v/>
      </c>
      <c r="H263" s="7" t="str">
        <f>IF(ISBLANK(B263),"",IF(B263="ALI",IF(I263="L",7,IF(I263="A",10,15)),IF(B263="AIE",IF(I263="L",5,IF(I263="A",7,10)),IF(B263="SE",IF(I263="L",4,IF(I263="A",5,7)),IF(OR(B263="EE",B263="CE"),IF(I263="L",3,IF(I263="A",4,6)),0)))))</f>
        <v/>
      </c>
      <c r="I263" s="116" t="str">
        <f>IF(OR(ISBLANK(D263),ISBLANK(E263)),IF(OR(B263="ALI",B263="AIE"),"L",IF(OR(B263="EE",B263="SE",B263="CE"),"A","")),IF(B263="EE",IF(E263&gt;=3,IF(D263&gt;=5,"H","A"),IF(E263&gt;=2,IF(D263&gt;=16,"H",IF(D263&lt;=4,"L","A")),IF(D263&lt;=15,"L","A"))),IF(OR(B263="SE",B263="CE"),IF(E263&gt;=4,IF(D263&gt;=6,"H","A"),IF(E263&gt;=2,IF(D263&gt;=20,"H",IF(D263&lt;=5,"L","A")),IF(D263&lt;=19,"L","A"))),IF(OR(B263="ALI",B263="AIE"),IF(E263&gt;=6,IF(D263&gt;=20,"H","A"),IF(E263&gt;=2,IF(D263&gt;=51,"H",IF(D263&lt;=19,"L","A")),IF(D263&lt;=50,"L","A"))),""))))</f>
        <v/>
      </c>
      <c r="J263" s="7" t="str">
        <f>CONCATENATE(B263,C263)</f>
        <v/>
      </c>
      <c r="K263" s="127"/>
      <c r="L263" s="127" t="str">
        <f>IF(NOT(ISERROR(VLOOKUP(B263,Deflatores!G$42:H$64,2,FALSE))),VLOOKUP(B263,Deflatores!G$42:H$64,2,FALSE),IF(OR(ISBLANK(C263),ISBLANK(B263)),"",VLOOKUP(C263,Deflatores!G$4:H$38,2,FALSE)*H263+VLOOKUP(C263,Deflatores!G$4:I$38,3,FALSE)))</f>
        <v/>
      </c>
      <c r="M263" s="10"/>
      <c r="N263" s="10"/>
      <c r="O263" s="6"/>
    </row>
    <row r="264" spans="1:15" x14ac:dyDescent="0.25">
      <c r="A264" s="181" t="s">
        <v>261</v>
      </c>
      <c r="B264" s="4"/>
      <c r="C264" s="4"/>
      <c r="D264" s="7"/>
      <c r="E264" s="7"/>
      <c r="F264" s="116" t="str">
        <f>IF(ISBLANK(B264),"",IF(I264="L","Baixa",IF(I264="A","Média",IF(I264="","","Alta"))))</f>
        <v/>
      </c>
      <c r="G264" s="7" t="str">
        <f>CONCATENATE(B264,I264)</f>
        <v/>
      </c>
      <c r="H264" s="7" t="str">
        <f>IF(ISBLANK(B264),"",IF(B264="ALI",IF(I264="L",7,IF(I264="A",10,15)),IF(B264="AIE",IF(I264="L",5,IF(I264="A",7,10)),IF(B264="SE",IF(I264="L",4,IF(I264="A",5,7)),IF(OR(B264="EE",B264="CE"),IF(I264="L",3,IF(I264="A",4,6)),0)))))</f>
        <v/>
      </c>
      <c r="I264" s="116" t="str">
        <f>IF(OR(ISBLANK(D264),ISBLANK(E264)),IF(OR(B264="ALI",B264="AIE"),"L",IF(OR(B264="EE",B264="SE",B264="CE"),"A","")),IF(B264="EE",IF(E264&gt;=3,IF(D264&gt;=5,"H","A"),IF(E264&gt;=2,IF(D264&gt;=16,"H",IF(D264&lt;=4,"L","A")),IF(D264&lt;=15,"L","A"))),IF(OR(B264="SE",B264="CE"),IF(E264&gt;=4,IF(D264&gt;=6,"H","A"),IF(E264&gt;=2,IF(D264&gt;=20,"H",IF(D264&lt;=5,"L","A")),IF(D264&lt;=19,"L","A"))),IF(OR(B264="ALI",B264="AIE"),IF(E264&gt;=6,IF(D264&gt;=20,"H","A"),IF(E264&gt;=2,IF(D264&gt;=51,"H",IF(D264&lt;=19,"L","A")),IF(D264&lt;=50,"L","A"))),""))))</f>
        <v/>
      </c>
      <c r="J264" s="7" t="str">
        <f>CONCATENATE(B264,C264)</f>
        <v/>
      </c>
      <c r="K264" s="127"/>
      <c r="L264" s="127" t="str">
        <f>IF(NOT(ISERROR(VLOOKUP(B264,Deflatores!G$42:H$64,2,FALSE))),VLOOKUP(B264,Deflatores!G$42:H$64,2,FALSE),IF(OR(ISBLANK(C264),ISBLANK(B264)),"",VLOOKUP(C264,Deflatores!G$4:H$38,2,FALSE)*H264+VLOOKUP(C264,Deflatores!G$4:I$38,3,FALSE)))</f>
        <v/>
      </c>
      <c r="M264" s="10"/>
      <c r="N264" s="10"/>
      <c r="O264" s="6"/>
    </row>
    <row r="265" spans="1:15" x14ac:dyDescent="0.25">
      <c r="A265" s="179" t="s">
        <v>262</v>
      </c>
      <c r="B265" s="4" t="s">
        <v>45</v>
      </c>
      <c r="C265" s="4" t="s">
        <v>50</v>
      </c>
      <c r="D265" s="7">
        <v>35</v>
      </c>
      <c r="E265" s="7">
        <v>10</v>
      </c>
      <c r="F265" s="116" t="str">
        <f>IF(ISBLANK(B265),"",IF(I265="L","Baixa",IF(I265="A","Média",IF(I265="","","Alta"))))</f>
        <v>Alta</v>
      </c>
      <c r="G265" s="7" t="str">
        <f>CONCATENATE(B265,I265)</f>
        <v>EEH</v>
      </c>
      <c r="H265" s="7">
        <f>IF(ISBLANK(B265),"",IF(B265="ALI",IF(I265="L",7,IF(I265="A",10,15)),IF(B265="AIE",IF(I265="L",5,IF(I265="A",7,10)),IF(B265="SE",IF(I265="L",4,IF(I265="A",5,7)),IF(OR(B265="EE",B265="CE"),IF(I265="L",3,IF(I265="A",4,6)),0)))))</f>
        <v>6</v>
      </c>
      <c r="I265" s="116" t="str">
        <f>IF(OR(ISBLANK(D265),ISBLANK(E265)),IF(OR(B265="ALI",B265="AIE"),"L",IF(OR(B265="EE",B265="SE",B265="CE"),"A","")),IF(B265="EE",IF(E265&gt;=3,IF(D265&gt;=5,"H","A"),IF(E265&gt;=2,IF(D265&gt;=16,"H",IF(D265&lt;=4,"L","A")),IF(D265&lt;=15,"L","A"))),IF(OR(B265="SE",B265="CE"),IF(E265&gt;=4,IF(D265&gt;=6,"H","A"),IF(E265&gt;=2,IF(D265&gt;=20,"H",IF(D265&lt;=5,"L","A")),IF(D265&lt;=19,"L","A"))),IF(OR(B265="ALI",B265="AIE"),IF(E265&gt;=6,IF(D265&gt;=20,"H","A"),IF(E265&gt;=2,IF(D265&gt;=51,"H",IF(D265&lt;=19,"L","A")),IF(D265&lt;=50,"L","A"))),""))))</f>
        <v>H</v>
      </c>
      <c r="J265" s="7" t="str">
        <f>CONCATENATE(B265,C265)</f>
        <v>EEI</v>
      </c>
      <c r="K265" s="127">
        <f>IF(OR(H265="",H265=0),L265,H265)</f>
        <v>6</v>
      </c>
      <c r="L265" s="127">
        <f>IF(NOT(ISERROR(VLOOKUP(B265,Deflatores!G$42:H$64,2,FALSE))),VLOOKUP(B265,Deflatores!G$42:H$64,2,FALSE),IF(OR(ISBLANK(C265),ISBLANK(B265)),"",VLOOKUP(C265,Deflatores!G$4:H$38,2,FALSE)*H265+VLOOKUP(C265,Deflatores!G$4:I$38,3,FALSE)))</f>
        <v>6</v>
      </c>
      <c r="M265" s="10"/>
      <c r="N265" s="10"/>
      <c r="O265" s="6"/>
    </row>
    <row r="266" spans="1:15" x14ac:dyDescent="0.25">
      <c r="A266" s="184"/>
      <c r="B266" s="4"/>
      <c r="C266" s="4"/>
      <c r="D266" s="7"/>
      <c r="E266" s="7"/>
      <c r="F266" s="116" t="str">
        <f>IF(ISBLANK(B266),"",IF(I266="L","Baixa",IF(I266="A","Média",IF(I266="","","Alta"))))</f>
        <v/>
      </c>
      <c r="G266" s="7" t="str">
        <f>CONCATENATE(B266,I266)</f>
        <v/>
      </c>
      <c r="H266" s="7" t="str">
        <f>IF(ISBLANK(B266),"",IF(B266="ALI",IF(I266="L",7,IF(I266="A",10,15)),IF(B266="AIE",IF(I266="L",5,IF(I266="A",7,10)),IF(B266="SE",IF(I266="L",4,IF(I266="A",5,7)),IF(OR(B266="EE",B266="CE"),IF(I266="L",3,IF(I266="A",4,6)),0)))))</f>
        <v/>
      </c>
      <c r="I266" s="116" t="str">
        <f>IF(OR(ISBLANK(D266),ISBLANK(E266)),IF(OR(B266="ALI",B266="AIE"),"L",IF(OR(B266="EE",B266="SE",B266="CE"),"A","")),IF(B266="EE",IF(E266&gt;=3,IF(D266&gt;=5,"H","A"),IF(E266&gt;=2,IF(D266&gt;=16,"H",IF(D266&lt;=4,"L","A")),IF(D266&lt;=15,"L","A"))),IF(OR(B266="SE",B266="CE"),IF(E266&gt;=4,IF(D266&gt;=6,"H","A"),IF(E266&gt;=2,IF(D266&gt;=20,"H",IF(D266&lt;=5,"L","A")),IF(D266&lt;=19,"L","A"))),IF(OR(B266="ALI",B266="AIE"),IF(E266&gt;=6,IF(D266&gt;=20,"H","A"),IF(E266&gt;=2,IF(D266&gt;=51,"H",IF(D266&lt;=19,"L","A")),IF(D266&lt;=50,"L","A"))),""))))</f>
        <v/>
      </c>
      <c r="J266" s="7" t="str">
        <f>CONCATENATE(B266,C266)</f>
        <v/>
      </c>
      <c r="K266" s="127" t="str">
        <f>IF(OR(H266="",H266=0),L266,H266)</f>
        <v/>
      </c>
      <c r="L266" s="127" t="str">
        <f>IF(NOT(ISERROR(VLOOKUP(B266,Deflatores!G$42:H$64,2,FALSE))),VLOOKUP(B266,Deflatores!G$42:H$64,2,FALSE),IF(OR(ISBLANK(C266),ISBLANK(B266)),"",VLOOKUP(C266,Deflatores!G$4:H$38,2,FALSE)*H266+VLOOKUP(C266,Deflatores!G$4:I$38,3,FALSE)))</f>
        <v/>
      </c>
      <c r="M266" s="10"/>
      <c r="N266" s="10"/>
      <c r="O266" s="6"/>
    </row>
    <row r="267" spans="1:15" x14ac:dyDescent="0.25">
      <c r="A267" s="181" t="s">
        <v>263</v>
      </c>
      <c r="B267" s="4"/>
      <c r="C267" s="4"/>
      <c r="D267" s="7"/>
      <c r="E267" s="7"/>
      <c r="F267" s="116" t="str">
        <f t="shared" ref="F267:F280" si="156">IF(ISBLANK(B267),"",IF(I267="L","Baixa",IF(I267="A","Média",IF(I267="","","Alta"))))</f>
        <v/>
      </c>
      <c r="G267" s="7" t="str">
        <f t="shared" ref="G267:G280" si="157">CONCATENATE(B267,I267)</f>
        <v/>
      </c>
      <c r="H267" s="7" t="str">
        <f t="shared" ref="H267:H280" si="158">IF(ISBLANK(B267),"",IF(B267="ALI",IF(I267="L",7,IF(I267="A",10,15)),IF(B267="AIE",IF(I267="L",5,IF(I267="A",7,10)),IF(B267="SE",IF(I267="L",4,IF(I267="A",5,7)),IF(OR(B267="EE",B267="CE"),IF(I267="L",3,IF(I267="A",4,6)),0)))))</f>
        <v/>
      </c>
      <c r="I267" s="116" t="str">
        <f t="shared" ref="I267:I280" si="159">IF(OR(ISBLANK(D267),ISBLANK(E267)),IF(OR(B267="ALI",B267="AIE"),"L",IF(OR(B267="EE",B267="SE",B267="CE"),"A","")),IF(B267="EE",IF(E267&gt;=3,IF(D267&gt;=5,"H","A"),IF(E267&gt;=2,IF(D267&gt;=16,"H",IF(D267&lt;=4,"L","A")),IF(D267&lt;=15,"L","A"))),IF(OR(B267="SE",B267="CE"),IF(E267&gt;=4,IF(D267&gt;=6,"H","A"),IF(E267&gt;=2,IF(D267&gt;=20,"H",IF(D267&lt;=5,"L","A")),IF(D267&lt;=19,"L","A"))),IF(OR(B267="ALI",B267="AIE"),IF(E267&gt;=6,IF(D267&gt;=20,"H","A"),IF(E267&gt;=2,IF(D267&gt;=51,"H",IF(D267&lt;=19,"L","A")),IF(D267&lt;=50,"L","A"))),""))))</f>
        <v/>
      </c>
      <c r="J267" s="7" t="str">
        <f t="shared" ref="J267:J280" si="160">CONCATENATE(B267,C267)</f>
        <v/>
      </c>
      <c r="K267" s="127" t="str">
        <f t="shared" ref="K267:K280" si="161">IF(OR(H267="",H267=0),L267,H267)</f>
        <v/>
      </c>
      <c r="L267" s="127" t="str">
        <f>IF(NOT(ISERROR(VLOOKUP(B267,Deflatores!G$42:H$64,2,FALSE))),VLOOKUP(B267,Deflatores!G$42:H$64,2,FALSE),IF(OR(ISBLANK(C267),ISBLANK(B267)),"",VLOOKUP(C267,Deflatores!G$4:H$38,2,FALSE)*H267+VLOOKUP(C267,Deflatores!G$4:I$38,3,FALSE)))</f>
        <v/>
      </c>
      <c r="M267" s="10"/>
      <c r="N267" s="10"/>
      <c r="O267" s="6"/>
    </row>
    <row r="268" spans="1:15" x14ac:dyDescent="0.25">
      <c r="A268" s="179" t="s">
        <v>264</v>
      </c>
      <c r="B268" s="4" t="s">
        <v>52</v>
      </c>
      <c r="C268" s="4" t="s">
        <v>50</v>
      </c>
      <c r="D268" s="7">
        <v>3</v>
      </c>
      <c r="E268" s="7">
        <v>2</v>
      </c>
      <c r="F268" s="116" t="str">
        <f t="shared" si="156"/>
        <v>Baixa</v>
      </c>
      <c r="G268" s="7" t="str">
        <f t="shared" si="157"/>
        <v>CEL</v>
      </c>
      <c r="H268" s="7">
        <f t="shared" si="158"/>
        <v>3</v>
      </c>
      <c r="I268" s="116" t="str">
        <f t="shared" si="159"/>
        <v>L</v>
      </c>
      <c r="J268" s="7" t="str">
        <f t="shared" si="160"/>
        <v>CEI</v>
      </c>
      <c r="K268" s="127">
        <f t="shared" si="161"/>
        <v>3</v>
      </c>
      <c r="L268" s="127">
        <f>IF(NOT(ISERROR(VLOOKUP(B268,Deflatores!G$42:H$64,2,FALSE))),VLOOKUP(B268,Deflatores!G$42:H$64,2,FALSE),IF(OR(ISBLANK(C268),ISBLANK(B268)),"",VLOOKUP(C268,Deflatores!G$4:H$38,2,FALSE)*H268+VLOOKUP(C268,Deflatores!G$4:I$38,3,FALSE)))</f>
        <v>3</v>
      </c>
      <c r="M268" s="10"/>
      <c r="N268" s="10"/>
      <c r="O268" s="6"/>
    </row>
    <row r="269" spans="1:15" x14ac:dyDescent="0.25">
      <c r="A269" s="179" t="s">
        <v>265</v>
      </c>
      <c r="B269" s="4" t="s">
        <v>52</v>
      </c>
      <c r="C269" s="4" t="s">
        <v>50</v>
      </c>
      <c r="D269" s="7">
        <v>4</v>
      </c>
      <c r="E269" s="7">
        <v>2</v>
      </c>
      <c r="F269" s="116" t="str">
        <f t="shared" si="156"/>
        <v>Baixa</v>
      </c>
      <c r="G269" s="7" t="str">
        <f t="shared" si="157"/>
        <v>CEL</v>
      </c>
      <c r="H269" s="7">
        <f t="shared" si="158"/>
        <v>3</v>
      </c>
      <c r="I269" s="116" t="str">
        <f t="shared" si="159"/>
        <v>L</v>
      </c>
      <c r="J269" s="7" t="str">
        <f t="shared" si="160"/>
        <v>CEI</v>
      </c>
      <c r="K269" s="127">
        <f t="shared" si="161"/>
        <v>3</v>
      </c>
      <c r="L269" s="127">
        <f>IF(NOT(ISERROR(VLOOKUP(B269,Deflatores!G$42:H$64,2,FALSE))),VLOOKUP(B269,Deflatores!G$42:H$64,2,FALSE),IF(OR(ISBLANK(C269),ISBLANK(B269)),"",VLOOKUP(C269,Deflatores!G$4:H$38,2,FALSE)*H269+VLOOKUP(C269,Deflatores!G$4:I$38,3,FALSE)))</f>
        <v>3</v>
      </c>
      <c r="M269" s="10"/>
      <c r="N269" s="10"/>
      <c r="O269" s="6"/>
    </row>
    <row r="270" spans="1:15" x14ac:dyDescent="0.25">
      <c r="A270" s="179" t="s">
        <v>266</v>
      </c>
      <c r="B270" s="4" t="s">
        <v>181</v>
      </c>
      <c r="C270" s="4" t="s">
        <v>50</v>
      </c>
      <c r="D270" s="7">
        <v>4</v>
      </c>
      <c r="E270" s="7">
        <v>2</v>
      </c>
      <c r="F270" s="116" t="str">
        <f>IF(ISBLANK(B270),"",IF(I270="L","Baixa",IF(I270="A","Média",IF(I270="","","Alta"))))</f>
        <v>Baixa</v>
      </c>
      <c r="G270" s="7" t="str">
        <f>CONCATENATE(B270,I270)</f>
        <v>SEL</v>
      </c>
      <c r="H270" s="7">
        <f>IF(ISBLANK(B270),"",IF(B270="ALI",IF(I270="L",7,IF(I270="A",10,15)),IF(B270="AIE",IF(I270="L",5,IF(I270="A",7,10)),IF(B270="SE",IF(I270="L",4,IF(I270="A",5,7)),IF(OR(B270="EE",B270="CE"),IF(I270="L",3,IF(I270="A",4,6)),0)))))</f>
        <v>4</v>
      </c>
      <c r="I270" s="116" t="str">
        <f>IF(OR(ISBLANK(D270),ISBLANK(E270)),IF(OR(B270="ALI",B270="AIE"),"L",IF(OR(B270="EE",B270="SE",B270="CE"),"A","")),IF(B270="EE",IF(E270&gt;=3,IF(D270&gt;=5,"H","A"),IF(E270&gt;=2,IF(D270&gt;=16,"H",IF(D270&lt;=4,"L","A")),IF(D270&lt;=15,"L","A"))),IF(OR(B270="SE",B270="CE"),IF(E270&gt;=4,IF(D270&gt;=6,"H","A"),IF(E270&gt;=2,IF(D270&gt;=20,"H",IF(D270&lt;=5,"L","A")),IF(D270&lt;=19,"L","A"))),IF(OR(B270="ALI",B270="AIE"),IF(E270&gt;=6,IF(D270&gt;=20,"H","A"),IF(E270&gt;=2,IF(D270&gt;=51,"H",IF(D270&lt;=19,"L","A")),IF(D270&lt;=50,"L","A"))),""))))</f>
        <v>L</v>
      </c>
      <c r="J270" s="7" t="str">
        <f>CONCATENATE(B270,C270)</f>
        <v>SEI</v>
      </c>
      <c r="K270" s="127">
        <f>IF(OR(H270="",H270=0),L270,H270)</f>
        <v>4</v>
      </c>
      <c r="L270" s="127">
        <f>IF(NOT(ISERROR(VLOOKUP(B270,Deflatores!G$42:H$64,2,FALSE))),VLOOKUP(B270,Deflatores!G$42:H$64,2,FALSE),IF(OR(ISBLANK(C270),ISBLANK(B270)),"",VLOOKUP(C270,Deflatores!G$4:H$38,2,FALSE)*H270+VLOOKUP(C270,Deflatores!G$4:I$38,3,FALSE)))</f>
        <v>4</v>
      </c>
      <c r="M270" s="10"/>
      <c r="N270" s="10"/>
      <c r="O270" s="6" t="s">
        <v>267</v>
      </c>
    </row>
    <row r="271" spans="1:15" x14ac:dyDescent="0.25">
      <c r="A271" s="179" t="s">
        <v>268</v>
      </c>
      <c r="B271" s="4" t="s">
        <v>45</v>
      </c>
      <c r="C271" s="4" t="s">
        <v>50</v>
      </c>
      <c r="D271" s="7">
        <v>3</v>
      </c>
      <c r="E271" s="7">
        <v>2</v>
      </c>
      <c r="F271" s="116" t="str">
        <f>IF(ISBLANK(B271),"",IF(I271="L","Baixa",IF(I271="A","Média",IF(I271="","","Alta"))))</f>
        <v>Baixa</v>
      </c>
      <c r="G271" s="7" t="str">
        <f>CONCATENATE(B271,I271)</f>
        <v>EEL</v>
      </c>
      <c r="H271" s="7">
        <f>IF(ISBLANK(B271),"",IF(B271="ALI",IF(I271="L",7,IF(I271="A",10,15)),IF(B271="AIE",IF(I271="L",5,IF(I271="A",7,10)),IF(B271="SE",IF(I271="L",4,IF(I271="A",5,7)),IF(OR(B271="EE",B271="CE"),IF(I271="L",3,IF(I271="A",4,6)),0)))))</f>
        <v>3</v>
      </c>
      <c r="I271" s="116" t="str">
        <f>IF(OR(ISBLANK(D271),ISBLANK(E271)),IF(OR(B271="ALI",B271="AIE"),"L",IF(OR(B271="EE",B271="SE",B271="CE"),"A","")),IF(B271="EE",IF(E271&gt;=3,IF(D271&gt;=5,"H","A"),IF(E271&gt;=2,IF(D271&gt;=16,"H",IF(D271&lt;=4,"L","A")),IF(D271&lt;=15,"L","A"))),IF(OR(B271="SE",B271="CE"),IF(E271&gt;=4,IF(D271&gt;=6,"H","A"),IF(E271&gt;=2,IF(D271&gt;=20,"H",IF(D271&lt;=5,"L","A")),IF(D271&lt;=19,"L","A"))),IF(OR(B271="ALI",B271="AIE"),IF(E271&gt;=6,IF(D271&gt;=20,"H","A"),IF(E271&gt;=2,IF(D271&gt;=51,"H",IF(D271&lt;=19,"L","A")),IF(D271&lt;=50,"L","A"))),""))))</f>
        <v>L</v>
      </c>
      <c r="J271" s="7" t="str">
        <f>CONCATENATE(B271,C271)</f>
        <v>EEI</v>
      </c>
      <c r="K271" s="127">
        <f>IF(OR(H271="",H271=0),L271,H271)</f>
        <v>3</v>
      </c>
      <c r="L271" s="127">
        <f>IF(NOT(ISERROR(VLOOKUP(B271,Deflatores!G$42:H$64,2,FALSE))),VLOOKUP(B271,Deflatores!G$42:H$64,2,FALSE),IF(OR(ISBLANK(C271),ISBLANK(B271)),"",VLOOKUP(C271,Deflatores!G$4:H$38,2,FALSE)*H271+VLOOKUP(C271,Deflatores!G$4:I$38,3,FALSE)))</f>
        <v>3</v>
      </c>
      <c r="M271" s="10"/>
      <c r="N271" s="10"/>
      <c r="O271" s="6"/>
    </row>
    <row r="272" spans="1:15" x14ac:dyDescent="0.25">
      <c r="A272" s="179" t="s">
        <v>269</v>
      </c>
      <c r="B272" s="4" t="s">
        <v>52</v>
      </c>
      <c r="C272" s="4" t="s">
        <v>50</v>
      </c>
      <c r="D272" s="7">
        <v>6</v>
      </c>
      <c r="E272" s="7">
        <v>2</v>
      </c>
      <c r="F272" s="116" t="str">
        <f>IF(ISBLANK(B272),"",IF(I272="L","Baixa",IF(I272="A","Média",IF(I272="","","Alta"))))</f>
        <v>Média</v>
      </c>
      <c r="G272" s="7" t="str">
        <f>CONCATENATE(B272,I272)</f>
        <v>CEA</v>
      </c>
      <c r="H272" s="7">
        <f>IF(ISBLANK(B272),"",IF(B272="ALI",IF(I272="L",7,IF(I272="A",10,15)),IF(B272="AIE",IF(I272="L",5,IF(I272="A",7,10)),IF(B272="SE",IF(I272="L",4,IF(I272="A",5,7)),IF(OR(B272="EE",B272="CE"),IF(I272="L",3,IF(I272="A",4,6)),0)))))</f>
        <v>4</v>
      </c>
      <c r="I272" s="116" t="str">
        <f>IF(OR(ISBLANK(D272),ISBLANK(E272)),IF(OR(B272="ALI",B272="AIE"),"L",IF(OR(B272="EE",B272="SE",B272="CE"),"A","")),IF(B272="EE",IF(E272&gt;=3,IF(D272&gt;=5,"H","A"),IF(E272&gt;=2,IF(D272&gt;=16,"H",IF(D272&lt;=4,"L","A")),IF(D272&lt;=15,"L","A"))),IF(OR(B272="SE",B272="CE"),IF(E272&gt;=4,IF(D272&gt;=6,"H","A"),IF(E272&gt;=2,IF(D272&gt;=20,"H",IF(D272&lt;=5,"L","A")),IF(D272&lt;=19,"L","A"))),IF(OR(B272="ALI",B272="AIE"),IF(E272&gt;=6,IF(D272&gt;=20,"H","A"),IF(E272&gt;=2,IF(D272&gt;=51,"H",IF(D272&lt;=19,"L","A")),IF(D272&lt;=50,"L","A"))),""))))</f>
        <v>A</v>
      </c>
      <c r="J272" s="7" t="str">
        <f>CONCATENATE(B272,C272)</f>
        <v>CEI</v>
      </c>
      <c r="K272" s="127">
        <f>IF(OR(H272="",H272=0),L272,H272)</f>
        <v>4</v>
      </c>
      <c r="L272" s="127">
        <f>IF(NOT(ISERROR(VLOOKUP(B272,Deflatores!G$42:H$64,2,FALSE))),VLOOKUP(B272,Deflatores!G$42:H$64,2,FALSE),IF(OR(ISBLANK(C272),ISBLANK(B272)),"",VLOOKUP(C272,Deflatores!G$4:H$38,2,FALSE)*H272+VLOOKUP(C272,Deflatores!G$4:I$38,3,FALSE)))</f>
        <v>4</v>
      </c>
      <c r="M272" s="10"/>
      <c r="N272" s="10"/>
      <c r="O272" s="6"/>
    </row>
    <row r="273" spans="1:15" x14ac:dyDescent="0.25">
      <c r="A273" s="179" t="s">
        <v>270</v>
      </c>
      <c r="B273" s="4" t="s">
        <v>52</v>
      </c>
      <c r="C273" s="4" t="s">
        <v>50</v>
      </c>
      <c r="D273" s="7">
        <v>4</v>
      </c>
      <c r="E273" s="7">
        <v>2</v>
      </c>
      <c r="F273" s="116" t="str">
        <f>IF(ISBLANK(B273),"",IF(I273="L","Baixa",IF(I273="A","Média",IF(I273="","","Alta"))))</f>
        <v>Baixa</v>
      </c>
      <c r="G273" s="7" t="str">
        <f>CONCATENATE(B273,I273)</f>
        <v>CEL</v>
      </c>
      <c r="H273" s="7">
        <f>IF(ISBLANK(B273),"",IF(B273="ALI",IF(I273="L",7,IF(I273="A",10,15)),IF(B273="AIE",IF(I273="L",5,IF(I273="A",7,10)),IF(B273="SE",IF(I273="L",4,IF(I273="A",5,7)),IF(OR(B273="EE",B273="CE"),IF(I273="L",3,IF(I273="A",4,6)),0)))))</f>
        <v>3</v>
      </c>
      <c r="I273" s="116" t="str">
        <f>IF(OR(ISBLANK(D273),ISBLANK(E273)),IF(OR(B273="ALI",B273="AIE"),"L",IF(OR(B273="EE",B273="SE",B273="CE"),"A","")),IF(B273="EE",IF(E273&gt;=3,IF(D273&gt;=5,"H","A"),IF(E273&gt;=2,IF(D273&gt;=16,"H",IF(D273&lt;=4,"L","A")),IF(D273&lt;=15,"L","A"))),IF(OR(B273="SE",B273="CE"),IF(E273&gt;=4,IF(D273&gt;=6,"H","A"),IF(E273&gt;=2,IF(D273&gt;=20,"H",IF(D273&lt;=5,"L","A")),IF(D273&lt;=19,"L","A"))),IF(OR(B273="ALI",B273="AIE"),IF(E273&gt;=6,IF(D273&gt;=20,"H","A"),IF(E273&gt;=2,IF(D273&gt;=51,"H",IF(D273&lt;=19,"L","A")),IF(D273&lt;=50,"L","A"))),""))))</f>
        <v>L</v>
      </c>
      <c r="J273" s="7" t="str">
        <f>CONCATENATE(B273,C273)</f>
        <v>CEI</v>
      </c>
      <c r="K273" s="127">
        <f>IF(OR(H273="",H273=0),L273,H273)</f>
        <v>3</v>
      </c>
      <c r="L273" s="127">
        <f>IF(NOT(ISERROR(VLOOKUP(B273,Deflatores!G$42:H$64,2,FALSE))),VLOOKUP(B273,Deflatores!G$42:H$64,2,FALSE),IF(OR(ISBLANK(C273),ISBLANK(B273)),"",VLOOKUP(C273,Deflatores!G$4:H$38,2,FALSE)*H273+VLOOKUP(C273,Deflatores!G$4:I$38,3,FALSE)))</f>
        <v>3</v>
      </c>
      <c r="M273" s="10"/>
      <c r="N273" s="10"/>
      <c r="O273" s="6"/>
    </row>
    <row r="274" spans="1:15" x14ac:dyDescent="0.25">
      <c r="A274" s="179" t="s">
        <v>271</v>
      </c>
      <c r="B274" s="4" t="s">
        <v>52</v>
      </c>
      <c r="C274" s="4" t="s">
        <v>50</v>
      </c>
      <c r="D274" s="7">
        <v>4</v>
      </c>
      <c r="E274" s="7">
        <v>2</v>
      </c>
      <c r="F274" s="116" t="str">
        <f t="shared" ref="F274" si="162">IF(ISBLANK(B274),"",IF(I274="L","Baixa",IF(I274="A","Média",IF(I274="","","Alta"))))</f>
        <v>Baixa</v>
      </c>
      <c r="G274" s="7" t="str">
        <f t="shared" ref="G274" si="163">CONCATENATE(B274,I274)</f>
        <v>CEL</v>
      </c>
      <c r="H274" s="7">
        <f t="shared" ref="H274" si="164">IF(ISBLANK(B274),"",IF(B274="ALI",IF(I274="L",7,IF(I274="A",10,15)),IF(B274="AIE",IF(I274="L",5,IF(I274="A",7,10)),IF(B274="SE",IF(I274="L",4,IF(I274="A",5,7)),IF(OR(B274="EE",B274="CE"),IF(I274="L",3,IF(I274="A",4,6)),0)))))</f>
        <v>3</v>
      </c>
      <c r="I274" s="116" t="str">
        <f t="shared" ref="I274" si="165">IF(OR(ISBLANK(D274),ISBLANK(E274)),IF(OR(B274="ALI",B274="AIE"),"L",IF(OR(B274="EE",B274="SE",B274="CE"),"A","")),IF(B274="EE",IF(E274&gt;=3,IF(D274&gt;=5,"H","A"),IF(E274&gt;=2,IF(D274&gt;=16,"H",IF(D274&lt;=4,"L","A")),IF(D274&lt;=15,"L","A"))),IF(OR(B274="SE",B274="CE"),IF(E274&gt;=4,IF(D274&gt;=6,"H","A"),IF(E274&gt;=2,IF(D274&gt;=20,"H",IF(D274&lt;=5,"L","A")),IF(D274&lt;=19,"L","A"))),IF(OR(B274="ALI",B274="AIE"),IF(E274&gt;=6,IF(D274&gt;=20,"H","A"),IF(E274&gt;=2,IF(D274&gt;=51,"H",IF(D274&lt;=19,"L","A")),IF(D274&lt;=50,"L","A"))),""))))</f>
        <v>L</v>
      </c>
      <c r="J274" s="7" t="str">
        <f t="shared" ref="J274" si="166">CONCATENATE(B274,C274)</f>
        <v>CEI</v>
      </c>
      <c r="K274" s="127">
        <f t="shared" ref="K274" si="167">IF(OR(H274="",H274=0),L274,H274)</f>
        <v>3</v>
      </c>
      <c r="L274" s="127">
        <f>IF(NOT(ISERROR(VLOOKUP(B274,Deflatores!G$42:H$64,2,FALSE))),VLOOKUP(B274,Deflatores!G$42:H$64,2,FALSE),IF(OR(ISBLANK(C274),ISBLANK(B274)),"",VLOOKUP(C274,Deflatores!G$4:H$38,2,FALSE)*H274+VLOOKUP(C274,Deflatores!G$4:I$38,3,FALSE)))</f>
        <v>3</v>
      </c>
      <c r="M274" s="10"/>
      <c r="N274" s="10"/>
      <c r="O274" s="6"/>
    </row>
    <row r="275" spans="1:15" x14ac:dyDescent="0.25">
      <c r="A275" s="179" t="s">
        <v>272</v>
      </c>
      <c r="B275" s="4" t="s">
        <v>52</v>
      </c>
      <c r="C275" s="4" t="s">
        <v>50</v>
      </c>
      <c r="D275" s="7">
        <v>4</v>
      </c>
      <c r="E275" s="7">
        <v>2</v>
      </c>
      <c r="F275" s="116" t="str">
        <f>IF(ISBLANK(B275),"",IF(I275="L","Baixa",IF(I275="A","Média",IF(I275="","","Alta"))))</f>
        <v>Baixa</v>
      </c>
      <c r="G275" s="7" t="str">
        <f>CONCATENATE(B275,I275)</f>
        <v>CEL</v>
      </c>
      <c r="H275" s="7">
        <f>IF(ISBLANK(B275),"",IF(B275="ALI",IF(I275="L",7,IF(I275="A",10,15)),IF(B275="AIE",IF(I275="L",5,IF(I275="A",7,10)),IF(B275="SE",IF(I275="L",4,IF(I275="A",5,7)),IF(OR(B275="EE",B275="CE"),IF(I275="L",3,IF(I275="A",4,6)),0)))))</f>
        <v>3</v>
      </c>
      <c r="I275" s="116" t="str">
        <f>IF(OR(ISBLANK(D275),ISBLANK(E275)),IF(OR(B275="ALI",B275="AIE"),"L",IF(OR(B275="EE",B275="SE",B275="CE"),"A","")),IF(B275="EE",IF(E275&gt;=3,IF(D275&gt;=5,"H","A"),IF(E275&gt;=2,IF(D275&gt;=16,"H",IF(D275&lt;=4,"L","A")),IF(D275&lt;=15,"L","A"))),IF(OR(B275="SE",B275="CE"),IF(E275&gt;=4,IF(D275&gt;=6,"H","A"),IF(E275&gt;=2,IF(D275&gt;=20,"H",IF(D275&lt;=5,"L","A")),IF(D275&lt;=19,"L","A"))),IF(OR(B275="ALI",B275="AIE"),IF(E275&gt;=6,IF(D275&gt;=20,"H","A"),IF(E275&gt;=2,IF(D275&gt;=51,"H",IF(D275&lt;=19,"L","A")),IF(D275&lt;=50,"L","A"))),""))))</f>
        <v>L</v>
      </c>
      <c r="J275" s="7" t="str">
        <f>CONCATENATE(B275,C275)</f>
        <v>CEI</v>
      </c>
      <c r="K275" s="127">
        <f>IF(OR(H275="",H275=0),L275,H275)</f>
        <v>3</v>
      </c>
      <c r="L275" s="127">
        <f>IF(NOT(ISERROR(VLOOKUP(B275,Deflatores!G$42:H$64,2,FALSE))),VLOOKUP(B275,Deflatores!G$42:H$64,2,FALSE),IF(OR(ISBLANK(C275),ISBLANK(B275)),"",VLOOKUP(C275,Deflatores!G$4:H$38,2,FALSE)*H275+VLOOKUP(C275,Deflatores!G$4:I$38,3,FALSE)))</f>
        <v>3</v>
      </c>
      <c r="M275" s="10"/>
      <c r="N275" s="10"/>
      <c r="O275" s="6"/>
    </row>
    <row r="276" spans="1:15" x14ac:dyDescent="0.25">
      <c r="A276" s="179" t="s">
        <v>273</v>
      </c>
      <c r="B276" s="4" t="s">
        <v>52</v>
      </c>
      <c r="C276" s="4" t="s">
        <v>50</v>
      </c>
      <c r="D276" s="7">
        <v>4</v>
      </c>
      <c r="E276" s="7">
        <v>2</v>
      </c>
      <c r="F276" s="116" t="str">
        <f>IF(ISBLANK(B276),"",IF(I276="L","Baixa",IF(I276="A","Média",IF(I276="","","Alta"))))</f>
        <v>Baixa</v>
      </c>
      <c r="G276" s="7" t="str">
        <f>CONCATENATE(B276,I276)</f>
        <v>CEL</v>
      </c>
      <c r="H276" s="7">
        <f>IF(ISBLANK(B276),"",IF(B276="ALI",IF(I276="L",7,IF(I276="A",10,15)),IF(B276="AIE",IF(I276="L",5,IF(I276="A",7,10)),IF(B276="SE",IF(I276="L",4,IF(I276="A",5,7)),IF(OR(B276="EE",B276="CE"),IF(I276="L",3,IF(I276="A",4,6)),0)))))</f>
        <v>3</v>
      </c>
      <c r="I276" s="116" t="str">
        <f>IF(OR(ISBLANK(D276),ISBLANK(E276)),IF(OR(B276="ALI",B276="AIE"),"L",IF(OR(B276="EE",B276="SE",B276="CE"),"A","")),IF(B276="EE",IF(E276&gt;=3,IF(D276&gt;=5,"H","A"),IF(E276&gt;=2,IF(D276&gt;=16,"H",IF(D276&lt;=4,"L","A")),IF(D276&lt;=15,"L","A"))),IF(OR(B276="SE",B276="CE"),IF(E276&gt;=4,IF(D276&gt;=6,"H","A"),IF(E276&gt;=2,IF(D276&gt;=20,"H",IF(D276&lt;=5,"L","A")),IF(D276&lt;=19,"L","A"))),IF(OR(B276="ALI",B276="AIE"),IF(E276&gt;=6,IF(D276&gt;=20,"H","A"),IF(E276&gt;=2,IF(D276&gt;=51,"H",IF(D276&lt;=19,"L","A")),IF(D276&lt;=50,"L","A"))),""))))</f>
        <v>L</v>
      </c>
      <c r="J276" s="7" t="str">
        <f>CONCATENATE(B276,C276)</f>
        <v>CEI</v>
      </c>
      <c r="K276" s="127">
        <f>IF(OR(H276="",H276=0),L276,H276)</f>
        <v>3</v>
      </c>
      <c r="L276" s="127">
        <f>IF(NOT(ISERROR(VLOOKUP(B276,Deflatores!G$42:H$64,2,FALSE))),VLOOKUP(B276,Deflatores!G$42:H$64,2,FALSE),IF(OR(ISBLANK(C276),ISBLANK(B276)),"",VLOOKUP(C276,Deflatores!G$4:H$38,2,FALSE)*H276+VLOOKUP(C276,Deflatores!G$4:I$38,3,FALSE)))</f>
        <v>3</v>
      </c>
      <c r="M276" s="10"/>
      <c r="N276" s="10"/>
      <c r="O276" s="6"/>
    </row>
    <row r="277" spans="1:15" x14ac:dyDescent="0.25">
      <c r="A277" s="179"/>
      <c r="B277" s="4"/>
      <c r="C277" s="4"/>
      <c r="D277" s="7"/>
      <c r="E277" s="7"/>
      <c r="F277" s="116" t="str">
        <f t="shared" si="156"/>
        <v/>
      </c>
      <c r="G277" s="7" t="str">
        <f t="shared" si="157"/>
        <v/>
      </c>
      <c r="H277" s="7" t="str">
        <f t="shared" si="158"/>
        <v/>
      </c>
      <c r="I277" s="116" t="str">
        <f t="shared" si="159"/>
        <v/>
      </c>
      <c r="J277" s="7" t="str">
        <f t="shared" si="160"/>
        <v/>
      </c>
      <c r="K277" s="127" t="str">
        <f t="shared" si="161"/>
        <v/>
      </c>
      <c r="L277" s="127" t="str">
        <f>IF(NOT(ISERROR(VLOOKUP(B277,Deflatores!G$42:H$64,2,FALSE))),VLOOKUP(B277,Deflatores!G$42:H$64,2,FALSE),IF(OR(ISBLANK(C277),ISBLANK(B277)),"",VLOOKUP(C277,Deflatores!G$4:H$38,2,FALSE)*H277+VLOOKUP(C277,Deflatores!G$4:I$38,3,FALSE)))</f>
        <v/>
      </c>
      <c r="M277" s="10"/>
      <c r="N277" s="10"/>
      <c r="O277" s="6"/>
    </row>
    <row r="278" spans="1:15" x14ac:dyDescent="0.25">
      <c r="A278" s="181" t="s">
        <v>274</v>
      </c>
      <c r="B278" s="4"/>
      <c r="C278" s="4"/>
      <c r="D278" s="7"/>
      <c r="E278" s="7"/>
      <c r="F278" s="116" t="str">
        <f t="shared" si="156"/>
        <v/>
      </c>
      <c r="G278" s="7" t="str">
        <f t="shared" si="157"/>
        <v/>
      </c>
      <c r="H278" s="7" t="str">
        <f t="shared" si="158"/>
        <v/>
      </c>
      <c r="I278" s="116" t="str">
        <f t="shared" si="159"/>
        <v/>
      </c>
      <c r="J278" s="7" t="str">
        <f t="shared" si="160"/>
        <v/>
      </c>
      <c r="K278" s="127" t="str">
        <f t="shared" si="161"/>
        <v/>
      </c>
      <c r="L278" s="127" t="str">
        <f>IF(NOT(ISERROR(VLOOKUP(B278,Deflatores!G$42:H$64,2,FALSE))),VLOOKUP(B278,Deflatores!G$42:H$64,2,FALSE),IF(OR(ISBLANK(C278),ISBLANK(B278)),"",VLOOKUP(C278,Deflatores!G$4:H$38,2,FALSE)*H278+VLOOKUP(C278,Deflatores!G$4:I$38,3,FALSE)))</f>
        <v/>
      </c>
      <c r="M278" s="10"/>
      <c r="N278" s="10"/>
      <c r="O278" s="6"/>
    </row>
    <row r="279" spans="1:15" x14ac:dyDescent="0.25">
      <c r="A279" s="179" t="s">
        <v>275</v>
      </c>
      <c r="B279" s="4" t="s">
        <v>52</v>
      </c>
      <c r="C279" s="4" t="s">
        <v>50</v>
      </c>
      <c r="D279" s="7">
        <v>7</v>
      </c>
      <c r="E279" s="7">
        <v>4</v>
      </c>
      <c r="F279" s="116" t="str">
        <f t="shared" si="156"/>
        <v>Alta</v>
      </c>
      <c r="G279" s="7" t="str">
        <f t="shared" si="157"/>
        <v>CEH</v>
      </c>
      <c r="H279" s="7">
        <f t="shared" si="158"/>
        <v>6</v>
      </c>
      <c r="I279" s="116" t="str">
        <f t="shared" si="159"/>
        <v>H</v>
      </c>
      <c r="J279" s="7" t="str">
        <f t="shared" si="160"/>
        <v>CEI</v>
      </c>
      <c r="K279" s="127">
        <f t="shared" si="161"/>
        <v>6</v>
      </c>
      <c r="L279" s="127">
        <f>IF(NOT(ISERROR(VLOOKUP(B279,Deflatores!G$42:H$64,2,FALSE))),VLOOKUP(B279,Deflatores!G$42:H$64,2,FALSE),IF(OR(ISBLANK(C279),ISBLANK(B279)),"",VLOOKUP(C279,Deflatores!G$4:H$38,2,FALSE)*H279+VLOOKUP(C279,Deflatores!G$4:I$38,3,FALSE)))</f>
        <v>6</v>
      </c>
      <c r="M279" s="10"/>
      <c r="N279" s="10"/>
      <c r="O279" s="6"/>
    </row>
    <row r="280" spans="1:15" x14ac:dyDescent="0.25">
      <c r="A280" s="179" t="s">
        <v>276</v>
      </c>
      <c r="B280" s="4" t="s">
        <v>45</v>
      </c>
      <c r="C280" s="4" t="s">
        <v>50</v>
      </c>
      <c r="D280" s="7">
        <v>27</v>
      </c>
      <c r="E280" s="7">
        <v>8</v>
      </c>
      <c r="F280" s="116" t="str">
        <f t="shared" si="156"/>
        <v>Alta</v>
      </c>
      <c r="G280" s="7" t="str">
        <f t="shared" si="157"/>
        <v>EEH</v>
      </c>
      <c r="H280" s="7">
        <f t="shared" si="158"/>
        <v>6</v>
      </c>
      <c r="I280" s="116" t="str">
        <f t="shared" si="159"/>
        <v>H</v>
      </c>
      <c r="J280" s="7" t="str">
        <f t="shared" si="160"/>
        <v>EEI</v>
      </c>
      <c r="K280" s="127">
        <f t="shared" si="161"/>
        <v>6</v>
      </c>
      <c r="L280" s="127">
        <f>IF(NOT(ISERROR(VLOOKUP(B280,Deflatores!G$42:H$64,2,FALSE))),VLOOKUP(B280,Deflatores!G$42:H$64,2,FALSE),IF(OR(ISBLANK(C280),ISBLANK(B280)),"",VLOOKUP(C280,Deflatores!G$4:H$38,2,FALSE)*H280+VLOOKUP(C280,Deflatores!G$4:I$38,3,FALSE)))</f>
        <v>6</v>
      </c>
      <c r="M280" s="10"/>
      <c r="N280" s="10"/>
      <c r="O280" s="6"/>
    </row>
    <row r="281" spans="1:15" x14ac:dyDescent="0.25">
      <c r="A281" s="179" t="s">
        <v>277</v>
      </c>
      <c r="B281" s="4" t="s">
        <v>52</v>
      </c>
      <c r="C281" s="4" t="s">
        <v>50</v>
      </c>
      <c r="D281" s="7">
        <v>5</v>
      </c>
      <c r="E281" s="7">
        <v>1</v>
      </c>
      <c r="F281" s="116" t="str">
        <f>IF(ISBLANK(B281),"",IF(I281="L","Baixa",IF(I281="A","Média",IF(I281="","","Alta"))))</f>
        <v>Baixa</v>
      </c>
      <c r="G281" s="7" t="str">
        <f>CONCATENATE(B281,I281)</f>
        <v>CEL</v>
      </c>
      <c r="H281" s="7">
        <f>IF(ISBLANK(B281),"",IF(B281="ALI",IF(I281="L",7,IF(I281="A",10,15)),IF(B281="AIE",IF(I281="L",5,IF(I281="A",7,10)),IF(B281="SE",IF(I281="L",4,IF(I281="A",5,7)),IF(OR(B281="EE",B281="CE"),IF(I281="L",3,IF(I281="A",4,6)),0)))))</f>
        <v>3</v>
      </c>
      <c r="I281" s="116" t="str">
        <f>IF(OR(ISBLANK(D281),ISBLANK(E281)),IF(OR(B281="ALI",B281="AIE"),"L",IF(OR(B281="EE",B281="SE",B281="CE"),"A","")),IF(B281="EE",IF(E281&gt;=3,IF(D281&gt;=5,"H","A"),IF(E281&gt;=2,IF(D281&gt;=16,"H",IF(D281&lt;=4,"L","A")),IF(D281&lt;=15,"L","A"))),IF(OR(B281="SE",B281="CE"),IF(E281&gt;=4,IF(D281&gt;=6,"H","A"),IF(E281&gt;=2,IF(D281&gt;=20,"H",IF(D281&lt;=5,"L","A")),IF(D281&lt;=19,"L","A"))),IF(OR(B281="ALI",B281="AIE"),IF(E281&gt;=6,IF(D281&gt;=20,"H","A"),IF(E281&gt;=2,IF(D281&gt;=51,"H",IF(D281&lt;=19,"L","A")),IF(D281&lt;=50,"L","A"))),""))))</f>
        <v>L</v>
      </c>
      <c r="J281" s="7" t="str">
        <f>CONCATENATE(B281,C281)</f>
        <v>CEI</v>
      </c>
      <c r="K281" s="127">
        <f>IF(OR(H281="",H281=0),L281,H281)</f>
        <v>3</v>
      </c>
      <c r="L281" s="127">
        <f>IF(NOT(ISERROR(VLOOKUP(B281,Deflatores!G$42:H$64,2,FALSE))),VLOOKUP(B281,Deflatores!G$42:H$64,2,FALSE),IF(OR(ISBLANK(C281),ISBLANK(B281)),"",VLOOKUP(C281,Deflatores!G$4:H$38,2,FALSE)*H281+VLOOKUP(C281,Deflatores!G$4:I$38,3,FALSE)))</f>
        <v>3</v>
      </c>
      <c r="M281" s="10"/>
      <c r="N281" s="10"/>
      <c r="O281" s="6"/>
    </row>
    <row r="282" spans="1:15" x14ac:dyDescent="0.25">
      <c r="A282" s="179"/>
      <c r="B282" s="4"/>
      <c r="C282" s="4"/>
      <c r="D282" s="7"/>
      <c r="E282" s="7"/>
      <c r="F282" s="116" t="str">
        <f t="shared" ref="F282:F340" si="168">IF(ISBLANK(B282),"",IF(I282="L","Baixa",IF(I282="A","Média",IF(I282="","","Alta"))))</f>
        <v/>
      </c>
      <c r="G282" s="7" t="str">
        <f t="shared" ref="G282:G340" si="169">CONCATENATE(B282,I282)</f>
        <v/>
      </c>
      <c r="H282" s="7" t="str">
        <f t="shared" ref="H282:H340" si="170">IF(ISBLANK(B282),"",IF(B282="ALI",IF(I282="L",7,IF(I282="A",10,15)),IF(B282="AIE",IF(I282="L",5,IF(I282="A",7,10)),IF(B282="SE",IF(I282="L",4,IF(I282="A",5,7)),IF(OR(B282="EE",B282="CE"),IF(I282="L",3,IF(I282="A",4,6)),0)))))</f>
        <v/>
      </c>
      <c r="I282" s="116" t="str">
        <f t="shared" ref="I282:I340" si="171">IF(OR(ISBLANK(D282),ISBLANK(E282)),IF(OR(B282="ALI",B282="AIE"),"L",IF(OR(B282="EE",B282="SE",B282="CE"),"A","")),IF(B282="EE",IF(E282&gt;=3,IF(D282&gt;=5,"H","A"),IF(E282&gt;=2,IF(D282&gt;=16,"H",IF(D282&lt;=4,"L","A")),IF(D282&lt;=15,"L","A"))),IF(OR(B282="SE",B282="CE"),IF(E282&gt;=4,IF(D282&gt;=6,"H","A"),IF(E282&gt;=2,IF(D282&gt;=20,"H",IF(D282&lt;=5,"L","A")),IF(D282&lt;=19,"L","A"))),IF(OR(B282="ALI",B282="AIE"),IF(E282&gt;=6,IF(D282&gt;=20,"H","A"),IF(E282&gt;=2,IF(D282&gt;=51,"H",IF(D282&lt;=19,"L","A")),IF(D282&lt;=50,"L","A"))),""))))</f>
        <v/>
      </c>
      <c r="J282" s="7" t="str">
        <f t="shared" ref="J282:J340" si="172">CONCATENATE(B282,C282)</f>
        <v/>
      </c>
      <c r="K282" s="127" t="str">
        <f t="shared" ref="K282:K340" si="173">IF(OR(H282="",H282=0),L282,H282)</f>
        <v/>
      </c>
      <c r="L282" s="127" t="str">
        <f>IF(NOT(ISERROR(VLOOKUP(B282,Deflatores!G$42:H$64,2,FALSE))),VLOOKUP(B282,Deflatores!G$42:H$64,2,FALSE),IF(OR(ISBLANK(C282),ISBLANK(B282)),"",VLOOKUP(C282,Deflatores!G$4:H$38,2,FALSE)*H282+VLOOKUP(C282,Deflatores!G$4:I$38,3,FALSE)))</f>
        <v/>
      </c>
      <c r="M282" s="10"/>
      <c r="N282" s="10"/>
      <c r="O282" s="6"/>
    </row>
    <row r="283" spans="1:15" x14ac:dyDescent="0.25">
      <c r="A283" s="181" t="s">
        <v>278</v>
      </c>
      <c r="B283" s="4"/>
      <c r="C283" s="4"/>
      <c r="D283" s="7"/>
      <c r="E283" s="7"/>
      <c r="F283" s="116" t="str">
        <f>IF(ISBLANK(B283),"",IF(I283="L","Baixa",IF(I283="A","Média",IF(I283="","","Alta"))))</f>
        <v/>
      </c>
      <c r="G283" s="7" t="str">
        <f>CONCATENATE(B283,I283)</f>
        <v/>
      </c>
      <c r="H283" s="7" t="str">
        <f>IF(ISBLANK(B283),"",IF(B283="ALI",IF(I283="L",7,IF(I283="A",10,15)),IF(B283="AIE",IF(I283="L",5,IF(I283="A",7,10)),IF(B283="SE",IF(I283="L",4,IF(I283="A",5,7)),IF(OR(B283="EE",B283="CE"),IF(I283="L",3,IF(I283="A",4,6)),0)))))</f>
        <v/>
      </c>
      <c r="I283" s="116" t="str">
        <f>IF(OR(ISBLANK(D283),ISBLANK(E283)),IF(OR(B283="ALI",B283="AIE"),"L",IF(OR(B283="EE",B283="SE",B283="CE"),"A","")),IF(B283="EE",IF(E283&gt;=3,IF(D283&gt;=5,"H","A"),IF(E283&gt;=2,IF(D283&gt;=16,"H",IF(D283&lt;=4,"L","A")),IF(D283&lt;=15,"L","A"))),IF(OR(B283="SE",B283="CE"),IF(E283&gt;=4,IF(D283&gt;=6,"H","A"),IF(E283&gt;=2,IF(D283&gt;=20,"H",IF(D283&lt;=5,"L","A")),IF(D283&lt;=19,"L","A"))),IF(OR(B283="ALI",B283="AIE"),IF(E283&gt;=6,IF(D283&gt;=20,"H","A"),IF(E283&gt;=2,IF(D283&gt;=51,"H",IF(D283&lt;=19,"L","A")),IF(D283&lt;=50,"L","A"))),""))))</f>
        <v/>
      </c>
      <c r="J283" s="7" t="str">
        <f>CONCATENATE(B283,C283)</f>
        <v/>
      </c>
      <c r="K283" s="127" t="str">
        <f>IF(OR(H283="",H283=0),L283,H283)</f>
        <v/>
      </c>
      <c r="L283" s="127" t="str">
        <f>IF(NOT(ISERROR(VLOOKUP(B283,Deflatores!G$42:H$64,2,FALSE))),VLOOKUP(B283,Deflatores!G$42:H$64,2,FALSE),IF(OR(ISBLANK(C283),ISBLANK(B283)),"",VLOOKUP(C283,Deflatores!G$4:H$38,2,FALSE)*H283+VLOOKUP(C283,Deflatores!G$4:I$38,3,FALSE)))</f>
        <v/>
      </c>
      <c r="M283" s="10"/>
      <c r="N283" s="10"/>
      <c r="O283" s="6"/>
    </row>
    <row r="284" spans="1:15" x14ac:dyDescent="0.25">
      <c r="A284" s="179" t="s">
        <v>279</v>
      </c>
      <c r="B284" s="4" t="s">
        <v>45</v>
      </c>
      <c r="C284" s="4" t="s">
        <v>50</v>
      </c>
      <c r="D284" s="7">
        <v>18</v>
      </c>
      <c r="E284" s="7">
        <v>6</v>
      </c>
      <c r="F284" s="116" t="str">
        <f>IF(ISBLANK(B284),"",IF(I284="L","Baixa",IF(I284="A","Média",IF(I284="","","Alta"))))</f>
        <v>Alta</v>
      </c>
      <c r="G284" s="7" t="str">
        <f>CONCATENATE(B284,I284)</f>
        <v>EEH</v>
      </c>
      <c r="H284" s="7">
        <f>IF(ISBLANK(B284),"",IF(B284="ALI",IF(I284="L",7,IF(I284="A",10,15)),IF(B284="AIE",IF(I284="L",5,IF(I284="A",7,10)),IF(B284="SE",IF(I284="L",4,IF(I284="A",5,7)),IF(OR(B284="EE",B284="CE"),IF(I284="L",3,IF(I284="A",4,6)),0)))))</f>
        <v>6</v>
      </c>
      <c r="I284" s="116" t="str">
        <f>IF(OR(ISBLANK(D284),ISBLANK(E284)),IF(OR(B284="ALI",B284="AIE"),"L",IF(OR(B284="EE",B284="SE",B284="CE"),"A","")),IF(B284="EE",IF(E284&gt;=3,IF(D284&gt;=5,"H","A"),IF(E284&gt;=2,IF(D284&gt;=16,"H",IF(D284&lt;=4,"L","A")),IF(D284&lt;=15,"L","A"))),IF(OR(B284="SE",B284="CE"),IF(E284&gt;=4,IF(D284&gt;=6,"H","A"),IF(E284&gt;=2,IF(D284&gt;=20,"H",IF(D284&lt;=5,"L","A")),IF(D284&lt;=19,"L","A"))),IF(OR(B284="ALI",B284="AIE"),IF(E284&gt;=6,IF(D284&gt;=20,"H","A"),IF(E284&gt;=2,IF(D284&gt;=51,"H",IF(D284&lt;=19,"L","A")),IF(D284&lt;=50,"L","A"))),""))))</f>
        <v>H</v>
      </c>
      <c r="J284" s="7" t="str">
        <f>CONCATENATE(B284,C284)</f>
        <v>EEI</v>
      </c>
      <c r="K284" s="127">
        <f>IF(OR(H284="",H284=0),L284,H284)</f>
        <v>6</v>
      </c>
      <c r="L284" s="127">
        <f>IF(NOT(ISERROR(VLOOKUP(B284,Deflatores!G$42:H$64,2,FALSE))),VLOOKUP(B284,Deflatores!G$42:H$64,2,FALSE),IF(OR(ISBLANK(C284),ISBLANK(B284)),"",VLOOKUP(C284,Deflatores!G$4:H$38,2,FALSE)*H284+VLOOKUP(C284,Deflatores!G$4:I$38,3,FALSE)))</f>
        <v>6</v>
      </c>
      <c r="M284" s="10"/>
      <c r="N284" s="10"/>
      <c r="O284" s="6"/>
    </row>
    <row r="285" spans="1:15" x14ac:dyDescent="0.25">
      <c r="A285" s="180" t="s">
        <v>280</v>
      </c>
      <c r="B285" s="4" t="s">
        <v>52</v>
      </c>
      <c r="C285" s="4" t="s">
        <v>50</v>
      </c>
      <c r="D285" s="7">
        <v>4</v>
      </c>
      <c r="E285" s="7">
        <v>3</v>
      </c>
      <c r="F285" s="116" t="str">
        <f t="shared" ref="F285" si="174">IF(ISBLANK(B285),"",IF(I285="L","Baixa",IF(I285="A","Média",IF(I285="","","Alta"))))</f>
        <v>Baixa</v>
      </c>
      <c r="G285" s="7" t="str">
        <f t="shared" ref="G285" si="175">CONCATENATE(B285,I285)</f>
        <v>CEL</v>
      </c>
      <c r="H285" s="7">
        <f t="shared" ref="H285" si="176">IF(ISBLANK(B285),"",IF(B285="ALI",IF(I285="L",7,IF(I285="A",10,15)),IF(B285="AIE",IF(I285="L",5,IF(I285="A",7,10)),IF(B285="SE",IF(I285="L",4,IF(I285="A",5,7)),IF(OR(B285="EE",B285="CE"),IF(I285="L",3,IF(I285="A",4,6)),0)))))</f>
        <v>3</v>
      </c>
      <c r="I285" s="116" t="str">
        <f t="shared" ref="I285" si="177">IF(OR(ISBLANK(D285),ISBLANK(E285)),IF(OR(B285="ALI",B285="AIE"),"L",IF(OR(B285="EE",B285="SE",B285="CE"),"A","")),IF(B285="EE",IF(E285&gt;=3,IF(D285&gt;=5,"H","A"),IF(E285&gt;=2,IF(D285&gt;=16,"H",IF(D285&lt;=4,"L","A")),IF(D285&lt;=15,"L","A"))),IF(OR(B285="SE",B285="CE"),IF(E285&gt;=4,IF(D285&gt;=6,"H","A"),IF(E285&gt;=2,IF(D285&gt;=20,"H",IF(D285&lt;=5,"L","A")),IF(D285&lt;=19,"L","A"))),IF(OR(B285="ALI",B285="AIE"),IF(E285&gt;=6,IF(D285&gt;=20,"H","A"),IF(E285&gt;=2,IF(D285&gt;=51,"H",IF(D285&lt;=19,"L","A")),IF(D285&lt;=50,"L","A"))),""))))</f>
        <v>L</v>
      </c>
      <c r="J285" s="7" t="str">
        <f t="shared" ref="J285" si="178">CONCATENATE(B285,C285)</f>
        <v>CEI</v>
      </c>
      <c r="K285" s="127">
        <f t="shared" ref="K285" si="179">IF(OR(H285="",H285=0),L285,H285)</f>
        <v>3</v>
      </c>
      <c r="L285" s="127">
        <f>IF(NOT(ISERROR(VLOOKUP(B285,Deflatores!G$42:H$64,2,FALSE))),VLOOKUP(B285,Deflatores!G$42:H$64,2,FALSE),IF(OR(ISBLANK(C285),ISBLANK(B285)),"",VLOOKUP(C285,Deflatores!G$4:H$38,2,FALSE)*H285+VLOOKUP(C285,Deflatores!G$4:I$38,3,FALSE)))</f>
        <v>3</v>
      </c>
      <c r="M285" s="10"/>
      <c r="N285" s="10"/>
      <c r="O285" s="6"/>
    </row>
    <row r="286" spans="1:15" x14ac:dyDescent="0.25">
      <c r="A286" s="179"/>
      <c r="B286" s="4"/>
      <c r="C286" s="4"/>
      <c r="D286" s="7"/>
      <c r="E286" s="7"/>
      <c r="F286" s="116"/>
      <c r="G286" s="7"/>
      <c r="H286" s="7"/>
      <c r="I286" s="116"/>
      <c r="J286" s="7"/>
      <c r="K286" s="127"/>
      <c r="L286" s="127" t="str">
        <f>IF(NOT(ISERROR(VLOOKUP(B286,Deflatores!G$42:H$64,2,FALSE))),VLOOKUP(B286,Deflatores!G$42:H$64,2,FALSE),IF(OR(ISBLANK(C286),ISBLANK(B286)),"",VLOOKUP(C286,Deflatores!G$4:H$38,2,FALSE)*H286+VLOOKUP(C286,Deflatores!G$4:I$38,3,FALSE)))</f>
        <v/>
      </c>
      <c r="M286" s="10"/>
      <c r="N286" s="10"/>
      <c r="O286" s="6"/>
    </row>
    <row r="287" spans="1:15" x14ac:dyDescent="0.25">
      <c r="A287" s="181" t="s">
        <v>281</v>
      </c>
      <c r="B287" s="4"/>
      <c r="C287" s="4"/>
      <c r="D287" s="7"/>
      <c r="E287" s="7"/>
      <c r="F287" s="116" t="str">
        <f>IF(ISBLANK(B287),"",IF(I287="L","Baixa",IF(I287="A","Média",IF(I287="","","Alta"))))</f>
        <v/>
      </c>
      <c r="G287" s="7" t="str">
        <f>CONCATENATE(B287,I287)</f>
        <v/>
      </c>
      <c r="H287" s="7" t="str">
        <f>IF(ISBLANK(B287),"",IF(B287="ALI",IF(I287="L",7,IF(I287="A",10,15)),IF(B287="AIE",IF(I287="L",5,IF(I287="A",7,10)),IF(B287="SE",IF(I287="L",4,IF(I287="A",5,7)),IF(OR(B287="EE",B287="CE"),IF(I287="L",3,IF(I287="A",4,6)),0)))))</f>
        <v/>
      </c>
      <c r="I287" s="116" t="str">
        <f>IF(OR(ISBLANK(D287),ISBLANK(E287)),IF(OR(B287="ALI",B287="AIE"),"L",IF(OR(B287="EE",B287="SE",B287="CE"),"A","")),IF(B287="EE",IF(E287&gt;=3,IF(D287&gt;=5,"H","A"),IF(E287&gt;=2,IF(D287&gt;=16,"H",IF(D287&lt;=4,"L","A")),IF(D287&lt;=15,"L","A"))),IF(OR(B287="SE",B287="CE"),IF(E287&gt;=4,IF(D287&gt;=6,"H","A"),IF(E287&gt;=2,IF(D287&gt;=20,"H",IF(D287&lt;=5,"L","A")),IF(D287&lt;=19,"L","A"))),IF(OR(B287="ALI",B287="AIE"),IF(E287&gt;=6,IF(D287&gt;=20,"H","A"),IF(E287&gt;=2,IF(D287&gt;=51,"H",IF(D287&lt;=19,"L","A")),IF(D287&lt;=50,"L","A"))),""))))</f>
        <v/>
      </c>
      <c r="J287" s="7" t="str">
        <f>CONCATENATE(B287,C287)</f>
        <v/>
      </c>
      <c r="K287" s="127" t="str">
        <f>IF(OR(H287="",H287=0),L287,H287)</f>
        <v/>
      </c>
      <c r="L287" s="127" t="str">
        <f>IF(NOT(ISERROR(VLOOKUP(B287,Deflatores!G$42:H$64,2,FALSE))),VLOOKUP(B287,Deflatores!G$42:H$64,2,FALSE),IF(OR(ISBLANK(C287),ISBLANK(B287)),"",VLOOKUP(C287,Deflatores!G$4:H$38,2,FALSE)*H287+VLOOKUP(C287,Deflatores!G$4:I$38,3,FALSE)))</f>
        <v/>
      </c>
      <c r="M287" s="10"/>
      <c r="N287" s="10"/>
      <c r="O287" s="6"/>
    </row>
    <row r="288" spans="1:15" x14ac:dyDescent="0.25">
      <c r="A288" s="179" t="s">
        <v>282</v>
      </c>
      <c r="B288" s="4" t="s">
        <v>61</v>
      </c>
      <c r="C288" s="4" t="s">
        <v>50</v>
      </c>
      <c r="D288" s="7">
        <v>16</v>
      </c>
      <c r="E288" s="7">
        <v>3</v>
      </c>
      <c r="F288" s="116" t="str">
        <f t="shared" ref="F288:F297" si="180">IF(ISBLANK(B288),"",IF(I288="L","Baixa",IF(I288="A","Média",IF(I288="","","Alta"))))</f>
        <v>Baixa</v>
      </c>
      <c r="G288" s="7" t="str">
        <f t="shared" ref="G288:G297" si="181">CONCATENATE(B288,I288)</f>
        <v>ALIL</v>
      </c>
      <c r="H288" s="7">
        <f t="shared" ref="H288:H297" si="182">IF(ISBLANK(B288),"",IF(B288="ALI",IF(I288="L",7,IF(I288="A",10,15)),IF(B288="AIE",IF(I288="L",5,IF(I288="A",7,10)),IF(B288="SE",IF(I288="L",4,IF(I288="A",5,7)),IF(OR(B288="EE",B288="CE"),IF(I288="L",3,IF(I288="A",4,6)),0)))))</f>
        <v>7</v>
      </c>
      <c r="I288" s="116" t="str">
        <f t="shared" ref="I288:I297" si="183">IF(OR(ISBLANK(D288),ISBLANK(E288)),IF(OR(B288="ALI",B288="AIE"),"L",IF(OR(B288="EE",B288="SE",B288="CE"),"A","")),IF(B288="EE",IF(E288&gt;=3,IF(D288&gt;=5,"H","A"),IF(E288&gt;=2,IF(D288&gt;=16,"H",IF(D288&lt;=4,"L","A")),IF(D288&lt;=15,"L","A"))),IF(OR(B288="SE",B288="CE"),IF(E288&gt;=4,IF(D288&gt;=6,"H","A"),IF(E288&gt;=2,IF(D288&gt;=20,"H",IF(D288&lt;=5,"L","A")),IF(D288&lt;=19,"L","A"))),IF(OR(B288="ALI",B288="AIE"),IF(E288&gt;=6,IF(D288&gt;=20,"H","A"),IF(E288&gt;=2,IF(D288&gt;=51,"H",IF(D288&lt;=19,"L","A")),IF(D288&lt;=50,"L","A"))),""))))</f>
        <v>L</v>
      </c>
      <c r="J288" s="7" t="str">
        <f t="shared" ref="J288:J297" si="184">CONCATENATE(B288,C288)</f>
        <v>ALII</v>
      </c>
      <c r="K288" s="127">
        <f t="shared" ref="K288:K297" si="185">IF(OR(H288="",H288=0),L288,H288)</f>
        <v>7</v>
      </c>
      <c r="L288" s="127">
        <f>IF(NOT(ISERROR(VLOOKUP(B288,Deflatores!G$42:H$64,2,FALSE))),VLOOKUP(B288,Deflatores!G$42:H$64,2,FALSE),IF(OR(ISBLANK(C288),ISBLANK(B288)),"",VLOOKUP(C288,Deflatores!G$4:H$38,2,FALSE)*H288+VLOOKUP(C288,Deflatores!G$4:I$38,3,FALSE)))</f>
        <v>7</v>
      </c>
      <c r="M288" s="10"/>
      <c r="N288" s="10"/>
      <c r="O288" s="6"/>
    </row>
    <row r="289" spans="1:15" x14ac:dyDescent="0.25">
      <c r="A289" s="179" t="s">
        <v>283</v>
      </c>
      <c r="B289" s="4" t="s">
        <v>52</v>
      </c>
      <c r="C289" s="4" t="s">
        <v>50</v>
      </c>
      <c r="D289" s="7">
        <v>11</v>
      </c>
      <c r="E289" s="7">
        <v>3</v>
      </c>
      <c r="F289" s="116" t="str">
        <f t="shared" si="180"/>
        <v>Média</v>
      </c>
      <c r="G289" s="7" t="str">
        <f t="shared" si="181"/>
        <v>CEA</v>
      </c>
      <c r="H289" s="7">
        <f t="shared" si="182"/>
        <v>4</v>
      </c>
      <c r="I289" s="116" t="str">
        <f t="shared" si="183"/>
        <v>A</v>
      </c>
      <c r="J289" s="7" t="str">
        <f t="shared" si="184"/>
        <v>CEI</v>
      </c>
      <c r="K289" s="127">
        <f t="shared" si="185"/>
        <v>4</v>
      </c>
      <c r="L289" s="127">
        <f>IF(NOT(ISERROR(VLOOKUP(B289,Deflatores!G$42:H$64,2,FALSE))),VLOOKUP(B289,Deflatores!G$42:H$64,2,FALSE),IF(OR(ISBLANK(C289),ISBLANK(B289)),"",VLOOKUP(C289,Deflatores!G$4:H$38,2,FALSE)*H289+VLOOKUP(C289,Deflatores!G$4:I$38,3,FALSE)))</f>
        <v>4</v>
      </c>
      <c r="M289" s="10"/>
      <c r="N289" s="10"/>
      <c r="O289" s="6"/>
    </row>
    <row r="290" spans="1:15" x14ac:dyDescent="0.25">
      <c r="A290" s="180" t="s">
        <v>284</v>
      </c>
      <c r="B290" s="4" t="s">
        <v>52</v>
      </c>
      <c r="C290" s="4" t="s">
        <v>50</v>
      </c>
      <c r="D290" s="7">
        <v>4</v>
      </c>
      <c r="E290" s="7">
        <v>1</v>
      </c>
      <c r="F290" s="116" t="str">
        <f t="shared" si="180"/>
        <v>Baixa</v>
      </c>
      <c r="G290" s="7" t="str">
        <f t="shared" si="181"/>
        <v>CEL</v>
      </c>
      <c r="H290" s="7">
        <f t="shared" si="182"/>
        <v>3</v>
      </c>
      <c r="I290" s="116" t="str">
        <f t="shared" si="183"/>
        <v>L</v>
      </c>
      <c r="J290" s="7" t="str">
        <f t="shared" si="184"/>
        <v>CEI</v>
      </c>
      <c r="K290" s="127">
        <f t="shared" si="185"/>
        <v>3</v>
      </c>
      <c r="L290" s="127">
        <f>IF(NOT(ISERROR(VLOOKUP(B290,Deflatores!G$42:H$64,2,FALSE))),VLOOKUP(B290,Deflatores!G$42:H$64,2,FALSE),IF(OR(ISBLANK(C290),ISBLANK(B290)),"",VLOOKUP(C290,Deflatores!G$4:H$38,2,FALSE)*H290+VLOOKUP(C290,Deflatores!G$4:I$38,3,FALSE)))</f>
        <v>3</v>
      </c>
      <c r="M290" s="10"/>
      <c r="N290" s="10"/>
      <c r="O290" s="6"/>
    </row>
    <row r="291" spans="1:15" x14ac:dyDescent="0.25">
      <c r="A291" s="179" t="s">
        <v>285</v>
      </c>
      <c r="B291" s="4" t="s">
        <v>45</v>
      </c>
      <c r="C291" s="4" t="s">
        <v>50</v>
      </c>
      <c r="D291" s="7">
        <v>16</v>
      </c>
      <c r="E291" s="7">
        <v>3</v>
      </c>
      <c r="F291" s="116" t="str">
        <f>IF(ISBLANK(B291),"",IF(I291="L","Baixa",IF(I291="A","Média",IF(I291="","","Alta"))))</f>
        <v>Alta</v>
      </c>
      <c r="G291" s="7" t="str">
        <f>CONCATENATE(B291,I291)</f>
        <v>EEH</v>
      </c>
      <c r="H291" s="7">
        <f>IF(ISBLANK(B291),"",IF(B291="ALI",IF(I291="L",7,IF(I291="A",10,15)),IF(B291="AIE",IF(I291="L",5,IF(I291="A",7,10)),IF(B291="SE",IF(I291="L",4,IF(I291="A",5,7)),IF(OR(B291="EE",B291="CE"),IF(I291="L",3,IF(I291="A",4,6)),0)))))</f>
        <v>6</v>
      </c>
      <c r="I291" s="116" t="str">
        <f>IF(OR(ISBLANK(D291),ISBLANK(E291)),IF(OR(B291="ALI",B291="AIE"),"L",IF(OR(B291="EE",B291="SE",B291="CE"),"A","")),IF(B291="EE",IF(E291&gt;=3,IF(D291&gt;=5,"H","A"),IF(E291&gt;=2,IF(D291&gt;=16,"H",IF(D291&lt;=4,"L","A")),IF(D291&lt;=15,"L","A"))),IF(OR(B291="SE",B291="CE"),IF(E291&gt;=4,IF(D291&gt;=6,"H","A"),IF(E291&gt;=2,IF(D291&gt;=20,"H",IF(D291&lt;=5,"L","A")),IF(D291&lt;=19,"L","A"))),IF(OR(B291="ALI",B291="AIE"),IF(E291&gt;=6,IF(D291&gt;=20,"H","A"),IF(E291&gt;=2,IF(D291&gt;=51,"H",IF(D291&lt;=19,"L","A")),IF(D291&lt;=50,"L","A"))),""))))</f>
        <v>H</v>
      </c>
      <c r="J291" s="7" t="str">
        <f>CONCATENATE(B291,C291)</f>
        <v>EEI</v>
      </c>
      <c r="K291" s="127">
        <f>IF(OR(H291="",H291=0),L291,H291)</f>
        <v>6</v>
      </c>
      <c r="L291" s="127">
        <f>IF(NOT(ISERROR(VLOOKUP(B291,Deflatores!G$42:H$64,2,FALSE))),VLOOKUP(B291,Deflatores!G$42:H$64,2,FALSE),IF(OR(ISBLANK(C291),ISBLANK(B291)),"",VLOOKUP(C291,Deflatores!G$4:H$38,2,FALSE)*H291+VLOOKUP(C291,Deflatores!G$4:I$38,3,FALSE)))</f>
        <v>6</v>
      </c>
      <c r="M291" s="10"/>
      <c r="N291" s="10"/>
      <c r="O291" s="6"/>
    </row>
    <row r="292" spans="1:15" x14ac:dyDescent="0.25">
      <c r="A292" s="180" t="s">
        <v>286</v>
      </c>
      <c r="B292" s="4" t="s">
        <v>52</v>
      </c>
      <c r="C292" s="4" t="s">
        <v>50</v>
      </c>
      <c r="D292" s="7">
        <v>3</v>
      </c>
      <c r="E292" s="7">
        <v>1</v>
      </c>
      <c r="F292" s="116" t="str">
        <f t="shared" ref="F292" si="186">IF(ISBLANK(B292),"",IF(I292="L","Baixa",IF(I292="A","Média",IF(I292="","","Alta"))))</f>
        <v>Baixa</v>
      </c>
      <c r="G292" s="7" t="str">
        <f t="shared" ref="G292" si="187">CONCATENATE(B292,I292)</f>
        <v>CEL</v>
      </c>
      <c r="H292" s="7">
        <f t="shared" ref="H292" si="188">IF(ISBLANK(B292),"",IF(B292="ALI",IF(I292="L",7,IF(I292="A",10,15)),IF(B292="AIE",IF(I292="L",5,IF(I292="A",7,10)),IF(B292="SE",IF(I292="L",4,IF(I292="A",5,7)),IF(OR(B292="EE",B292="CE"),IF(I292="L",3,IF(I292="A",4,6)),0)))))</f>
        <v>3</v>
      </c>
      <c r="I292" s="116" t="str">
        <f t="shared" ref="I292" si="189">IF(OR(ISBLANK(D292),ISBLANK(E292)),IF(OR(B292="ALI",B292="AIE"),"L",IF(OR(B292="EE",B292="SE",B292="CE"),"A","")),IF(B292="EE",IF(E292&gt;=3,IF(D292&gt;=5,"H","A"),IF(E292&gt;=2,IF(D292&gt;=16,"H",IF(D292&lt;=4,"L","A")),IF(D292&lt;=15,"L","A"))),IF(OR(B292="SE",B292="CE"),IF(E292&gt;=4,IF(D292&gt;=6,"H","A"),IF(E292&gt;=2,IF(D292&gt;=20,"H",IF(D292&lt;=5,"L","A")),IF(D292&lt;=19,"L","A"))),IF(OR(B292="ALI",B292="AIE"),IF(E292&gt;=6,IF(D292&gt;=20,"H","A"),IF(E292&gt;=2,IF(D292&gt;=51,"H",IF(D292&lt;=19,"L","A")),IF(D292&lt;=50,"L","A"))),""))))</f>
        <v>L</v>
      </c>
      <c r="J292" s="7" t="str">
        <f t="shared" ref="J292" si="190">CONCATENATE(B292,C292)</f>
        <v>CEI</v>
      </c>
      <c r="K292" s="127">
        <f t="shared" ref="K292" si="191">IF(OR(H292="",H292=0),L292,H292)</f>
        <v>3</v>
      </c>
      <c r="L292" s="127">
        <f>IF(NOT(ISERROR(VLOOKUP(B292,Deflatores!G$42:H$64,2,FALSE))),VLOOKUP(B292,Deflatores!G$42:H$64,2,FALSE),IF(OR(ISBLANK(C292),ISBLANK(B292)),"",VLOOKUP(C292,Deflatores!G$4:H$38,2,FALSE)*H292+VLOOKUP(C292,Deflatores!G$4:I$38,3,FALSE)))</f>
        <v>3</v>
      </c>
      <c r="M292" s="10"/>
      <c r="N292" s="10"/>
      <c r="O292" s="6"/>
    </row>
    <row r="293" spans="1:15" x14ac:dyDescent="0.25">
      <c r="A293" s="179" t="s">
        <v>287</v>
      </c>
      <c r="B293" s="4" t="s">
        <v>45</v>
      </c>
      <c r="C293" s="4" t="s">
        <v>50</v>
      </c>
      <c r="D293" s="7">
        <v>16</v>
      </c>
      <c r="E293" s="7">
        <v>3</v>
      </c>
      <c r="F293" s="116" t="str">
        <f t="shared" si="180"/>
        <v>Alta</v>
      </c>
      <c r="G293" s="7" t="str">
        <f t="shared" si="181"/>
        <v>EEH</v>
      </c>
      <c r="H293" s="7">
        <f t="shared" si="182"/>
        <v>6</v>
      </c>
      <c r="I293" s="116" t="str">
        <f t="shared" si="183"/>
        <v>H</v>
      </c>
      <c r="J293" s="7" t="str">
        <f t="shared" si="184"/>
        <v>EEI</v>
      </c>
      <c r="K293" s="127">
        <f t="shared" si="185"/>
        <v>6</v>
      </c>
      <c r="L293" s="127">
        <f>IF(NOT(ISERROR(VLOOKUP(B293,Deflatores!G$42:H$64,2,FALSE))),VLOOKUP(B293,Deflatores!G$42:H$64,2,FALSE),IF(OR(ISBLANK(C293),ISBLANK(B293)),"",VLOOKUP(C293,Deflatores!G$4:H$38,2,FALSE)*H293+VLOOKUP(C293,Deflatores!G$4:I$38,3,FALSE)))</f>
        <v>6</v>
      </c>
      <c r="M293" s="10"/>
      <c r="N293" s="10"/>
      <c r="O293" s="6"/>
    </row>
    <row r="294" spans="1:15" x14ac:dyDescent="0.25">
      <c r="A294" s="180" t="s">
        <v>288</v>
      </c>
      <c r="B294" s="4" t="s">
        <v>52</v>
      </c>
      <c r="C294" s="4" t="s">
        <v>50</v>
      </c>
      <c r="D294" s="7">
        <v>14</v>
      </c>
      <c r="E294" s="7">
        <v>3</v>
      </c>
      <c r="F294" s="116" t="str">
        <f t="shared" si="180"/>
        <v>Média</v>
      </c>
      <c r="G294" s="7" t="str">
        <f t="shared" si="181"/>
        <v>CEA</v>
      </c>
      <c r="H294" s="7">
        <f t="shared" si="182"/>
        <v>4</v>
      </c>
      <c r="I294" s="116" t="str">
        <f t="shared" si="183"/>
        <v>A</v>
      </c>
      <c r="J294" s="7" t="str">
        <f t="shared" si="184"/>
        <v>CEI</v>
      </c>
      <c r="K294" s="127">
        <f t="shared" si="185"/>
        <v>4</v>
      </c>
      <c r="L294" s="127">
        <f>IF(NOT(ISERROR(VLOOKUP(B294,Deflatores!G$42:H$64,2,FALSE))),VLOOKUP(B294,Deflatores!G$42:H$64,2,FALSE),IF(OR(ISBLANK(C294),ISBLANK(B294)),"",VLOOKUP(C294,Deflatores!G$4:H$38,2,FALSE)*H294+VLOOKUP(C294,Deflatores!G$4:I$38,3,FALSE)))</f>
        <v>4</v>
      </c>
      <c r="M294" s="10"/>
      <c r="N294" s="10"/>
      <c r="O294" s="6"/>
    </row>
    <row r="295" spans="1:15" x14ac:dyDescent="0.25">
      <c r="A295" s="179" t="s">
        <v>289</v>
      </c>
      <c r="B295" s="4" t="s">
        <v>52</v>
      </c>
      <c r="C295" s="4" t="s">
        <v>50</v>
      </c>
      <c r="D295" s="7">
        <v>16</v>
      </c>
      <c r="E295" s="7">
        <v>3</v>
      </c>
      <c r="F295" s="116" t="str">
        <f t="shared" si="180"/>
        <v>Média</v>
      </c>
      <c r="G295" s="7" t="str">
        <f t="shared" si="181"/>
        <v>CEA</v>
      </c>
      <c r="H295" s="7">
        <f t="shared" si="182"/>
        <v>4</v>
      </c>
      <c r="I295" s="116" t="str">
        <f t="shared" si="183"/>
        <v>A</v>
      </c>
      <c r="J295" s="7" t="str">
        <f t="shared" si="184"/>
        <v>CEI</v>
      </c>
      <c r="K295" s="127">
        <f t="shared" si="185"/>
        <v>4</v>
      </c>
      <c r="L295" s="127">
        <f>IF(NOT(ISERROR(VLOOKUP(B295,Deflatores!G$42:H$64,2,FALSE))),VLOOKUP(B295,Deflatores!G$42:H$64,2,FALSE),IF(OR(ISBLANK(C295),ISBLANK(B295)),"",VLOOKUP(C295,Deflatores!G$4:H$38,2,FALSE)*H295+VLOOKUP(C295,Deflatores!G$4:I$38,3,FALSE)))</f>
        <v>4</v>
      </c>
      <c r="M295" s="10"/>
      <c r="N295" s="10"/>
      <c r="O295" s="6"/>
    </row>
    <row r="296" spans="1:15" x14ac:dyDescent="0.25">
      <c r="A296" s="179" t="s">
        <v>290</v>
      </c>
      <c r="B296" s="4" t="s">
        <v>45</v>
      </c>
      <c r="C296" s="4" t="s">
        <v>50</v>
      </c>
      <c r="D296" s="7">
        <v>3</v>
      </c>
      <c r="E296" s="7">
        <v>1</v>
      </c>
      <c r="F296" s="116" t="str">
        <f t="shared" si="180"/>
        <v>Baixa</v>
      </c>
      <c r="G296" s="7" t="str">
        <f t="shared" si="181"/>
        <v>EEL</v>
      </c>
      <c r="H296" s="7">
        <f t="shared" si="182"/>
        <v>3</v>
      </c>
      <c r="I296" s="116" t="str">
        <f t="shared" si="183"/>
        <v>L</v>
      </c>
      <c r="J296" s="7" t="str">
        <f t="shared" si="184"/>
        <v>EEI</v>
      </c>
      <c r="K296" s="127">
        <f t="shared" si="185"/>
        <v>3</v>
      </c>
      <c r="L296" s="127">
        <f>IF(NOT(ISERROR(VLOOKUP(B296,Deflatores!G$42:H$64,2,FALSE))),VLOOKUP(B296,Deflatores!G$42:H$64,2,FALSE),IF(OR(ISBLANK(C296),ISBLANK(B296)),"",VLOOKUP(C296,Deflatores!G$4:H$38,2,FALSE)*H296+VLOOKUP(C296,Deflatores!G$4:I$38,3,FALSE)))</f>
        <v>3</v>
      </c>
      <c r="M296" s="10"/>
      <c r="N296" s="10"/>
      <c r="O296" s="6"/>
    </row>
    <row r="297" spans="1:15" x14ac:dyDescent="0.25">
      <c r="A297" s="179"/>
      <c r="B297" s="4"/>
      <c r="C297" s="4"/>
      <c r="D297" s="7"/>
      <c r="E297" s="7"/>
      <c r="F297" s="116" t="str">
        <f t="shared" si="180"/>
        <v/>
      </c>
      <c r="G297" s="7" t="str">
        <f t="shared" si="181"/>
        <v/>
      </c>
      <c r="H297" s="7" t="str">
        <f t="shared" si="182"/>
        <v/>
      </c>
      <c r="I297" s="116" t="str">
        <f t="shared" si="183"/>
        <v/>
      </c>
      <c r="J297" s="7" t="str">
        <f t="shared" si="184"/>
        <v/>
      </c>
      <c r="K297" s="127" t="str">
        <f t="shared" si="185"/>
        <v/>
      </c>
      <c r="L297" s="127" t="str">
        <f>IF(NOT(ISERROR(VLOOKUP(B297,Deflatores!G$42:H$64,2,FALSE))),VLOOKUP(B297,Deflatores!G$42:H$64,2,FALSE),IF(OR(ISBLANK(C297),ISBLANK(B297)),"",VLOOKUP(C297,Deflatores!G$4:H$38,2,FALSE)*H297+VLOOKUP(C297,Deflatores!G$4:I$38,3,FALSE)))</f>
        <v/>
      </c>
      <c r="M297" s="10"/>
      <c r="N297" s="10"/>
      <c r="O297" s="6"/>
    </row>
    <row r="298" spans="1:15" x14ac:dyDescent="0.25">
      <c r="A298" s="181" t="s">
        <v>291</v>
      </c>
      <c r="B298" s="4"/>
      <c r="C298" s="4"/>
      <c r="D298" s="7"/>
      <c r="E298" s="7"/>
      <c r="F298" s="116" t="str">
        <f>IF(ISBLANK(B298),"",IF(I298="L","Baixa",IF(I298="A","Média",IF(I298="","","Alta"))))</f>
        <v/>
      </c>
      <c r="G298" s="7" t="str">
        <f>CONCATENATE(B298,I298)</f>
        <v/>
      </c>
      <c r="H298" s="7" t="str">
        <f>IF(ISBLANK(B298),"",IF(B298="ALI",IF(I298="L",7,IF(I298="A",10,15)),IF(B298="AIE",IF(I298="L",5,IF(I298="A",7,10)),IF(B298="SE",IF(I298="L",4,IF(I298="A",5,7)),IF(OR(B298="EE",B298="CE"),IF(I298="L",3,IF(I298="A",4,6)),0)))))</f>
        <v/>
      </c>
      <c r="I298" s="116" t="str">
        <f>IF(OR(ISBLANK(D298),ISBLANK(E298)),IF(OR(B298="ALI",B298="AIE"),"L",IF(OR(B298="EE",B298="SE",B298="CE"),"A","")),IF(B298="EE",IF(E298&gt;=3,IF(D298&gt;=5,"H","A"),IF(E298&gt;=2,IF(D298&gt;=16,"H",IF(D298&lt;=4,"L","A")),IF(D298&lt;=15,"L","A"))),IF(OR(B298="SE",B298="CE"),IF(E298&gt;=4,IF(D298&gt;=6,"H","A"),IF(E298&gt;=2,IF(D298&gt;=20,"H",IF(D298&lt;=5,"L","A")),IF(D298&lt;=19,"L","A"))),IF(OR(B298="ALI",B298="AIE"),IF(E298&gt;=6,IF(D298&gt;=20,"H","A"),IF(E298&gt;=2,IF(D298&gt;=51,"H",IF(D298&lt;=19,"L","A")),IF(D298&lt;=50,"L","A"))),""))))</f>
        <v/>
      </c>
      <c r="J298" s="7" t="str">
        <f>CONCATENATE(B298,C298)</f>
        <v/>
      </c>
      <c r="K298" s="127" t="str">
        <f>IF(OR(H298="",H298=0),L298,H298)</f>
        <v/>
      </c>
      <c r="L298" s="127" t="str">
        <f>IF(NOT(ISERROR(VLOOKUP(B298,Deflatores!G$42:H$64,2,FALSE))),VLOOKUP(B298,Deflatores!G$42:H$64,2,FALSE),IF(OR(ISBLANK(C298),ISBLANK(B298)),"",VLOOKUP(C298,Deflatores!G$4:H$38,2,FALSE)*H298+VLOOKUP(C298,Deflatores!G$4:I$38,3,FALSE)))</f>
        <v/>
      </c>
      <c r="M298" s="10"/>
      <c r="N298" s="10"/>
      <c r="O298" s="6"/>
    </row>
    <row r="299" spans="1:15" x14ac:dyDescent="0.25">
      <c r="A299" s="179" t="s">
        <v>292</v>
      </c>
      <c r="B299" s="4" t="s">
        <v>52</v>
      </c>
      <c r="C299" s="4" t="s">
        <v>46</v>
      </c>
      <c r="D299" s="7"/>
      <c r="E299" s="7"/>
      <c r="F299" s="116" t="str">
        <f t="shared" ref="F299:F301" si="192">IF(ISBLANK(B299),"",IF(I299="L","Baixa",IF(I299="A","Média",IF(I299="","","Alta"))))</f>
        <v>Média</v>
      </c>
      <c r="G299" s="7" t="str">
        <f t="shared" ref="G299:G301" si="193">CONCATENATE(B299,I299)</f>
        <v>CEA</v>
      </c>
      <c r="H299" s="7">
        <f t="shared" ref="H299:H301" si="194">IF(ISBLANK(B299),"",IF(B299="ALI",IF(I299="L",7,IF(I299="A",10,15)),IF(B299="AIE",IF(I299="L",5,IF(I299="A",7,10)),IF(B299="SE",IF(I299="L",4,IF(I299="A",5,7)),IF(OR(B299="EE",B299="CE"),IF(I299="L",3,IF(I299="A",4,6)),0)))))</f>
        <v>4</v>
      </c>
      <c r="I299" s="116" t="str">
        <f t="shared" ref="I299:I301" si="195">IF(OR(ISBLANK(D299),ISBLANK(E299)),IF(OR(B299="ALI",B299="AIE"),"L",IF(OR(B299="EE",B299="SE",B299="CE"),"A","")),IF(B299="EE",IF(E299&gt;=3,IF(D299&gt;=5,"H","A"),IF(E299&gt;=2,IF(D299&gt;=16,"H",IF(D299&lt;=4,"L","A")),IF(D299&lt;=15,"L","A"))),IF(OR(B299="SE",B299="CE"),IF(E299&gt;=4,IF(D299&gt;=6,"H","A"),IF(E299&gt;=2,IF(D299&gt;=20,"H",IF(D299&lt;=5,"L","A")),IF(D299&lt;=19,"L","A"))),IF(OR(B299="ALI",B299="AIE"),IF(E299&gt;=6,IF(D299&gt;=20,"H","A"),IF(E299&gt;=2,IF(D299&gt;=51,"H",IF(D299&lt;=19,"L","A")),IF(D299&lt;=50,"L","A"))),""))))</f>
        <v>A</v>
      </c>
      <c r="J299" s="7" t="str">
        <f t="shared" ref="J299:J301" si="196">CONCATENATE(B299,C299)</f>
        <v>CECOS</v>
      </c>
      <c r="K299" s="127">
        <f t="shared" ref="K299:K301" si="197">IF(OR(H299="",H299=0),L299,H299)</f>
        <v>4</v>
      </c>
      <c r="L299" s="127">
        <f>IF(NOT(ISERROR(VLOOKUP(B299,Deflatores!G$42:H$64,2,FALSE))),VLOOKUP(B299,Deflatores!G$42:H$64,2,FALSE),IF(OR(ISBLANK(C299),ISBLANK(B299)),"",VLOOKUP(C299,Deflatores!G$4:H$38,2,FALSE)*H299+VLOOKUP(C299,Deflatores!G$4:I$38,3,FALSE)))</f>
        <v>0.6</v>
      </c>
      <c r="M299" s="10"/>
      <c r="N299" s="10"/>
      <c r="O299" s="6"/>
    </row>
    <row r="300" spans="1:15" x14ac:dyDescent="0.25">
      <c r="A300" s="179"/>
      <c r="B300" s="4"/>
      <c r="C300" s="4"/>
      <c r="D300" s="7"/>
      <c r="E300" s="7"/>
      <c r="F300" s="116" t="str">
        <f t="shared" si="192"/>
        <v/>
      </c>
      <c r="G300" s="7" t="str">
        <f t="shared" si="193"/>
        <v/>
      </c>
      <c r="H300" s="7" t="str">
        <f t="shared" si="194"/>
        <v/>
      </c>
      <c r="I300" s="116" t="str">
        <f t="shared" si="195"/>
        <v/>
      </c>
      <c r="J300" s="7" t="str">
        <f t="shared" si="196"/>
        <v/>
      </c>
      <c r="K300" s="127" t="str">
        <f t="shared" si="197"/>
        <v/>
      </c>
      <c r="L300" s="127" t="str">
        <f>IF(NOT(ISERROR(VLOOKUP(B300,Deflatores!G$42:H$64,2,FALSE))),VLOOKUP(B300,Deflatores!G$42:H$64,2,FALSE),IF(OR(ISBLANK(C300),ISBLANK(B300)),"",VLOOKUP(C300,Deflatores!G$4:H$38,2,FALSE)*H300+VLOOKUP(C300,Deflatores!G$4:I$38,3,FALSE)))</f>
        <v/>
      </c>
      <c r="M300" s="10"/>
      <c r="N300" s="10"/>
      <c r="O300" s="6"/>
    </row>
    <row r="301" spans="1:15" x14ac:dyDescent="0.25">
      <c r="A301" s="181" t="s">
        <v>293</v>
      </c>
      <c r="B301" s="4"/>
      <c r="C301" s="4"/>
      <c r="D301" s="7"/>
      <c r="E301" s="7"/>
      <c r="F301" s="116" t="str">
        <f t="shared" si="192"/>
        <v/>
      </c>
      <c r="G301" s="7" t="str">
        <f t="shared" si="193"/>
        <v/>
      </c>
      <c r="H301" s="7" t="str">
        <f t="shared" si="194"/>
        <v/>
      </c>
      <c r="I301" s="116" t="str">
        <f t="shared" si="195"/>
        <v/>
      </c>
      <c r="J301" s="7" t="str">
        <f t="shared" si="196"/>
        <v/>
      </c>
      <c r="K301" s="127" t="str">
        <f t="shared" si="197"/>
        <v/>
      </c>
      <c r="L301" s="127" t="str">
        <f>IF(NOT(ISERROR(VLOOKUP(B301,Deflatores!G$42:H$64,2,FALSE))),VLOOKUP(B301,Deflatores!G$42:H$64,2,FALSE),IF(OR(ISBLANK(C301),ISBLANK(B301)),"",VLOOKUP(C301,Deflatores!G$4:H$38,2,FALSE)*H301+VLOOKUP(C301,Deflatores!G$4:I$38,3,FALSE)))</f>
        <v/>
      </c>
      <c r="M301" s="10"/>
      <c r="N301" s="10"/>
      <c r="O301" s="6"/>
    </row>
    <row r="302" spans="1:15" x14ac:dyDescent="0.25">
      <c r="A302" s="179"/>
      <c r="B302" s="4"/>
      <c r="C302" s="4"/>
      <c r="D302" s="7"/>
      <c r="E302" s="7"/>
      <c r="F302" s="116" t="str">
        <f t="shared" si="168"/>
        <v/>
      </c>
      <c r="G302" s="7" t="str">
        <f t="shared" si="169"/>
        <v/>
      </c>
      <c r="H302" s="7" t="str">
        <f t="shared" si="170"/>
        <v/>
      </c>
      <c r="I302" s="116" t="str">
        <f t="shared" si="171"/>
        <v/>
      </c>
      <c r="J302" s="7" t="str">
        <f t="shared" si="172"/>
        <v/>
      </c>
      <c r="K302" s="127" t="str">
        <f t="shared" si="173"/>
        <v/>
      </c>
      <c r="L302" s="127" t="str">
        <f>IF(NOT(ISERROR(VLOOKUP(B302,Deflatores!G$42:H$64,2,FALSE))),VLOOKUP(B302,Deflatores!G$42:H$64,2,FALSE),IF(OR(ISBLANK(C302),ISBLANK(B302)),"",VLOOKUP(C302,Deflatores!G$4:H$38,2,FALSE)*H302+VLOOKUP(C302,Deflatores!G$4:I$38,3,FALSE)))</f>
        <v/>
      </c>
      <c r="M302" s="10"/>
      <c r="N302" s="10"/>
      <c r="O302" s="6"/>
    </row>
    <row r="303" spans="1:15" x14ac:dyDescent="0.25">
      <c r="A303" s="181" t="s">
        <v>294</v>
      </c>
      <c r="B303" s="4"/>
      <c r="C303" s="4"/>
      <c r="D303" s="7"/>
      <c r="E303" s="7"/>
      <c r="F303" s="116" t="str">
        <f t="shared" si="168"/>
        <v/>
      </c>
      <c r="G303" s="7" t="str">
        <f t="shared" si="169"/>
        <v/>
      </c>
      <c r="H303" s="7" t="str">
        <f t="shared" si="170"/>
        <v/>
      </c>
      <c r="I303" s="116" t="str">
        <f t="shared" si="171"/>
        <v/>
      </c>
      <c r="J303" s="7" t="str">
        <f t="shared" si="172"/>
        <v/>
      </c>
      <c r="K303" s="127" t="str">
        <f t="shared" si="173"/>
        <v/>
      </c>
      <c r="L303" s="127" t="str">
        <f>IF(NOT(ISERROR(VLOOKUP(B303,Deflatores!G$42:H$64,2,FALSE))),VLOOKUP(B303,Deflatores!G$42:H$64,2,FALSE),IF(OR(ISBLANK(C303),ISBLANK(B303)),"",VLOOKUP(C303,Deflatores!G$4:H$38,2,FALSE)*H303+VLOOKUP(C303,Deflatores!G$4:I$38,3,FALSE)))</f>
        <v/>
      </c>
      <c r="M303" s="10"/>
      <c r="N303" s="10"/>
      <c r="O303" s="6"/>
    </row>
    <row r="304" spans="1:15" x14ac:dyDescent="0.25">
      <c r="A304" s="179" t="s">
        <v>295</v>
      </c>
      <c r="B304" s="4" t="s">
        <v>61</v>
      </c>
      <c r="C304" s="4" t="s">
        <v>50</v>
      </c>
      <c r="D304" s="7">
        <v>11</v>
      </c>
      <c r="E304" s="7">
        <v>2</v>
      </c>
      <c r="F304" s="116" t="str">
        <f t="shared" si="168"/>
        <v>Baixa</v>
      </c>
      <c r="G304" s="7" t="str">
        <f t="shared" si="169"/>
        <v>ALIL</v>
      </c>
      <c r="H304" s="7">
        <f t="shared" si="170"/>
        <v>7</v>
      </c>
      <c r="I304" s="116" t="str">
        <f t="shared" si="171"/>
        <v>L</v>
      </c>
      <c r="J304" s="7" t="str">
        <f t="shared" si="172"/>
        <v>ALII</v>
      </c>
      <c r="K304" s="127">
        <f t="shared" si="173"/>
        <v>7</v>
      </c>
      <c r="L304" s="127">
        <f>IF(NOT(ISERROR(VLOOKUP(B304,Deflatores!G$42:H$64,2,FALSE))),VLOOKUP(B304,Deflatores!G$42:H$64,2,FALSE),IF(OR(ISBLANK(C304),ISBLANK(B304)),"",VLOOKUP(C304,Deflatores!G$4:H$38,2,FALSE)*H304+VLOOKUP(C304,Deflatores!G$4:I$38,3,FALSE)))</f>
        <v>7</v>
      </c>
      <c r="M304" s="10"/>
      <c r="N304" s="10"/>
      <c r="O304" s="6"/>
    </row>
    <row r="305" spans="1:15" x14ac:dyDescent="0.25">
      <c r="A305" s="179"/>
      <c r="B305" s="4"/>
      <c r="C305" s="4"/>
      <c r="D305" s="7"/>
      <c r="E305" s="7"/>
      <c r="F305" s="116" t="str">
        <f t="shared" si="168"/>
        <v/>
      </c>
      <c r="G305" s="7" t="str">
        <f t="shared" si="169"/>
        <v/>
      </c>
      <c r="H305" s="7" t="str">
        <f t="shared" si="170"/>
        <v/>
      </c>
      <c r="I305" s="116" t="str">
        <f t="shared" si="171"/>
        <v/>
      </c>
      <c r="J305" s="7" t="str">
        <f t="shared" si="172"/>
        <v/>
      </c>
      <c r="K305" s="127" t="str">
        <f t="shared" si="173"/>
        <v/>
      </c>
      <c r="L305" s="127" t="str">
        <f>IF(NOT(ISERROR(VLOOKUP(B305,Deflatores!G$42:H$64,2,FALSE))),VLOOKUP(B305,Deflatores!G$42:H$64,2,FALSE),IF(OR(ISBLANK(C305),ISBLANK(B305)),"",VLOOKUP(C305,Deflatores!G$4:H$38,2,FALSE)*H305+VLOOKUP(C305,Deflatores!G$4:I$38,3,FALSE)))</f>
        <v/>
      </c>
      <c r="M305" s="10"/>
      <c r="N305" s="10"/>
      <c r="O305" s="6"/>
    </row>
    <row r="306" spans="1:15" x14ac:dyDescent="0.25">
      <c r="A306" s="181" t="s">
        <v>296</v>
      </c>
      <c r="B306" s="4"/>
      <c r="C306" s="4"/>
      <c r="D306" s="7"/>
      <c r="E306" s="7"/>
      <c r="F306" s="116" t="str">
        <f t="shared" si="168"/>
        <v/>
      </c>
      <c r="G306" s="7" t="str">
        <f t="shared" si="169"/>
        <v/>
      </c>
      <c r="H306" s="7" t="str">
        <f t="shared" si="170"/>
        <v/>
      </c>
      <c r="I306" s="116" t="str">
        <f t="shared" si="171"/>
        <v/>
      </c>
      <c r="J306" s="7" t="str">
        <f t="shared" si="172"/>
        <v/>
      </c>
      <c r="K306" s="127" t="str">
        <f t="shared" si="173"/>
        <v/>
      </c>
      <c r="L306" s="127" t="str">
        <f>IF(NOT(ISERROR(VLOOKUP(B306,Deflatores!G$42:H$64,2,FALSE))),VLOOKUP(B306,Deflatores!G$42:H$64,2,FALSE),IF(OR(ISBLANK(C306),ISBLANK(B306)),"",VLOOKUP(C306,Deflatores!G$4:H$38,2,FALSE)*H306+VLOOKUP(C306,Deflatores!G$4:I$38,3,FALSE)))</f>
        <v/>
      </c>
      <c r="M306" s="10"/>
      <c r="N306" s="10"/>
      <c r="O306" s="6"/>
    </row>
    <row r="307" spans="1:15" x14ac:dyDescent="0.25">
      <c r="A307" s="179" t="s">
        <v>297</v>
      </c>
      <c r="B307" s="4" t="s">
        <v>45</v>
      </c>
      <c r="C307" s="4" t="s">
        <v>50</v>
      </c>
      <c r="D307" s="7">
        <v>9</v>
      </c>
      <c r="E307" s="7">
        <v>4</v>
      </c>
      <c r="F307" s="116" t="str">
        <f t="shared" si="168"/>
        <v>Alta</v>
      </c>
      <c r="G307" s="7" t="str">
        <f t="shared" si="169"/>
        <v>EEH</v>
      </c>
      <c r="H307" s="7">
        <f t="shared" si="170"/>
        <v>6</v>
      </c>
      <c r="I307" s="116" t="str">
        <f t="shared" si="171"/>
        <v>H</v>
      </c>
      <c r="J307" s="7" t="str">
        <f t="shared" si="172"/>
        <v>EEI</v>
      </c>
      <c r="K307" s="127">
        <f t="shared" si="173"/>
        <v>6</v>
      </c>
      <c r="L307" s="127">
        <f>IF(NOT(ISERROR(VLOOKUP(B307,Deflatores!G$42:H$64,2,FALSE))),VLOOKUP(B307,Deflatores!G$42:H$64,2,FALSE),IF(OR(ISBLANK(C307),ISBLANK(B307)),"",VLOOKUP(C307,Deflatores!G$4:H$38,2,FALSE)*H307+VLOOKUP(C307,Deflatores!G$4:I$38,3,FALSE)))</f>
        <v>6</v>
      </c>
      <c r="M307" s="10"/>
      <c r="N307" s="10"/>
      <c r="O307" s="6"/>
    </row>
    <row r="308" spans="1:15" x14ac:dyDescent="0.25">
      <c r="A308" s="180" t="s">
        <v>298</v>
      </c>
      <c r="B308" s="4" t="s">
        <v>181</v>
      </c>
      <c r="C308" s="4" t="s">
        <v>50</v>
      </c>
      <c r="D308" s="7">
        <v>6</v>
      </c>
      <c r="E308" s="7">
        <v>1</v>
      </c>
      <c r="F308" s="116" t="str">
        <f t="shared" si="168"/>
        <v>Baixa</v>
      </c>
      <c r="G308" s="7" t="str">
        <f t="shared" si="169"/>
        <v>SEL</v>
      </c>
      <c r="H308" s="7">
        <f t="shared" si="170"/>
        <v>4</v>
      </c>
      <c r="I308" s="116" t="str">
        <f t="shared" si="171"/>
        <v>L</v>
      </c>
      <c r="J308" s="7" t="str">
        <f t="shared" si="172"/>
        <v>SEI</v>
      </c>
      <c r="K308" s="127">
        <f t="shared" si="173"/>
        <v>4</v>
      </c>
      <c r="L308" s="127">
        <f>IF(NOT(ISERROR(VLOOKUP(B308,Deflatores!G$42:H$64,2,FALSE))),VLOOKUP(B308,Deflatores!G$42:H$64,2,FALSE),IF(OR(ISBLANK(C308),ISBLANK(B308)),"",VLOOKUP(C308,Deflatores!G$4:H$38,2,FALSE)*H308+VLOOKUP(C308,Deflatores!G$4:I$38,3,FALSE)))</f>
        <v>4</v>
      </c>
      <c r="M308" s="10"/>
      <c r="N308" s="10"/>
      <c r="O308" s="6" t="s">
        <v>299</v>
      </c>
    </row>
    <row r="309" spans="1:15" x14ac:dyDescent="0.25">
      <c r="A309" s="181"/>
      <c r="B309" s="4"/>
      <c r="C309" s="4"/>
      <c r="D309" s="7"/>
      <c r="E309" s="7"/>
      <c r="F309" s="116" t="str">
        <f t="shared" si="168"/>
        <v/>
      </c>
      <c r="G309" s="7" t="str">
        <f t="shared" si="169"/>
        <v/>
      </c>
      <c r="H309" s="7" t="str">
        <f t="shared" si="170"/>
        <v/>
      </c>
      <c r="I309" s="116" t="str">
        <f t="shared" si="171"/>
        <v/>
      </c>
      <c r="J309" s="7" t="str">
        <f t="shared" si="172"/>
        <v/>
      </c>
      <c r="K309" s="127" t="str">
        <f t="shared" si="173"/>
        <v/>
      </c>
      <c r="L309" s="127" t="str">
        <f>IF(NOT(ISERROR(VLOOKUP(B309,Deflatores!G$42:H$64,2,FALSE))),VLOOKUP(B309,Deflatores!G$42:H$64,2,FALSE),IF(OR(ISBLANK(C309),ISBLANK(B309)),"",VLOOKUP(C309,Deflatores!G$4:H$38,2,FALSE)*H309+VLOOKUP(C309,Deflatores!G$4:I$38,3,FALSE)))</f>
        <v/>
      </c>
      <c r="M309" s="10"/>
      <c r="N309" s="10"/>
      <c r="O309" s="6"/>
    </row>
    <row r="310" spans="1:15" x14ac:dyDescent="0.25">
      <c r="A310" s="181" t="s">
        <v>300</v>
      </c>
      <c r="B310" s="4"/>
      <c r="C310" s="4"/>
      <c r="D310" s="7"/>
      <c r="E310" s="7"/>
      <c r="F310" s="116" t="str">
        <f t="shared" si="168"/>
        <v/>
      </c>
      <c r="G310" s="7" t="str">
        <f t="shared" si="169"/>
        <v/>
      </c>
      <c r="H310" s="7" t="str">
        <f t="shared" si="170"/>
        <v/>
      </c>
      <c r="I310" s="116" t="str">
        <f t="shared" si="171"/>
        <v/>
      </c>
      <c r="J310" s="7" t="str">
        <f t="shared" si="172"/>
        <v/>
      </c>
      <c r="K310" s="127" t="str">
        <f t="shared" si="173"/>
        <v/>
      </c>
      <c r="L310" s="127" t="str">
        <f>IF(NOT(ISERROR(VLOOKUP(B310,Deflatores!G$42:H$64,2,FALSE))),VLOOKUP(B310,Deflatores!G$42:H$64,2,FALSE),IF(OR(ISBLANK(C310),ISBLANK(B310)),"",VLOOKUP(C310,Deflatores!G$4:H$38,2,FALSE)*H310+VLOOKUP(C310,Deflatores!G$4:I$38,3,FALSE)))</f>
        <v/>
      </c>
      <c r="M310" s="10"/>
      <c r="N310" s="10"/>
      <c r="O310" s="6"/>
    </row>
    <row r="311" spans="1:15" ht="22" x14ac:dyDescent="0.25">
      <c r="A311" s="179" t="s">
        <v>301</v>
      </c>
      <c r="B311" s="4" t="s">
        <v>181</v>
      </c>
      <c r="C311" s="4" t="s">
        <v>50</v>
      </c>
      <c r="D311" s="7">
        <v>13</v>
      </c>
      <c r="E311" s="7">
        <v>5</v>
      </c>
      <c r="F311" s="116" t="str">
        <f t="shared" si="168"/>
        <v>Alta</v>
      </c>
      <c r="G311" s="7" t="str">
        <f t="shared" si="169"/>
        <v>SEH</v>
      </c>
      <c r="H311" s="7">
        <f t="shared" si="170"/>
        <v>7</v>
      </c>
      <c r="I311" s="116" t="str">
        <f t="shared" si="171"/>
        <v>H</v>
      </c>
      <c r="J311" s="7" t="str">
        <f t="shared" si="172"/>
        <v>SEI</v>
      </c>
      <c r="K311" s="127">
        <f t="shared" si="173"/>
        <v>7</v>
      </c>
      <c r="L311" s="127">
        <f>IF(NOT(ISERROR(VLOOKUP(B311,Deflatores!G$42:H$64,2,FALSE))),VLOOKUP(B311,Deflatores!G$42:H$64,2,FALSE),IF(OR(ISBLANK(C311),ISBLANK(B311)),"",VLOOKUP(C311,Deflatores!G$4:H$38,2,FALSE)*H311+VLOOKUP(C311,Deflatores!G$4:I$38,3,FALSE)))</f>
        <v>7</v>
      </c>
      <c r="M311" s="10"/>
      <c r="N311" s="10"/>
      <c r="O311" s="6" t="s">
        <v>302</v>
      </c>
    </row>
    <row r="312" spans="1:15" ht="22" x14ac:dyDescent="0.25">
      <c r="A312" s="179" t="s">
        <v>303</v>
      </c>
      <c r="B312" s="4" t="s">
        <v>181</v>
      </c>
      <c r="C312" s="4" t="s">
        <v>50</v>
      </c>
      <c r="D312" s="7">
        <v>13</v>
      </c>
      <c r="E312" s="7">
        <v>5</v>
      </c>
      <c r="F312" s="116" t="str">
        <f t="shared" si="168"/>
        <v>Alta</v>
      </c>
      <c r="G312" s="7" t="str">
        <f t="shared" si="169"/>
        <v>SEH</v>
      </c>
      <c r="H312" s="7">
        <f t="shared" si="170"/>
        <v>7</v>
      </c>
      <c r="I312" s="116" t="str">
        <f t="shared" si="171"/>
        <v>H</v>
      </c>
      <c r="J312" s="7" t="str">
        <f t="shared" si="172"/>
        <v>SEI</v>
      </c>
      <c r="K312" s="127">
        <f t="shared" si="173"/>
        <v>7</v>
      </c>
      <c r="L312" s="127">
        <f>IF(NOT(ISERROR(VLOOKUP(B312,Deflatores!G$42:H$64,2,FALSE))),VLOOKUP(B312,Deflatores!G$42:H$64,2,FALSE),IF(OR(ISBLANK(C312),ISBLANK(B312)),"",VLOOKUP(C312,Deflatores!G$4:H$38,2,FALSE)*H312+VLOOKUP(C312,Deflatores!G$4:I$38,3,FALSE)))</f>
        <v>7</v>
      </c>
      <c r="M312" s="10"/>
      <c r="N312" s="10"/>
      <c r="O312" s="6" t="s">
        <v>302</v>
      </c>
    </row>
    <row r="313" spans="1:15" x14ac:dyDescent="0.25">
      <c r="A313" s="179" t="s">
        <v>304</v>
      </c>
      <c r="B313" s="4" t="s">
        <v>45</v>
      </c>
      <c r="C313" s="4" t="s">
        <v>50</v>
      </c>
      <c r="D313" s="7">
        <v>6</v>
      </c>
      <c r="E313" s="7">
        <v>3</v>
      </c>
      <c r="F313" s="116" t="str">
        <f t="shared" si="168"/>
        <v>Alta</v>
      </c>
      <c r="G313" s="7" t="str">
        <f t="shared" si="169"/>
        <v>EEH</v>
      </c>
      <c r="H313" s="7">
        <f t="shared" si="170"/>
        <v>6</v>
      </c>
      <c r="I313" s="116" t="str">
        <f t="shared" si="171"/>
        <v>H</v>
      </c>
      <c r="J313" s="7" t="str">
        <f t="shared" si="172"/>
        <v>EEI</v>
      </c>
      <c r="K313" s="127">
        <f t="shared" si="173"/>
        <v>6</v>
      </c>
      <c r="L313" s="127">
        <f>IF(NOT(ISERROR(VLOOKUP(B313,Deflatores!G$42:H$64,2,FALSE))),VLOOKUP(B313,Deflatores!G$42:H$64,2,FALSE),IF(OR(ISBLANK(C313),ISBLANK(B313)),"",VLOOKUP(C313,Deflatores!G$4:H$38,2,FALSE)*H313+VLOOKUP(C313,Deflatores!G$4:I$38,3,FALSE)))</f>
        <v>6</v>
      </c>
      <c r="M313" s="10"/>
      <c r="N313" s="10"/>
      <c r="O313" s="6"/>
    </row>
    <row r="314" spans="1:15" x14ac:dyDescent="0.25">
      <c r="A314" s="179" t="s">
        <v>499</v>
      </c>
      <c r="B314" s="4" t="s">
        <v>45</v>
      </c>
      <c r="C314" s="4" t="s">
        <v>50</v>
      </c>
      <c r="D314" s="7">
        <v>9</v>
      </c>
      <c r="E314" s="7">
        <v>3</v>
      </c>
      <c r="F314" s="116" t="str">
        <f t="shared" ref="F314" si="198">IF(ISBLANK(B314),"",IF(I314="L","Baixa",IF(I314="A","Média",IF(I314="","","Alta"))))</f>
        <v>Alta</v>
      </c>
      <c r="G314" s="7" t="str">
        <f t="shared" ref="G314" si="199">CONCATENATE(B314,I314)</f>
        <v>EEH</v>
      </c>
      <c r="H314" s="7">
        <f t="shared" ref="H314" si="200">IF(ISBLANK(B314),"",IF(B314="ALI",IF(I314="L",7,IF(I314="A",10,15)),IF(B314="AIE",IF(I314="L",5,IF(I314="A",7,10)),IF(B314="SE",IF(I314="L",4,IF(I314="A",5,7)),IF(OR(B314="EE",B314="CE"),IF(I314="L",3,IF(I314="A",4,6)),0)))))</f>
        <v>6</v>
      </c>
      <c r="I314" s="116" t="str">
        <f t="shared" ref="I314" si="201">IF(OR(ISBLANK(D314),ISBLANK(E314)),IF(OR(B314="ALI",B314="AIE"),"L",IF(OR(B314="EE",B314="SE",B314="CE"),"A","")),IF(B314="EE",IF(E314&gt;=3,IF(D314&gt;=5,"H","A"),IF(E314&gt;=2,IF(D314&gt;=16,"H",IF(D314&lt;=4,"L","A")),IF(D314&lt;=15,"L","A"))),IF(OR(B314="SE",B314="CE"),IF(E314&gt;=4,IF(D314&gt;=6,"H","A"),IF(E314&gt;=2,IF(D314&gt;=20,"H",IF(D314&lt;=5,"L","A")),IF(D314&lt;=19,"L","A"))),IF(OR(B314="ALI",B314="AIE"),IF(E314&gt;=6,IF(D314&gt;=20,"H","A"),IF(E314&gt;=2,IF(D314&gt;=51,"H",IF(D314&lt;=19,"L","A")),IF(D314&lt;=50,"L","A"))),""))))</f>
        <v>H</v>
      </c>
      <c r="J314" s="7" t="str">
        <f t="shared" ref="J314" si="202">CONCATENATE(B314,C314)</f>
        <v>EEI</v>
      </c>
      <c r="K314" s="127">
        <f t="shared" ref="K314" si="203">IF(OR(H314="",H314=0),L314,H314)</f>
        <v>6</v>
      </c>
      <c r="L314" s="127">
        <f>IF(NOT(ISERROR(VLOOKUP(B314,Deflatores!G$42:H$64,2,FALSE))),VLOOKUP(B314,Deflatores!G$42:H$64,2,FALSE),IF(OR(ISBLANK(C314),ISBLANK(B314)),"",VLOOKUP(C314,Deflatores!G$4:H$38,2,FALSE)*H314+VLOOKUP(C314,Deflatores!G$4:I$38,3,FALSE)))</f>
        <v>6</v>
      </c>
      <c r="M314" s="10"/>
      <c r="N314" s="10"/>
      <c r="O314" s="6"/>
    </row>
    <row r="315" spans="1:15" x14ac:dyDescent="0.25">
      <c r="A315" s="179"/>
      <c r="B315" s="4"/>
      <c r="C315" s="4"/>
      <c r="D315" s="7"/>
      <c r="E315" s="7"/>
      <c r="F315" s="116" t="str">
        <f t="shared" si="168"/>
        <v/>
      </c>
      <c r="G315" s="7" t="str">
        <f t="shared" si="169"/>
        <v/>
      </c>
      <c r="H315" s="7" t="str">
        <f t="shared" si="170"/>
        <v/>
      </c>
      <c r="I315" s="116" t="str">
        <f t="shared" si="171"/>
        <v/>
      </c>
      <c r="J315" s="7" t="str">
        <f t="shared" si="172"/>
        <v/>
      </c>
      <c r="K315" s="127" t="str">
        <f t="shared" si="173"/>
        <v/>
      </c>
      <c r="L315" s="127" t="str">
        <f>IF(NOT(ISERROR(VLOOKUP(B315,Deflatores!G$42:H$64,2,FALSE))),VLOOKUP(B315,Deflatores!G$42:H$64,2,FALSE),IF(OR(ISBLANK(C315),ISBLANK(B315)),"",VLOOKUP(C315,Deflatores!G$4:H$38,2,FALSE)*H315+VLOOKUP(C315,Deflatores!G$4:I$38,3,FALSE)))</f>
        <v/>
      </c>
      <c r="M315" s="10"/>
      <c r="N315" s="10"/>
      <c r="O315" s="6"/>
    </row>
    <row r="316" spans="1:15" x14ac:dyDescent="0.25">
      <c r="A316" s="181" t="s">
        <v>305</v>
      </c>
      <c r="B316" s="4"/>
      <c r="C316" s="4"/>
      <c r="D316" s="7"/>
      <c r="E316" s="7"/>
      <c r="F316" s="116" t="str">
        <f t="shared" si="168"/>
        <v/>
      </c>
      <c r="G316" s="7" t="str">
        <f t="shared" si="169"/>
        <v/>
      </c>
      <c r="H316" s="7" t="str">
        <f t="shared" si="170"/>
        <v/>
      </c>
      <c r="I316" s="116" t="str">
        <f t="shared" si="171"/>
        <v/>
      </c>
      <c r="J316" s="7" t="str">
        <f t="shared" si="172"/>
        <v/>
      </c>
      <c r="K316" s="127" t="str">
        <f t="shared" si="173"/>
        <v/>
      </c>
      <c r="L316" s="127" t="str">
        <f>IF(NOT(ISERROR(VLOOKUP(B316,Deflatores!G$42:H$64,2,FALSE))),VLOOKUP(B316,Deflatores!G$42:H$64,2,FALSE),IF(OR(ISBLANK(C316),ISBLANK(B316)),"",VLOOKUP(C316,Deflatores!G$4:H$38,2,FALSE)*H316+VLOOKUP(C316,Deflatores!G$4:I$38,3,FALSE)))</f>
        <v/>
      </c>
      <c r="M316" s="10"/>
      <c r="N316" s="10"/>
      <c r="O316" s="6"/>
    </row>
    <row r="317" spans="1:15" x14ac:dyDescent="0.25">
      <c r="A317" s="179" t="s">
        <v>306</v>
      </c>
      <c r="B317" s="4" t="s">
        <v>61</v>
      </c>
      <c r="C317" s="4" t="s">
        <v>50</v>
      </c>
      <c r="D317" s="7">
        <v>2</v>
      </c>
      <c r="E317" s="7">
        <v>1</v>
      </c>
      <c r="F317" s="116" t="str">
        <f t="shared" si="168"/>
        <v>Baixa</v>
      </c>
      <c r="G317" s="7" t="str">
        <f t="shared" si="169"/>
        <v>ALIL</v>
      </c>
      <c r="H317" s="7">
        <f t="shared" si="170"/>
        <v>7</v>
      </c>
      <c r="I317" s="116" t="str">
        <f t="shared" si="171"/>
        <v>L</v>
      </c>
      <c r="J317" s="7" t="str">
        <f t="shared" si="172"/>
        <v>ALII</v>
      </c>
      <c r="K317" s="127">
        <f t="shared" si="173"/>
        <v>7</v>
      </c>
      <c r="L317" s="127">
        <f>IF(NOT(ISERROR(VLOOKUP(B317,Deflatores!G$42:H$64,2,FALSE))),VLOOKUP(B317,Deflatores!G$42:H$64,2,FALSE),IF(OR(ISBLANK(C317),ISBLANK(B317)),"",VLOOKUP(C317,Deflatores!G$4:H$38,2,FALSE)*H317+VLOOKUP(C317,Deflatores!G$4:I$38,3,FALSE)))</f>
        <v>7</v>
      </c>
      <c r="M317" s="10"/>
      <c r="N317" s="10"/>
      <c r="O317" s="6"/>
    </row>
    <row r="318" spans="1:15" x14ac:dyDescent="0.25">
      <c r="A318" s="179" t="s">
        <v>307</v>
      </c>
      <c r="B318" s="4" t="s">
        <v>52</v>
      </c>
      <c r="C318" s="4" t="s">
        <v>50</v>
      </c>
      <c r="D318" s="7">
        <v>4</v>
      </c>
      <c r="E318" s="7">
        <v>2</v>
      </c>
      <c r="F318" s="116" t="str">
        <f t="shared" si="168"/>
        <v>Baixa</v>
      </c>
      <c r="G318" s="7" t="str">
        <f t="shared" si="169"/>
        <v>CEL</v>
      </c>
      <c r="H318" s="7">
        <f t="shared" si="170"/>
        <v>3</v>
      </c>
      <c r="I318" s="116" t="str">
        <f t="shared" si="171"/>
        <v>L</v>
      </c>
      <c r="J318" s="7" t="str">
        <f t="shared" si="172"/>
        <v>CEI</v>
      </c>
      <c r="K318" s="127">
        <f t="shared" si="173"/>
        <v>3</v>
      </c>
      <c r="L318" s="127">
        <f>IF(NOT(ISERROR(VLOOKUP(B318,Deflatores!G$42:H$64,2,FALSE))),VLOOKUP(B318,Deflatores!G$42:H$64,2,FALSE),IF(OR(ISBLANK(C318),ISBLANK(B318)),"",VLOOKUP(C318,Deflatores!G$4:H$38,2,FALSE)*H318+VLOOKUP(C318,Deflatores!G$4:I$38,3,FALSE)))</f>
        <v>3</v>
      </c>
      <c r="M318" s="10"/>
      <c r="N318" s="10"/>
      <c r="O318" s="6"/>
    </row>
    <row r="319" spans="1:15" x14ac:dyDescent="0.25">
      <c r="A319" s="180" t="s">
        <v>308</v>
      </c>
      <c r="B319" s="4" t="s">
        <v>52</v>
      </c>
      <c r="C319" s="4" t="s">
        <v>50</v>
      </c>
      <c r="D319" s="7">
        <v>2</v>
      </c>
      <c r="E319" s="7">
        <v>1</v>
      </c>
      <c r="F319" s="116" t="str">
        <f t="shared" si="168"/>
        <v>Baixa</v>
      </c>
      <c r="G319" s="7" t="str">
        <f t="shared" si="169"/>
        <v>CEL</v>
      </c>
      <c r="H319" s="7">
        <f t="shared" si="170"/>
        <v>3</v>
      </c>
      <c r="I319" s="116" t="str">
        <f t="shared" si="171"/>
        <v>L</v>
      </c>
      <c r="J319" s="7" t="str">
        <f t="shared" si="172"/>
        <v>CEI</v>
      </c>
      <c r="K319" s="127">
        <f t="shared" si="173"/>
        <v>3</v>
      </c>
      <c r="L319" s="127">
        <f>IF(NOT(ISERROR(VLOOKUP(B319,Deflatores!G$42:H$64,2,FALSE))),VLOOKUP(B319,Deflatores!G$42:H$64,2,FALSE),IF(OR(ISBLANK(C319),ISBLANK(B319)),"",VLOOKUP(C319,Deflatores!G$4:H$38,2,FALSE)*H319+VLOOKUP(C319,Deflatores!G$4:I$38,3,FALSE)))</f>
        <v>3</v>
      </c>
      <c r="M319" s="10"/>
      <c r="N319" s="10"/>
      <c r="O319" s="6"/>
    </row>
    <row r="320" spans="1:15" x14ac:dyDescent="0.25">
      <c r="A320" s="179" t="s">
        <v>309</v>
      </c>
      <c r="B320" s="4" t="s">
        <v>52</v>
      </c>
      <c r="C320" s="4" t="s">
        <v>50</v>
      </c>
      <c r="D320" s="7">
        <v>6</v>
      </c>
      <c r="E320" s="7">
        <v>4</v>
      </c>
      <c r="F320" s="116" t="str">
        <f t="shared" si="168"/>
        <v>Alta</v>
      </c>
      <c r="G320" s="7" t="str">
        <f t="shared" si="169"/>
        <v>CEH</v>
      </c>
      <c r="H320" s="7">
        <f t="shared" si="170"/>
        <v>6</v>
      </c>
      <c r="I320" s="116" t="str">
        <f t="shared" si="171"/>
        <v>H</v>
      </c>
      <c r="J320" s="7" t="str">
        <f t="shared" si="172"/>
        <v>CEI</v>
      </c>
      <c r="K320" s="127">
        <f t="shared" si="173"/>
        <v>6</v>
      </c>
      <c r="L320" s="127">
        <f>IF(NOT(ISERROR(VLOOKUP(B320,Deflatores!G$42:H$64,2,FALSE))),VLOOKUP(B320,Deflatores!G$42:H$64,2,FALSE),IF(OR(ISBLANK(C320),ISBLANK(B320)),"",VLOOKUP(C320,Deflatores!G$4:H$38,2,FALSE)*H320+VLOOKUP(C320,Deflatores!G$4:I$38,3,FALSE)))</f>
        <v>6</v>
      </c>
      <c r="M320" s="10"/>
      <c r="N320" s="10"/>
      <c r="O320" s="6"/>
    </row>
    <row r="321" spans="1:15" x14ac:dyDescent="0.25">
      <c r="A321" s="179" t="s">
        <v>310</v>
      </c>
      <c r="B321" s="4" t="s">
        <v>52</v>
      </c>
      <c r="C321" s="4" t="s">
        <v>50</v>
      </c>
      <c r="D321" s="7">
        <v>3</v>
      </c>
      <c r="E321" s="7">
        <v>1</v>
      </c>
      <c r="F321" s="116" t="str">
        <f>IF(ISBLANK(B321),"",IF(I321="L","Baixa",IF(I321="A","Média",IF(I321="","","Alta"))))</f>
        <v>Baixa</v>
      </c>
      <c r="G321" s="7" t="str">
        <f>CONCATENATE(B321,I321)</f>
        <v>CEL</v>
      </c>
      <c r="H321" s="7">
        <f>IF(ISBLANK(B321),"",IF(B321="ALI",IF(I321="L",7,IF(I321="A",10,15)),IF(B321="AIE",IF(I321="L",5,IF(I321="A",7,10)),IF(B321="SE",IF(I321="L",4,IF(I321="A",5,7)),IF(OR(B321="EE",B321="CE"),IF(I321="L",3,IF(I321="A",4,6)),0)))))</f>
        <v>3</v>
      </c>
      <c r="I321" s="116" t="str">
        <f>IF(OR(ISBLANK(D321),ISBLANK(E321)),IF(OR(B321="ALI",B321="AIE"),"L",IF(OR(B321="EE",B321="SE",B321="CE"),"A","")),IF(B321="EE",IF(E321&gt;=3,IF(D321&gt;=5,"H","A"),IF(E321&gt;=2,IF(D321&gt;=16,"H",IF(D321&lt;=4,"L","A")),IF(D321&lt;=15,"L","A"))),IF(OR(B321="SE",B321="CE"),IF(E321&gt;=4,IF(D321&gt;=6,"H","A"),IF(E321&gt;=2,IF(D321&gt;=20,"H",IF(D321&lt;=5,"L","A")),IF(D321&lt;=19,"L","A"))),IF(OR(B321="ALI",B321="AIE"),IF(E321&gt;=6,IF(D321&gt;=20,"H","A"),IF(E321&gt;=2,IF(D321&gt;=51,"H",IF(D321&lt;=19,"L","A")),IF(D321&lt;=50,"L","A"))),""))))</f>
        <v>L</v>
      </c>
      <c r="J321" s="7" t="str">
        <f>CONCATENATE(B321,C321)</f>
        <v>CEI</v>
      </c>
      <c r="K321" s="127">
        <f>IF(OR(H321="",H321=0),L321,H321)</f>
        <v>3</v>
      </c>
      <c r="L321" s="127">
        <f>IF(NOT(ISERROR(VLOOKUP(B321,Deflatores!G$42:H$64,2,FALSE))),VLOOKUP(B321,Deflatores!G$42:H$64,2,FALSE),IF(OR(ISBLANK(C321),ISBLANK(B321)),"",VLOOKUP(C321,Deflatores!G$4:H$38,2,FALSE)*H321+VLOOKUP(C321,Deflatores!G$4:I$38,3,FALSE)))</f>
        <v>3</v>
      </c>
      <c r="M321" s="10"/>
      <c r="N321" s="10"/>
      <c r="O321" s="6"/>
    </row>
    <row r="322" spans="1:15" x14ac:dyDescent="0.25">
      <c r="A322" s="179" t="s">
        <v>311</v>
      </c>
      <c r="B322" s="4" t="s">
        <v>45</v>
      </c>
      <c r="C322" s="4" t="s">
        <v>50</v>
      </c>
      <c r="D322" s="7">
        <v>3</v>
      </c>
      <c r="E322" s="7">
        <v>1</v>
      </c>
      <c r="F322" s="116" t="str">
        <f t="shared" si="168"/>
        <v>Baixa</v>
      </c>
      <c r="G322" s="7" t="str">
        <f t="shared" si="169"/>
        <v>EEL</v>
      </c>
      <c r="H322" s="7">
        <f t="shared" si="170"/>
        <v>3</v>
      </c>
      <c r="I322" s="116" t="str">
        <f t="shared" si="171"/>
        <v>L</v>
      </c>
      <c r="J322" s="7" t="str">
        <f t="shared" si="172"/>
        <v>EEI</v>
      </c>
      <c r="K322" s="127">
        <f t="shared" si="173"/>
        <v>3</v>
      </c>
      <c r="L322" s="127">
        <f>IF(NOT(ISERROR(VLOOKUP(B322,Deflatores!G$42:H$64,2,FALSE))),VLOOKUP(B322,Deflatores!G$42:H$64,2,FALSE),IF(OR(ISBLANK(C322),ISBLANK(B322)),"",VLOOKUP(C322,Deflatores!G$4:H$38,2,FALSE)*H322+VLOOKUP(C322,Deflatores!G$4:I$38,3,FALSE)))</f>
        <v>3</v>
      </c>
      <c r="M322" s="10"/>
      <c r="N322" s="10"/>
      <c r="O322" s="6"/>
    </row>
    <row r="323" spans="1:15" x14ac:dyDescent="0.25">
      <c r="A323" s="179"/>
      <c r="B323" s="4"/>
      <c r="C323" s="4"/>
      <c r="D323" s="7"/>
      <c r="E323" s="7"/>
      <c r="F323" s="116" t="str">
        <f t="shared" si="168"/>
        <v/>
      </c>
      <c r="G323" s="7" t="str">
        <f t="shared" si="169"/>
        <v/>
      </c>
      <c r="H323" s="7" t="str">
        <f t="shared" si="170"/>
        <v/>
      </c>
      <c r="I323" s="116" t="str">
        <f t="shared" si="171"/>
        <v/>
      </c>
      <c r="J323" s="7" t="str">
        <f t="shared" si="172"/>
        <v/>
      </c>
      <c r="K323" s="127" t="str">
        <f t="shared" si="173"/>
        <v/>
      </c>
      <c r="L323" s="127" t="str">
        <f>IF(NOT(ISERROR(VLOOKUP(B323,Deflatores!G$42:H$64,2,FALSE))),VLOOKUP(B323,Deflatores!G$42:H$64,2,FALSE),IF(OR(ISBLANK(C323),ISBLANK(B323)),"",VLOOKUP(C323,Deflatores!G$4:H$38,2,FALSE)*H323+VLOOKUP(C323,Deflatores!G$4:I$38,3,FALSE)))</f>
        <v/>
      </c>
      <c r="M323" s="10"/>
      <c r="N323" s="10"/>
      <c r="O323" s="6"/>
    </row>
    <row r="324" spans="1:15" x14ac:dyDescent="0.25">
      <c r="A324" s="181" t="s">
        <v>312</v>
      </c>
      <c r="B324" s="4"/>
      <c r="C324" s="4"/>
      <c r="D324" s="7"/>
      <c r="E324" s="7"/>
      <c r="F324" s="116" t="str">
        <f t="shared" si="168"/>
        <v/>
      </c>
      <c r="G324" s="7" t="str">
        <f t="shared" si="169"/>
        <v/>
      </c>
      <c r="H324" s="7" t="str">
        <f t="shared" si="170"/>
        <v/>
      </c>
      <c r="I324" s="116" t="str">
        <f t="shared" si="171"/>
        <v/>
      </c>
      <c r="J324" s="7" t="str">
        <f t="shared" si="172"/>
        <v/>
      </c>
      <c r="K324" s="127" t="str">
        <f t="shared" si="173"/>
        <v/>
      </c>
      <c r="L324" s="127" t="str">
        <f>IF(NOT(ISERROR(VLOOKUP(B324,Deflatores!G$42:H$64,2,FALSE))),VLOOKUP(B324,Deflatores!G$42:H$64,2,FALSE),IF(OR(ISBLANK(C324),ISBLANK(B324)),"",VLOOKUP(C324,Deflatores!G$4:H$38,2,FALSE)*H324+VLOOKUP(C324,Deflatores!G$4:I$38,3,FALSE)))</f>
        <v/>
      </c>
      <c r="M324" s="10"/>
      <c r="N324" s="10"/>
      <c r="O324" s="6"/>
    </row>
    <row r="325" spans="1:15" x14ac:dyDescent="0.25">
      <c r="A325" s="179" t="s">
        <v>313</v>
      </c>
      <c r="B325" s="4" t="s">
        <v>52</v>
      </c>
      <c r="C325" s="4" t="s">
        <v>50</v>
      </c>
      <c r="D325" s="7">
        <v>10</v>
      </c>
      <c r="E325" s="7">
        <v>4</v>
      </c>
      <c r="F325" s="116" t="str">
        <f t="shared" si="168"/>
        <v>Alta</v>
      </c>
      <c r="G325" s="7" t="str">
        <f t="shared" si="169"/>
        <v>CEH</v>
      </c>
      <c r="H325" s="7">
        <f t="shared" si="170"/>
        <v>6</v>
      </c>
      <c r="I325" s="116" t="str">
        <f t="shared" si="171"/>
        <v>H</v>
      </c>
      <c r="J325" s="7" t="str">
        <f t="shared" si="172"/>
        <v>CEI</v>
      </c>
      <c r="K325" s="127">
        <f t="shared" si="173"/>
        <v>6</v>
      </c>
      <c r="L325" s="127">
        <f>IF(NOT(ISERROR(VLOOKUP(B325,Deflatores!G$42:H$64,2,FALSE))),VLOOKUP(B325,Deflatores!G$42:H$64,2,FALSE),IF(OR(ISBLANK(C325),ISBLANK(B325)),"",VLOOKUP(C325,Deflatores!G$4:H$38,2,FALSE)*H325+VLOOKUP(C325,Deflatores!G$4:I$38,3,FALSE)))</f>
        <v>6</v>
      </c>
      <c r="M325" s="10"/>
      <c r="N325" s="10"/>
      <c r="O325" s="6"/>
    </row>
    <row r="326" spans="1:15" x14ac:dyDescent="0.25">
      <c r="A326" s="179" t="s">
        <v>314</v>
      </c>
      <c r="B326" s="4" t="s">
        <v>52</v>
      </c>
      <c r="C326" s="4" t="s">
        <v>50</v>
      </c>
      <c r="D326" s="7">
        <v>10</v>
      </c>
      <c r="E326" s="7">
        <v>4</v>
      </c>
      <c r="F326" s="116" t="str">
        <f t="shared" si="168"/>
        <v>Alta</v>
      </c>
      <c r="G326" s="7" t="str">
        <f t="shared" si="169"/>
        <v>CEH</v>
      </c>
      <c r="H326" s="7">
        <f t="shared" si="170"/>
        <v>6</v>
      </c>
      <c r="I326" s="116" t="str">
        <f t="shared" si="171"/>
        <v>H</v>
      </c>
      <c r="J326" s="7" t="str">
        <f t="shared" si="172"/>
        <v>CEI</v>
      </c>
      <c r="K326" s="127">
        <f t="shared" si="173"/>
        <v>6</v>
      </c>
      <c r="L326" s="127">
        <f>IF(NOT(ISERROR(VLOOKUP(B326,Deflatores!G$42:H$64,2,FALSE))),VLOOKUP(B326,Deflatores!G$42:H$64,2,FALSE),IF(OR(ISBLANK(C326),ISBLANK(B326)),"",VLOOKUP(C326,Deflatores!G$4:H$38,2,FALSE)*H326+VLOOKUP(C326,Deflatores!G$4:I$38,3,FALSE)))</f>
        <v>6</v>
      </c>
      <c r="M326" s="10"/>
      <c r="N326" s="10"/>
      <c r="O326" s="6"/>
    </row>
    <row r="327" spans="1:15" x14ac:dyDescent="0.25">
      <c r="A327" s="179"/>
      <c r="B327" s="4"/>
      <c r="C327" s="4"/>
      <c r="D327" s="7"/>
      <c r="E327" s="7"/>
      <c r="F327" s="116" t="str">
        <f t="shared" si="168"/>
        <v/>
      </c>
      <c r="G327" s="7" t="str">
        <f t="shared" si="169"/>
        <v/>
      </c>
      <c r="H327" s="7" t="str">
        <f t="shared" si="170"/>
        <v/>
      </c>
      <c r="I327" s="116" t="str">
        <f t="shared" si="171"/>
        <v/>
      </c>
      <c r="J327" s="7" t="str">
        <f t="shared" si="172"/>
        <v/>
      </c>
      <c r="K327" s="127" t="str">
        <f t="shared" si="173"/>
        <v/>
      </c>
      <c r="L327" s="127" t="str">
        <f>IF(NOT(ISERROR(VLOOKUP(B327,Deflatores!G$42:H$64,2,FALSE))),VLOOKUP(B327,Deflatores!G$42:H$64,2,FALSE),IF(OR(ISBLANK(C327),ISBLANK(B327)),"",VLOOKUP(C327,Deflatores!G$4:H$38,2,FALSE)*H327+VLOOKUP(C327,Deflatores!G$4:I$38,3,FALSE)))</f>
        <v/>
      </c>
      <c r="M327" s="10"/>
      <c r="N327" s="10"/>
      <c r="O327" s="6"/>
    </row>
    <row r="328" spans="1:15" x14ac:dyDescent="0.25">
      <c r="A328" s="181" t="s">
        <v>315</v>
      </c>
      <c r="B328" s="4"/>
      <c r="C328" s="4"/>
      <c r="D328" s="7"/>
      <c r="E328" s="7"/>
      <c r="F328" s="116" t="str">
        <f t="shared" si="168"/>
        <v/>
      </c>
      <c r="G328" s="7" t="str">
        <f t="shared" si="169"/>
        <v/>
      </c>
      <c r="H328" s="7" t="str">
        <f t="shared" si="170"/>
        <v/>
      </c>
      <c r="I328" s="116" t="str">
        <f t="shared" si="171"/>
        <v/>
      </c>
      <c r="J328" s="7" t="str">
        <f t="shared" si="172"/>
        <v/>
      </c>
      <c r="K328" s="127" t="str">
        <f t="shared" si="173"/>
        <v/>
      </c>
      <c r="L328" s="127" t="str">
        <f>IF(NOT(ISERROR(VLOOKUP(B328,Deflatores!G$42:H$64,2,FALSE))),VLOOKUP(B328,Deflatores!G$42:H$64,2,FALSE),IF(OR(ISBLANK(C328),ISBLANK(B328)),"",VLOOKUP(C328,Deflatores!G$4:H$38,2,FALSE)*H328+VLOOKUP(C328,Deflatores!G$4:I$38,3,FALSE)))</f>
        <v/>
      </c>
      <c r="M328" s="10"/>
      <c r="N328" s="10"/>
      <c r="O328" s="6"/>
    </row>
    <row r="329" spans="1:15" x14ac:dyDescent="0.25">
      <c r="A329" s="179" t="s">
        <v>316</v>
      </c>
      <c r="B329" s="4" t="s">
        <v>49</v>
      </c>
      <c r="C329" s="4" t="s">
        <v>50</v>
      </c>
      <c r="D329" s="7">
        <v>9</v>
      </c>
      <c r="E329" s="7">
        <v>1</v>
      </c>
      <c r="F329" s="116" t="str">
        <f>IF(ISBLANK(B329),"",IF(I329="L","Baixa",IF(I329="A","Média",IF(I329="","","Alta"))))</f>
        <v>Baixa</v>
      </c>
      <c r="G329" s="7" t="str">
        <f>CONCATENATE(B329,I329)</f>
        <v>AIEL</v>
      </c>
      <c r="H329" s="7">
        <f>IF(ISBLANK(B329),"",IF(B329="ALI",IF(I329="L",7,IF(I329="A",10,15)),IF(B329="AIE",IF(I329="L",5,IF(I329="A",7,10)),IF(B329="SE",IF(I329="L",4,IF(I329="A",5,7)),IF(OR(B329="EE",B329="CE"),IF(I329="L",3,IF(I329="A",4,6)),0)))))</f>
        <v>5</v>
      </c>
      <c r="I329" s="116" t="str">
        <f>IF(OR(ISBLANK(D329),ISBLANK(E329)),IF(OR(B329="ALI",B329="AIE"),"L",IF(OR(B329="EE",B329="SE",B329="CE"),"A","")),IF(B329="EE",IF(E329&gt;=3,IF(D329&gt;=5,"H","A"),IF(E329&gt;=2,IF(D329&gt;=16,"H",IF(D329&lt;=4,"L","A")),IF(D329&lt;=15,"L","A"))),IF(OR(B329="SE",B329="CE"),IF(E329&gt;=4,IF(D329&gt;=6,"H","A"),IF(E329&gt;=2,IF(D329&gt;=20,"H",IF(D329&lt;=5,"L","A")),IF(D329&lt;=19,"L","A"))),IF(OR(B329="ALI",B329="AIE"),IF(E329&gt;=6,IF(D329&gt;=20,"H","A"),IF(E329&gt;=2,IF(D329&gt;=51,"H",IF(D329&lt;=19,"L","A")),IF(D329&lt;=50,"L","A"))),""))))</f>
        <v>L</v>
      </c>
      <c r="J329" s="7" t="str">
        <f>CONCATENATE(B329,C329)</f>
        <v>AIEI</v>
      </c>
      <c r="K329" s="127">
        <f>IF(OR(H329="",H329=0),L329,H329)</f>
        <v>5</v>
      </c>
      <c r="L329" s="127">
        <f>IF(NOT(ISERROR(VLOOKUP(B329,Deflatores!G$42:H$64,2,FALSE))),VLOOKUP(B329,Deflatores!G$42:H$64,2,FALSE),IF(OR(ISBLANK(C329),ISBLANK(B329)),"",VLOOKUP(C329,Deflatores!G$4:H$38,2,FALSE)*H329+VLOOKUP(C329,Deflatores!G$4:I$38,3,FALSE)))</f>
        <v>5</v>
      </c>
      <c r="M329" s="10"/>
      <c r="N329" s="10"/>
      <c r="O329" s="6"/>
    </row>
    <row r="330" spans="1:15" x14ac:dyDescent="0.25">
      <c r="A330" s="179" t="s">
        <v>317</v>
      </c>
      <c r="B330" s="4" t="s">
        <v>45</v>
      </c>
      <c r="C330" s="4" t="s">
        <v>50</v>
      </c>
      <c r="D330" s="7">
        <v>21</v>
      </c>
      <c r="E330" s="7">
        <v>5</v>
      </c>
      <c r="F330" s="116" t="str">
        <f t="shared" si="168"/>
        <v>Alta</v>
      </c>
      <c r="G330" s="7" t="str">
        <f t="shared" si="169"/>
        <v>EEH</v>
      </c>
      <c r="H330" s="7">
        <f t="shared" si="170"/>
        <v>6</v>
      </c>
      <c r="I330" s="116" t="str">
        <f t="shared" si="171"/>
        <v>H</v>
      </c>
      <c r="J330" s="7" t="str">
        <f t="shared" si="172"/>
        <v>EEI</v>
      </c>
      <c r="K330" s="127">
        <f t="shared" si="173"/>
        <v>6</v>
      </c>
      <c r="L330" s="127">
        <f>IF(NOT(ISERROR(VLOOKUP(B330,Deflatores!G$42:H$64,2,FALSE))),VLOOKUP(B330,Deflatores!G$42:H$64,2,FALSE),IF(OR(ISBLANK(C330),ISBLANK(B330)),"",VLOOKUP(C330,Deflatores!G$4:H$38,2,FALSE)*H330+VLOOKUP(C330,Deflatores!G$4:I$38,3,FALSE)))</f>
        <v>6</v>
      </c>
      <c r="M330" s="10"/>
      <c r="N330" s="10"/>
      <c r="O330" s="6"/>
    </row>
    <row r="331" spans="1:15" x14ac:dyDescent="0.25">
      <c r="A331" s="179" t="s">
        <v>318</v>
      </c>
      <c r="B331" s="4" t="s">
        <v>45</v>
      </c>
      <c r="C331" s="4" t="s">
        <v>50</v>
      </c>
      <c r="D331" s="7">
        <v>21</v>
      </c>
      <c r="E331" s="7">
        <v>5</v>
      </c>
      <c r="F331" s="116" t="str">
        <f t="shared" si="168"/>
        <v>Alta</v>
      </c>
      <c r="G331" s="7" t="str">
        <f t="shared" si="169"/>
        <v>EEH</v>
      </c>
      <c r="H331" s="7">
        <f t="shared" si="170"/>
        <v>6</v>
      </c>
      <c r="I331" s="116" t="str">
        <f t="shared" si="171"/>
        <v>H</v>
      </c>
      <c r="J331" s="7" t="str">
        <f t="shared" si="172"/>
        <v>EEI</v>
      </c>
      <c r="K331" s="127">
        <f t="shared" si="173"/>
        <v>6</v>
      </c>
      <c r="L331" s="127">
        <f>IF(NOT(ISERROR(VLOOKUP(B331,Deflatores!G$42:H$64,2,FALSE))),VLOOKUP(B331,Deflatores!G$42:H$64,2,FALSE),IF(OR(ISBLANK(C331),ISBLANK(B331)),"",VLOOKUP(C331,Deflatores!G$4:H$38,2,FALSE)*H331+VLOOKUP(C331,Deflatores!G$4:I$38,3,FALSE)))</f>
        <v>6</v>
      </c>
      <c r="M331" s="10"/>
      <c r="N331" s="10"/>
      <c r="O331" s="6"/>
    </row>
    <row r="332" spans="1:15" x14ac:dyDescent="0.25">
      <c r="A332" s="179"/>
      <c r="B332" s="4"/>
      <c r="C332" s="4"/>
      <c r="D332" s="7"/>
      <c r="E332" s="7"/>
      <c r="F332" s="116" t="str">
        <f t="shared" si="168"/>
        <v/>
      </c>
      <c r="G332" s="7" t="str">
        <f t="shared" si="169"/>
        <v/>
      </c>
      <c r="H332" s="7" t="str">
        <f t="shared" si="170"/>
        <v/>
      </c>
      <c r="I332" s="116" t="str">
        <f t="shared" si="171"/>
        <v/>
      </c>
      <c r="J332" s="7" t="str">
        <f t="shared" si="172"/>
        <v/>
      </c>
      <c r="K332" s="127" t="str">
        <f t="shared" si="173"/>
        <v/>
      </c>
      <c r="L332" s="127" t="str">
        <f>IF(NOT(ISERROR(VLOOKUP(B332,Deflatores!G$42:H$64,2,FALSE))),VLOOKUP(B332,Deflatores!G$42:H$64,2,FALSE),IF(OR(ISBLANK(C332),ISBLANK(B332)),"",VLOOKUP(C332,Deflatores!G$4:H$38,2,FALSE)*H332+VLOOKUP(C332,Deflatores!G$4:I$38,3,FALSE)))</f>
        <v/>
      </c>
      <c r="M332" s="10"/>
      <c r="N332" s="10"/>
      <c r="O332" s="6"/>
    </row>
    <row r="333" spans="1:15" x14ac:dyDescent="0.25">
      <c r="A333" s="181" t="s">
        <v>319</v>
      </c>
      <c r="B333" s="4"/>
      <c r="C333" s="4"/>
      <c r="D333" s="7"/>
      <c r="E333" s="7"/>
      <c r="F333" s="116" t="str">
        <f t="shared" si="168"/>
        <v/>
      </c>
      <c r="G333" s="7" t="str">
        <f t="shared" si="169"/>
        <v/>
      </c>
      <c r="H333" s="7" t="str">
        <f t="shared" si="170"/>
        <v/>
      </c>
      <c r="I333" s="116" t="str">
        <f t="shared" si="171"/>
        <v/>
      </c>
      <c r="J333" s="7" t="str">
        <f t="shared" si="172"/>
        <v/>
      </c>
      <c r="K333" s="127" t="str">
        <f t="shared" si="173"/>
        <v/>
      </c>
      <c r="L333" s="127" t="str">
        <f>IF(NOT(ISERROR(VLOOKUP(B333,Deflatores!G$42:H$64,2,FALSE))),VLOOKUP(B333,Deflatores!G$42:H$64,2,FALSE),IF(OR(ISBLANK(C333),ISBLANK(B333)),"",VLOOKUP(C333,Deflatores!G$4:H$38,2,FALSE)*H333+VLOOKUP(C333,Deflatores!G$4:I$38,3,FALSE)))</f>
        <v/>
      </c>
      <c r="M333" s="10"/>
      <c r="N333" s="10"/>
      <c r="O333" s="6"/>
    </row>
    <row r="334" spans="1:15" x14ac:dyDescent="0.25">
      <c r="A334" s="179" t="s">
        <v>320</v>
      </c>
      <c r="B334" s="4" t="s">
        <v>61</v>
      </c>
      <c r="C334" s="4" t="s">
        <v>50</v>
      </c>
      <c r="D334" s="7">
        <v>5</v>
      </c>
      <c r="E334" s="7">
        <v>2</v>
      </c>
      <c r="F334" s="116" t="str">
        <f t="shared" si="168"/>
        <v>Baixa</v>
      </c>
      <c r="G334" s="7" t="str">
        <f t="shared" si="169"/>
        <v>ALIL</v>
      </c>
      <c r="H334" s="7">
        <f t="shared" si="170"/>
        <v>7</v>
      </c>
      <c r="I334" s="116" t="str">
        <f t="shared" si="171"/>
        <v>L</v>
      </c>
      <c r="J334" s="7" t="str">
        <f t="shared" si="172"/>
        <v>ALII</v>
      </c>
      <c r="K334" s="127">
        <f t="shared" si="173"/>
        <v>7</v>
      </c>
      <c r="L334" s="127">
        <f>IF(NOT(ISERROR(VLOOKUP(B334,Deflatores!G$42:H$64,2,FALSE))),VLOOKUP(B334,Deflatores!G$42:H$64,2,FALSE),IF(OR(ISBLANK(C334),ISBLANK(B334)),"",VLOOKUP(C334,Deflatores!G$4:H$38,2,FALSE)*H334+VLOOKUP(C334,Deflatores!G$4:I$38,3,FALSE)))</f>
        <v>7</v>
      </c>
      <c r="M334" s="10"/>
      <c r="N334" s="10"/>
      <c r="O334" s="6"/>
    </row>
    <row r="335" spans="1:15" x14ac:dyDescent="0.25">
      <c r="A335" s="179" t="s">
        <v>321</v>
      </c>
      <c r="B335" s="4" t="s">
        <v>49</v>
      </c>
      <c r="C335" s="4" t="s">
        <v>50</v>
      </c>
      <c r="D335" s="7">
        <v>2</v>
      </c>
      <c r="E335" s="7">
        <v>1</v>
      </c>
      <c r="F335" s="116" t="str">
        <f t="shared" ref="F335" si="204">IF(ISBLANK(B335),"",IF(I335="L","Baixa",IF(I335="A","Média",IF(I335="","","Alta"))))</f>
        <v>Baixa</v>
      </c>
      <c r="G335" s="7" t="str">
        <f t="shared" ref="G335" si="205">CONCATENATE(B335,I335)</f>
        <v>AIEL</v>
      </c>
      <c r="H335" s="7">
        <f t="shared" ref="H335" si="206">IF(ISBLANK(B335),"",IF(B335="ALI",IF(I335="L",7,IF(I335="A",10,15)),IF(B335="AIE",IF(I335="L",5,IF(I335="A",7,10)),IF(B335="SE",IF(I335="L",4,IF(I335="A",5,7)),IF(OR(B335="EE",B335="CE"),IF(I335="L",3,IF(I335="A",4,6)),0)))))</f>
        <v>5</v>
      </c>
      <c r="I335" s="116" t="str">
        <f t="shared" ref="I335" si="207">IF(OR(ISBLANK(D335),ISBLANK(E335)),IF(OR(B335="ALI",B335="AIE"),"L",IF(OR(B335="EE",B335="SE",B335="CE"),"A","")),IF(B335="EE",IF(E335&gt;=3,IF(D335&gt;=5,"H","A"),IF(E335&gt;=2,IF(D335&gt;=16,"H",IF(D335&lt;=4,"L","A")),IF(D335&lt;=15,"L","A"))),IF(OR(B335="SE",B335="CE"),IF(E335&gt;=4,IF(D335&gt;=6,"H","A"),IF(E335&gt;=2,IF(D335&gt;=20,"H",IF(D335&lt;=5,"L","A")),IF(D335&lt;=19,"L","A"))),IF(OR(B335="ALI",B335="AIE"),IF(E335&gt;=6,IF(D335&gt;=20,"H","A"),IF(E335&gt;=2,IF(D335&gt;=51,"H",IF(D335&lt;=19,"L","A")),IF(D335&lt;=50,"L","A"))),""))))</f>
        <v>L</v>
      </c>
      <c r="J335" s="7" t="str">
        <f t="shared" ref="J335" si="208">CONCATENATE(B335,C335)</f>
        <v>AIEI</v>
      </c>
      <c r="K335" s="127">
        <f t="shared" ref="K335" si="209">IF(OR(H335="",H335=0),L335,H335)</f>
        <v>5</v>
      </c>
      <c r="L335" s="127">
        <f>IF(NOT(ISERROR(VLOOKUP(B335,Deflatores!G$42:H$64,2,FALSE))),VLOOKUP(B335,Deflatores!G$42:H$64,2,FALSE),IF(OR(ISBLANK(C335),ISBLANK(B335)),"",VLOOKUP(C335,Deflatores!G$4:H$38,2,FALSE)*H335+VLOOKUP(C335,Deflatores!G$4:I$38,3,FALSE)))</f>
        <v>5</v>
      </c>
      <c r="M335" s="10"/>
      <c r="N335" s="10"/>
      <c r="O335" s="6"/>
    </row>
    <row r="336" spans="1:15" x14ac:dyDescent="0.25">
      <c r="A336" s="179" t="s">
        <v>322</v>
      </c>
      <c r="B336" s="4" t="s">
        <v>45</v>
      </c>
      <c r="C336" s="4" t="s">
        <v>50</v>
      </c>
      <c r="D336" s="7">
        <v>8</v>
      </c>
      <c r="E336" s="7">
        <v>2</v>
      </c>
      <c r="F336" s="116" t="str">
        <f t="shared" si="168"/>
        <v>Média</v>
      </c>
      <c r="G336" s="7" t="str">
        <f t="shared" si="169"/>
        <v>EEA</v>
      </c>
      <c r="H336" s="7">
        <f t="shared" si="170"/>
        <v>4</v>
      </c>
      <c r="I336" s="116" t="str">
        <f t="shared" si="171"/>
        <v>A</v>
      </c>
      <c r="J336" s="7" t="str">
        <f t="shared" si="172"/>
        <v>EEI</v>
      </c>
      <c r="K336" s="127">
        <f t="shared" si="173"/>
        <v>4</v>
      </c>
      <c r="L336" s="127">
        <f>IF(NOT(ISERROR(VLOOKUP(B336,Deflatores!G$42:H$64,2,FALSE))),VLOOKUP(B336,Deflatores!G$42:H$64,2,FALSE),IF(OR(ISBLANK(C336),ISBLANK(B336)),"",VLOOKUP(C336,Deflatores!G$4:H$38,2,FALSE)*H336+VLOOKUP(C336,Deflatores!G$4:I$38,3,FALSE)))</f>
        <v>4</v>
      </c>
      <c r="M336" s="10"/>
      <c r="N336" s="10"/>
      <c r="O336" s="6"/>
    </row>
    <row r="337" spans="1:15" x14ac:dyDescent="0.25">
      <c r="A337" s="180" t="s">
        <v>323</v>
      </c>
      <c r="B337" s="4" t="s">
        <v>52</v>
      </c>
      <c r="C337" s="4" t="s">
        <v>50</v>
      </c>
      <c r="D337" s="7">
        <v>2</v>
      </c>
      <c r="E337" s="7">
        <v>1</v>
      </c>
      <c r="F337" s="116" t="str">
        <f t="shared" ref="F337" si="210">IF(ISBLANK(B337),"",IF(I337="L","Baixa",IF(I337="A","Média",IF(I337="","","Alta"))))</f>
        <v>Baixa</v>
      </c>
      <c r="G337" s="7" t="str">
        <f t="shared" ref="G337" si="211">CONCATENATE(B337,I337)</f>
        <v>CEL</v>
      </c>
      <c r="H337" s="7">
        <f t="shared" ref="H337" si="212">IF(ISBLANK(B337),"",IF(B337="ALI",IF(I337="L",7,IF(I337="A",10,15)),IF(B337="AIE",IF(I337="L",5,IF(I337="A",7,10)),IF(B337="SE",IF(I337="L",4,IF(I337="A",5,7)),IF(OR(B337="EE",B337="CE"),IF(I337="L",3,IF(I337="A",4,6)),0)))))</f>
        <v>3</v>
      </c>
      <c r="I337" s="116" t="str">
        <f t="shared" ref="I337" si="213">IF(OR(ISBLANK(D337),ISBLANK(E337)),IF(OR(B337="ALI",B337="AIE"),"L",IF(OR(B337="EE",B337="SE",B337="CE"),"A","")),IF(B337="EE",IF(E337&gt;=3,IF(D337&gt;=5,"H","A"),IF(E337&gt;=2,IF(D337&gt;=16,"H",IF(D337&lt;=4,"L","A")),IF(D337&lt;=15,"L","A"))),IF(OR(B337="SE",B337="CE"),IF(E337&gt;=4,IF(D337&gt;=6,"H","A"),IF(E337&gt;=2,IF(D337&gt;=20,"H",IF(D337&lt;=5,"L","A")),IF(D337&lt;=19,"L","A"))),IF(OR(B337="ALI",B337="AIE"),IF(E337&gt;=6,IF(D337&gt;=20,"H","A"),IF(E337&gt;=2,IF(D337&gt;=51,"H",IF(D337&lt;=19,"L","A")),IF(D337&lt;=50,"L","A"))),""))))</f>
        <v>L</v>
      </c>
      <c r="J337" s="7" t="str">
        <f t="shared" ref="J337" si="214">CONCATENATE(B337,C337)</f>
        <v>CEI</v>
      </c>
      <c r="K337" s="127">
        <f t="shared" ref="K337" si="215">IF(OR(H337="",H337=0),L337,H337)</f>
        <v>3</v>
      </c>
      <c r="L337" s="127">
        <f>IF(NOT(ISERROR(VLOOKUP(B337,Deflatores!G$42:H$64,2,FALSE))),VLOOKUP(B337,Deflatores!G$42:H$64,2,FALSE),IF(OR(ISBLANK(C337),ISBLANK(B337)),"",VLOOKUP(C337,Deflatores!G$4:H$38,2,FALSE)*H337+VLOOKUP(C337,Deflatores!G$4:I$38,3,FALSE)))</f>
        <v>3</v>
      </c>
      <c r="M337" s="10"/>
      <c r="N337" s="10"/>
      <c r="O337" s="6"/>
    </row>
    <row r="338" spans="1:15" x14ac:dyDescent="0.25">
      <c r="A338" s="179" t="s">
        <v>324</v>
      </c>
      <c r="B338" s="4" t="s">
        <v>45</v>
      </c>
      <c r="C338" s="4" t="s">
        <v>50</v>
      </c>
      <c r="D338" s="7">
        <v>6</v>
      </c>
      <c r="E338" s="7">
        <v>2</v>
      </c>
      <c r="F338" s="116" t="str">
        <f t="shared" si="168"/>
        <v>Média</v>
      </c>
      <c r="G338" s="7" t="str">
        <f t="shared" si="169"/>
        <v>EEA</v>
      </c>
      <c r="H338" s="7">
        <f t="shared" si="170"/>
        <v>4</v>
      </c>
      <c r="I338" s="116" t="str">
        <f t="shared" si="171"/>
        <v>A</v>
      </c>
      <c r="J338" s="7" t="str">
        <f t="shared" si="172"/>
        <v>EEI</v>
      </c>
      <c r="K338" s="127">
        <f t="shared" si="173"/>
        <v>4</v>
      </c>
      <c r="L338" s="127">
        <f>IF(NOT(ISERROR(VLOOKUP(B338,Deflatores!G$42:H$64,2,FALSE))),VLOOKUP(B338,Deflatores!G$42:H$64,2,FALSE),IF(OR(ISBLANK(C338),ISBLANK(B338)),"",VLOOKUP(C338,Deflatores!G$4:H$38,2,FALSE)*H338+VLOOKUP(C338,Deflatores!G$4:I$38,3,FALSE)))</f>
        <v>4</v>
      </c>
      <c r="M338" s="10"/>
      <c r="N338" s="10"/>
      <c r="O338" s="6"/>
    </row>
    <row r="339" spans="1:15" x14ac:dyDescent="0.25">
      <c r="A339" s="180" t="s">
        <v>325</v>
      </c>
      <c r="B339" s="4" t="s">
        <v>52</v>
      </c>
      <c r="C339" s="4" t="s">
        <v>50</v>
      </c>
      <c r="D339" s="7">
        <v>4</v>
      </c>
      <c r="E339" s="7">
        <v>2</v>
      </c>
      <c r="F339" s="116" t="str">
        <f t="shared" ref="F339" si="216">IF(ISBLANK(B339),"",IF(I339="L","Baixa",IF(I339="A","Média",IF(I339="","","Alta"))))</f>
        <v>Baixa</v>
      </c>
      <c r="G339" s="7" t="str">
        <f t="shared" ref="G339" si="217">CONCATENATE(B339,I339)</f>
        <v>CEL</v>
      </c>
      <c r="H339" s="7">
        <f t="shared" ref="H339" si="218">IF(ISBLANK(B339),"",IF(B339="ALI",IF(I339="L",7,IF(I339="A",10,15)),IF(B339="AIE",IF(I339="L",5,IF(I339="A",7,10)),IF(B339="SE",IF(I339="L",4,IF(I339="A",5,7)),IF(OR(B339="EE",B339="CE"),IF(I339="L",3,IF(I339="A",4,6)),0)))))</f>
        <v>3</v>
      </c>
      <c r="I339" s="116" t="str">
        <f t="shared" ref="I339" si="219">IF(OR(ISBLANK(D339),ISBLANK(E339)),IF(OR(B339="ALI",B339="AIE"),"L",IF(OR(B339="EE",B339="SE",B339="CE"),"A","")),IF(B339="EE",IF(E339&gt;=3,IF(D339&gt;=5,"H","A"),IF(E339&gt;=2,IF(D339&gt;=16,"H",IF(D339&lt;=4,"L","A")),IF(D339&lt;=15,"L","A"))),IF(OR(B339="SE",B339="CE"),IF(E339&gt;=4,IF(D339&gt;=6,"H","A"),IF(E339&gt;=2,IF(D339&gt;=20,"H",IF(D339&lt;=5,"L","A")),IF(D339&lt;=19,"L","A"))),IF(OR(B339="ALI",B339="AIE"),IF(E339&gt;=6,IF(D339&gt;=20,"H","A"),IF(E339&gt;=2,IF(D339&gt;=51,"H",IF(D339&lt;=19,"L","A")),IF(D339&lt;=50,"L","A"))),""))))</f>
        <v>L</v>
      </c>
      <c r="J339" s="7" t="str">
        <f t="shared" ref="J339" si="220">CONCATENATE(B339,C339)</f>
        <v>CEI</v>
      </c>
      <c r="K339" s="127">
        <f t="shared" ref="K339" si="221">IF(OR(H339="",H339=0),L339,H339)</f>
        <v>3</v>
      </c>
      <c r="L339" s="127">
        <f>IF(NOT(ISERROR(VLOOKUP(B339,Deflatores!G$42:H$64,2,FALSE))),VLOOKUP(B339,Deflatores!G$42:H$64,2,FALSE),IF(OR(ISBLANK(C339),ISBLANK(B339)),"",VLOOKUP(C339,Deflatores!G$4:H$38,2,FALSE)*H339+VLOOKUP(C339,Deflatores!G$4:I$38,3,FALSE)))</f>
        <v>3</v>
      </c>
      <c r="M339" s="10"/>
      <c r="N339" s="10"/>
      <c r="O339" s="6"/>
    </row>
    <row r="340" spans="1:15" x14ac:dyDescent="0.25">
      <c r="A340" s="179" t="s">
        <v>326</v>
      </c>
      <c r="B340" s="4" t="s">
        <v>52</v>
      </c>
      <c r="C340" s="4" t="s">
        <v>50</v>
      </c>
      <c r="D340" s="7">
        <v>6</v>
      </c>
      <c r="E340" s="7">
        <v>2</v>
      </c>
      <c r="F340" s="116" t="str">
        <f t="shared" si="168"/>
        <v>Média</v>
      </c>
      <c r="G340" s="7" t="str">
        <f t="shared" si="169"/>
        <v>CEA</v>
      </c>
      <c r="H340" s="7">
        <f t="shared" si="170"/>
        <v>4</v>
      </c>
      <c r="I340" s="116" t="str">
        <f t="shared" si="171"/>
        <v>A</v>
      </c>
      <c r="J340" s="7" t="str">
        <f t="shared" si="172"/>
        <v>CEI</v>
      </c>
      <c r="K340" s="127">
        <f t="shared" si="173"/>
        <v>4</v>
      </c>
      <c r="L340" s="127">
        <f>IF(NOT(ISERROR(VLOOKUP(B340,Deflatores!G$42:H$64,2,FALSE))),VLOOKUP(B340,Deflatores!G$42:H$64,2,FALSE),IF(OR(ISBLANK(C340),ISBLANK(B340)),"",VLOOKUP(C340,Deflatores!G$4:H$38,2,FALSE)*H340+VLOOKUP(C340,Deflatores!G$4:I$38,3,FALSE)))</f>
        <v>4</v>
      </c>
      <c r="M340" s="10"/>
      <c r="N340" s="10"/>
      <c r="O340" s="6"/>
    </row>
    <row r="341" spans="1:15" x14ac:dyDescent="0.25">
      <c r="A341" s="179" t="s">
        <v>327</v>
      </c>
      <c r="B341" s="4" t="s">
        <v>52</v>
      </c>
      <c r="C341" s="4" t="s">
        <v>50</v>
      </c>
      <c r="D341" s="7">
        <v>4</v>
      </c>
      <c r="E341" s="7">
        <v>1</v>
      </c>
      <c r="F341" s="116" t="str">
        <f t="shared" ref="F341" si="222">IF(ISBLANK(B341),"",IF(I341="L","Baixa",IF(I341="A","Média",IF(I341="","","Alta"))))</f>
        <v>Baixa</v>
      </c>
      <c r="G341" s="7" t="str">
        <f t="shared" ref="G341" si="223">CONCATENATE(B341,I341)</f>
        <v>CEL</v>
      </c>
      <c r="H341" s="7">
        <f t="shared" ref="H341" si="224">IF(ISBLANK(B341),"",IF(B341="ALI",IF(I341="L",7,IF(I341="A",10,15)),IF(B341="AIE",IF(I341="L",5,IF(I341="A",7,10)),IF(B341="SE",IF(I341="L",4,IF(I341="A",5,7)),IF(OR(B341="EE",B341="CE"),IF(I341="L",3,IF(I341="A",4,6)),0)))))</f>
        <v>3</v>
      </c>
      <c r="I341" s="116" t="str">
        <f t="shared" ref="I341" si="225">IF(OR(ISBLANK(D341),ISBLANK(E341)),IF(OR(B341="ALI",B341="AIE"),"L",IF(OR(B341="EE",B341="SE",B341="CE"),"A","")),IF(B341="EE",IF(E341&gt;=3,IF(D341&gt;=5,"H","A"),IF(E341&gt;=2,IF(D341&gt;=16,"H",IF(D341&lt;=4,"L","A")),IF(D341&lt;=15,"L","A"))),IF(OR(B341="SE",B341="CE"),IF(E341&gt;=4,IF(D341&gt;=6,"H","A"),IF(E341&gt;=2,IF(D341&gt;=20,"H",IF(D341&lt;=5,"L","A")),IF(D341&lt;=19,"L","A"))),IF(OR(B341="ALI",B341="AIE"),IF(E341&gt;=6,IF(D341&gt;=20,"H","A"),IF(E341&gt;=2,IF(D341&gt;=51,"H",IF(D341&lt;=19,"L","A")),IF(D341&lt;=50,"L","A"))),""))))</f>
        <v>L</v>
      </c>
      <c r="J341" s="7" t="str">
        <f t="shared" ref="J341" si="226">CONCATENATE(B341,C341)</f>
        <v>CEI</v>
      </c>
      <c r="K341" s="127">
        <f t="shared" ref="K341" si="227">IF(OR(H341="",H341=0),L341,H341)</f>
        <v>3</v>
      </c>
      <c r="L341" s="127">
        <f>IF(NOT(ISERROR(VLOOKUP(B341,Deflatores!G$42:H$64,2,FALSE))),VLOOKUP(B341,Deflatores!G$42:H$64,2,FALSE),IF(OR(ISBLANK(C341),ISBLANK(B341)),"",VLOOKUP(C341,Deflatores!G$4:H$38,2,FALSE)*H341+VLOOKUP(C341,Deflatores!G$4:I$38,3,FALSE)))</f>
        <v>3</v>
      </c>
      <c r="M341" s="10"/>
      <c r="N341" s="10"/>
      <c r="O341" s="6"/>
    </row>
    <row r="342" spans="1:15" x14ac:dyDescent="0.25">
      <c r="A342" s="179"/>
      <c r="B342" s="4"/>
      <c r="C342" s="4"/>
      <c r="D342" s="7"/>
      <c r="E342" s="7"/>
      <c r="F342" s="116" t="str">
        <f t="shared" ref="F342:F409" si="228">IF(ISBLANK(B342),"",IF(I342="L","Baixa",IF(I342="A","Média",IF(I342="","","Alta"))))</f>
        <v/>
      </c>
      <c r="G342" s="7" t="str">
        <f t="shared" ref="G342:G409" si="229">CONCATENATE(B342,I342)</f>
        <v/>
      </c>
      <c r="H342" s="7" t="str">
        <f t="shared" ref="H342:H409" si="230">IF(ISBLANK(B342),"",IF(B342="ALI",IF(I342="L",7,IF(I342="A",10,15)),IF(B342="AIE",IF(I342="L",5,IF(I342="A",7,10)),IF(B342="SE",IF(I342="L",4,IF(I342="A",5,7)),IF(OR(B342="EE",B342="CE"),IF(I342="L",3,IF(I342="A",4,6)),0)))))</f>
        <v/>
      </c>
      <c r="I342" s="116" t="str">
        <f t="shared" ref="I342:I409" si="231">IF(OR(ISBLANK(D342),ISBLANK(E342)),IF(OR(B342="ALI",B342="AIE"),"L",IF(OR(B342="EE",B342="SE",B342="CE"),"A","")),IF(B342="EE",IF(E342&gt;=3,IF(D342&gt;=5,"H","A"),IF(E342&gt;=2,IF(D342&gt;=16,"H",IF(D342&lt;=4,"L","A")),IF(D342&lt;=15,"L","A"))),IF(OR(B342="SE",B342="CE"),IF(E342&gt;=4,IF(D342&gt;=6,"H","A"),IF(E342&gt;=2,IF(D342&gt;=20,"H",IF(D342&lt;=5,"L","A")),IF(D342&lt;=19,"L","A"))),IF(OR(B342="ALI",B342="AIE"),IF(E342&gt;=6,IF(D342&gt;=20,"H","A"),IF(E342&gt;=2,IF(D342&gt;=51,"H",IF(D342&lt;=19,"L","A")),IF(D342&lt;=50,"L","A"))),""))))</f>
        <v/>
      </c>
      <c r="J342" s="7" t="str">
        <f t="shared" ref="J342:J409" si="232">CONCATENATE(B342,C342)</f>
        <v/>
      </c>
      <c r="K342" s="127" t="str">
        <f t="shared" ref="K342:K418" si="233">IF(OR(H342="",H342=0),L342,H342)</f>
        <v/>
      </c>
      <c r="L342" s="127" t="str">
        <f>IF(NOT(ISERROR(VLOOKUP(B342,Deflatores!G$42:H$64,2,FALSE))),VLOOKUP(B342,Deflatores!G$42:H$64,2,FALSE),IF(OR(ISBLANK(C342),ISBLANK(B342)),"",VLOOKUP(C342,Deflatores!G$4:H$38,2,FALSE)*H342+VLOOKUP(C342,Deflatores!G$4:I$38,3,FALSE)))</f>
        <v/>
      </c>
      <c r="M342" s="10"/>
      <c r="N342" s="10"/>
      <c r="O342" s="6"/>
    </row>
    <row r="343" spans="1:15" x14ac:dyDescent="0.25">
      <c r="A343" s="181" t="s">
        <v>328</v>
      </c>
      <c r="B343" s="4"/>
      <c r="C343" s="4"/>
      <c r="D343" s="7"/>
      <c r="E343" s="7"/>
      <c r="F343" s="116" t="str">
        <f t="shared" si="228"/>
        <v/>
      </c>
      <c r="G343" s="7" t="str">
        <f t="shared" si="229"/>
        <v/>
      </c>
      <c r="H343" s="7" t="str">
        <f t="shared" si="230"/>
        <v/>
      </c>
      <c r="I343" s="116" t="str">
        <f t="shared" si="231"/>
        <v/>
      </c>
      <c r="J343" s="7" t="str">
        <f t="shared" si="232"/>
        <v/>
      </c>
      <c r="K343" s="127" t="str">
        <f t="shared" si="233"/>
        <v/>
      </c>
      <c r="L343" s="127" t="str">
        <f>IF(NOT(ISERROR(VLOOKUP(B343,Deflatores!G$42:H$64,2,FALSE))),VLOOKUP(B343,Deflatores!G$42:H$64,2,FALSE),IF(OR(ISBLANK(C343),ISBLANK(B343)),"",VLOOKUP(C343,Deflatores!G$4:H$38,2,FALSE)*H343+VLOOKUP(C343,Deflatores!G$4:I$38,3,FALSE)))</f>
        <v/>
      </c>
      <c r="M343" s="10"/>
      <c r="N343" s="10"/>
      <c r="O343" s="6"/>
    </row>
    <row r="344" spans="1:15" x14ac:dyDescent="0.25">
      <c r="A344" s="179" t="s">
        <v>329</v>
      </c>
      <c r="B344" s="4" t="s">
        <v>52</v>
      </c>
      <c r="C344" s="4" t="s">
        <v>50</v>
      </c>
      <c r="D344" s="7">
        <v>11</v>
      </c>
      <c r="E344" s="7">
        <v>5</v>
      </c>
      <c r="F344" s="116" t="str">
        <f>IF(ISBLANK(B344),"",IF(I344="L","Baixa",IF(I344="A","Média",IF(I344="","","Alta"))))</f>
        <v>Alta</v>
      </c>
      <c r="G344" s="7" t="str">
        <f>CONCATENATE(B344,I344)</f>
        <v>CEH</v>
      </c>
      <c r="H344" s="7">
        <f>IF(ISBLANK(B344),"",IF(B344="ALI",IF(I344="L",7,IF(I344="A",10,15)),IF(B344="AIE",IF(I344="L",5,IF(I344="A",7,10)),IF(B344="SE",IF(I344="L",4,IF(I344="A",5,7)),IF(OR(B344="EE",B344="CE"),IF(I344="L",3,IF(I344="A",4,6)),0)))))</f>
        <v>6</v>
      </c>
      <c r="I344" s="116" t="str">
        <f>IF(OR(ISBLANK(D344),ISBLANK(E344)),IF(OR(B344="ALI",B344="AIE"),"L",IF(OR(B344="EE",B344="SE",B344="CE"),"A","")),IF(B344="EE",IF(E344&gt;=3,IF(D344&gt;=5,"H","A"),IF(E344&gt;=2,IF(D344&gt;=16,"H",IF(D344&lt;=4,"L","A")),IF(D344&lt;=15,"L","A"))),IF(OR(B344="SE",B344="CE"),IF(E344&gt;=4,IF(D344&gt;=6,"H","A"),IF(E344&gt;=2,IF(D344&gt;=20,"H",IF(D344&lt;=5,"L","A")),IF(D344&lt;=19,"L","A"))),IF(OR(B344="ALI",B344="AIE"),IF(E344&gt;=6,IF(D344&gt;=20,"H","A"),IF(E344&gt;=2,IF(D344&gt;=51,"H",IF(D344&lt;=19,"L","A")),IF(D344&lt;=50,"L","A"))),""))))</f>
        <v>H</v>
      </c>
      <c r="J344" s="7" t="str">
        <f>CONCATENATE(B344,C344)</f>
        <v>CEI</v>
      </c>
      <c r="K344" s="127">
        <f>IF(OR(H344="",H344=0),L344,H344)</f>
        <v>6</v>
      </c>
      <c r="L344" s="127">
        <f>IF(NOT(ISERROR(VLOOKUP(B344,Deflatores!G$42:H$64,2,FALSE))),VLOOKUP(B344,Deflatores!G$42:H$64,2,FALSE),IF(OR(ISBLANK(C344),ISBLANK(B344)),"",VLOOKUP(C344,Deflatores!G$4:H$38,2,FALSE)*H344+VLOOKUP(C344,Deflatores!G$4:I$38,3,FALSE)))</f>
        <v>6</v>
      </c>
      <c r="M344" s="10"/>
      <c r="N344" s="10"/>
      <c r="O344" s="131"/>
    </row>
    <row r="345" spans="1:15" x14ac:dyDescent="0.25">
      <c r="A345" s="179" t="s">
        <v>330</v>
      </c>
      <c r="B345" s="4" t="s">
        <v>45</v>
      </c>
      <c r="C345" s="4" t="s">
        <v>50</v>
      </c>
      <c r="D345" s="7">
        <v>23</v>
      </c>
      <c r="E345" s="7">
        <v>7</v>
      </c>
      <c r="F345" s="116" t="str">
        <f t="shared" si="228"/>
        <v>Alta</v>
      </c>
      <c r="G345" s="7" t="str">
        <f t="shared" si="229"/>
        <v>EEH</v>
      </c>
      <c r="H345" s="7">
        <f t="shared" si="230"/>
        <v>6</v>
      </c>
      <c r="I345" s="116" t="str">
        <f t="shared" si="231"/>
        <v>H</v>
      </c>
      <c r="J345" s="7" t="str">
        <f t="shared" si="232"/>
        <v>EEI</v>
      </c>
      <c r="K345" s="127">
        <f t="shared" si="233"/>
        <v>6</v>
      </c>
      <c r="L345" s="127">
        <f>IF(NOT(ISERROR(VLOOKUP(B345,Deflatores!G$42:H$64,2,FALSE))),VLOOKUP(B345,Deflatores!G$42:H$64,2,FALSE),IF(OR(ISBLANK(C345),ISBLANK(B345)),"",VLOOKUP(C345,Deflatores!G$4:H$38,2,FALSE)*H345+VLOOKUP(C345,Deflatores!G$4:I$38,3,FALSE)))</f>
        <v>6</v>
      </c>
      <c r="M345" s="10"/>
      <c r="N345" s="10"/>
      <c r="O345" s="6"/>
    </row>
    <row r="346" spans="1:15" x14ac:dyDescent="0.25">
      <c r="A346" s="179" t="s">
        <v>331</v>
      </c>
      <c r="B346" s="4"/>
      <c r="C346" s="4"/>
      <c r="D346" s="7"/>
      <c r="E346" s="7"/>
      <c r="F346" s="116"/>
      <c r="G346" s="7"/>
      <c r="H346" s="7"/>
      <c r="I346" s="116"/>
      <c r="J346" s="7"/>
      <c r="K346" s="127"/>
      <c r="L346" s="127"/>
      <c r="M346" s="10"/>
      <c r="N346" s="10"/>
      <c r="O346" s="6"/>
    </row>
    <row r="347" spans="1:15" x14ac:dyDescent="0.25">
      <c r="A347" s="179"/>
      <c r="B347" s="4"/>
      <c r="C347" s="4"/>
      <c r="D347" s="7"/>
      <c r="E347" s="7"/>
      <c r="F347" s="116" t="str">
        <f t="shared" si="228"/>
        <v/>
      </c>
      <c r="G347" s="7" t="str">
        <f t="shared" si="229"/>
        <v/>
      </c>
      <c r="H347" s="7" t="str">
        <f t="shared" si="230"/>
        <v/>
      </c>
      <c r="I347" s="116" t="str">
        <f t="shared" si="231"/>
        <v/>
      </c>
      <c r="J347" s="7" t="str">
        <f t="shared" si="232"/>
        <v/>
      </c>
      <c r="K347" s="127" t="str">
        <f t="shared" si="233"/>
        <v/>
      </c>
      <c r="L347" s="127" t="str">
        <f>IF(NOT(ISERROR(VLOOKUP(B347,Deflatores!G$42:H$64,2,FALSE))),VLOOKUP(B347,Deflatores!G$42:H$64,2,FALSE),IF(OR(ISBLANK(C347),ISBLANK(B347)),"",VLOOKUP(C347,Deflatores!G$4:H$38,2,FALSE)*H347+VLOOKUP(C347,Deflatores!G$4:I$38,3,FALSE)))</f>
        <v/>
      </c>
      <c r="M347" s="10"/>
      <c r="N347" s="10"/>
      <c r="O347" s="6"/>
    </row>
    <row r="348" spans="1:15" x14ac:dyDescent="0.25">
      <c r="A348" s="181" t="s">
        <v>332</v>
      </c>
      <c r="B348" s="4"/>
      <c r="C348" s="4"/>
      <c r="D348" s="7"/>
      <c r="E348" s="7"/>
      <c r="F348" s="116" t="str">
        <f t="shared" si="228"/>
        <v/>
      </c>
      <c r="G348" s="7" t="str">
        <f t="shared" si="229"/>
        <v/>
      </c>
      <c r="H348" s="7" t="str">
        <f t="shared" si="230"/>
        <v/>
      </c>
      <c r="I348" s="116" t="str">
        <f t="shared" si="231"/>
        <v/>
      </c>
      <c r="J348" s="7" t="str">
        <f t="shared" si="232"/>
        <v/>
      </c>
      <c r="K348" s="127" t="str">
        <f t="shared" si="233"/>
        <v/>
      </c>
      <c r="L348" s="127" t="str">
        <f>IF(NOT(ISERROR(VLOOKUP(B348,Deflatores!G$42:H$64,2,FALSE))),VLOOKUP(B348,Deflatores!G$42:H$64,2,FALSE),IF(OR(ISBLANK(C348),ISBLANK(B348)),"",VLOOKUP(C348,Deflatores!G$4:H$38,2,FALSE)*H348+VLOOKUP(C348,Deflatores!G$4:I$38,3,FALSE)))</f>
        <v/>
      </c>
      <c r="M348" s="10"/>
      <c r="N348" s="10"/>
      <c r="O348" s="6"/>
    </row>
    <row r="349" spans="1:15" x14ac:dyDescent="0.25">
      <c r="A349" s="179" t="s">
        <v>333</v>
      </c>
      <c r="B349" s="4" t="s">
        <v>52</v>
      </c>
      <c r="C349" s="4" t="s">
        <v>50</v>
      </c>
      <c r="D349" s="7">
        <v>12</v>
      </c>
      <c r="E349" s="7">
        <v>7</v>
      </c>
      <c r="F349" s="116" t="str">
        <f t="shared" si="228"/>
        <v>Alta</v>
      </c>
      <c r="G349" s="7" t="str">
        <f t="shared" si="229"/>
        <v>CEH</v>
      </c>
      <c r="H349" s="7">
        <f t="shared" si="230"/>
        <v>6</v>
      </c>
      <c r="I349" s="116" t="str">
        <f t="shared" si="231"/>
        <v>H</v>
      </c>
      <c r="J349" s="7" t="str">
        <f t="shared" si="232"/>
        <v>CEI</v>
      </c>
      <c r="K349" s="127">
        <f t="shared" si="233"/>
        <v>6</v>
      </c>
      <c r="L349" s="127">
        <f>IF(NOT(ISERROR(VLOOKUP(B349,Deflatores!G$42:H$64,2,FALSE))),VLOOKUP(B349,Deflatores!G$42:H$64,2,FALSE),IF(OR(ISBLANK(C349),ISBLANK(B349)),"",VLOOKUP(C349,Deflatores!G$4:H$38,2,FALSE)*H349+VLOOKUP(C349,Deflatores!G$4:I$38,3,FALSE)))</f>
        <v>6</v>
      </c>
      <c r="M349" s="10"/>
      <c r="N349" s="10"/>
      <c r="O349" s="6"/>
    </row>
    <row r="350" spans="1:15" x14ac:dyDescent="0.25">
      <c r="A350" s="180" t="s">
        <v>500</v>
      </c>
      <c r="B350" s="4" t="s">
        <v>52</v>
      </c>
      <c r="C350" s="4" t="s">
        <v>50</v>
      </c>
      <c r="D350" s="7">
        <v>3</v>
      </c>
      <c r="E350" s="7">
        <v>3</v>
      </c>
      <c r="F350" s="116" t="str">
        <f t="shared" si="228"/>
        <v>Baixa</v>
      </c>
      <c r="G350" s="7" t="str">
        <f t="shared" si="229"/>
        <v>CEL</v>
      </c>
      <c r="H350" s="7">
        <f t="shared" si="230"/>
        <v>3</v>
      </c>
      <c r="I350" s="116" t="str">
        <f t="shared" si="231"/>
        <v>L</v>
      </c>
      <c r="J350" s="7" t="str">
        <f t="shared" si="232"/>
        <v>CEI</v>
      </c>
      <c r="K350" s="127">
        <f t="shared" si="233"/>
        <v>3</v>
      </c>
      <c r="L350" s="127">
        <f>IF(NOT(ISERROR(VLOOKUP(B350,Deflatores!G$42:H$64,2,FALSE))),VLOOKUP(B350,Deflatores!G$42:H$64,2,FALSE),IF(OR(ISBLANK(C350),ISBLANK(B350)),"",VLOOKUP(C350,Deflatores!G$4:H$38,2,FALSE)*H350+VLOOKUP(C350,Deflatores!G$4:I$38,3,FALSE)))</f>
        <v>3</v>
      </c>
      <c r="M350" s="10"/>
      <c r="N350" s="10"/>
      <c r="O350" s="6"/>
    </row>
    <row r="351" spans="1:15" x14ac:dyDescent="0.25">
      <c r="A351" s="179" t="s">
        <v>334</v>
      </c>
      <c r="B351" s="4" t="s">
        <v>52</v>
      </c>
      <c r="C351" s="4" t="s">
        <v>50</v>
      </c>
      <c r="D351" s="7">
        <v>13</v>
      </c>
      <c r="E351" s="7">
        <v>7</v>
      </c>
      <c r="F351" s="116" t="str">
        <f t="shared" si="228"/>
        <v>Alta</v>
      </c>
      <c r="G351" s="7" t="str">
        <f t="shared" si="229"/>
        <v>CEH</v>
      </c>
      <c r="H351" s="7">
        <f t="shared" si="230"/>
        <v>6</v>
      </c>
      <c r="I351" s="116" t="str">
        <f t="shared" si="231"/>
        <v>H</v>
      </c>
      <c r="J351" s="7" t="str">
        <f t="shared" si="232"/>
        <v>CEI</v>
      </c>
      <c r="K351" s="127">
        <f t="shared" si="233"/>
        <v>6</v>
      </c>
      <c r="L351" s="127">
        <f>IF(NOT(ISERROR(VLOOKUP(B351,Deflatores!G$42:H$64,2,FALSE))),VLOOKUP(B351,Deflatores!G$42:H$64,2,FALSE),IF(OR(ISBLANK(C351),ISBLANK(B351)),"",VLOOKUP(C351,Deflatores!G$4:H$38,2,FALSE)*H351+VLOOKUP(C351,Deflatores!G$4:I$38,3,FALSE)))</f>
        <v>6</v>
      </c>
      <c r="M351" s="10"/>
      <c r="N351" s="10"/>
      <c r="O351" s="6"/>
    </row>
    <row r="352" spans="1:15" x14ac:dyDescent="0.25">
      <c r="A352" s="179"/>
      <c r="B352" s="4"/>
      <c r="C352" s="4"/>
      <c r="D352" s="7"/>
      <c r="E352" s="7"/>
      <c r="F352" s="116" t="str">
        <f t="shared" si="228"/>
        <v/>
      </c>
      <c r="G352" s="7" t="str">
        <f t="shared" si="229"/>
        <v/>
      </c>
      <c r="H352" s="7" t="str">
        <f t="shared" si="230"/>
        <v/>
      </c>
      <c r="I352" s="116" t="str">
        <f t="shared" si="231"/>
        <v/>
      </c>
      <c r="J352" s="7" t="str">
        <f t="shared" si="232"/>
        <v/>
      </c>
      <c r="K352" s="127" t="str">
        <f t="shared" si="233"/>
        <v/>
      </c>
      <c r="L352" s="127" t="str">
        <f>IF(NOT(ISERROR(VLOOKUP(B352,Deflatores!G$42:H$64,2,FALSE))),VLOOKUP(B352,Deflatores!G$42:H$64,2,FALSE),IF(OR(ISBLANK(C352),ISBLANK(B352)),"",VLOOKUP(C352,Deflatores!G$4:H$38,2,FALSE)*H352+VLOOKUP(C352,Deflatores!G$4:I$38,3,FALSE)))</f>
        <v/>
      </c>
      <c r="M352" s="10"/>
      <c r="N352" s="10"/>
      <c r="O352" s="6"/>
    </row>
    <row r="353" spans="1:15" x14ac:dyDescent="0.25">
      <c r="A353" s="181" t="s">
        <v>335</v>
      </c>
      <c r="B353" s="4"/>
      <c r="C353" s="4"/>
      <c r="D353" s="7"/>
      <c r="E353" s="7"/>
      <c r="F353" s="116" t="str">
        <f t="shared" si="228"/>
        <v/>
      </c>
      <c r="G353" s="7" t="str">
        <f t="shared" si="229"/>
        <v/>
      </c>
      <c r="H353" s="7" t="str">
        <f t="shared" si="230"/>
        <v/>
      </c>
      <c r="I353" s="116" t="str">
        <f t="shared" si="231"/>
        <v/>
      </c>
      <c r="J353" s="7" t="str">
        <f t="shared" si="232"/>
        <v/>
      </c>
      <c r="K353" s="127" t="str">
        <f t="shared" si="233"/>
        <v/>
      </c>
      <c r="L353" s="127" t="str">
        <f>IF(NOT(ISERROR(VLOOKUP(B353,Deflatores!G$42:H$64,2,FALSE))),VLOOKUP(B353,Deflatores!G$42:H$64,2,FALSE),IF(OR(ISBLANK(C353),ISBLANK(B353)),"",VLOOKUP(C353,Deflatores!G$4:H$38,2,FALSE)*H353+VLOOKUP(C353,Deflatores!G$4:I$38,3,FALSE)))</f>
        <v/>
      </c>
      <c r="M353" s="10"/>
      <c r="N353" s="10"/>
      <c r="O353" s="6"/>
    </row>
    <row r="354" spans="1:15" x14ac:dyDescent="0.25">
      <c r="A354" s="179" t="s">
        <v>336</v>
      </c>
      <c r="B354" s="4" t="s">
        <v>52</v>
      </c>
      <c r="C354" s="4" t="s">
        <v>46</v>
      </c>
      <c r="D354" s="7">
        <v>2</v>
      </c>
      <c r="E354" s="7">
        <v>1</v>
      </c>
      <c r="F354" s="116" t="str">
        <f t="shared" si="228"/>
        <v>Baixa</v>
      </c>
      <c r="G354" s="7" t="str">
        <f t="shared" si="229"/>
        <v>CEL</v>
      </c>
      <c r="H354" s="7">
        <f t="shared" si="230"/>
        <v>3</v>
      </c>
      <c r="I354" s="116" t="str">
        <f t="shared" si="231"/>
        <v>L</v>
      </c>
      <c r="J354" s="7" t="str">
        <f t="shared" si="232"/>
        <v>CECOS</v>
      </c>
      <c r="K354" s="127">
        <f t="shared" si="233"/>
        <v>3</v>
      </c>
      <c r="L354" s="127">
        <f>IF(NOT(ISERROR(VLOOKUP(B354,Deflatores!G$42:H$64,2,FALSE))),VLOOKUP(B354,Deflatores!G$42:H$64,2,FALSE),IF(OR(ISBLANK(C354),ISBLANK(B354)),"",VLOOKUP(C354,Deflatores!G$4:H$38,2,FALSE)*H354+VLOOKUP(C354,Deflatores!G$4:I$38,3,FALSE)))</f>
        <v>0.6</v>
      </c>
      <c r="M354" s="10"/>
      <c r="N354" s="10"/>
      <c r="O354" s="6"/>
    </row>
    <row r="355" spans="1:15" x14ac:dyDescent="0.25">
      <c r="A355" s="179"/>
      <c r="B355" s="4"/>
      <c r="C355" s="4"/>
      <c r="D355" s="7"/>
      <c r="E355" s="7"/>
      <c r="F355" s="116" t="str">
        <f t="shared" si="228"/>
        <v/>
      </c>
      <c r="G355" s="7" t="str">
        <f t="shared" si="229"/>
        <v/>
      </c>
      <c r="H355" s="7" t="str">
        <f t="shared" si="230"/>
        <v/>
      </c>
      <c r="I355" s="116" t="str">
        <f t="shared" si="231"/>
        <v/>
      </c>
      <c r="J355" s="7" t="str">
        <f t="shared" si="232"/>
        <v/>
      </c>
      <c r="K355" s="127" t="str">
        <f t="shared" si="233"/>
        <v/>
      </c>
      <c r="L355" s="127" t="str">
        <f>IF(NOT(ISERROR(VLOOKUP(B355,Deflatores!G$42:H$64,2,FALSE))),VLOOKUP(B355,Deflatores!G$42:H$64,2,FALSE),IF(OR(ISBLANK(C355),ISBLANK(B355)),"",VLOOKUP(C355,Deflatores!G$4:H$38,2,FALSE)*H355+VLOOKUP(C355,Deflatores!G$4:I$38,3,FALSE)))</f>
        <v/>
      </c>
      <c r="M355" s="10"/>
      <c r="N355" s="10"/>
      <c r="O355" s="6"/>
    </row>
    <row r="356" spans="1:15" x14ac:dyDescent="0.25">
      <c r="A356" s="181" t="s">
        <v>337</v>
      </c>
      <c r="B356" s="4"/>
      <c r="C356" s="4"/>
      <c r="D356" s="7"/>
      <c r="E356" s="7"/>
      <c r="F356" s="116" t="str">
        <f t="shared" si="228"/>
        <v/>
      </c>
      <c r="G356" s="7" t="str">
        <f t="shared" si="229"/>
        <v/>
      </c>
      <c r="H356" s="7" t="str">
        <f t="shared" si="230"/>
        <v/>
      </c>
      <c r="I356" s="116" t="str">
        <f t="shared" si="231"/>
        <v/>
      </c>
      <c r="J356" s="7" t="str">
        <f t="shared" si="232"/>
        <v/>
      </c>
      <c r="K356" s="127" t="str">
        <f t="shared" si="233"/>
        <v/>
      </c>
      <c r="L356" s="127" t="str">
        <f>IF(NOT(ISERROR(VLOOKUP(B356,Deflatores!G$42:H$64,2,FALSE))),VLOOKUP(B356,Deflatores!G$42:H$64,2,FALSE),IF(OR(ISBLANK(C356),ISBLANK(B356)),"",VLOOKUP(C356,Deflatores!G$4:H$38,2,FALSE)*H356+VLOOKUP(C356,Deflatores!G$4:I$38,3,FALSE)))</f>
        <v/>
      </c>
      <c r="M356" s="10"/>
      <c r="N356" s="10"/>
      <c r="O356" s="6"/>
    </row>
    <row r="357" spans="1:15" x14ac:dyDescent="0.25">
      <c r="A357" s="179" t="s">
        <v>338</v>
      </c>
      <c r="B357" s="4" t="s">
        <v>49</v>
      </c>
      <c r="C357" s="4" t="s">
        <v>50</v>
      </c>
      <c r="D357" s="7">
        <v>2</v>
      </c>
      <c r="E357" s="7">
        <v>1</v>
      </c>
      <c r="F357" s="116" t="str">
        <f t="shared" si="228"/>
        <v>Baixa</v>
      </c>
      <c r="G357" s="7" t="str">
        <f t="shared" si="229"/>
        <v>AIEL</v>
      </c>
      <c r="H357" s="7">
        <f t="shared" si="230"/>
        <v>5</v>
      </c>
      <c r="I357" s="116" t="str">
        <f t="shared" si="231"/>
        <v>L</v>
      </c>
      <c r="J357" s="7" t="str">
        <f t="shared" si="232"/>
        <v>AIEI</v>
      </c>
      <c r="K357" s="127">
        <f t="shared" si="233"/>
        <v>5</v>
      </c>
      <c r="L357" s="127">
        <f>IF(NOT(ISERROR(VLOOKUP(B357,Deflatores!G$42:H$64,2,FALSE))),VLOOKUP(B357,Deflatores!G$42:H$64,2,FALSE),IF(OR(ISBLANK(C357),ISBLANK(B357)),"",VLOOKUP(C357,Deflatores!G$4:H$38,2,FALSE)*H357+VLOOKUP(C357,Deflatores!G$4:I$38,3,FALSE)))</f>
        <v>5</v>
      </c>
      <c r="M357" s="10"/>
      <c r="N357" s="10"/>
      <c r="O357" s="6"/>
    </row>
    <row r="358" spans="1:15" x14ac:dyDescent="0.25">
      <c r="A358" s="179" t="s">
        <v>339</v>
      </c>
      <c r="B358" s="4" t="s">
        <v>45</v>
      </c>
      <c r="C358" s="4" t="s">
        <v>50</v>
      </c>
      <c r="D358" s="7">
        <v>7</v>
      </c>
      <c r="E358" s="7">
        <v>6</v>
      </c>
      <c r="F358" s="116" t="str">
        <f t="shared" si="228"/>
        <v>Alta</v>
      </c>
      <c r="G358" s="7" t="str">
        <f t="shared" si="229"/>
        <v>EEH</v>
      </c>
      <c r="H358" s="7">
        <f t="shared" si="230"/>
        <v>6</v>
      </c>
      <c r="I358" s="116" t="str">
        <f t="shared" si="231"/>
        <v>H</v>
      </c>
      <c r="J358" s="7" t="str">
        <f t="shared" si="232"/>
        <v>EEI</v>
      </c>
      <c r="K358" s="127">
        <f t="shared" si="233"/>
        <v>6</v>
      </c>
      <c r="L358" s="127">
        <f>IF(NOT(ISERROR(VLOOKUP(B358,Deflatores!G$42:H$64,2,FALSE))),VLOOKUP(B358,Deflatores!G$42:H$64,2,FALSE),IF(OR(ISBLANK(C358),ISBLANK(B358)),"",VLOOKUP(C358,Deflatores!G$4:H$38,2,FALSE)*H358+VLOOKUP(C358,Deflatores!G$4:I$38,3,FALSE)))</f>
        <v>6</v>
      </c>
      <c r="M358" s="10"/>
      <c r="N358" s="10"/>
      <c r="O358" s="6"/>
    </row>
    <row r="359" spans="1:15" x14ac:dyDescent="0.25">
      <c r="A359" s="179" t="s">
        <v>340</v>
      </c>
      <c r="B359" s="4" t="s">
        <v>181</v>
      </c>
      <c r="C359" s="4" t="s">
        <v>50</v>
      </c>
      <c r="D359" s="7">
        <v>6</v>
      </c>
      <c r="E359" s="7">
        <v>4</v>
      </c>
      <c r="F359" s="116" t="str">
        <f t="shared" si="228"/>
        <v>Alta</v>
      </c>
      <c r="G359" s="7" t="str">
        <f t="shared" si="229"/>
        <v>SEH</v>
      </c>
      <c r="H359" s="7">
        <f t="shared" si="230"/>
        <v>7</v>
      </c>
      <c r="I359" s="116" t="str">
        <f t="shared" si="231"/>
        <v>H</v>
      </c>
      <c r="J359" s="7" t="str">
        <f t="shared" si="232"/>
        <v>SEI</v>
      </c>
      <c r="K359" s="127">
        <f t="shared" si="233"/>
        <v>7</v>
      </c>
      <c r="L359" s="127">
        <f>IF(NOT(ISERROR(VLOOKUP(B359,Deflatores!G$42:H$64,2,FALSE))),VLOOKUP(B359,Deflatores!G$42:H$64,2,FALSE),IF(OR(ISBLANK(C359),ISBLANK(B359)),"",VLOOKUP(C359,Deflatores!G$4:H$38,2,FALSE)*H359+VLOOKUP(C359,Deflatores!G$4:I$38,3,FALSE)))</f>
        <v>7</v>
      </c>
      <c r="M359" s="10"/>
      <c r="N359" s="10"/>
      <c r="O359" s="6"/>
    </row>
    <row r="360" spans="1:15" x14ac:dyDescent="0.25">
      <c r="A360" s="179"/>
      <c r="B360" s="4"/>
      <c r="C360" s="4"/>
      <c r="D360" s="7"/>
      <c r="E360" s="7"/>
      <c r="F360" s="116" t="str">
        <f t="shared" si="228"/>
        <v/>
      </c>
      <c r="G360" s="7" t="str">
        <f t="shared" si="229"/>
        <v/>
      </c>
      <c r="H360" s="7" t="str">
        <f t="shared" si="230"/>
        <v/>
      </c>
      <c r="I360" s="116" t="str">
        <f t="shared" si="231"/>
        <v/>
      </c>
      <c r="J360" s="7" t="str">
        <f t="shared" si="232"/>
        <v/>
      </c>
      <c r="K360" s="127" t="str">
        <f t="shared" si="233"/>
        <v/>
      </c>
      <c r="L360" s="127" t="str">
        <f>IF(NOT(ISERROR(VLOOKUP(B360,Deflatores!G$42:H$64,2,FALSE))),VLOOKUP(B360,Deflatores!G$42:H$64,2,FALSE),IF(OR(ISBLANK(C360),ISBLANK(B360)),"",VLOOKUP(C360,Deflatores!G$4:H$38,2,FALSE)*H360+VLOOKUP(C360,Deflatores!G$4:I$38,3,FALSE)))</f>
        <v/>
      </c>
      <c r="M360" s="10"/>
      <c r="N360" s="10"/>
      <c r="O360" s="6"/>
    </row>
    <row r="361" spans="1:15" x14ac:dyDescent="0.25">
      <c r="A361" s="181" t="s">
        <v>341</v>
      </c>
      <c r="B361" s="4"/>
      <c r="C361" s="4"/>
      <c r="D361" s="7"/>
      <c r="E361" s="7"/>
      <c r="F361" s="116" t="str">
        <f t="shared" si="228"/>
        <v/>
      </c>
      <c r="G361" s="7" t="str">
        <f t="shared" si="229"/>
        <v/>
      </c>
      <c r="H361" s="7" t="str">
        <f t="shared" si="230"/>
        <v/>
      </c>
      <c r="I361" s="116" t="str">
        <f t="shared" si="231"/>
        <v/>
      </c>
      <c r="J361" s="7" t="str">
        <f t="shared" si="232"/>
        <v/>
      </c>
      <c r="K361" s="127" t="str">
        <f t="shared" si="233"/>
        <v/>
      </c>
      <c r="L361" s="127" t="str">
        <f>IF(NOT(ISERROR(VLOOKUP(B361,Deflatores!G$42:H$64,2,FALSE))),VLOOKUP(B361,Deflatores!G$42:H$64,2,FALSE),IF(OR(ISBLANK(C361),ISBLANK(B361)),"",VLOOKUP(C361,Deflatores!G$4:H$38,2,FALSE)*H361+VLOOKUP(C361,Deflatores!G$4:I$38,3,FALSE)))</f>
        <v/>
      </c>
      <c r="M361" s="10"/>
      <c r="N361" s="10"/>
      <c r="O361" s="6"/>
    </row>
    <row r="362" spans="1:15" x14ac:dyDescent="0.25">
      <c r="A362" s="179" t="s">
        <v>342</v>
      </c>
      <c r="B362" s="4" t="s">
        <v>181</v>
      </c>
      <c r="C362" s="4" t="s">
        <v>50</v>
      </c>
      <c r="D362" s="7">
        <v>11</v>
      </c>
      <c r="E362" s="7">
        <v>4</v>
      </c>
      <c r="F362" s="116" t="str">
        <f t="shared" si="228"/>
        <v>Alta</v>
      </c>
      <c r="G362" s="7" t="str">
        <f t="shared" si="229"/>
        <v>SEH</v>
      </c>
      <c r="H362" s="7">
        <f t="shared" si="230"/>
        <v>7</v>
      </c>
      <c r="I362" s="116" t="str">
        <f t="shared" si="231"/>
        <v>H</v>
      </c>
      <c r="J362" s="7" t="str">
        <f t="shared" si="232"/>
        <v>SEI</v>
      </c>
      <c r="K362" s="127">
        <f t="shared" si="233"/>
        <v>7</v>
      </c>
      <c r="L362" s="127">
        <f>IF(NOT(ISERROR(VLOOKUP(B362,Deflatores!G$42:H$64,2,FALSE))),VLOOKUP(B362,Deflatores!G$42:H$64,2,FALSE),IF(OR(ISBLANK(C362),ISBLANK(B362)),"",VLOOKUP(C362,Deflatores!G$4:H$38,2,FALSE)*H362+VLOOKUP(C362,Deflatores!G$4:I$38,3,FALSE)))</f>
        <v>7</v>
      </c>
      <c r="M362" s="10"/>
      <c r="N362" s="10"/>
      <c r="O362" s="6"/>
    </row>
    <row r="363" spans="1:15" x14ac:dyDescent="0.25">
      <c r="A363" s="179" t="s">
        <v>343</v>
      </c>
      <c r="B363" s="4" t="s">
        <v>181</v>
      </c>
      <c r="C363" s="4" t="s">
        <v>50</v>
      </c>
      <c r="D363" s="7">
        <v>11</v>
      </c>
      <c r="E363" s="7">
        <v>4</v>
      </c>
      <c r="F363" s="116" t="str">
        <f t="shared" si="228"/>
        <v>Alta</v>
      </c>
      <c r="G363" s="7" t="str">
        <f t="shared" si="229"/>
        <v>SEH</v>
      </c>
      <c r="H363" s="7">
        <f t="shared" si="230"/>
        <v>7</v>
      </c>
      <c r="I363" s="116" t="str">
        <f t="shared" si="231"/>
        <v>H</v>
      </c>
      <c r="J363" s="7" t="str">
        <f t="shared" si="232"/>
        <v>SEI</v>
      </c>
      <c r="K363" s="127">
        <f t="shared" si="233"/>
        <v>7</v>
      </c>
      <c r="L363" s="127">
        <f>IF(NOT(ISERROR(VLOOKUP(B363,Deflatores!G$42:H$64,2,FALSE))),VLOOKUP(B363,Deflatores!G$42:H$64,2,FALSE),IF(OR(ISBLANK(C363),ISBLANK(B363)),"",VLOOKUP(C363,Deflatores!G$4:H$38,2,FALSE)*H363+VLOOKUP(C363,Deflatores!G$4:I$38,3,FALSE)))</f>
        <v>7</v>
      </c>
      <c r="M363" s="10"/>
      <c r="N363" s="10"/>
      <c r="O363" s="6"/>
    </row>
    <row r="364" spans="1:15" x14ac:dyDescent="0.25">
      <c r="A364" s="181"/>
      <c r="B364" s="4"/>
      <c r="C364" s="4"/>
      <c r="D364" s="7"/>
      <c r="E364" s="7"/>
      <c r="F364" s="116" t="str">
        <f t="shared" si="228"/>
        <v/>
      </c>
      <c r="G364" s="7" t="str">
        <f t="shared" si="229"/>
        <v/>
      </c>
      <c r="H364" s="7" t="str">
        <f t="shared" si="230"/>
        <v/>
      </c>
      <c r="I364" s="116" t="str">
        <f t="shared" si="231"/>
        <v/>
      </c>
      <c r="J364" s="7" t="str">
        <f t="shared" si="232"/>
        <v/>
      </c>
      <c r="K364" s="127" t="str">
        <f t="shared" si="233"/>
        <v/>
      </c>
      <c r="L364" s="127" t="str">
        <f>IF(NOT(ISERROR(VLOOKUP(B364,Deflatores!G$42:H$64,2,FALSE))),VLOOKUP(B364,Deflatores!G$42:H$64,2,FALSE),IF(OR(ISBLANK(C364),ISBLANK(B364)),"",VLOOKUP(C364,Deflatores!G$4:H$38,2,FALSE)*H364+VLOOKUP(C364,Deflatores!G$4:I$38,3,FALSE)))</f>
        <v/>
      </c>
      <c r="M364" s="10"/>
      <c r="N364" s="10"/>
      <c r="O364" s="6"/>
    </row>
    <row r="365" spans="1:15" x14ac:dyDescent="0.25">
      <c r="A365" s="181" t="s">
        <v>344</v>
      </c>
      <c r="B365" s="4"/>
      <c r="C365" s="4"/>
      <c r="D365" s="7"/>
      <c r="E365" s="7"/>
      <c r="F365" s="116" t="str">
        <f t="shared" si="228"/>
        <v/>
      </c>
      <c r="G365" s="7" t="str">
        <f t="shared" si="229"/>
        <v/>
      </c>
      <c r="H365" s="7" t="str">
        <f t="shared" si="230"/>
        <v/>
      </c>
      <c r="I365" s="116" t="str">
        <f t="shared" si="231"/>
        <v/>
      </c>
      <c r="J365" s="7" t="str">
        <f t="shared" si="232"/>
        <v/>
      </c>
      <c r="K365" s="127" t="str">
        <f t="shared" si="233"/>
        <v/>
      </c>
      <c r="L365" s="127" t="str">
        <f>IF(NOT(ISERROR(VLOOKUP(B365,Deflatores!G$42:H$64,2,FALSE))),VLOOKUP(B365,Deflatores!G$42:H$64,2,FALSE),IF(OR(ISBLANK(C365),ISBLANK(B365)),"",VLOOKUP(C365,Deflatores!G$4:H$38,2,FALSE)*H365+VLOOKUP(C365,Deflatores!G$4:I$38,3,FALSE)))</f>
        <v/>
      </c>
      <c r="M365" s="10"/>
      <c r="N365" s="10"/>
      <c r="O365" s="6"/>
    </row>
    <row r="366" spans="1:15" x14ac:dyDescent="0.25">
      <c r="A366" s="179" t="s">
        <v>345</v>
      </c>
      <c r="B366" s="4" t="s">
        <v>181</v>
      </c>
      <c r="C366" s="4" t="s">
        <v>50</v>
      </c>
      <c r="D366" s="7">
        <v>13</v>
      </c>
      <c r="E366" s="7">
        <v>7</v>
      </c>
      <c r="F366" s="116" t="str">
        <f t="shared" si="228"/>
        <v>Alta</v>
      </c>
      <c r="G366" s="7" t="str">
        <f t="shared" si="229"/>
        <v>SEH</v>
      </c>
      <c r="H366" s="7">
        <f t="shared" si="230"/>
        <v>7</v>
      </c>
      <c r="I366" s="116" t="str">
        <f t="shared" si="231"/>
        <v>H</v>
      </c>
      <c r="J366" s="7" t="str">
        <f t="shared" si="232"/>
        <v>SEI</v>
      </c>
      <c r="K366" s="127">
        <f t="shared" si="233"/>
        <v>7</v>
      </c>
      <c r="L366" s="127">
        <f>IF(NOT(ISERROR(VLOOKUP(B366,Deflatores!G$42:H$64,2,FALSE))),VLOOKUP(B366,Deflatores!G$42:H$64,2,FALSE),IF(OR(ISBLANK(C366),ISBLANK(B366)),"",VLOOKUP(C366,Deflatores!G$4:H$38,2,FALSE)*H366+VLOOKUP(C366,Deflatores!G$4:I$38,3,FALSE)))</f>
        <v>7</v>
      </c>
      <c r="M366" s="10"/>
      <c r="N366" s="10"/>
      <c r="O366" s="6"/>
    </row>
    <row r="367" spans="1:15" x14ac:dyDescent="0.25">
      <c r="A367" s="179" t="s">
        <v>346</v>
      </c>
      <c r="B367" s="4" t="s">
        <v>45</v>
      </c>
      <c r="C367" s="4" t="s">
        <v>50</v>
      </c>
      <c r="D367" s="7">
        <v>5</v>
      </c>
      <c r="E367" s="7">
        <v>2</v>
      </c>
      <c r="F367" s="116" t="str">
        <f t="shared" si="228"/>
        <v>Média</v>
      </c>
      <c r="G367" s="7" t="str">
        <f t="shared" si="229"/>
        <v>EEA</v>
      </c>
      <c r="H367" s="7">
        <f t="shared" si="230"/>
        <v>4</v>
      </c>
      <c r="I367" s="116" t="str">
        <f t="shared" si="231"/>
        <v>A</v>
      </c>
      <c r="J367" s="7" t="str">
        <f t="shared" si="232"/>
        <v>EEI</v>
      </c>
      <c r="K367" s="127">
        <f t="shared" si="233"/>
        <v>4</v>
      </c>
      <c r="L367" s="127">
        <f>IF(NOT(ISERROR(VLOOKUP(B367,Deflatores!G$42:H$64,2,FALSE))),VLOOKUP(B367,Deflatores!G$42:H$64,2,FALSE),IF(OR(ISBLANK(C367),ISBLANK(B367)),"",VLOOKUP(C367,Deflatores!G$4:H$38,2,FALSE)*H367+VLOOKUP(C367,Deflatores!G$4:I$38,3,FALSE)))</f>
        <v>4</v>
      </c>
      <c r="M367" s="10"/>
      <c r="N367" s="10"/>
      <c r="O367" s="6"/>
    </row>
    <row r="368" spans="1:15" x14ac:dyDescent="0.25">
      <c r="A368" s="179"/>
      <c r="B368" s="4"/>
      <c r="C368" s="4"/>
      <c r="D368" s="7"/>
      <c r="E368" s="7"/>
      <c r="F368" s="116" t="str">
        <f t="shared" si="228"/>
        <v/>
      </c>
      <c r="G368" s="7" t="str">
        <f t="shared" si="229"/>
        <v/>
      </c>
      <c r="H368" s="7" t="str">
        <f t="shared" si="230"/>
        <v/>
      </c>
      <c r="I368" s="116" t="str">
        <f t="shared" si="231"/>
        <v/>
      </c>
      <c r="J368" s="7" t="str">
        <f t="shared" si="232"/>
        <v/>
      </c>
      <c r="K368" s="127" t="str">
        <f t="shared" si="233"/>
        <v/>
      </c>
      <c r="L368" s="127" t="str">
        <f>IF(NOT(ISERROR(VLOOKUP(B368,Deflatores!G$42:H$64,2,FALSE))),VLOOKUP(B368,Deflatores!G$42:H$64,2,FALSE),IF(OR(ISBLANK(C368),ISBLANK(B368)),"",VLOOKUP(C368,Deflatores!G$4:H$38,2,FALSE)*H368+VLOOKUP(C368,Deflatores!G$4:I$38,3,FALSE)))</f>
        <v/>
      </c>
      <c r="M368" s="10"/>
      <c r="N368" s="10"/>
      <c r="O368" s="6"/>
    </row>
    <row r="369" spans="1:15" x14ac:dyDescent="0.25">
      <c r="A369" s="181" t="s">
        <v>347</v>
      </c>
      <c r="B369" s="4"/>
      <c r="C369" s="4"/>
      <c r="D369" s="7"/>
      <c r="E369" s="7"/>
      <c r="F369" s="116" t="str">
        <f t="shared" si="228"/>
        <v/>
      </c>
      <c r="G369" s="7" t="str">
        <f t="shared" si="229"/>
        <v/>
      </c>
      <c r="H369" s="7" t="str">
        <f t="shared" si="230"/>
        <v/>
      </c>
      <c r="I369" s="116" t="str">
        <f t="shared" si="231"/>
        <v/>
      </c>
      <c r="J369" s="7" t="str">
        <f t="shared" si="232"/>
        <v/>
      </c>
      <c r="K369" s="127" t="str">
        <f t="shared" si="233"/>
        <v/>
      </c>
      <c r="L369" s="127" t="str">
        <f>IF(NOT(ISERROR(VLOOKUP(B369,Deflatores!G$42:H$64,2,FALSE))),VLOOKUP(B369,Deflatores!G$42:H$64,2,FALSE),IF(OR(ISBLANK(C369),ISBLANK(B369)),"",VLOOKUP(C369,Deflatores!G$4:H$38,2,FALSE)*H369+VLOOKUP(C369,Deflatores!G$4:I$38,3,FALSE)))</f>
        <v/>
      </c>
      <c r="M369" s="10"/>
      <c r="N369" s="10"/>
      <c r="O369" s="6"/>
    </row>
    <row r="370" spans="1:15" ht="14.25" customHeight="1" x14ac:dyDescent="0.25">
      <c r="A370" s="179" t="s">
        <v>348</v>
      </c>
      <c r="B370" s="4" t="s">
        <v>181</v>
      </c>
      <c r="C370" s="4" t="s">
        <v>50</v>
      </c>
      <c r="D370" s="7">
        <v>23</v>
      </c>
      <c r="E370" s="7">
        <v>5</v>
      </c>
      <c r="F370" s="116" t="str">
        <f t="shared" si="228"/>
        <v>Alta</v>
      </c>
      <c r="G370" s="7" t="str">
        <f t="shared" si="229"/>
        <v>SEH</v>
      </c>
      <c r="H370" s="7">
        <f t="shared" si="230"/>
        <v>7</v>
      </c>
      <c r="I370" s="116" t="str">
        <f t="shared" si="231"/>
        <v>H</v>
      </c>
      <c r="J370" s="7" t="str">
        <f t="shared" si="232"/>
        <v>SEI</v>
      </c>
      <c r="K370" s="127">
        <f t="shared" si="233"/>
        <v>7</v>
      </c>
      <c r="L370" s="127">
        <f>IF(NOT(ISERROR(VLOOKUP(B370,Deflatores!G$42:H$64,2,FALSE))),VLOOKUP(B370,Deflatores!G$42:H$64,2,FALSE),IF(OR(ISBLANK(C370),ISBLANK(B370)),"",VLOOKUP(C370,Deflatores!G$4:H$38,2,FALSE)*H370+VLOOKUP(C370,Deflatores!G$4:I$38,3,FALSE)))</f>
        <v>7</v>
      </c>
      <c r="M370" s="10"/>
      <c r="N370" s="10"/>
      <c r="O370" s="6"/>
    </row>
    <row r="371" spans="1:15" x14ac:dyDescent="0.25">
      <c r="A371" s="179" t="s">
        <v>349</v>
      </c>
      <c r="B371" s="4" t="s">
        <v>181</v>
      </c>
      <c r="C371" s="4" t="s">
        <v>50</v>
      </c>
      <c r="D371" s="7">
        <v>23</v>
      </c>
      <c r="E371" s="7">
        <v>5</v>
      </c>
      <c r="F371" s="116" t="str">
        <f t="shared" ref="F371:F386" si="234">IF(ISBLANK(B371),"",IF(I371="L","Baixa",IF(I371="A","Média",IF(I371="","","Alta"))))</f>
        <v>Alta</v>
      </c>
      <c r="G371" s="7" t="str">
        <f t="shared" ref="G371:G386" si="235">CONCATENATE(B371,I371)</f>
        <v>SEH</v>
      </c>
      <c r="H371" s="7">
        <f t="shared" ref="H371:H386" si="236">IF(ISBLANK(B371),"",IF(B371="ALI",IF(I371="L",7,IF(I371="A",10,15)),IF(B371="AIE",IF(I371="L",5,IF(I371="A",7,10)),IF(B371="SE",IF(I371="L",4,IF(I371="A",5,7)),IF(OR(B371="EE",B371="CE"),IF(I371="L",3,IF(I371="A",4,6)),0)))))</f>
        <v>7</v>
      </c>
      <c r="I371" s="116" t="str">
        <f t="shared" ref="I371:I386" si="237">IF(OR(ISBLANK(D371),ISBLANK(E371)),IF(OR(B371="ALI",B371="AIE"),"L",IF(OR(B371="EE",B371="SE",B371="CE"),"A","")),IF(B371="EE",IF(E371&gt;=3,IF(D371&gt;=5,"H","A"),IF(E371&gt;=2,IF(D371&gt;=16,"H",IF(D371&lt;=4,"L","A")),IF(D371&lt;=15,"L","A"))),IF(OR(B371="SE",B371="CE"),IF(E371&gt;=4,IF(D371&gt;=6,"H","A"),IF(E371&gt;=2,IF(D371&gt;=20,"H",IF(D371&lt;=5,"L","A")),IF(D371&lt;=19,"L","A"))),IF(OR(B371="ALI",B371="AIE"),IF(E371&gt;=6,IF(D371&gt;=20,"H","A"),IF(E371&gt;=2,IF(D371&gt;=51,"H",IF(D371&lt;=19,"L","A")),IF(D371&lt;=50,"L","A"))),""))))</f>
        <v>H</v>
      </c>
      <c r="J371" s="7" t="str">
        <f t="shared" ref="J371:J386" si="238">CONCATENATE(B371,C371)</f>
        <v>SEI</v>
      </c>
      <c r="K371" s="127">
        <f t="shared" ref="K371:K386" si="239">IF(OR(H371="",H371=0),L371,H371)</f>
        <v>7</v>
      </c>
      <c r="L371" s="127">
        <f>IF(NOT(ISERROR(VLOOKUP(B371,Deflatores!G$42:H$64,2,FALSE))),VLOOKUP(B371,Deflatores!G$42:H$64,2,FALSE),IF(OR(ISBLANK(C371),ISBLANK(B371)),"",VLOOKUP(C371,Deflatores!G$4:H$38,2,FALSE)*H371+VLOOKUP(C371,Deflatores!G$4:I$38,3,FALSE)))</f>
        <v>7</v>
      </c>
      <c r="M371" s="10"/>
      <c r="N371" s="10"/>
      <c r="O371" s="6"/>
    </row>
    <row r="372" spans="1:15" x14ac:dyDescent="0.25">
      <c r="A372" s="179"/>
      <c r="B372" s="4"/>
      <c r="C372" s="4"/>
      <c r="D372" s="7"/>
      <c r="E372" s="7"/>
      <c r="F372" s="116" t="str">
        <f t="shared" si="234"/>
        <v/>
      </c>
      <c r="G372" s="7" t="str">
        <f t="shared" si="235"/>
        <v/>
      </c>
      <c r="H372" s="7" t="str">
        <f t="shared" si="236"/>
        <v/>
      </c>
      <c r="I372" s="116" t="str">
        <f t="shared" si="237"/>
        <v/>
      </c>
      <c r="J372" s="7" t="str">
        <f t="shared" si="238"/>
        <v/>
      </c>
      <c r="K372" s="127" t="str">
        <f t="shared" si="239"/>
        <v/>
      </c>
      <c r="L372" s="127" t="str">
        <f>IF(NOT(ISERROR(VLOOKUP(B372,Deflatores!G$42:H$64,2,FALSE))),VLOOKUP(B372,Deflatores!G$42:H$64,2,FALSE),IF(OR(ISBLANK(C372),ISBLANK(B372)),"",VLOOKUP(C372,Deflatores!G$4:H$38,2,FALSE)*H372+VLOOKUP(C372,Deflatores!G$4:I$38,3,FALSE)))</f>
        <v/>
      </c>
      <c r="M372" s="10"/>
      <c r="N372" s="10"/>
      <c r="O372" s="6"/>
    </row>
    <row r="373" spans="1:15" x14ac:dyDescent="0.25">
      <c r="A373" s="181" t="s">
        <v>350</v>
      </c>
      <c r="B373" s="4"/>
      <c r="C373" s="4"/>
      <c r="D373" s="7"/>
      <c r="E373" s="7"/>
      <c r="F373" s="116" t="str">
        <f t="shared" si="234"/>
        <v/>
      </c>
      <c r="G373" s="7" t="str">
        <f t="shared" si="235"/>
        <v/>
      </c>
      <c r="H373" s="7" t="str">
        <f t="shared" si="236"/>
        <v/>
      </c>
      <c r="I373" s="116" t="str">
        <f t="shared" si="237"/>
        <v/>
      </c>
      <c r="J373" s="7" t="str">
        <f t="shared" si="238"/>
        <v/>
      </c>
      <c r="K373" s="127" t="str">
        <f t="shared" si="239"/>
        <v/>
      </c>
      <c r="L373" s="127" t="str">
        <f>IF(NOT(ISERROR(VLOOKUP(B373,Deflatores!G$42:H$64,2,FALSE))),VLOOKUP(B373,Deflatores!G$42:H$64,2,FALSE),IF(OR(ISBLANK(C373),ISBLANK(B373)),"",VLOOKUP(C373,Deflatores!G$4:H$38,2,FALSE)*H373+VLOOKUP(C373,Deflatores!G$4:I$38,3,FALSE)))</f>
        <v/>
      </c>
      <c r="M373" s="10"/>
      <c r="N373" s="10"/>
      <c r="O373" s="6"/>
    </row>
    <row r="374" spans="1:15" x14ac:dyDescent="0.25">
      <c r="A374" s="179" t="s">
        <v>351</v>
      </c>
      <c r="B374" s="4" t="s">
        <v>45</v>
      </c>
      <c r="C374" s="4" t="s">
        <v>50</v>
      </c>
      <c r="D374" s="7">
        <v>35</v>
      </c>
      <c r="E374" s="7">
        <v>10</v>
      </c>
      <c r="F374" s="116" t="str">
        <f t="shared" si="234"/>
        <v>Alta</v>
      </c>
      <c r="G374" s="7" t="str">
        <f t="shared" si="235"/>
        <v>EEH</v>
      </c>
      <c r="H374" s="7">
        <f t="shared" si="236"/>
        <v>6</v>
      </c>
      <c r="I374" s="116" t="str">
        <f t="shared" si="237"/>
        <v>H</v>
      </c>
      <c r="J374" s="7" t="str">
        <f t="shared" si="238"/>
        <v>EEI</v>
      </c>
      <c r="K374" s="127">
        <f t="shared" si="239"/>
        <v>6</v>
      </c>
      <c r="L374" s="127">
        <f>IF(NOT(ISERROR(VLOOKUP(B374,Deflatores!G$42:H$64,2,FALSE))),VLOOKUP(B374,Deflatores!G$42:H$64,2,FALSE),IF(OR(ISBLANK(C374),ISBLANK(B374)),"",VLOOKUP(C374,Deflatores!G$4:H$38,2,FALSE)*H374+VLOOKUP(C374,Deflatores!G$4:I$38,3,FALSE)))</f>
        <v>6</v>
      </c>
      <c r="M374" s="10"/>
      <c r="N374" s="10"/>
      <c r="O374" s="6"/>
    </row>
    <row r="375" spans="1:15" x14ac:dyDescent="0.25">
      <c r="A375" s="179"/>
      <c r="B375" s="4"/>
      <c r="C375" s="4"/>
      <c r="D375" s="7"/>
      <c r="E375" s="7"/>
      <c r="F375" s="116" t="str">
        <f t="shared" si="234"/>
        <v/>
      </c>
      <c r="G375" s="7" t="str">
        <f t="shared" si="235"/>
        <v/>
      </c>
      <c r="H375" s="7" t="str">
        <f t="shared" si="236"/>
        <v/>
      </c>
      <c r="I375" s="116" t="str">
        <f t="shared" si="237"/>
        <v/>
      </c>
      <c r="J375" s="7" t="str">
        <f t="shared" si="238"/>
        <v/>
      </c>
      <c r="K375" s="127" t="str">
        <f t="shared" si="239"/>
        <v/>
      </c>
      <c r="L375" s="127" t="s">
        <v>153</v>
      </c>
      <c r="M375" s="10"/>
      <c r="N375" s="10"/>
      <c r="O375" s="6"/>
    </row>
    <row r="376" spans="1:15" x14ac:dyDescent="0.25">
      <c r="A376" s="181" t="s">
        <v>484</v>
      </c>
      <c r="B376" s="4"/>
      <c r="C376" s="4"/>
      <c r="D376" s="7"/>
      <c r="E376" s="7"/>
      <c r="F376" s="116" t="str">
        <f t="shared" ref="F376:F377" si="240">IF(ISBLANK(B376),"",IF(I376="L","Baixa",IF(I376="A","Média",IF(I376="","","Alta"))))</f>
        <v/>
      </c>
      <c r="G376" s="7" t="str">
        <f t="shared" ref="G376:G377" si="241">CONCATENATE(B376,I376)</f>
        <v/>
      </c>
      <c r="H376" s="7" t="str">
        <f t="shared" ref="H376:H377" si="242">IF(ISBLANK(B376),"",IF(B376="ALI",IF(I376="L",7,IF(I376="A",10,15)),IF(B376="AIE",IF(I376="L",5,IF(I376="A",7,10)),IF(B376="SE",IF(I376="L",4,IF(I376="A",5,7)),IF(OR(B376="EE",B376="CE"),IF(I376="L",3,IF(I376="A",4,6)),0)))))</f>
        <v/>
      </c>
      <c r="I376" s="116" t="str">
        <f t="shared" ref="I376:I377" si="243">IF(OR(ISBLANK(D376),ISBLANK(E376)),IF(OR(B376="ALI",B376="AIE"),"L",IF(OR(B376="EE",B376="SE",B376="CE"),"A","")),IF(B376="EE",IF(E376&gt;=3,IF(D376&gt;=5,"H","A"),IF(E376&gt;=2,IF(D376&gt;=16,"H",IF(D376&lt;=4,"L","A")),IF(D376&lt;=15,"L","A"))),IF(OR(B376="SE",B376="CE"),IF(E376&gt;=4,IF(D376&gt;=6,"H","A"),IF(E376&gt;=2,IF(D376&gt;=20,"H",IF(D376&lt;=5,"L","A")),IF(D376&lt;=19,"L","A"))),IF(OR(B376="ALI",B376="AIE"),IF(E376&gt;=6,IF(D376&gt;=20,"H","A"),IF(E376&gt;=2,IF(D376&gt;=51,"H",IF(D376&lt;=19,"L","A")),IF(D376&lt;=50,"L","A"))),""))))</f>
        <v/>
      </c>
      <c r="J376" s="7" t="str">
        <f t="shared" ref="J376:J377" si="244">CONCATENATE(B376,C376)</f>
        <v/>
      </c>
      <c r="K376" s="127" t="str">
        <f t="shared" ref="K376:K377" si="245">IF(OR(H376="",H376=0),L376,H376)</f>
        <v/>
      </c>
      <c r="L376" s="127" t="str">
        <f>IF(NOT(ISERROR(VLOOKUP(B376,Deflatores!G$42:H$64,2,FALSE))),VLOOKUP(B376,Deflatores!G$42:H$64,2,FALSE),IF(OR(ISBLANK(C376),ISBLANK(B376)),"",VLOOKUP(C376,Deflatores!G$4:H$38,2,FALSE)*H376+VLOOKUP(C376,Deflatores!G$4:I$38,3,FALSE)))</f>
        <v/>
      </c>
      <c r="M376" s="10"/>
      <c r="N376" s="10"/>
      <c r="O376" s="6"/>
    </row>
    <row r="377" spans="1:15" x14ac:dyDescent="0.25">
      <c r="A377" s="179" t="s">
        <v>491</v>
      </c>
      <c r="B377" s="4" t="s">
        <v>45</v>
      </c>
      <c r="C377" s="4" t="s">
        <v>50</v>
      </c>
      <c r="D377" s="7">
        <v>35</v>
      </c>
      <c r="E377" s="7">
        <v>10</v>
      </c>
      <c r="F377" s="116" t="str">
        <f t="shared" si="240"/>
        <v>Alta</v>
      </c>
      <c r="G377" s="7" t="str">
        <f t="shared" si="241"/>
        <v>EEH</v>
      </c>
      <c r="H377" s="7">
        <f t="shared" si="242"/>
        <v>6</v>
      </c>
      <c r="I377" s="116" t="str">
        <f t="shared" si="243"/>
        <v>H</v>
      </c>
      <c r="J377" s="7" t="str">
        <f t="shared" si="244"/>
        <v>EEI</v>
      </c>
      <c r="K377" s="127">
        <f t="shared" si="245"/>
        <v>6</v>
      </c>
      <c r="L377" s="127">
        <f>IF(NOT(ISERROR(VLOOKUP(B377,Deflatores!G$42:H$64,2,FALSE))),VLOOKUP(B377,Deflatores!G$42:H$64,2,FALSE),IF(OR(ISBLANK(C377),ISBLANK(B377)),"",VLOOKUP(C377,Deflatores!G$4:H$38,2,FALSE)*H377+VLOOKUP(C377,Deflatores!G$4:I$38,3,FALSE)))</f>
        <v>6</v>
      </c>
      <c r="M377" s="10"/>
      <c r="N377" s="10"/>
      <c r="O377" s="6"/>
    </row>
    <row r="378" spans="1:15" ht="14.25" customHeight="1" x14ac:dyDescent="0.25">
      <c r="A378" s="179"/>
      <c r="B378" s="4"/>
      <c r="C378" s="4"/>
      <c r="D378" s="7"/>
      <c r="E378" s="7"/>
      <c r="F378" s="116" t="str">
        <f t="shared" si="234"/>
        <v/>
      </c>
      <c r="G378" s="7" t="str">
        <f t="shared" si="235"/>
        <v/>
      </c>
      <c r="H378" s="7" t="str">
        <f t="shared" si="236"/>
        <v/>
      </c>
      <c r="I378" s="116" t="str">
        <f t="shared" si="237"/>
        <v/>
      </c>
      <c r="J378" s="7" t="str">
        <f t="shared" si="238"/>
        <v/>
      </c>
      <c r="K378" s="127" t="str">
        <f t="shared" si="239"/>
        <v/>
      </c>
      <c r="L378" s="127" t="str">
        <f>IF(NOT(ISERROR(VLOOKUP(B378,Deflatores!G$42:H$64,2,FALSE))),VLOOKUP(B378,Deflatores!G$42:H$64,2,FALSE),IF(OR(ISBLANK(C378),ISBLANK(B378)),"",VLOOKUP(C378,Deflatores!G$4:H$38,2,FALSE)*H378+VLOOKUP(C378,Deflatores!G$4:I$38,3,FALSE)))</f>
        <v/>
      </c>
      <c r="M378" s="10"/>
      <c r="N378" s="10"/>
      <c r="O378" s="6"/>
    </row>
    <row r="379" spans="1:15" x14ac:dyDescent="0.25">
      <c r="A379" s="181" t="s">
        <v>493</v>
      </c>
      <c r="B379" s="4"/>
      <c r="C379" s="4"/>
      <c r="D379" s="7"/>
      <c r="E379" s="7"/>
      <c r="F379" s="116" t="str">
        <f t="shared" si="234"/>
        <v/>
      </c>
      <c r="G379" s="7" t="str">
        <f t="shared" si="235"/>
        <v/>
      </c>
      <c r="H379" s="7" t="str">
        <f t="shared" si="236"/>
        <v/>
      </c>
      <c r="I379" s="116" t="str">
        <f t="shared" si="237"/>
        <v/>
      </c>
      <c r="J379" s="7" t="str">
        <f t="shared" si="238"/>
        <v/>
      </c>
      <c r="K379" s="127" t="str">
        <f t="shared" si="239"/>
        <v/>
      </c>
      <c r="L379" s="127" t="str">
        <f>IF(NOT(ISERROR(VLOOKUP(B379,Deflatores!G$42:H$64,2,FALSE))),VLOOKUP(B379,Deflatores!G$42:H$64,2,FALSE),IF(OR(ISBLANK(C379),ISBLANK(B379)),"",VLOOKUP(C379,Deflatores!G$4:H$38,2,FALSE)*H379+VLOOKUP(C379,Deflatores!G$4:I$38,3,FALSE)))</f>
        <v/>
      </c>
      <c r="M379" s="10"/>
      <c r="N379" s="10"/>
      <c r="O379" s="6"/>
    </row>
    <row r="380" spans="1:15" ht="14.25" customHeight="1" x14ac:dyDescent="0.25">
      <c r="A380" s="179" t="s">
        <v>492</v>
      </c>
      <c r="B380" s="4" t="s">
        <v>52</v>
      </c>
      <c r="C380" s="4" t="s">
        <v>50</v>
      </c>
      <c r="D380" s="7">
        <v>11</v>
      </c>
      <c r="E380" s="7">
        <v>4</v>
      </c>
      <c r="F380" s="116" t="str">
        <f t="shared" si="234"/>
        <v>Alta</v>
      </c>
      <c r="G380" s="7" t="str">
        <f t="shared" si="235"/>
        <v>CEH</v>
      </c>
      <c r="H380" s="7">
        <f t="shared" si="236"/>
        <v>6</v>
      </c>
      <c r="I380" s="116" t="str">
        <f t="shared" si="237"/>
        <v>H</v>
      </c>
      <c r="J380" s="7" t="str">
        <f t="shared" si="238"/>
        <v>CEI</v>
      </c>
      <c r="K380" s="127">
        <f t="shared" si="239"/>
        <v>6</v>
      </c>
      <c r="L380" s="127">
        <f>IF(NOT(ISERROR(VLOOKUP(B380,Deflatores!G$42:H$64,2,FALSE))),VLOOKUP(B380,Deflatores!G$42:H$64,2,FALSE),IF(OR(ISBLANK(C380),ISBLANK(B380)),"",VLOOKUP(C380,Deflatores!G$4:H$38,2,FALSE)*H380+VLOOKUP(C380,Deflatores!G$4:I$38,3,FALSE)))</f>
        <v>6</v>
      </c>
      <c r="M380" s="10"/>
      <c r="N380" s="10"/>
      <c r="O380" s="6"/>
    </row>
    <row r="381" spans="1:15" x14ac:dyDescent="0.25">
      <c r="A381" s="179" t="s">
        <v>501</v>
      </c>
      <c r="B381" s="4" t="s">
        <v>52</v>
      </c>
      <c r="C381" s="4" t="s">
        <v>50</v>
      </c>
      <c r="D381" s="7">
        <v>11</v>
      </c>
      <c r="E381" s="7">
        <v>4</v>
      </c>
      <c r="F381" s="116" t="str">
        <f t="shared" ref="F381:F382" si="246">IF(ISBLANK(B381),"",IF(I381="L","Baixa",IF(I381="A","Média",IF(I381="","","Alta"))))</f>
        <v>Alta</v>
      </c>
      <c r="G381" s="7" t="str">
        <f t="shared" ref="G381:G382" si="247">CONCATENATE(B381,I381)</f>
        <v>CEH</v>
      </c>
      <c r="H381" s="7">
        <f t="shared" ref="H381:H382" si="248">IF(ISBLANK(B381),"",IF(B381="ALI",IF(I381="L",7,IF(I381="A",10,15)),IF(B381="AIE",IF(I381="L",5,IF(I381="A",7,10)),IF(B381="SE",IF(I381="L",4,IF(I381="A",5,7)),IF(OR(B381="EE",B381="CE"),IF(I381="L",3,IF(I381="A",4,6)),0)))))</f>
        <v>6</v>
      </c>
      <c r="I381" s="116" t="str">
        <f t="shared" ref="I381:I382" si="249">IF(OR(ISBLANK(D381),ISBLANK(E381)),IF(OR(B381="ALI",B381="AIE"),"L",IF(OR(B381="EE",B381="SE",B381="CE"),"A","")),IF(B381="EE",IF(E381&gt;=3,IF(D381&gt;=5,"H","A"),IF(E381&gt;=2,IF(D381&gt;=16,"H",IF(D381&lt;=4,"L","A")),IF(D381&lt;=15,"L","A"))),IF(OR(B381="SE",B381="CE"),IF(E381&gt;=4,IF(D381&gt;=6,"H","A"),IF(E381&gt;=2,IF(D381&gt;=20,"H",IF(D381&lt;=5,"L","A")),IF(D381&lt;=19,"L","A"))),IF(OR(B381="ALI",B381="AIE"),IF(E381&gt;=6,IF(D381&gt;=20,"H","A"),IF(E381&gt;=2,IF(D381&gt;=51,"H",IF(D381&lt;=19,"L","A")),IF(D381&lt;=50,"L","A"))),""))))</f>
        <v>H</v>
      </c>
      <c r="J381" s="7" t="str">
        <f t="shared" ref="J381:J382" si="250">CONCATENATE(B381,C381)</f>
        <v>CEI</v>
      </c>
      <c r="K381" s="127">
        <f t="shared" ref="K381:K382" si="251">IF(OR(H381="",H381=0),L381,H381)</f>
        <v>6</v>
      </c>
      <c r="L381" s="127">
        <f>IF(NOT(ISERROR(VLOOKUP(B381,Deflatores!G$42:H$64,2,FALSE))),VLOOKUP(B381,Deflatores!G$42:H$64,2,FALSE),IF(OR(ISBLANK(C381),ISBLANK(B381)),"",VLOOKUP(C381,Deflatores!G$4:H$38,2,FALSE)*H381+VLOOKUP(C381,Deflatores!G$4:I$38,3,FALSE)))</f>
        <v>6</v>
      </c>
      <c r="M381" s="10"/>
      <c r="N381" s="10"/>
      <c r="O381" s="6"/>
    </row>
    <row r="382" spans="1:15" ht="14.25" customHeight="1" x14ac:dyDescent="0.25">
      <c r="A382" s="179" t="s">
        <v>503</v>
      </c>
      <c r="B382" s="4" t="s">
        <v>45</v>
      </c>
      <c r="C382" s="4" t="s">
        <v>50</v>
      </c>
      <c r="D382" s="7">
        <v>3</v>
      </c>
      <c r="E382" s="7">
        <v>2</v>
      </c>
      <c r="F382" s="116" t="str">
        <f t="shared" si="246"/>
        <v>Baixa</v>
      </c>
      <c r="G382" s="7" t="str">
        <f t="shared" si="247"/>
        <v>EEL</v>
      </c>
      <c r="H382" s="7">
        <f t="shared" si="248"/>
        <v>3</v>
      </c>
      <c r="I382" s="116" t="str">
        <f t="shared" si="249"/>
        <v>L</v>
      </c>
      <c r="J382" s="7" t="str">
        <f t="shared" si="250"/>
        <v>EEI</v>
      </c>
      <c r="K382" s="127">
        <f t="shared" si="251"/>
        <v>3</v>
      </c>
      <c r="L382" s="127">
        <f>IF(NOT(ISERROR(VLOOKUP(B382,Deflatores!G$42:H$64,2,FALSE))),VLOOKUP(B382,Deflatores!G$42:H$64,2,FALSE),IF(OR(ISBLANK(C382),ISBLANK(B382)),"",VLOOKUP(C382,Deflatores!G$4:H$38,2,FALSE)*H382+VLOOKUP(C382,Deflatores!G$4:I$38,3,FALSE)))</f>
        <v>3</v>
      </c>
      <c r="M382" s="10"/>
      <c r="N382" s="10"/>
      <c r="O382" s="6"/>
    </row>
    <row r="383" spans="1:15" ht="14.25" customHeight="1" x14ac:dyDescent="0.25">
      <c r="A383" s="179"/>
      <c r="B383" s="4"/>
      <c r="C383" s="4"/>
      <c r="D383" s="7"/>
      <c r="E383" s="7"/>
      <c r="F383" s="116" t="str">
        <f t="shared" si="234"/>
        <v/>
      </c>
      <c r="G383" s="7" t="str">
        <f t="shared" si="235"/>
        <v/>
      </c>
      <c r="H383" s="7" t="str">
        <f t="shared" si="236"/>
        <v/>
      </c>
      <c r="I383" s="116" t="str">
        <f t="shared" si="237"/>
        <v/>
      </c>
      <c r="J383" s="7" t="str">
        <f t="shared" si="238"/>
        <v/>
      </c>
      <c r="K383" s="127" t="str">
        <f t="shared" si="239"/>
        <v/>
      </c>
      <c r="L383" s="127" t="str">
        <f>IF(NOT(ISERROR(VLOOKUP(B383,Deflatores!G$42:H$64,2,FALSE))),VLOOKUP(B383,Deflatores!G$42:H$64,2,FALSE),IF(OR(ISBLANK(C383),ISBLANK(B383)),"",VLOOKUP(C383,Deflatores!G$4:H$38,2,FALSE)*H383+VLOOKUP(C383,Deflatores!G$4:I$38,3,FALSE)))</f>
        <v/>
      </c>
      <c r="M383" s="10"/>
      <c r="N383" s="10"/>
      <c r="O383" s="6"/>
    </row>
    <row r="384" spans="1:15" ht="14.25" customHeight="1" x14ac:dyDescent="0.25">
      <c r="A384" s="181" t="s">
        <v>507</v>
      </c>
      <c r="B384" s="4"/>
      <c r="C384" s="4"/>
      <c r="D384" s="7"/>
      <c r="E384" s="7"/>
      <c r="F384" s="116" t="str">
        <f t="shared" si="234"/>
        <v/>
      </c>
      <c r="G384" s="7" t="str">
        <f t="shared" si="235"/>
        <v/>
      </c>
      <c r="H384" s="7" t="str">
        <f t="shared" si="236"/>
        <v/>
      </c>
      <c r="I384" s="116" t="str">
        <f t="shared" si="237"/>
        <v/>
      </c>
      <c r="J384" s="7" t="str">
        <f t="shared" si="238"/>
        <v/>
      </c>
      <c r="K384" s="127" t="str">
        <f t="shared" si="239"/>
        <v/>
      </c>
      <c r="L384" s="127" t="str">
        <f>IF(NOT(ISERROR(VLOOKUP(B384,Deflatores!G$42:H$64,2,FALSE))),VLOOKUP(B384,Deflatores!G$42:H$64,2,FALSE),IF(OR(ISBLANK(C384),ISBLANK(B384)),"",VLOOKUP(C384,Deflatores!G$4:H$38,2,FALSE)*H384+VLOOKUP(C384,Deflatores!G$4:I$38,3,FALSE)))</f>
        <v/>
      </c>
      <c r="M384" s="10"/>
      <c r="N384" s="10"/>
      <c r="O384" s="6"/>
    </row>
    <row r="385" spans="1:15" ht="14.25" customHeight="1" x14ac:dyDescent="0.25">
      <c r="A385" s="179" t="s">
        <v>510</v>
      </c>
      <c r="B385" s="4" t="s">
        <v>52</v>
      </c>
      <c r="C385" s="4" t="s">
        <v>50</v>
      </c>
      <c r="D385" s="7">
        <v>16</v>
      </c>
      <c r="E385" s="7">
        <v>4</v>
      </c>
      <c r="F385" s="116" t="str">
        <f t="shared" si="234"/>
        <v>Alta</v>
      </c>
      <c r="G385" s="7" t="str">
        <f t="shared" si="235"/>
        <v>CEH</v>
      </c>
      <c r="H385" s="7">
        <f t="shared" si="236"/>
        <v>6</v>
      </c>
      <c r="I385" s="116" t="str">
        <f t="shared" si="237"/>
        <v>H</v>
      </c>
      <c r="J385" s="7" t="str">
        <f t="shared" si="238"/>
        <v>CEI</v>
      </c>
      <c r="K385" s="127">
        <f t="shared" si="239"/>
        <v>6</v>
      </c>
      <c r="L385" s="127">
        <f>IF(NOT(ISERROR(VLOOKUP(B385,Deflatores!G$42:H$64,2,FALSE))),VLOOKUP(B385,Deflatores!G$42:H$64,2,FALSE),IF(OR(ISBLANK(C385),ISBLANK(B385)),"",VLOOKUP(C385,Deflatores!G$4:H$38,2,FALSE)*H385+VLOOKUP(C385,Deflatores!G$4:I$38,3,FALSE)))</f>
        <v>6</v>
      </c>
      <c r="M385" s="10"/>
      <c r="N385" s="10"/>
      <c r="O385" s="6"/>
    </row>
    <row r="386" spans="1:15" x14ac:dyDescent="0.25">
      <c r="A386" s="179" t="s">
        <v>512</v>
      </c>
      <c r="B386" s="4" t="s">
        <v>45</v>
      </c>
      <c r="C386" s="4" t="s">
        <v>50</v>
      </c>
      <c r="D386" s="7">
        <v>9</v>
      </c>
      <c r="E386" s="7">
        <v>4</v>
      </c>
      <c r="F386" s="116" t="str">
        <f t="shared" si="234"/>
        <v>Alta</v>
      </c>
      <c r="G386" s="7" t="str">
        <f t="shared" si="235"/>
        <v>EEH</v>
      </c>
      <c r="H386" s="7">
        <f t="shared" si="236"/>
        <v>6</v>
      </c>
      <c r="I386" s="116" t="str">
        <f t="shared" si="237"/>
        <v>H</v>
      </c>
      <c r="J386" s="7" t="str">
        <f t="shared" si="238"/>
        <v>EEI</v>
      </c>
      <c r="K386" s="127">
        <f t="shared" si="239"/>
        <v>6</v>
      </c>
      <c r="L386" s="127">
        <f>IF(NOT(ISERROR(VLOOKUP(B386,Deflatores!G$42:H$64,2,FALSE))),VLOOKUP(B386,Deflatores!G$42:H$64,2,FALSE),IF(OR(ISBLANK(C386),ISBLANK(B386)),"",VLOOKUP(C386,Deflatores!G$4:H$38,2,FALSE)*H386+VLOOKUP(C386,Deflatores!G$4:I$38,3,FALSE)))</f>
        <v>6</v>
      </c>
      <c r="M386" s="10"/>
      <c r="N386" s="10"/>
      <c r="O386" s="6"/>
    </row>
    <row r="387" spans="1:15" x14ac:dyDescent="0.25">
      <c r="A387" s="179"/>
      <c r="B387" s="4"/>
      <c r="C387" s="4"/>
      <c r="D387" s="7"/>
      <c r="E387" s="7"/>
      <c r="F387" s="116" t="str">
        <f t="shared" si="228"/>
        <v/>
      </c>
      <c r="G387" s="7" t="str">
        <f t="shared" si="229"/>
        <v/>
      </c>
      <c r="H387" s="7" t="str">
        <f t="shared" si="230"/>
        <v/>
      </c>
      <c r="I387" s="116" t="str">
        <f t="shared" si="231"/>
        <v/>
      </c>
      <c r="J387" s="7" t="str">
        <f t="shared" si="232"/>
        <v/>
      </c>
      <c r="K387" s="127" t="str">
        <f t="shared" si="233"/>
        <v/>
      </c>
      <c r="L387" s="127" t="str">
        <f>IF(NOT(ISERROR(VLOOKUP(B387,Deflatores!G$42:H$64,2,FALSE))),VLOOKUP(B387,Deflatores!G$42:H$64,2,FALSE),IF(OR(ISBLANK(C387),ISBLANK(B387)),"",VLOOKUP(C387,Deflatores!G$4:H$38,2,FALSE)*H387+VLOOKUP(C387,Deflatores!G$4:I$38,3,FALSE)))</f>
        <v/>
      </c>
      <c r="M387" s="10"/>
      <c r="N387" s="10"/>
      <c r="O387" s="6"/>
    </row>
    <row r="388" spans="1:15" x14ac:dyDescent="0.25">
      <c r="A388" s="181" t="s">
        <v>513</v>
      </c>
      <c r="B388" s="4"/>
      <c r="C388" s="4"/>
      <c r="D388" s="7"/>
      <c r="E388" s="7"/>
      <c r="F388" s="116" t="str">
        <f t="shared" si="228"/>
        <v/>
      </c>
      <c r="G388" s="7" t="str">
        <f t="shared" si="229"/>
        <v/>
      </c>
      <c r="H388" s="7" t="str">
        <f t="shared" si="230"/>
        <v/>
      </c>
      <c r="I388" s="116" t="str">
        <f t="shared" si="231"/>
        <v/>
      </c>
      <c r="J388" s="7" t="str">
        <f t="shared" si="232"/>
        <v/>
      </c>
      <c r="K388" s="127" t="str">
        <f t="shared" si="233"/>
        <v/>
      </c>
      <c r="L388" s="127" t="str">
        <f>IF(NOT(ISERROR(VLOOKUP(B388,Deflatores!G$42:H$64,2,FALSE))),VLOOKUP(B388,Deflatores!G$42:H$64,2,FALSE),IF(OR(ISBLANK(C388),ISBLANK(B388)),"",VLOOKUP(C388,Deflatores!G$4:H$38,2,FALSE)*H388+VLOOKUP(C388,Deflatores!G$4:I$38,3,FALSE)))</f>
        <v/>
      </c>
      <c r="M388" s="10"/>
      <c r="N388" s="10"/>
      <c r="O388" s="6"/>
    </row>
    <row r="389" spans="1:15" x14ac:dyDescent="0.25">
      <c r="A389" s="179" t="s">
        <v>514</v>
      </c>
      <c r="B389" s="4" t="s">
        <v>181</v>
      </c>
      <c r="C389" s="4" t="s">
        <v>50</v>
      </c>
      <c r="D389" s="7">
        <v>19</v>
      </c>
      <c r="E389" s="7">
        <v>4</v>
      </c>
      <c r="F389" s="116" t="str">
        <f t="shared" si="228"/>
        <v>Alta</v>
      </c>
      <c r="G389" s="7" t="str">
        <f t="shared" si="229"/>
        <v>SEH</v>
      </c>
      <c r="H389" s="7">
        <f t="shared" si="230"/>
        <v>7</v>
      </c>
      <c r="I389" s="116" t="str">
        <f t="shared" si="231"/>
        <v>H</v>
      </c>
      <c r="J389" s="7" t="str">
        <f t="shared" si="232"/>
        <v>SEI</v>
      </c>
      <c r="K389" s="127">
        <f t="shared" si="233"/>
        <v>7</v>
      </c>
      <c r="L389" s="127">
        <f>IF(NOT(ISERROR(VLOOKUP(B389,Deflatores!G$42:H$64,2,FALSE))),VLOOKUP(B389,Deflatores!G$42:H$64,2,FALSE),IF(OR(ISBLANK(C389),ISBLANK(B389)),"",VLOOKUP(C389,Deflatores!G$4:H$38,2,FALSE)*H389+VLOOKUP(C389,Deflatores!G$4:I$38,3,FALSE)))</f>
        <v>7</v>
      </c>
      <c r="M389" s="10"/>
      <c r="N389" s="10"/>
      <c r="O389" s="6"/>
    </row>
    <row r="390" spans="1:15" ht="14.25" customHeight="1" x14ac:dyDescent="0.25">
      <c r="A390" s="179" t="s">
        <v>515</v>
      </c>
      <c r="B390" s="4" t="s">
        <v>52</v>
      </c>
      <c r="C390" s="4" t="s">
        <v>50</v>
      </c>
      <c r="D390" s="7">
        <v>12</v>
      </c>
      <c r="E390" s="7">
        <v>4</v>
      </c>
      <c r="F390" s="116" t="str">
        <f t="shared" si="228"/>
        <v>Alta</v>
      </c>
      <c r="G390" s="7" t="str">
        <f t="shared" si="229"/>
        <v>CEH</v>
      </c>
      <c r="H390" s="7">
        <f t="shared" si="230"/>
        <v>6</v>
      </c>
      <c r="I390" s="116" t="str">
        <f t="shared" si="231"/>
        <v>H</v>
      </c>
      <c r="J390" s="7" t="str">
        <f t="shared" si="232"/>
        <v>CEI</v>
      </c>
      <c r="K390" s="127">
        <f t="shared" si="233"/>
        <v>6</v>
      </c>
      <c r="L390" s="127">
        <f>IF(NOT(ISERROR(VLOOKUP(B390,Deflatores!G$42:H$64,2,FALSE))),VLOOKUP(B390,Deflatores!G$42:H$64,2,FALSE),IF(OR(ISBLANK(C390),ISBLANK(B390)),"",VLOOKUP(C390,Deflatores!G$4:H$38,2,FALSE)*H390+VLOOKUP(C390,Deflatores!G$4:I$38,3,FALSE)))</f>
        <v>6</v>
      </c>
      <c r="M390" s="10"/>
      <c r="N390" s="10"/>
      <c r="O390" s="6"/>
    </row>
    <row r="391" spans="1:15" ht="14.25" customHeight="1" x14ac:dyDescent="0.25">
      <c r="A391" s="179" t="s">
        <v>519</v>
      </c>
      <c r="B391" s="4" t="s">
        <v>52</v>
      </c>
      <c r="C391" s="4" t="s">
        <v>50</v>
      </c>
      <c r="D391" s="7">
        <v>14</v>
      </c>
      <c r="E391" s="7">
        <v>4</v>
      </c>
      <c r="F391" s="116" t="str">
        <f t="shared" ref="F391" si="252">IF(ISBLANK(B391),"",IF(I391="L","Baixa",IF(I391="A","Média",IF(I391="","","Alta"))))</f>
        <v>Alta</v>
      </c>
      <c r="G391" s="7" t="str">
        <f t="shared" ref="G391" si="253">CONCATENATE(B391,I391)</f>
        <v>CEH</v>
      </c>
      <c r="H391" s="7">
        <f t="shared" ref="H391" si="254">IF(ISBLANK(B391),"",IF(B391="ALI",IF(I391="L",7,IF(I391="A",10,15)),IF(B391="AIE",IF(I391="L",5,IF(I391="A",7,10)),IF(B391="SE",IF(I391="L",4,IF(I391="A",5,7)),IF(OR(B391="EE",B391="CE"),IF(I391="L",3,IF(I391="A",4,6)),0)))))</f>
        <v>6</v>
      </c>
      <c r="I391" s="116" t="str">
        <f t="shared" ref="I391" si="255">IF(OR(ISBLANK(D391),ISBLANK(E391)),IF(OR(B391="ALI",B391="AIE"),"L",IF(OR(B391="EE",B391="SE",B391="CE"),"A","")),IF(B391="EE",IF(E391&gt;=3,IF(D391&gt;=5,"H","A"),IF(E391&gt;=2,IF(D391&gt;=16,"H",IF(D391&lt;=4,"L","A")),IF(D391&lt;=15,"L","A"))),IF(OR(B391="SE",B391="CE"),IF(E391&gt;=4,IF(D391&gt;=6,"H","A"),IF(E391&gt;=2,IF(D391&gt;=20,"H",IF(D391&lt;=5,"L","A")),IF(D391&lt;=19,"L","A"))),IF(OR(B391="ALI",B391="AIE"),IF(E391&gt;=6,IF(D391&gt;=20,"H","A"),IF(E391&gt;=2,IF(D391&gt;=51,"H",IF(D391&lt;=19,"L","A")),IF(D391&lt;=50,"L","A"))),""))))</f>
        <v>H</v>
      </c>
      <c r="J391" s="7" t="str">
        <f t="shared" ref="J391" si="256">CONCATENATE(B391,C391)</f>
        <v>CEI</v>
      </c>
      <c r="K391" s="127">
        <f t="shared" ref="K391" si="257">IF(OR(H391="",H391=0),L391,H391)</f>
        <v>6</v>
      </c>
      <c r="L391" s="127">
        <f>IF(NOT(ISERROR(VLOOKUP(B391,Deflatores!G$42:H$64,2,FALSE))),VLOOKUP(B391,Deflatores!G$42:H$64,2,FALSE),IF(OR(ISBLANK(C391),ISBLANK(B391)),"",VLOOKUP(C391,Deflatores!G$4:H$38,2,FALSE)*H391+VLOOKUP(C391,Deflatores!G$4:I$38,3,FALSE)))</f>
        <v>6</v>
      </c>
      <c r="M391" s="10"/>
      <c r="N391" s="10"/>
      <c r="O391" s="6"/>
    </row>
    <row r="392" spans="1:15" x14ac:dyDescent="0.25">
      <c r="A392" s="179" t="s">
        <v>516</v>
      </c>
      <c r="B392" s="4" t="s">
        <v>181</v>
      </c>
      <c r="C392" s="4" t="s">
        <v>50</v>
      </c>
      <c r="D392" s="7">
        <v>13</v>
      </c>
      <c r="E392" s="7">
        <v>4</v>
      </c>
      <c r="F392" s="116" t="str">
        <f t="shared" si="228"/>
        <v>Alta</v>
      </c>
      <c r="G392" s="7" t="str">
        <f t="shared" si="229"/>
        <v>SEH</v>
      </c>
      <c r="H392" s="7">
        <f t="shared" si="230"/>
        <v>7</v>
      </c>
      <c r="I392" s="116" t="str">
        <f t="shared" si="231"/>
        <v>H</v>
      </c>
      <c r="J392" s="7" t="str">
        <f t="shared" si="232"/>
        <v>SEI</v>
      </c>
      <c r="K392" s="127">
        <f t="shared" si="233"/>
        <v>7</v>
      </c>
      <c r="L392" s="127">
        <f>IF(NOT(ISERROR(VLOOKUP(B392,Deflatores!G$42:H$64,2,FALSE))),VLOOKUP(B392,Deflatores!G$42:H$64,2,FALSE),IF(OR(ISBLANK(C392),ISBLANK(B392)),"",VLOOKUP(C392,Deflatores!G$4:H$38,2,FALSE)*H392+VLOOKUP(C392,Deflatores!G$4:I$38,3,FALSE)))</f>
        <v>7</v>
      </c>
      <c r="M392" s="10"/>
      <c r="N392" s="10"/>
      <c r="O392" s="6"/>
    </row>
    <row r="393" spans="1:15" x14ac:dyDescent="0.25">
      <c r="A393" s="179" t="s">
        <v>517</v>
      </c>
      <c r="B393" s="4" t="s">
        <v>52</v>
      </c>
      <c r="C393" s="4" t="s">
        <v>50</v>
      </c>
      <c r="D393" s="7">
        <v>11</v>
      </c>
      <c r="E393" s="7">
        <v>4</v>
      </c>
      <c r="F393" s="116" t="str">
        <f t="shared" si="228"/>
        <v>Alta</v>
      </c>
      <c r="G393" s="7" t="str">
        <f t="shared" si="229"/>
        <v>CEH</v>
      </c>
      <c r="H393" s="7">
        <f t="shared" si="230"/>
        <v>6</v>
      </c>
      <c r="I393" s="116" t="str">
        <f t="shared" si="231"/>
        <v>H</v>
      </c>
      <c r="J393" s="7" t="str">
        <f t="shared" si="232"/>
        <v>CEI</v>
      </c>
      <c r="K393" s="127">
        <f t="shared" si="233"/>
        <v>6</v>
      </c>
      <c r="L393" s="127">
        <f>IF(NOT(ISERROR(VLOOKUP(B393,Deflatores!G$42:H$64,2,FALSE))),VLOOKUP(B393,Deflatores!G$42:H$64,2,FALSE),IF(OR(ISBLANK(C393),ISBLANK(B393)),"",VLOOKUP(C393,Deflatores!G$4:H$38,2,FALSE)*H393+VLOOKUP(C393,Deflatores!G$4:I$38,3,FALSE)))</f>
        <v>6</v>
      </c>
      <c r="M393" s="10"/>
      <c r="N393" s="10"/>
      <c r="O393" s="6"/>
    </row>
    <row r="394" spans="1:15" x14ac:dyDescent="0.25">
      <c r="A394" s="179" t="s">
        <v>520</v>
      </c>
      <c r="B394" s="4" t="s">
        <v>52</v>
      </c>
      <c r="C394" s="4" t="s">
        <v>50</v>
      </c>
      <c r="D394" s="7">
        <v>13</v>
      </c>
      <c r="E394" s="7">
        <v>4</v>
      </c>
      <c r="F394" s="116" t="str">
        <f t="shared" ref="F394" si="258">IF(ISBLANK(B394),"",IF(I394="L","Baixa",IF(I394="A","Média",IF(I394="","","Alta"))))</f>
        <v>Alta</v>
      </c>
      <c r="G394" s="7" t="str">
        <f t="shared" ref="G394" si="259">CONCATENATE(B394,I394)</f>
        <v>CEH</v>
      </c>
      <c r="H394" s="7">
        <f t="shared" ref="H394" si="260">IF(ISBLANK(B394),"",IF(B394="ALI",IF(I394="L",7,IF(I394="A",10,15)),IF(B394="AIE",IF(I394="L",5,IF(I394="A",7,10)),IF(B394="SE",IF(I394="L",4,IF(I394="A",5,7)),IF(OR(B394="EE",B394="CE"),IF(I394="L",3,IF(I394="A",4,6)),0)))))</f>
        <v>6</v>
      </c>
      <c r="I394" s="116" t="str">
        <f t="shared" ref="I394" si="261">IF(OR(ISBLANK(D394),ISBLANK(E394)),IF(OR(B394="ALI",B394="AIE"),"L",IF(OR(B394="EE",B394="SE",B394="CE"),"A","")),IF(B394="EE",IF(E394&gt;=3,IF(D394&gt;=5,"H","A"),IF(E394&gt;=2,IF(D394&gt;=16,"H",IF(D394&lt;=4,"L","A")),IF(D394&lt;=15,"L","A"))),IF(OR(B394="SE",B394="CE"),IF(E394&gt;=4,IF(D394&gt;=6,"H","A"),IF(E394&gt;=2,IF(D394&gt;=20,"H",IF(D394&lt;=5,"L","A")),IF(D394&lt;=19,"L","A"))),IF(OR(B394="ALI",B394="AIE"),IF(E394&gt;=6,IF(D394&gt;=20,"H","A"),IF(E394&gt;=2,IF(D394&gt;=51,"H",IF(D394&lt;=19,"L","A")),IF(D394&lt;=50,"L","A"))),""))))</f>
        <v>H</v>
      </c>
      <c r="J394" s="7" t="str">
        <f t="shared" ref="J394" si="262">CONCATENATE(B394,C394)</f>
        <v>CEI</v>
      </c>
      <c r="K394" s="127">
        <f t="shared" ref="K394" si="263">IF(OR(H394="",H394=0),L394,H394)</f>
        <v>6</v>
      </c>
      <c r="L394" s="127">
        <f>IF(NOT(ISERROR(VLOOKUP(B394,Deflatores!G$42:H$64,2,FALSE))),VLOOKUP(B394,Deflatores!G$42:H$64,2,FALSE),IF(OR(ISBLANK(C394),ISBLANK(B394)),"",VLOOKUP(C394,Deflatores!G$4:H$38,2,FALSE)*H394+VLOOKUP(C394,Deflatores!G$4:I$38,3,FALSE)))</f>
        <v>6</v>
      </c>
      <c r="M394" s="10"/>
      <c r="N394" s="10"/>
      <c r="O394" s="6"/>
    </row>
    <row r="395" spans="1:15" x14ac:dyDescent="0.25">
      <c r="A395" s="179"/>
      <c r="B395" s="4"/>
      <c r="C395" s="4"/>
      <c r="D395" s="7"/>
      <c r="E395" s="7"/>
      <c r="F395" s="116" t="str">
        <f t="shared" si="228"/>
        <v/>
      </c>
      <c r="G395" s="7" t="str">
        <f t="shared" si="229"/>
        <v/>
      </c>
      <c r="H395" s="7" t="str">
        <f t="shared" si="230"/>
        <v/>
      </c>
      <c r="I395" s="116" t="str">
        <f t="shared" si="231"/>
        <v/>
      </c>
      <c r="J395" s="7" t="str">
        <f t="shared" si="232"/>
        <v/>
      </c>
      <c r="K395" s="127" t="str">
        <f t="shared" si="233"/>
        <v/>
      </c>
      <c r="L395" s="127" t="str">
        <f>IF(NOT(ISERROR(VLOOKUP(B395,Deflatores!G$42:H$64,2,FALSE))),VLOOKUP(B395,Deflatores!G$42:H$64,2,FALSE),IF(OR(ISBLANK(C395),ISBLANK(B395)),"",VLOOKUP(C395,Deflatores!G$4:H$38,2,FALSE)*H395+VLOOKUP(C395,Deflatores!G$4:I$38,3,FALSE)))</f>
        <v/>
      </c>
      <c r="M395" s="10"/>
      <c r="N395" s="10"/>
      <c r="O395" s="6"/>
    </row>
    <row r="396" spans="1:15" x14ac:dyDescent="0.25">
      <c r="A396" s="119"/>
      <c r="B396" s="4"/>
      <c r="C396" s="4"/>
      <c r="D396" s="7"/>
      <c r="E396" s="7"/>
      <c r="F396" s="116" t="str">
        <f t="shared" si="228"/>
        <v/>
      </c>
      <c r="G396" s="7" t="str">
        <f t="shared" si="229"/>
        <v/>
      </c>
      <c r="H396" s="7" t="str">
        <f t="shared" si="230"/>
        <v/>
      </c>
      <c r="I396" s="116" t="str">
        <f t="shared" si="231"/>
        <v/>
      </c>
      <c r="J396" s="7" t="str">
        <f t="shared" si="232"/>
        <v/>
      </c>
      <c r="K396" s="127" t="str">
        <f t="shared" si="233"/>
        <v/>
      </c>
      <c r="L396" s="127" t="str">
        <f>IF(NOT(ISERROR(VLOOKUP(B396,Deflatores!G$42:H$64,2,FALSE))),VLOOKUP(B396,Deflatores!G$42:H$64,2,FALSE),IF(OR(ISBLANK(C396),ISBLANK(B396)),"",VLOOKUP(C396,Deflatores!G$4:H$38,2,FALSE)*H396+VLOOKUP(C396,Deflatores!G$4:I$38,3,FALSE)))</f>
        <v/>
      </c>
      <c r="M396" s="10"/>
      <c r="N396" s="10"/>
      <c r="O396" s="6"/>
    </row>
    <row r="397" spans="1:15" x14ac:dyDescent="0.25">
      <c r="A397" s="119"/>
      <c r="B397" s="4"/>
      <c r="C397" s="4"/>
      <c r="D397" s="7"/>
      <c r="E397" s="7"/>
      <c r="F397" s="116" t="str">
        <f t="shared" si="228"/>
        <v/>
      </c>
      <c r="G397" s="7" t="str">
        <f t="shared" si="229"/>
        <v/>
      </c>
      <c r="H397" s="7" t="str">
        <f t="shared" si="230"/>
        <v/>
      </c>
      <c r="I397" s="116" t="str">
        <f t="shared" si="231"/>
        <v/>
      </c>
      <c r="J397" s="7" t="str">
        <f t="shared" si="232"/>
        <v/>
      </c>
      <c r="K397" s="127" t="str">
        <f t="shared" si="233"/>
        <v/>
      </c>
      <c r="L397" s="127" t="str">
        <f>IF(NOT(ISERROR(VLOOKUP(B397,Deflatores!G$42:H$64,2,FALSE))),VLOOKUP(B397,Deflatores!G$42:H$64,2,FALSE),IF(OR(ISBLANK(C397),ISBLANK(B397)),"",VLOOKUP(C397,Deflatores!G$4:H$38,2,FALSE)*H397+VLOOKUP(C397,Deflatores!G$4:I$38,3,FALSE)))</f>
        <v/>
      </c>
      <c r="M397" s="10"/>
      <c r="N397" s="10"/>
      <c r="O397" s="6"/>
    </row>
    <row r="398" spans="1:15" x14ac:dyDescent="0.25">
      <c r="A398" s="119"/>
      <c r="B398" s="4"/>
      <c r="C398" s="4"/>
      <c r="D398" s="7"/>
      <c r="E398" s="7"/>
      <c r="F398" s="116" t="str">
        <f t="shared" si="228"/>
        <v/>
      </c>
      <c r="G398" s="7" t="str">
        <f t="shared" si="229"/>
        <v/>
      </c>
      <c r="H398" s="7" t="str">
        <f t="shared" si="230"/>
        <v/>
      </c>
      <c r="I398" s="116" t="str">
        <f t="shared" si="231"/>
        <v/>
      </c>
      <c r="J398" s="7" t="str">
        <f t="shared" si="232"/>
        <v/>
      </c>
      <c r="K398" s="127" t="str">
        <f t="shared" si="233"/>
        <v/>
      </c>
      <c r="L398" s="127" t="str">
        <f>IF(NOT(ISERROR(VLOOKUP(B398,Deflatores!G$42:H$64,2,FALSE))),VLOOKUP(B398,Deflatores!G$42:H$64,2,FALSE),IF(OR(ISBLANK(C398),ISBLANK(B398)),"",VLOOKUP(C398,Deflatores!G$4:H$38,2,FALSE)*H398+VLOOKUP(C398,Deflatores!G$4:I$38,3,FALSE)))</f>
        <v/>
      </c>
      <c r="M398" s="10"/>
      <c r="N398" s="10"/>
      <c r="O398" s="6"/>
    </row>
    <row r="399" spans="1:15" x14ac:dyDescent="0.25">
      <c r="A399" s="119"/>
      <c r="B399" s="4"/>
      <c r="C399" s="4"/>
      <c r="D399" s="7"/>
      <c r="E399" s="7"/>
      <c r="F399" s="116" t="str">
        <f t="shared" si="228"/>
        <v/>
      </c>
      <c r="G399" s="7" t="str">
        <f t="shared" si="229"/>
        <v/>
      </c>
      <c r="H399" s="7" t="str">
        <f t="shared" si="230"/>
        <v/>
      </c>
      <c r="I399" s="116" t="str">
        <f t="shared" si="231"/>
        <v/>
      </c>
      <c r="J399" s="7" t="str">
        <f t="shared" si="232"/>
        <v/>
      </c>
      <c r="K399" s="127" t="str">
        <f t="shared" si="233"/>
        <v/>
      </c>
      <c r="L399" s="127" t="str">
        <f>IF(NOT(ISERROR(VLOOKUP(B399,Deflatores!G$42:H$64,2,FALSE))),VLOOKUP(B399,Deflatores!G$42:H$64,2,FALSE),IF(OR(ISBLANK(C399),ISBLANK(B399)),"",VLOOKUP(C399,Deflatores!G$4:H$38,2,FALSE)*H399+VLOOKUP(C399,Deflatores!G$4:I$38,3,FALSE)))</f>
        <v/>
      </c>
      <c r="M399" s="10"/>
      <c r="N399" s="10"/>
      <c r="O399" s="6"/>
    </row>
    <row r="400" spans="1:15" x14ac:dyDescent="0.25">
      <c r="A400" s="121"/>
      <c r="B400" s="4"/>
      <c r="C400" s="4"/>
      <c r="D400" s="7"/>
      <c r="E400" s="7"/>
      <c r="F400" s="116" t="str">
        <f t="shared" si="228"/>
        <v/>
      </c>
      <c r="G400" s="7" t="str">
        <f t="shared" si="229"/>
        <v/>
      </c>
      <c r="H400" s="7" t="str">
        <f t="shared" si="230"/>
        <v/>
      </c>
      <c r="I400" s="116" t="str">
        <f t="shared" si="231"/>
        <v/>
      </c>
      <c r="J400" s="7" t="str">
        <f t="shared" si="232"/>
        <v/>
      </c>
      <c r="K400" s="127" t="str">
        <f t="shared" si="233"/>
        <v/>
      </c>
      <c r="L400" s="127" t="str">
        <f>IF(NOT(ISERROR(VLOOKUP(B400,Deflatores!G$42:H$64,2,FALSE))),VLOOKUP(B400,Deflatores!G$42:H$64,2,FALSE),IF(OR(ISBLANK(C400),ISBLANK(B400)),"",VLOOKUP(C400,Deflatores!G$4:H$38,2,FALSE)*H400+VLOOKUP(C400,Deflatores!G$4:I$38,3,FALSE)))</f>
        <v/>
      </c>
      <c r="M400" s="10"/>
      <c r="N400" s="10"/>
      <c r="O400" s="6"/>
    </row>
    <row r="401" spans="1:15" x14ac:dyDescent="0.25">
      <c r="A401" s="119"/>
      <c r="B401" s="4"/>
      <c r="C401" s="4"/>
      <c r="D401" s="7"/>
      <c r="E401" s="7"/>
      <c r="F401" s="116" t="str">
        <f t="shared" si="228"/>
        <v/>
      </c>
      <c r="G401" s="7" t="str">
        <f t="shared" si="229"/>
        <v/>
      </c>
      <c r="H401" s="7" t="str">
        <f t="shared" si="230"/>
        <v/>
      </c>
      <c r="I401" s="116" t="str">
        <f t="shared" si="231"/>
        <v/>
      </c>
      <c r="J401" s="7" t="str">
        <f t="shared" si="232"/>
        <v/>
      </c>
      <c r="K401" s="127" t="str">
        <f t="shared" si="233"/>
        <v/>
      </c>
      <c r="L401" s="127" t="str">
        <f>IF(NOT(ISERROR(VLOOKUP(B401,Deflatores!G$42:H$64,2,FALSE))),VLOOKUP(B401,Deflatores!G$42:H$64,2,FALSE),IF(OR(ISBLANK(C401),ISBLANK(B401)),"",VLOOKUP(C401,Deflatores!G$4:H$38,2,FALSE)*H401+VLOOKUP(C401,Deflatores!G$4:I$38,3,FALSE)))</f>
        <v/>
      </c>
      <c r="M401" s="10"/>
      <c r="N401" s="10"/>
      <c r="O401" s="6"/>
    </row>
    <row r="402" spans="1:15" x14ac:dyDescent="0.25">
      <c r="A402" s="119"/>
      <c r="B402" s="4"/>
      <c r="C402" s="4"/>
      <c r="D402" s="7"/>
      <c r="E402" s="7"/>
      <c r="F402" s="116" t="str">
        <f t="shared" si="228"/>
        <v/>
      </c>
      <c r="G402" s="7" t="str">
        <f t="shared" si="229"/>
        <v/>
      </c>
      <c r="H402" s="7" t="str">
        <f t="shared" si="230"/>
        <v/>
      </c>
      <c r="I402" s="116" t="str">
        <f t="shared" si="231"/>
        <v/>
      </c>
      <c r="J402" s="7" t="str">
        <f t="shared" si="232"/>
        <v/>
      </c>
      <c r="K402" s="127" t="str">
        <f t="shared" si="233"/>
        <v/>
      </c>
      <c r="L402" s="127" t="str">
        <f>IF(NOT(ISERROR(VLOOKUP(B402,Deflatores!G$42:H$64,2,FALSE))),VLOOKUP(B402,Deflatores!G$42:H$64,2,FALSE),IF(OR(ISBLANK(C402),ISBLANK(B402)),"",VLOOKUP(C402,Deflatores!G$4:H$38,2,FALSE)*H402+VLOOKUP(C402,Deflatores!G$4:I$38,3,FALSE)))</f>
        <v/>
      </c>
      <c r="M402" s="10"/>
      <c r="N402" s="10"/>
      <c r="O402" s="6"/>
    </row>
    <row r="403" spans="1:15" x14ac:dyDescent="0.25">
      <c r="A403" s="119"/>
      <c r="B403" s="4"/>
      <c r="C403" s="4"/>
      <c r="D403" s="7"/>
      <c r="E403" s="7"/>
      <c r="F403" s="116" t="str">
        <f t="shared" si="228"/>
        <v/>
      </c>
      <c r="G403" s="7" t="str">
        <f t="shared" si="229"/>
        <v/>
      </c>
      <c r="H403" s="7" t="str">
        <f t="shared" si="230"/>
        <v/>
      </c>
      <c r="I403" s="116" t="str">
        <f t="shared" si="231"/>
        <v/>
      </c>
      <c r="J403" s="7" t="str">
        <f t="shared" si="232"/>
        <v/>
      </c>
      <c r="K403" s="127" t="str">
        <f t="shared" si="233"/>
        <v/>
      </c>
      <c r="L403" s="127" t="str">
        <f>IF(NOT(ISERROR(VLOOKUP(B403,Deflatores!G$42:H$64,2,FALSE))),VLOOKUP(B403,Deflatores!G$42:H$64,2,FALSE),IF(OR(ISBLANK(C403),ISBLANK(B403)),"",VLOOKUP(C403,Deflatores!G$4:H$38,2,FALSE)*H403+VLOOKUP(C403,Deflatores!G$4:I$38,3,FALSE)))</f>
        <v/>
      </c>
      <c r="M403" s="10"/>
      <c r="N403" s="10"/>
      <c r="O403" s="6"/>
    </row>
    <row r="404" spans="1:15" x14ac:dyDescent="0.25">
      <c r="A404" s="119"/>
      <c r="B404" s="4"/>
      <c r="C404" s="4"/>
      <c r="D404" s="7"/>
      <c r="E404" s="7"/>
      <c r="F404" s="116" t="str">
        <f t="shared" si="228"/>
        <v/>
      </c>
      <c r="G404" s="7" t="str">
        <f t="shared" si="229"/>
        <v/>
      </c>
      <c r="H404" s="7" t="str">
        <f t="shared" si="230"/>
        <v/>
      </c>
      <c r="I404" s="116" t="str">
        <f t="shared" si="231"/>
        <v/>
      </c>
      <c r="J404" s="7" t="str">
        <f t="shared" si="232"/>
        <v/>
      </c>
      <c r="K404" s="127" t="str">
        <f t="shared" si="233"/>
        <v/>
      </c>
      <c r="L404" s="127" t="str">
        <f>IF(NOT(ISERROR(VLOOKUP(B404,Deflatores!G$42:H$64,2,FALSE))),VLOOKUP(B404,Deflatores!G$42:H$64,2,FALSE),IF(OR(ISBLANK(C404),ISBLANK(B404)),"",VLOOKUP(C404,Deflatores!G$4:H$38,2,FALSE)*H404+VLOOKUP(C404,Deflatores!G$4:I$38,3,FALSE)))</f>
        <v/>
      </c>
      <c r="M404" s="10"/>
      <c r="N404" s="10"/>
      <c r="O404" s="6"/>
    </row>
    <row r="405" spans="1:15" x14ac:dyDescent="0.25">
      <c r="A405" s="119"/>
      <c r="B405" s="4"/>
      <c r="C405" s="4"/>
      <c r="D405" s="7"/>
      <c r="E405" s="7"/>
      <c r="F405" s="116" t="str">
        <f t="shared" si="228"/>
        <v/>
      </c>
      <c r="G405" s="7" t="str">
        <f t="shared" si="229"/>
        <v/>
      </c>
      <c r="H405" s="7" t="str">
        <f t="shared" si="230"/>
        <v/>
      </c>
      <c r="I405" s="116" t="str">
        <f t="shared" si="231"/>
        <v/>
      </c>
      <c r="J405" s="7" t="str">
        <f t="shared" si="232"/>
        <v/>
      </c>
      <c r="K405" s="127" t="str">
        <f t="shared" si="233"/>
        <v/>
      </c>
      <c r="L405" s="127" t="str">
        <f>IF(NOT(ISERROR(VLOOKUP(B405,Deflatores!G$42:H$64,2,FALSE))),VLOOKUP(B405,Deflatores!G$42:H$64,2,FALSE),IF(OR(ISBLANK(C405),ISBLANK(B405)),"",VLOOKUP(C405,Deflatores!G$4:H$38,2,FALSE)*H405+VLOOKUP(C405,Deflatores!G$4:I$38,3,FALSE)))</f>
        <v/>
      </c>
      <c r="M405" s="10"/>
      <c r="N405" s="10"/>
      <c r="O405" s="6"/>
    </row>
    <row r="406" spans="1:15" ht="13.5" customHeight="1" x14ac:dyDescent="0.25">
      <c r="A406" s="119"/>
      <c r="B406" s="4"/>
      <c r="C406" s="4"/>
      <c r="D406" s="7"/>
      <c r="E406" s="7"/>
      <c r="F406" s="116" t="str">
        <f t="shared" si="228"/>
        <v/>
      </c>
      <c r="G406" s="7" t="str">
        <f t="shared" si="229"/>
        <v/>
      </c>
      <c r="H406" s="7" t="str">
        <f t="shared" si="230"/>
        <v/>
      </c>
      <c r="I406" s="116" t="str">
        <f t="shared" si="231"/>
        <v/>
      </c>
      <c r="J406" s="7" t="str">
        <f t="shared" si="232"/>
        <v/>
      </c>
      <c r="K406" s="127" t="str">
        <f t="shared" si="233"/>
        <v/>
      </c>
      <c r="L406" s="127" t="str">
        <f>IF(NOT(ISERROR(VLOOKUP(B406,Deflatores!G$42:H$64,2,FALSE))),VLOOKUP(B406,Deflatores!G$42:H$64,2,FALSE),IF(OR(ISBLANK(C406),ISBLANK(B406)),"",VLOOKUP(C406,Deflatores!G$4:H$38,2,FALSE)*H406+VLOOKUP(C406,Deflatores!G$4:I$38,3,FALSE)))</f>
        <v/>
      </c>
      <c r="M406" s="10"/>
      <c r="N406" s="10"/>
      <c r="O406" s="6"/>
    </row>
    <row r="407" spans="1:15" ht="14.25" customHeight="1" x14ac:dyDescent="0.25">
      <c r="A407" s="119"/>
      <c r="B407" s="4"/>
      <c r="C407" s="4"/>
      <c r="D407" s="7"/>
      <c r="E407" s="7"/>
      <c r="F407" s="116" t="str">
        <f t="shared" si="228"/>
        <v/>
      </c>
      <c r="G407" s="7" t="str">
        <f t="shared" si="229"/>
        <v/>
      </c>
      <c r="H407" s="7" t="str">
        <f t="shared" si="230"/>
        <v/>
      </c>
      <c r="I407" s="116" t="str">
        <f t="shared" si="231"/>
        <v/>
      </c>
      <c r="J407" s="7" t="str">
        <f t="shared" si="232"/>
        <v/>
      </c>
      <c r="K407" s="127" t="str">
        <f t="shared" si="233"/>
        <v/>
      </c>
      <c r="L407" s="127" t="str">
        <f>IF(NOT(ISERROR(VLOOKUP(B407,Deflatores!G$42:H$64,2,FALSE))),VLOOKUP(B407,Deflatores!G$42:H$64,2,FALSE),IF(OR(ISBLANK(C407),ISBLANK(B407)),"",VLOOKUP(C407,Deflatores!G$4:H$38,2,FALSE)*H407+VLOOKUP(C407,Deflatores!G$4:I$38,3,FALSE)))</f>
        <v/>
      </c>
      <c r="M407" s="10"/>
      <c r="N407" s="10"/>
      <c r="O407" s="6"/>
    </row>
    <row r="408" spans="1:15" ht="15" customHeight="1" x14ac:dyDescent="0.25">
      <c r="A408" s="119"/>
      <c r="B408" s="4"/>
      <c r="C408" s="4"/>
      <c r="D408" s="7"/>
      <c r="E408" s="7"/>
      <c r="F408" s="116" t="str">
        <f t="shared" si="228"/>
        <v/>
      </c>
      <c r="G408" s="7" t="str">
        <f t="shared" si="229"/>
        <v/>
      </c>
      <c r="H408" s="7" t="str">
        <f t="shared" si="230"/>
        <v/>
      </c>
      <c r="I408" s="116" t="str">
        <f t="shared" si="231"/>
        <v/>
      </c>
      <c r="J408" s="7" t="str">
        <f t="shared" si="232"/>
        <v/>
      </c>
      <c r="K408" s="127" t="str">
        <f t="shared" si="233"/>
        <v/>
      </c>
      <c r="L408" s="127" t="str">
        <f>IF(NOT(ISERROR(VLOOKUP(B408,Deflatores!G$42:H$64,2,FALSE))),VLOOKUP(B408,Deflatores!G$42:H$64,2,FALSE),IF(OR(ISBLANK(C408),ISBLANK(B408)),"",VLOOKUP(C408,Deflatores!G$4:H$38,2,FALSE)*H408+VLOOKUP(C408,Deflatores!G$4:I$38,3,FALSE)))</f>
        <v/>
      </c>
      <c r="M408" s="10"/>
      <c r="N408" s="10"/>
      <c r="O408" s="6"/>
    </row>
    <row r="409" spans="1:15" x14ac:dyDescent="0.25">
      <c r="A409" s="119"/>
      <c r="B409" s="4"/>
      <c r="C409" s="4"/>
      <c r="D409" s="7"/>
      <c r="E409" s="7"/>
      <c r="F409" s="116" t="str">
        <f t="shared" si="228"/>
        <v/>
      </c>
      <c r="G409" s="7" t="str">
        <f t="shared" si="229"/>
        <v/>
      </c>
      <c r="H409" s="7" t="str">
        <f t="shared" si="230"/>
        <v/>
      </c>
      <c r="I409" s="116" t="str">
        <f t="shared" si="231"/>
        <v/>
      </c>
      <c r="J409" s="7" t="str">
        <f t="shared" si="232"/>
        <v/>
      </c>
      <c r="K409" s="127" t="str">
        <f t="shared" si="233"/>
        <v/>
      </c>
      <c r="L409" s="127" t="str">
        <f>IF(NOT(ISERROR(VLOOKUP(B409,Deflatores!G$42:H$64,2,FALSE))),VLOOKUP(B409,Deflatores!G$42:H$64,2,FALSE),IF(OR(ISBLANK(C409),ISBLANK(B409)),"",VLOOKUP(C409,Deflatores!G$4:H$38,2,FALSE)*H409+VLOOKUP(C409,Deflatores!G$4:I$38,3,FALSE)))</f>
        <v/>
      </c>
      <c r="M409" s="10"/>
      <c r="N409" s="10"/>
      <c r="O409" s="6"/>
    </row>
    <row r="410" spans="1:15" x14ac:dyDescent="0.25">
      <c r="A410" s="119"/>
      <c r="B410" s="4"/>
      <c r="C410" s="4"/>
      <c r="D410" s="7"/>
      <c r="E410" s="7"/>
      <c r="F410" s="116" t="str">
        <f t="shared" ref="F410:F415" si="264">IF(ISBLANK(B410),"",IF(I410="L","Baixa",IF(I410="A","Média",IF(I410="","","Alta"))))</f>
        <v/>
      </c>
      <c r="G410" s="7" t="str">
        <f t="shared" ref="G410:G415" si="265">CONCATENATE(B410,I410)</f>
        <v/>
      </c>
      <c r="H410" s="7" t="str">
        <f t="shared" ref="H410:H415" si="266">IF(ISBLANK(B410),"",IF(B410="ALI",IF(I410="L",7,IF(I410="A",10,15)),IF(B410="AIE",IF(I410="L",5,IF(I410="A",7,10)),IF(B410="SE",IF(I410="L",4,IF(I410="A",5,7)),IF(OR(B410="EE",B410="CE"),IF(I410="L",3,IF(I410="A",4,6)),0)))))</f>
        <v/>
      </c>
      <c r="I410" s="116" t="str">
        <f t="shared" ref="I410:I415" si="267">IF(OR(ISBLANK(D410),ISBLANK(E410)),IF(OR(B410="ALI",B410="AIE"),"L",IF(OR(B410="EE",B410="SE",B410="CE"),"A","")),IF(B410="EE",IF(E410&gt;=3,IF(D410&gt;=5,"H","A"),IF(E410&gt;=2,IF(D410&gt;=16,"H",IF(D410&lt;=4,"L","A")),IF(D410&lt;=15,"L","A"))),IF(OR(B410="SE",B410="CE"),IF(E410&gt;=4,IF(D410&gt;=6,"H","A"),IF(E410&gt;=2,IF(D410&gt;=20,"H",IF(D410&lt;=5,"L","A")),IF(D410&lt;=19,"L","A"))),IF(OR(B410="ALI",B410="AIE"),IF(E410&gt;=6,IF(D410&gt;=20,"H","A"),IF(E410&gt;=2,IF(D410&gt;=51,"H",IF(D410&lt;=19,"L","A")),IF(D410&lt;=50,"L","A"))),""))))</f>
        <v/>
      </c>
      <c r="J410" s="7" t="str">
        <f t="shared" ref="J410:J415" si="268">CONCATENATE(B410,C410)</f>
        <v/>
      </c>
      <c r="K410" s="127" t="str">
        <f t="shared" ref="K410:K415" si="269">IF(OR(H410="",H410=0),L410,H410)</f>
        <v/>
      </c>
      <c r="L410" s="127" t="str">
        <f>IF(NOT(ISERROR(VLOOKUP(B410,Deflatores!G$42:H$64,2,FALSE))),VLOOKUP(B410,Deflatores!G$42:H$64,2,FALSE),IF(OR(ISBLANK(C410),ISBLANK(B410)),"",VLOOKUP(C410,Deflatores!G$4:H$38,2,FALSE)*H410+VLOOKUP(C410,Deflatores!G$4:I$38,3,FALSE)))</f>
        <v/>
      </c>
      <c r="M410" s="10"/>
      <c r="N410" s="10"/>
      <c r="O410" s="6"/>
    </row>
    <row r="411" spans="1:15" x14ac:dyDescent="0.25">
      <c r="A411" s="119"/>
      <c r="B411" s="4"/>
      <c r="C411" s="4"/>
      <c r="D411" s="7"/>
      <c r="E411" s="7"/>
      <c r="F411" s="116" t="str">
        <f t="shared" si="264"/>
        <v/>
      </c>
      <c r="G411" s="7" t="str">
        <f t="shared" si="265"/>
        <v/>
      </c>
      <c r="H411" s="7" t="str">
        <f t="shared" si="266"/>
        <v/>
      </c>
      <c r="I411" s="116" t="str">
        <f t="shared" si="267"/>
        <v/>
      </c>
      <c r="J411" s="7" t="str">
        <f t="shared" si="268"/>
        <v/>
      </c>
      <c r="K411" s="127" t="str">
        <f t="shared" si="269"/>
        <v/>
      </c>
      <c r="L411" s="127" t="str">
        <f>IF(NOT(ISERROR(VLOOKUP(B411,Deflatores!G$42:H$64,2,FALSE))),VLOOKUP(B411,Deflatores!G$42:H$64,2,FALSE),IF(OR(ISBLANK(C411),ISBLANK(B411)),"",VLOOKUP(C411,Deflatores!G$4:H$38,2,FALSE)*H411+VLOOKUP(C411,Deflatores!G$4:I$38,3,FALSE)))</f>
        <v/>
      </c>
      <c r="M411" s="10"/>
      <c r="N411" s="10"/>
      <c r="O411" s="6"/>
    </row>
    <row r="412" spans="1:15" x14ac:dyDescent="0.25">
      <c r="A412" s="119"/>
      <c r="B412" s="4"/>
      <c r="C412" s="4"/>
      <c r="D412" s="7"/>
      <c r="E412" s="7"/>
      <c r="F412" s="116" t="str">
        <f t="shared" si="264"/>
        <v/>
      </c>
      <c r="G412" s="7" t="str">
        <f t="shared" si="265"/>
        <v/>
      </c>
      <c r="H412" s="7" t="str">
        <f t="shared" si="266"/>
        <v/>
      </c>
      <c r="I412" s="116" t="str">
        <f t="shared" si="267"/>
        <v/>
      </c>
      <c r="J412" s="7" t="str">
        <f t="shared" si="268"/>
        <v/>
      </c>
      <c r="K412" s="127" t="str">
        <f t="shared" si="269"/>
        <v/>
      </c>
      <c r="L412" s="127" t="str">
        <f>IF(NOT(ISERROR(VLOOKUP(B412,Deflatores!G$42:H$64,2,FALSE))),VLOOKUP(B412,Deflatores!G$42:H$64,2,FALSE),IF(OR(ISBLANK(C412),ISBLANK(B412)),"",VLOOKUP(C412,Deflatores!G$4:H$38,2,FALSE)*H412+VLOOKUP(C412,Deflatores!G$4:I$38,3,FALSE)))</f>
        <v/>
      </c>
      <c r="M412" s="10"/>
      <c r="N412" s="10"/>
      <c r="O412" s="6"/>
    </row>
    <row r="413" spans="1:15" x14ac:dyDescent="0.25">
      <c r="A413" s="119"/>
      <c r="B413" s="4"/>
      <c r="C413" s="4"/>
      <c r="D413" s="7"/>
      <c r="E413" s="7"/>
      <c r="F413" s="116" t="str">
        <f t="shared" si="264"/>
        <v/>
      </c>
      <c r="G413" s="7" t="str">
        <f t="shared" si="265"/>
        <v/>
      </c>
      <c r="H413" s="7" t="str">
        <f t="shared" si="266"/>
        <v/>
      </c>
      <c r="I413" s="116" t="str">
        <f t="shared" si="267"/>
        <v/>
      </c>
      <c r="J413" s="7" t="str">
        <f t="shared" si="268"/>
        <v/>
      </c>
      <c r="K413" s="127" t="str">
        <f t="shared" si="269"/>
        <v/>
      </c>
      <c r="L413" s="127" t="str">
        <f>IF(NOT(ISERROR(VLOOKUP(B413,Deflatores!G$42:H$64,2,FALSE))),VLOOKUP(B413,Deflatores!G$42:H$64,2,FALSE),IF(OR(ISBLANK(C413),ISBLANK(B413)),"",VLOOKUP(C413,Deflatores!G$4:H$38,2,FALSE)*H413+VLOOKUP(C413,Deflatores!G$4:I$38,3,FALSE)))</f>
        <v/>
      </c>
      <c r="M413" s="10"/>
      <c r="N413" s="10"/>
      <c r="O413" s="6"/>
    </row>
    <row r="414" spans="1:15" x14ac:dyDescent="0.25">
      <c r="A414" s="119"/>
      <c r="B414" s="4"/>
      <c r="C414" s="4"/>
      <c r="D414" s="7"/>
      <c r="E414" s="7"/>
      <c r="F414" s="116" t="str">
        <f t="shared" si="264"/>
        <v/>
      </c>
      <c r="G414" s="7" t="str">
        <f t="shared" si="265"/>
        <v/>
      </c>
      <c r="H414" s="7" t="str">
        <f t="shared" si="266"/>
        <v/>
      </c>
      <c r="I414" s="116" t="str">
        <f t="shared" si="267"/>
        <v/>
      </c>
      <c r="J414" s="7" t="str">
        <f t="shared" si="268"/>
        <v/>
      </c>
      <c r="K414" s="127" t="str">
        <f t="shared" si="269"/>
        <v/>
      </c>
      <c r="L414" s="127" t="str">
        <f>IF(NOT(ISERROR(VLOOKUP(B414,Deflatores!G$42:H$64,2,FALSE))),VLOOKUP(B414,Deflatores!G$42:H$64,2,FALSE),IF(OR(ISBLANK(C414),ISBLANK(B414)),"",VLOOKUP(C414,Deflatores!G$4:H$38,2,FALSE)*H414+VLOOKUP(C414,Deflatores!G$4:I$38,3,FALSE)))</f>
        <v/>
      </c>
      <c r="M414" s="10"/>
      <c r="N414" s="10"/>
      <c r="O414" s="6"/>
    </row>
    <row r="415" spans="1:15" x14ac:dyDescent="0.25">
      <c r="A415" s="119"/>
      <c r="B415" s="4"/>
      <c r="C415" s="4"/>
      <c r="D415" s="7"/>
      <c r="E415" s="7"/>
      <c r="F415" s="116" t="str">
        <f t="shared" si="264"/>
        <v/>
      </c>
      <c r="G415" s="7" t="str">
        <f t="shared" si="265"/>
        <v/>
      </c>
      <c r="H415" s="7" t="str">
        <f t="shared" si="266"/>
        <v/>
      </c>
      <c r="I415" s="116" t="str">
        <f t="shared" si="267"/>
        <v/>
      </c>
      <c r="J415" s="7" t="str">
        <f t="shared" si="268"/>
        <v/>
      </c>
      <c r="K415" s="127" t="str">
        <f t="shared" si="269"/>
        <v/>
      </c>
      <c r="L415" s="127" t="str">
        <f>IF(NOT(ISERROR(VLOOKUP(B415,Deflatores!G$42:H$64,2,FALSE))),VLOOKUP(B415,Deflatores!G$42:H$64,2,FALSE),IF(OR(ISBLANK(C415),ISBLANK(B415)),"",VLOOKUP(C415,Deflatores!G$4:H$38,2,FALSE)*H415+VLOOKUP(C415,Deflatores!G$4:I$38,3,FALSE)))</f>
        <v/>
      </c>
      <c r="M415" s="10"/>
      <c r="N415" s="10"/>
      <c r="O415" s="6"/>
    </row>
    <row r="416" spans="1:15" x14ac:dyDescent="0.25">
      <c r="A416" s="119"/>
      <c r="B416" s="4"/>
      <c r="C416" s="4"/>
      <c r="D416" s="7"/>
      <c r="E416" s="7"/>
      <c r="F416" s="116" t="str">
        <f>IF(ISBLANK(B416),"",IF(I416="L","Baixa",IF(I416="A","Média",IF(I416="","","Alta"))))</f>
        <v/>
      </c>
      <c r="G416" s="7" t="str">
        <f>CONCATENATE(B416,I416)</f>
        <v/>
      </c>
      <c r="H416" s="7" t="str">
        <f>IF(ISBLANK(B416),"",IF(B416="ALI",IF(I416="L",7,IF(I416="A",10,15)),IF(B416="AIE",IF(I416="L",5,IF(I416="A",7,10)),IF(B416="SE",IF(I416="L",4,IF(I416="A",5,7)),IF(OR(B416="EE",B416="CE"),IF(I416="L",3,IF(I416="A",4,6)),0)))))</f>
        <v/>
      </c>
      <c r="I416" s="116" t="str">
        <f>IF(OR(ISBLANK(D416),ISBLANK(E416)),IF(OR(B416="ALI",B416="AIE"),"L",IF(OR(B416="EE",B416="SE",B416="CE"),"A","")),IF(B416="EE",IF(E416&gt;=3,IF(D416&gt;=5,"H","A"),IF(E416&gt;=2,IF(D416&gt;=16,"H",IF(D416&lt;=4,"L","A")),IF(D416&lt;=15,"L","A"))),IF(OR(B416="SE",B416="CE"),IF(E416&gt;=4,IF(D416&gt;=6,"H","A"),IF(E416&gt;=2,IF(D416&gt;=20,"H",IF(D416&lt;=5,"L","A")),IF(D416&lt;=19,"L","A"))),IF(OR(B416="ALI",B416="AIE"),IF(E416&gt;=6,IF(D416&gt;=20,"H","A"),IF(E416&gt;=2,IF(D416&gt;=51,"H",IF(D416&lt;=19,"L","A")),IF(D416&lt;=50,"L","A"))),""))))</f>
        <v/>
      </c>
      <c r="J416" s="7" t="str">
        <f>CONCATENATE(B416,C416)</f>
        <v/>
      </c>
      <c r="K416" s="127" t="str">
        <f t="shared" si="233"/>
        <v/>
      </c>
      <c r="L416" s="127" t="str">
        <f>IF(NOT(ISERROR(VLOOKUP(B416,Deflatores!G$42:H$64,2,FALSE))),VLOOKUP(B416,Deflatores!G$42:H$64,2,FALSE),IF(OR(ISBLANK(C416),ISBLANK(B416)),"",VLOOKUP(C416,Deflatores!G$4:H$38,2,FALSE)*H416+VLOOKUP(C416,Deflatores!G$4:I$38,3,FALSE)))</f>
        <v/>
      </c>
      <c r="M416" s="10"/>
      <c r="N416" s="10"/>
      <c r="O416" s="6"/>
    </row>
    <row r="417" spans="1:15" x14ac:dyDescent="0.25">
      <c r="A417" s="122"/>
      <c r="B417" s="4"/>
      <c r="C417" s="4"/>
      <c r="D417" s="7"/>
      <c r="E417" s="7"/>
      <c r="F417" s="116" t="str">
        <f t="shared" ref="F417:F480" si="270">IF(ISBLANK(B417),"",IF(I417="L","Baixa",IF(I417="A","Média",IF(I417="","","Alta"))))</f>
        <v/>
      </c>
      <c r="G417" s="7" t="str">
        <f t="shared" ref="G417:G480" si="271">CONCATENATE(B417,I417)</f>
        <v/>
      </c>
      <c r="H417" s="7" t="str">
        <f t="shared" ref="H417:H480" si="272">IF(ISBLANK(B417),"",IF(B417="ALI",IF(I417="L",7,IF(I417="A",10,15)),IF(B417="AIE",IF(I417="L",5,IF(I417="A",7,10)),IF(B417="SE",IF(I417="L",4,IF(I417="A",5,7)),IF(OR(B417="EE",B417="CE"),IF(I417="L",3,IF(I417="A",4,6)),0)))))</f>
        <v/>
      </c>
      <c r="I417" s="116" t="str">
        <f t="shared" ref="I417:I480" si="273">IF(OR(ISBLANK(D417),ISBLANK(E417)),IF(OR(B417="ALI",B417="AIE"),"L",IF(OR(B417="EE",B417="SE",B417="CE"),"A","")),IF(B417="EE",IF(E417&gt;=3,IF(D417&gt;=5,"H","A"),IF(E417&gt;=2,IF(D417&gt;=16,"H",IF(D417&lt;=4,"L","A")),IF(D417&lt;=15,"L","A"))),IF(OR(B417="SE",B417="CE"),IF(E417&gt;=4,IF(D417&gt;=6,"H","A"),IF(E417&gt;=2,IF(D417&gt;=20,"H",IF(D417&lt;=5,"L","A")),IF(D417&lt;=19,"L","A"))),IF(OR(B417="ALI",B417="AIE"),IF(E417&gt;=6,IF(D417&gt;=20,"H","A"),IF(E417&gt;=2,IF(D417&gt;=51,"H",IF(D417&lt;=19,"L","A")),IF(D417&lt;=50,"L","A"))),""))))</f>
        <v/>
      </c>
      <c r="J417" s="7" t="str">
        <f t="shared" ref="J417:J480" si="274">CONCATENATE(B417,C417)</f>
        <v/>
      </c>
      <c r="K417" s="127" t="str">
        <f t="shared" si="233"/>
        <v/>
      </c>
      <c r="L417" s="127" t="str">
        <f>IF(NOT(ISERROR(VLOOKUP(B417,Deflatores!G$42:H$64,2,FALSE))),VLOOKUP(B417,Deflatores!G$42:H$64,2,FALSE),IF(OR(ISBLANK(C417),ISBLANK(B417)),"",VLOOKUP(C417,Deflatores!G$4:H$38,2,FALSE)*H417+VLOOKUP(C417,Deflatores!G$4:I$38,3,FALSE)))</f>
        <v/>
      </c>
      <c r="M417" s="10"/>
      <c r="N417" s="10"/>
      <c r="O417" s="6"/>
    </row>
    <row r="418" spans="1:15" x14ac:dyDescent="0.25">
      <c r="A418" s="121"/>
      <c r="B418" s="4"/>
      <c r="C418" s="4"/>
      <c r="D418" s="7"/>
      <c r="E418" s="7"/>
      <c r="F418" s="116" t="str">
        <f t="shared" si="270"/>
        <v/>
      </c>
      <c r="G418" s="7" t="str">
        <f t="shared" si="271"/>
        <v/>
      </c>
      <c r="H418" s="7" t="str">
        <f t="shared" si="272"/>
        <v/>
      </c>
      <c r="I418" s="116" t="str">
        <f t="shared" si="273"/>
        <v/>
      </c>
      <c r="J418" s="7" t="str">
        <f t="shared" si="274"/>
        <v/>
      </c>
      <c r="K418" s="127" t="str">
        <f t="shared" si="233"/>
        <v/>
      </c>
      <c r="L418" s="127" t="str">
        <f>IF(NOT(ISERROR(VLOOKUP(B418,Deflatores!G$42:H$64,2,FALSE))),VLOOKUP(B418,Deflatores!G$42:H$64,2,FALSE),IF(OR(ISBLANK(C418),ISBLANK(B418)),"",VLOOKUP(C418,Deflatores!G$4:H$38,2,FALSE)*H418+VLOOKUP(C418,Deflatores!G$4:I$38,3,FALSE)))</f>
        <v/>
      </c>
      <c r="M418" s="10"/>
      <c r="N418" s="10"/>
      <c r="O418" s="6"/>
    </row>
    <row r="419" spans="1:15" x14ac:dyDescent="0.25">
      <c r="A419" s="119"/>
      <c r="B419" s="4"/>
      <c r="C419" s="4"/>
      <c r="D419" s="7"/>
      <c r="E419" s="7"/>
      <c r="F419" s="116" t="str">
        <f t="shared" si="270"/>
        <v/>
      </c>
      <c r="G419" s="7" t="str">
        <f t="shared" si="271"/>
        <v/>
      </c>
      <c r="H419" s="7" t="str">
        <f t="shared" si="272"/>
        <v/>
      </c>
      <c r="I419" s="116" t="str">
        <f t="shared" si="273"/>
        <v/>
      </c>
      <c r="J419" s="7" t="str">
        <f t="shared" si="274"/>
        <v/>
      </c>
      <c r="K419" s="127" t="str">
        <f t="shared" ref="K419:K482" si="275">IF(OR(H419="",H419=0),L419,H419)</f>
        <v/>
      </c>
      <c r="L419" s="127" t="str">
        <f>IF(NOT(ISERROR(VLOOKUP(B419,Deflatores!G$42:H$64,2,FALSE))),VLOOKUP(B419,Deflatores!G$42:H$64,2,FALSE),IF(OR(ISBLANK(C419),ISBLANK(B419)),"",VLOOKUP(C419,Deflatores!G$4:H$38,2,FALSE)*H419+VLOOKUP(C419,Deflatores!G$4:I$38,3,FALSE)))</f>
        <v/>
      </c>
      <c r="M419" s="10"/>
      <c r="N419" s="10"/>
      <c r="O419" s="6"/>
    </row>
    <row r="420" spans="1:15" x14ac:dyDescent="0.25">
      <c r="A420" s="119"/>
      <c r="B420" s="4"/>
      <c r="C420" s="4"/>
      <c r="D420" s="7"/>
      <c r="E420" s="7"/>
      <c r="F420" s="116" t="str">
        <f t="shared" si="270"/>
        <v/>
      </c>
      <c r="G420" s="7" t="str">
        <f t="shared" si="271"/>
        <v/>
      </c>
      <c r="H420" s="7" t="str">
        <f t="shared" si="272"/>
        <v/>
      </c>
      <c r="I420" s="116" t="str">
        <f t="shared" si="273"/>
        <v/>
      </c>
      <c r="J420" s="7" t="str">
        <f t="shared" si="274"/>
        <v/>
      </c>
      <c r="K420" s="127" t="str">
        <f t="shared" si="275"/>
        <v/>
      </c>
      <c r="L420" s="127" t="str">
        <f>IF(NOT(ISERROR(VLOOKUP(B420,Deflatores!G$42:H$64,2,FALSE))),VLOOKUP(B420,Deflatores!G$42:H$64,2,FALSE),IF(OR(ISBLANK(C420),ISBLANK(B420)),"",VLOOKUP(C420,Deflatores!G$4:H$38,2,FALSE)*H420+VLOOKUP(C420,Deflatores!G$4:I$38,3,FALSE)))</f>
        <v/>
      </c>
      <c r="M420" s="10"/>
      <c r="N420" s="10"/>
      <c r="O420" s="6"/>
    </row>
    <row r="421" spans="1:15" x14ac:dyDescent="0.25">
      <c r="A421" s="119"/>
      <c r="B421" s="4"/>
      <c r="C421" s="4"/>
      <c r="D421" s="7"/>
      <c r="E421" s="7"/>
      <c r="F421" s="116" t="str">
        <f t="shared" si="270"/>
        <v/>
      </c>
      <c r="G421" s="7" t="str">
        <f t="shared" si="271"/>
        <v/>
      </c>
      <c r="H421" s="7" t="str">
        <f t="shared" si="272"/>
        <v/>
      </c>
      <c r="I421" s="116" t="str">
        <f t="shared" si="273"/>
        <v/>
      </c>
      <c r="J421" s="7" t="str">
        <f t="shared" si="274"/>
        <v/>
      </c>
      <c r="K421" s="127" t="str">
        <f t="shared" si="275"/>
        <v/>
      </c>
      <c r="L421" s="127" t="str">
        <f>IF(NOT(ISERROR(VLOOKUP(B421,Deflatores!G$42:H$64,2,FALSE))),VLOOKUP(B421,Deflatores!G$42:H$64,2,FALSE),IF(OR(ISBLANK(C421),ISBLANK(B421)),"",VLOOKUP(C421,Deflatores!G$4:H$38,2,FALSE)*H421+VLOOKUP(C421,Deflatores!G$4:I$38,3,FALSE)))</f>
        <v/>
      </c>
      <c r="M421" s="10"/>
      <c r="N421" s="10"/>
      <c r="O421" s="6"/>
    </row>
    <row r="422" spans="1:15" x14ac:dyDescent="0.25">
      <c r="A422" s="121"/>
      <c r="B422" s="4"/>
      <c r="C422" s="4"/>
      <c r="D422" s="7"/>
      <c r="E422" s="7"/>
      <c r="F422" s="116" t="str">
        <f t="shared" si="270"/>
        <v/>
      </c>
      <c r="G422" s="7" t="str">
        <f t="shared" si="271"/>
        <v/>
      </c>
      <c r="H422" s="7" t="str">
        <f t="shared" si="272"/>
        <v/>
      </c>
      <c r="I422" s="116" t="str">
        <f t="shared" si="273"/>
        <v/>
      </c>
      <c r="J422" s="7" t="str">
        <f t="shared" si="274"/>
        <v/>
      </c>
      <c r="K422" s="127" t="str">
        <f t="shared" si="275"/>
        <v/>
      </c>
      <c r="L422" s="127" t="str">
        <f>IF(NOT(ISERROR(VLOOKUP(B422,Deflatores!G$42:H$64,2,FALSE))),VLOOKUP(B422,Deflatores!G$42:H$64,2,FALSE),IF(OR(ISBLANK(C422),ISBLANK(B422)),"",VLOOKUP(C422,Deflatores!G$4:H$38,2,FALSE)*H422+VLOOKUP(C422,Deflatores!G$4:I$38,3,FALSE)))</f>
        <v/>
      </c>
      <c r="M422" s="10"/>
      <c r="N422" s="10"/>
      <c r="O422" s="6"/>
    </row>
    <row r="423" spans="1:15" x14ac:dyDescent="0.25">
      <c r="A423" s="119"/>
      <c r="B423" s="4"/>
      <c r="C423" s="4"/>
      <c r="D423" s="7"/>
      <c r="E423" s="7"/>
      <c r="F423" s="116" t="str">
        <f t="shared" si="270"/>
        <v/>
      </c>
      <c r="G423" s="7" t="str">
        <f t="shared" si="271"/>
        <v/>
      </c>
      <c r="H423" s="7" t="str">
        <f t="shared" si="272"/>
        <v/>
      </c>
      <c r="I423" s="116" t="str">
        <f t="shared" si="273"/>
        <v/>
      </c>
      <c r="J423" s="7" t="str">
        <f t="shared" si="274"/>
        <v/>
      </c>
      <c r="K423" s="127" t="str">
        <f t="shared" si="275"/>
        <v/>
      </c>
      <c r="L423" s="127" t="str">
        <f>IF(NOT(ISERROR(VLOOKUP(B423,Deflatores!G$42:H$64,2,FALSE))),VLOOKUP(B423,Deflatores!G$42:H$64,2,FALSE),IF(OR(ISBLANK(C423),ISBLANK(B423)),"",VLOOKUP(C423,Deflatores!G$4:H$38,2,FALSE)*H423+VLOOKUP(C423,Deflatores!G$4:I$38,3,FALSE)))</f>
        <v/>
      </c>
      <c r="M423" s="10"/>
      <c r="N423" s="10"/>
      <c r="O423" s="6"/>
    </row>
    <row r="424" spans="1:15" x14ac:dyDescent="0.25">
      <c r="A424" s="119"/>
      <c r="B424" s="4"/>
      <c r="C424" s="4"/>
      <c r="D424" s="7"/>
      <c r="E424" s="7"/>
      <c r="F424" s="116" t="str">
        <f t="shared" si="270"/>
        <v/>
      </c>
      <c r="G424" s="7" t="str">
        <f t="shared" si="271"/>
        <v/>
      </c>
      <c r="H424" s="7" t="str">
        <f t="shared" si="272"/>
        <v/>
      </c>
      <c r="I424" s="116" t="str">
        <f t="shared" si="273"/>
        <v/>
      </c>
      <c r="J424" s="7" t="str">
        <f t="shared" si="274"/>
        <v/>
      </c>
      <c r="K424" s="127" t="str">
        <f t="shared" si="275"/>
        <v/>
      </c>
      <c r="L424" s="127" t="str">
        <f>IF(NOT(ISERROR(VLOOKUP(B424,Deflatores!G$42:H$64,2,FALSE))),VLOOKUP(B424,Deflatores!G$42:H$64,2,FALSE),IF(OR(ISBLANK(C424),ISBLANK(B424)),"",VLOOKUP(C424,Deflatores!G$4:H$38,2,FALSE)*H424+VLOOKUP(C424,Deflatores!G$4:I$38,3,FALSE)))</f>
        <v/>
      </c>
      <c r="M424" s="10"/>
      <c r="N424" s="10"/>
      <c r="O424" s="6"/>
    </row>
    <row r="425" spans="1:15" x14ac:dyDescent="0.25">
      <c r="A425" s="119"/>
      <c r="B425" s="4"/>
      <c r="C425" s="4"/>
      <c r="D425" s="7"/>
      <c r="E425" s="7"/>
      <c r="F425" s="116" t="str">
        <f t="shared" si="270"/>
        <v/>
      </c>
      <c r="G425" s="7" t="str">
        <f t="shared" si="271"/>
        <v/>
      </c>
      <c r="H425" s="7" t="str">
        <f t="shared" si="272"/>
        <v/>
      </c>
      <c r="I425" s="116" t="str">
        <f t="shared" si="273"/>
        <v/>
      </c>
      <c r="J425" s="7" t="str">
        <f t="shared" si="274"/>
        <v/>
      </c>
      <c r="K425" s="127" t="str">
        <f t="shared" si="275"/>
        <v/>
      </c>
      <c r="L425" s="127" t="str">
        <f>IF(NOT(ISERROR(VLOOKUP(B425,Deflatores!G$42:H$64,2,FALSE))),VLOOKUP(B425,Deflatores!G$42:H$64,2,FALSE),IF(OR(ISBLANK(C425),ISBLANK(B425)),"",VLOOKUP(C425,Deflatores!G$4:H$38,2,FALSE)*H425+VLOOKUP(C425,Deflatores!G$4:I$38,3,FALSE)))</f>
        <v/>
      </c>
      <c r="M425" s="10"/>
      <c r="N425" s="10"/>
      <c r="O425" s="6"/>
    </row>
    <row r="426" spans="1:15" x14ac:dyDescent="0.25">
      <c r="A426" s="119"/>
      <c r="B426" s="4"/>
      <c r="C426" s="4"/>
      <c r="D426" s="7"/>
      <c r="E426" s="7"/>
      <c r="F426" s="116" t="str">
        <f t="shared" si="270"/>
        <v/>
      </c>
      <c r="G426" s="7" t="str">
        <f t="shared" si="271"/>
        <v/>
      </c>
      <c r="H426" s="7" t="str">
        <f t="shared" si="272"/>
        <v/>
      </c>
      <c r="I426" s="116" t="str">
        <f t="shared" si="273"/>
        <v/>
      </c>
      <c r="J426" s="7" t="str">
        <f t="shared" si="274"/>
        <v/>
      </c>
      <c r="K426" s="127" t="str">
        <f t="shared" si="275"/>
        <v/>
      </c>
      <c r="L426" s="127" t="str">
        <f>IF(NOT(ISERROR(VLOOKUP(B426,Deflatores!G$42:H$64,2,FALSE))),VLOOKUP(B426,Deflatores!G$42:H$64,2,FALSE),IF(OR(ISBLANK(C426),ISBLANK(B426)),"",VLOOKUP(C426,Deflatores!G$4:H$38,2,FALSE)*H426+VLOOKUP(C426,Deflatores!G$4:I$38,3,FALSE)))</f>
        <v/>
      </c>
      <c r="M426" s="10"/>
      <c r="N426" s="10"/>
      <c r="O426" s="6"/>
    </row>
    <row r="427" spans="1:15" x14ac:dyDescent="0.25">
      <c r="A427" s="119"/>
      <c r="B427" s="4"/>
      <c r="C427" s="4"/>
      <c r="D427" s="7"/>
      <c r="E427" s="7"/>
      <c r="F427" s="116" t="str">
        <f t="shared" si="270"/>
        <v/>
      </c>
      <c r="G427" s="7" t="str">
        <f t="shared" si="271"/>
        <v/>
      </c>
      <c r="H427" s="7" t="str">
        <f t="shared" si="272"/>
        <v/>
      </c>
      <c r="I427" s="116" t="str">
        <f t="shared" si="273"/>
        <v/>
      </c>
      <c r="J427" s="7" t="str">
        <f t="shared" si="274"/>
        <v/>
      </c>
      <c r="K427" s="127" t="str">
        <f t="shared" si="275"/>
        <v/>
      </c>
      <c r="L427" s="127" t="str">
        <f>IF(NOT(ISERROR(VLOOKUP(B427,Deflatores!G$42:H$64,2,FALSE))),VLOOKUP(B427,Deflatores!G$42:H$64,2,FALSE),IF(OR(ISBLANK(C427),ISBLANK(B427)),"",VLOOKUP(C427,Deflatores!G$4:H$38,2,FALSE)*H427+VLOOKUP(C427,Deflatores!G$4:I$38,3,FALSE)))</f>
        <v/>
      </c>
      <c r="M427" s="10"/>
      <c r="N427" s="10"/>
      <c r="O427" s="6"/>
    </row>
    <row r="428" spans="1:15" x14ac:dyDescent="0.25">
      <c r="A428" s="119"/>
      <c r="B428" s="4"/>
      <c r="C428" s="4"/>
      <c r="D428" s="7"/>
      <c r="E428" s="7"/>
      <c r="F428" s="116" t="str">
        <f t="shared" si="270"/>
        <v/>
      </c>
      <c r="G428" s="7" t="str">
        <f t="shared" si="271"/>
        <v/>
      </c>
      <c r="H428" s="7" t="str">
        <f t="shared" si="272"/>
        <v/>
      </c>
      <c r="I428" s="116" t="str">
        <f t="shared" si="273"/>
        <v/>
      </c>
      <c r="J428" s="7" t="str">
        <f t="shared" si="274"/>
        <v/>
      </c>
      <c r="K428" s="127" t="str">
        <f t="shared" si="275"/>
        <v/>
      </c>
      <c r="L428" s="127" t="str">
        <f>IF(NOT(ISERROR(VLOOKUP(B428,Deflatores!G$42:H$64,2,FALSE))),VLOOKUP(B428,Deflatores!G$42:H$64,2,FALSE),IF(OR(ISBLANK(C428),ISBLANK(B428)),"",VLOOKUP(C428,Deflatores!G$4:H$38,2,FALSE)*H428+VLOOKUP(C428,Deflatores!G$4:I$38,3,FALSE)))</f>
        <v/>
      </c>
      <c r="M428" s="10"/>
      <c r="N428" s="10"/>
      <c r="O428" s="6"/>
    </row>
    <row r="429" spans="1:15" x14ac:dyDescent="0.25">
      <c r="A429" s="119"/>
      <c r="B429" s="4"/>
      <c r="C429" s="4"/>
      <c r="D429" s="7"/>
      <c r="E429" s="7"/>
      <c r="F429" s="116" t="str">
        <f t="shared" si="270"/>
        <v/>
      </c>
      <c r="G429" s="7" t="str">
        <f t="shared" si="271"/>
        <v/>
      </c>
      <c r="H429" s="7" t="str">
        <f t="shared" si="272"/>
        <v/>
      </c>
      <c r="I429" s="116" t="str">
        <f t="shared" si="273"/>
        <v/>
      </c>
      <c r="J429" s="7" t="str">
        <f t="shared" si="274"/>
        <v/>
      </c>
      <c r="K429" s="127" t="str">
        <f t="shared" si="275"/>
        <v/>
      </c>
      <c r="L429" s="127" t="str">
        <f>IF(NOT(ISERROR(VLOOKUP(B429,Deflatores!G$42:H$64,2,FALSE))),VLOOKUP(B429,Deflatores!G$42:H$64,2,FALSE),IF(OR(ISBLANK(C429),ISBLANK(B429)),"",VLOOKUP(C429,Deflatores!G$4:H$38,2,FALSE)*H429+VLOOKUP(C429,Deflatores!G$4:I$38,3,FALSE)))</f>
        <v/>
      </c>
      <c r="M429" s="10"/>
      <c r="N429" s="10"/>
      <c r="O429" s="6"/>
    </row>
    <row r="430" spans="1:15" x14ac:dyDescent="0.25">
      <c r="A430" s="119"/>
      <c r="B430" s="4"/>
      <c r="C430" s="4"/>
      <c r="D430" s="7"/>
      <c r="E430" s="7"/>
      <c r="F430" s="116" t="str">
        <f t="shared" si="270"/>
        <v/>
      </c>
      <c r="G430" s="7" t="str">
        <f t="shared" si="271"/>
        <v/>
      </c>
      <c r="H430" s="7" t="str">
        <f t="shared" si="272"/>
        <v/>
      </c>
      <c r="I430" s="116" t="str">
        <f t="shared" si="273"/>
        <v/>
      </c>
      <c r="J430" s="7" t="str">
        <f t="shared" si="274"/>
        <v/>
      </c>
      <c r="K430" s="127" t="str">
        <f t="shared" si="275"/>
        <v/>
      </c>
      <c r="L430" s="127" t="str">
        <f>IF(NOT(ISERROR(VLOOKUP(B430,Deflatores!G$42:H$64,2,FALSE))),VLOOKUP(B430,Deflatores!G$42:H$64,2,FALSE),IF(OR(ISBLANK(C430),ISBLANK(B430)),"",VLOOKUP(C430,Deflatores!G$4:H$38,2,FALSE)*H430+VLOOKUP(C430,Deflatores!G$4:I$38,3,FALSE)))</f>
        <v/>
      </c>
      <c r="M430" s="10"/>
      <c r="N430" s="10"/>
      <c r="O430" s="6"/>
    </row>
    <row r="431" spans="1:15" x14ac:dyDescent="0.25">
      <c r="A431" s="119"/>
      <c r="B431" s="4"/>
      <c r="C431" s="4"/>
      <c r="D431" s="7"/>
      <c r="E431" s="7"/>
      <c r="F431" s="116" t="str">
        <f t="shared" si="270"/>
        <v/>
      </c>
      <c r="G431" s="7" t="str">
        <f t="shared" si="271"/>
        <v/>
      </c>
      <c r="H431" s="7" t="str">
        <f t="shared" si="272"/>
        <v/>
      </c>
      <c r="I431" s="116" t="str">
        <f t="shared" si="273"/>
        <v/>
      </c>
      <c r="J431" s="7" t="str">
        <f t="shared" si="274"/>
        <v/>
      </c>
      <c r="K431" s="127" t="str">
        <f t="shared" si="275"/>
        <v/>
      </c>
      <c r="L431" s="127" t="str">
        <f>IF(NOT(ISERROR(VLOOKUP(B431,Deflatores!G$42:H$64,2,FALSE))),VLOOKUP(B431,Deflatores!G$42:H$64,2,FALSE),IF(OR(ISBLANK(C431),ISBLANK(B431)),"",VLOOKUP(C431,Deflatores!G$4:H$38,2,FALSE)*H431+VLOOKUP(C431,Deflatores!G$4:I$38,3,FALSE)))</f>
        <v/>
      </c>
      <c r="M431" s="10"/>
      <c r="N431" s="10"/>
      <c r="O431" s="6"/>
    </row>
    <row r="432" spans="1:15" x14ac:dyDescent="0.25">
      <c r="A432" s="119"/>
      <c r="B432" s="4"/>
      <c r="C432" s="4"/>
      <c r="D432" s="7"/>
      <c r="E432" s="7"/>
      <c r="F432" s="116" t="str">
        <f t="shared" si="270"/>
        <v/>
      </c>
      <c r="G432" s="7" t="str">
        <f t="shared" si="271"/>
        <v/>
      </c>
      <c r="H432" s="7" t="str">
        <f t="shared" si="272"/>
        <v/>
      </c>
      <c r="I432" s="116" t="str">
        <f t="shared" si="273"/>
        <v/>
      </c>
      <c r="J432" s="7" t="str">
        <f t="shared" si="274"/>
        <v/>
      </c>
      <c r="K432" s="127" t="str">
        <f t="shared" si="275"/>
        <v/>
      </c>
      <c r="L432" s="127" t="str">
        <f>IF(NOT(ISERROR(VLOOKUP(B432,Deflatores!G$42:H$64,2,FALSE))),VLOOKUP(B432,Deflatores!G$42:H$64,2,FALSE),IF(OR(ISBLANK(C432),ISBLANK(B432)),"",VLOOKUP(C432,Deflatores!G$4:H$38,2,FALSE)*H432+VLOOKUP(C432,Deflatores!G$4:I$38,3,FALSE)))</f>
        <v/>
      </c>
      <c r="M432" s="10"/>
      <c r="N432" s="10"/>
      <c r="O432" s="6"/>
    </row>
    <row r="433" spans="1:15" x14ac:dyDescent="0.25">
      <c r="A433" s="119"/>
      <c r="B433" s="4"/>
      <c r="C433" s="4"/>
      <c r="D433" s="7"/>
      <c r="E433" s="7"/>
      <c r="F433" s="116" t="str">
        <f t="shared" si="270"/>
        <v/>
      </c>
      <c r="G433" s="7" t="str">
        <f t="shared" si="271"/>
        <v/>
      </c>
      <c r="H433" s="7" t="str">
        <f t="shared" si="272"/>
        <v/>
      </c>
      <c r="I433" s="116" t="str">
        <f t="shared" si="273"/>
        <v/>
      </c>
      <c r="J433" s="7" t="str">
        <f t="shared" si="274"/>
        <v/>
      </c>
      <c r="K433" s="127" t="str">
        <f t="shared" si="275"/>
        <v/>
      </c>
      <c r="L433" s="127" t="str">
        <f>IF(NOT(ISERROR(VLOOKUP(B433,Deflatores!G$42:H$64,2,FALSE))),VLOOKUP(B433,Deflatores!G$42:H$64,2,FALSE),IF(OR(ISBLANK(C433),ISBLANK(B433)),"",VLOOKUP(C433,Deflatores!G$4:H$38,2,FALSE)*H433+VLOOKUP(C433,Deflatores!G$4:I$38,3,FALSE)))</f>
        <v/>
      </c>
      <c r="M433" s="10"/>
      <c r="N433" s="10"/>
      <c r="O433" s="6"/>
    </row>
    <row r="434" spans="1:15" x14ac:dyDescent="0.25">
      <c r="A434" s="119"/>
      <c r="B434" s="4"/>
      <c r="C434" s="4"/>
      <c r="D434" s="7"/>
      <c r="E434" s="7"/>
      <c r="F434" s="116" t="str">
        <f t="shared" si="270"/>
        <v/>
      </c>
      <c r="G434" s="7" t="str">
        <f t="shared" si="271"/>
        <v/>
      </c>
      <c r="H434" s="7" t="str">
        <f t="shared" si="272"/>
        <v/>
      </c>
      <c r="I434" s="116" t="str">
        <f t="shared" si="273"/>
        <v/>
      </c>
      <c r="J434" s="7" t="str">
        <f t="shared" si="274"/>
        <v/>
      </c>
      <c r="K434" s="127" t="str">
        <f t="shared" si="275"/>
        <v/>
      </c>
      <c r="L434" s="127" t="str">
        <f>IF(NOT(ISERROR(VLOOKUP(B434,Deflatores!G$42:H$64,2,FALSE))),VLOOKUP(B434,Deflatores!G$42:H$64,2,FALSE),IF(OR(ISBLANK(C434),ISBLANK(B434)),"",VLOOKUP(C434,Deflatores!G$4:H$38,2,FALSE)*H434+VLOOKUP(C434,Deflatores!G$4:I$38,3,FALSE)))</f>
        <v/>
      </c>
      <c r="M434" s="10"/>
      <c r="N434" s="10"/>
      <c r="O434" s="6"/>
    </row>
    <row r="435" spans="1:15" x14ac:dyDescent="0.25">
      <c r="A435" s="119"/>
      <c r="B435" s="4"/>
      <c r="C435" s="4"/>
      <c r="D435" s="7"/>
      <c r="E435" s="7"/>
      <c r="F435" s="116" t="str">
        <f t="shared" si="270"/>
        <v/>
      </c>
      <c r="G435" s="7" t="str">
        <f t="shared" si="271"/>
        <v/>
      </c>
      <c r="H435" s="7" t="str">
        <f t="shared" si="272"/>
        <v/>
      </c>
      <c r="I435" s="116" t="str">
        <f t="shared" si="273"/>
        <v/>
      </c>
      <c r="J435" s="7" t="str">
        <f t="shared" si="274"/>
        <v/>
      </c>
      <c r="K435" s="127" t="str">
        <f t="shared" si="275"/>
        <v/>
      </c>
      <c r="L435" s="127" t="str">
        <f>IF(NOT(ISERROR(VLOOKUP(B435,Deflatores!G$42:H$64,2,FALSE))),VLOOKUP(B435,Deflatores!G$42:H$64,2,FALSE),IF(OR(ISBLANK(C435),ISBLANK(B435)),"",VLOOKUP(C435,Deflatores!G$4:H$38,2,FALSE)*H435+VLOOKUP(C435,Deflatores!G$4:I$38,3,FALSE)))</f>
        <v/>
      </c>
      <c r="M435" s="10"/>
      <c r="N435" s="10"/>
      <c r="O435" s="6"/>
    </row>
    <row r="436" spans="1:15" x14ac:dyDescent="0.25">
      <c r="A436" s="119"/>
      <c r="B436" s="4"/>
      <c r="C436" s="4"/>
      <c r="D436" s="7"/>
      <c r="E436" s="7"/>
      <c r="F436" s="116" t="str">
        <f t="shared" si="270"/>
        <v/>
      </c>
      <c r="G436" s="7" t="str">
        <f t="shared" si="271"/>
        <v/>
      </c>
      <c r="H436" s="7" t="str">
        <f t="shared" si="272"/>
        <v/>
      </c>
      <c r="I436" s="116" t="str">
        <f t="shared" si="273"/>
        <v/>
      </c>
      <c r="J436" s="7" t="str">
        <f t="shared" si="274"/>
        <v/>
      </c>
      <c r="K436" s="127" t="str">
        <f t="shared" si="275"/>
        <v/>
      </c>
      <c r="L436" s="127" t="str">
        <f>IF(NOT(ISERROR(VLOOKUP(B436,Deflatores!G$42:H$64,2,FALSE))),VLOOKUP(B436,Deflatores!G$42:H$64,2,FALSE),IF(OR(ISBLANK(C436),ISBLANK(B436)),"",VLOOKUP(C436,Deflatores!G$4:H$38,2,FALSE)*H436+VLOOKUP(C436,Deflatores!G$4:I$38,3,FALSE)))</f>
        <v/>
      </c>
      <c r="M436" s="10"/>
      <c r="N436" s="10"/>
      <c r="O436" s="6"/>
    </row>
    <row r="437" spans="1:15" x14ac:dyDescent="0.25">
      <c r="A437" s="119"/>
      <c r="B437" s="4"/>
      <c r="C437" s="4"/>
      <c r="D437" s="7"/>
      <c r="E437" s="7"/>
      <c r="F437" s="116" t="str">
        <f t="shared" si="270"/>
        <v/>
      </c>
      <c r="G437" s="7" t="str">
        <f t="shared" si="271"/>
        <v/>
      </c>
      <c r="H437" s="7" t="str">
        <f t="shared" si="272"/>
        <v/>
      </c>
      <c r="I437" s="116" t="str">
        <f t="shared" si="273"/>
        <v/>
      </c>
      <c r="J437" s="7" t="str">
        <f t="shared" si="274"/>
        <v/>
      </c>
      <c r="K437" s="127" t="str">
        <f t="shared" si="275"/>
        <v/>
      </c>
      <c r="L437" s="127" t="str">
        <f>IF(NOT(ISERROR(VLOOKUP(B437,Deflatores!G$42:H$64,2,FALSE))),VLOOKUP(B437,Deflatores!G$42:H$64,2,FALSE),IF(OR(ISBLANK(C437),ISBLANK(B437)),"",VLOOKUP(C437,Deflatores!G$4:H$38,2,FALSE)*H437+VLOOKUP(C437,Deflatores!G$4:I$38,3,FALSE)))</f>
        <v/>
      </c>
      <c r="M437" s="10"/>
      <c r="N437" s="10"/>
      <c r="O437" s="6"/>
    </row>
    <row r="438" spans="1:15" x14ac:dyDescent="0.25">
      <c r="A438" s="119"/>
      <c r="B438" s="4"/>
      <c r="C438" s="4"/>
      <c r="D438" s="7"/>
      <c r="E438" s="7"/>
      <c r="F438" s="116" t="str">
        <f t="shared" si="270"/>
        <v/>
      </c>
      <c r="G438" s="7" t="str">
        <f t="shared" si="271"/>
        <v/>
      </c>
      <c r="H438" s="7" t="str">
        <f t="shared" si="272"/>
        <v/>
      </c>
      <c r="I438" s="116" t="str">
        <f t="shared" si="273"/>
        <v/>
      </c>
      <c r="J438" s="7" t="str">
        <f t="shared" si="274"/>
        <v/>
      </c>
      <c r="K438" s="127" t="str">
        <f t="shared" si="275"/>
        <v/>
      </c>
      <c r="L438" s="127" t="str">
        <f>IF(NOT(ISERROR(VLOOKUP(B438,Deflatores!G$42:H$64,2,FALSE))),VLOOKUP(B438,Deflatores!G$42:H$64,2,FALSE),IF(OR(ISBLANK(C438),ISBLANK(B438)),"",VLOOKUP(C438,Deflatores!G$4:H$38,2,FALSE)*H438+VLOOKUP(C438,Deflatores!G$4:I$38,3,FALSE)))</f>
        <v/>
      </c>
      <c r="M438" s="10"/>
      <c r="N438" s="10"/>
      <c r="O438" s="6"/>
    </row>
    <row r="439" spans="1:15" x14ac:dyDescent="0.25">
      <c r="A439" s="119"/>
      <c r="B439" s="4"/>
      <c r="C439" s="4"/>
      <c r="D439" s="7"/>
      <c r="E439" s="7"/>
      <c r="F439" s="116" t="str">
        <f t="shared" si="270"/>
        <v/>
      </c>
      <c r="G439" s="7" t="str">
        <f t="shared" si="271"/>
        <v/>
      </c>
      <c r="H439" s="7" t="str">
        <f t="shared" si="272"/>
        <v/>
      </c>
      <c r="I439" s="116" t="str">
        <f t="shared" si="273"/>
        <v/>
      </c>
      <c r="J439" s="7" t="str">
        <f t="shared" si="274"/>
        <v/>
      </c>
      <c r="K439" s="127" t="str">
        <f t="shared" si="275"/>
        <v/>
      </c>
      <c r="L439" s="127" t="str">
        <f>IF(NOT(ISERROR(VLOOKUP(B439,Deflatores!G$42:H$64,2,FALSE))),VLOOKUP(B439,Deflatores!G$42:H$64,2,FALSE),IF(OR(ISBLANK(C439),ISBLANK(B439)),"",VLOOKUP(C439,Deflatores!G$4:H$38,2,FALSE)*H439+VLOOKUP(C439,Deflatores!G$4:I$38,3,FALSE)))</f>
        <v/>
      </c>
      <c r="M439" s="10"/>
      <c r="N439" s="10"/>
      <c r="O439" s="6"/>
    </row>
    <row r="440" spans="1:15" x14ac:dyDescent="0.25">
      <c r="A440" s="119"/>
      <c r="B440" s="4"/>
      <c r="C440" s="4"/>
      <c r="D440" s="7"/>
      <c r="E440" s="7"/>
      <c r="F440" s="116" t="str">
        <f t="shared" si="270"/>
        <v/>
      </c>
      <c r="G440" s="7" t="str">
        <f t="shared" si="271"/>
        <v/>
      </c>
      <c r="H440" s="7" t="str">
        <f t="shared" si="272"/>
        <v/>
      </c>
      <c r="I440" s="116" t="str">
        <f t="shared" si="273"/>
        <v/>
      </c>
      <c r="J440" s="7" t="str">
        <f t="shared" si="274"/>
        <v/>
      </c>
      <c r="K440" s="127" t="str">
        <f t="shared" si="275"/>
        <v/>
      </c>
      <c r="L440" s="127" t="str">
        <f>IF(NOT(ISERROR(VLOOKUP(B440,Deflatores!G$42:H$64,2,FALSE))),VLOOKUP(B440,Deflatores!G$42:H$64,2,FALSE),IF(OR(ISBLANK(C440),ISBLANK(B440)),"",VLOOKUP(C440,Deflatores!G$4:H$38,2,FALSE)*H440+VLOOKUP(C440,Deflatores!G$4:I$38,3,FALSE)))</f>
        <v/>
      </c>
      <c r="M440" s="10"/>
      <c r="N440" s="10"/>
      <c r="O440" s="6"/>
    </row>
    <row r="441" spans="1:15" x14ac:dyDescent="0.25">
      <c r="A441" s="119"/>
      <c r="B441" s="4"/>
      <c r="C441" s="4"/>
      <c r="D441" s="7"/>
      <c r="E441" s="7"/>
      <c r="F441" s="116" t="str">
        <f t="shared" si="270"/>
        <v/>
      </c>
      <c r="G441" s="7" t="str">
        <f t="shared" si="271"/>
        <v/>
      </c>
      <c r="H441" s="7" t="str">
        <f t="shared" si="272"/>
        <v/>
      </c>
      <c r="I441" s="116" t="str">
        <f t="shared" si="273"/>
        <v/>
      </c>
      <c r="J441" s="7" t="str">
        <f t="shared" si="274"/>
        <v/>
      </c>
      <c r="K441" s="127" t="str">
        <f t="shared" si="275"/>
        <v/>
      </c>
      <c r="L441" s="127" t="str">
        <f>IF(NOT(ISERROR(VLOOKUP(B441,Deflatores!G$42:H$64,2,FALSE))),VLOOKUP(B441,Deflatores!G$42:H$64,2,FALSE),IF(OR(ISBLANK(C441),ISBLANK(B441)),"",VLOOKUP(C441,Deflatores!G$4:H$38,2,FALSE)*H441+VLOOKUP(C441,Deflatores!G$4:I$38,3,FALSE)))</f>
        <v/>
      </c>
      <c r="M441" s="10"/>
      <c r="N441" s="10"/>
      <c r="O441" s="6"/>
    </row>
    <row r="442" spans="1:15" x14ac:dyDescent="0.25">
      <c r="A442" s="119"/>
      <c r="B442" s="4"/>
      <c r="C442" s="4"/>
      <c r="D442" s="7"/>
      <c r="E442" s="7"/>
      <c r="F442" s="116" t="str">
        <f t="shared" si="270"/>
        <v/>
      </c>
      <c r="G442" s="7" t="str">
        <f t="shared" si="271"/>
        <v/>
      </c>
      <c r="H442" s="7" t="str">
        <f t="shared" si="272"/>
        <v/>
      </c>
      <c r="I442" s="116" t="str">
        <f t="shared" si="273"/>
        <v/>
      </c>
      <c r="J442" s="7" t="str">
        <f t="shared" si="274"/>
        <v/>
      </c>
      <c r="K442" s="127" t="str">
        <f t="shared" si="275"/>
        <v/>
      </c>
      <c r="L442" s="127" t="str">
        <f>IF(NOT(ISERROR(VLOOKUP(B442,Deflatores!G$42:H$64,2,FALSE))),VLOOKUP(B442,Deflatores!G$42:H$64,2,FALSE),IF(OR(ISBLANK(C442),ISBLANK(B442)),"",VLOOKUP(C442,Deflatores!G$4:H$38,2,FALSE)*H442+VLOOKUP(C442,Deflatores!G$4:I$38,3,FALSE)))</f>
        <v/>
      </c>
      <c r="M442" s="10"/>
      <c r="N442" s="10"/>
      <c r="O442" s="6"/>
    </row>
    <row r="443" spans="1:15" x14ac:dyDescent="0.25">
      <c r="A443" s="119"/>
      <c r="B443" s="4"/>
      <c r="C443" s="4"/>
      <c r="D443" s="7"/>
      <c r="E443" s="7"/>
      <c r="F443" s="116" t="str">
        <f t="shared" si="270"/>
        <v/>
      </c>
      <c r="G443" s="7" t="str">
        <f t="shared" si="271"/>
        <v/>
      </c>
      <c r="H443" s="7" t="str">
        <f t="shared" si="272"/>
        <v/>
      </c>
      <c r="I443" s="116" t="str">
        <f t="shared" si="273"/>
        <v/>
      </c>
      <c r="J443" s="7" t="str">
        <f t="shared" si="274"/>
        <v/>
      </c>
      <c r="K443" s="127" t="str">
        <f t="shared" si="275"/>
        <v/>
      </c>
      <c r="L443" s="127" t="str">
        <f>IF(NOT(ISERROR(VLOOKUP(B443,Deflatores!G$42:H$64,2,FALSE))),VLOOKUP(B443,Deflatores!G$42:H$64,2,FALSE),IF(OR(ISBLANK(C443),ISBLANK(B443)),"",VLOOKUP(C443,Deflatores!G$4:H$38,2,FALSE)*H443+VLOOKUP(C443,Deflatores!G$4:I$38,3,FALSE)))</f>
        <v/>
      </c>
      <c r="M443" s="10"/>
      <c r="N443" s="10"/>
      <c r="O443" s="6"/>
    </row>
    <row r="444" spans="1:15" x14ac:dyDescent="0.25">
      <c r="A444" s="119"/>
      <c r="B444" s="4"/>
      <c r="C444" s="4"/>
      <c r="D444" s="7"/>
      <c r="E444" s="7"/>
      <c r="F444" s="116" t="str">
        <f t="shared" si="270"/>
        <v/>
      </c>
      <c r="G444" s="7" t="str">
        <f t="shared" si="271"/>
        <v/>
      </c>
      <c r="H444" s="7" t="str">
        <f t="shared" si="272"/>
        <v/>
      </c>
      <c r="I444" s="116" t="str">
        <f t="shared" si="273"/>
        <v/>
      </c>
      <c r="J444" s="7" t="str">
        <f t="shared" si="274"/>
        <v/>
      </c>
      <c r="K444" s="127" t="str">
        <f t="shared" si="275"/>
        <v/>
      </c>
      <c r="L444" s="127" t="str">
        <f>IF(NOT(ISERROR(VLOOKUP(B444,Deflatores!G$42:H$64,2,FALSE))),VLOOKUP(B444,Deflatores!G$42:H$64,2,FALSE),IF(OR(ISBLANK(C444),ISBLANK(B444)),"",VLOOKUP(C444,Deflatores!G$4:H$38,2,FALSE)*H444+VLOOKUP(C444,Deflatores!G$4:I$38,3,FALSE)))</f>
        <v/>
      </c>
      <c r="M444" s="10"/>
      <c r="N444" s="10"/>
      <c r="O444" s="6"/>
    </row>
    <row r="445" spans="1:15" x14ac:dyDescent="0.25">
      <c r="A445" s="119"/>
      <c r="B445" s="4"/>
      <c r="C445" s="4"/>
      <c r="D445" s="7"/>
      <c r="E445" s="7"/>
      <c r="F445" s="116" t="str">
        <f t="shared" si="270"/>
        <v/>
      </c>
      <c r="G445" s="7" t="str">
        <f t="shared" si="271"/>
        <v/>
      </c>
      <c r="H445" s="7" t="str">
        <f t="shared" si="272"/>
        <v/>
      </c>
      <c r="I445" s="116" t="str">
        <f t="shared" si="273"/>
        <v/>
      </c>
      <c r="J445" s="7" t="str">
        <f t="shared" si="274"/>
        <v/>
      </c>
      <c r="K445" s="127" t="str">
        <f t="shared" si="275"/>
        <v/>
      </c>
      <c r="L445" s="127" t="str">
        <f>IF(NOT(ISERROR(VLOOKUP(B445,Deflatores!G$42:H$64,2,FALSE))),VLOOKUP(B445,Deflatores!G$42:H$64,2,FALSE),IF(OR(ISBLANK(C445),ISBLANK(B445)),"",VLOOKUP(C445,Deflatores!G$4:H$38,2,FALSE)*H445+VLOOKUP(C445,Deflatores!G$4:I$38,3,FALSE)))</f>
        <v/>
      </c>
      <c r="M445" s="10"/>
      <c r="N445" s="10"/>
      <c r="O445" s="6"/>
    </row>
    <row r="446" spans="1:15" x14ac:dyDescent="0.25">
      <c r="A446" s="119"/>
      <c r="B446" s="4"/>
      <c r="C446" s="4"/>
      <c r="D446" s="7"/>
      <c r="E446" s="7"/>
      <c r="F446" s="116" t="str">
        <f t="shared" si="270"/>
        <v/>
      </c>
      <c r="G446" s="7" t="str">
        <f t="shared" si="271"/>
        <v/>
      </c>
      <c r="H446" s="7" t="str">
        <f t="shared" si="272"/>
        <v/>
      </c>
      <c r="I446" s="116" t="str">
        <f t="shared" si="273"/>
        <v/>
      </c>
      <c r="J446" s="7" t="str">
        <f t="shared" si="274"/>
        <v/>
      </c>
      <c r="K446" s="127" t="str">
        <f t="shared" si="275"/>
        <v/>
      </c>
      <c r="L446" s="127" t="str">
        <f>IF(NOT(ISERROR(VLOOKUP(B446,Deflatores!G$42:H$64,2,FALSE))),VLOOKUP(B446,Deflatores!G$42:H$64,2,FALSE),IF(OR(ISBLANK(C446),ISBLANK(B446)),"",VLOOKUP(C446,Deflatores!G$4:H$38,2,FALSE)*H446+VLOOKUP(C446,Deflatores!G$4:I$38,3,FALSE)))</f>
        <v/>
      </c>
      <c r="M446" s="10"/>
      <c r="N446" s="10"/>
      <c r="O446" s="6"/>
    </row>
    <row r="447" spans="1:15" x14ac:dyDescent="0.25">
      <c r="A447" s="119"/>
      <c r="B447" s="4"/>
      <c r="C447" s="4"/>
      <c r="D447" s="7"/>
      <c r="E447" s="7"/>
      <c r="F447" s="116" t="str">
        <f t="shared" si="270"/>
        <v/>
      </c>
      <c r="G447" s="7" t="str">
        <f t="shared" si="271"/>
        <v/>
      </c>
      <c r="H447" s="7" t="str">
        <f t="shared" si="272"/>
        <v/>
      </c>
      <c r="I447" s="116" t="str">
        <f t="shared" si="273"/>
        <v/>
      </c>
      <c r="J447" s="7" t="str">
        <f t="shared" si="274"/>
        <v/>
      </c>
      <c r="K447" s="127" t="str">
        <f t="shared" si="275"/>
        <v/>
      </c>
      <c r="L447" s="127" t="str">
        <f>IF(NOT(ISERROR(VLOOKUP(B447,Deflatores!G$42:H$64,2,FALSE))),VLOOKUP(B447,Deflatores!G$42:H$64,2,FALSE),IF(OR(ISBLANK(C447),ISBLANK(B447)),"",VLOOKUP(C447,Deflatores!G$4:H$38,2,FALSE)*H447+VLOOKUP(C447,Deflatores!G$4:I$38,3,FALSE)))</f>
        <v/>
      </c>
      <c r="M447" s="10"/>
      <c r="N447" s="10"/>
      <c r="O447" s="6"/>
    </row>
    <row r="448" spans="1:15" x14ac:dyDescent="0.25">
      <c r="A448" s="119"/>
      <c r="B448" s="4"/>
      <c r="C448" s="4"/>
      <c r="D448" s="7"/>
      <c r="E448" s="7"/>
      <c r="F448" s="116" t="str">
        <f t="shared" si="270"/>
        <v/>
      </c>
      <c r="G448" s="7" t="str">
        <f t="shared" si="271"/>
        <v/>
      </c>
      <c r="H448" s="7" t="str">
        <f t="shared" si="272"/>
        <v/>
      </c>
      <c r="I448" s="116" t="str">
        <f t="shared" si="273"/>
        <v/>
      </c>
      <c r="J448" s="7" t="str">
        <f t="shared" si="274"/>
        <v/>
      </c>
      <c r="K448" s="127" t="str">
        <f t="shared" si="275"/>
        <v/>
      </c>
      <c r="L448" s="127" t="str">
        <f>IF(NOT(ISERROR(VLOOKUP(B448,Deflatores!G$42:H$64,2,FALSE))),VLOOKUP(B448,Deflatores!G$42:H$64,2,FALSE),IF(OR(ISBLANK(C448),ISBLANK(B448)),"",VLOOKUP(C448,Deflatores!G$4:H$38,2,FALSE)*H448+VLOOKUP(C448,Deflatores!G$4:I$38,3,FALSE)))</f>
        <v/>
      </c>
      <c r="M448" s="10"/>
      <c r="N448" s="10"/>
      <c r="O448" s="6"/>
    </row>
    <row r="449" spans="1:15" x14ac:dyDescent="0.25">
      <c r="A449" s="119"/>
      <c r="B449" s="4"/>
      <c r="C449" s="4"/>
      <c r="D449" s="7"/>
      <c r="E449" s="7"/>
      <c r="F449" s="116" t="str">
        <f t="shared" si="270"/>
        <v/>
      </c>
      <c r="G449" s="7" t="str">
        <f t="shared" si="271"/>
        <v/>
      </c>
      <c r="H449" s="7" t="str">
        <f t="shared" si="272"/>
        <v/>
      </c>
      <c r="I449" s="116" t="str">
        <f t="shared" si="273"/>
        <v/>
      </c>
      <c r="J449" s="7" t="str">
        <f t="shared" si="274"/>
        <v/>
      </c>
      <c r="K449" s="127" t="str">
        <f t="shared" si="275"/>
        <v/>
      </c>
      <c r="L449" s="127" t="str">
        <f>IF(NOT(ISERROR(VLOOKUP(B449,Deflatores!G$42:H$64,2,FALSE))),VLOOKUP(B449,Deflatores!G$42:H$64,2,FALSE),IF(OR(ISBLANK(C449),ISBLANK(B449)),"",VLOOKUP(C449,Deflatores!G$4:H$38,2,FALSE)*H449+VLOOKUP(C449,Deflatores!G$4:I$38,3,FALSE)))</f>
        <v/>
      </c>
      <c r="M449" s="10"/>
      <c r="N449" s="10"/>
      <c r="O449" s="6"/>
    </row>
    <row r="450" spans="1:15" x14ac:dyDescent="0.25">
      <c r="A450" s="119"/>
      <c r="B450" s="4"/>
      <c r="C450" s="4"/>
      <c r="D450" s="7"/>
      <c r="E450" s="7"/>
      <c r="F450" s="116" t="str">
        <f t="shared" si="270"/>
        <v/>
      </c>
      <c r="G450" s="7" t="str">
        <f t="shared" si="271"/>
        <v/>
      </c>
      <c r="H450" s="7" t="str">
        <f t="shared" si="272"/>
        <v/>
      </c>
      <c r="I450" s="116" t="str">
        <f t="shared" si="273"/>
        <v/>
      </c>
      <c r="J450" s="7" t="str">
        <f t="shared" si="274"/>
        <v/>
      </c>
      <c r="K450" s="127" t="str">
        <f t="shared" si="275"/>
        <v/>
      </c>
      <c r="L450" s="127" t="str">
        <f>IF(NOT(ISERROR(VLOOKUP(B450,Deflatores!G$42:H$64,2,FALSE))),VLOOKUP(B450,Deflatores!G$42:H$64,2,FALSE),IF(OR(ISBLANK(C450),ISBLANK(B450)),"",VLOOKUP(C450,Deflatores!G$4:H$38,2,FALSE)*H450+VLOOKUP(C450,Deflatores!G$4:I$38,3,FALSE)))</f>
        <v/>
      </c>
      <c r="M450" s="10"/>
      <c r="N450" s="10"/>
      <c r="O450" s="6"/>
    </row>
    <row r="451" spans="1:15" x14ac:dyDescent="0.25">
      <c r="A451" s="119"/>
      <c r="B451" s="4"/>
      <c r="C451" s="4"/>
      <c r="D451" s="7"/>
      <c r="E451" s="7"/>
      <c r="F451" s="116" t="str">
        <f t="shared" si="270"/>
        <v/>
      </c>
      <c r="G451" s="7" t="str">
        <f t="shared" si="271"/>
        <v/>
      </c>
      <c r="H451" s="7" t="str">
        <f t="shared" si="272"/>
        <v/>
      </c>
      <c r="I451" s="116" t="str">
        <f t="shared" si="273"/>
        <v/>
      </c>
      <c r="J451" s="7" t="str">
        <f t="shared" si="274"/>
        <v/>
      </c>
      <c r="K451" s="127" t="str">
        <f t="shared" si="275"/>
        <v/>
      </c>
      <c r="L451" s="127" t="str">
        <f>IF(NOT(ISERROR(VLOOKUP(B451,Deflatores!G$42:H$64,2,FALSE))),VLOOKUP(B451,Deflatores!G$42:H$64,2,FALSE),IF(OR(ISBLANK(C451),ISBLANK(B451)),"",VLOOKUP(C451,Deflatores!G$4:H$38,2,FALSE)*H451+VLOOKUP(C451,Deflatores!G$4:I$38,3,FALSE)))</f>
        <v/>
      </c>
      <c r="M451" s="10"/>
      <c r="N451" s="10"/>
      <c r="O451" s="6"/>
    </row>
    <row r="452" spans="1:15" x14ac:dyDescent="0.25">
      <c r="A452" s="119"/>
      <c r="B452" s="4"/>
      <c r="C452" s="4"/>
      <c r="D452" s="7"/>
      <c r="E452" s="7"/>
      <c r="F452" s="116" t="str">
        <f t="shared" si="270"/>
        <v/>
      </c>
      <c r="G452" s="7" t="str">
        <f t="shared" si="271"/>
        <v/>
      </c>
      <c r="H452" s="7" t="str">
        <f t="shared" si="272"/>
        <v/>
      </c>
      <c r="I452" s="116" t="str">
        <f t="shared" si="273"/>
        <v/>
      </c>
      <c r="J452" s="7" t="str">
        <f t="shared" si="274"/>
        <v/>
      </c>
      <c r="K452" s="127" t="str">
        <f t="shared" si="275"/>
        <v/>
      </c>
      <c r="L452" s="127" t="str">
        <f>IF(NOT(ISERROR(VLOOKUP(B452,Deflatores!G$42:H$64,2,FALSE))),VLOOKUP(B452,Deflatores!G$42:H$64,2,FALSE),IF(OR(ISBLANK(C452),ISBLANK(B452)),"",VLOOKUP(C452,Deflatores!G$4:H$38,2,FALSE)*H452+VLOOKUP(C452,Deflatores!G$4:I$38,3,FALSE)))</f>
        <v/>
      </c>
      <c r="M452" s="10"/>
      <c r="N452" s="10"/>
      <c r="O452" s="6"/>
    </row>
    <row r="453" spans="1:15" x14ac:dyDescent="0.25">
      <c r="A453" s="119"/>
      <c r="B453" s="4"/>
      <c r="C453" s="4"/>
      <c r="D453" s="7"/>
      <c r="E453" s="7"/>
      <c r="F453" s="116" t="str">
        <f t="shared" si="270"/>
        <v/>
      </c>
      <c r="G453" s="7" t="str">
        <f t="shared" si="271"/>
        <v/>
      </c>
      <c r="H453" s="7" t="str">
        <f t="shared" si="272"/>
        <v/>
      </c>
      <c r="I453" s="116" t="str">
        <f t="shared" si="273"/>
        <v/>
      </c>
      <c r="J453" s="7" t="str">
        <f t="shared" si="274"/>
        <v/>
      </c>
      <c r="K453" s="127" t="str">
        <f t="shared" si="275"/>
        <v/>
      </c>
      <c r="L453" s="127" t="str">
        <f>IF(NOT(ISERROR(VLOOKUP(B453,Deflatores!G$42:H$64,2,FALSE))),VLOOKUP(B453,Deflatores!G$42:H$64,2,FALSE),IF(OR(ISBLANK(C453),ISBLANK(B453)),"",VLOOKUP(C453,Deflatores!G$4:H$38,2,FALSE)*H453+VLOOKUP(C453,Deflatores!G$4:I$38,3,FALSE)))</f>
        <v/>
      </c>
      <c r="M453" s="10"/>
      <c r="N453" s="10"/>
      <c r="O453" s="6"/>
    </row>
    <row r="454" spans="1:15" x14ac:dyDescent="0.25">
      <c r="A454" s="119"/>
      <c r="B454" s="4"/>
      <c r="C454" s="4"/>
      <c r="D454" s="7"/>
      <c r="E454" s="7"/>
      <c r="F454" s="116" t="str">
        <f t="shared" si="270"/>
        <v/>
      </c>
      <c r="G454" s="7" t="str">
        <f t="shared" si="271"/>
        <v/>
      </c>
      <c r="H454" s="7" t="str">
        <f t="shared" si="272"/>
        <v/>
      </c>
      <c r="I454" s="116" t="str">
        <f t="shared" si="273"/>
        <v/>
      </c>
      <c r="J454" s="7" t="str">
        <f t="shared" si="274"/>
        <v/>
      </c>
      <c r="K454" s="127" t="str">
        <f t="shared" si="275"/>
        <v/>
      </c>
      <c r="L454" s="127" t="str">
        <f>IF(NOT(ISERROR(VLOOKUP(B454,Deflatores!G$42:H$64,2,FALSE))),VLOOKUP(B454,Deflatores!G$42:H$64,2,FALSE),IF(OR(ISBLANK(C454),ISBLANK(B454)),"",VLOOKUP(C454,Deflatores!G$4:H$38,2,FALSE)*H454+VLOOKUP(C454,Deflatores!G$4:I$38,3,FALSE)))</f>
        <v/>
      </c>
      <c r="M454" s="10"/>
      <c r="N454" s="10"/>
      <c r="O454" s="6"/>
    </row>
    <row r="455" spans="1:15" x14ac:dyDescent="0.25">
      <c r="A455" s="119"/>
      <c r="B455" s="4"/>
      <c r="C455" s="4"/>
      <c r="D455" s="7"/>
      <c r="E455" s="7"/>
      <c r="F455" s="116" t="str">
        <f t="shared" si="270"/>
        <v/>
      </c>
      <c r="G455" s="7" t="str">
        <f t="shared" si="271"/>
        <v/>
      </c>
      <c r="H455" s="7" t="str">
        <f t="shared" si="272"/>
        <v/>
      </c>
      <c r="I455" s="116" t="str">
        <f t="shared" si="273"/>
        <v/>
      </c>
      <c r="J455" s="7" t="str">
        <f t="shared" si="274"/>
        <v/>
      </c>
      <c r="K455" s="127" t="str">
        <f t="shared" si="275"/>
        <v/>
      </c>
      <c r="L455" s="127" t="str">
        <f>IF(NOT(ISERROR(VLOOKUP(B455,Deflatores!G$42:H$64,2,FALSE))),VLOOKUP(B455,Deflatores!G$42:H$64,2,FALSE),IF(OR(ISBLANK(C455),ISBLANK(B455)),"",VLOOKUP(C455,Deflatores!G$4:H$38,2,FALSE)*H455+VLOOKUP(C455,Deflatores!G$4:I$38,3,FALSE)))</f>
        <v/>
      </c>
      <c r="M455" s="10"/>
      <c r="N455" s="10"/>
      <c r="O455" s="6"/>
    </row>
    <row r="456" spans="1:15" x14ac:dyDescent="0.25">
      <c r="A456" s="119"/>
      <c r="B456" s="4"/>
      <c r="C456" s="4"/>
      <c r="D456" s="7"/>
      <c r="E456" s="7"/>
      <c r="F456" s="116" t="str">
        <f t="shared" si="270"/>
        <v/>
      </c>
      <c r="G456" s="7" t="str">
        <f t="shared" si="271"/>
        <v/>
      </c>
      <c r="H456" s="7" t="str">
        <f t="shared" si="272"/>
        <v/>
      </c>
      <c r="I456" s="116" t="str">
        <f t="shared" si="273"/>
        <v/>
      </c>
      <c r="J456" s="7" t="str">
        <f t="shared" si="274"/>
        <v/>
      </c>
      <c r="K456" s="127" t="str">
        <f t="shared" si="275"/>
        <v/>
      </c>
      <c r="L456" s="127" t="str">
        <f>IF(NOT(ISERROR(VLOOKUP(B456,Deflatores!G$42:H$64,2,FALSE))),VLOOKUP(B456,Deflatores!G$42:H$64,2,FALSE),IF(OR(ISBLANK(C456),ISBLANK(B456)),"",VLOOKUP(C456,Deflatores!G$4:H$38,2,FALSE)*H456+VLOOKUP(C456,Deflatores!G$4:I$38,3,FALSE)))</f>
        <v/>
      </c>
      <c r="M456" s="10"/>
      <c r="N456" s="10"/>
      <c r="O456" s="6"/>
    </row>
    <row r="457" spans="1:15" x14ac:dyDescent="0.25">
      <c r="A457" s="119"/>
      <c r="B457" s="4"/>
      <c r="C457" s="4"/>
      <c r="D457" s="7"/>
      <c r="E457" s="7"/>
      <c r="F457" s="116" t="str">
        <f t="shared" si="270"/>
        <v/>
      </c>
      <c r="G457" s="7" t="str">
        <f t="shared" si="271"/>
        <v/>
      </c>
      <c r="H457" s="7" t="str">
        <f t="shared" si="272"/>
        <v/>
      </c>
      <c r="I457" s="116" t="str">
        <f t="shared" si="273"/>
        <v/>
      </c>
      <c r="J457" s="7" t="str">
        <f t="shared" si="274"/>
        <v/>
      </c>
      <c r="K457" s="127" t="str">
        <f t="shared" si="275"/>
        <v/>
      </c>
      <c r="L457" s="127" t="str">
        <f>IF(NOT(ISERROR(VLOOKUP(B457,Deflatores!G$42:H$64,2,FALSE))),VLOOKUP(B457,Deflatores!G$42:H$64,2,FALSE),IF(OR(ISBLANK(C457),ISBLANK(B457)),"",VLOOKUP(C457,Deflatores!G$4:H$38,2,FALSE)*H457+VLOOKUP(C457,Deflatores!G$4:I$38,3,FALSE)))</f>
        <v/>
      </c>
      <c r="M457" s="10"/>
      <c r="N457" s="10"/>
      <c r="O457" s="6"/>
    </row>
    <row r="458" spans="1:15" x14ac:dyDescent="0.25">
      <c r="A458" s="119"/>
      <c r="B458" s="4"/>
      <c r="C458" s="4"/>
      <c r="D458" s="7"/>
      <c r="E458" s="7"/>
      <c r="F458" s="116" t="str">
        <f t="shared" si="270"/>
        <v/>
      </c>
      <c r="G458" s="7" t="str">
        <f t="shared" si="271"/>
        <v/>
      </c>
      <c r="H458" s="7" t="str">
        <f t="shared" si="272"/>
        <v/>
      </c>
      <c r="I458" s="116" t="str">
        <f t="shared" si="273"/>
        <v/>
      </c>
      <c r="J458" s="7" t="str">
        <f t="shared" si="274"/>
        <v/>
      </c>
      <c r="K458" s="127" t="str">
        <f t="shared" si="275"/>
        <v/>
      </c>
      <c r="L458" s="127" t="str">
        <f>IF(NOT(ISERROR(VLOOKUP(B458,Deflatores!G$42:H$64,2,FALSE))),VLOOKUP(B458,Deflatores!G$42:H$64,2,FALSE),IF(OR(ISBLANK(C458),ISBLANK(B458)),"",VLOOKUP(C458,Deflatores!G$4:H$38,2,FALSE)*H458+VLOOKUP(C458,Deflatores!G$4:I$38,3,FALSE)))</f>
        <v/>
      </c>
      <c r="M458" s="10"/>
      <c r="N458" s="10"/>
      <c r="O458" s="6"/>
    </row>
    <row r="459" spans="1:15" x14ac:dyDescent="0.25">
      <c r="A459" s="119"/>
      <c r="B459" s="4"/>
      <c r="C459" s="4"/>
      <c r="D459" s="7"/>
      <c r="E459" s="7"/>
      <c r="F459" s="116" t="str">
        <f t="shared" si="270"/>
        <v/>
      </c>
      <c r="G459" s="7" t="str">
        <f t="shared" si="271"/>
        <v/>
      </c>
      <c r="H459" s="7" t="str">
        <f t="shared" si="272"/>
        <v/>
      </c>
      <c r="I459" s="116" t="str">
        <f t="shared" si="273"/>
        <v/>
      </c>
      <c r="J459" s="7" t="str">
        <f t="shared" si="274"/>
        <v/>
      </c>
      <c r="K459" s="127" t="str">
        <f t="shared" si="275"/>
        <v/>
      </c>
      <c r="L459" s="127" t="str">
        <f>IF(NOT(ISERROR(VLOOKUP(B459,Deflatores!G$42:H$64,2,FALSE))),VLOOKUP(B459,Deflatores!G$42:H$64,2,FALSE),IF(OR(ISBLANK(C459),ISBLANK(B459)),"",VLOOKUP(C459,Deflatores!G$4:H$38,2,FALSE)*H459+VLOOKUP(C459,Deflatores!G$4:I$38,3,FALSE)))</f>
        <v/>
      </c>
      <c r="M459" s="10"/>
      <c r="N459" s="10"/>
      <c r="O459" s="6"/>
    </row>
    <row r="460" spans="1:15" x14ac:dyDescent="0.25">
      <c r="A460" s="119"/>
      <c r="B460" s="4"/>
      <c r="C460" s="4"/>
      <c r="D460" s="7"/>
      <c r="E460" s="7"/>
      <c r="F460" s="116" t="str">
        <f t="shared" si="270"/>
        <v/>
      </c>
      <c r="G460" s="7" t="str">
        <f t="shared" si="271"/>
        <v/>
      </c>
      <c r="H460" s="7" t="str">
        <f t="shared" si="272"/>
        <v/>
      </c>
      <c r="I460" s="116" t="str">
        <f t="shared" si="273"/>
        <v/>
      </c>
      <c r="J460" s="7" t="str">
        <f t="shared" si="274"/>
        <v/>
      </c>
      <c r="K460" s="127" t="str">
        <f t="shared" si="275"/>
        <v/>
      </c>
      <c r="L460" s="127" t="str">
        <f>IF(NOT(ISERROR(VLOOKUP(B460,Deflatores!G$42:H$64,2,FALSE))),VLOOKUP(B460,Deflatores!G$42:H$64,2,FALSE),IF(OR(ISBLANK(C460),ISBLANK(B460)),"",VLOOKUP(C460,Deflatores!G$4:H$38,2,FALSE)*H460+VLOOKUP(C460,Deflatores!G$4:I$38,3,FALSE)))</f>
        <v/>
      </c>
      <c r="M460" s="10"/>
      <c r="N460" s="10"/>
      <c r="O460" s="6"/>
    </row>
    <row r="461" spans="1:15" x14ac:dyDescent="0.25">
      <c r="A461" s="119"/>
      <c r="B461" s="4"/>
      <c r="C461" s="4"/>
      <c r="D461" s="7"/>
      <c r="E461" s="7"/>
      <c r="F461" s="116" t="str">
        <f t="shared" si="270"/>
        <v/>
      </c>
      <c r="G461" s="7" t="str">
        <f t="shared" si="271"/>
        <v/>
      </c>
      <c r="H461" s="7" t="str">
        <f t="shared" si="272"/>
        <v/>
      </c>
      <c r="I461" s="116" t="str">
        <f t="shared" si="273"/>
        <v/>
      </c>
      <c r="J461" s="7" t="str">
        <f t="shared" si="274"/>
        <v/>
      </c>
      <c r="K461" s="127" t="str">
        <f t="shared" si="275"/>
        <v/>
      </c>
      <c r="L461" s="127" t="str">
        <f>IF(NOT(ISERROR(VLOOKUP(B461,Deflatores!G$42:H$64,2,FALSE))),VLOOKUP(B461,Deflatores!G$42:H$64,2,FALSE),IF(OR(ISBLANK(C461),ISBLANK(B461)),"",VLOOKUP(C461,Deflatores!G$4:H$38,2,FALSE)*H461+VLOOKUP(C461,Deflatores!G$4:I$38,3,FALSE)))</f>
        <v/>
      </c>
      <c r="M461" s="10"/>
      <c r="N461" s="10"/>
      <c r="O461" s="6"/>
    </row>
    <row r="462" spans="1:15" x14ac:dyDescent="0.25">
      <c r="A462" s="119"/>
      <c r="B462" s="4"/>
      <c r="C462" s="4"/>
      <c r="D462" s="7"/>
      <c r="E462" s="7"/>
      <c r="F462" s="116" t="str">
        <f t="shared" si="270"/>
        <v/>
      </c>
      <c r="G462" s="7" t="str">
        <f t="shared" si="271"/>
        <v/>
      </c>
      <c r="H462" s="7" t="str">
        <f t="shared" si="272"/>
        <v/>
      </c>
      <c r="I462" s="116" t="str">
        <f t="shared" si="273"/>
        <v/>
      </c>
      <c r="J462" s="7" t="str">
        <f t="shared" si="274"/>
        <v/>
      </c>
      <c r="K462" s="127" t="str">
        <f t="shared" si="275"/>
        <v/>
      </c>
      <c r="L462" s="127" t="str">
        <f>IF(NOT(ISERROR(VLOOKUP(B462,Deflatores!G$42:H$64,2,FALSE))),VLOOKUP(B462,Deflatores!G$42:H$64,2,FALSE),IF(OR(ISBLANK(C462),ISBLANK(B462)),"",VLOOKUP(C462,Deflatores!G$4:H$38,2,FALSE)*H462+VLOOKUP(C462,Deflatores!G$4:I$38,3,FALSE)))</f>
        <v/>
      </c>
      <c r="M462" s="10"/>
      <c r="N462" s="10"/>
      <c r="O462" s="6"/>
    </row>
    <row r="463" spans="1:15" x14ac:dyDescent="0.25">
      <c r="A463" s="119"/>
      <c r="B463" s="4"/>
      <c r="C463" s="4"/>
      <c r="D463" s="7"/>
      <c r="E463" s="7"/>
      <c r="F463" s="116" t="str">
        <f t="shared" si="270"/>
        <v/>
      </c>
      <c r="G463" s="7" t="str">
        <f t="shared" si="271"/>
        <v/>
      </c>
      <c r="H463" s="7" t="str">
        <f t="shared" si="272"/>
        <v/>
      </c>
      <c r="I463" s="116" t="str">
        <f t="shared" si="273"/>
        <v/>
      </c>
      <c r="J463" s="7" t="str">
        <f t="shared" si="274"/>
        <v/>
      </c>
      <c r="K463" s="127" t="str">
        <f t="shared" si="275"/>
        <v/>
      </c>
      <c r="L463" s="127" t="str">
        <f>IF(NOT(ISERROR(VLOOKUP(B463,Deflatores!G$42:H$64,2,FALSE))),VLOOKUP(B463,Deflatores!G$42:H$64,2,FALSE),IF(OR(ISBLANK(C463),ISBLANK(B463)),"",VLOOKUP(C463,Deflatores!G$4:H$38,2,FALSE)*H463+VLOOKUP(C463,Deflatores!G$4:I$38,3,FALSE)))</f>
        <v/>
      </c>
      <c r="M463" s="10"/>
      <c r="N463" s="10"/>
      <c r="O463" s="6"/>
    </row>
    <row r="464" spans="1:15" x14ac:dyDescent="0.25">
      <c r="A464" s="119"/>
      <c r="B464" s="4"/>
      <c r="C464" s="4"/>
      <c r="D464" s="7"/>
      <c r="E464" s="7"/>
      <c r="F464" s="116" t="str">
        <f t="shared" si="270"/>
        <v/>
      </c>
      <c r="G464" s="7" t="str">
        <f t="shared" si="271"/>
        <v/>
      </c>
      <c r="H464" s="7" t="str">
        <f t="shared" si="272"/>
        <v/>
      </c>
      <c r="I464" s="116" t="str">
        <f t="shared" si="273"/>
        <v/>
      </c>
      <c r="J464" s="7" t="str">
        <f t="shared" si="274"/>
        <v/>
      </c>
      <c r="K464" s="127" t="str">
        <f t="shared" si="275"/>
        <v/>
      </c>
      <c r="L464" s="127" t="str">
        <f>IF(NOT(ISERROR(VLOOKUP(B464,Deflatores!G$42:H$64,2,FALSE))),VLOOKUP(B464,Deflatores!G$42:H$64,2,FALSE),IF(OR(ISBLANK(C464),ISBLANK(B464)),"",VLOOKUP(C464,Deflatores!G$4:H$38,2,FALSE)*H464+VLOOKUP(C464,Deflatores!G$4:I$38,3,FALSE)))</f>
        <v/>
      </c>
      <c r="M464" s="10"/>
      <c r="N464" s="10"/>
      <c r="O464" s="6"/>
    </row>
    <row r="465" spans="1:15" x14ac:dyDescent="0.25">
      <c r="A465" s="119"/>
      <c r="B465" s="4"/>
      <c r="C465" s="4"/>
      <c r="D465" s="7"/>
      <c r="E465" s="7"/>
      <c r="F465" s="116" t="str">
        <f t="shared" si="270"/>
        <v/>
      </c>
      <c r="G465" s="7" t="str">
        <f t="shared" si="271"/>
        <v/>
      </c>
      <c r="H465" s="7" t="str">
        <f t="shared" si="272"/>
        <v/>
      </c>
      <c r="I465" s="116" t="str">
        <f t="shared" si="273"/>
        <v/>
      </c>
      <c r="J465" s="7" t="str">
        <f t="shared" si="274"/>
        <v/>
      </c>
      <c r="K465" s="127" t="str">
        <f t="shared" si="275"/>
        <v/>
      </c>
      <c r="L465" s="127" t="str">
        <f>IF(NOT(ISERROR(VLOOKUP(B465,Deflatores!G$42:H$64,2,FALSE))),VLOOKUP(B465,Deflatores!G$42:H$64,2,FALSE),IF(OR(ISBLANK(C465),ISBLANK(B465)),"",VLOOKUP(C465,Deflatores!G$4:H$38,2,FALSE)*H465+VLOOKUP(C465,Deflatores!G$4:I$38,3,FALSE)))</f>
        <v/>
      </c>
      <c r="M465" s="10"/>
      <c r="N465" s="10"/>
      <c r="O465" s="6"/>
    </row>
    <row r="466" spans="1:15" x14ac:dyDescent="0.25">
      <c r="A466" s="119"/>
      <c r="B466" s="4"/>
      <c r="C466" s="4"/>
      <c r="D466" s="7"/>
      <c r="E466" s="7"/>
      <c r="F466" s="116" t="str">
        <f t="shared" si="270"/>
        <v/>
      </c>
      <c r="G466" s="7" t="str">
        <f t="shared" si="271"/>
        <v/>
      </c>
      <c r="H466" s="7" t="str">
        <f t="shared" si="272"/>
        <v/>
      </c>
      <c r="I466" s="116" t="str">
        <f t="shared" si="273"/>
        <v/>
      </c>
      <c r="J466" s="7" t="str">
        <f t="shared" si="274"/>
        <v/>
      </c>
      <c r="K466" s="127" t="str">
        <f t="shared" si="275"/>
        <v/>
      </c>
      <c r="L466" s="127" t="str">
        <f>IF(NOT(ISERROR(VLOOKUP(B466,Deflatores!G$42:H$64,2,FALSE))),VLOOKUP(B466,Deflatores!G$42:H$64,2,FALSE),IF(OR(ISBLANK(C466),ISBLANK(B466)),"",VLOOKUP(C466,Deflatores!G$4:H$38,2,FALSE)*H466+VLOOKUP(C466,Deflatores!G$4:I$38,3,FALSE)))</f>
        <v/>
      </c>
      <c r="M466" s="10"/>
      <c r="N466" s="10"/>
      <c r="O466" s="6"/>
    </row>
    <row r="467" spans="1:15" x14ac:dyDescent="0.25">
      <c r="A467" s="119"/>
      <c r="B467" s="4"/>
      <c r="C467" s="4"/>
      <c r="D467" s="7"/>
      <c r="E467" s="7"/>
      <c r="F467" s="116" t="str">
        <f t="shared" si="270"/>
        <v/>
      </c>
      <c r="G467" s="7" t="str">
        <f t="shared" si="271"/>
        <v/>
      </c>
      <c r="H467" s="7" t="str">
        <f t="shared" si="272"/>
        <v/>
      </c>
      <c r="I467" s="116" t="str">
        <f t="shared" si="273"/>
        <v/>
      </c>
      <c r="J467" s="7" t="str">
        <f t="shared" si="274"/>
        <v/>
      </c>
      <c r="K467" s="127" t="str">
        <f t="shared" si="275"/>
        <v/>
      </c>
      <c r="L467" s="127" t="str">
        <f>IF(NOT(ISERROR(VLOOKUP(B467,Deflatores!G$42:H$64,2,FALSE))),VLOOKUP(B467,Deflatores!G$42:H$64,2,FALSE),IF(OR(ISBLANK(C467),ISBLANK(B467)),"",VLOOKUP(C467,Deflatores!G$4:H$38,2,FALSE)*H467+VLOOKUP(C467,Deflatores!G$4:I$38,3,FALSE)))</f>
        <v/>
      </c>
      <c r="M467" s="10"/>
      <c r="N467" s="10"/>
      <c r="O467" s="6"/>
    </row>
    <row r="468" spans="1:15" x14ac:dyDescent="0.25">
      <c r="A468" s="119"/>
      <c r="B468" s="4"/>
      <c r="C468" s="4"/>
      <c r="D468" s="7"/>
      <c r="E468" s="7"/>
      <c r="F468" s="116" t="str">
        <f t="shared" si="270"/>
        <v/>
      </c>
      <c r="G468" s="7" t="str">
        <f t="shared" si="271"/>
        <v/>
      </c>
      <c r="H468" s="7" t="str">
        <f t="shared" si="272"/>
        <v/>
      </c>
      <c r="I468" s="116" t="str">
        <f t="shared" si="273"/>
        <v/>
      </c>
      <c r="J468" s="7" t="str">
        <f t="shared" si="274"/>
        <v/>
      </c>
      <c r="K468" s="127" t="str">
        <f t="shared" si="275"/>
        <v/>
      </c>
      <c r="L468" s="127" t="str">
        <f>IF(NOT(ISERROR(VLOOKUP(B468,Deflatores!G$42:H$64,2,FALSE))),VLOOKUP(B468,Deflatores!G$42:H$64,2,FALSE),IF(OR(ISBLANK(C468),ISBLANK(B468)),"",VLOOKUP(C468,Deflatores!G$4:H$38,2,FALSE)*H468+VLOOKUP(C468,Deflatores!G$4:I$38,3,FALSE)))</f>
        <v/>
      </c>
      <c r="M468" s="10"/>
      <c r="N468" s="10"/>
      <c r="O468" s="6"/>
    </row>
    <row r="469" spans="1:15" x14ac:dyDescent="0.25">
      <c r="A469" s="119"/>
      <c r="B469" s="4"/>
      <c r="C469" s="4"/>
      <c r="D469" s="7"/>
      <c r="E469" s="7"/>
      <c r="F469" s="116" t="str">
        <f t="shared" si="270"/>
        <v/>
      </c>
      <c r="G469" s="7" t="str">
        <f t="shared" si="271"/>
        <v/>
      </c>
      <c r="H469" s="7" t="str">
        <f t="shared" si="272"/>
        <v/>
      </c>
      <c r="I469" s="116" t="str">
        <f t="shared" si="273"/>
        <v/>
      </c>
      <c r="J469" s="7" t="str">
        <f t="shared" si="274"/>
        <v/>
      </c>
      <c r="K469" s="127" t="str">
        <f t="shared" si="275"/>
        <v/>
      </c>
      <c r="L469" s="127" t="str">
        <f>IF(NOT(ISERROR(VLOOKUP(B469,Deflatores!G$42:H$64,2,FALSE))),VLOOKUP(B469,Deflatores!G$42:H$64,2,FALSE),IF(OR(ISBLANK(C469),ISBLANK(B469)),"",VLOOKUP(C469,Deflatores!G$4:H$38,2,FALSE)*H469+VLOOKUP(C469,Deflatores!G$4:I$38,3,FALSE)))</f>
        <v/>
      </c>
      <c r="M469" s="10"/>
      <c r="N469" s="10"/>
      <c r="O469" s="6"/>
    </row>
    <row r="470" spans="1:15" x14ac:dyDescent="0.25">
      <c r="A470" s="119"/>
      <c r="B470" s="4"/>
      <c r="C470" s="4"/>
      <c r="D470" s="7"/>
      <c r="E470" s="7"/>
      <c r="F470" s="116" t="str">
        <f t="shared" si="270"/>
        <v/>
      </c>
      <c r="G470" s="7" t="str">
        <f t="shared" si="271"/>
        <v/>
      </c>
      <c r="H470" s="7" t="str">
        <f t="shared" si="272"/>
        <v/>
      </c>
      <c r="I470" s="116" t="str">
        <f t="shared" si="273"/>
        <v/>
      </c>
      <c r="J470" s="7" t="str">
        <f t="shared" si="274"/>
        <v/>
      </c>
      <c r="K470" s="127" t="str">
        <f t="shared" si="275"/>
        <v/>
      </c>
      <c r="L470" s="127" t="str">
        <f>IF(NOT(ISERROR(VLOOKUP(B470,Deflatores!G$42:H$64,2,FALSE))),VLOOKUP(B470,Deflatores!G$42:H$64,2,FALSE),IF(OR(ISBLANK(C470),ISBLANK(B470)),"",VLOOKUP(C470,Deflatores!G$4:H$38,2,FALSE)*H470+VLOOKUP(C470,Deflatores!G$4:I$38,3,FALSE)))</f>
        <v/>
      </c>
      <c r="M470" s="10"/>
      <c r="N470" s="10"/>
      <c r="O470" s="6"/>
    </row>
    <row r="471" spans="1:15" x14ac:dyDescent="0.25">
      <c r="A471" s="119"/>
      <c r="B471" s="4"/>
      <c r="C471" s="4"/>
      <c r="D471" s="7"/>
      <c r="E471" s="7"/>
      <c r="F471" s="116" t="str">
        <f t="shared" si="270"/>
        <v/>
      </c>
      <c r="G471" s="7" t="str">
        <f t="shared" si="271"/>
        <v/>
      </c>
      <c r="H471" s="7" t="str">
        <f t="shared" si="272"/>
        <v/>
      </c>
      <c r="I471" s="116" t="str">
        <f t="shared" si="273"/>
        <v/>
      </c>
      <c r="J471" s="7" t="str">
        <f t="shared" si="274"/>
        <v/>
      </c>
      <c r="K471" s="127" t="str">
        <f t="shared" si="275"/>
        <v/>
      </c>
      <c r="L471" s="127" t="str">
        <f>IF(NOT(ISERROR(VLOOKUP(B471,Deflatores!G$42:H$64,2,FALSE))),VLOOKUP(B471,Deflatores!G$42:H$64,2,FALSE),IF(OR(ISBLANK(C471),ISBLANK(B471)),"",VLOOKUP(C471,Deflatores!G$4:H$38,2,FALSE)*H471+VLOOKUP(C471,Deflatores!G$4:I$38,3,FALSE)))</f>
        <v/>
      </c>
      <c r="M471" s="10"/>
      <c r="N471" s="10"/>
      <c r="O471" s="6"/>
    </row>
    <row r="472" spans="1:15" x14ac:dyDescent="0.25">
      <c r="A472" s="119"/>
      <c r="B472" s="4"/>
      <c r="C472" s="4"/>
      <c r="D472" s="7"/>
      <c r="E472" s="7"/>
      <c r="F472" s="116" t="str">
        <f t="shared" si="270"/>
        <v/>
      </c>
      <c r="G472" s="7" t="str">
        <f t="shared" si="271"/>
        <v/>
      </c>
      <c r="H472" s="7" t="str">
        <f t="shared" si="272"/>
        <v/>
      </c>
      <c r="I472" s="116" t="str">
        <f t="shared" si="273"/>
        <v/>
      </c>
      <c r="J472" s="7" t="str">
        <f t="shared" si="274"/>
        <v/>
      </c>
      <c r="K472" s="127" t="str">
        <f t="shared" si="275"/>
        <v/>
      </c>
      <c r="L472" s="127" t="str">
        <f>IF(NOT(ISERROR(VLOOKUP(B472,Deflatores!G$42:H$64,2,FALSE))),VLOOKUP(B472,Deflatores!G$42:H$64,2,FALSE),IF(OR(ISBLANK(C472),ISBLANK(B472)),"",VLOOKUP(C472,Deflatores!G$4:H$38,2,FALSE)*H472+VLOOKUP(C472,Deflatores!G$4:I$38,3,FALSE)))</f>
        <v/>
      </c>
      <c r="M472" s="10"/>
      <c r="N472" s="10"/>
      <c r="O472" s="6"/>
    </row>
    <row r="473" spans="1:15" x14ac:dyDescent="0.25">
      <c r="A473" s="119"/>
      <c r="B473" s="4"/>
      <c r="C473" s="4"/>
      <c r="D473" s="7"/>
      <c r="E473" s="7"/>
      <c r="F473" s="116" t="str">
        <f t="shared" si="270"/>
        <v/>
      </c>
      <c r="G473" s="7" t="str">
        <f t="shared" si="271"/>
        <v/>
      </c>
      <c r="H473" s="7" t="str">
        <f t="shared" si="272"/>
        <v/>
      </c>
      <c r="I473" s="116" t="str">
        <f t="shared" si="273"/>
        <v/>
      </c>
      <c r="J473" s="7" t="str">
        <f t="shared" si="274"/>
        <v/>
      </c>
      <c r="K473" s="127" t="str">
        <f t="shared" si="275"/>
        <v/>
      </c>
      <c r="L473" s="127" t="str">
        <f>IF(NOT(ISERROR(VLOOKUP(B473,Deflatores!G$42:H$64,2,FALSE))),VLOOKUP(B473,Deflatores!G$42:H$64,2,FALSE),IF(OR(ISBLANK(C473),ISBLANK(B473)),"",VLOOKUP(C473,Deflatores!G$4:H$38,2,FALSE)*H473+VLOOKUP(C473,Deflatores!G$4:I$38,3,FALSE)))</f>
        <v/>
      </c>
      <c r="M473" s="10"/>
      <c r="N473" s="10"/>
      <c r="O473" s="6"/>
    </row>
    <row r="474" spans="1:15" x14ac:dyDescent="0.25">
      <c r="A474" s="119"/>
      <c r="B474" s="4"/>
      <c r="C474" s="4"/>
      <c r="D474" s="7"/>
      <c r="E474" s="7"/>
      <c r="F474" s="116" t="str">
        <f t="shared" si="270"/>
        <v/>
      </c>
      <c r="G474" s="7" t="str">
        <f t="shared" si="271"/>
        <v/>
      </c>
      <c r="H474" s="7" t="str">
        <f t="shared" si="272"/>
        <v/>
      </c>
      <c r="I474" s="116" t="str">
        <f t="shared" si="273"/>
        <v/>
      </c>
      <c r="J474" s="7" t="str">
        <f t="shared" si="274"/>
        <v/>
      </c>
      <c r="K474" s="127" t="str">
        <f t="shared" si="275"/>
        <v/>
      </c>
      <c r="L474" s="127" t="str">
        <f>IF(NOT(ISERROR(VLOOKUP(B474,Deflatores!G$42:H$64,2,FALSE))),VLOOKUP(B474,Deflatores!G$42:H$64,2,FALSE),IF(OR(ISBLANK(C474),ISBLANK(B474)),"",VLOOKUP(C474,Deflatores!G$4:H$38,2,FALSE)*H474+VLOOKUP(C474,Deflatores!G$4:I$38,3,FALSE)))</f>
        <v/>
      </c>
      <c r="M474" s="10"/>
      <c r="N474" s="10"/>
      <c r="O474" s="6"/>
    </row>
    <row r="475" spans="1:15" x14ac:dyDescent="0.25">
      <c r="A475" s="119"/>
      <c r="B475" s="4"/>
      <c r="C475" s="4"/>
      <c r="D475" s="7"/>
      <c r="E475" s="7"/>
      <c r="F475" s="116" t="str">
        <f t="shared" si="270"/>
        <v/>
      </c>
      <c r="G475" s="7" t="str">
        <f t="shared" si="271"/>
        <v/>
      </c>
      <c r="H475" s="7" t="str">
        <f t="shared" si="272"/>
        <v/>
      </c>
      <c r="I475" s="116" t="str">
        <f t="shared" si="273"/>
        <v/>
      </c>
      <c r="J475" s="7" t="str">
        <f t="shared" si="274"/>
        <v/>
      </c>
      <c r="K475" s="127" t="str">
        <f t="shared" si="275"/>
        <v/>
      </c>
      <c r="L475" s="127" t="str">
        <f>IF(NOT(ISERROR(VLOOKUP(B475,Deflatores!G$42:H$64,2,FALSE))),VLOOKUP(B475,Deflatores!G$42:H$64,2,FALSE),IF(OR(ISBLANK(C475),ISBLANK(B475)),"",VLOOKUP(C475,Deflatores!G$4:H$38,2,FALSE)*H475+VLOOKUP(C475,Deflatores!G$4:I$38,3,FALSE)))</f>
        <v/>
      </c>
      <c r="M475" s="10"/>
      <c r="N475" s="10"/>
      <c r="O475" s="6"/>
    </row>
    <row r="476" spans="1:15" x14ac:dyDescent="0.25">
      <c r="A476" s="119"/>
      <c r="B476" s="4"/>
      <c r="C476" s="4"/>
      <c r="D476" s="7"/>
      <c r="E476" s="7"/>
      <c r="F476" s="116" t="str">
        <f t="shared" si="270"/>
        <v/>
      </c>
      <c r="G476" s="7" t="str">
        <f t="shared" si="271"/>
        <v/>
      </c>
      <c r="H476" s="7" t="str">
        <f t="shared" si="272"/>
        <v/>
      </c>
      <c r="I476" s="116" t="str">
        <f t="shared" si="273"/>
        <v/>
      </c>
      <c r="J476" s="7" t="str">
        <f t="shared" si="274"/>
        <v/>
      </c>
      <c r="K476" s="127" t="str">
        <f t="shared" si="275"/>
        <v/>
      </c>
      <c r="L476" s="127" t="str">
        <f>IF(NOT(ISERROR(VLOOKUP(B476,Deflatores!G$42:H$64,2,FALSE))),VLOOKUP(B476,Deflatores!G$42:H$64,2,FALSE),IF(OR(ISBLANK(C476),ISBLANK(B476)),"",VLOOKUP(C476,Deflatores!G$4:H$38,2,FALSE)*H476+VLOOKUP(C476,Deflatores!G$4:I$38,3,FALSE)))</f>
        <v/>
      </c>
      <c r="M476" s="10"/>
      <c r="N476" s="10"/>
      <c r="O476" s="6"/>
    </row>
    <row r="477" spans="1:15" x14ac:dyDescent="0.25">
      <c r="A477" s="119"/>
      <c r="B477" s="4"/>
      <c r="C477" s="4"/>
      <c r="D477" s="7"/>
      <c r="E477" s="7"/>
      <c r="F477" s="116" t="str">
        <f t="shared" si="270"/>
        <v/>
      </c>
      <c r="G477" s="7" t="str">
        <f t="shared" si="271"/>
        <v/>
      </c>
      <c r="H477" s="7" t="str">
        <f t="shared" si="272"/>
        <v/>
      </c>
      <c r="I477" s="116" t="str">
        <f t="shared" si="273"/>
        <v/>
      </c>
      <c r="J477" s="7" t="str">
        <f t="shared" si="274"/>
        <v/>
      </c>
      <c r="K477" s="127" t="str">
        <f t="shared" si="275"/>
        <v/>
      </c>
      <c r="L477" s="127" t="str">
        <f>IF(NOT(ISERROR(VLOOKUP(B477,Deflatores!G$42:H$64,2,FALSE))),VLOOKUP(B477,Deflatores!G$42:H$64,2,FALSE),IF(OR(ISBLANK(C477),ISBLANK(B477)),"",VLOOKUP(C477,Deflatores!G$4:H$38,2,FALSE)*H477+VLOOKUP(C477,Deflatores!G$4:I$38,3,FALSE)))</f>
        <v/>
      </c>
      <c r="M477" s="10"/>
      <c r="N477" s="10"/>
      <c r="O477" s="6"/>
    </row>
    <row r="478" spans="1:15" x14ac:dyDescent="0.25">
      <c r="A478" s="119"/>
      <c r="B478" s="4"/>
      <c r="C478" s="4"/>
      <c r="D478" s="7"/>
      <c r="E478" s="7"/>
      <c r="F478" s="116" t="str">
        <f t="shared" si="270"/>
        <v/>
      </c>
      <c r="G478" s="7" t="str">
        <f t="shared" si="271"/>
        <v/>
      </c>
      <c r="H478" s="7" t="str">
        <f t="shared" si="272"/>
        <v/>
      </c>
      <c r="I478" s="116" t="str">
        <f t="shared" si="273"/>
        <v/>
      </c>
      <c r="J478" s="7" t="str">
        <f t="shared" si="274"/>
        <v/>
      </c>
      <c r="K478" s="127" t="str">
        <f t="shared" si="275"/>
        <v/>
      </c>
      <c r="L478" s="127" t="str">
        <f>IF(NOT(ISERROR(VLOOKUP(B478,Deflatores!G$42:H$64,2,FALSE))),VLOOKUP(B478,Deflatores!G$42:H$64,2,FALSE),IF(OR(ISBLANK(C478),ISBLANK(B478)),"",VLOOKUP(C478,Deflatores!G$4:H$38,2,FALSE)*H478+VLOOKUP(C478,Deflatores!G$4:I$38,3,FALSE)))</f>
        <v/>
      </c>
      <c r="M478" s="10"/>
      <c r="N478" s="10"/>
      <c r="O478" s="6"/>
    </row>
    <row r="479" spans="1:15" x14ac:dyDescent="0.25">
      <c r="A479" s="119"/>
      <c r="B479" s="4"/>
      <c r="C479" s="4"/>
      <c r="D479" s="7"/>
      <c r="E479" s="7"/>
      <c r="F479" s="116" t="str">
        <f t="shared" si="270"/>
        <v/>
      </c>
      <c r="G479" s="7" t="str">
        <f t="shared" si="271"/>
        <v/>
      </c>
      <c r="H479" s="7" t="str">
        <f t="shared" si="272"/>
        <v/>
      </c>
      <c r="I479" s="116" t="str">
        <f t="shared" si="273"/>
        <v/>
      </c>
      <c r="J479" s="7" t="str">
        <f t="shared" si="274"/>
        <v/>
      </c>
      <c r="K479" s="127" t="str">
        <f t="shared" si="275"/>
        <v/>
      </c>
      <c r="L479" s="127" t="str">
        <f>IF(NOT(ISERROR(VLOOKUP(B479,Deflatores!G$42:H$64,2,FALSE))),VLOOKUP(B479,Deflatores!G$42:H$64,2,FALSE),IF(OR(ISBLANK(C479),ISBLANK(B479)),"",VLOOKUP(C479,Deflatores!G$4:H$38,2,FALSE)*H479+VLOOKUP(C479,Deflatores!G$4:I$38,3,FALSE)))</f>
        <v/>
      </c>
      <c r="M479" s="10"/>
      <c r="N479" s="10"/>
      <c r="O479" s="6"/>
    </row>
    <row r="480" spans="1:15" x14ac:dyDescent="0.25">
      <c r="A480" s="119"/>
      <c r="B480" s="4"/>
      <c r="C480" s="4"/>
      <c r="D480" s="7"/>
      <c r="E480" s="7"/>
      <c r="F480" s="116" t="str">
        <f t="shared" si="270"/>
        <v/>
      </c>
      <c r="G480" s="7" t="str">
        <f t="shared" si="271"/>
        <v/>
      </c>
      <c r="H480" s="7" t="str">
        <f t="shared" si="272"/>
        <v/>
      </c>
      <c r="I480" s="116" t="str">
        <f t="shared" si="273"/>
        <v/>
      </c>
      <c r="J480" s="7" t="str">
        <f t="shared" si="274"/>
        <v/>
      </c>
      <c r="K480" s="127" t="str">
        <f t="shared" si="275"/>
        <v/>
      </c>
      <c r="L480" s="127" t="str">
        <f>IF(NOT(ISERROR(VLOOKUP(B480,Deflatores!G$42:H$64,2,FALSE))),VLOOKUP(B480,Deflatores!G$42:H$64,2,FALSE),IF(OR(ISBLANK(C480),ISBLANK(B480)),"",VLOOKUP(C480,Deflatores!G$4:H$38,2,FALSE)*H480+VLOOKUP(C480,Deflatores!G$4:I$38,3,FALSE)))</f>
        <v/>
      </c>
      <c r="M480" s="10"/>
      <c r="N480" s="10"/>
      <c r="O480" s="6"/>
    </row>
    <row r="481" spans="1:15" x14ac:dyDescent="0.25">
      <c r="A481" s="119"/>
      <c r="B481" s="4"/>
      <c r="C481" s="4"/>
      <c r="D481" s="7"/>
      <c r="E481" s="7"/>
      <c r="F481" s="116" t="str">
        <f t="shared" ref="F481:F544" si="276">IF(ISBLANK(B481),"",IF(I481="L","Baixa",IF(I481="A","Média",IF(I481="","","Alta"))))</f>
        <v/>
      </c>
      <c r="G481" s="7" t="str">
        <f t="shared" ref="G481:G544" si="277">CONCATENATE(B481,I481)</f>
        <v/>
      </c>
      <c r="H481" s="7" t="str">
        <f t="shared" ref="H481:H544" si="278">IF(ISBLANK(B481),"",IF(B481="ALI",IF(I481="L",7,IF(I481="A",10,15)),IF(B481="AIE",IF(I481="L",5,IF(I481="A",7,10)),IF(B481="SE",IF(I481="L",4,IF(I481="A",5,7)),IF(OR(B481="EE",B481="CE"),IF(I481="L",3,IF(I481="A",4,6)),0)))))</f>
        <v/>
      </c>
      <c r="I481" s="116" t="str">
        <f t="shared" ref="I481:I544" si="279">IF(OR(ISBLANK(D481),ISBLANK(E481)),IF(OR(B481="ALI",B481="AIE"),"L",IF(OR(B481="EE",B481="SE",B481="CE"),"A","")),IF(B481="EE",IF(E481&gt;=3,IF(D481&gt;=5,"H","A"),IF(E481&gt;=2,IF(D481&gt;=16,"H",IF(D481&lt;=4,"L","A")),IF(D481&lt;=15,"L","A"))),IF(OR(B481="SE",B481="CE"),IF(E481&gt;=4,IF(D481&gt;=6,"H","A"),IF(E481&gt;=2,IF(D481&gt;=20,"H",IF(D481&lt;=5,"L","A")),IF(D481&lt;=19,"L","A"))),IF(OR(B481="ALI",B481="AIE"),IF(E481&gt;=6,IF(D481&gt;=20,"H","A"),IF(E481&gt;=2,IF(D481&gt;=51,"H",IF(D481&lt;=19,"L","A")),IF(D481&lt;=50,"L","A"))),""))))</f>
        <v/>
      </c>
      <c r="J481" s="7" t="str">
        <f t="shared" ref="J481:J544" si="280">CONCATENATE(B481,C481)</f>
        <v/>
      </c>
      <c r="K481" s="127" t="str">
        <f t="shared" si="275"/>
        <v/>
      </c>
      <c r="L481" s="127" t="str">
        <f>IF(NOT(ISERROR(VLOOKUP(B481,Deflatores!G$42:H$64,2,FALSE))),VLOOKUP(B481,Deflatores!G$42:H$64,2,FALSE),IF(OR(ISBLANK(C481),ISBLANK(B481)),"",VLOOKUP(C481,Deflatores!G$4:H$38,2,FALSE)*H481+VLOOKUP(C481,Deflatores!G$4:I$38,3,FALSE)))</f>
        <v/>
      </c>
      <c r="M481" s="10"/>
      <c r="N481" s="10"/>
      <c r="O481" s="6"/>
    </row>
    <row r="482" spans="1:15" x14ac:dyDescent="0.25">
      <c r="A482" s="119"/>
      <c r="B482" s="4"/>
      <c r="C482" s="4"/>
      <c r="D482" s="7"/>
      <c r="E482" s="7"/>
      <c r="F482" s="116" t="str">
        <f t="shared" si="276"/>
        <v/>
      </c>
      <c r="G482" s="7" t="str">
        <f t="shared" si="277"/>
        <v/>
      </c>
      <c r="H482" s="7" t="str">
        <f t="shared" si="278"/>
        <v/>
      </c>
      <c r="I482" s="116" t="str">
        <f t="shared" si="279"/>
        <v/>
      </c>
      <c r="J482" s="7" t="str">
        <f t="shared" si="280"/>
        <v/>
      </c>
      <c r="K482" s="127" t="str">
        <f t="shared" si="275"/>
        <v/>
      </c>
      <c r="L482" s="127" t="str">
        <f>IF(NOT(ISERROR(VLOOKUP(B482,Deflatores!G$42:H$64,2,FALSE))),VLOOKUP(B482,Deflatores!G$42:H$64,2,FALSE),IF(OR(ISBLANK(C482),ISBLANK(B482)),"",VLOOKUP(C482,Deflatores!G$4:H$38,2,FALSE)*H482+VLOOKUP(C482,Deflatores!G$4:I$38,3,FALSE)))</f>
        <v/>
      </c>
      <c r="M482" s="10"/>
      <c r="N482" s="10"/>
      <c r="O482" s="6"/>
    </row>
    <row r="483" spans="1:15" x14ac:dyDescent="0.25">
      <c r="A483" s="119"/>
      <c r="B483" s="4"/>
      <c r="C483" s="4"/>
      <c r="D483" s="7"/>
      <c r="E483" s="7"/>
      <c r="F483" s="116" t="str">
        <f t="shared" si="276"/>
        <v/>
      </c>
      <c r="G483" s="7" t="str">
        <f t="shared" si="277"/>
        <v/>
      </c>
      <c r="H483" s="7" t="str">
        <f t="shared" si="278"/>
        <v/>
      </c>
      <c r="I483" s="116" t="str">
        <f t="shared" si="279"/>
        <v/>
      </c>
      <c r="J483" s="7" t="str">
        <f t="shared" si="280"/>
        <v/>
      </c>
      <c r="K483" s="127" t="str">
        <f t="shared" ref="K483:K546" si="281">IF(OR(H483="",H483=0),L483,H483)</f>
        <v/>
      </c>
      <c r="L483" s="127" t="str">
        <f>IF(NOT(ISERROR(VLOOKUP(B483,Deflatores!G$42:H$64,2,FALSE))),VLOOKUP(B483,Deflatores!G$42:H$64,2,FALSE),IF(OR(ISBLANK(C483),ISBLANK(B483)),"",VLOOKUP(C483,Deflatores!G$4:H$38,2,FALSE)*H483+VLOOKUP(C483,Deflatores!G$4:I$38,3,FALSE)))</f>
        <v/>
      </c>
      <c r="M483" s="10"/>
      <c r="N483" s="10"/>
      <c r="O483" s="6"/>
    </row>
    <row r="484" spans="1:15" x14ac:dyDescent="0.25">
      <c r="A484" s="119"/>
      <c r="B484" s="4"/>
      <c r="C484" s="4"/>
      <c r="D484" s="7"/>
      <c r="E484" s="7"/>
      <c r="F484" s="116" t="str">
        <f t="shared" si="276"/>
        <v/>
      </c>
      <c r="G484" s="7" t="str">
        <f t="shared" si="277"/>
        <v/>
      </c>
      <c r="H484" s="7" t="str">
        <f t="shared" si="278"/>
        <v/>
      </c>
      <c r="I484" s="116" t="str">
        <f t="shared" si="279"/>
        <v/>
      </c>
      <c r="J484" s="7" t="str">
        <f t="shared" si="280"/>
        <v/>
      </c>
      <c r="K484" s="127" t="str">
        <f t="shared" si="281"/>
        <v/>
      </c>
      <c r="L484" s="127" t="str">
        <f>IF(NOT(ISERROR(VLOOKUP(B484,Deflatores!G$42:H$64,2,FALSE))),VLOOKUP(B484,Deflatores!G$42:H$64,2,FALSE),IF(OR(ISBLANK(C484),ISBLANK(B484)),"",VLOOKUP(C484,Deflatores!G$4:H$38,2,FALSE)*H484+VLOOKUP(C484,Deflatores!G$4:I$38,3,FALSE)))</f>
        <v/>
      </c>
      <c r="M484" s="10"/>
      <c r="N484" s="10"/>
      <c r="O484" s="6"/>
    </row>
    <row r="485" spans="1:15" x14ac:dyDescent="0.25">
      <c r="A485" s="119"/>
      <c r="B485" s="4"/>
      <c r="C485" s="4"/>
      <c r="D485" s="7"/>
      <c r="E485" s="7"/>
      <c r="F485" s="116" t="str">
        <f t="shared" si="276"/>
        <v/>
      </c>
      <c r="G485" s="7" t="str">
        <f t="shared" si="277"/>
        <v/>
      </c>
      <c r="H485" s="7" t="str">
        <f t="shared" si="278"/>
        <v/>
      </c>
      <c r="I485" s="116" t="str">
        <f t="shared" si="279"/>
        <v/>
      </c>
      <c r="J485" s="7" t="str">
        <f t="shared" si="280"/>
        <v/>
      </c>
      <c r="K485" s="127" t="str">
        <f t="shared" si="281"/>
        <v/>
      </c>
      <c r="L485" s="127" t="str">
        <f>IF(NOT(ISERROR(VLOOKUP(B485,Deflatores!G$42:H$64,2,FALSE))),VLOOKUP(B485,Deflatores!G$42:H$64,2,FALSE),IF(OR(ISBLANK(C485),ISBLANK(B485)),"",VLOOKUP(C485,Deflatores!G$4:H$38,2,FALSE)*H485+VLOOKUP(C485,Deflatores!G$4:I$38,3,FALSE)))</f>
        <v/>
      </c>
      <c r="M485" s="10"/>
      <c r="N485" s="10"/>
      <c r="O485" s="6"/>
    </row>
    <row r="486" spans="1:15" x14ac:dyDescent="0.25">
      <c r="A486" s="119"/>
      <c r="B486" s="4"/>
      <c r="C486" s="4"/>
      <c r="D486" s="7"/>
      <c r="E486" s="7"/>
      <c r="F486" s="116" t="str">
        <f t="shared" si="276"/>
        <v/>
      </c>
      <c r="G486" s="7" t="str">
        <f t="shared" si="277"/>
        <v/>
      </c>
      <c r="H486" s="7" t="str">
        <f t="shared" si="278"/>
        <v/>
      </c>
      <c r="I486" s="116" t="str">
        <f t="shared" si="279"/>
        <v/>
      </c>
      <c r="J486" s="7" t="str">
        <f t="shared" si="280"/>
        <v/>
      </c>
      <c r="K486" s="127" t="str">
        <f t="shared" si="281"/>
        <v/>
      </c>
      <c r="L486" s="127" t="str">
        <f>IF(NOT(ISERROR(VLOOKUP(B486,Deflatores!G$42:H$64,2,FALSE))),VLOOKUP(B486,Deflatores!G$42:H$64,2,FALSE),IF(OR(ISBLANK(C486),ISBLANK(B486)),"",VLOOKUP(C486,Deflatores!G$4:H$38,2,FALSE)*H486+VLOOKUP(C486,Deflatores!G$4:I$38,3,FALSE)))</f>
        <v/>
      </c>
      <c r="M486" s="10"/>
      <c r="N486" s="10"/>
      <c r="O486" s="6"/>
    </row>
    <row r="487" spans="1:15" x14ac:dyDescent="0.25">
      <c r="A487" s="119"/>
      <c r="B487" s="4"/>
      <c r="C487" s="4"/>
      <c r="D487" s="7"/>
      <c r="E487" s="7"/>
      <c r="F487" s="116" t="str">
        <f t="shared" si="276"/>
        <v/>
      </c>
      <c r="G487" s="7" t="str">
        <f t="shared" si="277"/>
        <v/>
      </c>
      <c r="H487" s="7" t="str">
        <f t="shared" si="278"/>
        <v/>
      </c>
      <c r="I487" s="116" t="str">
        <f t="shared" si="279"/>
        <v/>
      </c>
      <c r="J487" s="7" t="str">
        <f t="shared" si="280"/>
        <v/>
      </c>
      <c r="K487" s="127" t="str">
        <f t="shared" si="281"/>
        <v/>
      </c>
      <c r="L487" s="127" t="str">
        <f>IF(NOT(ISERROR(VLOOKUP(B487,Deflatores!G$42:H$64,2,FALSE))),VLOOKUP(B487,Deflatores!G$42:H$64,2,FALSE),IF(OR(ISBLANK(C487),ISBLANK(B487)),"",VLOOKUP(C487,Deflatores!G$4:H$38,2,FALSE)*H487+VLOOKUP(C487,Deflatores!G$4:I$38,3,FALSE)))</f>
        <v/>
      </c>
      <c r="M487" s="10"/>
      <c r="N487" s="10"/>
      <c r="O487" s="6"/>
    </row>
    <row r="488" spans="1:15" x14ac:dyDescent="0.25">
      <c r="A488" s="119"/>
      <c r="B488" s="4"/>
      <c r="C488" s="4"/>
      <c r="D488" s="7"/>
      <c r="E488" s="7"/>
      <c r="F488" s="116" t="str">
        <f t="shared" si="276"/>
        <v/>
      </c>
      <c r="G488" s="7" t="str">
        <f t="shared" si="277"/>
        <v/>
      </c>
      <c r="H488" s="7" t="str">
        <f t="shared" si="278"/>
        <v/>
      </c>
      <c r="I488" s="116" t="str">
        <f t="shared" si="279"/>
        <v/>
      </c>
      <c r="J488" s="7" t="str">
        <f t="shared" si="280"/>
        <v/>
      </c>
      <c r="K488" s="127" t="str">
        <f t="shared" si="281"/>
        <v/>
      </c>
      <c r="L488" s="127" t="str">
        <f>IF(NOT(ISERROR(VLOOKUP(B488,Deflatores!G$42:H$64,2,FALSE))),VLOOKUP(B488,Deflatores!G$42:H$64,2,FALSE),IF(OR(ISBLANK(C488),ISBLANK(B488)),"",VLOOKUP(C488,Deflatores!G$4:H$38,2,FALSE)*H488+VLOOKUP(C488,Deflatores!G$4:I$38,3,FALSE)))</f>
        <v/>
      </c>
      <c r="M488" s="10"/>
      <c r="N488" s="10"/>
      <c r="O488" s="6"/>
    </row>
    <row r="489" spans="1:15" x14ac:dyDescent="0.25">
      <c r="A489" s="119"/>
      <c r="B489" s="4"/>
      <c r="C489" s="4"/>
      <c r="D489" s="7"/>
      <c r="E489" s="7"/>
      <c r="F489" s="116" t="str">
        <f t="shared" si="276"/>
        <v/>
      </c>
      <c r="G489" s="7" t="str">
        <f t="shared" si="277"/>
        <v/>
      </c>
      <c r="H489" s="7" t="str">
        <f t="shared" si="278"/>
        <v/>
      </c>
      <c r="I489" s="116" t="str">
        <f t="shared" si="279"/>
        <v/>
      </c>
      <c r="J489" s="7" t="str">
        <f t="shared" si="280"/>
        <v/>
      </c>
      <c r="K489" s="127" t="str">
        <f t="shared" si="281"/>
        <v/>
      </c>
      <c r="L489" s="127" t="str">
        <f>IF(NOT(ISERROR(VLOOKUP(B489,Deflatores!G$42:H$64,2,FALSE))),VLOOKUP(B489,Deflatores!G$42:H$64,2,FALSE),IF(OR(ISBLANK(C489),ISBLANK(B489)),"",VLOOKUP(C489,Deflatores!G$4:H$38,2,FALSE)*H489+VLOOKUP(C489,Deflatores!G$4:I$38,3,FALSE)))</f>
        <v/>
      </c>
      <c r="M489" s="10"/>
      <c r="N489" s="10"/>
      <c r="O489" s="6"/>
    </row>
    <row r="490" spans="1:15" x14ac:dyDescent="0.25">
      <c r="A490" s="119"/>
      <c r="B490" s="4"/>
      <c r="C490" s="4"/>
      <c r="D490" s="7"/>
      <c r="E490" s="7"/>
      <c r="F490" s="116" t="str">
        <f t="shared" si="276"/>
        <v/>
      </c>
      <c r="G490" s="7" t="str">
        <f t="shared" si="277"/>
        <v/>
      </c>
      <c r="H490" s="7" t="str">
        <f t="shared" si="278"/>
        <v/>
      </c>
      <c r="I490" s="116" t="str">
        <f t="shared" si="279"/>
        <v/>
      </c>
      <c r="J490" s="7" t="str">
        <f t="shared" si="280"/>
        <v/>
      </c>
      <c r="K490" s="127" t="str">
        <f t="shared" si="281"/>
        <v/>
      </c>
      <c r="L490" s="127" t="str">
        <f>IF(NOT(ISERROR(VLOOKUP(B490,Deflatores!G$42:H$64,2,FALSE))),VLOOKUP(B490,Deflatores!G$42:H$64,2,FALSE),IF(OR(ISBLANK(C490),ISBLANK(B490)),"",VLOOKUP(C490,Deflatores!G$4:H$38,2,FALSE)*H490+VLOOKUP(C490,Deflatores!G$4:I$38,3,FALSE)))</f>
        <v/>
      </c>
      <c r="M490" s="10"/>
      <c r="N490" s="10"/>
      <c r="O490" s="6"/>
    </row>
    <row r="491" spans="1:15" x14ac:dyDescent="0.25">
      <c r="A491" s="119"/>
      <c r="B491" s="4"/>
      <c r="C491" s="4"/>
      <c r="D491" s="7"/>
      <c r="E491" s="7"/>
      <c r="F491" s="116" t="str">
        <f t="shared" si="276"/>
        <v/>
      </c>
      <c r="G491" s="7" t="str">
        <f t="shared" si="277"/>
        <v/>
      </c>
      <c r="H491" s="7" t="str">
        <f t="shared" si="278"/>
        <v/>
      </c>
      <c r="I491" s="116" t="str">
        <f t="shared" si="279"/>
        <v/>
      </c>
      <c r="J491" s="7" t="str">
        <f t="shared" si="280"/>
        <v/>
      </c>
      <c r="K491" s="127" t="str">
        <f t="shared" si="281"/>
        <v/>
      </c>
      <c r="L491" s="127" t="str">
        <f>IF(NOT(ISERROR(VLOOKUP(B491,Deflatores!G$42:H$64,2,FALSE))),VLOOKUP(B491,Deflatores!G$42:H$64,2,FALSE),IF(OR(ISBLANK(C491),ISBLANK(B491)),"",VLOOKUP(C491,Deflatores!G$4:H$38,2,FALSE)*H491+VLOOKUP(C491,Deflatores!G$4:I$38,3,FALSE)))</f>
        <v/>
      </c>
      <c r="M491" s="10"/>
      <c r="N491" s="10"/>
      <c r="O491" s="6"/>
    </row>
    <row r="492" spans="1:15" x14ac:dyDescent="0.25">
      <c r="A492" s="119"/>
      <c r="B492" s="4"/>
      <c r="C492" s="4"/>
      <c r="D492" s="7"/>
      <c r="E492" s="7"/>
      <c r="F492" s="116" t="str">
        <f t="shared" si="276"/>
        <v/>
      </c>
      <c r="G492" s="7" t="str">
        <f t="shared" si="277"/>
        <v/>
      </c>
      <c r="H492" s="7" t="str">
        <f t="shared" si="278"/>
        <v/>
      </c>
      <c r="I492" s="116" t="str">
        <f t="shared" si="279"/>
        <v/>
      </c>
      <c r="J492" s="7" t="str">
        <f t="shared" si="280"/>
        <v/>
      </c>
      <c r="K492" s="127" t="str">
        <f t="shared" si="281"/>
        <v/>
      </c>
      <c r="L492" s="127" t="str">
        <f>IF(NOT(ISERROR(VLOOKUP(B492,Deflatores!G$42:H$64,2,FALSE))),VLOOKUP(B492,Deflatores!G$42:H$64,2,FALSE),IF(OR(ISBLANK(C492),ISBLANK(B492)),"",VLOOKUP(C492,Deflatores!G$4:H$38,2,FALSE)*H492+VLOOKUP(C492,Deflatores!G$4:I$38,3,FALSE)))</f>
        <v/>
      </c>
      <c r="M492" s="10"/>
      <c r="N492" s="10"/>
      <c r="O492" s="6"/>
    </row>
    <row r="493" spans="1:15" x14ac:dyDescent="0.25">
      <c r="A493" s="119"/>
      <c r="B493" s="4"/>
      <c r="C493" s="4"/>
      <c r="D493" s="7"/>
      <c r="E493" s="7"/>
      <c r="F493" s="116" t="str">
        <f t="shared" si="276"/>
        <v/>
      </c>
      <c r="G493" s="7" t="str">
        <f t="shared" si="277"/>
        <v/>
      </c>
      <c r="H493" s="7" t="str">
        <f t="shared" si="278"/>
        <v/>
      </c>
      <c r="I493" s="116" t="str">
        <f t="shared" si="279"/>
        <v/>
      </c>
      <c r="J493" s="7" t="str">
        <f t="shared" si="280"/>
        <v/>
      </c>
      <c r="K493" s="127" t="str">
        <f t="shared" si="281"/>
        <v/>
      </c>
      <c r="L493" s="127" t="str">
        <f>IF(NOT(ISERROR(VLOOKUP(B493,Deflatores!G$42:H$64,2,FALSE))),VLOOKUP(B493,Deflatores!G$42:H$64,2,FALSE),IF(OR(ISBLANK(C493),ISBLANK(B493)),"",VLOOKUP(C493,Deflatores!G$4:H$38,2,FALSE)*H493+VLOOKUP(C493,Deflatores!G$4:I$38,3,FALSE)))</f>
        <v/>
      </c>
      <c r="M493" s="10"/>
      <c r="N493" s="10"/>
      <c r="O493" s="6"/>
    </row>
    <row r="494" spans="1:15" x14ac:dyDescent="0.25">
      <c r="A494" s="119"/>
      <c r="B494" s="4"/>
      <c r="C494" s="4"/>
      <c r="D494" s="7"/>
      <c r="E494" s="7"/>
      <c r="F494" s="116" t="str">
        <f t="shared" si="276"/>
        <v/>
      </c>
      <c r="G494" s="7" t="str">
        <f t="shared" si="277"/>
        <v/>
      </c>
      <c r="H494" s="7" t="str">
        <f t="shared" si="278"/>
        <v/>
      </c>
      <c r="I494" s="116" t="str">
        <f t="shared" si="279"/>
        <v/>
      </c>
      <c r="J494" s="7" t="str">
        <f t="shared" si="280"/>
        <v/>
      </c>
      <c r="K494" s="127" t="str">
        <f t="shared" si="281"/>
        <v/>
      </c>
      <c r="L494" s="127" t="str">
        <f>IF(NOT(ISERROR(VLOOKUP(B494,Deflatores!G$42:H$64,2,FALSE))),VLOOKUP(B494,Deflatores!G$42:H$64,2,FALSE),IF(OR(ISBLANK(C494),ISBLANK(B494)),"",VLOOKUP(C494,Deflatores!G$4:H$38,2,FALSE)*H494+VLOOKUP(C494,Deflatores!G$4:I$38,3,FALSE)))</f>
        <v/>
      </c>
      <c r="M494" s="10"/>
      <c r="N494" s="10"/>
      <c r="O494" s="6"/>
    </row>
    <row r="495" spans="1:15" x14ac:dyDescent="0.25">
      <c r="A495" s="119"/>
      <c r="B495" s="4"/>
      <c r="C495" s="4"/>
      <c r="D495" s="7"/>
      <c r="E495" s="7"/>
      <c r="F495" s="116" t="str">
        <f t="shared" si="276"/>
        <v/>
      </c>
      <c r="G495" s="7" t="str">
        <f t="shared" si="277"/>
        <v/>
      </c>
      <c r="H495" s="7" t="str">
        <f t="shared" si="278"/>
        <v/>
      </c>
      <c r="I495" s="116" t="str">
        <f t="shared" si="279"/>
        <v/>
      </c>
      <c r="J495" s="7" t="str">
        <f t="shared" si="280"/>
        <v/>
      </c>
      <c r="K495" s="127" t="str">
        <f t="shared" si="281"/>
        <v/>
      </c>
      <c r="L495" s="127" t="str">
        <f>IF(NOT(ISERROR(VLOOKUP(B495,Deflatores!G$42:H$64,2,FALSE))),VLOOKUP(B495,Deflatores!G$42:H$64,2,FALSE),IF(OR(ISBLANK(C495),ISBLANK(B495)),"",VLOOKUP(C495,Deflatores!G$4:H$38,2,FALSE)*H495+VLOOKUP(C495,Deflatores!G$4:I$38,3,FALSE)))</f>
        <v/>
      </c>
      <c r="M495" s="10"/>
      <c r="N495" s="10"/>
      <c r="O495" s="6"/>
    </row>
    <row r="496" spans="1:15" x14ac:dyDescent="0.25">
      <c r="A496" s="119"/>
      <c r="B496" s="4"/>
      <c r="C496" s="4"/>
      <c r="D496" s="7"/>
      <c r="E496" s="7"/>
      <c r="F496" s="116" t="str">
        <f t="shared" si="276"/>
        <v/>
      </c>
      <c r="G496" s="7" t="str">
        <f t="shared" si="277"/>
        <v/>
      </c>
      <c r="H496" s="7" t="str">
        <f t="shared" si="278"/>
        <v/>
      </c>
      <c r="I496" s="116" t="str">
        <f t="shared" si="279"/>
        <v/>
      </c>
      <c r="J496" s="7" t="str">
        <f t="shared" si="280"/>
        <v/>
      </c>
      <c r="K496" s="127" t="str">
        <f t="shared" si="281"/>
        <v/>
      </c>
      <c r="L496" s="127" t="str">
        <f>IF(NOT(ISERROR(VLOOKUP(B496,Deflatores!G$42:H$64,2,FALSE))),VLOOKUP(B496,Deflatores!G$42:H$64,2,FALSE),IF(OR(ISBLANK(C496),ISBLANK(B496)),"",VLOOKUP(C496,Deflatores!G$4:H$38,2,FALSE)*H496+VLOOKUP(C496,Deflatores!G$4:I$38,3,FALSE)))</f>
        <v/>
      </c>
      <c r="M496" s="10"/>
      <c r="N496" s="10"/>
      <c r="O496" s="6"/>
    </row>
    <row r="497" spans="1:15" x14ac:dyDescent="0.25">
      <c r="A497" s="119"/>
      <c r="B497" s="4"/>
      <c r="C497" s="4"/>
      <c r="D497" s="7"/>
      <c r="E497" s="7"/>
      <c r="F497" s="116" t="str">
        <f t="shared" si="276"/>
        <v/>
      </c>
      <c r="G497" s="7" t="str">
        <f t="shared" si="277"/>
        <v/>
      </c>
      <c r="H497" s="7" t="str">
        <f t="shared" si="278"/>
        <v/>
      </c>
      <c r="I497" s="116" t="str">
        <f t="shared" si="279"/>
        <v/>
      </c>
      <c r="J497" s="7" t="str">
        <f t="shared" si="280"/>
        <v/>
      </c>
      <c r="K497" s="127" t="str">
        <f t="shared" si="281"/>
        <v/>
      </c>
      <c r="L497" s="127" t="str">
        <f>IF(NOT(ISERROR(VLOOKUP(B497,Deflatores!G$42:H$64,2,FALSE))),VLOOKUP(B497,Deflatores!G$42:H$64,2,FALSE),IF(OR(ISBLANK(C497),ISBLANK(B497)),"",VLOOKUP(C497,Deflatores!G$4:H$38,2,FALSE)*H497+VLOOKUP(C497,Deflatores!G$4:I$38,3,FALSE)))</f>
        <v/>
      </c>
      <c r="M497" s="10"/>
      <c r="N497" s="10"/>
      <c r="O497" s="6"/>
    </row>
    <row r="498" spans="1:15" x14ac:dyDescent="0.25">
      <c r="A498" s="119"/>
      <c r="B498" s="4"/>
      <c r="C498" s="4"/>
      <c r="D498" s="7"/>
      <c r="E498" s="7"/>
      <c r="F498" s="116" t="str">
        <f t="shared" si="276"/>
        <v/>
      </c>
      <c r="G498" s="7" t="str">
        <f t="shared" si="277"/>
        <v/>
      </c>
      <c r="H498" s="7" t="str">
        <f t="shared" si="278"/>
        <v/>
      </c>
      <c r="I498" s="116" t="str">
        <f t="shared" si="279"/>
        <v/>
      </c>
      <c r="J498" s="7" t="str">
        <f t="shared" si="280"/>
        <v/>
      </c>
      <c r="K498" s="127" t="str">
        <f t="shared" si="281"/>
        <v/>
      </c>
      <c r="L498" s="127" t="str">
        <f>IF(NOT(ISERROR(VLOOKUP(B498,Deflatores!G$42:H$64,2,FALSE))),VLOOKUP(B498,Deflatores!G$42:H$64,2,FALSE),IF(OR(ISBLANK(C498),ISBLANK(B498)),"",VLOOKUP(C498,Deflatores!G$4:H$38,2,FALSE)*H498+VLOOKUP(C498,Deflatores!G$4:I$38,3,FALSE)))</f>
        <v/>
      </c>
      <c r="M498" s="10"/>
      <c r="N498" s="10"/>
      <c r="O498" s="6"/>
    </row>
    <row r="499" spans="1:15" x14ac:dyDescent="0.25">
      <c r="A499" s="119"/>
      <c r="B499" s="4"/>
      <c r="C499" s="4"/>
      <c r="D499" s="7"/>
      <c r="E499" s="7"/>
      <c r="F499" s="116" t="str">
        <f t="shared" si="276"/>
        <v/>
      </c>
      <c r="G499" s="7" t="str">
        <f t="shared" si="277"/>
        <v/>
      </c>
      <c r="H499" s="7" t="str">
        <f t="shared" si="278"/>
        <v/>
      </c>
      <c r="I499" s="116" t="str">
        <f t="shared" si="279"/>
        <v/>
      </c>
      <c r="J499" s="7" t="str">
        <f t="shared" si="280"/>
        <v/>
      </c>
      <c r="K499" s="127" t="str">
        <f t="shared" si="281"/>
        <v/>
      </c>
      <c r="L499" s="127" t="str">
        <f>IF(NOT(ISERROR(VLOOKUP(B499,Deflatores!G$42:H$64,2,FALSE))),VLOOKUP(B499,Deflatores!G$42:H$64,2,FALSE),IF(OR(ISBLANK(C499),ISBLANK(B499)),"",VLOOKUP(C499,Deflatores!G$4:H$38,2,FALSE)*H499+VLOOKUP(C499,Deflatores!G$4:I$38,3,FALSE)))</f>
        <v/>
      </c>
      <c r="M499" s="10"/>
      <c r="N499" s="10"/>
      <c r="O499" s="6"/>
    </row>
    <row r="500" spans="1:15" x14ac:dyDescent="0.25">
      <c r="A500" s="119"/>
      <c r="B500" s="4"/>
      <c r="C500" s="4"/>
      <c r="D500" s="7"/>
      <c r="E500" s="7"/>
      <c r="F500" s="116" t="str">
        <f t="shared" si="276"/>
        <v/>
      </c>
      <c r="G500" s="7" t="str">
        <f t="shared" si="277"/>
        <v/>
      </c>
      <c r="H500" s="7" t="str">
        <f t="shared" si="278"/>
        <v/>
      </c>
      <c r="I500" s="116" t="str">
        <f t="shared" si="279"/>
        <v/>
      </c>
      <c r="J500" s="7" t="str">
        <f t="shared" si="280"/>
        <v/>
      </c>
      <c r="K500" s="127" t="str">
        <f t="shared" si="281"/>
        <v/>
      </c>
      <c r="L500" s="127" t="str">
        <f>IF(NOT(ISERROR(VLOOKUP(B500,Deflatores!G$42:H$64,2,FALSE))),VLOOKUP(B500,Deflatores!G$42:H$64,2,FALSE),IF(OR(ISBLANK(C500),ISBLANK(B500)),"",VLOOKUP(C500,Deflatores!G$4:H$38,2,FALSE)*H500+VLOOKUP(C500,Deflatores!G$4:I$38,3,FALSE)))</f>
        <v/>
      </c>
      <c r="M500" s="10"/>
      <c r="N500" s="10"/>
      <c r="O500" s="6"/>
    </row>
    <row r="501" spans="1:15" x14ac:dyDescent="0.25">
      <c r="A501" s="119"/>
      <c r="B501" s="4"/>
      <c r="C501" s="4"/>
      <c r="D501" s="7"/>
      <c r="E501" s="7"/>
      <c r="F501" s="116" t="str">
        <f t="shared" si="276"/>
        <v/>
      </c>
      <c r="G501" s="7" t="str">
        <f t="shared" si="277"/>
        <v/>
      </c>
      <c r="H501" s="7" t="str">
        <f t="shared" si="278"/>
        <v/>
      </c>
      <c r="I501" s="116" t="str">
        <f t="shared" si="279"/>
        <v/>
      </c>
      <c r="J501" s="7" t="str">
        <f t="shared" si="280"/>
        <v/>
      </c>
      <c r="K501" s="127" t="str">
        <f t="shared" si="281"/>
        <v/>
      </c>
      <c r="L501" s="127" t="str">
        <f>IF(NOT(ISERROR(VLOOKUP(B501,Deflatores!G$42:H$64,2,FALSE))),VLOOKUP(B501,Deflatores!G$42:H$64,2,FALSE),IF(OR(ISBLANK(C501),ISBLANK(B501)),"",VLOOKUP(C501,Deflatores!G$4:H$38,2,FALSE)*H501+VLOOKUP(C501,Deflatores!G$4:I$38,3,FALSE)))</f>
        <v/>
      </c>
      <c r="M501" s="10"/>
      <c r="N501" s="10"/>
      <c r="O501" s="6"/>
    </row>
    <row r="502" spans="1:15" x14ac:dyDescent="0.25">
      <c r="A502" s="119"/>
      <c r="B502" s="4"/>
      <c r="C502" s="4"/>
      <c r="D502" s="7"/>
      <c r="E502" s="7"/>
      <c r="F502" s="116" t="str">
        <f t="shared" si="276"/>
        <v/>
      </c>
      <c r="G502" s="7" t="str">
        <f t="shared" si="277"/>
        <v/>
      </c>
      <c r="H502" s="7" t="str">
        <f t="shared" si="278"/>
        <v/>
      </c>
      <c r="I502" s="116" t="str">
        <f t="shared" si="279"/>
        <v/>
      </c>
      <c r="J502" s="7" t="str">
        <f t="shared" si="280"/>
        <v/>
      </c>
      <c r="K502" s="127" t="str">
        <f t="shared" si="281"/>
        <v/>
      </c>
      <c r="L502" s="127" t="str">
        <f>IF(NOT(ISERROR(VLOOKUP(B502,Deflatores!G$42:H$64,2,FALSE))),VLOOKUP(B502,Deflatores!G$42:H$64,2,FALSE),IF(OR(ISBLANK(C502),ISBLANK(B502)),"",VLOOKUP(C502,Deflatores!G$4:H$38,2,FALSE)*H502+VLOOKUP(C502,Deflatores!G$4:I$38,3,FALSE)))</f>
        <v/>
      </c>
      <c r="M502" s="10"/>
      <c r="N502" s="10"/>
      <c r="O502" s="6"/>
    </row>
    <row r="503" spans="1:15" x14ac:dyDescent="0.25">
      <c r="A503" s="119"/>
      <c r="B503" s="4"/>
      <c r="C503" s="4"/>
      <c r="D503" s="7"/>
      <c r="E503" s="7"/>
      <c r="F503" s="116" t="str">
        <f t="shared" si="276"/>
        <v/>
      </c>
      <c r="G503" s="7" t="str">
        <f t="shared" si="277"/>
        <v/>
      </c>
      <c r="H503" s="7" t="str">
        <f t="shared" si="278"/>
        <v/>
      </c>
      <c r="I503" s="116" t="str">
        <f t="shared" si="279"/>
        <v/>
      </c>
      <c r="J503" s="7" t="str">
        <f t="shared" si="280"/>
        <v/>
      </c>
      <c r="K503" s="127" t="str">
        <f t="shared" si="281"/>
        <v/>
      </c>
      <c r="L503" s="127" t="str">
        <f>IF(NOT(ISERROR(VLOOKUP(B503,Deflatores!G$42:H$64,2,FALSE))),VLOOKUP(B503,Deflatores!G$42:H$64,2,FALSE),IF(OR(ISBLANK(C503),ISBLANK(B503)),"",VLOOKUP(C503,Deflatores!G$4:H$38,2,FALSE)*H503+VLOOKUP(C503,Deflatores!G$4:I$38,3,FALSE)))</f>
        <v/>
      </c>
      <c r="M503" s="10"/>
      <c r="N503" s="10"/>
      <c r="O503" s="6"/>
    </row>
    <row r="504" spans="1:15" x14ac:dyDescent="0.25">
      <c r="A504" s="119"/>
      <c r="B504" s="4"/>
      <c r="C504" s="4"/>
      <c r="D504" s="7"/>
      <c r="E504" s="7"/>
      <c r="F504" s="116" t="str">
        <f t="shared" si="276"/>
        <v/>
      </c>
      <c r="G504" s="7" t="str">
        <f t="shared" si="277"/>
        <v/>
      </c>
      <c r="H504" s="7" t="str">
        <f t="shared" si="278"/>
        <v/>
      </c>
      <c r="I504" s="116" t="str">
        <f t="shared" si="279"/>
        <v/>
      </c>
      <c r="J504" s="7" t="str">
        <f t="shared" si="280"/>
        <v/>
      </c>
      <c r="K504" s="127" t="str">
        <f t="shared" si="281"/>
        <v/>
      </c>
      <c r="L504" s="127" t="str">
        <f>IF(NOT(ISERROR(VLOOKUP(B504,Deflatores!G$42:H$64,2,FALSE))),VLOOKUP(B504,Deflatores!G$42:H$64,2,FALSE),IF(OR(ISBLANK(C504),ISBLANK(B504)),"",VLOOKUP(C504,Deflatores!G$4:H$38,2,FALSE)*H504+VLOOKUP(C504,Deflatores!G$4:I$38,3,FALSE)))</f>
        <v/>
      </c>
      <c r="M504" s="10"/>
      <c r="N504" s="10"/>
      <c r="O504" s="6"/>
    </row>
    <row r="505" spans="1:15" x14ac:dyDescent="0.25">
      <c r="A505" s="119"/>
      <c r="B505" s="4"/>
      <c r="C505" s="4"/>
      <c r="D505" s="7"/>
      <c r="E505" s="7"/>
      <c r="F505" s="116" t="str">
        <f t="shared" si="276"/>
        <v/>
      </c>
      <c r="G505" s="7" t="str">
        <f t="shared" si="277"/>
        <v/>
      </c>
      <c r="H505" s="7" t="str">
        <f t="shared" si="278"/>
        <v/>
      </c>
      <c r="I505" s="116" t="str">
        <f t="shared" si="279"/>
        <v/>
      </c>
      <c r="J505" s="7" t="str">
        <f t="shared" si="280"/>
        <v/>
      </c>
      <c r="K505" s="127" t="str">
        <f t="shared" si="281"/>
        <v/>
      </c>
      <c r="L505" s="127" t="str">
        <f>IF(NOT(ISERROR(VLOOKUP(B505,Deflatores!G$42:H$64,2,FALSE))),VLOOKUP(B505,Deflatores!G$42:H$64,2,FALSE),IF(OR(ISBLANK(C505),ISBLANK(B505)),"",VLOOKUP(C505,Deflatores!G$4:H$38,2,FALSE)*H505+VLOOKUP(C505,Deflatores!G$4:I$38,3,FALSE)))</f>
        <v/>
      </c>
      <c r="M505" s="10"/>
      <c r="N505" s="10"/>
      <c r="O505" s="6"/>
    </row>
    <row r="506" spans="1:15" x14ac:dyDescent="0.25">
      <c r="A506" s="119"/>
      <c r="B506" s="4"/>
      <c r="C506" s="4"/>
      <c r="D506" s="7"/>
      <c r="E506" s="7"/>
      <c r="F506" s="116" t="str">
        <f t="shared" si="276"/>
        <v/>
      </c>
      <c r="G506" s="7" t="str">
        <f t="shared" si="277"/>
        <v/>
      </c>
      <c r="H506" s="7" t="str">
        <f t="shared" si="278"/>
        <v/>
      </c>
      <c r="I506" s="116" t="str">
        <f t="shared" si="279"/>
        <v/>
      </c>
      <c r="J506" s="7" t="str">
        <f t="shared" si="280"/>
        <v/>
      </c>
      <c r="K506" s="127" t="str">
        <f t="shared" si="281"/>
        <v/>
      </c>
      <c r="L506" s="127" t="str">
        <f>IF(NOT(ISERROR(VLOOKUP(B506,Deflatores!G$42:H$64,2,FALSE))),VLOOKUP(B506,Deflatores!G$42:H$64,2,FALSE),IF(OR(ISBLANK(C506),ISBLANK(B506)),"",VLOOKUP(C506,Deflatores!G$4:H$38,2,FALSE)*H506+VLOOKUP(C506,Deflatores!G$4:I$38,3,FALSE)))</f>
        <v/>
      </c>
      <c r="M506" s="10"/>
      <c r="N506" s="10"/>
      <c r="O506" s="6"/>
    </row>
    <row r="507" spans="1:15" x14ac:dyDescent="0.25">
      <c r="A507" s="119"/>
      <c r="B507" s="4"/>
      <c r="C507" s="4"/>
      <c r="D507" s="7"/>
      <c r="E507" s="7"/>
      <c r="F507" s="116" t="str">
        <f t="shared" si="276"/>
        <v/>
      </c>
      <c r="G507" s="7" t="str">
        <f t="shared" si="277"/>
        <v/>
      </c>
      <c r="H507" s="7" t="str">
        <f t="shared" si="278"/>
        <v/>
      </c>
      <c r="I507" s="116" t="str">
        <f t="shared" si="279"/>
        <v/>
      </c>
      <c r="J507" s="7" t="str">
        <f t="shared" si="280"/>
        <v/>
      </c>
      <c r="K507" s="127" t="str">
        <f t="shared" si="281"/>
        <v/>
      </c>
      <c r="L507" s="127" t="str">
        <f>IF(NOT(ISERROR(VLOOKUP(B507,Deflatores!G$42:H$64,2,FALSE))),VLOOKUP(B507,Deflatores!G$42:H$64,2,FALSE),IF(OR(ISBLANK(C507),ISBLANK(B507)),"",VLOOKUP(C507,Deflatores!G$4:H$38,2,FALSE)*H507+VLOOKUP(C507,Deflatores!G$4:I$38,3,FALSE)))</f>
        <v/>
      </c>
      <c r="M507" s="10"/>
      <c r="N507" s="10"/>
      <c r="O507" s="6"/>
    </row>
    <row r="508" spans="1:15" x14ac:dyDescent="0.25">
      <c r="A508" s="119"/>
      <c r="B508" s="4"/>
      <c r="C508" s="4"/>
      <c r="D508" s="7"/>
      <c r="E508" s="7"/>
      <c r="F508" s="116" t="str">
        <f t="shared" si="276"/>
        <v/>
      </c>
      <c r="G508" s="7" t="str">
        <f t="shared" si="277"/>
        <v/>
      </c>
      <c r="H508" s="7" t="str">
        <f t="shared" si="278"/>
        <v/>
      </c>
      <c r="I508" s="116" t="str">
        <f t="shared" si="279"/>
        <v/>
      </c>
      <c r="J508" s="7" t="str">
        <f t="shared" si="280"/>
        <v/>
      </c>
      <c r="K508" s="127" t="str">
        <f t="shared" si="281"/>
        <v/>
      </c>
      <c r="L508" s="127" t="str">
        <f>IF(NOT(ISERROR(VLOOKUP(B508,Deflatores!G$42:H$64,2,FALSE))),VLOOKUP(B508,Deflatores!G$42:H$64,2,FALSE),IF(OR(ISBLANK(C508),ISBLANK(B508)),"",VLOOKUP(C508,Deflatores!G$4:H$38,2,FALSE)*H508+VLOOKUP(C508,Deflatores!G$4:I$38,3,FALSE)))</f>
        <v/>
      </c>
      <c r="M508" s="10"/>
      <c r="N508" s="10"/>
      <c r="O508" s="6"/>
    </row>
    <row r="509" spans="1:15" x14ac:dyDescent="0.25">
      <c r="A509" s="119"/>
      <c r="B509" s="4"/>
      <c r="C509" s="4"/>
      <c r="D509" s="7"/>
      <c r="E509" s="7"/>
      <c r="F509" s="116" t="str">
        <f t="shared" si="276"/>
        <v/>
      </c>
      <c r="G509" s="7" t="str">
        <f t="shared" si="277"/>
        <v/>
      </c>
      <c r="H509" s="7" t="str">
        <f t="shared" si="278"/>
        <v/>
      </c>
      <c r="I509" s="116" t="str">
        <f t="shared" si="279"/>
        <v/>
      </c>
      <c r="J509" s="7" t="str">
        <f t="shared" si="280"/>
        <v/>
      </c>
      <c r="K509" s="127" t="str">
        <f t="shared" si="281"/>
        <v/>
      </c>
      <c r="L509" s="127" t="str">
        <f>IF(NOT(ISERROR(VLOOKUP(B509,Deflatores!G$42:H$64,2,FALSE))),VLOOKUP(B509,Deflatores!G$42:H$64,2,FALSE),IF(OR(ISBLANK(C509),ISBLANK(B509)),"",VLOOKUP(C509,Deflatores!G$4:H$38,2,FALSE)*H509+VLOOKUP(C509,Deflatores!G$4:I$38,3,FALSE)))</f>
        <v/>
      </c>
      <c r="M509" s="10"/>
      <c r="N509" s="10"/>
      <c r="O509" s="6"/>
    </row>
    <row r="510" spans="1:15" x14ac:dyDescent="0.25">
      <c r="A510" s="119"/>
      <c r="B510" s="4"/>
      <c r="C510" s="4"/>
      <c r="D510" s="7"/>
      <c r="E510" s="7"/>
      <c r="F510" s="116" t="str">
        <f t="shared" si="276"/>
        <v/>
      </c>
      <c r="G510" s="7" t="str">
        <f t="shared" si="277"/>
        <v/>
      </c>
      <c r="H510" s="7" t="str">
        <f t="shared" si="278"/>
        <v/>
      </c>
      <c r="I510" s="116" t="str">
        <f t="shared" si="279"/>
        <v/>
      </c>
      <c r="J510" s="7" t="str">
        <f t="shared" si="280"/>
        <v/>
      </c>
      <c r="K510" s="127" t="str">
        <f t="shared" si="281"/>
        <v/>
      </c>
      <c r="L510" s="127" t="str">
        <f>IF(NOT(ISERROR(VLOOKUP(B510,Deflatores!G$42:H$64,2,FALSE))),VLOOKUP(B510,Deflatores!G$42:H$64,2,FALSE),IF(OR(ISBLANK(C510),ISBLANK(B510)),"",VLOOKUP(C510,Deflatores!G$4:H$38,2,FALSE)*H510+VLOOKUP(C510,Deflatores!G$4:I$38,3,FALSE)))</f>
        <v/>
      </c>
      <c r="M510" s="10"/>
      <c r="N510" s="10"/>
      <c r="O510" s="6"/>
    </row>
    <row r="511" spans="1:15" x14ac:dyDescent="0.25">
      <c r="A511" s="119"/>
      <c r="B511" s="4"/>
      <c r="C511" s="4"/>
      <c r="D511" s="7"/>
      <c r="E511" s="7"/>
      <c r="F511" s="116" t="str">
        <f t="shared" si="276"/>
        <v/>
      </c>
      <c r="G511" s="7" t="str">
        <f t="shared" si="277"/>
        <v/>
      </c>
      <c r="H511" s="7" t="str">
        <f t="shared" si="278"/>
        <v/>
      </c>
      <c r="I511" s="116" t="str">
        <f t="shared" si="279"/>
        <v/>
      </c>
      <c r="J511" s="7" t="str">
        <f t="shared" si="280"/>
        <v/>
      </c>
      <c r="K511" s="127" t="str">
        <f t="shared" si="281"/>
        <v/>
      </c>
      <c r="L511" s="127" t="str">
        <f>IF(NOT(ISERROR(VLOOKUP(B511,Deflatores!G$42:H$64,2,FALSE))),VLOOKUP(B511,Deflatores!G$42:H$64,2,FALSE),IF(OR(ISBLANK(C511),ISBLANK(B511)),"",VLOOKUP(C511,Deflatores!G$4:H$38,2,FALSE)*H511+VLOOKUP(C511,Deflatores!G$4:I$38,3,FALSE)))</f>
        <v/>
      </c>
      <c r="M511" s="10"/>
      <c r="N511" s="10"/>
      <c r="O511" s="6"/>
    </row>
    <row r="512" spans="1:15" x14ac:dyDescent="0.25">
      <c r="A512" s="119"/>
      <c r="B512" s="4"/>
      <c r="C512" s="4"/>
      <c r="D512" s="7"/>
      <c r="E512" s="7"/>
      <c r="F512" s="116" t="str">
        <f t="shared" si="276"/>
        <v/>
      </c>
      <c r="G512" s="7" t="str">
        <f t="shared" si="277"/>
        <v/>
      </c>
      <c r="H512" s="7" t="str">
        <f t="shared" si="278"/>
        <v/>
      </c>
      <c r="I512" s="116" t="str">
        <f t="shared" si="279"/>
        <v/>
      </c>
      <c r="J512" s="7" t="str">
        <f t="shared" si="280"/>
        <v/>
      </c>
      <c r="K512" s="127" t="str">
        <f t="shared" si="281"/>
        <v/>
      </c>
      <c r="L512" s="127" t="str">
        <f>IF(NOT(ISERROR(VLOOKUP(B512,Deflatores!G$42:H$64,2,FALSE))),VLOOKUP(B512,Deflatores!G$42:H$64,2,FALSE),IF(OR(ISBLANK(C512),ISBLANK(B512)),"",VLOOKUP(C512,Deflatores!G$4:H$38,2,FALSE)*H512+VLOOKUP(C512,Deflatores!G$4:I$38,3,FALSE)))</f>
        <v/>
      </c>
      <c r="M512" s="10"/>
      <c r="N512" s="10"/>
      <c r="O512" s="6"/>
    </row>
    <row r="513" spans="1:15" x14ac:dyDescent="0.25">
      <c r="A513" s="119"/>
      <c r="B513" s="4"/>
      <c r="C513" s="4"/>
      <c r="D513" s="7"/>
      <c r="E513" s="7"/>
      <c r="F513" s="116" t="str">
        <f t="shared" si="276"/>
        <v/>
      </c>
      <c r="G513" s="7" t="str">
        <f t="shared" si="277"/>
        <v/>
      </c>
      <c r="H513" s="7" t="str">
        <f t="shared" si="278"/>
        <v/>
      </c>
      <c r="I513" s="116" t="str">
        <f t="shared" si="279"/>
        <v/>
      </c>
      <c r="J513" s="7" t="str">
        <f t="shared" si="280"/>
        <v/>
      </c>
      <c r="K513" s="127" t="str">
        <f t="shared" si="281"/>
        <v/>
      </c>
      <c r="L513" s="127" t="str">
        <f>IF(NOT(ISERROR(VLOOKUP(B513,Deflatores!G$42:H$64,2,FALSE))),VLOOKUP(B513,Deflatores!G$42:H$64,2,FALSE),IF(OR(ISBLANK(C513),ISBLANK(B513)),"",VLOOKUP(C513,Deflatores!G$4:H$38,2,FALSE)*H513+VLOOKUP(C513,Deflatores!G$4:I$38,3,FALSE)))</f>
        <v/>
      </c>
      <c r="M513" s="10"/>
      <c r="N513" s="10"/>
      <c r="O513" s="6"/>
    </row>
    <row r="514" spans="1:15" x14ac:dyDescent="0.25">
      <c r="A514" s="119"/>
      <c r="B514" s="4"/>
      <c r="C514" s="4"/>
      <c r="D514" s="7"/>
      <c r="E514" s="7"/>
      <c r="F514" s="116" t="str">
        <f t="shared" si="276"/>
        <v/>
      </c>
      <c r="G514" s="7" t="str">
        <f t="shared" si="277"/>
        <v/>
      </c>
      <c r="H514" s="7" t="str">
        <f t="shared" si="278"/>
        <v/>
      </c>
      <c r="I514" s="116" t="str">
        <f t="shared" si="279"/>
        <v/>
      </c>
      <c r="J514" s="7" t="str">
        <f t="shared" si="280"/>
        <v/>
      </c>
      <c r="K514" s="127" t="str">
        <f t="shared" si="281"/>
        <v/>
      </c>
      <c r="L514" s="127" t="str">
        <f>IF(NOT(ISERROR(VLOOKUP(B514,Deflatores!G$42:H$64,2,FALSE))),VLOOKUP(B514,Deflatores!G$42:H$64,2,FALSE),IF(OR(ISBLANK(C514),ISBLANK(B514)),"",VLOOKUP(C514,Deflatores!G$4:H$38,2,FALSE)*H514+VLOOKUP(C514,Deflatores!G$4:I$38,3,FALSE)))</f>
        <v/>
      </c>
      <c r="M514" s="10"/>
      <c r="N514" s="10"/>
      <c r="O514" s="6"/>
    </row>
    <row r="515" spans="1:15" x14ac:dyDescent="0.25">
      <c r="A515" s="119"/>
      <c r="B515" s="4"/>
      <c r="C515" s="4"/>
      <c r="D515" s="7"/>
      <c r="E515" s="7"/>
      <c r="F515" s="116" t="str">
        <f t="shared" si="276"/>
        <v/>
      </c>
      <c r="G515" s="7" t="str">
        <f t="shared" si="277"/>
        <v/>
      </c>
      <c r="H515" s="7" t="str">
        <f t="shared" si="278"/>
        <v/>
      </c>
      <c r="I515" s="116" t="str">
        <f t="shared" si="279"/>
        <v/>
      </c>
      <c r="J515" s="7" t="str">
        <f t="shared" si="280"/>
        <v/>
      </c>
      <c r="K515" s="127" t="str">
        <f t="shared" si="281"/>
        <v/>
      </c>
      <c r="L515" s="127" t="str">
        <f>IF(NOT(ISERROR(VLOOKUP(B515,Deflatores!G$42:H$64,2,FALSE))),VLOOKUP(B515,Deflatores!G$42:H$64,2,FALSE),IF(OR(ISBLANK(C515),ISBLANK(B515)),"",VLOOKUP(C515,Deflatores!G$4:H$38,2,FALSE)*H515+VLOOKUP(C515,Deflatores!G$4:I$38,3,FALSE)))</f>
        <v/>
      </c>
      <c r="M515" s="10"/>
      <c r="N515" s="10"/>
      <c r="O515" s="6"/>
    </row>
    <row r="516" spans="1:15" x14ac:dyDescent="0.25">
      <c r="A516" s="119"/>
      <c r="B516" s="4"/>
      <c r="C516" s="4"/>
      <c r="D516" s="7"/>
      <c r="E516" s="7"/>
      <c r="F516" s="116" t="str">
        <f t="shared" si="276"/>
        <v/>
      </c>
      <c r="G516" s="7" t="str">
        <f t="shared" si="277"/>
        <v/>
      </c>
      <c r="H516" s="7" t="str">
        <f t="shared" si="278"/>
        <v/>
      </c>
      <c r="I516" s="116" t="str">
        <f t="shared" si="279"/>
        <v/>
      </c>
      <c r="J516" s="7" t="str">
        <f t="shared" si="280"/>
        <v/>
      </c>
      <c r="K516" s="127" t="str">
        <f t="shared" si="281"/>
        <v/>
      </c>
      <c r="L516" s="127" t="str">
        <f>IF(NOT(ISERROR(VLOOKUP(B516,Deflatores!G$42:H$64,2,FALSE))),VLOOKUP(B516,Deflatores!G$42:H$64,2,FALSE),IF(OR(ISBLANK(C516),ISBLANK(B516)),"",VLOOKUP(C516,Deflatores!G$4:H$38,2,FALSE)*H516+VLOOKUP(C516,Deflatores!G$4:I$38,3,FALSE)))</f>
        <v/>
      </c>
      <c r="M516" s="10"/>
      <c r="N516" s="10"/>
      <c r="O516" s="6"/>
    </row>
    <row r="517" spans="1:15" x14ac:dyDescent="0.25">
      <c r="A517" s="119"/>
      <c r="B517" s="4"/>
      <c r="C517" s="4"/>
      <c r="D517" s="7"/>
      <c r="E517" s="7"/>
      <c r="F517" s="116" t="str">
        <f t="shared" si="276"/>
        <v/>
      </c>
      <c r="G517" s="7" t="str">
        <f t="shared" si="277"/>
        <v/>
      </c>
      <c r="H517" s="7" t="str">
        <f t="shared" si="278"/>
        <v/>
      </c>
      <c r="I517" s="116" t="str">
        <f t="shared" si="279"/>
        <v/>
      </c>
      <c r="J517" s="7" t="str">
        <f t="shared" si="280"/>
        <v/>
      </c>
      <c r="K517" s="127" t="str">
        <f t="shared" si="281"/>
        <v/>
      </c>
      <c r="L517" s="127" t="str">
        <f>IF(NOT(ISERROR(VLOOKUP(B517,Deflatores!G$42:H$64,2,FALSE))),VLOOKUP(B517,Deflatores!G$42:H$64,2,FALSE),IF(OR(ISBLANK(C517),ISBLANK(B517)),"",VLOOKUP(C517,Deflatores!G$4:H$38,2,FALSE)*H517+VLOOKUP(C517,Deflatores!G$4:I$38,3,FALSE)))</f>
        <v/>
      </c>
      <c r="M517" s="10"/>
      <c r="N517" s="10"/>
      <c r="O517" s="6"/>
    </row>
    <row r="518" spans="1:15" x14ac:dyDescent="0.25">
      <c r="A518" s="119"/>
      <c r="B518" s="4"/>
      <c r="C518" s="4"/>
      <c r="D518" s="7"/>
      <c r="E518" s="7"/>
      <c r="F518" s="116" t="str">
        <f t="shared" si="276"/>
        <v/>
      </c>
      <c r="G518" s="7" t="str">
        <f t="shared" si="277"/>
        <v/>
      </c>
      <c r="H518" s="7" t="str">
        <f t="shared" si="278"/>
        <v/>
      </c>
      <c r="I518" s="116" t="str">
        <f t="shared" si="279"/>
        <v/>
      </c>
      <c r="J518" s="7" t="str">
        <f t="shared" si="280"/>
        <v/>
      </c>
      <c r="K518" s="127" t="str">
        <f t="shared" si="281"/>
        <v/>
      </c>
      <c r="L518" s="127" t="str">
        <f>IF(NOT(ISERROR(VLOOKUP(B518,Deflatores!G$42:H$64,2,FALSE))),VLOOKUP(B518,Deflatores!G$42:H$64,2,FALSE),IF(OR(ISBLANK(C518),ISBLANK(B518)),"",VLOOKUP(C518,Deflatores!G$4:H$38,2,FALSE)*H518+VLOOKUP(C518,Deflatores!G$4:I$38,3,FALSE)))</f>
        <v/>
      </c>
      <c r="M518" s="10"/>
      <c r="N518" s="10"/>
      <c r="O518" s="6"/>
    </row>
    <row r="519" spans="1:15" x14ac:dyDescent="0.25">
      <c r="A519" s="119"/>
      <c r="B519" s="4"/>
      <c r="C519" s="4"/>
      <c r="D519" s="7"/>
      <c r="E519" s="7"/>
      <c r="F519" s="116" t="str">
        <f t="shared" si="276"/>
        <v/>
      </c>
      <c r="G519" s="7" t="str">
        <f t="shared" si="277"/>
        <v/>
      </c>
      <c r="H519" s="7" t="str">
        <f t="shared" si="278"/>
        <v/>
      </c>
      <c r="I519" s="116" t="str">
        <f t="shared" si="279"/>
        <v/>
      </c>
      <c r="J519" s="7" t="str">
        <f t="shared" si="280"/>
        <v/>
      </c>
      <c r="K519" s="127" t="str">
        <f t="shared" si="281"/>
        <v/>
      </c>
      <c r="L519" s="127" t="str">
        <f>IF(NOT(ISERROR(VLOOKUP(B519,Deflatores!G$42:H$64,2,FALSE))),VLOOKUP(B519,Deflatores!G$42:H$64,2,FALSE),IF(OR(ISBLANK(C519),ISBLANK(B519)),"",VLOOKUP(C519,Deflatores!G$4:H$38,2,FALSE)*H519+VLOOKUP(C519,Deflatores!G$4:I$38,3,FALSE)))</f>
        <v/>
      </c>
      <c r="M519" s="10"/>
      <c r="N519" s="10"/>
      <c r="O519" s="6"/>
    </row>
    <row r="520" spans="1:15" x14ac:dyDescent="0.25">
      <c r="A520" s="119"/>
      <c r="B520" s="4"/>
      <c r="C520" s="4"/>
      <c r="D520" s="7"/>
      <c r="E520" s="7"/>
      <c r="F520" s="116" t="str">
        <f t="shared" si="276"/>
        <v/>
      </c>
      <c r="G520" s="7" t="str">
        <f t="shared" si="277"/>
        <v/>
      </c>
      <c r="H520" s="7" t="str">
        <f t="shared" si="278"/>
        <v/>
      </c>
      <c r="I520" s="116" t="str">
        <f t="shared" si="279"/>
        <v/>
      </c>
      <c r="J520" s="7" t="str">
        <f t="shared" si="280"/>
        <v/>
      </c>
      <c r="K520" s="127" t="str">
        <f t="shared" si="281"/>
        <v/>
      </c>
      <c r="L520" s="127" t="str">
        <f>IF(NOT(ISERROR(VLOOKUP(B520,Deflatores!G$42:H$64,2,FALSE))),VLOOKUP(B520,Deflatores!G$42:H$64,2,FALSE),IF(OR(ISBLANK(C520),ISBLANK(B520)),"",VLOOKUP(C520,Deflatores!G$4:H$38,2,FALSE)*H520+VLOOKUP(C520,Deflatores!G$4:I$38,3,FALSE)))</f>
        <v/>
      </c>
      <c r="M520" s="10"/>
      <c r="N520" s="10"/>
      <c r="O520" s="6"/>
    </row>
    <row r="521" spans="1:15" x14ac:dyDescent="0.25">
      <c r="A521" s="119"/>
      <c r="B521" s="4"/>
      <c r="C521" s="4"/>
      <c r="D521" s="7"/>
      <c r="E521" s="7"/>
      <c r="F521" s="116" t="str">
        <f t="shared" si="276"/>
        <v/>
      </c>
      <c r="G521" s="7" t="str">
        <f t="shared" si="277"/>
        <v/>
      </c>
      <c r="H521" s="7" t="str">
        <f t="shared" si="278"/>
        <v/>
      </c>
      <c r="I521" s="116" t="str">
        <f t="shared" si="279"/>
        <v/>
      </c>
      <c r="J521" s="7" t="str">
        <f t="shared" si="280"/>
        <v/>
      </c>
      <c r="K521" s="127" t="str">
        <f t="shared" si="281"/>
        <v/>
      </c>
      <c r="L521" s="127" t="str">
        <f>IF(NOT(ISERROR(VLOOKUP(B521,Deflatores!G$42:H$64,2,FALSE))),VLOOKUP(B521,Deflatores!G$42:H$64,2,FALSE),IF(OR(ISBLANK(C521),ISBLANK(B521)),"",VLOOKUP(C521,Deflatores!G$4:H$38,2,FALSE)*H521+VLOOKUP(C521,Deflatores!G$4:I$38,3,FALSE)))</f>
        <v/>
      </c>
      <c r="M521" s="10"/>
      <c r="N521" s="10"/>
      <c r="O521" s="6"/>
    </row>
    <row r="522" spans="1:15" x14ac:dyDescent="0.25">
      <c r="A522" s="119"/>
      <c r="B522" s="4"/>
      <c r="C522" s="4"/>
      <c r="D522" s="7"/>
      <c r="E522" s="7"/>
      <c r="F522" s="116" t="str">
        <f t="shared" si="276"/>
        <v/>
      </c>
      <c r="G522" s="7" t="str">
        <f t="shared" si="277"/>
        <v/>
      </c>
      <c r="H522" s="7" t="str">
        <f t="shared" si="278"/>
        <v/>
      </c>
      <c r="I522" s="116" t="str">
        <f t="shared" si="279"/>
        <v/>
      </c>
      <c r="J522" s="7" t="str">
        <f t="shared" si="280"/>
        <v/>
      </c>
      <c r="K522" s="127" t="str">
        <f t="shared" si="281"/>
        <v/>
      </c>
      <c r="L522" s="127" t="str">
        <f>IF(NOT(ISERROR(VLOOKUP(B522,Deflatores!G$42:H$64,2,FALSE))),VLOOKUP(B522,Deflatores!G$42:H$64,2,FALSE),IF(OR(ISBLANK(C522),ISBLANK(B522)),"",VLOOKUP(C522,Deflatores!G$4:H$38,2,FALSE)*H522+VLOOKUP(C522,Deflatores!G$4:I$38,3,FALSE)))</f>
        <v/>
      </c>
      <c r="M522" s="10"/>
      <c r="N522" s="10"/>
      <c r="O522" s="6"/>
    </row>
    <row r="523" spans="1:15" x14ac:dyDescent="0.25">
      <c r="A523" s="119"/>
      <c r="B523" s="4"/>
      <c r="C523" s="4"/>
      <c r="D523" s="7"/>
      <c r="E523" s="7"/>
      <c r="F523" s="116" t="str">
        <f t="shared" si="276"/>
        <v/>
      </c>
      <c r="G523" s="7" t="str">
        <f t="shared" si="277"/>
        <v/>
      </c>
      <c r="H523" s="7" t="str">
        <f t="shared" si="278"/>
        <v/>
      </c>
      <c r="I523" s="116" t="str">
        <f t="shared" si="279"/>
        <v/>
      </c>
      <c r="J523" s="7" t="str">
        <f t="shared" si="280"/>
        <v/>
      </c>
      <c r="K523" s="127" t="str">
        <f t="shared" si="281"/>
        <v/>
      </c>
      <c r="L523" s="127" t="str">
        <f>IF(NOT(ISERROR(VLOOKUP(B523,Deflatores!G$42:H$64,2,FALSE))),VLOOKUP(B523,Deflatores!G$42:H$64,2,FALSE),IF(OR(ISBLANK(C523),ISBLANK(B523)),"",VLOOKUP(C523,Deflatores!G$4:H$38,2,FALSE)*H523+VLOOKUP(C523,Deflatores!G$4:I$38,3,FALSE)))</f>
        <v/>
      </c>
      <c r="M523" s="10"/>
      <c r="N523" s="10"/>
      <c r="O523" s="6"/>
    </row>
    <row r="524" spans="1:15" x14ac:dyDescent="0.25">
      <c r="A524" s="119"/>
      <c r="B524" s="4"/>
      <c r="C524" s="4"/>
      <c r="D524" s="7"/>
      <c r="E524" s="7"/>
      <c r="F524" s="116" t="str">
        <f t="shared" si="276"/>
        <v/>
      </c>
      <c r="G524" s="7" t="str">
        <f t="shared" si="277"/>
        <v/>
      </c>
      <c r="H524" s="7" t="str">
        <f t="shared" si="278"/>
        <v/>
      </c>
      <c r="I524" s="116" t="str">
        <f t="shared" si="279"/>
        <v/>
      </c>
      <c r="J524" s="7" t="str">
        <f t="shared" si="280"/>
        <v/>
      </c>
      <c r="K524" s="127" t="str">
        <f t="shared" si="281"/>
        <v/>
      </c>
      <c r="L524" s="127" t="str">
        <f>IF(NOT(ISERROR(VLOOKUP(B524,Deflatores!G$42:H$64,2,FALSE))),VLOOKUP(B524,Deflatores!G$42:H$64,2,FALSE),IF(OR(ISBLANK(C524),ISBLANK(B524)),"",VLOOKUP(C524,Deflatores!G$4:H$38,2,FALSE)*H524+VLOOKUP(C524,Deflatores!G$4:I$38,3,FALSE)))</f>
        <v/>
      </c>
      <c r="M524" s="10"/>
      <c r="N524" s="10"/>
      <c r="O524" s="6"/>
    </row>
    <row r="525" spans="1:15" x14ac:dyDescent="0.25">
      <c r="A525" s="119"/>
      <c r="B525" s="4"/>
      <c r="C525" s="4"/>
      <c r="D525" s="7"/>
      <c r="E525" s="7"/>
      <c r="F525" s="116" t="str">
        <f t="shared" si="276"/>
        <v/>
      </c>
      <c r="G525" s="7" t="str">
        <f t="shared" si="277"/>
        <v/>
      </c>
      <c r="H525" s="7" t="str">
        <f t="shared" si="278"/>
        <v/>
      </c>
      <c r="I525" s="116" t="str">
        <f t="shared" si="279"/>
        <v/>
      </c>
      <c r="J525" s="7" t="str">
        <f t="shared" si="280"/>
        <v/>
      </c>
      <c r="K525" s="127" t="str">
        <f t="shared" si="281"/>
        <v/>
      </c>
      <c r="L525" s="127" t="str">
        <f>IF(NOT(ISERROR(VLOOKUP(B525,Deflatores!G$42:H$64,2,FALSE))),VLOOKUP(B525,Deflatores!G$42:H$64,2,FALSE),IF(OR(ISBLANK(C525),ISBLANK(B525)),"",VLOOKUP(C525,Deflatores!G$4:H$38,2,FALSE)*H525+VLOOKUP(C525,Deflatores!G$4:I$38,3,FALSE)))</f>
        <v/>
      </c>
      <c r="M525" s="10"/>
      <c r="N525" s="10"/>
      <c r="O525" s="6"/>
    </row>
    <row r="526" spans="1:15" x14ac:dyDescent="0.25">
      <c r="A526" s="119"/>
      <c r="B526" s="4"/>
      <c r="C526" s="4"/>
      <c r="D526" s="7"/>
      <c r="E526" s="7"/>
      <c r="F526" s="116" t="str">
        <f t="shared" si="276"/>
        <v/>
      </c>
      <c r="G526" s="7" t="str">
        <f t="shared" si="277"/>
        <v/>
      </c>
      <c r="H526" s="7" t="str">
        <f t="shared" si="278"/>
        <v/>
      </c>
      <c r="I526" s="116" t="str">
        <f t="shared" si="279"/>
        <v/>
      </c>
      <c r="J526" s="7" t="str">
        <f t="shared" si="280"/>
        <v/>
      </c>
      <c r="K526" s="127" t="str">
        <f t="shared" si="281"/>
        <v/>
      </c>
      <c r="L526" s="127" t="str">
        <f>IF(NOT(ISERROR(VLOOKUP(B526,Deflatores!G$42:H$64,2,FALSE))),VLOOKUP(B526,Deflatores!G$42:H$64,2,FALSE),IF(OR(ISBLANK(C526),ISBLANK(B526)),"",VLOOKUP(C526,Deflatores!G$4:H$38,2,FALSE)*H526+VLOOKUP(C526,Deflatores!G$4:I$38,3,FALSE)))</f>
        <v/>
      </c>
      <c r="M526" s="10"/>
      <c r="N526" s="10"/>
      <c r="O526" s="6"/>
    </row>
    <row r="527" spans="1:15" x14ac:dyDescent="0.25">
      <c r="A527" s="119"/>
      <c r="B527" s="4"/>
      <c r="C527" s="4"/>
      <c r="D527" s="7"/>
      <c r="E527" s="7"/>
      <c r="F527" s="116" t="str">
        <f t="shared" si="276"/>
        <v/>
      </c>
      <c r="G527" s="7" t="str">
        <f t="shared" si="277"/>
        <v/>
      </c>
      <c r="H527" s="7" t="str">
        <f t="shared" si="278"/>
        <v/>
      </c>
      <c r="I527" s="116" t="str">
        <f t="shared" si="279"/>
        <v/>
      </c>
      <c r="J527" s="7" t="str">
        <f t="shared" si="280"/>
        <v/>
      </c>
      <c r="K527" s="127" t="str">
        <f t="shared" si="281"/>
        <v/>
      </c>
      <c r="L527" s="127" t="str">
        <f>IF(NOT(ISERROR(VLOOKUP(B527,Deflatores!G$42:H$64,2,FALSE))),VLOOKUP(B527,Deflatores!G$42:H$64,2,FALSE),IF(OR(ISBLANK(C527),ISBLANK(B527)),"",VLOOKUP(C527,Deflatores!G$4:H$38,2,FALSE)*H527+VLOOKUP(C527,Deflatores!G$4:I$38,3,FALSE)))</f>
        <v/>
      </c>
      <c r="M527" s="10"/>
      <c r="N527" s="10"/>
      <c r="O527" s="6"/>
    </row>
    <row r="528" spans="1:15" x14ac:dyDescent="0.25">
      <c r="A528" s="119"/>
      <c r="B528" s="4"/>
      <c r="C528" s="4"/>
      <c r="D528" s="7"/>
      <c r="E528" s="7"/>
      <c r="F528" s="116" t="str">
        <f t="shared" si="276"/>
        <v/>
      </c>
      <c r="G528" s="7" t="str">
        <f t="shared" si="277"/>
        <v/>
      </c>
      <c r="H528" s="7" t="str">
        <f t="shared" si="278"/>
        <v/>
      </c>
      <c r="I528" s="116" t="str">
        <f t="shared" si="279"/>
        <v/>
      </c>
      <c r="J528" s="7" t="str">
        <f t="shared" si="280"/>
        <v/>
      </c>
      <c r="K528" s="127" t="str">
        <f t="shared" si="281"/>
        <v/>
      </c>
      <c r="L528" s="127" t="str">
        <f>IF(NOT(ISERROR(VLOOKUP(B528,Deflatores!G$42:H$64,2,FALSE))),VLOOKUP(B528,Deflatores!G$42:H$64,2,FALSE),IF(OR(ISBLANK(C528),ISBLANK(B528)),"",VLOOKUP(C528,Deflatores!G$4:H$38,2,FALSE)*H528+VLOOKUP(C528,Deflatores!G$4:I$38,3,FALSE)))</f>
        <v/>
      </c>
      <c r="M528" s="10"/>
      <c r="N528" s="10"/>
      <c r="O528" s="6"/>
    </row>
    <row r="529" spans="1:15" x14ac:dyDescent="0.25">
      <c r="A529" s="119"/>
      <c r="B529" s="4"/>
      <c r="C529" s="4"/>
      <c r="D529" s="7"/>
      <c r="E529" s="7"/>
      <c r="F529" s="116" t="str">
        <f t="shared" si="276"/>
        <v/>
      </c>
      <c r="G529" s="7" t="str">
        <f t="shared" si="277"/>
        <v/>
      </c>
      <c r="H529" s="7" t="str">
        <f t="shared" si="278"/>
        <v/>
      </c>
      <c r="I529" s="116" t="str">
        <f t="shared" si="279"/>
        <v/>
      </c>
      <c r="J529" s="7" t="str">
        <f t="shared" si="280"/>
        <v/>
      </c>
      <c r="K529" s="127" t="str">
        <f t="shared" si="281"/>
        <v/>
      </c>
      <c r="L529" s="127" t="str">
        <f>IF(NOT(ISERROR(VLOOKUP(B529,Deflatores!G$42:H$64,2,FALSE))),VLOOKUP(B529,Deflatores!G$42:H$64,2,FALSE),IF(OR(ISBLANK(C529),ISBLANK(B529)),"",VLOOKUP(C529,Deflatores!G$4:H$38,2,FALSE)*H529+VLOOKUP(C529,Deflatores!G$4:I$38,3,FALSE)))</f>
        <v/>
      </c>
      <c r="M529" s="10"/>
      <c r="N529" s="10"/>
      <c r="O529" s="6"/>
    </row>
    <row r="530" spans="1:15" x14ac:dyDescent="0.25">
      <c r="A530" s="119"/>
      <c r="B530" s="4"/>
      <c r="C530" s="4"/>
      <c r="D530" s="7"/>
      <c r="E530" s="7"/>
      <c r="F530" s="116" t="str">
        <f t="shared" si="276"/>
        <v/>
      </c>
      <c r="G530" s="7" t="str">
        <f t="shared" si="277"/>
        <v/>
      </c>
      <c r="H530" s="7" t="str">
        <f t="shared" si="278"/>
        <v/>
      </c>
      <c r="I530" s="116" t="str">
        <f t="shared" si="279"/>
        <v/>
      </c>
      <c r="J530" s="7" t="str">
        <f t="shared" si="280"/>
        <v/>
      </c>
      <c r="K530" s="127" t="str">
        <f t="shared" si="281"/>
        <v/>
      </c>
      <c r="L530" s="127" t="str">
        <f>IF(NOT(ISERROR(VLOOKUP(B530,Deflatores!G$42:H$64,2,FALSE))),VLOOKUP(B530,Deflatores!G$42:H$64,2,FALSE),IF(OR(ISBLANK(C530),ISBLANK(B530)),"",VLOOKUP(C530,Deflatores!G$4:H$38,2,FALSE)*H530+VLOOKUP(C530,Deflatores!G$4:I$38,3,FALSE)))</f>
        <v/>
      </c>
      <c r="M530" s="10"/>
      <c r="N530" s="10"/>
      <c r="O530" s="6"/>
    </row>
    <row r="531" spans="1:15" x14ac:dyDescent="0.25">
      <c r="A531" s="119"/>
      <c r="B531" s="4"/>
      <c r="C531" s="4"/>
      <c r="D531" s="7"/>
      <c r="E531" s="7"/>
      <c r="F531" s="116" t="str">
        <f t="shared" si="276"/>
        <v/>
      </c>
      <c r="G531" s="7" t="str">
        <f t="shared" si="277"/>
        <v/>
      </c>
      <c r="H531" s="7" t="str">
        <f t="shared" si="278"/>
        <v/>
      </c>
      <c r="I531" s="116" t="str">
        <f t="shared" si="279"/>
        <v/>
      </c>
      <c r="J531" s="7" t="str">
        <f t="shared" si="280"/>
        <v/>
      </c>
      <c r="K531" s="127" t="str">
        <f t="shared" si="281"/>
        <v/>
      </c>
      <c r="L531" s="127" t="str">
        <f>IF(NOT(ISERROR(VLOOKUP(B531,Deflatores!G$42:H$64,2,FALSE))),VLOOKUP(B531,Deflatores!G$42:H$64,2,FALSE),IF(OR(ISBLANK(C531),ISBLANK(B531)),"",VLOOKUP(C531,Deflatores!G$4:H$38,2,FALSE)*H531+VLOOKUP(C531,Deflatores!G$4:I$38,3,FALSE)))</f>
        <v/>
      </c>
      <c r="M531" s="10"/>
      <c r="N531" s="10"/>
      <c r="O531" s="6"/>
    </row>
    <row r="532" spans="1:15" x14ac:dyDescent="0.25">
      <c r="A532" s="119"/>
      <c r="B532" s="4"/>
      <c r="C532" s="4"/>
      <c r="D532" s="7"/>
      <c r="E532" s="7"/>
      <c r="F532" s="116" t="str">
        <f t="shared" si="276"/>
        <v/>
      </c>
      <c r="G532" s="7" t="str">
        <f t="shared" si="277"/>
        <v/>
      </c>
      <c r="H532" s="7" t="str">
        <f t="shared" si="278"/>
        <v/>
      </c>
      <c r="I532" s="116" t="str">
        <f t="shared" si="279"/>
        <v/>
      </c>
      <c r="J532" s="7" t="str">
        <f t="shared" si="280"/>
        <v/>
      </c>
      <c r="K532" s="127" t="str">
        <f t="shared" si="281"/>
        <v/>
      </c>
      <c r="L532" s="127" t="str">
        <f>IF(NOT(ISERROR(VLOOKUP(B532,Deflatores!G$42:H$64,2,FALSE))),VLOOKUP(B532,Deflatores!G$42:H$64,2,FALSE),IF(OR(ISBLANK(C532),ISBLANK(B532)),"",VLOOKUP(C532,Deflatores!G$4:H$38,2,FALSE)*H532+VLOOKUP(C532,Deflatores!G$4:I$38,3,FALSE)))</f>
        <v/>
      </c>
      <c r="M532" s="10"/>
      <c r="N532" s="10"/>
      <c r="O532" s="6"/>
    </row>
    <row r="533" spans="1:15" x14ac:dyDescent="0.25">
      <c r="A533" s="119"/>
      <c r="B533" s="4"/>
      <c r="C533" s="4"/>
      <c r="D533" s="7"/>
      <c r="E533" s="7"/>
      <c r="F533" s="116" t="str">
        <f t="shared" si="276"/>
        <v/>
      </c>
      <c r="G533" s="7" t="str">
        <f t="shared" si="277"/>
        <v/>
      </c>
      <c r="H533" s="7" t="str">
        <f t="shared" si="278"/>
        <v/>
      </c>
      <c r="I533" s="116" t="str">
        <f t="shared" si="279"/>
        <v/>
      </c>
      <c r="J533" s="7" t="str">
        <f t="shared" si="280"/>
        <v/>
      </c>
      <c r="K533" s="127" t="str">
        <f t="shared" si="281"/>
        <v/>
      </c>
      <c r="L533" s="127" t="str">
        <f>IF(NOT(ISERROR(VLOOKUP(B533,Deflatores!G$42:H$64,2,FALSE))),VLOOKUP(B533,Deflatores!G$42:H$64,2,FALSE),IF(OR(ISBLANK(C533),ISBLANK(B533)),"",VLOOKUP(C533,Deflatores!G$4:H$38,2,FALSE)*H533+VLOOKUP(C533,Deflatores!G$4:I$38,3,FALSE)))</f>
        <v/>
      </c>
      <c r="M533" s="10"/>
      <c r="N533" s="10"/>
      <c r="O533" s="6"/>
    </row>
    <row r="534" spans="1:15" x14ac:dyDescent="0.25">
      <c r="A534" s="119"/>
      <c r="B534" s="4"/>
      <c r="C534" s="4"/>
      <c r="D534" s="7"/>
      <c r="E534" s="7"/>
      <c r="F534" s="116" t="str">
        <f t="shared" si="276"/>
        <v/>
      </c>
      <c r="G534" s="7" t="str">
        <f t="shared" si="277"/>
        <v/>
      </c>
      <c r="H534" s="7" t="str">
        <f t="shared" si="278"/>
        <v/>
      </c>
      <c r="I534" s="116" t="str">
        <f t="shared" si="279"/>
        <v/>
      </c>
      <c r="J534" s="7" t="str">
        <f t="shared" si="280"/>
        <v/>
      </c>
      <c r="K534" s="127" t="str">
        <f t="shared" si="281"/>
        <v/>
      </c>
      <c r="L534" s="127" t="str">
        <f>IF(NOT(ISERROR(VLOOKUP(B534,Deflatores!G$42:H$64,2,FALSE))),VLOOKUP(B534,Deflatores!G$42:H$64,2,FALSE),IF(OR(ISBLANK(C534),ISBLANK(B534)),"",VLOOKUP(C534,Deflatores!G$4:H$38,2,FALSE)*H534+VLOOKUP(C534,Deflatores!G$4:I$38,3,FALSE)))</f>
        <v/>
      </c>
      <c r="M534" s="10"/>
      <c r="N534" s="10"/>
      <c r="O534" s="6"/>
    </row>
    <row r="535" spans="1:15" x14ac:dyDescent="0.25">
      <c r="A535" s="119"/>
      <c r="B535" s="4"/>
      <c r="C535" s="4"/>
      <c r="D535" s="7"/>
      <c r="E535" s="7"/>
      <c r="F535" s="116" t="str">
        <f t="shared" si="276"/>
        <v/>
      </c>
      <c r="G535" s="7" t="str">
        <f t="shared" si="277"/>
        <v/>
      </c>
      <c r="H535" s="7" t="str">
        <f t="shared" si="278"/>
        <v/>
      </c>
      <c r="I535" s="116" t="str">
        <f t="shared" si="279"/>
        <v/>
      </c>
      <c r="J535" s="7" t="str">
        <f t="shared" si="280"/>
        <v/>
      </c>
      <c r="K535" s="127" t="str">
        <f t="shared" si="281"/>
        <v/>
      </c>
      <c r="L535" s="127" t="str">
        <f>IF(NOT(ISERROR(VLOOKUP(B535,Deflatores!G$42:H$64,2,FALSE))),VLOOKUP(B535,Deflatores!G$42:H$64,2,FALSE),IF(OR(ISBLANK(C535),ISBLANK(B535)),"",VLOOKUP(C535,Deflatores!G$4:H$38,2,FALSE)*H535+VLOOKUP(C535,Deflatores!G$4:I$38,3,FALSE)))</f>
        <v/>
      </c>
      <c r="M535" s="10"/>
      <c r="N535" s="10"/>
      <c r="O535" s="6"/>
    </row>
    <row r="536" spans="1:15" x14ac:dyDescent="0.25">
      <c r="A536" s="119"/>
      <c r="B536" s="4"/>
      <c r="C536" s="4"/>
      <c r="D536" s="7"/>
      <c r="E536" s="7"/>
      <c r="F536" s="116" t="str">
        <f t="shared" si="276"/>
        <v/>
      </c>
      <c r="G536" s="7" t="str">
        <f t="shared" si="277"/>
        <v/>
      </c>
      <c r="H536" s="7" t="str">
        <f t="shared" si="278"/>
        <v/>
      </c>
      <c r="I536" s="116" t="str">
        <f t="shared" si="279"/>
        <v/>
      </c>
      <c r="J536" s="7" t="str">
        <f t="shared" si="280"/>
        <v/>
      </c>
      <c r="K536" s="127" t="str">
        <f t="shared" si="281"/>
        <v/>
      </c>
      <c r="L536" s="127" t="str">
        <f>IF(NOT(ISERROR(VLOOKUP(B536,Deflatores!G$42:H$64,2,FALSE))),VLOOKUP(B536,Deflatores!G$42:H$64,2,FALSE),IF(OR(ISBLANK(C536),ISBLANK(B536)),"",VLOOKUP(C536,Deflatores!G$4:H$38,2,FALSE)*H536+VLOOKUP(C536,Deflatores!G$4:I$38,3,FALSE)))</f>
        <v/>
      </c>
      <c r="M536" s="10"/>
      <c r="N536" s="10"/>
      <c r="O536" s="6"/>
    </row>
    <row r="537" spans="1:15" x14ac:dyDescent="0.25">
      <c r="A537" s="119"/>
      <c r="B537" s="4"/>
      <c r="C537" s="4"/>
      <c r="D537" s="7"/>
      <c r="E537" s="7"/>
      <c r="F537" s="116" t="str">
        <f t="shared" si="276"/>
        <v/>
      </c>
      <c r="G537" s="7" t="str">
        <f t="shared" si="277"/>
        <v/>
      </c>
      <c r="H537" s="7" t="str">
        <f t="shared" si="278"/>
        <v/>
      </c>
      <c r="I537" s="116" t="str">
        <f t="shared" si="279"/>
        <v/>
      </c>
      <c r="J537" s="7" t="str">
        <f t="shared" si="280"/>
        <v/>
      </c>
      <c r="K537" s="127" t="str">
        <f t="shared" si="281"/>
        <v/>
      </c>
      <c r="L537" s="127" t="str">
        <f>IF(NOT(ISERROR(VLOOKUP(B537,Deflatores!G$42:H$64,2,FALSE))),VLOOKUP(B537,Deflatores!G$42:H$64,2,FALSE),IF(OR(ISBLANK(C537),ISBLANK(B537)),"",VLOOKUP(C537,Deflatores!G$4:H$38,2,FALSE)*H537+VLOOKUP(C537,Deflatores!G$4:I$38,3,FALSE)))</f>
        <v/>
      </c>
      <c r="M537" s="10"/>
      <c r="N537" s="10"/>
      <c r="O537" s="6"/>
    </row>
    <row r="538" spans="1:15" x14ac:dyDescent="0.25">
      <c r="A538" s="119"/>
      <c r="B538" s="4"/>
      <c r="C538" s="4"/>
      <c r="D538" s="7"/>
      <c r="E538" s="7"/>
      <c r="F538" s="116" t="str">
        <f t="shared" si="276"/>
        <v/>
      </c>
      <c r="G538" s="7" t="str">
        <f t="shared" si="277"/>
        <v/>
      </c>
      <c r="H538" s="7" t="str">
        <f t="shared" si="278"/>
        <v/>
      </c>
      <c r="I538" s="116" t="str">
        <f t="shared" si="279"/>
        <v/>
      </c>
      <c r="J538" s="7" t="str">
        <f t="shared" si="280"/>
        <v/>
      </c>
      <c r="K538" s="127" t="str">
        <f t="shared" si="281"/>
        <v/>
      </c>
      <c r="L538" s="127" t="str">
        <f>IF(NOT(ISERROR(VLOOKUP(B538,Deflatores!G$42:H$64,2,FALSE))),VLOOKUP(B538,Deflatores!G$42:H$64,2,FALSE),IF(OR(ISBLANK(C538),ISBLANK(B538)),"",VLOOKUP(C538,Deflatores!G$4:H$38,2,FALSE)*H538+VLOOKUP(C538,Deflatores!G$4:I$38,3,FALSE)))</f>
        <v/>
      </c>
      <c r="M538" s="10"/>
      <c r="N538" s="10"/>
      <c r="O538" s="6"/>
    </row>
    <row r="539" spans="1:15" x14ac:dyDescent="0.25">
      <c r="A539" s="119"/>
      <c r="B539" s="4"/>
      <c r="C539" s="4"/>
      <c r="D539" s="7"/>
      <c r="E539" s="7"/>
      <c r="F539" s="116" t="str">
        <f t="shared" si="276"/>
        <v/>
      </c>
      <c r="G539" s="7" t="str">
        <f t="shared" si="277"/>
        <v/>
      </c>
      <c r="H539" s="7" t="str">
        <f t="shared" si="278"/>
        <v/>
      </c>
      <c r="I539" s="116" t="str">
        <f t="shared" si="279"/>
        <v/>
      </c>
      <c r="J539" s="7" t="str">
        <f t="shared" si="280"/>
        <v/>
      </c>
      <c r="K539" s="127" t="str">
        <f t="shared" si="281"/>
        <v/>
      </c>
      <c r="L539" s="127" t="str">
        <f>IF(NOT(ISERROR(VLOOKUP(B539,Deflatores!G$42:H$64,2,FALSE))),VLOOKUP(B539,Deflatores!G$42:H$64,2,FALSE),IF(OR(ISBLANK(C539),ISBLANK(B539)),"",VLOOKUP(C539,Deflatores!G$4:H$38,2,FALSE)*H539+VLOOKUP(C539,Deflatores!G$4:I$38,3,FALSE)))</f>
        <v/>
      </c>
      <c r="M539" s="10"/>
      <c r="N539" s="10"/>
      <c r="O539" s="6"/>
    </row>
    <row r="540" spans="1:15" x14ac:dyDescent="0.25">
      <c r="A540" s="119"/>
      <c r="B540" s="4"/>
      <c r="C540" s="4"/>
      <c r="D540" s="7"/>
      <c r="E540" s="7"/>
      <c r="F540" s="116" t="str">
        <f t="shared" si="276"/>
        <v/>
      </c>
      <c r="G540" s="7" t="str">
        <f t="shared" si="277"/>
        <v/>
      </c>
      <c r="H540" s="7" t="str">
        <f t="shared" si="278"/>
        <v/>
      </c>
      <c r="I540" s="116" t="str">
        <f t="shared" si="279"/>
        <v/>
      </c>
      <c r="J540" s="7" t="str">
        <f t="shared" si="280"/>
        <v/>
      </c>
      <c r="K540" s="127" t="str">
        <f t="shared" si="281"/>
        <v/>
      </c>
      <c r="L540" s="127" t="str">
        <f>IF(NOT(ISERROR(VLOOKUP(B540,Deflatores!G$42:H$64,2,FALSE))),VLOOKUP(B540,Deflatores!G$42:H$64,2,FALSE),IF(OR(ISBLANK(C540),ISBLANK(B540)),"",VLOOKUP(C540,Deflatores!G$4:H$38,2,FALSE)*H540+VLOOKUP(C540,Deflatores!G$4:I$38,3,FALSE)))</f>
        <v/>
      </c>
      <c r="M540" s="10"/>
      <c r="N540" s="10"/>
      <c r="O540" s="6"/>
    </row>
    <row r="541" spans="1:15" x14ac:dyDescent="0.25">
      <c r="A541" s="119"/>
      <c r="B541" s="4"/>
      <c r="C541" s="4"/>
      <c r="D541" s="7"/>
      <c r="E541" s="7"/>
      <c r="F541" s="116" t="str">
        <f t="shared" si="276"/>
        <v/>
      </c>
      <c r="G541" s="7" t="str">
        <f t="shared" si="277"/>
        <v/>
      </c>
      <c r="H541" s="7" t="str">
        <f t="shared" si="278"/>
        <v/>
      </c>
      <c r="I541" s="116" t="str">
        <f t="shared" si="279"/>
        <v/>
      </c>
      <c r="J541" s="7" t="str">
        <f t="shared" si="280"/>
        <v/>
      </c>
      <c r="K541" s="127" t="str">
        <f t="shared" si="281"/>
        <v/>
      </c>
      <c r="L541" s="127" t="str">
        <f>IF(NOT(ISERROR(VLOOKUP(B541,Deflatores!G$42:H$64,2,FALSE))),VLOOKUP(B541,Deflatores!G$42:H$64,2,FALSE),IF(OR(ISBLANK(C541),ISBLANK(B541)),"",VLOOKUP(C541,Deflatores!G$4:H$38,2,FALSE)*H541+VLOOKUP(C541,Deflatores!G$4:I$38,3,FALSE)))</f>
        <v/>
      </c>
      <c r="M541" s="10"/>
      <c r="N541" s="10"/>
      <c r="O541" s="6"/>
    </row>
    <row r="542" spans="1:15" x14ac:dyDescent="0.25">
      <c r="A542" s="119"/>
      <c r="B542" s="4"/>
      <c r="C542" s="4"/>
      <c r="D542" s="7"/>
      <c r="E542" s="7"/>
      <c r="F542" s="116" t="str">
        <f t="shared" si="276"/>
        <v/>
      </c>
      <c r="G542" s="7" t="str">
        <f t="shared" si="277"/>
        <v/>
      </c>
      <c r="H542" s="7" t="str">
        <f t="shared" si="278"/>
        <v/>
      </c>
      <c r="I542" s="116" t="str">
        <f t="shared" si="279"/>
        <v/>
      </c>
      <c r="J542" s="7" t="str">
        <f t="shared" si="280"/>
        <v/>
      </c>
      <c r="K542" s="127" t="str">
        <f t="shared" si="281"/>
        <v/>
      </c>
      <c r="L542" s="127" t="str">
        <f>IF(NOT(ISERROR(VLOOKUP(B542,Deflatores!G$42:H$64,2,FALSE))),VLOOKUP(B542,Deflatores!G$42:H$64,2,FALSE),IF(OR(ISBLANK(C542),ISBLANK(B542)),"",VLOOKUP(C542,Deflatores!G$4:H$38,2,FALSE)*H542+VLOOKUP(C542,Deflatores!G$4:I$38,3,FALSE)))</f>
        <v/>
      </c>
      <c r="M542" s="10"/>
      <c r="N542" s="10"/>
      <c r="O542" s="6"/>
    </row>
    <row r="543" spans="1:15" x14ac:dyDescent="0.25">
      <c r="A543" s="119"/>
      <c r="B543" s="4"/>
      <c r="C543" s="4"/>
      <c r="D543" s="7"/>
      <c r="E543" s="7"/>
      <c r="F543" s="116" t="str">
        <f t="shared" si="276"/>
        <v/>
      </c>
      <c r="G543" s="7" t="str">
        <f t="shared" si="277"/>
        <v/>
      </c>
      <c r="H543" s="7" t="str">
        <f t="shared" si="278"/>
        <v/>
      </c>
      <c r="I543" s="116" t="str">
        <f t="shared" si="279"/>
        <v/>
      </c>
      <c r="J543" s="7" t="str">
        <f t="shared" si="280"/>
        <v/>
      </c>
      <c r="K543" s="127" t="str">
        <f t="shared" si="281"/>
        <v/>
      </c>
      <c r="L543" s="127" t="str">
        <f>IF(NOT(ISERROR(VLOOKUP(B543,Deflatores!G$42:H$64,2,FALSE))),VLOOKUP(B543,Deflatores!G$42:H$64,2,FALSE),IF(OR(ISBLANK(C543),ISBLANK(B543)),"",VLOOKUP(C543,Deflatores!G$4:H$38,2,FALSE)*H543+VLOOKUP(C543,Deflatores!G$4:I$38,3,FALSE)))</f>
        <v/>
      </c>
      <c r="M543" s="10"/>
      <c r="N543" s="10"/>
      <c r="O543" s="6"/>
    </row>
    <row r="544" spans="1:15" x14ac:dyDescent="0.25">
      <c r="A544" s="119"/>
      <c r="B544" s="4"/>
      <c r="C544" s="4"/>
      <c r="D544" s="7"/>
      <c r="E544" s="7"/>
      <c r="F544" s="116" t="str">
        <f t="shared" si="276"/>
        <v/>
      </c>
      <c r="G544" s="7" t="str">
        <f t="shared" si="277"/>
        <v/>
      </c>
      <c r="H544" s="7" t="str">
        <f t="shared" si="278"/>
        <v/>
      </c>
      <c r="I544" s="116" t="str">
        <f t="shared" si="279"/>
        <v/>
      </c>
      <c r="J544" s="7" t="str">
        <f t="shared" si="280"/>
        <v/>
      </c>
      <c r="K544" s="127" t="str">
        <f t="shared" si="281"/>
        <v/>
      </c>
      <c r="L544" s="127" t="str">
        <f>IF(NOT(ISERROR(VLOOKUP(B544,Deflatores!G$42:H$64,2,FALSE))),VLOOKUP(B544,Deflatores!G$42:H$64,2,FALSE),IF(OR(ISBLANK(C544),ISBLANK(B544)),"",VLOOKUP(C544,Deflatores!G$4:H$38,2,FALSE)*H544+VLOOKUP(C544,Deflatores!G$4:I$38,3,FALSE)))</f>
        <v/>
      </c>
      <c r="M544" s="10"/>
      <c r="N544" s="10"/>
      <c r="O544" s="6"/>
    </row>
    <row r="545" spans="1:15" x14ac:dyDescent="0.25">
      <c r="A545" s="119"/>
      <c r="B545" s="4"/>
      <c r="C545" s="4"/>
      <c r="D545" s="7"/>
      <c r="E545" s="7"/>
      <c r="F545" s="116" t="str">
        <f t="shared" ref="F545:F608" si="282">IF(ISBLANK(B545),"",IF(I545="L","Baixa",IF(I545="A","Média",IF(I545="","","Alta"))))</f>
        <v/>
      </c>
      <c r="G545" s="7" t="str">
        <f t="shared" ref="G545:G608" si="283">CONCATENATE(B545,I545)</f>
        <v/>
      </c>
      <c r="H545" s="7" t="str">
        <f t="shared" ref="H545:H608" si="284">IF(ISBLANK(B545),"",IF(B545="ALI",IF(I545="L",7,IF(I545="A",10,15)),IF(B545="AIE",IF(I545="L",5,IF(I545="A",7,10)),IF(B545="SE",IF(I545="L",4,IF(I545="A",5,7)),IF(OR(B545="EE",B545="CE"),IF(I545="L",3,IF(I545="A",4,6)),0)))))</f>
        <v/>
      </c>
      <c r="I545" s="116" t="str">
        <f t="shared" ref="I545:I608" si="285">IF(OR(ISBLANK(D545),ISBLANK(E545)),IF(OR(B545="ALI",B545="AIE"),"L",IF(OR(B545="EE",B545="SE",B545="CE"),"A","")),IF(B545="EE",IF(E545&gt;=3,IF(D545&gt;=5,"H","A"),IF(E545&gt;=2,IF(D545&gt;=16,"H",IF(D545&lt;=4,"L","A")),IF(D545&lt;=15,"L","A"))),IF(OR(B545="SE",B545="CE"),IF(E545&gt;=4,IF(D545&gt;=6,"H","A"),IF(E545&gt;=2,IF(D545&gt;=20,"H",IF(D545&lt;=5,"L","A")),IF(D545&lt;=19,"L","A"))),IF(OR(B545="ALI",B545="AIE"),IF(E545&gt;=6,IF(D545&gt;=20,"H","A"),IF(E545&gt;=2,IF(D545&gt;=51,"H",IF(D545&lt;=19,"L","A")),IF(D545&lt;=50,"L","A"))),""))))</f>
        <v/>
      </c>
      <c r="J545" s="7" t="str">
        <f t="shared" ref="J545:J608" si="286">CONCATENATE(B545,C545)</f>
        <v/>
      </c>
      <c r="K545" s="127" t="str">
        <f t="shared" si="281"/>
        <v/>
      </c>
      <c r="L545" s="127" t="str">
        <f>IF(NOT(ISERROR(VLOOKUP(B545,Deflatores!G$42:H$64,2,FALSE))),VLOOKUP(B545,Deflatores!G$42:H$64,2,FALSE),IF(OR(ISBLANK(C545),ISBLANK(B545)),"",VLOOKUP(C545,Deflatores!G$4:H$38,2,FALSE)*H545+VLOOKUP(C545,Deflatores!G$4:I$38,3,FALSE)))</f>
        <v/>
      </c>
      <c r="M545" s="10"/>
      <c r="N545" s="10"/>
      <c r="O545" s="6"/>
    </row>
    <row r="546" spans="1:15" x14ac:dyDescent="0.25">
      <c r="A546" s="119"/>
      <c r="B546" s="4"/>
      <c r="C546" s="4"/>
      <c r="D546" s="7"/>
      <c r="E546" s="7"/>
      <c r="F546" s="116" t="str">
        <f t="shared" si="282"/>
        <v/>
      </c>
      <c r="G546" s="7" t="str">
        <f t="shared" si="283"/>
        <v/>
      </c>
      <c r="H546" s="7" t="str">
        <f t="shared" si="284"/>
        <v/>
      </c>
      <c r="I546" s="116" t="str">
        <f t="shared" si="285"/>
        <v/>
      </c>
      <c r="J546" s="7" t="str">
        <f t="shared" si="286"/>
        <v/>
      </c>
      <c r="K546" s="127" t="str">
        <f t="shared" si="281"/>
        <v/>
      </c>
      <c r="L546" s="127" t="str">
        <f>IF(NOT(ISERROR(VLOOKUP(B546,Deflatores!G$42:H$64,2,FALSE))),VLOOKUP(B546,Deflatores!G$42:H$64,2,FALSE),IF(OR(ISBLANK(C546),ISBLANK(B546)),"",VLOOKUP(C546,Deflatores!G$4:H$38,2,FALSE)*H546+VLOOKUP(C546,Deflatores!G$4:I$38,3,FALSE)))</f>
        <v/>
      </c>
      <c r="M546" s="10"/>
      <c r="N546" s="10"/>
      <c r="O546" s="6"/>
    </row>
    <row r="547" spans="1:15" x14ac:dyDescent="0.25">
      <c r="A547" s="119"/>
      <c r="B547" s="4"/>
      <c r="C547" s="4"/>
      <c r="D547" s="7"/>
      <c r="E547" s="7"/>
      <c r="F547" s="116" t="str">
        <f t="shared" si="282"/>
        <v/>
      </c>
      <c r="G547" s="7" t="str">
        <f t="shared" si="283"/>
        <v/>
      </c>
      <c r="H547" s="7" t="str">
        <f t="shared" si="284"/>
        <v/>
      </c>
      <c r="I547" s="116" t="str">
        <f t="shared" si="285"/>
        <v/>
      </c>
      <c r="J547" s="7" t="str">
        <f t="shared" si="286"/>
        <v/>
      </c>
      <c r="K547" s="127" t="str">
        <f t="shared" ref="K547:K610" si="287">IF(OR(H547="",H547=0),L547,H547)</f>
        <v/>
      </c>
      <c r="L547" s="127" t="str">
        <f>IF(NOT(ISERROR(VLOOKUP(B547,Deflatores!G$42:H$64,2,FALSE))),VLOOKUP(B547,Deflatores!G$42:H$64,2,FALSE),IF(OR(ISBLANK(C547),ISBLANK(B547)),"",VLOOKUP(C547,Deflatores!G$4:H$38,2,FALSE)*H547+VLOOKUP(C547,Deflatores!G$4:I$38,3,FALSE)))</f>
        <v/>
      </c>
      <c r="M547" s="10"/>
      <c r="N547" s="10"/>
      <c r="O547" s="6"/>
    </row>
    <row r="548" spans="1:15" x14ac:dyDescent="0.25">
      <c r="A548" s="119"/>
      <c r="B548" s="4"/>
      <c r="C548" s="4"/>
      <c r="D548" s="7"/>
      <c r="E548" s="7"/>
      <c r="F548" s="116" t="str">
        <f t="shared" si="282"/>
        <v/>
      </c>
      <c r="G548" s="7" t="str">
        <f t="shared" si="283"/>
        <v/>
      </c>
      <c r="H548" s="7" t="str">
        <f t="shared" si="284"/>
        <v/>
      </c>
      <c r="I548" s="116" t="str">
        <f t="shared" si="285"/>
        <v/>
      </c>
      <c r="J548" s="7" t="str">
        <f t="shared" si="286"/>
        <v/>
      </c>
      <c r="K548" s="127" t="str">
        <f t="shared" si="287"/>
        <v/>
      </c>
      <c r="L548" s="127" t="str">
        <f>IF(NOT(ISERROR(VLOOKUP(B548,Deflatores!G$42:H$64,2,FALSE))),VLOOKUP(B548,Deflatores!G$42:H$64,2,FALSE),IF(OR(ISBLANK(C548),ISBLANK(B548)),"",VLOOKUP(C548,Deflatores!G$4:H$38,2,FALSE)*H548+VLOOKUP(C548,Deflatores!G$4:I$38,3,FALSE)))</f>
        <v/>
      </c>
      <c r="M548" s="10"/>
      <c r="N548" s="10"/>
      <c r="O548" s="6"/>
    </row>
    <row r="549" spans="1:15" x14ac:dyDescent="0.25">
      <c r="A549" s="119"/>
      <c r="B549" s="4"/>
      <c r="C549" s="4"/>
      <c r="D549" s="7"/>
      <c r="E549" s="7"/>
      <c r="F549" s="116" t="str">
        <f t="shared" si="282"/>
        <v/>
      </c>
      <c r="G549" s="7" t="str">
        <f t="shared" si="283"/>
        <v/>
      </c>
      <c r="H549" s="7" t="str">
        <f t="shared" si="284"/>
        <v/>
      </c>
      <c r="I549" s="116" t="str">
        <f t="shared" si="285"/>
        <v/>
      </c>
      <c r="J549" s="7" t="str">
        <f t="shared" si="286"/>
        <v/>
      </c>
      <c r="K549" s="127" t="str">
        <f t="shared" si="287"/>
        <v/>
      </c>
      <c r="L549" s="127" t="str">
        <f>IF(NOT(ISERROR(VLOOKUP(B549,Deflatores!G$42:H$64,2,FALSE))),VLOOKUP(B549,Deflatores!G$42:H$64,2,FALSE),IF(OR(ISBLANK(C549),ISBLANK(B549)),"",VLOOKUP(C549,Deflatores!G$4:H$38,2,FALSE)*H549+VLOOKUP(C549,Deflatores!G$4:I$38,3,FALSE)))</f>
        <v/>
      </c>
      <c r="M549" s="10"/>
      <c r="N549" s="10"/>
      <c r="O549" s="6"/>
    </row>
    <row r="550" spans="1:15" x14ac:dyDescent="0.25">
      <c r="A550" s="119"/>
      <c r="B550" s="4"/>
      <c r="C550" s="4"/>
      <c r="D550" s="7"/>
      <c r="E550" s="7"/>
      <c r="F550" s="116" t="str">
        <f t="shared" si="282"/>
        <v/>
      </c>
      <c r="G550" s="7" t="str">
        <f t="shared" si="283"/>
        <v/>
      </c>
      <c r="H550" s="7" t="str">
        <f t="shared" si="284"/>
        <v/>
      </c>
      <c r="I550" s="116" t="str">
        <f t="shared" si="285"/>
        <v/>
      </c>
      <c r="J550" s="7" t="str">
        <f t="shared" si="286"/>
        <v/>
      </c>
      <c r="K550" s="127" t="str">
        <f t="shared" si="287"/>
        <v/>
      </c>
      <c r="L550" s="127" t="str">
        <f>IF(NOT(ISERROR(VLOOKUP(B550,Deflatores!G$42:H$64,2,FALSE))),VLOOKUP(B550,Deflatores!G$42:H$64,2,FALSE),IF(OR(ISBLANK(C550),ISBLANK(B550)),"",VLOOKUP(C550,Deflatores!G$4:H$38,2,FALSE)*H550+VLOOKUP(C550,Deflatores!G$4:I$38,3,FALSE)))</f>
        <v/>
      </c>
      <c r="M550" s="10"/>
      <c r="N550" s="10"/>
      <c r="O550" s="6"/>
    </row>
    <row r="551" spans="1:15" x14ac:dyDescent="0.25">
      <c r="A551" s="119"/>
      <c r="B551" s="4"/>
      <c r="C551" s="4"/>
      <c r="D551" s="7"/>
      <c r="E551" s="7"/>
      <c r="F551" s="116" t="str">
        <f t="shared" si="282"/>
        <v/>
      </c>
      <c r="G551" s="7" t="str">
        <f t="shared" si="283"/>
        <v/>
      </c>
      <c r="H551" s="7" t="str">
        <f t="shared" si="284"/>
        <v/>
      </c>
      <c r="I551" s="116" t="str">
        <f t="shared" si="285"/>
        <v/>
      </c>
      <c r="J551" s="7" t="str">
        <f t="shared" si="286"/>
        <v/>
      </c>
      <c r="K551" s="127" t="str">
        <f t="shared" si="287"/>
        <v/>
      </c>
      <c r="L551" s="127" t="str">
        <f>IF(NOT(ISERROR(VLOOKUP(B551,Deflatores!G$42:H$64,2,FALSE))),VLOOKUP(B551,Deflatores!G$42:H$64,2,FALSE),IF(OR(ISBLANK(C551),ISBLANK(B551)),"",VLOOKUP(C551,Deflatores!G$4:H$38,2,FALSE)*H551+VLOOKUP(C551,Deflatores!G$4:I$38,3,FALSE)))</f>
        <v/>
      </c>
      <c r="M551" s="10"/>
      <c r="N551" s="10"/>
      <c r="O551" s="6"/>
    </row>
    <row r="552" spans="1:15" x14ac:dyDescent="0.25">
      <c r="A552" s="119"/>
      <c r="B552" s="4"/>
      <c r="C552" s="4"/>
      <c r="D552" s="7"/>
      <c r="E552" s="7"/>
      <c r="F552" s="116" t="str">
        <f t="shared" si="282"/>
        <v/>
      </c>
      <c r="G552" s="7" t="str">
        <f t="shared" si="283"/>
        <v/>
      </c>
      <c r="H552" s="7" t="str">
        <f t="shared" si="284"/>
        <v/>
      </c>
      <c r="I552" s="116" t="str">
        <f t="shared" si="285"/>
        <v/>
      </c>
      <c r="J552" s="7" t="str">
        <f t="shared" si="286"/>
        <v/>
      </c>
      <c r="K552" s="127" t="str">
        <f t="shared" si="287"/>
        <v/>
      </c>
      <c r="L552" s="127" t="str">
        <f>IF(NOT(ISERROR(VLOOKUP(B552,Deflatores!G$42:H$64,2,FALSE))),VLOOKUP(B552,Deflatores!G$42:H$64,2,FALSE),IF(OR(ISBLANK(C552),ISBLANK(B552)),"",VLOOKUP(C552,Deflatores!G$4:H$38,2,FALSE)*H552+VLOOKUP(C552,Deflatores!G$4:I$38,3,FALSE)))</f>
        <v/>
      </c>
      <c r="M552" s="10"/>
      <c r="N552" s="10"/>
      <c r="O552" s="6"/>
    </row>
    <row r="553" spans="1:15" x14ac:dyDescent="0.25">
      <c r="A553" s="119"/>
      <c r="B553" s="4"/>
      <c r="C553" s="4"/>
      <c r="D553" s="7"/>
      <c r="E553" s="7"/>
      <c r="F553" s="116" t="str">
        <f t="shared" si="282"/>
        <v/>
      </c>
      <c r="G553" s="7" t="str">
        <f t="shared" si="283"/>
        <v/>
      </c>
      <c r="H553" s="7" t="str">
        <f t="shared" si="284"/>
        <v/>
      </c>
      <c r="I553" s="116" t="str">
        <f t="shared" si="285"/>
        <v/>
      </c>
      <c r="J553" s="7" t="str">
        <f t="shared" si="286"/>
        <v/>
      </c>
      <c r="K553" s="127" t="str">
        <f t="shared" si="287"/>
        <v/>
      </c>
      <c r="L553" s="127" t="str">
        <f>IF(NOT(ISERROR(VLOOKUP(B553,Deflatores!G$42:H$64,2,FALSE))),VLOOKUP(B553,Deflatores!G$42:H$64,2,FALSE),IF(OR(ISBLANK(C553),ISBLANK(B553)),"",VLOOKUP(C553,Deflatores!G$4:H$38,2,FALSE)*H553+VLOOKUP(C553,Deflatores!G$4:I$38,3,FALSE)))</f>
        <v/>
      </c>
      <c r="M553" s="10"/>
      <c r="N553" s="10"/>
      <c r="O553" s="6"/>
    </row>
    <row r="554" spans="1:15" x14ac:dyDescent="0.25">
      <c r="A554" s="119"/>
      <c r="B554" s="4"/>
      <c r="C554" s="4"/>
      <c r="D554" s="7"/>
      <c r="E554" s="7"/>
      <c r="F554" s="116" t="str">
        <f t="shared" si="282"/>
        <v/>
      </c>
      <c r="G554" s="7" t="str">
        <f t="shared" si="283"/>
        <v/>
      </c>
      <c r="H554" s="7" t="str">
        <f t="shared" si="284"/>
        <v/>
      </c>
      <c r="I554" s="116" t="str">
        <f t="shared" si="285"/>
        <v/>
      </c>
      <c r="J554" s="7" t="str">
        <f t="shared" si="286"/>
        <v/>
      </c>
      <c r="K554" s="127" t="str">
        <f t="shared" si="287"/>
        <v/>
      </c>
      <c r="L554" s="127" t="str">
        <f>IF(NOT(ISERROR(VLOOKUP(B554,Deflatores!G$42:H$64,2,FALSE))),VLOOKUP(B554,Deflatores!G$42:H$64,2,FALSE),IF(OR(ISBLANK(C554),ISBLANK(B554)),"",VLOOKUP(C554,Deflatores!G$4:H$38,2,FALSE)*H554+VLOOKUP(C554,Deflatores!G$4:I$38,3,FALSE)))</f>
        <v/>
      </c>
      <c r="M554" s="10"/>
      <c r="N554" s="10"/>
      <c r="O554" s="6"/>
    </row>
    <row r="555" spans="1:15" x14ac:dyDescent="0.25">
      <c r="A555" s="119"/>
      <c r="B555" s="4"/>
      <c r="C555" s="4"/>
      <c r="D555" s="7"/>
      <c r="E555" s="7"/>
      <c r="F555" s="116" t="str">
        <f t="shared" si="282"/>
        <v/>
      </c>
      <c r="G555" s="7" t="str">
        <f t="shared" si="283"/>
        <v/>
      </c>
      <c r="H555" s="7" t="str">
        <f t="shared" si="284"/>
        <v/>
      </c>
      <c r="I555" s="116" t="str">
        <f t="shared" si="285"/>
        <v/>
      </c>
      <c r="J555" s="7" t="str">
        <f t="shared" si="286"/>
        <v/>
      </c>
      <c r="K555" s="127" t="str">
        <f t="shared" si="287"/>
        <v/>
      </c>
      <c r="L555" s="127" t="str">
        <f>IF(NOT(ISERROR(VLOOKUP(B555,Deflatores!G$42:H$64,2,FALSE))),VLOOKUP(B555,Deflatores!G$42:H$64,2,FALSE),IF(OR(ISBLANK(C555),ISBLANK(B555)),"",VLOOKUP(C555,Deflatores!G$4:H$38,2,FALSE)*H555+VLOOKUP(C555,Deflatores!G$4:I$38,3,FALSE)))</f>
        <v/>
      </c>
      <c r="M555" s="10"/>
      <c r="N555" s="10"/>
      <c r="O555" s="6"/>
    </row>
    <row r="556" spans="1:15" x14ac:dyDescent="0.25">
      <c r="A556" s="119"/>
      <c r="B556" s="4"/>
      <c r="C556" s="4"/>
      <c r="D556" s="7"/>
      <c r="E556" s="7"/>
      <c r="F556" s="116" t="str">
        <f t="shared" si="282"/>
        <v/>
      </c>
      <c r="G556" s="7" t="str">
        <f t="shared" si="283"/>
        <v/>
      </c>
      <c r="H556" s="7" t="str">
        <f t="shared" si="284"/>
        <v/>
      </c>
      <c r="I556" s="116" t="str">
        <f t="shared" si="285"/>
        <v/>
      </c>
      <c r="J556" s="7" t="str">
        <f t="shared" si="286"/>
        <v/>
      </c>
      <c r="K556" s="127" t="str">
        <f t="shared" si="287"/>
        <v/>
      </c>
      <c r="L556" s="127" t="str">
        <f>IF(NOT(ISERROR(VLOOKUP(B556,Deflatores!G$42:H$64,2,FALSE))),VLOOKUP(B556,Deflatores!G$42:H$64,2,FALSE),IF(OR(ISBLANK(C556),ISBLANK(B556)),"",VLOOKUP(C556,Deflatores!G$4:H$38,2,FALSE)*H556+VLOOKUP(C556,Deflatores!G$4:I$38,3,FALSE)))</f>
        <v/>
      </c>
      <c r="M556" s="10"/>
      <c r="N556" s="10"/>
      <c r="O556" s="6"/>
    </row>
    <row r="557" spans="1:15" x14ac:dyDescent="0.25">
      <c r="A557" s="119"/>
      <c r="B557" s="4"/>
      <c r="C557" s="4"/>
      <c r="D557" s="7"/>
      <c r="E557" s="7"/>
      <c r="F557" s="116" t="str">
        <f t="shared" si="282"/>
        <v/>
      </c>
      <c r="G557" s="7" t="str">
        <f t="shared" si="283"/>
        <v/>
      </c>
      <c r="H557" s="7" t="str">
        <f t="shared" si="284"/>
        <v/>
      </c>
      <c r="I557" s="116" t="str">
        <f t="shared" si="285"/>
        <v/>
      </c>
      <c r="J557" s="7" t="str">
        <f t="shared" si="286"/>
        <v/>
      </c>
      <c r="K557" s="127" t="str">
        <f t="shared" si="287"/>
        <v/>
      </c>
      <c r="L557" s="127" t="str">
        <f>IF(NOT(ISERROR(VLOOKUP(B557,Deflatores!G$42:H$64,2,FALSE))),VLOOKUP(B557,Deflatores!G$42:H$64,2,FALSE),IF(OR(ISBLANK(C557),ISBLANK(B557)),"",VLOOKUP(C557,Deflatores!G$4:H$38,2,FALSE)*H557+VLOOKUP(C557,Deflatores!G$4:I$38,3,FALSE)))</f>
        <v/>
      </c>
      <c r="M557" s="10"/>
      <c r="N557" s="10"/>
      <c r="O557" s="6"/>
    </row>
    <row r="558" spans="1:15" x14ac:dyDescent="0.25">
      <c r="A558" s="119"/>
      <c r="B558" s="4"/>
      <c r="C558" s="4"/>
      <c r="D558" s="7"/>
      <c r="E558" s="7"/>
      <c r="F558" s="116" t="str">
        <f t="shared" si="282"/>
        <v/>
      </c>
      <c r="G558" s="7" t="str">
        <f t="shared" si="283"/>
        <v/>
      </c>
      <c r="H558" s="7" t="str">
        <f t="shared" si="284"/>
        <v/>
      </c>
      <c r="I558" s="116" t="str">
        <f t="shared" si="285"/>
        <v/>
      </c>
      <c r="J558" s="7" t="str">
        <f t="shared" si="286"/>
        <v/>
      </c>
      <c r="K558" s="127" t="str">
        <f t="shared" si="287"/>
        <v/>
      </c>
      <c r="L558" s="127" t="str">
        <f>IF(NOT(ISERROR(VLOOKUP(B558,Deflatores!G$42:H$64,2,FALSE))),VLOOKUP(B558,Deflatores!G$42:H$64,2,FALSE),IF(OR(ISBLANK(C558),ISBLANK(B558)),"",VLOOKUP(C558,Deflatores!G$4:H$38,2,FALSE)*H558+VLOOKUP(C558,Deflatores!G$4:I$38,3,FALSE)))</f>
        <v/>
      </c>
      <c r="M558" s="10"/>
      <c r="N558" s="10"/>
      <c r="O558" s="6"/>
    </row>
    <row r="559" spans="1:15" x14ac:dyDescent="0.25">
      <c r="A559" s="119"/>
      <c r="B559" s="4"/>
      <c r="C559" s="4"/>
      <c r="D559" s="7"/>
      <c r="E559" s="7"/>
      <c r="F559" s="116" t="str">
        <f t="shared" si="282"/>
        <v/>
      </c>
      <c r="G559" s="7" t="str">
        <f t="shared" si="283"/>
        <v/>
      </c>
      <c r="H559" s="7" t="str">
        <f t="shared" si="284"/>
        <v/>
      </c>
      <c r="I559" s="116" t="str">
        <f t="shared" si="285"/>
        <v/>
      </c>
      <c r="J559" s="7" t="str">
        <f t="shared" si="286"/>
        <v/>
      </c>
      <c r="K559" s="127" t="str">
        <f t="shared" si="287"/>
        <v/>
      </c>
      <c r="L559" s="127" t="str">
        <f>IF(NOT(ISERROR(VLOOKUP(B559,Deflatores!G$42:H$64,2,FALSE))),VLOOKUP(B559,Deflatores!G$42:H$64,2,FALSE),IF(OR(ISBLANK(C559),ISBLANK(B559)),"",VLOOKUP(C559,Deflatores!G$4:H$38,2,FALSE)*H559+VLOOKUP(C559,Deflatores!G$4:I$38,3,FALSE)))</f>
        <v/>
      </c>
      <c r="M559" s="10"/>
      <c r="N559" s="10"/>
      <c r="O559" s="6"/>
    </row>
    <row r="560" spans="1:15" x14ac:dyDescent="0.25">
      <c r="A560" s="119"/>
      <c r="B560" s="4"/>
      <c r="C560" s="4"/>
      <c r="D560" s="7"/>
      <c r="E560" s="7"/>
      <c r="F560" s="116" t="str">
        <f t="shared" si="282"/>
        <v/>
      </c>
      <c r="G560" s="7" t="str">
        <f t="shared" si="283"/>
        <v/>
      </c>
      <c r="H560" s="7" t="str">
        <f t="shared" si="284"/>
        <v/>
      </c>
      <c r="I560" s="116" t="str">
        <f t="shared" si="285"/>
        <v/>
      </c>
      <c r="J560" s="7" t="str">
        <f t="shared" si="286"/>
        <v/>
      </c>
      <c r="K560" s="127" t="str">
        <f t="shared" si="287"/>
        <v/>
      </c>
      <c r="L560" s="127" t="str">
        <f>IF(NOT(ISERROR(VLOOKUP(B560,Deflatores!G$42:H$64,2,FALSE))),VLOOKUP(B560,Deflatores!G$42:H$64,2,FALSE),IF(OR(ISBLANK(C560),ISBLANK(B560)),"",VLOOKUP(C560,Deflatores!G$4:H$38,2,FALSE)*H560+VLOOKUP(C560,Deflatores!G$4:I$38,3,FALSE)))</f>
        <v/>
      </c>
      <c r="M560" s="10"/>
      <c r="N560" s="10"/>
      <c r="O560" s="6"/>
    </row>
    <row r="561" spans="1:15" x14ac:dyDescent="0.25">
      <c r="A561" s="119"/>
      <c r="B561" s="4"/>
      <c r="C561" s="4"/>
      <c r="D561" s="7"/>
      <c r="E561" s="7"/>
      <c r="F561" s="116" t="str">
        <f t="shared" si="282"/>
        <v/>
      </c>
      <c r="G561" s="7" t="str">
        <f t="shared" si="283"/>
        <v/>
      </c>
      <c r="H561" s="7" t="str">
        <f t="shared" si="284"/>
        <v/>
      </c>
      <c r="I561" s="116" t="str">
        <f t="shared" si="285"/>
        <v/>
      </c>
      <c r="J561" s="7" t="str">
        <f t="shared" si="286"/>
        <v/>
      </c>
      <c r="K561" s="127" t="str">
        <f t="shared" si="287"/>
        <v/>
      </c>
      <c r="L561" s="127" t="str">
        <f>IF(NOT(ISERROR(VLOOKUP(B561,Deflatores!G$42:H$64,2,FALSE))),VLOOKUP(B561,Deflatores!G$42:H$64,2,FALSE),IF(OR(ISBLANK(C561),ISBLANK(B561)),"",VLOOKUP(C561,Deflatores!G$4:H$38,2,FALSE)*H561+VLOOKUP(C561,Deflatores!G$4:I$38,3,FALSE)))</f>
        <v/>
      </c>
      <c r="M561" s="10"/>
      <c r="N561" s="10"/>
      <c r="O561" s="6"/>
    </row>
    <row r="562" spans="1:15" x14ac:dyDescent="0.25">
      <c r="A562" s="119"/>
      <c r="B562" s="4"/>
      <c r="C562" s="4"/>
      <c r="D562" s="7"/>
      <c r="E562" s="7"/>
      <c r="F562" s="116" t="str">
        <f t="shared" si="282"/>
        <v/>
      </c>
      <c r="G562" s="7" t="str">
        <f t="shared" si="283"/>
        <v/>
      </c>
      <c r="H562" s="7" t="str">
        <f t="shared" si="284"/>
        <v/>
      </c>
      <c r="I562" s="116" t="str">
        <f t="shared" si="285"/>
        <v/>
      </c>
      <c r="J562" s="7" t="str">
        <f t="shared" si="286"/>
        <v/>
      </c>
      <c r="K562" s="127" t="str">
        <f t="shared" si="287"/>
        <v/>
      </c>
      <c r="L562" s="127" t="str">
        <f>IF(NOT(ISERROR(VLOOKUP(B562,Deflatores!G$42:H$64,2,FALSE))),VLOOKUP(B562,Deflatores!G$42:H$64,2,FALSE),IF(OR(ISBLANK(C562),ISBLANK(B562)),"",VLOOKUP(C562,Deflatores!G$4:H$38,2,FALSE)*H562+VLOOKUP(C562,Deflatores!G$4:I$38,3,FALSE)))</f>
        <v/>
      </c>
      <c r="M562" s="10"/>
      <c r="N562" s="10"/>
      <c r="O562" s="6"/>
    </row>
    <row r="563" spans="1:15" x14ac:dyDescent="0.25">
      <c r="A563" s="119"/>
      <c r="B563" s="4"/>
      <c r="C563" s="4"/>
      <c r="D563" s="7"/>
      <c r="E563" s="7"/>
      <c r="F563" s="116" t="str">
        <f t="shared" si="282"/>
        <v/>
      </c>
      <c r="G563" s="7" t="str">
        <f t="shared" si="283"/>
        <v/>
      </c>
      <c r="H563" s="7" t="str">
        <f t="shared" si="284"/>
        <v/>
      </c>
      <c r="I563" s="116" t="str">
        <f t="shared" si="285"/>
        <v/>
      </c>
      <c r="J563" s="7" t="str">
        <f t="shared" si="286"/>
        <v/>
      </c>
      <c r="K563" s="127" t="str">
        <f t="shared" si="287"/>
        <v/>
      </c>
      <c r="L563" s="127" t="str">
        <f>IF(NOT(ISERROR(VLOOKUP(B563,Deflatores!G$42:H$64,2,FALSE))),VLOOKUP(B563,Deflatores!G$42:H$64,2,FALSE),IF(OR(ISBLANK(C563),ISBLANK(B563)),"",VLOOKUP(C563,Deflatores!G$4:H$38,2,FALSE)*H563+VLOOKUP(C563,Deflatores!G$4:I$38,3,FALSE)))</f>
        <v/>
      </c>
      <c r="M563" s="10"/>
      <c r="N563" s="10"/>
      <c r="O563" s="6"/>
    </row>
    <row r="564" spans="1:15" x14ac:dyDescent="0.25">
      <c r="A564" s="119"/>
      <c r="B564" s="4"/>
      <c r="C564" s="4"/>
      <c r="D564" s="7"/>
      <c r="E564" s="7"/>
      <c r="F564" s="116" t="str">
        <f t="shared" si="282"/>
        <v/>
      </c>
      <c r="G564" s="7" t="str">
        <f t="shared" si="283"/>
        <v/>
      </c>
      <c r="H564" s="7" t="str">
        <f t="shared" si="284"/>
        <v/>
      </c>
      <c r="I564" s="116" t="str">
        <f t="shared" si="285"/>
        <v/>
      </c>
      <c r="J564" s="7" t="str">
        <f t="shared" si="286"/>
        <v/>
      </c>
      <c r="K564" s="127" t="str">
        <f t="shared" si="287"/>
        <v/>
      </c>
      <c r="L564" s="127" t="str">
        <f>IF(NOT(ISERROR(VLOOKUP(B564,Deflatores!G$42:H$64,2,FALSE))),VLOOKUP(B564,Deflatores!G$42:H$64,2,FALSE),IF(OR(ISBLANK(C564),ISBLANK(B564)),"",VLOOKUP(C564,Deflatores!G$4:H$38,2,FALSE)*H564+VLOOKUP(C564,Deflatores!G$4:I$38,3,FALSE)))</f>
        <v/>
      </c>
      <c r="M564" s="10"/>
      <c r="N564" s="10"/>
      <c r="O564" s="6"/>
    </row>
    <row r="565" spans="1:15" x14ac:dyDescent="0.25">
      <c r="A565" s="119"/>
      <c r="B565" s="4"/>
      <c r="C565" s="4"/>
      <c r="D565" s="7"/>
      <c r="E565" s="7"/>
      <c r="F565" s="116" t="str">
        <f t="shared" si="282"/>
        <v/>
      </c>
      <c r="G565" s="7" t="str">
        <f t="shared" si="283"/>
        <v/>
      </c>
      <c r="H565" s="7" t="str">
        <f t="shared" si="284"/>
        <v/>
      </c>
      <c r="I565" s="116" t="str">
        <f t="shared" si="285"/>
        <v/>
      </c>
      <c r="J565" s="7" t="str">
        <f t="shared" si="286"/>
        <v/>
      </c>
      <c r="K565" s="127" t="str">
        <f t="shared" si="287"/>
        <v/>
      </c>
      <c r="L565" s="127" t="str">
        <f>IF(NOT(ISERROR(VLOOKUP(B565,Deflatores!G$42:H$64,2,FALSE))),VLOOKUP(B565,Deflatores!G$42:H$64,2,FALSE),IF(OR(ISBLANK(C565),ISBLANK(B565)),"",VLOOKUP(C565,Deflatores!G$4:H$38,2,FALSE)*H565+VLOOKUP(C565,Deflatores!G$4:I$38,3,FALSE)))</f>
        <v/>
      </c>
      <c r="M565" s="10"/>
      <c r="N565" s="10"/>
      <c r="O565" s="6"/>
    </row>
    <row r="566" spans="1:15" x14ac:dyDescent="0.25">
      <c r="A566" s="119"/>
      <c r="B566" s="4"/>
      <c r="C566" s="4"/>
      <c r="D566" s="7"/>
      <c r="E566" s="7"/>
      <c r="F566" s="116" t="str">
        <f t="shared" si="282"/>
        <v/>
      </c>
      <c r="G566" s="7" t="str">
        <f t="shared" si="283"/>
        <v/>
      </c>
      <c r="H566" s="7" t="str">
        <f t="shared" si="284"/>
        <v/>
      </c>
      <c r="I566" s="116" t="str">
        <f t="shared" si="285"/>
        <v/>
      </c>
      <c r="J566" s="7" t="str">
        <f t="shared" si="286"/>
        <v/>
      </c>
      <c r="K566" s="127" t="str">
        <f t="shared" si="287"/>
        <v/>
      </c>
      <c r="L566" s="127" t="str">
        <f>IF(NOT(ISERROR(VLOOKUP(B566,Deflatores!G$42:H$64,2,FALSE))),VLOOKUP(B566,Deflatores!G$42:H$64,2,FALSE),IF(OR(ISBLANK(C566),ISBLANK(B566)),"",VLOOKUP(C566,Deflatores!G$4:H$38,2,FALSE)*H566+VLOOKUP(C566,Deflatores!G$4:I$38,3,FALSE)))</f>
        <v/>
      </c>
      <c r="M566" s="10"/>
      <c r="N566" s="10"/>
      <c r="O566" s="6"/>
    </row>
    <row r="567" spans="1:15" x14ac:dyDescent="0.25">
      <c r="A567" s="119"/>
      <c r="B567" s="4"/>
      <c r="C567" s="4"/>
      <c r="D567" s="7"/>
      <c r="E567" s="7"/>
      <c r="F567" s="116" t="str">
        <f t="shared" si="282"/>
        <v/>
      </c>
      <c r="G567" s="7" t="str">
        <f t="shared" si="283"/>
        <v/>
      </c>
      <c r="H567" s="7" t="str">
        <f t="shared" si="284"/>
        <v/>
      </c>
      <c r="I567" s="116" t="str">
        <f t="shared" si="285"/>
        <v/>
      </c>
      <c r="J567" s="7" t="str">
        <f t="shared" si="286"/>
        <v/>
      </c>
      <c r="K567" s="127" t="str">
        <f t="shared" si="287"/>
        <v/>
      </c>
      <c r="L567" s="127" t="str">
        <f>IF(NOT(ISERROR(VLOOKUP(B567,Deflatores!G$42:H$64,2,FALSE))),VLOOKUP(B567,Deflatores!G$42:H$64,2,FALSE),IF(OR(ISBLANK(C567),ISBLANK(B567)),"",VLOOKUP(C567,Deflatores!G$4:H$38,2,FALSE)*H567+VLOOKUP(C567,Deflatores!G$4:I$38,3,FALSE)))</f>
        <v/>
      </c>
      <c r="M567" s="10"/>
      <c r="N567" s="10"/>
      <c r="O567" s="6"/>
    </row>
    <row r="568" spans="1:15" x14ac:dyDescent="0.25">
      <c r="A568" s="119"/>
      <c r="B568" s="4"/>
      <c r="C568" s="4"/>
      <c r="D568" s="7"/>
      <c r="E568" s="7"/>
      <c r="F568" s="116" t="str">
        <f t="shared" si="282"/>
        <v/>
      </c>
      <c r="G568" s="7" t="str">
        <f t="shared" si="283"/>
        <v/>
      </c>
      <c r="H568" s="7" t="str">
        <f t="shared" si="284"/>
        <v/>
      </c>
      <c r="I568" s="116" t="str">
        <f t="shared" si="285"/>
        <v/>
      </c>
      <c r="J568" s="7" t="str">
        <f t="shared" si="286"/>
        <v/>
      </c>
      <c r="K568" s="127" t="str">
        <f t="shared" si="287"/>
        <v/>
      </c>
      <c r="L568" s="127" t="str">
        <f>IF(NOT(ISERROR(VLOOKUP(B568,Deflatores!G$42:H$64,2,FALSE))),VLOOKUP(B568,Deflatores!G$42:H$64,2,FALSE),IF(OR(ISBLANK(C568),ISBLANK(B568)),"",VLOOKUP(C568,Deflatores!G$4:H$38,2,FALSE)*H568+VLOOKUP(C568,Deflatores!G$4:I$38,3,FALSE)))</f>
        <v/>
      </c>
      <c r="M568" s="10"/>
      <c r="N568" s="10"/>
      <c r="O568" s="6"/>
    </row>
    <row r="569" spans="1:15" x14ac:dyDescent="0.25">
      <c r="A569" s="119"/>
      <c r="B569" s="4"/>
      <c r="C569" s="4"/>
      <c r="D569" s="7"/>
      <c r="E569" s="7"/>
      <c r="F569" s="116" t="str">
        <f t="shared" si="282"/>
        <v/>
      </c>
      <c r="G569" s="7" t="str">
        <f t="shared" si="283"/>
        <v/>
      </c>
      <c r="H569" s="7" t="str">
        <f t="shared" si="284"/>
        <v/>
      </c>
      <c r="I569" s="116" t="str">
        <f t="shared" si="285"/>
        <v/>
      </c>
      <c r="J569" s="7" t="str">
        <f t="shared" si="286"/>
        <v/>
      </c>
      <c r="K569" s="127" t="str">
        <f t="shared" si="287"/>
        <v/>
      </c>
      <c r="L569" s="127" t="str">
        <f>IF(NOT(ISERROR(VLOOKUP(B569,Deflatores!G$42:H$64,2,FALSE))),VLOOKUP(B569,Deflatores!G$42:H$64,2,FALSE),IF(OR(ISBLANK(C569),ISBLANK(B569)),"",VLOOKUP(C569,Deflatores!G$4:H$38,2,FALSE)*H569+VLOOKUP(C569,Deflatores!G$4:I$38,3,FALSE)))</f>
        <v/>
      </c>
      <c r="M569" s="10"/>
      <c r="N569" s="10"/>
      <c r="O569" s="6"/>
    </row>
    <row r="570" spans="1:15" x14ac:dyDescent="0.25">
      <c r="A570" s="119"/>
      <c r="B570" s="4"/>
      <c r="C570" s="4"/>
      <c r="D570" s="7"/>
      <c r="E570" s="7"/>
      <c r="F570" s="116" t="str">
        <f t="shared" si="282"/>
        <v/>
      </c>
      <c r="G570" s="7" t="str">
        <f t="shared" si="283"/>
        <v/>
      </c>
      <c r="H570" s="7" t="str">
        <f t="shared" si="284"/>
        <v/>
      </c>
      <c r="I570" s="116" t="str">
        <f t="shared" si="285"/>
        <v/>
      </c>
      <c r="J570" s="7" t="str">
        <f t="shared" si="286"/>
        <v/>
      </c>
      <c r="K570" s="127" t="str">
        <f t="shared" si="287"/>
        <v/>
      </c>
      <c r="L570" s="127" t="str">
        <f>IF(NOT(ISERROR(VLOOKUP(B570,Deflatores!G$42:H$64,2,FALSE))),VLOOKUP(B570,Deflatores!G$42:H$64,2,FALSE),IF(OR(ISBLANK(C570),ISBLANK(B570)),"",VLOOKUP(C570,Deflatores!G$4:H$38,2,FALSE)*H570+VLOOKUP(C570,Deflatores!G$4:I$38,3,FALSE)))</f>
        <v/>
      </c>
      <c r="M570" s="10"/>
      <c r="N570" s="10"/>
      <c r="O570" s="6"/>
    </row>
    <row r="571" spans="1:15" x14ac:dyDescent="0.25">
      <c r="A571" s="119"/>
      <c r="B571" s="4"/>
      <c r="C571" s="4"/>
      <c r="D571" s="7"/>
      <c r="E571" s="7"/>
      <c r="F571" s="116" t="str">
        <f t="shared" si="282"/>
        <v/>
      </c>
      <c r="G571" s="7" t="str">
        <f t="shared" si="283"/>
        <v/>
      </c>
      <c r="H571" s="7" t="str">
        <f t="shared" si="284"/>
        <v/>
      </c>
      <c r="I571" s="116" t="str">
        <f t="shared" si="285"/>
        <v/>
      </c>
      <c r="J571" s="7" t="str">
        <f t="shared" si="286"/>
        <v/>
      </c>
      <c r="K571" s="127" t="str">
        <f t="shared" si="287"/>
        <v/>
      </c>
      <c r="L571" s="127" t="str">
        <f>IF(NOT(ISERROR(VLOOKUP(B571,Deflatores!G$42:H$64,2,FALSE))),VLOOKUP(B571,Deflatores!G$42:H$64,2,FALSE),IF(OR(ISBLANK(C571),ISBLANK(B571)),"",VLOOKUP(C571,Deflatores!G$4:H$38,2,FALSE)*H571+VLOOKUP(C571,Deflatores!G$4:I$38,3,FALSE)))</f>
        <v/>
      </c>
      <c r="M571" s="10"/>
      <c r="N571" s="10"/>
      <c r="O571" s="6"/>
    </row>
    <row r="572" spans="1:15" x14ac:dyDescent="0.25">
      <c r="A572" s="119"/>
      <c r="B572" s="4"/>
      <c r="C572" s="4"/>
      <c r="D572" s="7"/>
      <c r="E572" s="7"/>
      <c r="F572" s="116" t="str">
        <f t="shared" si="282"/>
        <v/>
      </c>
      <c r="G572" s="7" t="str">
        <f t="shared" si="283"/>
        <v/>
      </c>
      <c r="H572" s="7" t="str">
        <f t="shared" si="284"/>
        <v/>
      </c>
      <c r="I572" s="116" t="str">
        <f t="shared" si="285"/>
        <v/>
      </c>
      <c r="J572" s="7" t="str">
        <f t="shared" si="286"/>
        <v/>
      </c>
      <c r="K572" s="127" t="str">
        <f t="shared" si="287"/>
        <v/>
      </c>
      <c r="L572" s="127" t="str">
        <f>IF(NOT(ISERROR(VLOOKUP(B572,Deflatores!G$42:H$64,2,FALSE))),VLOOKUP(B572,Deflatores!G$42:H$64,2,FALSE),IF(OR(ISBLANK(C572),ISBLANK(B572)),"",VLOOKUP(C572,Deflatores!G$4:H$38,2,FALSE)*H572+VLOOKUP(C572,Deflatores!G$4:I$38,3,FALSE)))</f>
        <v/>
      </c>
      <c r="M572" s="10"/>
      <c r="N572" s="10"/>
      <c r="O572" s="6"/>
    </row>
    <row r="573" spans="1:15" x14ac:dyDescent="0.25">
      <c r="A573" s="119"/>
      <c r="B573" s="4"/>
      <c r="C573" s="4"/>
      <c r="D573" s="7"/>
      <c r="E573" s="7"/>
      <c r="F573" s="116" t="str">
        <f t="shared" si="282"/>
        <v/>
      </c>
      <c r="G573" s="7" t="str">
        <f t="shared" si="283"/>
        <v/>
      </c>
      <c r="H573" s="7" t="str">
        <f t="shared" si="284"/>
        <v/>
      </c>
      <c r="I573" s="116" t="str">
        <f t="shared" si="285"/>
        <v/>
      </c>
      <c r="J573" s="7" t="str">
        <f t="shared" si="286"/>
        <v/>
      </c>
      <c r="K573" s="127" t="str">
        <f t="shared" si="287"/>
        <v/>
      </c>
      <c r="L573" s="127" t="str">
        <f>IF(NOT(ISERROR(VLOOKUP(B573,Deflatores!G$42:H$64,2,FALSE))),VLOOKUP(B573,Deflatores!G$42:H$64,2,FALSE),IF(OR(ISBLANK(C573),ISBLANK(B573)),"",VLOOKUP(C573,Deflatores!G$4:H$38,2,FALSE)*H573+VLOOKUP(C573,Deflatores!G$4:I$38,3,FALSE)))</f>
        <v/>
      </c>
      <c r="M573" s="10"/>
      <c r="N573" s="10"/>
      <c r="O573" s="6"/>
    </row>
    <row r="574" spans="1:15" x14ac:dyDescent="0.25">
      <c r="A574" s="119"/>
      <c r="B574" s="4"/>
      <c r="C574" s="4"/>
      <c r="D574" s="7"/>
      <c r="E574" s="7"/>
      <c r="F574" s="116" t="str">
        <f t="shared" si="282"/>
        <v/>
      </c>
      <c r="G574" s="7" t="str">
        <f t="shared" si="283"/>
        <v/>
      </c>
      <c r="H574" s="7" t="str">
        <f t="shared" si="284"/>
        <v/>
      </c>
      <c r="I574" s="116" t="str">
        <f t="shared" si="285"/>
        <v/>
      </c>
      <c r="J574" s="7" t="str">
        <f t="shared" si="286"/>
        <v/>
      </c>
      <c r="K574" s="127" t="str">
        <f t="shared" si="287"/>
        <v/>
      </c>
      <c r="L574" s="127" t="str">
        <f>IF(NOT(ISERROR(VLOOKUP(B574,Deflatores!G$42:H$64,2,FALSE))),VLOOKUP(B574,Deflatores!G$42:H$64,2,FALSE),IF(OR(ISBLANK(C574),ISBLANK(B574)),"",VLOOKUP(C574,Deflatores!G$4:H$38,2,FALSE)*H574+VLOOKUP(C574,Deflatores!G$4:I$38,3,FALSE)))</f>
        <v/>
      </c>
      <c r="M574" s="10"/>
      <c r="N574" s="10"/>
      <c r="O574" s="6"/>
    </row>
    <row r="575" spans="1:15" x14ac:dyDescent="0.25">
      <c r="A575" s="119"/>
      <c r="B575" s="4"/>
      <c r="C575" s="4"/>
      <c r="D575" s="7"/>
      <c r="E575" s="7"/>
      <c r="F575" s="116" t="str">
        <f t="shared" si="282"/>
        <v/>
      </c>
      <c r="G575" s="7" t="str">
        <f t="shared" si="283"/>
        <v/>
      </c>
      <c r="H575" s="7" t="str">
        <f t="shared" si="284"/>
        <v/>
      </c>
      <c r="I575" s="116" t="str">
        <f t="shared" si="285"/>
        <v/>
      </c>
      <c r="J575" s="7" t="str">
        <f t="shared" si="286"/>
        <v/>
      </c>
      <c r="K575" s="127" t="str">
        <f t="shared" si="287"/>
        <v/>
      </c>
      <c r="L575" s="127" t="str">
        <f>IF(NOT(ISERROR(VLOOKUP(B575,Deflatores!G$42:H$64,2,FALSE))),VLOOKUP(B575,Deflatores!G$42:H$64,2,FALSE),IF(OR(ISBLANK(C575),ISBLANK(B575)),"",VLOOKUP(C575,Deflatores!G$4:H$38,2,FALSE)*H575+VLOOKUP(C575,Deflatores!G$4:I$38,3,FALSE)))</f>
        <v/>
      </c>
      <c r="M575" s="10"/>
      <c r="N575" s="10"/>
      <c r="O575" s="6"/>
    </row>
    <row r="576" spans="1:15" x14ac:dyDescent="0.25">
      <c r="A576" s="119"/>
      <c r="B576" s="4"/>
      <c r="C576" s="4"/>
      <c r="D576" s="7"/>
      <c r="E576" s="7"/>
      <c r="F576" s="116" t="str">
        <f t="shared" si="282"/>
        <v/>
      </c>
      <c r="G576" s="7" t="str">
        <f t="shared" si="283"/>
        <v/>
      </c>
      <c r="H576" s="7" t="str">
        <f t="shared" si="284"/>
        <v/>
      </c>
      <c r="I576" s="116" t="str">
        <f t="shared" si="285"/>
        <v/>
      </c>
      <c r="J576" s="7" t="str">
        <f t="shared" si="286"/>
        <v/>
      </c>
      <c r="K576" s="127" t="str">
        <f t="shared" si="287"/>
        <v/>
      </c>
      <c r="L576" s="127" t="str">
        <f>IF(NOT(ISERROR(VLOOKUP(B576,Deflatores!G$42:H$64,2,FALSE))),VLOOKUP(B576,Deflatores!G$42:H$64,2,FALSE),IF(OR(ISBLANK(C576),ISBLANK(B576)),"",VLOOKUP(C576,Deflatores!G$4:H$38,2,FALSE)*H576+VLOOKUP(C576,Deflatores!G$4:I$38,3,FALSE)))</f>
        <v/>
      </c>
      <c r="M576" s="10"/>
      <c r="N576" s="10"/>
      <c r="O576" s="6"/>
    </row>
    <row r="577" spans="1:15" x14ac:dyDescent="0.25">
      <c r="A577" s="119"/>
      <c r="B577" s="4"/>
      <c r="C577" s="4"/>
      <c r="D577" s="7"/>
      <c r="E577" s="7"/>
      <c r="F577" s="116" t="str">
        <f t="shared" si="282"/>
        <v/>
      </c>
      <c r="G577" s="7" t="str">
        <f t="shared" si="283"/>
        <v/>
      </c>
      <c r="H577" s="7" t="str">
        <f t="shared" si="284"/>
        <v/>
      </c>
      <c r="I577" s="116" t="str">
        <f t="shared" si="285"/>
        <v/>
      </c>
      <c r="J577" s="7" t="str">
        <f t="shared" si="286"/>
        <v/>
      </c>
      <c r="K577" s="127" t="str">
        <f t="shared" si="287"/>
        <v/>
      </c>
      <c r="L577" s="127" t="str">
        <f>IF(NOT(ISERROR(VLOOKUP(B577,Deflatores!G$42:H$64,2,FALSE))),VLOOKUP(B577,Deflatores!G$42:H$64,2,FALSE),IF(OR(ISBLANK(C577),ISBLANK(B577)),"",VLOOKUP(C577,Deflatores!G$4:H$38,2,FALSE)*H577+VLOOKUP(C577,Deflatores!G$4:I$38,3,FALSE)))</f>
        <v/>
      </c>
      <c r="M577" s="10"/>
      <c r="N577" s="10"/>
      <c r="O577" s="6"/>
    </row>
    <row r="578" spans="1:15" x14ac:dyDescent="0.25">
      <c r="A578" s="119"/>
      <c r="B578" s="4"/>
      <c r="C578" s="4"/>
      <c r="D578" s="7"/>
      <c r="E578" s="7"/>
      <c r="F578" s="116" t="str">
        <f t="shared" si="282"/>
        <v/>
      </c>
      <c r="G578" s="7" t="str">
        <f t="shared" si="283"/>
        <v/>
      </c>
      <c r="H578" s="7" t="str">
        <f t="shared" si="284"/>
        <v/>
      </c>
      <c r="I578" s="116" t="str">
        <f t="shared" si="285"/>
        <v/>
      </c>
      <c r="J578" s="7" t="str">
        <f t="shared" si="286"/>
        <v/>
      </c>
      <c r="K578" s="127" t="str">
        <f t="shared" si="287"/>
        <v/>
      </c>
      <c r="L578" s="127" t="str">
        <f>IF(NOT(ISERROR(VLOOKUP(B578,Deflatores!G$42:H$64,2,FALSE))),VLOOKUP(B578,Deflatores!G$42:H$64,2,FALSE),IF(OR(ISBLANK(C578),ISBLANK(B578)),"",VLOOKUP(C578,Deflatores!G$4:H$38,2,FALSE)*H578+VLOOKUP(C578,Deflatores!G$4:I$38,3,FALSE)))</f>
        <v/>
      </c>
      <c r="M578" s="10"/>
      <c r="N578" s="10"/>
      <c r="O578" s="6"/>
    </row>
    <row r="579" spans="1:15" x14ac:dyDescent="0.25">
      <c r="A579" s="119"/>
      <c r="B579" s="4"/>
      <c r="C579" s="4"/>
      <c r="D579" s="7"/>
      <c r="E579" s="7"/>
      <c r="F579" s="116" t="str">
        <f t="shared" si="282"/>
        <v/>
      </c>
      <c r="G579" s="7" t="str">
        <f t="shared" si="283"/>
        <v/>
      </c>
      <c r="H579" s="7" t="str">
        <f t="shared" si="284"/>
        <v/>
      </c>
      <c r="I579" s="116" t="str">
        <f t="shared" si="285"/>
        <v/>
      </c>
      <c r="J579" s="7" t="str">
        <f t="shared" si="286"/>
        <v/>
      </c>
      <c r="K579" s="127" t="str">
        <f t="shared" si="287"/>
        <v/>
      </c>
      <c r="L579" s="127" t="str">
        <f>IF(NOT(ISERROR(VLOOKUP(B579,Deflatores!G$42:H$64,2,FALSE))),VLOOKUP(B579,Deflatores!G$42:H$64,2,FALSE),IF(OR(ISBLANK(C579),ISBLANK(B579)),"",VLOOKUP(C579,Deflatores!G$4:H$38,2,FALSE)*H579+VLOOKUP(C579,Deflatores!G$4:I$38,3,FALSE)))</f>
        <v/>
      </c>
      <c r="M579" s="10"/>
      <c r="N579" s="10"/>
      <c r="O579" s="6"/>
    </row>
    <row r="580" spans="1:15" x14ac:dyDescent="0.25">
      <c r="A580" s="119"/>
      <c r="B580" s="4"/>
      <c r="C580" s="4"/>
      <c r="D580" s="7"/>
      <c r="E580" s="7"/>
      <c r="F580" s="116" t="str">
        <f t="shared" si="282"/>
        <v/>
      </c>
      <c r="G580" s="7" t="str">
        <f t="shared" si="283"/>
        <v/>
      </c>
      <c r="H580" s="7" t="str">
        <f t="shared" si="284"/>
        <v/>
      </c>
      <c r="I580" s="116" t="str">
        <f t="shared" si="285"/>
        <v/>
      </c>
      <c r="J580" s="7" t="str">
        <f t="shared" si="286"/>
        <v/>
      </c>
      <c r="K580" s="127" t="str">
        <f t="shared" si="287"/>
        <v/>
      </c>
      <c r="L580" s="127" t="str">
        <f>IF(NOT(ISERROR(VLOOKUP(B580,Deflatores!G$42:H$64,2,FALSE))),VLOOKUP(B580,Deflatores!G$42:H$64,2,FALSE),IF(OR(ISBLANK(C580),ISBLANK(B580)),"",VLOOKUP(C580,Deflatores!G$4:H$38,2,FALSE)*H580+VLOOKUP(C580,Deflatores!G$4:I$38,3,FALSE)))</f>
        <v/>
      </c>
      <c r="M580" s="10"/>
      <c r="N580" s="10"/>
      <c r="O580" s="6"/>
    </row>
    <row r="581" spans="1:15" x14ac:dyDescent="0.25">
      <c r="A581" s="119"/>
      <c r="B581" s="4"/>
      <c r="C581" s="4"/>
      <c r="D581" s="7"/>
      <c r="E581" s="7"/>
      <c r="F581" s="116" t="str">
        <f t="shared" si="282"/>
        <v/>
      </c>
      <c r="G581" s="7" t="str">
        <f t="shared" si="283"/>
        <v/>
      </c>
      <c r="H581" s="7" t="str">
        <f t="shared" si="284"/>
        <v/>
      </c>
      <c r="I581" s="116" t="str">
        <f t="shared" si="285"/>
        <v/>
      </c>
      <c r="J581" s="7" t="str">
        <f t="shared" si="286"/>
        <v/>
      </c>
      <c r="K581" s="127" t="str">
        <f t="shared" si="287"/>
        <v/>
      </c>
      <c r="L581" s="127" t="str">
        <f>IF(NOT(ISERROR(VLOOKUP(B581,Deflatores!G$42:H$64,2,FALSE))),VLOOKUP(B581,Deflatores!G$42:H$64,2,FALSE),IF(OR(ISBLANK(C581),ISBLANK(B581)),"",VLOOKUP(C581,Deflatores!G$4:H$38,2,FALSE)*H581+VLOOKUP(C581,Deflatores!G$4:I$38,3,FALSE)))</f>
        <v/>
      </c>
      <c r="M581" s="10"/>
      <c r="N581" s="10"/>
      <c r="O581" s="6"/>
    </row>
    <row r="582" spans="1:15" x14ac:dyDescent="0.25">
      <c r="A582" s="119"/>
      <c r="B582" s="4"/>
      <c r="C582" s="4"/>
      <c r="D582" s="7"/>
      <c r="E582" s="7"/>
      <c r="F582" s="116" t="str">
        <f t="shared" si="282"/>
        <v/>
      </c>
      <c r="G582" s="7" t="str">
        <f t="shared" si="283"/>
        <v/>
      </c>
      <c r="H582" s="7" t="str">
        <f t="shared" si="284"/>
        <v/>
      </c>
      <c r="I582" s="116" t="str">
        <f t="shared" si="285"/>
        <v/>
      </c>
      <c r="J582" s="7" t="str">
        <f t="shared" si="286"/>
        <v/>
      </c>
      <c r="K582" s="127" t="str">
        <f t="shared" si="287"/>
        <v/>
      </c>
      <c r="L582" s="127" t="str">
        <f>IF(NOT(ISERROR(VLOOKUP(B582,Deflatores!G$42:H$64,2,FALSE))),VLOOKUP(B582,Deflatores!G$42:H$64,2,FALSE),IF(OR(ISBLANK(C582),ISBLANK(B582)),"",VLOOKUP(C582,Deflatores!G$4:H$38,2,FALSE)*H582+VLOOKUP(C582,Deflatores!G$4:I$38,3,FALSE)))</f>
        <v/>
      </c>
      <c r="M582" s="10"/>
      <c r="N582" s="10"/>
      <c r="O582" s="6"/>
    </row>
    <row r="583" spans="1:15" x14ac:dyDescent="0.25">
      <c r="A583" s="119"/>
      <c r="B583" s="4"/>
      <c r="C583" s="4"/>
      <c r="D583" s="7"/>
      <c r="E583" s="7"/>
      <c r="F583" s="116" t="str">
        <f t="shared" si="282"/>
        <v/>
      </c>
      <c r="G583" s="7" t="str">
        <f t="shared" si="283"/>
        <v/>
      </c>
      <c r="H583" s="7" t="str">
        <f t="shared" si="284"/>
        <v/>
      </c>
      <c r="I583" s="116" t="str">
        <f t="shared" si="285"/>
        <v/>
      </c>
      <c r="J583" s="7" t="str">
        <f t="shared" si="286"/>
        <v/>
      </c>
      <c r="K583" s="127" t="str">
        <f t="shared" si="287"/>
        <v/>
      </c>
      <c r="L583" s="127" t="str">
        <f>IF(NOT(ISERROR(VLOOKUP(B583,Deflatores!G$42:H$64,2,FALSE))),VLOOKUP(B583,Deflatores!G$42:H$64,2,FALSE),IF(OR(ISBLANK(C583),ISBLANK(B583)),"",VLOOKUP(C583,Deflatores!G$4:H$38,2,FALSE)*H583+VLOOKUP(C583,Deflatores!G$4:I$38,3,FALSE)))</f>
        <v/>
      </c>
      <c r="M583" s="10"/>
      <c r="N583" s="10"/>
      <c r="O583" s="6"/>
    </row>
    <row r="584" spans="1:15" x14ac:dyDescent="0.25">
      <c r="A584" s="119"/>
      <c r="B584" s="4"/>
      <c r="C584" s="4"/>
      <c r="D584" s="7"/>
      <c r="E584" s="7"/>
      <c r="F584" s="116" t="str">
        <f t="shared" si="282"/>
        <v/>
      </c>
      <c r="G584" s="7" t="str">
        <f t="shared" si="283"/>
        <v/>
      </c>
      <c r="H584" s="7" t="str">
        <f t="shared" si="284"/>
        <v/>
      </c>
      <c r="I584" s="116" t="str">
        <f t="shared" si="285"/>
        <v/>
      </c>
      <c r="J584" s="7" t="str">
        <f t="shared" si="286"/>
        <v/>
      </c>
      <c r="K584" s="127" t="str">
        <f t="shared" si="287"/>
        <v/>
      </c>
      <c r="L584" s="127" t="str">
        <f>IF(NOT(ISERROR(VLOOKUP(B584,Deflatores!G$42:H$64,2,FALSE))),VLOOKUP(B584,Deflatores!G$42:H$64,2,FALSE),IF(OR(ISBLANK(C584),ISBLANK(B584)),"",VLOOKUP(C584,Deflatores!G$4:H$38,2,FALSE)*H584+VLOOKUP(C584,Deflatores!G$4:I$38,3,FALSE)))</f>
        <v/>
      </c>
      <c r="M584" s="10"/>
      <c r="N584" s="10"/>
      <c r="O584" s="6"/>
    </row>
    <row r="585" spans="1:15" x14ac:dyDescent="0.25">
      <c r="A585" s="119"/>
      <c r="B585" s="4"/>
      <c r="C585" s="4"/>
      <c r="D585" s="7"/>
      <c r="E585" s="7"/>
      <c r="F585" s="116" t="str">
        <f t="shared" si="282"/>
        <v/>
      </c>
      <c r="G585" s="7" t="str">
        <f t="shared" si="283"/>
        <v/>
      </c>
      <c r="H585" s="7" t="str">
        <f t="shared" si="284"/>
        <v/>
      </c>
      <c r="I585" s="116" t="str">
        <f t="shared" si="285"/>
        <v/>
      </c>
      <c r="J585" s="7" t="str">
        <f t="shared" si="286"/>
        <v/>
      </c>
      <c r="K585" s="127" t="str">
        <f t="shared" si="287"/>
        <v/>
      </c>
      <c r="L585" s="127" t="str">
        <f>IF(NOT(ISERROR(VLOOKUP(B585,Deflatores!G$42:H$64,2,FALSE))),VLOOKUP(B585,Deflatores!G$42:H$64,2,FALSE),IF(OR(ISBLANK(C585),ISBLANK(B585)),"",VLOOKUP(C585,Deflatores!G$4:H$38,2,FALSE)*H585+VLOOKUP(C585,Deflatores!G$4:I$38,3,FALSE)))</f>
        <v/>
      </c>
      <c r="M585" s="10"/>
      <c r="N585" s="10"/>
      <c r="O585" s="6"/>
    </row>
    <row r="586" spans="1:15" x14ac:dyDescent="0.25">
      <c r="A586" s="119"/>
      <c r="B586" s="4"/>
      <c r="C586" s="4"/>
      <c r="D586" s="7"/>
      <c r="E586" s="7"/>
      <c r="F586" s="116" t="str">
        <f t="shared" si="282"/>
        <v/>
      </c>
      <c r="G586" s="7" t="str">
        <f t="shared" si="283"/>
        <v/>
      </c>
      <c r="H586" s="7" t="str">
        <f t="shared" si="284"/>
        <v/>
      </c>
      <c r="I586" s="116" t="str">
        <f t="shared" si="285"/>
        <v/>
      </c>
      <c r="J586" s="7" t="str">
        <f t="shared" si="286"/>
        <v/>
      </c>
      <c r="K586" s="127" t="str">
        <f t="shared" si="287"/>
        <v/>
      </c>
      <c r="L586" s="127" t="str">
        <f>IF(NOT(ISERROR(VLOOKUP(B586,Deflatores!G$42:H$64,2,FALSE))),VLOOKUP(B586,Deflatores!G$42:H$64,2,FALSE),IF(OR(ISBLANK(C586),ISBLANK(B586)),"",VLOOKUP(C586,Deflatores!G$4:H$38,2,FALSE)*H586+VLOOKUP(C586,Deflatores!G$4:I$38,3,FALSE)))</f>
        <v/>
      </c>
      <c r="M586" s="10"/>
      <c r="N586" s="10"/>
      <c r="O586" s="6"/>
    </row>
    <row r="587" spans="1:15" x14ac:dyDescent="0.25">
      <c r="A587" s="119"/>
      <c r="B587" s="4"/>
      <c r="C587" s="4"/>
      <c r="D587" s="7"/>
      <c r="E587" s="7"/>
      <c r="F587" s="116" t="str">
        <f t="shared" si="282"/>
        <v/>
      </c>
      <c r="G587" s="7" t="str">
        <f t="shared" si="283"/>
        <v/>
      </c>
      <c r="H587" s="7" t="str">
        <f t="shared" si="284"/>
        <v/>
      </c>
      <c r="I587" s="116" t="str">
        <f t="shared" si="285"/>
        <v/>
      </c>
      <c r="J587" s="7" t="str">
        <f t="shared" si="286"/>
        <v/>
      </c>
      <c r="K587" s="127" t="str">
        <f t="shared" si="287"/>
        <v/>
      </c>
      <c r="L587" s="127" t="str">
        <f>IF(NOT(ISERROR(VLOOKUP(B587,Deflatores!G$42:H$64,2,FALSE))),VLOOKUP(B587,Deflatores!G$42:H$64,2,FALSE),IF(OR(ISBLANK(C587),ISBLANK(B587)),"",VLOOKUP(C587,Deflatores!G$4:H$38,2,FALSE)*H587+VLOOKUP(C587,Deflatores!G$4:I$38,3,FALSE)))</f>
        <v/>
      </c>
      <c r="M587" s="10"/>
      <c r="N587" s="10"/>
      <c r="O587" s="6"/>
    </row>
    <row r="588" spans="1:15" x14ac:dyDescent="0.25">
      <c r="A588" s="119"/>
      <c r="B588" s="4"/>
      <c r="C588" s="4"/>
      <c r="D588" s="7"/>
      <c r="E588" s="7"/>
      <c r="F588" s="116" t="str">
        <f t="shared" si="282"/>
        <v/>
      </c>
      <c r="G588" s="7" t="str">
        <f t="shared" si="283"/>
        <v/>
      </c>
      <c r="H588" s="7" t="str">
        <f t="shared" si="284"/>
        <v/>
      </c>
      <c r="I588" s="116" t="str">
        <f t="shared" si="285"/>
        <v/>
      </c>
      <c r="J588" s="7" t="str">
        <f t="shared" si="286"/>
        <v/>
      </c>
      <c r="K588" s="127" t="str">
        <f t="shared" si="287"/>
        <v/>
      </c>
      <c r="L588" s="127" t="str">
        <f>IF(NOT(ISERROR(VLOOKUP(B588,Deflatores!G$42:H$64,2,FALSE))),VLOOKUP(B588,Deflatores!G$42:H$64,2,FALSE),IF(OR(ISBLANK(C588),ISBLANK(B588)),"",VLOOKUP(C588,Deflatores!G$4:H$38,2,FALSE)*H588+VLOOKUP(C588,Deflatores!G$4:I$38,3,FALSE)))</f>
        <v/>
      </c>
      <c r="M588" s="10"/>
      <c r="N588" s="10"/>
      <c r="O588" s="6"/>
    </row>
    <row r="589" spans="1:15" x14ac:dyDescent="0.25">
      <c r="A589" s="119"/>
      <c r="B589" s="4"/>
      <c r="C589" s="4"/>
      <c r="D589" s="7"/>
      <c r="E589" s="7"/>
      <c r="F589" s="116" t="str">
        <f t="shared" si="282"/>
        <v/>
      </c>
      <c r="G589" s="7" t="str">
        <f t="shared" si="283"/>
        <v/>
      </c>
      <c r="H589" s="7" t="str">
        <f t="shared" si="284"/>
        <v/>
      </c>
      <c r="I589" s="116" t="str">
        <f t="shared" si="285"/>
        <v/>
      </c>
      <c r="J589" s="7" t="str">
        <f t="shared" si="286"/>
        <v/>
      </c>
      <c r="K589" s="127" t="str">
        <f t="shared" si="287"/>
        <v/>
      </c>
      <c r="L589" s="127" t="str">
        <f>IF(NOT(ISERROR(VLOOKUP(B589,Deflatores!G$42:H$64,2,FALSE))),VLOOKUP(B589,Deflatores!G$42:H$64,2,FALSE),IF(OR(ISBLANK(C589),ISBLANK(B589)),"",VLOOKUP(C589,Deflatores!G$4:H$38,2,FALSE)*H589+VLOOKUP(C589,Deflatores!G$4:I$38,3,FALSE)))</f>
        <v/>
      </c>
      <c r="M589" s="10"/>
      <c r="N589" s="10"/>
      <c r="O589" s="6"/>
    </row>
    <row r="590" spans="1:15" x14ac:dyDescent="0.25">
      <c r="A590" s="119"/>
      <c r="B590" s="4"/>
      <c r="C590" s="4"/>
      <c r="D590" s="7"/>
      <c r="E590" s="7"/>
      <c r="F590" s="116" t="str">
        <f t="shared" si="282"/>
        <v/>
      </c>
      <c r="G590" s="7" t="str">
        <f t="shared" si="283"/>
        <v/>
      </c>
      <c r="H590" s="7" t="str">
        <f t="shared" si="284"/>
        <v/>
      </c>
      <c r="I590" s="116" t="str">
        <f t="shared" si="285"/>
        <v/>
      </c>
      <c r="J590" s="7" t="str">
        <f t="shared" si="286"/>
        <v/>
      </c>
      <c r="K590" s="127" t="str">
        <f t="shared" si="287"/>
        <v/>
      </c>
      <c r="L590" s="127" t="str">
        <f>IF(NOT(ISERROR(VLOOKUP(B590,Deflatores!G$42:H$64,2,FALSE))),VLOOKUP(B590,Deflatores!G$42:H$64,2,FALSE),IF(OR(ISBLANK(C590),ISBLANK(B590)),"",VLOOKUP(C590,Deflatores!G$4:H$38,2,FALSE)*H590+VLOOKUP(C590,Deflatores!G$4:I$38,3,FALSE)))</f>
        <v/>
      </c>
      <c r="M590" s="10"/>
      <c r="N590" s="10"/>
      <c r="O590" s="6"/>
    </row>
    <row r="591" spans="1:15" x14ac:dyDescent="0.25">
      <c r="A591" s="119"/>
      <c r="B591" s="4"/>
      <c r="C591" s="4"/>
      <c r="D591" s="7"/>
      <c r="E591" s="7"/>
      <c r="F591" s="116" t="str">
        <f t="shared" si="282"/>
        <v/>
      </c>
      <c r="G591" s="7" t="str">
        <f t="shared" si="283"/>
        <v/>
      </c>
      <c r="H591" s="7" t="str">
        <f t="shared" si="284"/>
        <v/>
      </c>
      <c r="I591" s="116" t="str">
        <f t="shared" si="285"/>
        <v/>
      </c>
      <c r="J591" s="7" t="str">
        <f t="shared" si="286"/>
        <v/>
      </c>
      <c r="K591" s="127" t="str">
        <f t="shared" si="287"/>
        <v/>
      </c>
      <c r="L591" s="127" t="str">
        <f>IF(NOT(ISERROR(VLOOKUP(B591,Deflatores!G$42:H$64,2,FALSE))),VLOOKUP(B591,Deflatores!G$42:H$64,2,FALSE),IF(OR(ISBLANK(C591),ISBLANK(B591)),"",VLOOKUP(C591,Deflatores!G$4:H$38,2,FALSE)*H591+VLOOKUP(C591,Deflatores!G$4:I$38,3,FALSE)))</f>
        <v/>
      </c>
      <c r="M591" s="10"/>
      <c r="N591" s="10"/>
      <c r="O591" s="6"/>
    </row>
    <row r="592" spans="1:15" x14ac:dyDescent="0.25">
      <c r="A592" s="119"/>
      <c r="B592" s="4"/>
      <c r="C592" s="4"/>
      <c r="D592" s="7"/>
      <c r="E592" s="7"/>
      <c r="F592" s="116" t="str">
        <f t="shared" si="282"/>
        <v/>
      </c>
      <c r="G592" s="7" t="str">
        <f t="shared" si="283"/>
        <v/>
      </c>
      <c r="H592" s="7" t="str">
        <f t="shared" si="284"/>
        <v/>
      </c>
      <c r="I592" s="116" t="str">
        <f t="shared" si="285"/>
        <v/>
      </c>
      <c r="J592" s="7" t="str">
        <f t="shared" si="286"/>
        <v/>
      </c>
      <c r="K592" s="127" t="str">
        <f t="shared" si="287"/>
        <v/>
      </c>
      <c r="L592" s="127" t="str">
        <f>IF(NOT(ISERROR(VLOOKUP(B592,Deflatores!G$42:H$64,2,FALSE))),VLOOKUP(B592,Deflatores!G$42:H$64,2,FALSE),IF(OR(ISBLANK(C592),ISBLANK(B592)),"",VLOOKUP(C592,Deflatores!G$4:H$38,2,FALSE)*H592+VLOOKUP(C592,Deflatores!G$4:I$38,3,FALSE)))</f>
        <v/>
      </c>
      <c r="M592" s="10"/>
      <c r="N592" s="10"/>
      <c r="O592" s="6"/>
    </row>
    <row r="593" spans="1:15" x14ac:dyDescent="0.25">
      <c r="A593" s="119"/>
      <c r="B593" s="4"/>
      <c r="C593" s="4"/>
      <c r="D593" s="7"/>
      <c r="E593" s="7"/>
      <c r="F593" s="116" t="str">
        <f t="shared" si="282"/>
        <v/>
      </c>
      <c r="G593" s="7" t="str">
        <f t="shared" si="283"/>
        <v/>
      </c>
      <c r="H593" s="7" t="str">
        <f t="shared" si="284"/>
        <v/>
      </c>
      <c r="I593" s="116" t="str">
        <f t="shared" si="285"/>
        <v/>
      </c>
      <c r="J593" s="7" t="str">
        <f t="shared" si="286"/>
        <v/>
      </c>
      <c r="K593" s="127" t="str">
        <f t="shared" si="287"/>
        <v/>
      </c>
      <c r="L593" s="127" t="str">
        <f>IF(NOT(ISERROR(VLOOKUP(B593,Deflatores!G$42:H$64,2,FALSE))),VLOOKUP(B593,Deflatores!G$42:H$64,2,FALSE),IF(OR(ISBLANK(C593),ISBLANK(B593)),"",VLOOKUP(C593,Deflatores!G$4:H$38,2,FALSE)*H593+VLOOKUP(C593,Deflatores!G$4:I$38,3,FALSE)))</f>
        <v/>
      </c>
      <c r="M593" s="10"/>
      <c r="N593" s="10"/>
      <c r="O593" s="6"/>
    </row>
    <row r="594" spans="1:15" x14ac:dyDescent="0.25">
      <c r="A594" s="119"/>
      <c r="B594" s="4"/>
      <c r="C594" s="4"/>
      <c r="D594" s="7"/>
      <c r="E594" s="7"/>
      <c r="F594" s="116" t="str">
        <f t="shared" si="282"/>
        <v/>
      </c>
      <c r="G594" s="7" t="str">
        <f t="shared" si="283"/>
        <v/>
      </c>
      <c r="H594" s="7" t="str">
        <f t="shared" si="284"/>
        <v/>
      </c>
      <c r="I594" s="116" t="str">
        <f t="shared" si="285"/>
        <v/>
      </c>
      <c r="J594" s="7" t="str">
        <f t="shared" si="286"/>
        <v/>
      </c>
      <c r="K594" s="127" t="str">
        <f t="shared" si="287"/>
        <v/>
      </c>
      <c r="L594" s="127" t="str">
        <f>IF(NOT(ISERROR(VLOOKUP(B594,Deflatores!G$42:H$64,2,FALSE))),VLOOKUP(B594,Deflatores!G$42:H$64,2,FALSE),IF(OR(ISBLANK(C594),ISBLANK(B594)),"",VLOOKUP(C594,Deflatores!G$4:H$38,2,FALSE)*H594+VLOOKUP(C594,Deflatores!G$4:I$38,3,FALSE)))</f>
        <v/>
      </c>
      <c r="M594" s="10"/>
      <c r="N594" s="10"/>
      <c r="O594" s="6"/>
    </row>
    <row r="595" spans="1:15" x14ac:dyDescent="0.25">
      <c r="A595" s="119"/>
      <c r="B595" s="4"/>
      <c r="C595" s="4"/>
      <c r="D595" s="7"/>
      <c r="E595" s="7"/>
      <c r="F595" s="116" t="str">
        <f t="shared" si="282"/>
        <v/>
      </c>
      <c r="G595" s="7" t="str">
        <f t="shared" si="283"/>
        <v/>
      </c>
      <c r="H595" s="7" t="str">
        <f t="shared" si="284"/>
        <v/>
      </c>
      <c r="I595" s="116" t="str">
        <f t="shared" si="285"/>
        <v/>
      </c>
      <c r="J595" s="7" t="str">
        <f t="shared" si="286"/>
        <v/>
      </c>
      <c r="K595" s="127" t="str">
        <f t="shared" si="287"/>
        <v/>
      </c>
      <c r="L595" s="127" t="str">
        <f>IF(NOT(ISERROR(VLOOKUP(B595,Deflatores!G$42:H$64,2,FALSE))),VLOOKUP(B595,Deflatores!G$42:H$64,2,FALSE),IF(OR(ISBLANK(C595),ISBLANK(B595)),"",VLOOKUP(C595,Deflatores!G$4:H$38,2,FALSE)*H595+VLOOKUP(C595,Deflatores!G$4:I$38,3,FALSE)))</f>
        <v/>
      </c>
      <c r="M595" s="10"/>
      <c r="N595" s="10"/>
      <c r="O595" s="6"/>
    </row>
    <row r="596" spans="1:15" x14ac:dyDescent="0.25">
      <c r="A596" s="119"/>
      <c r="B596" s="4"/>
      <c r="C596" s="4"/>
      <c r="D596" s="7"/>
      <c r="E596" s="7"/>
      <c r="F596" s="116" t="str">
        <f t="shared" si="282"/>
        <v/>
      </c>
      <c r="G596" s="7" t="str">
        <f t="shared" si="283"/>
        <v/>
      </c>
      <c r="H596" s="7" t="str">
        <f t="shared" si="284"/>
        <v/>
      </c>
      <c r="I596" s="116" t="str">
        <f t="shared" si="285"/>
        <v/>
      </c>
      <c r="J596" s="7" t="str">
        <f t="shared" si="286"/>
        <v/>
      </c>
      <c r="K596" s="127" t="str">
        <f t="shared" si="287"/>
        <v/>
      </c>
      <c r="L596" s="127" t="str">
        <f>IF(NOT(ISERROR(VLOOKUP(B596,Deflatores!G$42:H$64,2,FALSE))),VLOOKUP(B596,Deflatores!G$42:H$64,2,FALSE),IF(OR(ISBLANK(C596),ISBLANK(B596)),"",VLOOKUP(C596,Deflatores!G$4:H$38,2,FALSE)*H596+VLOOKUP(C596,Deflatores!G$4:I$38,3,FALSE)))</f>
        <v/>
      </c>
      <c r="M596" s="10"/>
      <c r="N596" s="10"/>
      <c r="O596" s="6"/>
    </row>
    <row r="597" spans="1:15" x14ac:dyDescent="0.25">
      <c r="A597" s="119"/>
      <c r="B597" s="4"/>
      <c r="C597" s="4"/>
      <c r="D597" s="7"/>
      <c r="E597" s="7"/>
      <c r="F597" s="116" t="str">
        <f t="shared" si="282"/>
        <v/>
      </c>
      <c r="G597" s="7" t="str">
        <f t="shared" si="283"/>
        <v/>
      </c>
      <c r="H597" s="7" t="str">
        <f t="shared" si="284"/>
        <v/>
      </c>
      <c r="I597" s="116" t="str">
        <f t="shared" si="285"/>
        <v/>
      </c>
      <c r="J597" s="7" t="str">
        <f t="shared" si="286"/>
        <v/>
      </c>
      <c r="K597" s="127" t="str">
        <f t="shared" si="287"/>
        <v/>
      </c>
      <c r="L597" s="127" t="str">
        <f>IF(NOT(ISERROR(VLOOKUP(B597,Deflatores!G$42:H$64,2,FALSE))),VLOOKUP(B597,Deflatores!G$42:H$64,2,FALSE),IF(OR(ISBLANK(C597),ISBLANK(B597)),"",VLOOKUP(C597,Deflatores!G$4:H$38,2,FALSE)*H597+VLOOKUP(C597,Deflatores!G$4:I$38,3,FALSE)))</f>
        <v/>
      </c>
      <c r="M597" s="10"/>
      <c r="N597" s="10"/>
      <c r="O597" s="6"/>
    </row>
    <row r="598" spans="1:15" x14ac:dyDescent="0.25">
      <c r="A598" s="119"/>
      <c r="B598" s="4"/>
      <c r="C598" s="4"/>
      <c r="D598" s="7"/>
      <c r="E598" s="7"/>
      <c r="F598" s="116" t="str">
        <f t="shared" si="282"/>
        <v/>
      </c>
      <c r="G598" s="7" t="str">
        <f t="shared" si="283"/>
        <v/>
      </c>
      <c r="H598" s="7" t="str">
        <f t="shared" si="284"/>
        <v/>
      </c>
      <c r="I598" s="116" t="str">
        <f t="shared" si="285"/>
        <v/>
      </c>
      <c r="J598" s="7" t="str">
        <f t="shared" si="286"/>
        <v/>
      </c>
      <c r="K598" s="127" t="str">
        <f t="shared" si="287"/>
        <v/>
      </c>
      <c r="L598" s="127" t="str">
        <f>IF(NOT(ISERROR(VLOOKUP(B598,Deflatores!G$42:H$64,2,FALSE))),VLOOKUP(B598,Deflatores!G$42:H$64,2,FALSE),IF(OR(ISBLANK(C598),ISBLANK(B598)),"",VLOOKUP(C598,Deflatores!G$4:H$38,2,FALSE)*H598+VLOOKUP(C598,Deflatores!G$4:I$38,3,FALSE)))</f>
        <v/>
      </c>
      <c r="M598" s="10"/>
      <c r="N598" s="10"/>
      <c r="O598" s="6"/>
    </row>
    <row r="599" spans="1:15" x14ac:dyDescent="0.25">
      <c r="A599" s="119"/>
      <c r="B599" s="4"/>
      <c r="C599" s="4"/>
      <c r="D599" s="7"/>
      <c r="E599" s="7"/>
      <c r="F599" s="116" t="str">
        <f t="shared" si="282"/>
        <v/>
      </c>
      <c r="G599" s="7" t="str">
        <f t="shared" si="283"/>
        <v/>
      </c>
      <c r="H599" s="7" t="str">
        <f t="shared" si="284"/>
        <v/>
      </c>
      <c r="I599" s="116" t="str">
        <f t="shared" si="285"/>
        <v/>
      </c>
      <c r="J599" s="7" t="str">
        <f t="shared" si="286"/>
        <v/>
      </c>
      <c r="K599" s="127" t="str">
        <f t="shared" si="287"/>
        <v/>
      </c>
      <c r="L599" s="127" t="str">
        <f>IF(NOT(ISERROR(VLOOKUP(B599,Deflatores!G$42:H$64,2,FALSE))),VLOOKUP(B599,Deflatores!G$42:H$64,2,FALSE),IF(OR(ISBLANK(C599),ISBLANK(B599)),"",VLOOKUP(C599,Deflatores!G$4:H$38,2,FALSE)*H599+VLOOKUP(C599,Deflatores!G$4:I$38,3,FALSE)))</f>
        <v/>
      </c>
      <c r="M599" s="10"/>
      <c r="N599" s="10"/>
      <c r="O599" s="6"/>
    </row>
    <row r="600" spans="1:15" x14ac:dyDescent="0.25">
      <c r="A600" s="119"/>
      <c r="B600" s="4"/>
      <c r="C600" s="4"/>
      <c r="D600" s="7"/>
      <c r="E600" s="7"/>
      <c r="F600" s="116" t="str">
        <f t="shared" si="282"/>
        <v/>
      </c>
      <c r="G600" s="7" t="str">
        <f t="shared" si="283"/>
        <v/>
      </c>
      <c r="H600" s="7" t="str">
        <f t="shared" si="284"/>
        <v/>
      </c>
      <c r="I600" s="116" t="str">
        <f t="shared" si="285"/>
        <v/>
      </c>
      <c r="J600" s="7" t="str">
        <f t="shared" si="286"/>
        <v/>
      </c>
      <c r="K600" s="127" t="str">
        <f t="shared" si="287"/>
        <v/>
      </c>
      <c r="L600" s="127" t="str">
        <f>IF(NOT(ISERROR(VLOOKUP(B600,Deflatores!G$42:H$64,2,FALSE))),VLOOKUP(B600,Deflatores!G$42:H$64,2,FALSE),IF(OR(ISBLANK(C600),ISBLANK(B600)),"",VLOOKUP(C600,Deflatores!G$4:H$38,2,FALSE)*H600+VLOOKUP(C600,Deflatores!G$4:I$38,3,FALSE)))</f>
        <v/>
      </c>
      <c r="M600" s="10"/>
      <c r="N600" s="10"/>
      <c r="O600" s="6"/>
    </row>
    <row r="601" spans="1:15" x14ac:dyDescent="0.25">
      <c r="A601" s="119"/>
      <c r="B601" s="4"/>
      <c r="C601" s="4"/>
      <c r="D601" s="7"/>
      <c r="E601" s="7"/>
      <c r="F601" s="116" t="str">
        <f t="shared" si="282"/>
        <v/>
      </c>
      <c r="G601" s="7" t="str">
        <f t="shared" si="283"/>
        <v/>
      </c>
      <c r="H601" s="7" t="str">
        <f t="shared" si="284"/>
        <v/>
      </c>
      <c r="I601" s="116" t="str">
        <f t="shared" si="285"/>
        <v/>
      </c>
      <c r="J601" s="7" t="str">
        <f t="shared" si="286"/>
        <v/>
      </c>
      <c r="K601" s="127" t="str">
        <f t="shared" si="287"/>
        <v/>
      </c>
      <c r="L601" s="127" t="str">
        <f>IF(NOT(ISERROR(VLOOKUP(B601,Deflatores!G$42:H$64,2,FALSE))),VLOOKUP(B601,Deflatores!G$42:H$64,2,FALSE),IF(OR(ISBLANK(C601),ISBLANK(B601)),"",VLOOKUP(C601,Deflatores!G$4:H$38,2,FALSE)*H601+VLOOKUP(C601,Deflatores!G$4:I$38,3,FALSE)))</f>
        <v/>
      </c>
      <c r="M601" s="10"/>
      <c r="N601" s="10"/>
      <c r="O601" s="6"/>
    </row>
    <row r="602" spans="1:15" x14ac:dyDescent="0.25">
      <c r="A602" s="119"/>
      <c r="B602" s="4"/>
      <c r="C602" s="4"/>
      <c r="D602" s="7"/>
      <c r="E602" s="7"/>
      <c r="F602" s="116" t="str">
        <f t="shared" si="282"/>
        <v/>
      </c>
      <c r="G602" s="7" t="str">
        <f t="shared" si="283"/>
        <v/>
      </c>
      <c r="H602" s="7" t="str">
        <f t="shared" si="284"/>
        <v/>
      </c>
      <c r="I602" s="116" t="str">
        <f t="shared" si="285"/>
        <v/>
      </c>
      <c r="J602" s="7" t="str">
        <f t="shared" si="286"/>
        <v/>
      </c>
      <c r="K602" s="127" t="str">
        <f t="shared" si="287"/>
        <v/>
      </c>
      <c r="L602" s="127" t="str">
        <f>IF(NOT(ISERROR(VLOOKUP(B602,Deflatores!G$42:H$64,2,FALSE))),VLOOKUP(B602,Deflatores!G$42:H$64,2,FALSE),IF(OR(ISBLANK(C602),ISBLANK(B602)),"",VLOOKUP(C602,Deflatores!G$4:H$38,2,FALSE)*H602+VLOOKUP(C602,Deflatores!G$4:I$38,3,FALSE)))</f>
        <v/>
      </c>
      <c r="M602" s="10"/>
      <c r="N602" s="10"/>
      <c r="O602" s="6"/>
    </row>
    <row r="603" spans="1:15" x14ac:dyDescent="0.25">
      <c r="A603" s="119"/>
      <c r="B603" s="4"/>
      <c r="C603" s="4"/>
      <c r="D603" s="7"/>
      <c r="E603" s="7"/>
      <c r="F603" s="116" t="str">
        <f t="shared" si="282"/>
        <v/>
      </c>
      <c r="G603" s="7" t="str">
        <f t="shared" si="283"/>
        <v/>
      </c>
      <c r="H603" s="7" t="str">
        <f t="shared" si="284"/>
        <v/>
      </c>
      <c r="I603" s="116" t="str">
        <f t="shared" si="285"/>
        <v/>
      </c>
      <c r="J603" s="7" t="str">
        <f t="shared" si="286"/>
        <v/>
      </c>
      <c r="K603" s="127" t="str">
        <f t="shared" si="287"/>
        <v/>
      </c>
      <c r="L603" s="127" t="str">
        <f>IF(NOT(ISERROR(VLOOKUP(B603,Deflatores!G$42:H$64,2,FALSE))),VLOOKUP(B603,Deflatores!G$42:H$64,2,FALSE),IF(OR(ISBLANK(C603),ISBLANK(B603)),"",VLOOKUP(C603,Deflatores!G$4:H$38,2,FALSE)*H603+VLOOKUP(C603,Deflatores!G$4:I$38,3,FALSE)))</f>
        <v/>
      </c>
      <c r="M603" s="10"/>
      <c r="N603" s="10"/>
      <c r="O603" s="6"/>
    </row>
    <row r="604" spans="1:15" x14ac:dyDescent="0.25">
      <c r="A604" s="119"/>
      <c r="B604" s="4"/>
      <c r="C604" s="4"/>
      <c r="D604" s="7"/>
      <c r="E604" s="7"/>
      <c r="F604" s="116" t="str">
        <f t="shared" si="282"/>
        <v/>
      </c>
      <c r="G604" s="7" t="str">
        <f t="shared" si="283"/>
        <v/>
      </c>
      <c r="H604" s="7" t="str">
        <f t="shared" si="284"/>
        <v/>
      </c>
      <c r="I604" s="116" t="str">
        <f t="shared" si="285"/>
        <v/>
      </c>
      <c r="J604" s="7" t="str">
        <f t="shared" si="286"/>
        <v/>
      </c>
      <c r="K604" s="127" t="str">
        <f t="shared" si="287"/>
        <v/>
      </c>
      <c r="L604" s="127" t="str">
        <f>IF(NOT(ISERROR(VLOOKUP(B604,Deflatores!G$42:H$64,2,FALSE))),VLOOKUP(B604,Deflatores!G$42:H$64,2,FALSE),IF(OR(ISBLANK(C604),ISBLANK(B604)),"",VLOOKUP(C604,Deflatores!G$4:H$38,2,FALSE)*H604+VLOOKUP(C604,Deflatores!G$4:I$38,3,FALSE)))</f>
        <v/>
      </c>
      <c r="M604" s="10"/>
      <c r="N604" s="10"/>
      <c r="O604" s="6"/>
    </row>
    <row r="605" spans="1:15" x14ac:dyDescent="0.25">
      <c r="A605" s="119"/>
      <c r="B605" s="4"/>
      <c r="C605" s="4"/>
      <c r="D605" s="7"/>
      <c r="E605" s="7"/>
      <c r="F605" s="116" t="str">
        <f t="shared" si="282"/>
        <v/>
      </c>
      <c r="G605" s="7" t="str">
        <f t="shared" si="283"/>
        <v/>
      </c>
      <c r="H605" s="7" t="str">
        <f t="shared" si="284"/>
        <v/>
      </c>
      <c r="I605" s="116" t="str">
        <f t="shared" si="285"/>
        <v/>
      </c>
      <c r="J605" s="7" t="str">
        <f t="shared" si="286"/>
        <v/>
      </c>
      <c r="K605" s="127" t="str">
        <f t="shared" si="287"/>
        <v/>
      </c>
      <c r="L605" s="127" t="str">
        <f>IF(NOT(ISERROR(VLOOKUP(B605,Deflatores!G$42:H$64,2,FALSE))),VLOOKUP(B605,Deflatores!G$42:H$64,2,FALSE),IF(OR(ISBLANK(C605),ISBLANK(B605)),"",VLOOKUP(C605,Deflatores!G$4:H$38,2,FALSE)*H605+VLOOKUP(C605,Deflatores!G$4:I$38,3,FALSE)))</f>
        <v/>
      </c>
      <c r="M605" s="10"/>
      <c r="N605" s="10"/>
      <c r="O605" s="6"/>
    </row>
    <row r="606" spans="1:15" x14ac:dyDescent="0.25">
      <c r="A606" s="119"/>
      <c r="B606" s="4"/>
      <c r="C606" s="4"/>
      <c r="D606" s="7"/>
      <c r="E606" s="7"/>
      <c r="F606" s="116" t="str">
        <f t="shared" si="282"/>
        <v/>
      </c>
      <c r="G606" s="7" t="str">
        <f t="shared" si="283"/>
        <v/>
      </c>
      <c r="H606" s="7" t="str">
        <f t="shared" si="284"/>
        <v/>
      </c>
      <c r="I606" s="116" t="str">
        <f t="shared" si="285"/>
        <v/>
      </c>
      <c r="J606" s="7" t="str">
        <f t="shared" si="286"/>
        <v/>
      </c>
      <c r="K606" s="127" t="str">
        <f t="shared" si="287"/>
        <v/>
      </c>
      <c r="L606" s="127" t="str">
        <f>IF(NOT(ISERROR(VLOOKUP(B606,Deflatores!G$42:H$64,2,FALSE))),VLOOKUP(B606,Deflatores!G$42:H$64,2,FALSE),IF(OR(ISBLANK(C606),ISBLANK(B606)),"",VLOOKUP(C606,Deflatores!G$4:H$38,2,FALSE)*H606+VLOOKUP(C606,Deflatores!G$4:I$38,3,FALSE)))</f>
        <v/>
      </c>
      <c r="M606" s="10"/>
      <c r="N606" s="10"/>
      <c r="O606" s="6"/>
    </row>
    <row r="607" spans="1:15" x14ac:dyDescent="0.25">
      <c r="A607" s="119"/>
      <c r="B607" s="4"/>
      <c r="C607" s="4"/>
      <c r="D607" s="7"/>
      <c r="E607" s="7"/>
      <c r="F607" s="116" t="str">
        <f t="shared" si="282"/>
        <v/>
      </c>
      <c r="G607" s="7" t="str">
        <f t="shared" si="283"/>
        <v/>
      </c>
      <c r="H607" s="7" t="str">
        <f t="shared" si="284"/>
        <v/>
      </c>
      <c r="I607" s="116" t="str">
        <f t="shared" si="285"/>
        <v/>
      </c>
      <c r="J607" s="7" t="str">
        <f t="shared" si="286"/>
        <v/>
      </c>
      <c r="K607" s="127" t="str">
        <f t="shared" si="287"/>
        <v/>
      </c>
      <c r="L607" s="127" t="str">
        <f>IF(NOT(ISERROR(VLOOKUP(B607,Deflatores!G$42:H$64,2,FALSE))),VLOOKUP(B607,Deflatores!G$42:H$64,2,FALSE),IF(OR(ISBLANK(C607),ISBLANK(B607)),"",VLOOKUP(C607,Deflatores!G$4:H$38,2,FALSE)*H607+VLOOKUP(C607,Deflatores!G$4:I$38,3,FALSE)))</f>
        <v/>
      </c>
      <c r="M607" s="10"/>
      <c r="N607" s="10"/>
      <c r="O607" s="6"/>
    </row>
    <row r="608" spans="1:15" x14ac:dyDescent="0.25">
      <c r="A608" s="119"/>
      <c r="B608" s="4"/>
      <c r="C608" s="4"/>
      <c r="D608" s="7"/>
      <c r="E608" s="7"/>
      <c r="F608" s="116" t="str">
        <f t="shared" si="282"/>
        <v/>
      </c>
      <c r="G608" s="7" t="str">
        <f t="shared" si="283"/>
        <v/>
      </c>
      <c r="H608" s="7" t="str">
        <f t="shared" si="284"/>
        <v/>
      </c>
      <c r="I608" s="116" t="str">
        <f t="shared" si="285"/>
        <v/>
      </c>
      <c r="J608" s="7" t="str">
        <f t="shared" si="286"/>
        <v/>
      </c>
      <c r="K608" s="127" t="str">
        <f t="shared" si="287"/>
        <v/>
      </c>
      <c r="L608" s="127" t="str">
        <f>IF(NOT(ISERROR(VLOOKUP(B608,Deflatores!G$42:H$64,2,FALSE))),VLOOKUP(B608,Deflatores!G$42:H$64,2,FALSE),IF(OR(ISBLANK(C608),ISBLANK(B608)),"",VLOOKUP(C608,Deflatores!G$4:H$38,2,FALSE)*H608+VLOOKUP(C608,Deflatores!G$4:I$38,3,FALSE)))</f>
        <v/>
      </c>
      <c r="M608" s="10"/>
      <c r="N608" s="10"/>
      <c r="O608" s="6"/>
    </row>
    <row r="609" spans="1:15" x14ac:dyDescent="0.25">
      <c r="A609" s="119"/>
      <c r="B609" s="4"/>
      <c r="C609" s="4"/>
      <c r="D609" s="7"/>
      <c r="E609" s="7"/>
      <c r="F609" s="116" t="str">
        <f t="shared" ref="F609:F672" si="288">IF(ISBLANK(B609),"",IF(I609="L","Baixa",IF(I609="A","Média",IF(I609="","","Alta"))))</f>
        <v/>
      </c>
      <c r="G609" s="7" t="str">
        <f t="shared" ref="G609:G672" si="289">CONCATENATE(B609,I609)</f>
        <v/>
      </c>
      <c r="H609" s="7" t="str">
        <f t="shared" ref="H609:H672" si="290">IF(ISBLANK(B609),"",IF(B609="ALI",IF(I609="L",7,IF(I609="A",10,15)),IF(B609="AIE",IF(I609="L",5,IF(I609="A",7,10)),IF(B609="SE",IF(I609="L",4,IF(I609="A",5,7)),IF(OR(B609="EE",B609="CE"),IF(I609="L",3,IF(I609="A",4,6)),0)))))</f>
        <v/>
      </c>
      <c r="I609" s="116" t="str">
        <f t="shared" ref="I609:I672" si="291">IF(OR(ISBLANK(D609),ISBLANK(E609)),IF(OR(B609="ALI",B609="AIE"),"L",IF(OR(B609="EE",B609="SE",B609="CE"),"A","")),IF(B609="EE",IF(E609&gt;=3,IF(D609&gt;=5,"H","A"),IF(E609&gt;=2,IF(D609&gt;=16,"H",IF(D609&lt;=4,"L","A")),IF(D609&lt;=15,"L","A"))),IF(OR(B609="SE",B609="CE"),IF(E609&gt;=4,IF(D609&gt;=6,"H","A"),IF(E609&gt;=2,IF(D609&gt;=20,"H",IF(D609&lt;=5,"L","A")),IF(D609&lt;=19,"L","A"))),IF(OR(B609="ALI",B609="AIE"),IF(E609&gt;=6,IF(D609&gt;=20,"H","A"),IF(E609&gt;=2,IF(D609&gt;=51,"H",IF(D609&lt;=19,"L","A")),IF(D609&lt;=50,"L","A"))),""))))</f>
        <v/>
      </c>
      <c r="J609" s="7" t="str">
        <f t="shared" ref="J609:J672" si="292">CONCATENATE(B609,C609)</f>
        <v/>
      </c>
      <c r="K609" s="127" t="str">
        <f t="shared" si="287"/>
        <v/>
      </c>
      <c r="L609" s="127" t="str">
        <f>IF(NOT(ISERROR(VLOOKUP(B609,Deflatores!G$42:H$64,2,FALSE))),VLOOKUP(B609,Deflatores!G$42:H$64,2,FALSE),IF(OR(ISBLANK(C609),ISBLANK(B609)),"",VLOOKUP(C609,Deflatores!G$4:H$38,2,FALSE)*H609+VLOOKUP(C609,Deflatores!G$4:I$38,3,FALSE)))</f>
        <v/>
      </c>
      <c r="M609" s="10"/>
      <c r="N609" s="10"/>
      <c r="O609" s="6"/>
    </row>
    <row r="610" spans="1:15" x14ac:dyDescent="0.25">
      <c r="A610" s="119"/>
      <c r="B610" s="4"/>
      <c r="C610" s="4"/>
      <c r="D610" s="7"/>
      <c r="E610" s="7"/>
      <c r="F610" s="116" t="str">
        <f t="shared" si="288"/>
        <v/>
      </c>
      <c r="G610" s="7" t="str">
        <f t="shared" si="289"/>
        <v/>
      </c>
      <c r="H610" s="7" t="str">
        <f t="shared" si="290"/>
        <v/>
      </c>
      <c r="I610" s="116" t="str">
        <f t="shared" si="291"/>
        <v/>
      </c>
      <c r="J610" s="7" t="str">
        <f t="shared" si="292"/>
        <v/>
      </c>
      <c r="K610" s="127" t="str">
        <f t="shared" si="287"/>
        <v/>
      </c>
      <c r="L610" s="127" t="str">
        <f>IF(NOT(ISERROR(VLOOKUP(B610,Deflatores!G$42:H$64,2,FALSE))),VLOOKUP(B610,Deflatores!G$42:H$64,2,FALSE),IF(OR(ISBLANK(C610),ISBLANK(B610)),"",VLOOKUP(C610,Deflatores!G$4:H$38,2,FALSE)*H610+VLOOKUP(C610,Deflatores!G$4:I$38,3,FALSE)))</f>
        <v/>
      </c>
      <c r="M610" s="10"/>
      <c r="N610" s="10"/>
      <c r="O610" s="6"/>
    </row>
    <row r="611" spans="1:15" x14ac:dyDescent="0.25">
      <c r="A611" s="119"/>
      <c r="B611" s="4"/>
      <c r="C611" s="4"/>
      <c r="D611" s="7"/>
      <c r="E611" s="7"/>
      <c r="F611" s="116" t="str">
        <f t="shared" si="288"/>
        <v/>
      </c>
      <c r="G611" s="7" t="str">
        <f t="shared" si="289"/>
        <v/>
      </c>
      <c r="H611" s="7" t="str">
        <f t="shared" si="290"/>
        <v/>
      </c>
      <c r="I611" s="116" t="str">
        <f t="shared" si="291"/>
        <v/>
      </c>
      <c r="J611" s="7" t="str">
        <f t="shared" si="292"/>
        <v/>
      </c>
      <c r="K611" s="127" t="str">
        <f t="shared" ref="K611:K674" si="293">IF(OR(H611="",H611=0),L611,H611)</f>
        <v/>
      </c>
      <c r="L611" s="127" t="str">
        <f>IF(NOT(ISERROR(VLOOKUP(B611,Deflatores!G$42:H$64,2,FALSE))),VLOOKUP(B611,Deflatores!G$42:H$64,2,FALSE),IF(OR(ISBLANK(C611),ISBLANK(B611)),"",VLOOKUP(C611,Deflatores!G$4:H$38,2,FALSE)*H611+VLOOKUP(C611,Deflatores!G$4:I$38,3,FALSE)))</f>
        <v/>
      </c>
      <c r="M611" s="10"/>
      <c r="N611" s="10"/>
      <c r="O611" s="6"/>
    </row>
    <row r="612" spans="1:15" x14ac:dyDescent="0.25">
      <c r="A612" s="119"/>
      <c r="B612" s="4"/>
      <c r="C612" s="4"/>
      <c r="D612" s="7"/>
      <c r="E612" s="7"/>
      <c r="F612" s="116" t="str">
        <f t="shared" si="288"/>
        <v/>
      </c>
      <c r="G612" s="7" t="str">
        <f t="shared" si="289"/>
        <v/>
      </c>
      <c r="H612" s="7" t="str">
        <f t="shared" si="290"/>
        <v/>
      </c>
      <c r="I612" s="116" t="str">
        <f t="shared" si="291"/>
        <v/>
      </c>
      <c r="J612" s="7" t="str">
        <f t="shared" si="292"/>
        <v/>
      </c>
      <c r="K612" s="127" t="str">
        <f t="shared" si="293"/>
        <v/>
      </c>
      <c r="L612" s="127" t="str">
        <f>IF(NOT(ISERROR(VLOOKUP(B612,Deflatores!G$42:H$64,2,FALSE))),VLOOKUP(B612,Deflatores!G$42:H$64,2,FALSE),IF(OR(ISBLANK(C612),ISBLANK(B612)),"",VLOOKUP(C612,Deflatores!G$4:H$38,2,FALSE)*H612+VLOOKUP(C612,Deflatores!G$4:I$38,3,FALSE)))</f>
        <v/>
      </c>
      <c r="M612" s="10"/>
      <c r="N612" s="10"/>
      <c r="O612" s="6"/>
    </row>
    <row r="613" spans="1:15" x14ac:dyDescent="0.25">
      <c r="A613" s="119"/>
      <c r="B613" s="4"/>
      <c r="C613" s="4"/>
      <c r="D613" s="7"/>
      <c r="E613" s="7"/>
      <c r="F613" s="116" t="str">
        <f t="shared" si="288"/>
        <v/>
      </c>
      <c r="G613" s="7" t="str">
        <f t="shared" si="289"/>
        <v/>
      </c>
      <c r="H613" s="7" t="str">
        <f t="shared" si="290"/>
        <v/>
      </c>
      <c r="I613" s="116" t="str">
        <f t="shared" si="291"/>
        <v/>
      </c>
      <c r="J613" s="7" t="str">
        <f t="shared" si="292"/>
        <v/>
      </c>
      <c r="K613" s="127" t="str">
        <f t="shared" si="293"/>
        <v/>
      </c>
      <c r="L613" s="127" t="str">
        <f>IF(NOT(ISERROR(VLOOKUP(B613,Deflatores!G$42:H$64,2,FALSE))),VLOOKUP(B613,Deflatores!G$42:H$64,2,FALSE),IF(OR(ISBLANK(C613),ISBLANK(B613)),"",VLOOKUP(C613,Deflatores!G$4:H$38,2,FALSE)*H613+VLOOKUP(C613,Deflatores!G$4:I$38,3,FALSE)))</f>
        <v/>
      </c>
      <c r="M613" s="10"/>
      <c r="N613" s="10"/>
      <c r="O613" s="6"/>
    </row>
    <row r="614" spans="1:15" x14ac:dyDescent="0.25">
      <c r="A614" s="119"/>
      <c r="B614" s="4"/>
      <c r="C614" s="4"/>
      <c r="D614" s="7"/>
      <c r="E614" s="7"/>
      <c r="F614" s="116" t="str">
        <f t="shared" si="288"/>
        <v/>
      </c>
      <c r="G614" s="7" t="str">
        <f t="shared" si="289"/>
        <v/>
      </c>
      <c r="H614" s="7" t="str">
        <f t="shared" si="290"/>
        <v/>
      </c>
      <c r="I614" s="116" t="str">
        <f t="shared" si="291"/>
        <v/>
      </c>
      <c r="J614" s="7" t="str">
        <f t="shared" si="292"/>
        <v/>
      </c>
      <c r="K614" s="127" t="str">
        <f t="shared" si="293"/>
        <v/>
      </c>
      <c r="L614" s="127" t="str">
        <f>IF(NOT(ISERROR(VLOOKUP(B614,Deflatores!G$42:H$64,2,FALSE))),VLOOKUP(B614,Deflatores!G$42:H$64,2,FALSE),IF(OR(ISBLANK(C614),ISBLANK(B614)),"",VLOOKUP(C614,Deflatores!G$4:H$38,2,FALSE)*H614+VLOOKUP(C614,Deflatores!G$4:I$38,3,FALSE)))</f>
        <v/>
      </c>
      <c r="M614" s="10"/>
      <c r="N614" s="10"/>
      <c r="O614" s="6"/>
    </row>
    <row r="615" spans="1:15" x14ac:dyDescent="0.25">
      <c r="A615" s="119"/>
      <c r="B615" s="4"/>
      <c r="C615" s="4"/>
      <c r="D615" s="7"/>
      <c r="E615" s="7"/>
      <c r="F615" s="116" t="str">
        <f t="shared" si="288"/>
        <v/>
      </c>
      <c r="G615" s="7" t="str">
        <f t="shared" si="289"/>
        <v/>
      </c>
      <c r="H615" s="7" t="str">
        <f t="shared" si="290"/>
        <v/>
      </c>
      <c r="I615" s="116" t="str">
        <f t="shared" si="291"/>
        <v/>
      </c>
      <c r="J615" s="7" t="str">
        <f t="shared" si="292"/>
        <v/>
      </c>
      <c r="K615" s="127" t="str">
        <f t="shared" si="293"/>
        <v/>
      </c>
      <c r="L615" s="127" t="str">
        <f>IF(NOT(ISERROR(VLOOKUP(B615,Deflatores!G$42:H$64,2,FALSE))),VLOOKUP(B615,Deflatores!G$42:H$64,2,FALSE),IF(OR(ISBLANK(C615),ISBLANK(B615)),"",VLOOKUP(C615,Deflatores!G$4:H$38,2,FALSE)*H615+VLOOKUP(C615,Deflatores!G$4:I$38,3,FALSE)))</f>
        <v/>
      </c>
      <c r="M615" s="10"/>
      <c r="N615" s="10"/>
      <c r="O615" s="6"/>
    </row>
    <row r="616" spans="1:15" x14ac:dyDescent="0.25">
      <c r="A616" s="119"/>
      <c r="B616" s="4"/>
      <c r="C616" s="4"/>
      <c r="D616" s="7"/>
      <c r="E616" s="7"/>
      <c r="F616" s="116" t="str">
        <f t="shared" si="288"/>
        <v/>
      </c>
      <c r="G616" s="7" t="str">
        <f t="shared" si="289"/>
        <v/>
      </c>
      <c r="H616" s="7" t="str">
        <f t="shared" si="290"/>
        <v/>
      </c>
      <c r="I616" s="116" t="str">
        <f t="shared" si="291"/>
        <v/>
      </c>
      <c r="J616" s="7" t="str">
        <f t="shared" si="292"/>
        <v/>
      </c>
      <c r="K616" s="127" t="str">
        <f t="shared" si="293"/>
        <v/>
      </c>
      <c r="L616" s="127" t="str">
        <f>IF(NOT(ISERROR(VLOOKUP(B616,Deflatores!G$42:H$64,2,FALSE))),VLOOKUP(B616,Deflatores!G$42:H$64,2,FALSE),IF(OR(ISBLANK(C616),ISBLANK(B616)),"",VLOOKUP(C616,Deflatores!G$4:H$38,2,FALSE)*H616+VLOOKUP(C616,Deflatores!G$4:I$38,3,FALSE)))</f>
        <v/>
      </c>
      <c r="M616" s="10"/>
      <c r="N616" s="10"/>
      <c r="O616" s="6"/>
    </row>
    <row r="617" spans="1:15" x14ac:dyDescent="0.25">
      <c r="A617" s="119"/>
      <c r="B617" s="4"/>
      <c r="C617" s="4"/>
      <c r="D617" s="7"/>
      <c r="E617" s="7"/>
      <c r="F617" s="116" t="str">
        <f t="shared" si="288"/>
        <v/>
      </c>
      <c r="G617" s="7" t="str">
        <f t="shared" si="289"/>
        <v/>
      </c>
      <c r="H617" s="7" t="str">
        <f t="shared" si="290"/>
        <v/>
      </c>
      <c r="I617" s="116" t="str">
        <f t="shared" si="291"/>
        <v/>
      </c>
      <c r="J617" s="7" t="str">
        <f t="shared" si="292"/>
        <v/>
      </c>
      <c r="K617" s="127" t="str">
        <f t="shared" si="293"/>
        <v/>
      </c>
      <c r="L617" s="127" t="str">
        <f>IF(NOT(ISERROR(VLOOKUP(B617,Deflatores!G$42:H$64,2,FALSE))),VLOOKUP(B617,Deflatores!G$42:H$64,2,FALSE),IF(OR(ISBLANK(C617),ISBLANK(B617)),"",VLOOKUP(C617,Deflatores!G$4:H$38,2,FALSE)*H617+VLOOKUP(C617,Deflatores!G$4:I$38,3,FALSE)))</f>
        <v/>
      </c>
      <c r="M617" s="10"/>
      <c r="N617" s="10"/>
      <c r="O617" s="6"/>
    </row>
    <row r="618" spans="1:15" x14ac:dyDescent="0.25">
      <c r="A618" s="119"/>
      <c r="B618" s="4"/>
      <c r="C618" s="4"/>
      <c r="D618" s="7"/>
      <c r="E618" s="7"/>
      <c r="F618" s="116" t="str">
        <f t="shared" si="288"/>
        <v/>
      </c>
      <c r="G618" s="7" t="str">
        <f t="shared" si="289"/>
        <v/>
      </c>
      <c r="H618" s="7" t="str">
        <f t="shared" si="290"/>
        <v/>
      </c>
      <c r="I618" s="116" t="str">
        <f t="shared" si="291"/>
        <v/>
      </c>
      <c r="J618" s="7" t="str">
        <f t="shared" si="292"/>
        <v/>
      </c>
      <c r="K618" s="127" t="str">
        <f t="shared" si="293"/>
        <v/>
      </c>
      <c r="L618" s="127" t="str">
        <f>IF(NOT(ISERROR(VLOOKUP(B618,Deflatores!G$42:H$64,2,FALSE))),VLOOKUP(B618,Deflatores!G$42:H$64,2,FALSE),IF(OR(ISBLANK(C618),ISBLANK(B618)),"",VLOOKUP(C618,Deflatores!G$4:H$38,2,FALSE)*H618+VLOOKUP(C618,Deflatores!G$4:I$38,3,FALSE)))</f>
        <v/>
      </c>
      <c r="M618" s="10"/>
      <c r="N618" s="10"/>
      <c r="O618" s="6"/>
    </row>
    <row r="619" spans="1:15" x14ac:dyDescent="0.25">
      <c r="A619" s="119"/>
      <c r="B619" s="4"/>
      <c r="C619" s="4"/>
      <c r="D619" s="7"/>
      <c r="E619" s="7"/>
      <c r="F619" s="116" t="str">
        <f t="shared" si="288"/>
        <v/>
      </c>
      <c r="G619" s="7" t="str">
        <f t="shared" si="289"/>
        <v/>
      </c>
      <c r="H619" s="7" t="str">
        <f t="shared" si="290"/>
        <v/>
      </c>
      <c r="I619" s="116" t="str">
        <f t="shared" si="291"/>
        <v/>
      </c>
      <c r="J619" s="7" t="str">
        <f t="shared" si="292"/>
        <v/>
      </c>
      <c r="K619" s="127" t="str">
        <f t="shared" si="293"/>
        <v/>
      </c>
      <c r="L619" s="127" t="str">
        <f>IF(NOT(ISERROR(VLOOKUP(B619,Deflatores!G$42:H$64,2,FALSE))),VLOOKUP(B619,Deflatores!G$42:H$64,2,FALSE),IF(OR(ISBLANK(C619),ISBLANK(B619)),"",VLOOKUP(C619,Deflatores!G$4:H$38,2,FALSE)*H619+VLOOKUP(C619,Deflatores!G$4:I$38,3,FALSE)))</f>
        <v/>
      </c>
      <c r="M619" s="10"/>
      <c r="N619" s="10"/>
      <c r="O619" s="6"/>
    </row>
    <row r="620" spans="1:15" x14ac:dyDescent="0.25">
      <c r="A620" s="119"/>
      <c r="B620" s="4"/>
      <c r="C620" s="4"/>
      <c r="D620" s="7"/>
      <c r="E620" s="7"/>
      <c r="F620" s="116" t="str">
        <f t="shared" si="288"/>
        <v/>
      </c>
      <c r="G620" s="7" t="str">
        <f t="shared" si="289"/>
        <v/>
      </c>
      <c r="H620" s="7" t="str">
        <f t="shared" si="290"/>
        <v/>
      </c>
      <c r="I620" s="116" t="str">
        <f t="shared" si="291"/>
        <v/>
      </c>
      <c r="J620" s="7" t="str">
        <f t="shared" si="292"/>
        <v/>
      </c>
      <c r="K620" s="127" t="str">
        <f t="shared" si="293"/>
        <v/>
      </c>
      <c r="L620" s="127" t="str">
        <f>IF(NOT(ISERROR(VLOOKUP(B620,Deflatores!G$42:H$64,2,FALSE))),VLOOKUP(B620,Deflatores!G$42:H$64,2,FALSE),IF(OR(ISBLANK(C620),ISBLANK(B620)),"",VLOOKUP(C620,Deflatores!G$4:H$38,2,FALSE)*H620+VLOOKUP(C620,Deflatores!G$4:I$38,3,FALSE)))</f>
        <v/>
      </c>
      <c r="M620" s="10"/>
      <c r="N620" s="10"/>
      <c r="O620" s="6"/>
    </row>
    <row r="621" spans="1:15" x14ac:dyDescent="0.25">
      <c r="A621" s="119"/>
      <c r="B621" s="4"/>
      <c r="C621" s="4"/>
      <c r="D621" s="7"/>
      <c r="E621" s="7"/>
      <c r="F621" s="116" t="str">
        <f t="shared" si="288"/>
        <v/>
      </c>
      <c r="G621" s="7" t="str">
        <f t="shared" si="289"/>
        <v/>
      </c>
      <c r="H621" s="7" t="str">
        <f t="shared" si="290"/>
        <v/>
      </c>
      <c r="I621" s="116" t="str">
        <f t="shared" si="291"/>
        <v/>
      </c>
      <c r="J621" s="7" t="str">
        <f t="shared" si="292"/>
        <v/>
      </c>
      <c r="K621" s="127" t="str">
        <f t="shared" si="293"/>
        <v/>
      </c>
      <c r="L621" s="127" t="str">
        <f>IF(NOT(ISERROR(VLOOKUP(B621,Deflatores!G$42:H$64,2,FALSE))),VLOOKUP(B621,Deflatores!G$42:H$64,2,FALSE),IF(OR(ISBLANK(C621),ISBLANK(B621)),"",VLOOKUP(C621,Deflatores!G$4:H$38,2,FALSE)*H621+VLOOKUP(C621,Deflatores!G$4:I$38,3,FALSE)))</f>
        <v/>
      </c>
      <c r="M621" s="10"/>
      <c r="N621" s="10"/>
      <c r="O621" s="6"/>
    </row>
    <row r="622" spans="1:15" x14ac:dyDescent="0.25">
      <c r="A622" s="119"/>
      <c r="B622" s="4"/>
      <c r="C622" s="4"/>
      <c r="D622" s="7"/>
      <c r="E622" s="7"/>
      <c r="F622" s="116" t="str">
        <f t="shared" si="288"/>
        <v/>
      </c>
      <c r="G622" s="7" t="str">
        <f t="shared" si="289"/>
        <v/>
      </c>
      <c r="H622" s="7" t="str">
        <f t="shared" si="290"/>
        <v/>
      </c>
      <c r="I622" s="116" t="str">
        <f t="shared" si="291"/>
        <v/>
      </c>
      <c r="J622" s="7" t="str">
        <f t="shared" si="292"/>
        <v/>
      </c>
      <c r="K622" s="127" t="str">
        <f t="shared" si="293"/>
        <v/>
      </c>
      <c r="L622" s="127" t="str">
        <f>IF(NOT(ISERROR(VLOOKUP(B622,Deflatores!G$42:H$64,2,FALSE))),VLOOKUP(B622,Deflatores!G$42:H$64,2,FALSE),IF(OR(ISBLANK(C622),ISBLANK(B622)),"",VLOOKUP(C622,Deflatores!G$4:H$38,2,FALSE)*H622+VLOOKUP(C622,Deflatores!G$4:I$38,3,FALSE)))</f>
        <v/>
      </c>
      <c r="M622" s="10"/>
      <c r="N622" s="10"/>
      <c r="O622" s="6"/>
    </row>
    <row r="623" spans="1:15" x14ac:dyDescent="0.25">
      <c r="A623" s="119"/>
      <c r="B623" s="4"/>
      <c r="C623" s="4"/>
      <c r="D623" s="7"/>
      <c r="E623" s="7"/>
      <c r="F623" s="116" t="str">
        <f t="shared" si="288"/>
        <v/>
      </c>
      <c r="G623" s="7" t="str">
        <f t="shared" si="289"/>
        <v/>
      </c>
      <c r="H623" s="7" t="str">
        <f t="shared" si="290"/>
        <v/>
      </c>
      <c r="I623" s="116" t="str">
        <f t="shared" si="291"/>
        <v/>
      </c>
      <c r="J623" s="7" t="str">
        <f t="shared" si="292"/>
        <v/>
      </c>
      <c r="K623" s="127" t="str">
        <f t="shared" si="293"/>
        <v/>
      </c>
      <c r="L623" s="127" t="str">
        <f>IF(NOT(ISERROR(VLOOKUP(B623,Deflatores!G$42:H$64,2,FALSE))),VLOOKUP(B623,Deflatores!G$42:H$64,2,FALSE),IF(OR(ISBLANK(C623),ISBLANK(B623)),"",VLOOKUP(C623,Deflatores!G$4:H$38,2,FALSE)*H623+VLOOKUP(C623,Deflatores!G$4:I$38,3,FALSE)))</f>
        <v/>
      </c>
      <c r="M623" s="10"/>
      <c r="N623" s="10"/>
      <c r="O623" s="6"/>
    </row>
    <row r="624" spans="1:15" x14ac:dyDescent="0.25">
      <c r="A624" s="119"/>
      <c r="B624" s="4"/>
      <c r="C624" s="4"/>
      <c r="D624" s="7"/>
      <c r="E624" s="7"/>
      <c r="F624" s="116" t="str">
        <f t="shared" si="288"/>
        <v/>
      </c>
      <c r="G624" s="7" t="str">
        <f t="shared" si="289"/>
        <v/>
      </c>
      <c r="H624" s="7" t="str">
        <f t="shared" si="290"/>
        <v/>
      </c>
      <c r="I624" s="116" t="str">
        <f t="shared" si="291"/>
        <v/>
      </c>
      <c r="J624" s="7" t="str">
        <f t="shared" si="292"/>
        <v/>
      </c>
      <c r="K624" s="127" t="str">
        <f t="shared" si="293"/>
        <v/>
      </c>
      <c r="L624" s="127" t="str">
        <f>IF(NOT(ISERROR(VLOOKUP(B624,Deflatores!G$42:H$64,2,FALSE))),VLOOKUP(B624,Deflatores!G$42:H$64,2,FALSE),IF(OR(ISBLANK(C624),ISBLANK(B624)),"",VLOOKUP(C624,Deflatores!G$4:H$38,2,FALSE)*H624+VLOOKUP(C624,Deflatores!G$4:I$38,3,FALSE)))</f>
        <v/>
      </c>
      <c r="M624" s="10"/>
      <c r="N624" s="10"/>
      <c r="O624" s="6"/>
    </row>
    <row r="625" spans="1:15" x14ac:dyDescent="0.25">
      <c r="A625" s="119"/>
      <c r="B625" s="4"/>
      <c r="C625" s="4"/>
      <c r="D625" s="7"/>
      <c r="E625" s="7"/>
      <c r="F625" s="116" t="str">
        <f t="shared" si="288"/>
        <v/>
      </c>
      <c r="G625" s="7" t="str">
        <f t="shared" si="289"/>
        <v/>
      </c>
      <c r="H625" s="7" t="str">
        <f t="shared" si="290"/>
        <v/>
      </c>
      <c r="I625" s="116" t="str">
        <f t="shared" si="291"/>
        <v/>
      </c>
      <c r="J625" s="7" t="str">
        <f t="shared" si="292"/>
        <v/>
      </c>
      <c r="K625" s="127" t="str">
        <f t="shared" si="293"/>
        <v/>
      </c>
      <c r="L625" s="127" t="str">
        <f>IF(NOT(ISERROR(VLOOKUP(B625,Deflatores!G$42:H$64,2,FALSE))),VLOOKUP(B625,Deflatores!G$42:H$64,2,FALSE),IF(OR(ISBLANK(C625),ISBLANK(B625)),"",VLOOKUP(C625,Deflatores!G$4:H$38,2,FALSE)*H625+VLOOKUP(C625,Deflatores!G$4:I$38,3,FALSE)))</f>
        <v/>
      </c>
      <c r="M625" s="10"/>
      <c r="N625" s="10"/>
      <c r="O625" s="6"/>
    </row>
    <row r="626" spans="1:15" x14ac:dyDescent="0.25">
      <c r="A626" s="119"/>
      <c r="B626" s="4"/>
      <c r="C626" s="4"/>
      <c r="D626" s="7"/>
      <c r="E626" s="7"/>
      <c r="F626" s="116" t="str">
        <f t="shared" si="288"/>
        <v/>
      </c>
      <c r="G626" s="7" t="str">
        <f t="shared" si="289"/>
        <v/>
      </c>
      <c r="H626" s="7" t="str">
        <f t="shared" si="290"/>
        <v/>
      </c>
      <c r="I626" s="116" t="str">
        <f t="shared" si="291"/>
        <v/>
      </c>
      <c r="J626" s="7" t="str">
        <f t="shared" si="292"/>
        <v/>
      </c>
      <c r="K626" s="127" t="str">
        <f t="shared" si="293"/>
        <v/>
      </c>
      <c r="L626" s="127" t="str">
        <f>IF(NOT(ISERROR(VLOOKUP(B626,Deflatores!G$42:H$64,2,FALSE))),VLOOKUP(B626,Deflatores!G$42:H$64,2,FALSE),IF(OR(ISBLANK(C626),ISBLANK(B626)),"",VLOOKUP(C626,Deflatores!G$4:H$38,2,FALSE)*H626+VLOOKUP(C626,Deflatores!G$4:I$38,3,FALSE)))</f>
        <v/>
      </c>
      <c r="M626" s="10"/>
      <c r="N626" s="10"/>
      <c r="O626" s="6"/>
    </row>
    <row r="627" spans="1:15" x14ac:dyDescent="0.25">
      <c r="A627" s="119"/>
      <c r="B627" s="4"/>
      <c r="C627" s="4"/>
      <c r="D627" s="7"/>
      <c r="E627" s="7"/>
      <c r="F627" s="116" t="str">
        <f t="shared" si="288"/>
        <v/>
      </c>
      <c r="G627" s="7" t="str">
        <f t="shared" si="289"/>
        <v/>
      </c>
      <c r="H627" s="7" t="str">
        <f t="shared" si="290"/>
        <v/>
      </c>
      <c r="I627" s="116" t="str">
        <f t="shared" si="291"/>
        <v/>
      </c>
      <c r="J627" s="7" t="str">
        <f t="shared" si="292"/>
        <v/>
      </c>
      <c r="K627" s="127" t="str">
        <f t="shared" si="293"/>
        <v/>
      </c>
      <c r="L627" s="127" t="str">
        <f>IF(NOT(ISERROR(VLOOKUP(B627,Deflatores!G$42:H$64,2,FALSE))),VLOOKUP(B627,Deflatores!G$42:H$64,2,FALSE),IF(OR(ISBLANK(C627),ISBLANK(B627)),"",VLOOKUP(C627,Deflatores!G$4:H$38,2,FALSE)*H627+VLOOKUP(C627,Deflatores!G$4:I$38,3,FALSE)))</f>
        <v/>
      </c>
      <c r="M627" s="10"/>
      <c r="N627" s="10"/>
      <c r="O627" s="6"/>
    </row>
    <row r="628" spans="1:15" x14ac:dyDescent="0.25">
      <c r="A628" s="119"/>
      <c r="B628" s="4"/>
      <c r="C628" s="4"/>
      <c r="D628" s="7"/>
      <c r="E628" s="7"/>
      <c r="F628" s="116" t="str">
        <f t="shared" si="288"/>
        <v/>
      </c>
      <c r="G628" s="7" t="str">
        <f t="shared" si="289"/>
        <v/>
      </c>
      <c r="H628" s="7" t="str">
        <f t="shared" si="290"/>
        <v/>
      </c>
      <c r="I628" s="116" t="str">
        <f t="shared" si="291"/>
        <v/>
      </c>
      <c r="J628" s="7" t="str">
        <f t="shared" si="292"/>
        <v/>
      </c>
      <c r="K628" s="127" t="str">
        <f t="shared" si="293"/>
        <v/>
      </c>
      <c r="L628" s="127" t="str">
        <f>IF(NOT(ISERROR(VLOOKUP(B628,Deflatores!G$42:H$64,2,FALSE))),VLOOKUP(B628,Deflatores!G$42:H$64,2,FALSE),IF(OR(ISBLANK(C628),ISBLANK(B628)),"",VLOOKUP(C628,Deflatores!G$4:H$38,2,FALSE)*H628+VLOOKUP(C628,Deflatores!G$4:I$38,3,FALSE)))</f>
        <v/>
      </c>
      <c r="M628" s="10"/>
      <c r="N628" s="10"/>
      <c r="O628" s="6"/>
    </row>
    <row r="629" spans="1:15" x14ac:dyDescent="0.25">
      <c r="A629" s="119"/>
      <c r="B629" s="4"/>
      <c r="C629" s="4"/>
      <c r="D629" s="7"/>
      <c r="E629" s="7"/>
      <c r="F629" s="116" t="str">
        <f t="shared" si="288"/>
        <v/>
      </c>
      <c r="G629" s="7" t="str">
        <f t="shared" si="289"/>
        <v/>
      </c>
      <c r="H629" s="7" t="str">
        <f t="shared" si="290"/>
        <v/>
      </c>
      <c r="I629" s="116" t="str">
        <f t="shared" si="291"/>
        <v/>
      </c>
      <c r="J629" s="7" t="str">
        <f t="shared" si="292"/>
        <v/>
      </c>
      <c r="K629" s="127" t="str">
        <f t="shared" si="293"/>
        <v/>
      </c>
      <c r="L629" s="127" t="str">
        <f>IF(NOT(ISERROR(VLOOKUP(B629,Deflatores!G$42:H$64,2,FALSE))),VLOOKUP(B629,Deflatores!G$42:H$64,2,FALSE),IF(OR(ISBLANK(C629),ISBLANK(B629)),"",VLOOKUP(C629,Deflatores!G$4:H$38,2,FALSE)*H629+VLOOKUP(C629,Deflatores!G$4:I$38,3,FALSE)))</f>
        <v/>
      </c>
      <c r="M629" s="10"/>
      <c r="N629" s="10"/>
      <c r="O629" s="6"/>
    </row>
    <row r="630" spans="1:15" x14ac:dyDescent="0.25">
      <c r="A630" s="119"/>
      <c r="B630" s="4"/>
      <c r="C630" s="4"/>
      <c r="D630" s="7"/>
      <c r="E630" s="7"/>
      <c r="F630" s="116" t="str">
        <f t="shared" si="288"/>
        <v/>
      </c>
      <c r="G630" s="7" t="str">
        <f t="shared" si="289"/>
        <v/>
      </c>
      <c r="H630" s="7" t="str">
        <f t="shared" si="290"/>
        <v/>
      </c>
      <c r="I630" s="116" t="str">
        <f t="shared" si="291"/>
        <v/>
      </c>
      <c r="J630" s="7" t="str">
        <f t="shared" si="292"/>
        <v/>
      </c>
      <c r="K630" s="127" t="str">
        <f t="shared" si="293"/>
        <v/>
      </c>
      <c r="L630" s="127" t="str">
        <f>IF(NOT(ISERROR(VLOOKUP(B630,Deflatores!G$42:H$64,2,FALSE))),VLOOKUP(B630,Deflatores!G$42:H$64,2,FALSE),IF(OR(ISBLANK(C630),ISBLANK(B630)),"",VLOOKUP(C630,Deflatores!G$4:H$38,2,FALSE)*H630+VLOOKUP(C630,Deflatores!G$4:I$38,3,FALSE)))</f>
        <v/>
      </c>
      <c r="M630" s="10"/>
      <c r="N630" s="10"/>
      <c r="O630" s="6"/>
    </row>
    <row r="631" spans="1:15" x14ac:dyDescent="0.25">
      <c r="A631" s="119"/>
      <c r="B631" s="4"/>
      <c r="C631" s="4"/>
      <c r="D631" s="7"/>
      <c r="E631" s="7"/>
      <c r="F631" s="116" t="str">
        <f t="shared" si="288"/>
        <v/>
      </c>
      <c r="G631" s="7" t="str">
        <f t="shared" si="289"/>
        <v/>
      </c>
      <c r="H631" s="7" t="str">
        <f t="shared" si="290"/>
        <v/>
      </c>
      <c r="I631" s="116" t="str">
        <f t="shared" si="291"/>
        <v/>
      </c>
      <c r="J631" s="7" t="str">
        <f t="shared" si="292"/>
        <v/>
      </c>
      <c r="K631" s="127" t="str">
        <f t="shared" si="293"/>
        <v/>
      </c>
      <c r="L631" s="127" t="str">
        <f>IF(NOT(ISERROR(VLOOKUP(B631,Deflatores!G$42:H$64,2,FALSE))),VLOOKUP(B631,Deflatores!G$42:H$64,2,FALSE),IF(OR(ISBLANK(C631),ISBLANK(B631)),"",VLOOKUP(C631,Deflatores!G$4:H$38,2,FALSE)*H631+VLOOKUP(C631,Deflatores!G$4:I$38,3,FALSE)))</f>
        <v/>
      </c>
      <c r="M631" s="10"/>
      <c r="N631" s="10"/>
      <c r="O631" s="6"/>
    </row>
    <row r="632" spans="1:15" x14ac:dyDescent="0.25">
      <c r="A632" s="119"/>
      <c r="B632" s="4"/>
      <c r="C632" s="4"/>
      <c r="D632" s="7"/>
      <c r="E632" s="7"/>
      <c r="F632" s="116" t="str">
        <f t="shared" si="288"/>
        <v/>
      </c>
      <c r="G632" s="7" t="str">
        <f t="shared" si="289"/>
        <v/>
      </c>
      <c r="H632" s="7" t="str">
        <f t="shared" si="290"/>
        <v/>
      </c>
      <c r="I632" s="116" t="str">
        <f t="shared" si="291"/>
        <v/>
      </c>
      <c r="J632" s="7" t="str">
        <f t="shared" si="292"/>
        <v/>
      </c>
      <c r="K632" s="127" t="str">
        <f t="shared" si="293"/>
        <v/>
      </c>
      <c r="L632" s="127" t="str">
        <f>IF(NOT(ISERROR(VLOOKUP(B632,Deflatores!G$42:H$64,2,FALSE))),VLOOKUP(B632,Deflatores!G$42:H$64,2,FALSE),IF(OR(ISBLANK(C632),ISBLANK(B632)),"",VLOOKUP(C632,Deflatores!G$4:H$38,2,FALSE)*H632+VLOOKUP(C632,Deflatores!G$4:I$38,3,FALSE)))</f>
        <v/>
      </c>
      <c r="M632" s="10"/>
      <c r="N632" s="10"/>
      <c r="O632" s="6"/>
    </row>
    <row r="633" spans="1:15" x14ac:dyDescent="0.25">
      <c r="A633" s="119"/>
      <c r="B633" s="4"/>
      <c r="C633" s="4"/>
      <c r="D633" s="7"/>
      <c r="E633" s="7"/>
      <c r="F633" s="116" t="str">
        <f t="shared" si="288"/>
        <v/>
      </c>
      <c r="G633" s="7" t="str">
        <f t="shared" si="289"/>
        <v/>
      </c>
      <c r="H633" s="7" t="str">
        <f t="shared" si="290"/>
        <v/>
      </c>
      <c r="I633" s="116" t="str">
        <f t="shared" si="291"/>
        <v/>
      </c>
      <c r="J633" s="7" t="str">
        <f t="shared" si="292"/>
        <v/>
      </c>
      <c r="K633" s="127" t="str">
        <f t="shared" si="293"/>
        <v/>
      </c>
      <c r="L633" s="127" t="str">
        <f>IF(NOT(ISERROR(VLOOKUP(B633,Deflatores!G$42:H$64,2,FALSE))),VLOOKUP(B633,Deflatores!G$42:H$64,2,FALSE),IF(OR(ISBLANK(C633),ISBLANK(B633)),"",VLOOKUP(C633,Deflatores!G$4:H$38,2,FALSE)*H633+VLOOKUP(C633,Deflatores!G$4:I$38,3,FALSE)))</f>
        <v/>
      </c>
      <c r="M633" s="10"/>
      <c r="N633" s="10"/>
      <c r="O633" s="6"/>
    </row>
    <row r="634" spans="1:15" x14ac:dyDescent="0.25">
      <c r="A634" s="119"/>
      <c r="B634" s="4"/>
      <c r="C634" s="4"/>
      <c r="D634" s="7"/>
      <c r="E634" s="7"/>
      <c r="F634" s="116" t="str">
        <f t="shared" si="288"/>
        <v/>
      </c>
      <c r="G634" s="7" t="str">
        <f t="shared" si="289"/>
        <v/>
      </c>
      <c r="H634" s="7" t="str">
        <f t="shared" si="290"/>
        <v/>
      </c>
      <c r="I634" s="116" t="str">
        <f t="shared" si="291"/>
        <v/>
      </c>
      <c r="J634" s="7" t="str">
        <f t="shared" si="292"/>
        <v/>
      </c>
      <c r="K634" s="127" t="str">
        <f t="shared" si="293"/>
        <v/>
      </c>
      <c r="L634" s="127" t="str">
        <f>IF(NOT(ISERROR(VLOOKUP(B634,Deflatores!G$42:H$64,2,FALSE))),VLOOKUP(B634,Deflatores!G$42:H$64,2,FALSE),IF(OR(ISBLANK(C634),ISBLANK(B634)),"",VLOOKUP(C634,Deflatores!G$4:H$38,2,FALSE)*H634+VLOOKUP(C634,Deflatores!G$4:I$38,3,FALSE)))</f>
        <v/>
      </c>
      <c r="M634" s="10"/>
      <c r="N634" s="10"/>
      <c r="O634" s="6"/>
    </row>
    <row r="635" spans="1:15" x14ac:dyDescent="0.25">
      <c r="A635" s="119"/>
      <c r="B635" s="4"/>
      <c r="C635" s="4"/>
      <c r="D635" s="7"/>
      <c r="E635" s="7"/>
      <c r="F635" s="116" t="str">
        <f t="shared" si="288"/>
        <v/>
      </c>
      <c r="G635" s="7" t="str">
        <f t="shared" si="289"/>
        <v/>
      </c>
      <c r="H635" s="7" t="str">
        <f t="shared" si="290"/>
        <v/>
      </c>
      <c r="I635" s="116" t="str">
        <f t="shared" si="291"/>
        <v/>
      </c>
      <c r="J635" s="7" t="str">
        <f t="shared" si="292"/>
        <v/>
      </c>
      <c r="K635" s="127" t="str">
        <f t="shared" si="293"/>
        <v/>
      </c>
      <c r="L635" s="127" t="str">
        <f>IF(NOT(ISERROR(VLOOKUP(B635,Deflatores!G$42:H$64,2,FALSE))),VLOOKUP(B635,Deflatores!G$42:H$64,2,FALSE),IF(OR(ISBLANK(C635),ISBLANK(B635)),"",VLOOKUP(C635,Deflatores!G$4:H$38,2,FALSE)*H635+VLOOKUP(C635,Deflatores!G$4:I$38,3,FALSE)))</f>
        <v/>
      </c>
      <c r="M635" s="10"/>
      <c r="N635" s="10"/>
      <c r="O635" s="6"/>
    </row>
    <row r="636" spans="1:15" x14ac:dyDescent="0.25">
      <c r="A636" s="119"/>
      <c r="B636" s="4"/>
      <c r="C636" s="4"/>
      <c r="D636" s="7"/>
      <c r="E636" s="7"/>
      <c r="F636" s="116" t="str">
        <f t="shared" si="288"/>
        <v/>
      </c>
      <c r="G636" s="7" t="str">
        <f t="shared" si="289"/>
        <v/>
      </c>
      <c r="H636" s="7" t="str">
        <f t="shared" si="290"/>
        <v/>
      </c>
      <c r="I636" s="116" t="str">
        <f t="shared" si="291"/>
        <v/>
      </c>
      <c r="J636" s="7" t="str">
        <f t="shared" si="292"/>
        <v/>
      </c>
      <c r="K636" s="127" t="str">
        <f t="shared" si="293"/>
        <v/>
      </c>
      <c r="L636" s="127" t="str">
        <f>IF(NOT(ISERROR(VLOOKUP(B636,Deflatores!G$42:H$64,2,FALSE))),VLOOKUP(B636,Deflatores!G$42:H$64,2,FALSE),IF(OR(ISBLANK(C636),ISBLANK(B636)),"",VLOOKUP(C636,Deflatores!G$4:H$38,2,FALSE)*H636+VLOOKUP(C636,Deflatores!G$4:I$38,3,FALSE)))</f>
        <v/>
      </c>
      <c r="M636" s="10"/>
      <c r="N636" s="10"/>
      <c r="O636" s="6"/>
    </row>
    <row r="637" spans="1:15" x14ac:dyDescent="0.25">
      <c r="A637" s="119"/>
      <c r="B637" s="4"/>
      <c r="C637" s="4"/>
      <c r="D637" s="7"/>
      <c r="E637" s="7"/>
      <c r="F637" s="116" t="str">
        <f t="shared" si="288"/>
        <v/>
      </c>
      <c r="G637" s="7" t="str">
        <f t="shared" si="289"/>
        <v/>
      </c>
      <c r="H637" s="7" t="str">
        <f t="shared" si="290"/>
        <v/>
      </c>
      <c r="I637" s="116" t="str">
        <f t="shared" si="291"/>
        <v/>
      </c>
      <c r="J637" s="7" t="str">
        <f t="shared" si="292"/>
        <v/>
      </c>
      <c r="K637" s="127" t="str">
        <f t="shared" si="293"/>
        <v/>
      </c>
      <c r="L637" s="127" t="str">
        <f>IF(NOT(ISERROR(VLOOKUP(B637,Deflatores!G$42:H$64,2,FALSE))),VLOOKUP(B637,Deflatores!G$42:H$64,2,FALSE),IF(OR(ISBLANK(C637),ISBLANK(B637)),"",VLOOKUP(C637,Deflatores!G$4:H$38,2,FALSE)*H637+VLOOKUP(C637,Deflatores!G$4:I$38,3,FALSE)))</f>
        <v/>
      </c>
      <c r="M637" s="10"/>
      <c r="N637" s="10"/>
      <c r="O637" s="6"/>
    </row>
    <row r="638" spans="1:15" x14ac:dyDescent="0.25">
      <c r="A638" s="119"/>
      <c r="B638" s="4"/>
      <c r="C638" s="4"/>
      <c r="D638" s="7"/>
      <c r="E638" s="7"/>
      <c r="F638" s="116" t="str">
        <f t="shared" si="288"/>
        <v/>
      </c>
      <c r="G638" s="7" t="str">
        <f t="shared" si="289"/>
        <v/>
      </c>
      <c r="H638" s="7" t="str">
        <f t="shared" si="290"/>
        <v/>
      </c>
      <c r="I638" s="116" t="str">
        <f t="shared" si="291"/>
        <v/>
      </c>
      <c r="J638" s="7" t="str">
        <f t="shared" si="292"/>
        <v/>
      </c>
      <c r="K638" s="127" t="str">
        <f t="shared" si="293"/>
        <v/>
      </c>
      <c r="L638" s="127" t="str">
        <f>IF(NOT(ISERROR(VLOOKUP(B638,Deflatores!G$42:H$64,2,FALSE))),VLOOKUP(B638,Deflatores!G$42:H$64,2,FALSE),IF(OR(ISBLANK(C638),ISBLANK(B638)),"",VLOOKUP(C638,Deflatores!G$4:H$38,2,FALSE)*H638+VLOOKUP(C638,Deflatores!G$4:I$38,3,FALSE)))</f>
        <v/>
      </c>
      <c r="M638" s="10"/>
      <c r="N638" s="10"/>
      <c r="O638" s="6"/>
    </row>
    <row r="639" spans="1:15" x14ac:dyDescent="0.25">
      <c r="A639" s="119"/>
      <c r="B639" s="4"/>
      <c r="C639" s="4"/>
      <c r="D639" s="7"/>
      <c r="E639" s="7"/>
      <c r="F639" s="116" t="str">
        <f t="shared" si="288"/>
        <v/>
      </c>
      <c r="G639" s="7" t="str">
        <f t="shared" si="289"/>
        <v/>
      </c>
      <c r="H639" s="7" t="str">
        <f t="shared" si="290"/>
        <v/>
      </c>
      <c r="I639" s="116" t="str">
        <f t="shared" si="291"/>
        <v/>
      </c>
      <c r="J639" s="7" t="str">
        <f t="shared" si="292"/>
        <v/>
      </c>
      <c r="K639" s="127" t="str">
        <f t="shared" si="293"/>
        <v/>
      </c>
      <c r="L639" s="127" t="str">
        <f>IF(NOT(ISERROR(VLOOKUP(B639,Deflatores!G$42:H$64,2,FALSE))),VLOOKUP(B639,Deflatores!G$42:H$64,2,FALSE),IF(OR(ISBLANK(C639),ISBLANK(B639)),"",VLOOKUP(C639,Deflatores!G$4:H$38,2,FALSE)*H639+VLOOKUP(C639,Deflatores!G$4:I$38,3,FALSE)))</f>
        <v/>
      </c>
      <c r="M639" s="10"/>
      <c r="N639" s="10"/>
      <c r="O639" s="6"/>
    </row>
    <row r="640" spans="1:15" x14ac:dyDescent="0.25">
      <c r="A640" s="119"/>
      <c r="B640" s="4"/>
      <c r="C640" s="4"/>
      <c r="D640" s="7"/>
      <c r="E640" s="7"/>
      <c r="F640" s="116" t="str">
        <f t="shared" si="288"/>
        <v/>
      </c>
      <c r="G640" s="7" t="str">
        <f t="shared" si="289"/>
        <v/>
      </c>
      <c r="H640" s="7" t="str">
        <f t="shared" si="290"/>
        <v/>
      </c>
      <c r="I640" s="116" t="str">
        <f t="shared" si="291"/>
        <v/>
      </c>
      <c r="J640" s="7" t="str">
        <f t="shared" si="292"/>
        <v/>
      </c>
      <c r="K640" s="127" t="str">
        <f t="shared" si="293"/>
        <v/>
      </c>
      <c r="L640" s="127" t="str">
        <f>IF(NOT(ISERROR(VLOOKUP(B640,Deflatores!G$42:H$64,2,FALSE))),VLOOKUP(B640,Deflatores!G$42:H$64,2,FALSE),IF(OR(ISBLANK(C640),ISBLANK(B640)),"",VLOOKUP(C640,Deflatores!G$4:H$38,2,FALSE)*H640+VLOOKUP(C640,Deflatores!G$4:I$38,3,FALSE)))</f>
        <v/>
      </c>
      <c r="M640" s="10"/>
      <c r="N640" s="10"/>
      <c r="O640" s="6"/>
    </row>
    <row r="641" spans="1:15" x14ac:dyDescent="0.25">
      <c r="A641" s="119"/>
      <c r="B641" s="4"/>
      <c r="C641" s="4"/>
      <c r="D641" s="7"/>
      <c r="E641" s="7"/>
      <c r="F641" s="116" t="str">
        <f t="shared" si="288"/>
        <v/>
      </c>
      <c r="G641" s="7" t="str">
        <f t="shared" si="289"/>
        <v/>
      </c>
      <c r="H641" s="7" t="str">
        <f t="shared" si="290"/>
        <v/>
      </c>
      <c r="I641" s="116" t="str">
        <f t="shared" si="291"/>
        <v/>
      </c>
      <c r="J641" s="7" t="str">
        <f t="shared" si="292"/>
        <v/>
      </c>
      <c r="K641" s="127" t="str">
        <f t="shared" si="293"/>
        <v/>
      </c>
      <c r="L641" s="127" t="str">
        <f>IF(NOT(ISERROR(VLOOKUP(B641,Deflatores!G$42:H$64,2,FALSE))),VLOOKUP(B641,Deflatores!G$42:H$64,2,FALSE),IF(OR(ISBLANK(C641),ISBLANK(B641)),"",VLOOKUP(C641,Deflatores!G$4:H$38,2,FALSE)*H641+VLOOKUP(C641,Deflatores!G$4:I$38,3,FALSE)))</f>
        <v/>
      </c>
      <c r="M641" s="10"/>
      <c r="N641" s="10"/>
      <c r="O641" s="6"/>
    </row>
    <row r="642" spans="1:15" x14ac:dyDescent="0.25">
      <c r="A642" s="119"/>
      <c r="B642" s="4"/>
      <c r="C642" s="4"/>
      <c r="D642" s="7"/>
      <c r="E642" s="7"/>
      <c r="F642" s="116" t="str">
        <f t="shared" si="288"/>
        <v/>
      </c>
      <c r="G642" s="7" t="str">
        <f t="shared" si="289"/>
        <v/>
      </c>
      <c r="H642" s="7" t="str">
        <f t="shared" si="290"/>
        <v/>
      </c>
      <c r="I642" s="116" t="str">
        <f t="shared" si="291"/>
        <v/>
      </c>
      <c r="J642" s="7" t="str">
        <f t="shared" si="292"/>
        <v/>
      </c>
      <c r="K642" s="127" t="str">
        <f t="shared" si="293"/>
        <v/>
      </c>
      <c r="L642" s="127" t="str">
        <f>IF(NOT(ISERROR(VLOOKUP(B642,Deflatores!G$42:H$64,2,FALSE))),VLOOKUP(B642,Deflatores!G$42:H$64,2,FALSE),IF(OR(ISBLANK(C642),ISBLANK(B642)),"",VLOOKUP(C642,Deflatores!G$4:H$38,2,FALSE)*H642+VLOOKUP(C642,Deflatores!G$4:I$38,3,FALSE)))</f>
        <v/>
      </c>
      <c r="M642" s="10"/>
      <c r="N642" s="10"/>
      <c r="O642" s="6"/>
    </row>
    <row r="643" spans="1:15" x14ac:dyDescent="0.25">
      <c r="A643" s="119"/>
      <c r="B643" s="4"/>
      <c r="C643" s="4"/>
      <c r="D643" s="7"/>
      <c r="E643" s="7"/>
      <c r="F643" s="116" t="str">
        <f t="shared" si="288"/>
        <v/>
      </c>
      <c r="G643" s="7" t="str">
        <f t="shared" si="289"/>
        <v/>
      </c>
      <c r="H643" s="7" t="str">
        <f t="shared" si="290"/>
        <v/>
      </c>
      <c r="I643" s="116" t="str">
        <f t="shared" si="291"/>
        <v/>
      </c>
      <c r="J643" s="7" t="str">
        <f t="shared" si="292"/>
        <v/>
      </c>
      <c r="K643" s="127" t="str">
        <f t="shared" si="293"/>
        <v/>
      </c>
      <c r="L643" s="127" t="str">
        <f>IF(NOT(ISERROR(VLOOKUP(B643,Deflatores!G$42:H$64,2,FALSE))),VLOOKUP(B643,Deflatores!G$42:H$64,2,FALSE),IF(OR(ISBLANK(C643),ISBLANK(B643)),"",VLOOKUP(C643,Deflatores!G$4:H$38,2,FALSE)*H643+VLOOKUP(C643,Deflatores!G$4:I$38,3,FALSE)))</f>
        <v/>
      </c>
      <c r="M643" s="10"/>
      <c r="N643" s="10"/>
      <c r="O643" s="6"/>
    </row>
    <row r="644" spans="1:15" x14ac:dyDescent="0.25">
      <c r="A644" s="119"/>
      <c r="B644" s="4"/>
      <c r="C644" s="4"/>
      <c r="D644" s="7"/>
      <c r="E644" s="7"/>
      <c r="F644" s="116" t="str">
        <f t="shared" si="288"/>
        <v/>
      </c>
      <c r="G644" s="7" t="str">
        <f t="shared" si="289"/>
        <v/>
      </c>
      <c r="H644" s="7" t="str">
        <f t="shared" si="290"/>
        <v/>
      </c>
      <c r="I644" s="116" t="str">
        <f t="shared" si="291"/>
        <v/>
      </c>
      <c r="J644" s="7" t="str">
        <f t="shared" si="292"/>
        <v/>
      </c>
      <c r="K644" s="127" t="str">
        <f t="shared" si="293"/>
        <v/>
      </c>
      <c r="L644" s="127" t="str">
        <f>IF(NOT(ISERROR(VLOOKUP(B644,Deflatores!G$42:H$64,2,FALSE))),VLOOKUP(B644,Deflatores!G$42:H$64,2,FALSE),IF(OR(ISBLANK(C644),ISBLANK(B644)),"",VLOOKUP(C644,Deflatores!G$4:H$38,2,FALSE)*H644+VLOOKUP(C644,Deflatores!G$4:I$38,3,FALSE)))</f>
        <v/>
      </c>
      <c r="M644" s="10"/>
      <c r="N644" s="10"/>
      <c r="O644" s="6"/>
    </row>
    <row r="645" spans="1:15" x14ac:dyDescent="0.25">
      <c r="A645" s="119"/>
      <c r="B645" s="4"/>
      <c r="C645" s="4"/>
      <c r="D645" s="7"/>
      <c r="E645" s="7"/>
      <c r="F645" s="116" t="str">
        <f t="shared" si="288"/>
        <v/>
      </c>
      <c r="G645" s="7" t="str">
        <f t="shared" si="289"/>
        <v/>
      </c>
      <c r="H645" s="7" t="str">
        <f t="shared" si="290"/>
        <v/>
      </c>
      <c r="I645" s="116" t="str">
        <f t="shared" si="291"/>
        <v/>
      </c>
      <c r="J645" s="7" t="str">
        <f t="shared" si="292"/>
        <v/>
      </c>
      <c r="K645" s="127" t="str">
        <f t="shared" si="293"/>
        <v/>
      </c>
      <c r="L645" s="127" t="str">
        <f>IF(NOT(ISERROR(VLOOKUP(B645,Deflatores!G$42:H$64,2,FALSE))),VLOOKUP(B645,Deflatores!G$42:H$64,2,FALSE),IF(OR(ISBLANK(C645),ISBLANK(B645)),"",VLOOKUP(C645,Deflatores!G$4:H$38,2,FALSE)*H645+VLOOKUP(C645,Deflatores!G$4:I$38,3,FALSE)))</f>
        <v/>
      </c>
      <c r="M645" s="10"/>
      <c r="N645" s="10"/>
      <c r="O645" s="6"/>
    </row>
    <row r="646" spans="1:15" x14ac:dyDescent="0.25">
      <c r="A646" s="119"/>
      <c r="B646" s="4"/>
      <c r="C646" s="4"/>
      <c r="D646" s="7"/>
      <c r="E646" s="7"/>
      <c r="F646" s="116" t="str">
        <f t="shared" si="288"/>
        <v/>
      </c>
      <c r="G646" s="7" t="str">
        <f t="shared" si="289"/>
        <v/>
      </c>
      <c r="H646" s="7" t="str">
        <f t="shared" si="290"/>
        <v/>
      </c>
      <c r="I646" s="116" t="str">
        <f t="shared" si="291"/>
        <v/>
      </c>
      <c r="J646" s="7" t="str">
        <f t="shared" si="292"/>
        <v/>
      </c>
      <c r="K646" s="127" t="str">
        <f t="shared" si="293"/>
        <v/>
      </c>
      <c r="L646" s="127" t="str">
        <f>IF(NOT(ISERROR(VLOOKUP(B646,Deflatores!G$42:H$64,2,FALSE))),VLOOKUP(B646,Deflatores!G$42:H$64,2,FALSE),IF(OR(ISBLANK(C646),ISBLANK(B646)),"",VLOOKUP(C646,Deflatores!G$4:H$38,2,FALSE)*H646+VLOOKUP(C646,Deflatores!G$4:I$38,3,FALSE)))</f>
        <v/>
      </c>
      <c r="M646" s="10"/>
      <c r="N646" s="10"/>
      <c r="O646" s="6"/>
    </row>
    <row r="647" spans="1:15" x14ac:dyDescent="0.25">
      <c r="A647" s="119"/>
      <c r="B647" s="4"/>
      <c r="C647" s="4"/>
      <c r="D647" s="7"/>
      <c r="E647" s="7"/>
      <c r="F647" s="116" t="str">
        <f t="shared" si="288"/>
        <v/>
      </c>
      <c r="G647" s="7" t="str">
        <f t="shared" si="289"/>
        <v/>
      </c>
      <c r="H647" s="7" t="str">
        <f t="shared" si="290"/>
        <v/>
      </c>
      <c r="I647" s="116" t="str">
        <f t="shared" si="291"/>
        <v/>
      </c>
      <c r="J647" s="7" t="str">
        <f t="shared" si="292"/>
        <v/>
      </c>
      <c r="K647" s="127" t="str">
        <f t="shared" si="293"/>
        <v/>
      </c>
      <c r="L647" s="127" t="str">
        <f>IF(NOT(ISERROR(VLOOKUP(B647,Deflatores!G$42:H$64,2,FALSE))),VLOOKUP(B647,Deflatores!G$42:H$64,2,FALSE),IF(OR(ISBLANK(C647),ISBLANK(B647)),"",VLOOKUP(C647,Deflatores!G$4:H$38,2,FALSE)*H647+VLOOKUP(C647,Deflatores!G$4:I$38,3,FALSE)))</f>
        <v/>
      </c>
      <c r="M647" s="10"/>
      <c r="N647" s="10"/>
      <c r="O647" s="6"/>
    </row>
    <row r="648" spans="1:15" x14ac:dyDescent="0.25">
      <c r="A648" s="119"/>
      <c r="B648" s="4"/>
      <c r="C648" s="4"/>
      <c r="D648" s="7"/>
      <c r="E648" s="7"/>
      <c r="F648" s="116" t="str">
        <f t="shared" si="288"/>
        <v/>
      </c>
      <c r="G648" s="7" t="str">
        <f t="shared" si="289"/>
        <v/>
      </c>
      <c r="H648" s="7" t="str">
        <f t="shared" si="290"/>
        <v/>
      </c>
      <c r="I648" s="116" t="str">
        <f t="shared" si="291"/>
        <v/>
      </c>
      <c r="J648" s="7" t="str">
        <f t="shared" si="292"/>
        <v/>
      </c>
      <c r="K648" s="127" t="str">
        <f t="shared" si="293"/>
        <v/>
      </c>
      <c r="L648" s="127" t="str">
        <f>IF(NOT(ISERROR(VLOOKUP(B648,Deflatores!G$42:H$64,2,FALSE))),VLOOKUP(B648,Deflatores!G$42:H$64,2,FALSE),IF(OR(ISBLANK(C648),ISBLANK(B648)),"",VLOOKUP(C648,Deflatores!G$4:H$38,2,FALSE)*H648+VLOOKUP(C648,Deflatores!G$4:I$38,3,FALSE)))</f>
        <v/>
      </c>
      <c r="M648" s="10"/>
      <c r="N648" s="10"/>
      <c r="O648" s="6"/>
    </row>
    <row r="649" spans="1:15" x14ac:dyDescent="0.25">
      <c r="A649" s="119"/>
      <c r="B649" s="4"/>
      <c r="C649" s="4"/>
      <c r="D649" s="7"/>
      <c r="E649" s="7"/>
      <c r="F649" s="116" t="str">
        <f t="shared" si="288"/>
        <v/>
      </c>
      <c r="G649" s="7" t="str">
        <f t="shared" si="289"/>
        <v/>
      </c>
      <c r="H649" s="7" t="str">
        <f t="shared" si="290"/>
        <v/>
      </c>
      <c r="I649" s="116" t="str">
        <f t="shared" si="291"/>
        <v/>
      </c>
      <c r="J649" s="7" t="str">
        <f t="shared" si="292"/>
        <v/>
      </c>
      <c r="K649" s="127" t="str">
        <f t="shared" si="293"/>
        <v/>
      </c>
      <c r="L649" s="127" t="str">
        <f>IF(NOT(ISERROR(VLOOKUP(B649,Deflatores!G$42:H$64,2,FALSE))),VLOOKUP(B649,Deflatores!G$42:H$64,2,FALSE),IF(OR(ISBLANK(C649),ISBLANK(B649)),"",VLOOKUP(C649,Deflatores!G$4:H$38,2,FALSE)*H649+VLOOKUP(C649,Deflatores!G$4:I$38,3,FALSE)))</f>
        <v/>
      </c>
      <c r="M649" s="10"/>
      <c r="N649" s="10"/>
      <c r="O649" s="6"/>
    </row>
    <row r="650" spans="1:15" x14ac:dyDescent="0.25">
      <c r="A650" s="119"/>
      <c r="B650" s="4"/>
      <c r="C650" s="4"/>
      <c r="D650" s="7"/>
      <c r="E650" s="7"/>
      <c r="F650" s="116" t="str">
        <f t="shared" si="288"/>
        <v/>
      </c>
      <c r="G650" s="7" t="str">
        <f t="shared" si="289"/>
        <v/>
      </c>
      <c r="H650" s="7" t="str">
        <f t="shared" si="290"/>
        <v/>
      </c>
      <c r="I650" s="116" t="str">
        <f t="shared" si="291"/>
        <v/>
      </c>
      <c r="J650" s="7" t="str">
        <f t="shared" si="292"/>
        <v/>
      </c>
      <c r="K650" s="127" t="str">
        <f t="shared" si="293"/>
        <v/>
      </c>
      <c r="L650" s="127" t="str">
        <f>IF(NOT(ISERROR(VLOOKUP(B650,Deflatores!G$42:H$64,2,FALSE))),VLOOKUP(B650,Deflatores!G$42:H$64,2,FALSE),IF(OR(ISBLANK(C650),ISBLANK(B650)),"",VLOOKUP(C650,Deflatores!G$4:H$38,2,FALSE)*H650+VLOOKUP(C650,Deflatores!G$4:I$38,3,FALSE)))</f>
        <v/>
      </c>
      <c r="M650" s="10"/>
      <c r="N650" s="10"/>
      <c r="O650" s="6"/>
    </row>
    <row r="651" spans="1:15" x14ac:dyDescent="0.25">
      <c r="A651" s="119"/>
      <c r="B651" s="4"/>
      <c r="C651" s="4"/>
      <c r="D651" s="7"/>
      <c r="E651" s="7"/>
      <c r="F651" s="116" t="str">
        <f t="shared" si="288"/>
        <v/>
      </c>
      <c r="G651" s="7" t="str">
        <f t="shared" si="289"/>
        <v/>
      </c>
      <c r="H651" s="7" t="str">
        <f t="shared" si="290"/>
        <v/>
      </c>
      <c r="I651" s="116" t="str">
        <f t="shared" si="291"/>
        <v/>
      </c>
      <c r="J651" s="7" t="str">
        <f t="shared" si="292"/>
        <v/>
      </c>
      <c r="K651" s="127" t="str">
        <f t="shared" si="293"/>
        <v/>
      </c>
      <c r="L651" s="127" t="str">
        <f>IF(NOT(ISERROR(VLOOKUP(B651,Deflatores!G$42:H$64,2,FALSE))),VLOOKUP(B651,Deflatores!G$42:H$64,2,FALSE),IF(OR(ISBLANK(C651),ISBLANK(B651)),"",VLOOKUP(C651,Deflatores!G$4:H$38,2,FALSE)*H651+VLOOKUP(C651,Deflatores!G$4:I$38,3,FALSE)))</f>
        <v/>
      </c>
      <c r="M651" s="10"/>
      <c r="N651" s="10"/>
      <c r="O651" s="6"/>
    </row>
    <row r="652" spans="1:15" x14ac:dyDescent="0.25">
      <c r="A652" s="119"/>
      <c r="B652" s="4"/>
      <c r="C652" s="4"/>
      <c r="D652" s="7"/>
      <c r="E652" s="7"/>
      <c r="F652" s="116" t="str">
        <f t="shared" si="288"/>
        <v/>
      </c>
      <c r="G652" s="7" t="str">
        <f t="shared" si="289"/>
        <v/>
      </c>
      <c r="H652" s="7" t="str">
        <f t="shared" si="290"/>
        <v/>
      </c>
      <c r="I652" s="116" t="str">
        <f t="shared" si="291"/>
        <v/>
      </c>
      <c r="J652" s="7" t="str">
        <f t="shared" si="292"/>
        <v/>
      </c>
      <c r="K652" s="127" t="str">
        <f t="shared" si="293"/>
        <v/>
      </c>
      <c r="L652" s="127" t="str">
        <f>IF(NOT(ISERROR(VLOOKUP(B652,Deflatores!G$42:H$64,2,FALSE))),VLOOKUP(B652,Deflatores!G$42:H$64,2,FALSE),IF(OR(ISBLANK(C652),ISBLANK(B652)),"",VLOOKUP(C652,Deflatores!G$4:H$38,2,FALSE)*H652+VLOOKUP(C652,Deflatores!G$4:I$38,3,FALSE)))</f>
        <v/>
      </c>
      <c r="M652" s="10"/>
      <c r="N652" s="10"/>
      <c r="O652" s="6"/>
    </row>
    <row r="653" spans="1:15" x14ac:dyDescent="0.25">
      <c r="A653" s="119"/>
      <c r="B653" s="4"/>
      <c r="C653" s="4"/>
      <c r="D653" s="7"/>
      <c r="E653" s="7"/>
      <c r="F653" s="116" t="str">
        <f t="shared" si="288"/>
        <v/>
      </c>
      <c r="G653" s="7" t="str">
        <f t="shared" si="289"/>
        <v/>
      </c>
      <c r="H653" s="7" t="str">
        <f t="shared" si="290"/>
        <v/>
      </c>
      <c r="I653" s="116" t="str">
        <f t="shared" si="291"/>
        <v/>
      </c>
      <c r="J653" s="7" t="str">
        <f t="shared" si="292"/>
        <v/>
      </c>
      <c r="K653" s="127" t="str">
        <f t="shared" si="293"/>
        <v/>
      </c>
      <c r="L653" s="127" t="str">
        <f>IF(NOT(ISERROR(VLOOKUP(B653,Deflatores!G$42:H$64,2,FALSE))),VLOOKUP(B653,Deflatores!G$42:H$64,2,FALSE),IF(OR(ISBLANK(C653),ISBLANK(B653)),"",VLOOKUP(C653,Deflatores!G$4:H$38,2,FALSE)*H653+VLOOKUP(C653,Deflatores!G$4:I$38,3,FALSE)))</f>
        <v/>
      </c>
      <c r="M653" s="10"/>
      <c r="N653" s="10"/>
      <c r="O653" s="6"/>
    </row>
    <row r="654" spans="1:15" x14ac:dyDescent="0.25">
      <c r="A654" s="119"/>
      <c r="B654" s="4"/>
      <c r="C654" s="4"/>
      <c r="D654" s="7"/>
      <c r="E654" s="7"/>
      <c r="F654" s="116" t="str">
        <f t="shared" si="288"/>
        <v/>
      </c>
      <c r="G654" s="7" t="str">
        <f t="shared" si="289"/>
        <v/>
      </c>
      <c r="H654" s="7" t="str">
        <f t="shared" si="290"/>
        <v/>
      </c>
      <c r="I654" s="116" t="str">
        <f t="shared" si="291"/>
        <v/>
      </c>
      <c r="J654" s="7" t="str">
        <f t="shared" si="292"/>
        <v/>
      </c>
      <c r="K654" s="127" t="str">
        <f t="shared" si="293"/>
        <v/>
      </c>
      <c r="L654" s="127" t="str">
        <f>IF(NOT(ISERROR(VLOOKUP(B654,Deflatores!G$42:H$64,2,FALSE))),VLOOKUP(B654,Deflatores!G$42:H$64,2,FALSE),IF(OR(ISBLANK(C654),ISBLANK(B654)),"",VLOOKUP(C654,Deflatores!G$4:H$38,2,FALSE)*H654+VLOOKUP(C654,Deflatores!G$4:I$38,3,FALSE)))</f>
        <v/>
      </c>
      <c r="M654" s="10"/>
      <c r="N654" s="10"/>
      <c r="O654" s="6"/>
    </row>
    <row r="655" spans="1:15" x14ac:dyDescent="0.25">
      <c r="A655" s="119"/>
      <c r="B655" s="4"/>
      <c r="C655" s="4"/>
      <c r="D655" s="7"/>
      <c r="E655" s="7"/>
      <c r="F655" s="116" t="str">
        <f t="shared" si="288"/>
        <v/>
      </c>
      <c r="G655" s="7" t="str">
        <f t="shared" si="289"/>
        <v/>
      </c>
      <c r="H655" s="7" t="str">
        <f t="shared" si="290"/>
        <v/>
      </c>
      <c r="I655" s="116" t="str">
        <f t="shared" si="291"/>
        <v/>
      </c>
      <c r="J655" s="7" t="str">
        <f t="shared" si="292"/>
        <v/>
      </c>
      <c r="K655" s="127" t="str">
        <f t="shared" si="293"/>
        <v/>
      </c>
      <c r="L655" s="127" t="str">
        <f>IF(NOT(ISERROR(VLOOKUP(B655,Deflatores!G$42:H$64,2,FALSE))),VLOOKUP(B655,Deflatores!G$42:H$64,2,FALSE),IF(OR(ISBLANK(C655),ISBLANK(B655)),"",VLOOKUP(C655,Deflatores!G$4:H$38,2,FALSE)*H655+VLOOKUP(C655,Deflatores!G$4:I$38,3,FALSE)))</f>
        <v/>
      </c>
      <c r="M655" s="10"/>
      <c r="N655" s="10"/>
      <c r="O655" s="6"/>
    </row>
    <row r="656" spans="1:15" x14ac:dyDescent="0.25">
      <c r="A656" s="119"/>
      <c r="B656" s="4"/>
      <c r="C656" s="4"/>
      <c r="D656" s="7"/>
      <c r="E656" s="7"/>
      <c r="F656" s="116" t="str">
        <f t="shared" si="288"/>
        <v/>
      </c>
      <c r="G656" s="7" t="str">
        <f t="shared" si="289"/>
        <v/>
      </c>
      <c r="H656" s="7" t="str">
        <f t="shared" si="290"/>
        <v/>
      </c>
      <c r="I656" s="116" t="str">
        <f t="shared" si="291"/>
        <v/>
      </c>
      <c r="J656" s="7" t="str">
        <f t="shared" si="292"/>
        <v/>
      </c>
      <c r="K656" s="127" t="str">
        <f t="shared" si="293"/>
        <v/>
      </c>
      <c r="L656" s="127" t="str">
        <f>IF(NOT(ISERROR(VLOOKUP(B656,Deflatores!G$42:H$64,2,FALSE))),VLOOKUP(B656,Deflatores!G$42:H$64,2,FALSE),IF(OR(ISBLANK(C656),ISBLANK(B656)),"",VLOOKUP(C656,Deflatores!G$4:H$38,2,FALSE)*H656+VLOOKUP(C656,Deflatores!G$4:I$38,3,FALSE)))</f>
        <v/>
      </c>
      <c r="M656" s="10"/>
      <c r="N656" s="10"/>
      <c r="O656" s="6"/>
    </row>
    <row r="657" spans="1:15" x14ac:dyDescent="0.25">
      <c r="A657" s="119"/>
      <c r="B657" s="4"/>
      <c r="C657" s="4"/>
      <c r="D657" s="7"/>
      <c r="E657" s="7"/>
      <c r="F657" s="116" t="str">
        <f t="shared" si="288"/>
        <v/>
      </c>
      <c r="G657" s="7" t="str">
        <f t="shared" si="289"/>
        <v/>
      </c>
      <c r="H657" s="7" t="str">
        <f t="shared" si="290"/>
        <v/>
      </c>
      <c r="I657" s="116" t="str">
        <f t="shared" si="291"/>
        <v/>
      </c>
      <c r="J657" s="7" t="str">
        <f t="shared" si="292"/>
        <v/>
      </c>
      <c r="K657" s="127" t="str">
        <f t="shared" si="293"/>
        <v/>
      </c>
      <c r="L657" s="127" t="str">
        <f>IF(NOT(ISERROR(VLOOKUP(B657,Deflatores!G$42:H$64,2,FALSE))),VLOOKUP(B657,Deflatores!G$42:H$64,2,FALSE),IF(OR(ISBLANK(C657),ISBLANK(B657)),"",VLOOKUP(C657,Deflatores!G$4:H$38,2,FALSE)*H657+VLOOKUP(C657,Deflatores!G$4:I$38,3,FALSE)))</f>
        <v/>
      </c>
      <c r="M657" s="10"/>
      <c r="N657" s="10"/>
      <c r="O657" s="6"/>
    </row>
    <row r="658" spans="1:15" x14ac:dyDescent="0.25">
      <c r="A658" s="119"/>
      <c r="B658" s="4"/>
      <c r="C658" s="4"/>
      <c r="D658" s="7"/>
      <c r="E658" s="7"/>
      <c r="F658" s="116" t="str">
        <f t="shared" si="288"/>
        <v/>
      </c>
      <c r="G658" s="7" t="str">
        <f t="shared" si="289"/>
        <v/>
      </c>
      <c r="H658" s="7" t="str">
        <f t="shared" si="290"/>
        <v/>
      </c>
      <c r="I658" s="116" t="str">
        <f t="shared" si="291"/>
        <v/>
      </c>
      <c r="J658" s="7" t="str">
        <f t="shared" si="292"/>
        <v/>
      </c>
      <c r="K658" s="127" t="str">
        <f t="shared" si="293"/>
        <v/>
      </c>
      <c r="L658" s="127" t="str">
        <f>IF(NOT(ISERROR(VLOOKUP(B658,Deflatores!G$42:H$64,2,FALSE))),VLOOKUP(B658,Deflatores!G$42:H$64,2,FALSE),IF(OR(ISBLANK(C658),ISBLANK(B658)),"",VLOOKUP(C658,Deflatores!G$4:H$38,2,FALSE)*H658+VLOOKUP(C658,Deflatores!G$4:I$38,3,FALSE)))</f>
        <v/>
      </c>
      <c r="M658" s="10"/>
      <c r="N658" s="10"/>
      <c r="O658" s="6"/>
    </row>
    <row r="659" spans="1:15" x14ac:dyDescent="0.25">
      <c r="A659" s="119"/>
      <c r="B659" s="4"/>
      <c r="C659" s="4"/>
      <c r="D659" s="7"/>
      <c r="E659" s="7"/>
      <c r="F659" s="116" t="str">
        <f t="shared" si="288"/>
        <v/>
      </c>
      <c r="G659" s="7" t="str">
        <f t="shared" si="289"/>
        <v/>
      </c>
      <c r="H659" s="7" t="str">
        <f t="shared" si="290"/>
        <v/>
      </c>
      <c r="I659" s="116" t="str">
        <f t="shared" si="291"/>
        <v/>
      </c>
      <c r="J659" s="7" t="str">
        <f t="shared" si="292"/>
        <v/>
      </c>
      <c r="K659" s="127" t="str">
        <f t="shared" si="293"/>
        <v/>
      </c>
      <c r="L659" s="127" t="str">
        <f>IF(NOT(ISERROR(VLOOKUP(B659,Deflatores!G$42:H$64,2,FALSE))),VLOOKUP(B659,Deflatores!G$42:H$64,2,FALSE),IF(OR(ISBLANK(C659),ISBLANK(B659)),"",VLOOKUP(C659,Deflatores!G$4:H$38,2,FALSE)*H659+VLOOKUP(C659,Deflatores!G$4:I$38,3,FALSE)))</f>
        <v/>
      </c>
      <c r="M659" s="10"/>
      <c r="N659" s="10"/>
      <c r="O659" s="6"/>
    </row>
    <row r="660" spans="1:15" x14ac:dyDescent="0.25">
      <c r="A660" s="119"/>
      <c r="B660" s="4"/>
      <c r="C660" s="4"/>
      <c r="D660" s="7"/>
      <c r="E660" s="7"/>
      <c r="F660" s="116" t="str">
        <f t="shared" si="288"/>
        <v/>
      </c>
      <c r="G660" s="7" t="str">
        <f t="shared" si="289"/>
        <v/>
      </c>
      <c r="H660" s="7" t="str">
        <f t="shared" si="290"/>
        <v/>
      </c>
      <c r="I660" s="116" t="str">
        <f t="shared" si="291"/>
        <v/>
      </c>
      <c r="J660" s="7" t="str">
        <f t="shared" si="292"/>
        <v/>
      </c>
      <c r="K660" s="127" t="str">
        <f t="shared" si="293"/>
        <v/>
      </c>
      <c r="L660" s="127" t="str">
        <f>IF(NOT(ISERROR(VLOOKUP(B660,Deflatores!G$42:H$64,2,FALSE))),VLOOKUP(B660,Deflatores!G$42:H$64,2,FALSE),IF(OR(ISBLANK(C660),ISBLANK(B660)),"",VLOOKUP(C660,Deflatores!G$4:H$38,2,FALSE)*H660+VLOOKUP(C660,Deflatores!G$4:I$38,3,FALSE)))</f>
        <v/>
      </c>
      <c r="M660" s="10"/>
      <c r="N660" s="10"/>
      <c r="O660" s="6"/>
    </row>
    <row r="661" spans="1:15" x14ac:dyDescent="0.25">
      <c r="A661" s="119"/>
      <c r="B661" s="4"/>
      <c r="C661" s="4"/>
      <c r="D661" s="7"/>
      <c r="E661" s="7"/>
      <c r="F661" s="116" t="str">
        <f t="shared" si="288"/>
        <v/>
      </c>
      <c r="G661" s="7" t="str">
        <f t="shared" si="289"/>
        <v/>
      </c>
      <c r="H661" s="7" t="str">
        <f t="shared" si="290"/>
        <v/>
      </c>
      <c r="I661" s="116" t="str">
        <f t="shared" si="291"/>
        <v/>
      </c>
      <c r="J661" s="7" t="str">
        <f t="shared" si="292"/>
        <v/>
      </c>
      <c r="K661" s="127" t="str">
        <f t="shared" si="293"/>
        <v/>
      </c>
      <c r="L661" s="127" t="str">
        <f>IF(NOT(ISERROR(VLOOKUP(B661,Deflatores!G$42:H$64,2,FALSE))),VLOOKUP(B661,Deflatores!G$42:H$64,2,FALSE),IF(OR(ISBLANK(C661),ISBLANK(B661)),"",VLOOKUP(C661,Deflatores!G$4:H$38,2,FALSE)*H661+VLOOKUP(C661,Deflatores!G$4:I$38,3,FALSE)))</f>
        <v/>
      </c>
      <c r="M661" s="10"/>
      <c r="N661" s="10"/>
      <c r="O661" s="6"/>
    </row>
    <row r="662" spans="1:15" x14ac:dyDescent="0.25">
      <c r="A662" s="119"/>
      <c r="B662" s="4"/>
      <c r="C662" s="4"/>
      <c r="D662" s="7"/>
      <c r="E662" s="7"/>
      <c r="F662" s="116" t="str">
        <f t="shared" si="288"/>
        <v/>
      </c>
      <c r="G662" s="7" t="str">
        <f t="shared" si="289"/>
        <v/>
      </c>
      <c r="H662" s="7" t="str">
        <f t="shared" si="290"/>
        <v/>
      </c>
      <c r="I662" s="116" t="str">
        <f t="shared" si="291"/>
        <v/>
      </c>
      <c r="J662" s="7" t="str">
        <f t="shared" si="292"/>
        <v/>
      </c>
      <c r="K662" s="127" t="str">
        <f t="shared" si="293"/>
        <v/>
      </c>
      <c r="L662" s="127" t="str">
        <f>IF(NOT(ISERROR(VLOOKUP(B662,Deflatores!G$42:H$64,2,FALSE))),VLOOKUP(B662,Deflatores!G$42:H$64,2,FALSE),IF(OR(ISBLANK(C662),ISBLANK(B662)),"",VLOOKUP(C662,Deflatores!G$4:H$38,2,FALSE)*H662+VLOOKUP(C662,Deflatores!G$4:I$38,3,FALSE)))</f>
        <v/>
      </c>
      <c r="M662" s="10"/>
      <c r="N662" s="10"/>
      <c r="O662" s="6"/>
    </row>
    <row r="663" spans="1:15" x14ac:dyDescent="0.25">
      <c r="A663" s="119"/>
      <c r="B663" s="4"/>
      <c r="C663" s="4"/>
      <c r="D663" s="7"/>
      <c r="E663" s="7"/>
      <c r="F663" s="116" t="str">
        <f t="shared" si="288"/>
        <v/>
      </c>
      <c r="G663" s="7" t="str">
        <f t="shared" si="289"/>
        <v/>
      </c>
      <c r="H663" s="7" t="str">
        <f t="shared" si="290"/>
        <v/>
      </c>
      <c r="I663" s="116" t="str">
        <f t="shared" si="291"/>
        <v/>
      </c>
      <c r="J663" s="7" t="str">
        <f t="shared" si="292"/>
        <v/>
      </c>
      <c r="K663" s="127" t="str">
        <f t="shared" si="293"/>
        <v/>
      </c>
      <c r="L663" s="127" t="str">
        <f>IF(NOT(ISERROR(VLOOKUP(B663,Deflatores!G$42:H$64,2,FALSE))),VLOOKUP(B663,Deflatores!G$42:H$64,2,FALSE),IF(OR(ISBLANK(C663),ISBLANK(B663)),"",VLOOKUP(C663,Deflatores!G$4:H$38,2,FALSE)*H663+VLOOKUP(C663,Deflatores!G$4:I$38,3,FALSE)))</f>
        <v/>
      </c>
      <c r="M663" s="10"/>
      <c r="N663" s="10"/>
      <c r="O663" s="6"/>
    </row>
    <row r="664" spans="1:15" x14ac:dyDescent="0.25">
      <c r="A664" s="119"/>
      <c r="B664" s="4"/>
      <c r="C664" s="4"/>
      <c r="D664" s="7"/>
      <c r="E664" s="7"/>
      <c r="F664" s="116" t="str">
        <f t="shared" si="288"/>
        <v/>
      </c>
      <c r="G664" s="7" t="str">
        <f t="shared" si="289"/>
        <v/>
      </c>
      <c r="H664" s="7" t="str">
        <f t="shared" si="290"/>
        <v/>
      </c>
      <c r="I664" s="116" t="str">
        <f t="shared" si="291"/>
        <v/>
      </c>
      <c r="J664" s="7" t="str">
        <f t="shared" si="292"/>
        <v/>
      </c>
      <c r="K664" s="127" t="str">
        <f t="shared" si="293"/>
        <v/>
      </c>
      <c r="L664" s="127" t="str">
        <f>IF(NOT(ISERROR(VLOOKUP(B664,Deflatores!G$42:H$64,2,FALSE))),VLOOKUP(B664,Deflatores!G$42:H$64,2,FALSE),IF(OR(ISBLANK(C664),ISBLANK(B664)),"",VLOOKUP(C664,Deflatores!G$4:H$38,2,FALSE)*H664+VLOOKUP(C664,Deflatores!G$4:I$38,3,FALSE)))</f>
        <v/>
      </c>
      <c r="M664" s="10"/>
      <c r="N664" s="10"/>
      <c r="O664" s="6"/>
    </row>
    <row r="665" spans="1:15" x14ac:dyDescent="0.25">
      <c r="A665" s="119"/>
      <c r="B665" s="4"/>
      <c r="C665" s="4"/>
      <c r="D665" s="7"/>
      <c r="E665" s="7"/>
      <c r="F665" s="116" t="str">
        <f t="shared" si="288"/>
        <v/>
      </c>
      <c r="G665" s="7" t="str">
        <f t="shared" si="289"/>
        <v/>
      </c>
      <c r="H665" s="7" t="str">
        <f t="shared" si="290"/>
        <v/>
      </c>
      <c r="I665" s="116" t="str">
        <f t="shared" si="291"/>
        <v/>
      </c>
      <c r="J665" s="7" t="str">
        <f t="shared" si="292"/>
        <v/>
      </c>
      <c r="K665" s="127" t="str">
        <f t="shared" si="293"/>
        <v/>
      </c>
      <c r="L665" s="127" t="str">
        <f>IF(NOT(ISERROR(VLOOKUP(B665,Deflatores!G$42:H$64,2,FALSE))),VLOOKUP(B665,Deflatores!G$42:H$64,2,FALSE),IF(OR(ISBLANK(C665),ISBLANK(B665)),"",VLOOKUP(C665,Deflatores!G$4:H$38,2,FALSE)*H665+VLOOKUP(C665,Deflatores!G$4:I$38,3,FALSE)))</f>
        <v/>
      </c>
      <c r="M665" s="10"/>
      <c r="N665" s="10"/>
      <c r="O665" s="6"/>
    </row>
    <row r="666" spans="1:15" x14ac:dyDescent="0.25">
      <c r="A666" s="119"/>
      <c r="B666" s="4"/>
      <c r="C666" s="4"/>
      <c r="D666" s="7"/>
      <c r="E666" s="7"/>
      <c r="F666" s="116" t="str">
        <f t="shared" si="288"/>
        <v/>
      </c>
      <c r="G666" s="7" t="str">
        <f t="shared" si="289"/>
        <v/>
      </c>
      <c r="H666" s="7" t="str">
        <f t="shared" si="290"/>
        <v/>
      </c>
      <c r="I666" s="116" t="str">
        <f t="shared" si="291"/>
        <v/>
      </c>
      <c r="J666" s="7" t="str">
        <f t="shared" si="292"/>
        <v/>
      </c>
      <c r="K666" s="127" t="str">
        <f t="shared" si="293"/>
        <v/>
      </c>
      <c r="L666" s="127" t="str">
        <f>IF(NOT(ISERROR(VLOOKUP(B666,Deflatores!G$42:H$64,2,FALSE))),VLOOKUP(B666,Deflatores!G$42:H$64,2,FALSE),IF(OR(ISBLANK(C666),ISBLANK(B666)),"",VLOOKUP(C666,Deflatores!G$4:H$38,2,FALSE)*H666+VLOOKUP(C666,Deflatores!G$4:I$38,3,FALSE)))</f>
        <v/>
      </c>
      <c r="M666" s="10"/>
      <c r="N666" s="10"/>
      <c r="O666" s="6"/>
    </row>
    <row r="667" spans="1:15" x14ac:dyDescent="0.25">
      <c r="A667" s="119"/>
      <c r="B667" s="4"/>
      <c r="C667" s="4"/>
      <c r="D667" s="7"/>
      <c r="E667" s="7"/>
      <c r="F667" s="116" t="str">
        <f t="shared" si="288"/>
        <v/>
      </c>
      <c r="G667" s="7" t="str">
        <f t="shared" si="289"/>
        <v/>
      </c>
      <c r="H667" s="7" t="str">
        <f t="shared" si="290"/>
        <v/>
      </c>
      <c r="I667" s="116" t="str">
        <f t="shared" si="291"/>
        <v/>
      </c>
      <c r="J667" s="7" t="str">
        <f t="shared" si="292"/>
        <v/>
      </c>
      <c r="K667" s="127" t="str">
        <f t="shared" si="293"/>
        <v/>
      </c>
      <c r="L667" s="127" t="str">
        <f>IF(NOT(ISERROR(VLOOKUP(B667,Deflatores!G$42:H$64,2,FALSE))),VLOOKUP(B667,Deflatores!G$42:H$64,2,FALSE),IF(OR(ISBLANK(C667),ISBLANK(B667)),"",VLOOKUP(C667,Deflatores!G$4:H$38,2,FALSE)*H667+VLOOKUP(C667,Deflatores!G$4:I$38,3,FALSE)))</f>
        <v/>
      </c>
      <c r="M667" s="10"/>
      <c r="N667" s="10"/>
      <c r="O667" s="6"/>
    </row>
    <row r="668" spans="1:15" x14ac:dyDescent="0.25">
      <c r="A668" s="119"/>
      <c r="B668" s="4"/>
      <c r="C668" s="4"/>
      <c r="D668" s="7"/>
      <c r="E668" s="7"/>
      <c r="F668" s="116" t="str">
        <f t="shared" si="288"/>
        <v/>
      </c>
      <c r="G668" s="7" t="str">
        <f t="shared" si="289"/>
        <v/>
      </c>
      <c r="H668" s="7" t="str">
        <f t="shared" si="290"/>
        <v/>
      </c>
      <c r="I668" s="116" t="str">
        <f t="shared" si="291"/>
        <v/>
      </c>
      <c r="J668" s="7" t="str">
        <f t="shared" si="292"/>
        <v/>
      </c>
      <c r="K668" s="127" t="str">
        <f t="shared" si="293"/>
        <v/>
      </c>
      <c r="L668" s="127" t="str">
        <f>IF(NOT(ISERROR(VLOOKUP(B668,Deflatores!G$42:H$64,2,FALSE))),VLOOKUP(B668,Deflatores!G$42:H$64,2,FALSE),IF(OR(ISBLANK(C668),ISBLANK(B668)),"",VLOOKUP(C668,Deflatores!G$4:H$38,2,FALSE)*H668+VLOOKUP(C668,Deflatores!G$4:I$38,3,FALSE)))</f>
        <v/>
      </c>
      <c r="M668" s="10"/>
      <c r="N668" s="10"/>
      <c r="O668" s="6"/>
    </row>
    <row r="669" spans="1:15" x14ac:dyDescent="0.25">
      <c r="A669" s="119"/>
      <c r="B669" s="4"/>
      <c r="C669" s="4"/>
      <c r="D669" s="7"/>
      <c r="E669" s="7"/>
      <c r="F669" s="116" t="str">
        <f t="shared" si="288"/>
        <v/>
      </c>
      <c r="G669" s="7" t="str">
        <f t="shared" si="289"/>
        <v/>
      </c>
      <c r="H669" s="7" t="str">
        <f t="shared" si="290"/>
        <v/>
      </c>
      <c r="I669" s="116" t="str">
        <f t="shared" si="291"/>
        <v/>
      </c>
      <c r="J669" s="7" t="str">
        <f t="shared" si="292"/>
        <v/>
      </c>
      <c r="K669" s="127" t="str">
        <f t="shared" si="293"/>
        <v/>
      </c>
      <c r="L669" s="127" t="str">
        <f>IF(NOT(ISERROR(VLOOKUP(B669,Deflatores!G$42:H$64,2,FALSE))),VLOOKUP(B669,Deflatores!G$42:H$64,2,FALSE),IF(OR(ISBLANK(C669),ISBLANK(B669)),"",VLOOKUP(C669,Deflatores!G$4:H$38,2,FALSE)*H669+VLOOKUP(C669,Deflatores!G$4:I$38,3,FALSE)))</f>
        <v/>
      </c>
      <c r="M669" s="10"/>
      <c r="N669" s="10"/>
      <c r="O669" s="6"/>
    </row>
    <row r="670" spans="1:15" x14ac:dyDescent="0.25">
      <c r="A670" s="119"/>
      <c r="B670" s="4"/>
      <c r="C670" s="4"/>
      <c r="D670" s="7"/>
      <c r="E670" s="7"/>
      <c r="F670" s="116" t="str">
        <f t="shared" si="288"/>
        <v/>
      </c>
      <c r="G670" s="7" t="str">
        <f t="shared" si="289"/>
        <v/>
      </c>
      <c r="H670" s="7" t="str">
        <f t="shared" si="290"/>
        <v/>
      </c>
      <c r="I670" s="116" t="str">
        <f t="shared" si="291"/>
        <v/>
      </c>
      <c r="J670" s="7" t="str">
        <f t="shared" si="292"/>
        <v/>
      </c>
      <c r="K670" s="127" t="str">
        <f t="shared" si="293"/>
        <v/>
      </c>
      <c r="L670" s="127" t="str">
        <f>IF(NOT(ISERROR(VLOOKUP(B670,Deflatores!G$42:H$64,2,FALSE))),VLOOKUP(B670,Deflatores!G$42:H$64,2,FALSE),IF(OR(ISBLANK(C670),ISBLANK(B670)),"",VLOOKUP(C670,Deflatores!G$4:H$38,2,FALSE)*H670+VLOOKUP(C670,Deflatores!G$4:I$38,3,FALSE)))</f>
        <v/>
      </c>
      <c r="M670" s="10"/>
      <c r="N670" s="10"/>
      <c r="O670" s="6"/>
    </row>
    <row r="671" spans="1:15" x14ac:dyDescent="0.25">
      <c r="A671" s="119"/>
      <c r="B671" s="4"/>
      <c r="C671" s="4"/>
      <c r="D671" s="7"/>
      <c r="E671" s="7"/>
      <c r="F671" s="116" t="str">
        <f t="shared" si="288"/>
        <v/>
      </c>
      <c r="G671" s="7" t="str">
        <f t="shared" si="289"/>
        <v/>
      </c>
      <c r="H671" s="7" t="str">
        <f t="shared" si="290"/>
        <v/>
      </c>
      <c r="I671" s="116" t="str">
        <f t="shared" si="291"/>
        <v/>
      </c>
      <c r="J671" s="7" t="str">
        <f t="shared" si="292"/>
        <v/>
      </c>
      <c r="K671" s="127" t="str">
        <f t="shared" si="293"/>
        <v/>
      </c>
      <c r="L671" s="127" t="str">
        <f>IF(NOT(ISERROR(VLOOKUP(B671,Deflatores!G$42:H$64,2,FALSE))),VLOOKUP(B671,Deflatores!G$42:H$64,2,FALSE),IF(OR(ISBLANK(C671),ISBLANK(B671)),"",VLOOKUP(C671,Deflatores!G$4:H$38,2,FALSE)*H671+VLOOKUP(C671,Deflatores!G$4:I$38,3,FALSE)))</f>
        <v/>
      </c>
      <c r="M671" s="10"/>
      <c r="N671" s="10"/>
      <c r="O671" s="6"/>
    </row>
    <row r="672" spans="1:15" x14ac:dyDescent="0.25">
      <c r="A672" s="119"/>
      <c r="B672" s="4"/>
      <c r="C672" s="4"/>
      <c r="D672" s="7"/>
      <c r="E672" s="7"/>
      <c r="F672" s="116" t="str">
        <f t="shared" si="288"/>
        <v/>
      </c>
      <c r="G672" s="7" t="str">
        <f t="shared" si="289"/>
        <v/>
      </c>
      <c r="H672" s="7" t="str">
        <f t="shared" si="290"/>
        <v/>
      </c>
      <c r="I672" s="116" t="str">
        <f t="shared" si="291"/>
        <v/>
      </c>
      <c r="J672" s="7" t="str">
        <f t="shared" si="292"/>
        <v/>
      </c>
      <c r="K672" s="127" t="str">
        <f t="shared" si="293"/>
        <v/>
      </c>
      <c r="L672" s="127" t="str">
        <f>IF(NOT(ISERROR(VLOOKUP(B672,Deflatores!G$42:H$64,2,FALSE))),VLOOKUP(B672,Deflatores!G$42:H$64,2,FALSE),IF(OR(ISBLANK(C672),ISBLANK(B672)),"",VLOOKUP(C672,Deflatores!G$4:H$38,2,FALSE)*H672+VLOOKUP(C672,Deflatores!G$4:I$38,3,FALSE)))</f>
        <v/>
      </c>
      <c r="M672" s="10"/>
      <c r="N672" s="10"/>
      <c r="O672" s="6"/>
    </row>
    <row r="673" spans="1:15" x14ac:dyDescent="0.25">
      <c r="A673" s="119"/>
      <c r="B673" s="4"/>
      <c r="C673" s="4"/>
      <c r="D673" s="7"/>
      <c r="E673" s="7"/>
      <c r="F673" s="116" t="str">
        <f t="shared" ref="F673:F736" si="294">IF(ISBLANK(B673),"",IF(I673="L","Baixa",IF(I673="A","Média",IF(I673="","","Alta"))))</f>
        <v/>
      </c>
      <c r="G673" s="7" t="str">
        <f t="shared" ref="G673:G736" si="295">CONCATENATE(B673,I673)</f>
        <v/>
      </c>
      <c r="H673" s="7" t="str">
        <f t="shared" ref="H673:H736" si="296">IF(ISBLANK(B673),"",IF(B673="ALI",IF(I673="L",7,IF(I673="A",10,15)),IF(B673="AIE",IF(I673="L",5,IF(I673="A",7,10)),IF(B673="SE",IF(I673="L",4,IF(I673="A",5,7)),IF(OR(B673="EE",B673="CE"),IF(I673="L",3,IF(I673="A",4,6)),0)))))</f>
        <v/>
      </c>
      <c r="I673" s="116" t="str">
        <f t="shared" ref="I673:I736" si="297">IF(OR(ISBLANK(D673),ISBLANK(E673)),IF(OR(B673="ALI",B673="AIE"),"L",IF(OR(B673="EE",B673="SE",B673="CE"),"A","")),IF(B673="EE",IF(E673&gt;=3,IF(D673&gt;=5,"H","A"),IF(E673&gt;=2,IF(D673&gt;=16,"H",IF(D673&lt;=4,"L","A")),IF(D673&lt;=15,"L","A"))),IF(OR(B673="SE",B673="CE"),IF(E673&gt;=4,IF(D673&gt;=6,"H","A"),IF(E673&gt;=2,IF(D673&gt;=20,"H",IF(D673&lt;=5,"L","A")),IF(D673&lt;=19,"L","A"))),IF(OR(B673="ALI",B673="AIE"),IF(E673&gt;=6,IF(D673&gt;=20,"H","A"),IF(E673&gt;=2,IF(D673&gt;=51,"H",IF(D673&lt;=19,"L","A")),IF(D673&lt;=50,"L","A"))),""))))</f>
        <v/>
      </c>
      <c r="J673" s="7" t="str">
        <f t="shared" ref="J673:J736" si="298">CONCATENATE(B673,C673)</f>
        <v/>
      </c>
      <c r="K673" s="127" t="str">
        <f t="shared" si="293"/>
        <v/>
      </c>
      <c r="L673" s="127" t="str">
        <f>IF(NOT(ISERROR(VLOOKUP(B673,Deflatores!G$42:H$64,2,FALSE))),VLOOKUP(B673,Deflatores!G$42:H$64,2,FALSE),IF(OR(ISBLANK(C673),ISBLANK(B673)),"",VLOOKUP(C673,Deflatores!G$4:H$38,2,FALSE)*H673+VLOOKUP(C673,Deflatores!G$4:I$38,3,FALSE)))</f>
        <v/>
      </c>
      <c r="M673" s="10"/>
      <c r="N673" s="10"/>
      <c r="O673" s="6"/>
    </row>
    <row r="674" spans="1:15" x14ac:dyDescent="0.25">
      <c r="A674" s="119"/>
      <c r="B674" s="4"/>
      <c r="C674" s="4"/>
      <c r="D674" s="7"/>
      <c r="E674" s="7"/>
      <c r="F674" s="116" t="str">
        <f t="shared" si="294"/>
        <v/>
      </c>
      <c r="G674" s="7" t="str">
        <f t="shared" si="295"/>
        <v/>
      </c>
      <c r="H674" s="7" t="str">
        <f t="shared" si="296"/>
        <v/>
      </c>
      <c r="I674" s="116" t="str">
        <f t="shared" si="297"/>
        <v/>
      </c>
      <c r="J674" s="7" t="str">
        <f t="shared" si="298"/>
        <v/>
      </c>
      <c r="K674" s="127" t="str">
        <f t="shared" si="293"/>
        <v/>
      </c>
      <c r="L674" s="127" t="str">
        <f>IF(NOT(ISERROR(VLOOKUP(B674,Deflatores!G$42:H$64,2,FALSE))),VLOOKUP(B674,Deflatores!G$42:H$64,2,FALSE),IF(OR(ISBLANK(C674),ISBLANK(B674)),"",VLOOKUP(C674,Deflatores!G$4:H$38,2,FALSE)*H674+VLOOKUP(C674,Deflatores!G$4:I$38,3,FALSE)))</f>
        <v/>
      </c>
      <c r="M674" s="10"/>
      <c r="N674" s="10"/>
      <c r="O674" s="6"/>
    </row>
    <row r="675" spans="1:15" x14ac:dyDescent="0.25">
      <c r="A675" s="119"/>
      <c r="B675" s="4"/>
      <c r="C675" s="4"/>
      <c r="D675" s="7"/>
      <c r="E675" s="7"/>
      <c r="F675" s="116" t="str">
        <f t="shared" si="294"/>
        <v/>
      </c>
      <c r="G675" s="7" t="str">
        <f t="shared" si="295"/>
        <v/>
      </c>
      <c r="H675" s="7" t="str">
        <f t="shared" si="296"/>
        <v/>
      </c>
      <c r="I675" s="116" t="str">
        <f t="shared" si="297"/>
        <v/>
      </c>
      <c r="J675" s="7" t="str">
        <f t="shared" si="298"/>
        <v/>
      </c>
      <c r="K675" s="127" t="str">
        <f t="shared" ref="K675:K738" si="299">IF(OR(H675="",H675=0),L675,H675)</f>
        <v/>
      </c>
      <c r="L675" s="127" t="str">
        <f>IF(NOT(ISERROR(VLOOKUP(B675,Deflatores!G$42:H$64,2,FALSE))),VLOOKUP(B675,Deflatores!G$42:H$64,2,FALSE),IF(OR(ISBLANK(C675),ISBLANK(B675)),"",VLOOKUP(C675,Deflatores!G$4:H$38,2,FALSE)*H675+VLOOKUP(C675,Deflatores!G$4:I$38,3,FALSE)))</f>
        <v/>
      </c>
      <c r="M675" s="10"/>
      <c r="N675" s="10"/>
      <c r="O675" s="6"/>
    </row>
    <row r="676" spans="1:15" x14ac:dyDescent="0.25">
      <c r="A676" s="119"/>
      <c r="B676" s="4"/>
      <c r="C676" s="4"/>
      <c r="D676" s="7"/>
      <c r="E676" s="7"/>
      <c r="F676" s="116" t="str">
        <f t="shared" si="294"/>
        <v/>
      </c>
      <c r="G676" s="7" t="str">
        <f t="shared" si="295"/>
        <v/>
      </c>
      <c r="H676" s="7" t="str">
        <f t="shared" si="296"/>
        <v/>
      </c>
      <c r="I676" s="116" t="str">
        <f t="shared" si="297"/>
        <v/>
      </c>
      <c r="J676" s="7" t="str">
        <f t="shared" si="298"/>
        <v/>
      </c>
      <c r="K676" s="127" t="str">
        <f t="shared" si="299"/>
        <v/>
      </c>
      <c r="L676" s="127" t="str">
        <f>IF(NOT(ISERROR(VLOOKUP(B676,Deflatores!G$42:H$64,2,FALSE))),VLOOKUP(B676,Deflatores!G$42:H$64,2,FALSE),IF(OR(ISBLANK(C676),ISBLANK(B676)),"",VLOOKUP(C676,Deflatores!G$4:H$38,2,FALSE)*H676+VLOOKUP(C676,Deflatores!G$4:I$38,3,FALSE)))</f>
        <v/>
      </c>
      <c r="M676" s="10"/>
      <c r="N676" s="10"/>
      <c r="O676" s="6"/>
    </row>
    <row r="677" spans="1:15" x14ac:dyDescent="0.25">
      <c r="A677" s="119"/>
      <c r="B677" s="4"/>
      <c r="C677" s="4"/>
      <c r="D677" s="7"/>
      <c r="E677" s="7"/>
      <c r="F677" s="116" t="str">
        <f t="shared" si="294"/>
        <v/>
      </c>
      <c r="G677" s="7" t="str">
        <f t="shared" si="295"/>
        <v/>
      </c>
      <c r="H677" s="7" t="str">
        <f t="shared" si="296"/>
        <v/>
      </c>
      <c r="I677" s="116" t="str">
        <f t="shared" si="297"/>
        <v/>
      </c>
      <c r="J677" s="7" t="str">
        <f t="shared" si="298"/>
        <v/>
      </c>
      <c r="K677" s="127" t="str">
        <f t="shared" si="299"/>
        <v/>
      </c>
      <c r="L677" s="127" t="str">
        <f>IF(NOT(ISERROR(VLOOKUP(B677,Deflatores!G$42:H$64,2,FALSE))),VLOOKUP(B677,Deflatores!G$42:H$64,2,FALSE),IF(OR(ISBLANK(C677),ISBLANK(B677)),"",VLOOKUP(C677,Deflatores!G$4:H$38,2,FALSE)*H677+VLOOKUP(C677,Deflatores!G$4:I$38,3,FALSE)))</f>
        <v/>
      </c>
      <c r="M677" s="10"/>
      <c r="N677" s="10"/>
      <c r="O677" s="6"/>
    </row>
    <row r="678" spans="1:15" x14ac:dyDescent="0.25">
      <c r="A678" s="119"/>
      <c r="B678" s="4"/>
      <c r="C678" s="4"/>
      <c r="D678" s="7"/>
      <c r="E678" s="7"/>
      <c r="F678" s="116" t="str">
        <f t="shared" si="294"/>
        <v/>
      </c>
      <c r="G678" s="7" t="str">
        <f t="shared" si="295"/>
        <v/>
      </c>
      <c r="H678" s="7" t="str">
        <f t="shared" si="296"/>
        <v/>
      </c>
      <c r="I678" s="116" t="str">
        <f t="shared" si="297"/>
        <v/>
      </c>
      <c r="J678" s="7" t="str">
        <f t="shared" si="298"/>
        <v/>
      </c>
      <c r="K678" s="127" t="str">
        <f t="shared" si="299"/>
        <v/>
      </c>
      <c r="L678" s="127" t="str">
        <f>IF(NOT(ISERROR(VLOOKUP(B678,Deflatores!G$42:H$64,2,FALSE))),VLOOKUP(B678,Deflatores!G$42:H$64,2,FALSE),IF(OR(ISBLANK(C678),ISBLANK(B678)),"",VLOOKUP(C678,Deflatores!G$4:H$38,2,FALSE)*H678+VLOOKUP(C678,Deflatores!G$4:I$38,3,FALSE)))</f>
        <v/>
      </c>
      <c r="M678" s="10"/>
      <c r="N678" s="10"/>
      <c r="O678" s="6"/>
    </row>
    <row r="679" spans="1:15" x14ac:dyDescent="0.25">
      <c r="A679" s="119"/>
      <c r="B679" s="4"/>
      <c r="C679" s="4"/>
      <c r="D679" s="7"/>
      <c r="E679" s="7"/>
      <c r="F679" s="116" t="str">
        <f t="shared" si="294"/>
        <v/>
      </c>
      <c r="G679" s="7" t="str">
        <f t="shared" si="295"/>
        <v/>
      </c>
      <c r="H679" s="7" t="str">
        <f t="shared" si="296"/>
        <v/>
      </c>
      <c r="I679" s="116" t="str">
        <f t="shared" si="297"/>
        <v/>
      </c>
      <c r="J679" s="7" t="str">
        <f t="shared" si="298"/>
        <v/>
      </c>
      <c r="K679" s="127" t="str">
        <f t="shared" si="299"/>
        <v/>
      </c>
      <c r="L679" s="127" t="str">
        <f>IF(NOT(ISERROR(VLOOKUP(B679,Deflatores!G$42:H$64,2,FALSE))),VLOOKUP(B679,Deflatores!G$42:H$64,2,FALSE),IF(OR(ISBLANK(C679),ISBLANK(B679)),"",VLOOKUP(C679,Deflatores!G$4:H$38,2,FALSE)*H679+VLOOKUP(C679,Deflatores!G$4:I$38,3,FALSE)))</f>
        <v/>
      </c>
      <c r="M679" s="10"/>
      <c r="N679" s="10"/>
      <c r="O679" s="6"/>
    </row>
    <row r="680" spans="1:15" x14ac:dyDescent="0.25">
      <c r="A680" s="119"/>
      <c r="B680" s="4"/>
      <c r="C680" s="4"/>
      <c r="D680" s="7"/>
      <c r="E680" s="7"/>
      <c r="F680" s="116" t="str">
        <f t="shared" si="294"/>
        <v/>
      </c>
      <c r="G680" s="7" t="str">
        <f t="shared" si="295"/>
        <v/>
      </c>
      <c r="H680" s="7" t="str">
        <f t="shared" si="296"/>
        <v/>
      </c>
      <c r="I680" s="116" t="str">
        <f t="shared" si="297"/>
        <v/>
      </c>
      <c r="J680" s="7" t="str">
        <f t="shared" si="298"/>
        <v/>
      </c>
      <c r="K680" s="127" t="str">
        <f t="shared" si="299"/>
        <v/>
      </c>
      <c r="L680" s="127" t="str">
        <f>IF(NOT(ISERROR(VLOOKUP(B680,Deflatores!G$42:H$64,2,FALSE))),VLOOKUP(B680,Deflatores!G$42:H$64,2,FALSE),IF(OR(ISBLANK(C680),ISBLANK(B680)),"",VLOOKUP(C680,Deflatores!G$4:H$38,2,FALSE)*H680+VLOOKUP(C680,Deflatores!G$4:I$38,3,FALSE)))</f>
        <v/>
      </c>
      <c r="M680" s="10"/>
      <c r="N680" s="10"/>
      <c r="O680" s="6"/>
    </row>
    <row r="681" spans="1:15" x14ac:dyDescent="0.25">
      <c r="A681" s="119"/>
      <c r="B681" s="4"/>
      <c r="C681" s="4"/>
      <c r="D681" s="7"/>
      <c r="E681" s="7"/>
      <c r="F681" s="116" t="str">
        <f t="shared" si="294"/>
        <v/>
      </c>
      <c r="G681" s="7" t="str">
        <f t="shared" si="295"/>
        <v/>
      </c>
      <c r="H681" s="7" t="str">
        <f t="shared" si="296"/>
        <v/>
      </c>
      <c r="I681" s="116" t="str">
        <f t="shared" si="297"/>
        <v/>
      </c>
      <c r="J681" s="7" t="str">
        <f t="shared" si="298"/>
        <v/>
      </c>
      <c r="K681" s="127" t="str">
        <f t="shared" si="299"/>
        <v/>
      </c>
      <c r="L681" s="127" t="str">
        <f>IF(NOT(ISERROR(VLOOKUP(B681,Deflatores!G$42:H$64,2,FALSE))),VLOOKUP(B681,Deflatores!G$42:H$64,2,FALSE),IF(OR(ISBLANK(C681),ISBLANK(B681)),"",VLOOKUP(C681,Deflatores!G$4:H$38,2,FALSE)*H681+VLOOKUP(C681,Deflatores!G$4:I$38,3,FALSE)))</f>
        <v/>
      </c>
      <c r="M681" s="10"/>
      <c r="N681" s="10"/>
      <c r="O681" s="6"/>
    </row>
    <row r="682" spans="1:15" x14ac:dyDescent="0.25">
      <c r="A682" s="119"/>
      <c r="B682" s="4"/>
      <c r="C682" s="4"/>
      <c r="D682" s="7"/>
      <c r="E682" s="7"/>
      <c r="F682" s="116" t="str">
        <f t="shared" si="294"/>
        <v/>
      </c>
      <c r="G682" s="7" t="str">
        <f t="shared" si="295"/>
        <v/>
      </c>
      <c r="H682" s="7" t="str">
        <f t="shared" si="296"/>
        <v/>
      </c>
      <c r="I682" s="116" t="str">
        <f t="shared" si="297"/>
        <v/>
      </c>
      <c r="J682" s="7" t="str">
        <f t="shared" si="298"/>
        <v/>
      </c>
      <c r="K682" s="127" t="str">
        <f t="shared" si="299"/>
        <v/>
      </c>
      <c r="L682" s="127" t="str">
        <f>IF(NOT(ISERROR(VLOOKUP(B682,Deflatores!G$42:H$64,2,FALSE))),VLOOKUP(B682,Deflatores!G$42:H$64,2,FALSE),IF(OR(ISBLANK(C682),ISBLANK(B682)),"",VLOOKUP(C682,Deflatores!G$4:H$38,2,FALSE)*H682+VLOOKUP(C682,Deflatores!G$4:I$38,3,FALSE)))</f>
        <v/>
      </c>
      <c r="M682" s="10"/>
      <c r="N682" s="10"/>
      <c r="O682" s="6"/>
    </row>
    <row r="683" spans="1:15" x14ac:dyDescent="0.25">
      <c r="A683" s="119"/>
      <c r="B683" s="4"/>
      <c r="C683" s="4"/>
      <c r="D683" s="7"/>
      <c r="E683" s="7"/>
      <c r="F683" s="116" t="str">
        <f t="shared" si="294"/>
        <v/>
      </c>
      <c r="G683" s="7" t="str">
        <f t="shared" si="295"/>
        <v/>
      </c>
      <c r="H683" s="7" t="str">
        <f t="shared" si="296"/>
        <v/>
      </c>
      <c r="I683" s="116" t="str">
        <f t="shared" si="297"/>
        <v/>
      </c>
      <c r="J683" s="7" t="str">
        <f t="shared" si="298"/>
        <v/>
      </c>
      <c r="K683" s="127" t="str">
        <f t="shared" si="299"/>
        <v/>
      </c>
      <c r="L683" s="127" t="str">
        <f>IF(NOT(ISERROR(VLOOKUP(B683,Deflatores!G$42:H$64,2,FALSE))),VLOOKUP(B683,Deflatores!G$42:H$64,2,FALSE),IF(OR(ISBLANK(C683),ISBLANK(B683)),"",VLOOKUP(C683,Deflatores!G$4:H$38,2,FALSE)*H683+VLOOKUP(C683,Deflatores!G$4:I$38,3,FALSE)))</f>
        <v/>
      </c>
      <c r="M683" s="10"/>
      <c r="N683" s="10"/>
      <c r="O683" s="6"/>
    </row>
    <row r="684" spans="1:15" x14ac:dyDescent="0.25">
      <c r="A684" s="119"/>
      <c r="B684" s="4"/>
      <c r="C684" s="4"/>
      <c r="D684" s="7"/>
      <c r="E684" s="7"/>
      <c r="F684" s="116" t="str">
        <f t="shared" si="294"/>
        <v/>
      </c>
      <c r="G684" s="7" t="str">
        <f t="shared" si="295"/>
        <v/>
      </c>
      <c r="H684" s="7" t="str">
        <f t="shared" si="296"/>
        <v/>
      </c>
      <c r="I684" s="116" t="str">
        <f t="shared" si="297"/>
        <v/>
      </c>
      <c r="J684" s="7" t="str">
        <f t="shared" si="298"/>
        <v/>
      </c>
      <c r="K684" s="127" t="str">
        <f t="shared" si="299"/>
        <v/>
      </c>
      <c r="L684" s="127" t="str">
        <f>IF(NOT(ISERROR(VLOOKUP(B684,Deflatores!G$42:H$64,2,FALSE))),VLOOKUP(B684,Deflatores!G$42:H$64,2,FALSE),IF(OR(ISBLANK(C684),ISBLANK(B684)),"",VLOOKUP(C684,Deflatores!G$4:H$38,2,FALSE)*H684+VLOOKUP(C684,Deflatores!G$4:I$38,3,FALSE)))</f>
        <v/>
      </c>
      <c r="M684" s="10"/>
      <c r="N684" s="10"/>
      <c r="O684" s="6"/>
    </row>
    <row r="685" spans="1:15" x14ac:dyDescent="0.25">
      <c r="A685" s="119"/>
      <c r="B685" s="4"/>
      <c r="C685" s="4"/>
      <c r="D685" s="7"/>
      <c r="E685" s="7"/>
      <c r="F685" s="116" t="str">
        <f t="shared" si="294"/>
        <v/>
      </c>
      <c r="G685" s="7" t="str">
        <f t="shared" si="295"/>
        <v/>
      </c>
      <c r="H685" s="7" t="str">
        <f t="shared" si="296"/>
        <v/>
      </c>
      <c r="I685" s="116" t="str">
        <f t="shared" si="297"/>
        <v/>
      </c>
      <c r="J685" s="7" t="str">
        <f t="shared" si="298"/>
        <v/>
      </c>
      <c r="K685" s="127" t="str">
        <f t="shared" si="299"/>
        <v/>
      </c>
      <c r="L685" s="127" t="str">
        <f>IF(NOT(ISERROR(VLOOKUP(B685,Deflatores!G$42:H$64,2,FALSE))),VLOOKUP(B685,Deflatores!G$42:H$64,2,FALSE),IF(OR(ISBLANK(C685),ISBLANK(B685)),"",VLOOKUP(C685,Deflatores!G$4:H$38,2,FALSE)*H685+VLOOKUP(C685,Deflatores!G$4:I$38,3,FALSE)))</f>
        <v/>
      </c>
      <c r="M685" s="10"/>
      <c r="N685" s="10"/>
      <c r="O685" s="6"/>
    </row>
    <row r="686" spans="1:15" x14ac:dyDescent="0.25">
      <c r="A686" s="119"/>
      <c r="B686" s="4"/>
      <c r="C686" s="4"/>
      <c r="D686" s="7"/>
      <c r="E686" s="7"/>
      <c r="F686" s="116" t="str">
        <f t="shared" si="294"/>
        <v/>
      </c>
      <c r="G686" s="7" t="str">
        <f t="shared" si="295"/>
        <v/>
      </c>
      <c r="H686" s="7" t="str">
        <f t="shared" si="296"/>
        <v/>
      </c>
      <c r="I686" s="116" t="str">
        <f t="shared" si="297"/>
        <v/>
      </c>
      <c r="J686" s="7" t="str">
        <f t="shared" si="298"/>
        <v/>
      </c>
      <c r="K686" s="127" t="str">
        <f t="shared" si="299"/>
        <v/>
      </c>
      <c r="L686" s="127" t="str">
        <f>IF(NOT(ISERROR(VLOOKUP(B686,Deflatores!G$42:H$64,2,FALSE))),VLOOKUP(B686,Deflatores!G$42:H$64,2,FALSE),IF(OR(ISBLANK(C686),ISBLANK(B686)),"",VLOOKUP(C686,Deflatores!G$4:H$38,2,FALSE)*H686+VLOOKUP(C686,Deflatores!G$4:I$38,3,FALSE)))</f>
        <v/>
      </c>
      <c r="M686" s="10"/>
      <c r="N686" s="10"/>
      <c r="O686" s="6"/>
    </row>
    <row r="687" spans="1:15" x14ac:dyDescent="0.25">
      <c r="A687" s="119"/>
      <c r="B687" s="4"/>
      <c r="C687" s="4"/>
      <c r="D687" s="7"/>
      <c r="E687" s="7"/>
      <c r="F687" s="116" t="str">
        <f t="shared" si="294"/>
        <v/>
      </c>
      <c r="G687" s="7" t="str">
        <f t="shared" si="295"/>
        <v/>
      </c>
      <c r="H687" s="7" t="str">
        <f t="shared" si="296"/>
        <v/>
      </c>
      <c r="I687" s="116" t="str">
        <f t="shared" si="297"/>
        <v/>
      </c>
      <c r="J687" s="7" t="str">
        <f t="shared" si="298"/>
        <v/>
      </c>
      <c r="K687" s="127" t="str">
        <f t="shared" si="299"/>
        <v/>
      </c>
      <c r="L687" s="127" t="str">
        <f>IF(NOT(ISERROR(VLOOKUP(B687,Deflatores!G$42:H$64,2,FALSE))),VLOOKUP(B687,Deflatores!G$42:H$64,2,FALSE),IF(OR(ISBLANK(C687),ISBLANK(B687)),"",VLOOKUP(C687,Deflatores!G$4:H$38,2,FALSE)*H687+VLOOKUP(C687,Deflatores!G$4:I$38,3,FALSE)))</f>
        <v/>
      </c>
      <c r="M687" s="10"/>
      <c r="N687" s="10"/>
      <c r="O687" s="6"/>
    </row>
    <row r="688" spans="1:15" x14ac:dyDescent="0.25">
      <c r="A688" s="119"/>
      <c r="B688" s="4"/>
      <c r="C688" s="4"/>
      <c r="D688" s="7"/>
      <c r="E688" s="7"/>
      <c r="F688" s="116" t="str">
        <f t="shared" si="294"/>
        <v/>
      </c>
      <c r="G688" s="7" t="str">
        <f t="shared" si="295"/>
        <v/>
      </c>
      <c r="H688" s="7" t="str">
        <f t="shared" si="296"/>
        <v/>
      </c>
      <c r="I688" s="116" t="str">
        <f t="shared" si="297"/>
        <v/>
      </c>
      <c r="J688" s="7" t="str">
        <f t="shared" si="298"/>
        <v/>
      </c>
      <c r="K688" s="127" t="str">
        <f t="shared" si="299"/>
        <v/>
      </c>
      <c r="L688" s="127" t="str">
        <f>IF(NOT(ISERROR(VLOOKUP(B688,Deflatores!G$42:H$64,2,FALSE))),VLOOKUP(B688,Deflatores!G$42:H$64,2,FALSE),IF(OR(ISBLANK(C688),ISBLANK(B688)),"",VLOOKUP(C688,Deflatores!G$4:H$38,2,FALSE)*H688+VLOOKUP(C688,Deflatores!G$4:I$38,3,FALSE)))</f>
        <v/>
      </c>
      <c r="M688" s="10"/>
      <c r="N688" s="10"/>
      <c r="O688" s="6"/>
    </row>
    <row r="689" spans="1:15" x14ac:dyDescent="0.25">
      <c r="A689" s="119"/>
      <c r="B689" s="4"/>
      <c r="C689" s="4"/>
      <c r="D689" s="7"/>
      <c r="E689" s="7"/>
      <c r="F689" s="116" t="str">
        <f t="shared" si="294"/>
        <v/>
      </c>
      <c r="G689" s="7" t="str">
        <f t="shared" si="295"/>
        <v/>
      </c>
      <c r="H689" s="7" t="str">
        <f t="shared" si="296"/>
        <v/>
      </c>
      <c r="I689" s="116" t="str">
        <f t="shared" si="297"/>
        <v/>
      </c>
      <c r="J689" s="7" t="str">
        <f t="shared" si="298"/>
        <v/>
      </c>
      <c r="K689" s="127" t="str">
        <f t="shared" si="299"/>
        <v/>
      </c>
      <c r="L689" s="127" t="str">
        <f>IF(NOT(ISERROR(VLOOKUP(B689,Deflatores!G$42:H$64,2,FALSE))),VLOOKUP(B689,Deflatores!G$42:H$64,2,FALSE),IF(OR(ISBLANK(C689),ISBLANK(B689)),"",VLOOKUP(C689,Deflatores!G$4:H$38,2,FALSE)*H689+VLOOKUP(C689,Deflatores!G$4:I$38,3,FALSE)))</f>
        <v/>
      </c>
      <c r="M689" s="10"/>
      <c r="N689" s="10"/>
      <c r="O689" s="6"/>
    </row>
    <row r="690" spans="1:15" x14ac:dyDescent="0.25">
      <c r="A690" s="119"/>
      <c r="B690" s="4"/>
      <c r="C690" s="4"/>
      <c r="D690" s="7"/>
      <c r="E690" s="7"/>
      <c r="F690" s="116" t="str">
        <f t="shared" si="294"/>
        <v/>
      </c>
      <c r="G690" s="7" t="str">
        <f t="shared" si="295"/>
        <v/>
      </c>
      <c r="H690" s="7" t="str">
        <f t="shared" si="296"/>
        <v/>
      </c>
      <c r="I690" s="116" t="str">
        <f t="shared" si="297"/>
        <v/>
      </c>
      <c r="J690" s="7" t="str">
        <f t="shared" si="298"/>
        <v/>
      </c>
      <c r="K690" s="127" t="str">
        <f t="shared" si="299"/>
        <v/>
      </c>
      <c r="L690" s="127" t="str">
        <f>IF(NOT(ISERROR(VLOOKUP(B690,Deflatores!G$42:H$64,2,FALSE))),VLOOKUP(B690,Deflatores!G$42:H$64,2,FALSE),IF(OR(ISBLANK(C690),ISBLANK(B690)),"",VLOOKUP(C690,Deflatores!G$4:H$38,2,FALSE)*H690+VLOOKUP(C690,Deflatores!G$4:I$38,3,FALSE)))</f>
        <v/>
      </c>
      <c r="M690" s="10"/>
      <c r="N690" s="10"/>
      <c r="O690" s="6"/>
    </row>
    <row r="691" spans="1:15" x14ac:dyDescent="0.25">
      <c r="A691" s="119"/>
      <c r="B691" s="4"/>
      <c r="C691" s="4"/>
      <c r="D691" s="7"/>
      <c r="E691" s="7"/>
      <c r="F691" s="116" t="str">
        <f t="shared" si="294"/>
        <v/>
      </c>
      <c r="G691" s="7" t="str">
        <f t="shared" si="295"/>
        <v/>
      </c>
      <c r="H691" s="7" t="str">
        <f t="shared" si="296"/>
        <v/>
      </c>
      <c r="I691" s="116" t="str">
        <f t="shared" si="297"/>
        <v/>
      </c>
      <c r="J691" s="7" t="str">
        <f t="shared" si="298"/>
        <v/>
      </c>
      <c r="K691" s="127" t="str">
        <f t="shared" si="299"/>
        <v/>
      </c>
      <c r="L691" s="127" t="str">
        <f>IF(NOT(ISERROR(VLOOKUP(B691,Deflatores!G$42:H$64,2,FALSE))),VLOOKUP(B691,Deflatores!G$42:H$64,2,FALSE),IF(OR(ISBLANK(C691),ISBLANK(B691)),"",VLOOKUP(C691,Deflatores!G$4:H$38,2,FALSE)*H691+VLOOKUP(C691,Deflatores!G$4:I$38,3,FALSE)))</f>
        <v/>
      </c>
      <c r="M691" s="10"/>
      <c r="N691" s="10"/>
      <c r="O691" s="6"/>
    </row>
    <row r="692" spans="1:15" x14ac:dyDescent="0.25">
      <c r="A692" s="119"/>
      <c r="B692" s="4"/>
      <c r="C692" s="4"/>
      <c r="D692" s="7"/>
      <c r="E692" s="7"/>
      <c r="F692" s="116" t="str">
        <f t="shared" si="294"/>
        <v/>
      </c>
      <c r="G692" s="7" t="str">
        <f t="shared" si="295"/>
        <v/>
      </c>
      <c r="H692" s="7" t="str">
        <f t="shared" si="296"/>
        <v/>
      </c>
      <c r="I692" s="116" t="str">
        <f t="shared" si="297"/>
        <v/>
      </c>
      <c r="J692" s="7" t="str">
        <f t="shared" si="298"/>
        <v/>
      </c>
      <c r="K692" s="127" t="str">
        <f t="shared" si="299"/>
        <v/>
      </c>
      <c r="L692" s="127" t="str">
        <f>IF(NOT(ISERROR(VLOOKUP(B692,Deflatores!G$42:H$64,2,FALSE))),VLOOKUP(B692,Deflatores!G$42:H$64,2,FALSE),IF(OR(ISBLANK(C692),ISBLANK(B692)),"",VLOOKUP(C692,Deflatores!G$4:H$38,2,FALSE)*H692+VLOOKUP(C692,Deflatores!G$4:I$38,3,FALSE)))</f>
        <v/>
      </c>
      <c r="M692" s="10"/>
      <c r="N692" s="10"/>
      <c r="O692" s="6"/>
    </row>
    <row r="693" spans="1:15" x14ac:dyDescent="0.25">
      <c r="A693" s="119"/>
      <c r="B693" s="4"/>
      <c r="C693" s="4"/>
      <c r="D693" s="7"/>
      <c r="E693" s="7"/>
      <c r="F693" s="116" t="str">
        <f t="shared" si="294"/>
        <v/>
      </c>
      <c r="G693" s="7" t="str">
        <f t="shared" si="295"/>
        <v/>
      </c>
      <c r="H693" s="7" t="str">
        <f t="shared" si="296"/>
        <v/>
      </c>
      <c r="I693" s="116" t="str">
        <f t="shared" si="297"/>
        <v/>
      </c>
      <c r="J693" s="7" t="str">
        <f t="shared" si="298"/>
        <v/>
      </c>
      <c r="K693" s="127" t="str">
        <f t="shared" si="299"/>
        <v/>
      </c>
      <c r="L693" s="127" t="str">
        <f>IF(NOT(ISERROR(VLOOKUP(B693,Deflatores!G$42:H$64,2,FALSE))),VLOOKUP(B693,Deflatores!G$42:H$64,2,FALSE),IF(OR(ISBLANK(C693),ISBLANK(B693)),"",VLOOKUP(C693,Deflatores!G$4:H$38,2,FALSE)*H693+VLOOKUP(C693,Deflatores!G$4:I$38,3,FALSE)))</f>
        <v/>
      </c>
      <c r="M693" s="10"/>
      <c r="N693" s="10"/>
      <c r="O693" s="6"/>
    </row>
    <row r="694" spans="1:15" x14ac:dyDescent="0.25">
      <c r="A694" s="119"/>
      <c r="B694" s="4"/>
      <c r="C694" s="4"/>
      <c r="D694" s="7"/>
      <c r="E694" s="7"/>
      <c r="F694" s="116" t="str">
        <f t="shared" si="294"/>
        <v/>
      </c>
      <c r="G694" s="7" t="str">
        <f t="shared" si="295"/>
        <v/>
      </c>
      <c r="H694" s="7" t="str">
        <f t="shared" si="296"/>
        <v/>
      </c>
      <c r="I694" s="116" t="str">
        <f t="shared" si="297"/>
        <v/>
      </c>
      <c r="J694" s="7" t="str">
        <f t="shared" si="298"/>
        <v/>
      </c>
      <c r="K694" s="127" t="str">
        <f t="shared" si="299"/>
        <v/>
      </c>
      <c r="L694" s="127" t="str">
        <f>IF(NOT(ISERROR(VLOOKUP(B694,Deflatores!G$42:H$64,2,FALSE))),VLOOKUP(B694,Deflatores!G$42:H$64,2,FALSE),IF(OR(ISBLANK(C694),ISBLANK(B694)),"",VLOOKUP(C694,Deflatores!G$4:H$38,2,FALSE)*H694+VLOOKUP(C694,Deflatores!G$4:I$38,3,FALSE)))</f>
        <v/>
      </c>
      <c r="M694" s="10"/>
      <c r="N694" s="10"/>
      <c r="O694" s="6"/>
    </row>
    <row r="695" spans="1:15" x14ac:dyDescent="0.25">
      <c r="A695" s="119"/>
      <c r="B695" s="4"/>
      <c r="C695" s="4"/>
      <c r="D695" s="7"/>
      <c r="E695" s="7"/>
      <c r="F695" s="116" t="str">
        <f t="shared" si="294"/>
        <v/>
      </c>
      <c r="G695" s="7" t="str">
        <f t="shared" si="295"/>
        <v/>
      </c>
      <c r="H695" s="7" t="str">
        <f t="shared" si="296"/>
        <v/>
      </c>
      <c r="I695" s="116" t="str">
        <f t="shared" si="297"/>
        <v/>
      </c>
      <c r="J695" s="7" t="str">
        <f t="shared" si="298"/>
        <v/>
      </c>
      <c r="K695" s="127" t="str">
        <f t="shared" si="299"/>
        <v/>
      </c>
      <c r="L695" s="127" t="str">
        <f>IF(NOT(ISERROR(VLOOKUP(B695,Deflatores!G$42:H$64,2,FALSE))),VLOOKUP(B695,Deflatores!G$42:H$64,2,FALSE),IF(OR(ISBLANK(C695),ISBLANK(B695)),"",VLOOKUP(C695,Deflatores!G$4:H$38,2,FALSE)*H695+VLOOKUP(C695,Deflatores!G$4:I$38,3,FALSE)))</f>
        <v/>
      </c>
      <c r="M695" s="10"/>
      <c r="N695" s="10"/>
      <c r="O695" s="6"/>
    </row>
    <row r="696" spans="1:15" x14ac:dyDescent="0.25">
      <c r="A696" s="119"/>
      <c r="B696" s="4"/>
      <c r="C696" s="4"/>
      <c r="D696" s="7"/>
      <c r="E696" s="7"/>
      <c r="F696" s="116" t="str">
        <f t="shared" si="294"/>
        <v/>
      </c>
      <c r="G696" s="7" t="str">
        <f t="shared" si="295"/>
        <v/>
      </c>
      <c r="H696" s="7" t="str">
        <f t="shared" si="296"/>
        <v/>
      </c>
      <c r="I696" s="116" t="str">
        <f t="shared" si="297"/>
        <v/>
      </c>
      <c r="J696" s="7" t="str">
        <f t="shared" si="298"/>
        <v/>
      </c>
      <c r="K696" s="127" t="str">
        <f t="shared" si="299"/>
        <v/>
      </c>
      <c r="L696" s="127" t="str">
        <f>IF(NOT(ISERROR(VLOOKUP(B696,Deflatores!G$42:H$64,2,FALSE))),VLOOKUP(B696,Deflatores!G$42:H$64,2,FALSE),IF(OR(ISBLANK(C696),ISBLANK(B696)),"",VLOOKUP(C696,Deflatores!G$4:H$38,2,FALSE)*H696+VLOOKUP(C696,Deflatores!G$4:I$38,3,FALSE)))</f>
        <v/>
      </c>
      <c r="M696" s="10"/>
      <c r="N696" s="10"/>
      <c r="O696" s="6"/>
    </row>
    <row r="697" spans="1:15" x14ac:dyDescent="0.25">
      <c r="A697" s="119"/>
      <c r="B697" s="4"/>
      <c r="C697" s="4"/>
      <c r="D697" s="7"/>
      <c r="E697" s="7"/>
      <c r="F697" s="116" t="str">
        <f t="shared" si="294"/>
        <v/>
      </c>
      <c r="G697" s="7" t="str">
        <f t="shared" si="295"/>
        <v/>
      </c>
      <c r="H697" s="7" t="str">
        <f t="shared" si="296"/>
        <v/>
      </c>
      <c r="I697" s="116" t="str">
        <f t="shared" si="297"/>
        <v/>
      </c>
      <c r="J697" s="7" t="str">
        <f t="shared" si="298"/>
        <v/>
      </c>
      <c r="K697" s="127" t="str">
        <f t="shared" si="299"/>
        <v/>
      </c>
      <c r="L697" s="127" t="str">
        <f>IF(NOT(ISERROR(VLOOKUP(B697,Deflatores!G$42:H$64,2,FALSE))),VLOOKUP(B697,Deflatores!G$42:H$64,2,FALSE),IF(OR(ISBLANK(C697),ISBLANK(B697)),"",VLOOKUP(C697,Deflatores!G$4:H$38,2,FALSE)*H697+VLOOKUP(C697,Deflatores!G$4:I$38,3,FALSE)))</f>
        <v/>
      </c>
      <c r="M697" s="10"/>
      <c r="N697" s="10"/>
      <c r="O697" s="6"/>
    </row>
    <row r="698" spans="1:15" x14ac:dyDescent="0.25">
      <c r="A698" s="119"/>
      <c r="B698" s="4"/>
      <c r="C698" s="4"/>
      <c r="D698" s="7"/>
      <c r="E698" s="7"/>
      <c r="F698" s="116" t="str">
        <f t="shared" si="294"/>
        <v/>
      </c>
      <c r="G698" s="7" t="str">
        <f t="shared" si="295"/>
        <v/>
      </c>
      <c r="H698" s="7" t="str">
        <f t="shared" si="296"/>
        <v/>
      </c>
      <c r="I698" s="116" t="str">
        <f t="shared" si="297"/>
        <v/>
      </c>
      <c r="J698" s="7" t="str">
        <f t="shared" si="298"/>
        <v/>
      </c>
      <c r="K698" s="127" t="str">
        <f t="shared" si="299"/>
        <v/>
      </c>
      <c r="L698" s="127" t="str">
        <f>IF(NOT(ISERROR(VLOOKUP(B698,Deflatores!G$42:H$64,2,FALSE))),VLOOKUP(B698,Deflatores!G$42:H$64,2,FALSE),IF(OR(ISBLANK(C698),ISBLANK(B698)),"",VLOOKUP(C698,Deflatores!G$4:H$38,2,FALSE)*H698+VLOOKUP(C698,Deflatores!G$4:I$38,3,FALSE)))</f>
        <v/>
      </c>
      <c r="M698" s="10"/>
      <c r="N698" s="10"/>
      <c r="O698" s="6"/>
    </row>
    <row r="699" spans="1:15" x14ac:dyDescent="0.25">
      <c r="A699" s="119"/>
      <c r="B699" s="4"/>
      <c r="C699" s="4"/>
      <c r="D699" s="7"/>
      <c r="E699" s="7"/>
      <c r="F699" s="116" t="str">
        <f t="shared" si="294"/>
        <v/>
      </c>
      <c r="G699" s="7" t="str">
        <f t="shared" si="295"/>
        <v/>
      </c>
      <c r="H699" s="7" t="str">
        <f t="shared" si="296"/>
        <v/>
      </c>
      <c r="I699" s="116" t="str">
        <f t="shared" si="297"/>
        <v/>
      </c>
      <c r="J699" s="7" t="str">
        <f t="shared" si="298"/>
        <v/>
      </c>
      <c r="K699" s="127" t="str">
        <f t="shared" si="299"/>
        <v/>
      </c>
      <c r="L699" s="127" t="str">
        <f>IF(NOT(ISERROR(VLOOKUP(B699,Deflatores!G$42:H$64,2,FALSE))),VLOOKUP(B699,Deflatores!G$42:H$64,2,FALSE),IF(OR(ISBLANK(C699),ISBLANK(B699)),"",VLOOKUP(C699,Deflatores!G$4:H$38,2,FALSE)*H699+VLOOKUP(C699,Deflatores!G$4:I$38,3,FALSE)))</f>
        <v/>
      </c>
      <c r="M699" s="10"/>
      <c r="N699" s="10"/>
      <c r="O699" s="6"/>
    </row>
    <row r="700" spans="1:15" x14ac:dyDescent="0.25">
      <c r="A700" s="119"/>
      <c r="B700" s="4"/>
      <c r="C700" s="4"/>
      <c r="D700" s="7"/>
      <c r="E700" s="7"/>
      <c r="F700" s="116" t="str">
        <f t="shared" si="294"/>
        <v/>
      </c>
      <c r="G700" s="7" t="str">
        <f t="shared" si="295"/>
        <v/>
      </c>
      <c r="H700" s="7" t="str">
        <f t="shared" si="296"/>
        <v/>
      </c>
      <c r="I700" s="116" t="str">
        <f t="shared" si="297"/>
        <v/>
      </c>
      <c r="J700" s="7" t="str">
        <f t="shared" si="298"/>
        <v/>
      </c>
      <c r="K700" s="127" t="str">
        <f t="shared" si="299"/>
        <v/>
      </c>
      <c r="L700" s="127" t="str">
        <f>IF(NOT(ISERROR(VLOOKUP(B700,Deflatores!G$42:H$64,2,FALSE))),VLOOKUP(B700,Deflatores!G$42:H$64,2,FALSE),IF(OR(ISBLANK(C700),ISBLANK(B700)),"",VLOOKUP(C700,Deflatores!G$4:H$38,2,FALSE)*H700+VLOOKUP(C700,Deflatores!G$4:I$38,3,FALSE)))</f>
        <v/>
      </c>
      <c r="M700" s="10"/>
      <c r="N700" s="10"/>
      <c r="O700" s="6"/>
    </row>
    <row r="701" spans="1:15" x14ac:dyDescent="0.25">
      <c r="A701" s="119"/>
      <c r="B701" s="4"/>
      <c r="C701" s="4"/>
      <c r="D701" s="7"/>
      <c r="E701" s="7"/>
      <c r="F701" s="116" t="str">
        <f t="shared" si="294"/>
        <v/>
      </c>
      <c r="G701" s="7" t="str">
        <f t="shared" si="295"/>
        <v/>
      </c>
      <c r="H701" s="7" t="str">
        <f t="shared" si="296"/>
        <v/>
      </c>
      <c r="I701" s="116" t="str">
        <f t="shared" si="297"/>
        <v/>
      </c>
      <c r="J701" s="7" t="str">
        <f t="shared" si="298"/>
        <v/>
      </c>
      <c r="K701" s="127" t="str">
        <f t="shared" si="299"/>
        <v/>
      </c>
      <c r="L701" s="127" t="str">
        <f>IF(NOT(ISERROR(VLOOKUP(B701,Deflatores!G$42:H$64,2,FALSE))),VLOOKUP(B701,Deflatores!G$42:H$64,2,FALSE),IF(OR(ISBLANK(C701),ISBLANK(B701)),"",VLOOKUP(C701,Deflatores!G$4:H$38,2,FALSE)*H701+VLOOKUP(C701,Deflatores!G$4:I$38,3,FALSE)))</f>
        <v/>
      </c>
      <c r="M701" s="10"/>
      <c r="N701" s="10"/>
      <c r="O701" s="6"/>
    </row>
    <row r="702" spans="1:15" x14ac:dyDescent="0.25">
      <c r="A702" s="119"/>
      <c r="B702" s="4"/>
      <c r="C702" s="4"/>
      <c r="D702" s="7"/>
      <c r="E702" s="7"/>
      <c r="F702" s="116" t="str">
        <f t="shared" si="294"/>
        <v/>
      </c>
      <c r="G702" s="7" t="str">
        <f t="shared" si="295"/>
        <v/>
      </c>
      <c r="H702" s="7" t="str">
        <f t="shared" si="296"/>
        <v/>
      </c>
      <c r="I702" s="116" t="str">
        <f t="shared" si="297"/>
        <v/>
      </c>
      <c r="J702" s="7" t="str">
        <f t="shared" si="298"/>
        <v/>
      </c>
      <c r="K702" s="127" t="str">
        <f t="shared" si="299"/>
        <v/>
      </c>
      <c r="L702" s="127" t="str">
        <f>IF(NOT(ISERROR(VLOOKUP(B702,Deflatores!G$42:H$64,2,FALSE))),VLOOKUP(B702,Deflatores!G$42:H$64,2,FALSE),IF(OR(ISBLANK(C702),ISBLANK(B702)),"",VLOOKUP(C702,Deflatores!G$4:H$38,2,FALSE)*H702+VLOOKUP(C702,Deflatores!G$4:I$38,3,FALSE)))</f>
        <v/>
      </c>
      <c r="M702" s="10"/>
      <c r="N702" s="10"/>
      <c r="O702" s="6"/>
    </row>
    <row r="703" spans="1:15" x14ac:dyDescent="0.25">
      <c r="A703" s="119"/>
      <c r="B703" s="4"/>
      <c r="C703" s="4"/>
      <c r="D703" s="7"/>
      <c r="E703" s="7"/>
      <c r="F703" s="116" t="str">
        <f t="shared" si="294"/>
        <v/>
      </c>
      <c r="G703" s="7" t="str">
        <f t="shared" si="295"/>
        <v/>
      </c>
      <c r="H703" s="7" t="str">
        <f t="shared" si="296"/>
        <v/>
      </c>
      <c r="I703" s="116" t="str">
        <f t="shared" si="297"/>
        <v/>
      </c>
      <c r="J703" s="7" t="str">
        <f t="shared" si="298"/>
        <v/>
      </c>
      <c r="K703" s="127" t="str">
        <f t="shared" si="299"/>
        <v/>
      </c>
      <c r="L703" s="127" t="str">
        <f>IF(NOT(ISERROR(VLOOKUP(B703,Deflatores!G$42:H$64,2,FALSE))),VLOOKUP(B703,Deflatores!G$42:H$64,2,FALSE),IF(OR(ISBLANK(C703),ISBLANK(B703)),"",VLOOKUP(C703,Deflatores!G$4:H$38,2,FALSE)*H703+VLOOKUP(C703,Deflatores!G$4:I$38,3,FALSE)))</f>
        <v/>
      </c>
      <c r="M703" s="10"/>
      <c r="N703" s="10"/>
      <c r="O703" s="6"/>
    </row>
    <row r="704" spans="1:15" x14ac:dyDescent="0.25">
      <c r="A704" s="119"/>
      <c r="B704" s="4"/>
      <c r="C704" s="4"/>
      <c r="D704" s="7"/>
      <c r="E704" s="7"/>
      <c r="F704" s="116" t="str">
        <f t="shared" si="294"/>
        <v/>
      </c>
      <c r="G704" s="7" t="str">
        <f t="shared" si="295"/>
        <v/>
      </c>
      <c r="H704" s="7" t="str">
        <f t="shared" si="296"/>
        <v/>
      </c>
      <c r="I704" s="116" t="str">
        <f t="shared" si="297"/>
        <v/>
      </c>
      <c r="J704" s="7" t="str">
        <f t="shared" si="298"/>
        <v/>
      </c>
      <c r="K704" s="127" t="str">
        <f t="shared" si="299"/>
        <v/>
      </c>
      <c r="L704" s="127" t="str">
        <f>IF(NOT(ISERROR(VLOOKUP(B704,Deflatores!G$42:H$64,2,FALSE))),VLOOKUP(B704,Deflatores!G$42:H$64,2,FALSE),IF(OR(ISBLANK(C704),ISBLANK(B704)),"",VLOOKUP(C704,Deflatores!G$4:H$38,2,FALSE)*H704+VLOOKUP(C704,Deflatores!G$4:I$38,3,FALSE)))</f>
        <v/>
      </c>
      <c r="M704" s="10"/>
      <c r="N704" s="10"/>
      <c r="O704" s="6"/>
    </row>
    <row r="705" spans="1:15" x14ac:dyDescent="0.25">
      <c r="A705" s="119"/>
      <c r="B705" s="4"/>
      <c r="C705" s="4"/>
      <c r="D705" s="7"/>
      <c r="E705" s="7"/>
      <c r="F705" s="116" t="str">
        <f t="shared" si="294"/>
        <v/>
      </c>
      <c r="G705" s="7" t="str">
        <f t="shared" si="295"/>
        <v/>
      </c>
      <c r="H705" s="7" t="str">
        <f t="shared" si="296"/>
        <v/>
      </c>
      <c r="I705" s="116" t="str">
        <f t="shared" si="297"/>
        <v/>
      </c>
      <c r="J705" s="7" t="str">
        <f t="shared" si="298"/>
        <v/>
      </c>
      <c r="K705" s="127" t="str">
        <f t="shared" si="299"/>
        <v/>
      </c>
      <c r="L705" s="127" t="str">
        <f>IF(NOT(ISERROR(VLOOKUP(B705,Deflatores!G$42:H$64,2,FALSE))),VLOOKUP(B705,Deflatores!G$42:H$64,2,FALSE),IF(OR(ISBLANK(C705),ISBLANK(B705)),"",VLOOKUP(C705,Deflatores!G$4:H$38,2,FALSE)*H705+VLOOKUP(C705,Deflatores!G$4:I$38,3,FALSE)))</f>
        <v/>
      </c>
      <c r="M705" s="10"/>
      <c r="N705" s="10"/>
      <c r="O705" s="6"/>
    </row>
    <row r="706" spans="1:15" x14ac:dyDescent="0.25">
      <c r="A706" s="119"/>
      <c r="B706" s="4"/>
      <c r="C706" s="4"/>
      <c r="D706" s="7"/>
      <c r="E706" s="7"/>
      <c r="F706" s="116" t="str">
        <f t="shared" si="294"/>
        <v/>
      </c>
      <c r="G706" s="7" t="str">
        <f t="shared" si="295"/>
        <v/>
      </c>
      <c r="H706" s="7" t="str">
        <f t="shared" si="296"/>
        <v/>
      </c>
      <c r="I706" s="116" t="str">
        <f t="shared" si="297"/>
        <v/>
      </c>
      <c r="J706" s="7" t="str">
        <f t="shared" si="298"/>
        <v/>
      </c>
      <c r="K706" s="127" t="str">
        <f t="shared" si="299"/>
        <v/>
      </c>
      <c r="L706" s="127" t="str">
        <f>IF(NOT(ISERROR(VLOOKUP(B706,Deflatores!G$42:H$64,2,FALSE))),VLOOKUP(B706,Deflatores!G$42:H$64,2,FALSE),IF(OR(ISBLANK(C706),ISBLANK(B706)),"",VLOOKUP(C706,Deflatores!G$4:H$38,2,FALSE)*H706+VLOOKUP(C706,Deflatores!G$4:I$38,3,FALSE)))</f>
        <v/>
      </c>
      <c r="M706" s="10"/>
      <c r="N706" s="10"/>
      <c r="O706" s="6"/>
    </row>
    <row r="707" spans="1:15" x14ac:dyDescent="0.25">
      <c r="A707" s="119"/>
      <c r="B707" s="4"/>
      <c r="C707" s="4"/>
      <c r="D707" s="7"/>
      <c r="E707" s="7"/>
      <c r="F707" s="116" t="str">
        <f t="shared" si="294"/>
        <v/>
      </c>
      <c r="G707" s="7" t="str">
        <f t="shared" si="295"/>
        <v/>
      </c>
      <c r="H707" s="7" t="str">
        <f t="shared" si="296"/>
        <v/>
      </c>
      <c r="I707" s="116" t="str">
        <f t="shared" si="297"/>
        <v/>
      </c>
      <c r="J707" s="7" t="str">
        <f t="shared" si="298"/>
        <v/>
      </c>
      <c r="K707" s="127" t="str">
        <f t="shared" si="299"/>
        <v/>
      </c>
      <c r="L707" s="127" t="str">
        <f>IF(NOT(ISERROR(VLOOKUP(B707,Deflatores!G$42:H$64,2,FALSE))),VLOOKUP(B707,Deflatores!G$42:H$64,2,FALSE),IF(OR(ISBLANK(C707),ISBLANK(B707)),"",VLOOKUP(C707,Deflatores!G$4:H$38,2,FALSE)*H707+VLOOKUP(C707,Deflatores!G$4:I$38,3,FALSE)))</f>
        <v/>
      </c>
      <c r="M707" s="10"/>
      <c r="N707" s="10"/>
      <c r="O707" s="6"/>
    </row>
    <row r="708" spans="1:15" x14ac:dyDescent="0.25">
      <c r="A708" s="119"/>
      <c r="B708" s="4"/>
      <c r="C708" s="4"/>
      <c r="D708" s="7"/>
      <c r="E708" s="7"/>
      <c r="F708" s="116" t="str">
        <f t="shared" si="294"/>
        <v/>
      </c>
      <c r="G708" s="7" t="str">
        <f t="shared" si="295"/>
        <v/>
      </c>
      <c r="H708" s="7" t="str">
        <f t="shared" si="296"/>
        <v/>
      </c>
      <c r="I708" s="116" t="str">
        <f t="shared" si="297"/>
        <v/>
      </c>
      <c r="J708" s="7" t="str">
        <f t="shared" si="298"/>
        <v/>
      </c>
      <c r="K708" s="127" t="str">
        <f t="shared" si="299"/>
        <v/>
      </c>
      <c r="L708" s="127" t="str">
        <f>IF(NOT(ISERROR(VLOOKUP(B708,Deflatores!G$42:H$64,2,FALSE))),VLOOKUP(B708,Deflatores!G$42:H$64,2,FALSE),IF(OR(ISBLANK(C708),ISBLANK(B708)),"",VLOOKUP(C708,Deflatores!G$4:H$38,2,FALSE)*H708+VLOOKUP(C708,Deflatores!G$4:I$38,3,FALSE)))</f>
        <v/>
      </c>
      <c r="M708" s="10"/>
      <c r="N708" s="10"/>
      <c r="O708" s="6"/>
    </row>
    <row r="709" spans="1:15" x14ac:dyDescent="0.25">
      <c r="A709" s="119"/>
      <c r="B709" s="4"/>
      <c r="C709" s="4"/>
      <c r="D709" s="7"/>
      <c r="E709" s="7"/>
      <c r="F709" s="116" t="str">
        <f t="shared" si="294"/>
        <v/>
      </c>
      <c r="G709" s="7" t="str">
        <f t="shared" si="295"/>
        <v/>
      </c>
      <c r="H709" s="7" t="str">
        <f t="shared" si="296"/>
        <v/>
      </c>
      <c r="I709" s="116" t="str">
        <f t="shared" si="297"/>
        <v/>
      </c>
      <c r="J709" s="7" t="str">
        <f t="shared" si="298"/>
        <v/>
      </c>
      <c r="K709" s="127" t="str">
        <f t="shared" si="299"/>
        <v/>
      </c>
      <c r="L709" s="127" t="str">
        <f>IF(NOT(ISERROR(VLOOKUP(B709,Deflatores!G$42:H$64,2,FALSE))),VLOOKUP(B709,Deflatores!G$42:H$64,2,FALSE),IF(OR(ISBLANK(C709),ISBLANK(B709)),"",VLOOKUP(C709,Deflatores!G$4:H$38,2,FALSE)*H709+VLOOKUP(C709,Deflatores!G$4:I$38,3,FALSE)))</f>
        <v/>
      </c>
      <c r="M709" s="10"/>
      <c r="N709" s="10"/>
      <c r="O709" s="6"/>
    </row>
    <row r="710" spans="1:15" x14ac:dyDescent="0.25">
      <c r="A710" s="119"/>
      <c r="B710" s="4"/>
      <c r="C710" s="4"/>
      <c r="D710" s="7"/>
      <c r="E710" s="7"/>
      <c r="F710" s="116" t="str">
        <f t="shared" si="294"/>
        <v/>
      </c>
      <c r="G710" s="7" t="str">
        <f t="shared" si="295"/>
        <v/>
      </c>
      <c r="H710" s="7" t="str">
        <f t="shared" si="296"/>
        <v/>
      </c>
      <c r="I710" s="116" t="str">
        <f t="shared" si="297"/>
        <v/>
      </c>
      <c r="J710" s="7" t="str">
        <f t="shared" si="298"/>
        <v/>
      </c>
      <c r="K710" s="127" t="str">
        <f t="shared" si="299"/>
        <v/>
      </c>
      <c r="L710" s="127" t="str">
        <f>IF(NOT(ISERROR(VLOOKUP(B710,Deflatores!G$42:H$64,2,FALSE))),VLOOKUP(B710,Deflatores!G$42:H$64,2,FALSE),IF(OR(ISBLANK(C710),ISBLANK(B710)),"",VLOOKUP(C710,Deflatores!G$4:H$38,2,FALSE)*H710+VLOOKUP(C710,Deflatores!G$4:I$38,3,FALSE)))</f>
        <v/>
      </c>
      <c r="M710" s="10"/>
      <c r="N710" s="10"/>
      <c r="O710" s="6"/>
    </row>
    <row r="711" spans="1:15" x14ac:dyDescent="0.25">
      <c r="A711" s="119"/>
      <c r="B711" s="4"/>
      <c r="C711" s="4"/>
      <c r="D711" s="7"/>
      <c r="E711" s="7"/>
      <c r="F711" s="116" t="str">
        <f t="shared" si="294"/>
        <v/>
      </c>
      <c r="G711" s="7" t="str">
        <f t="shared" si="295"/>
        <v/>
      </c>
      <c r="H711" s="7" t="str">
        <f t="shared" si="296"/>
        <v/>
      </c>
      <c r="I711" s="116" t="str">
        <f t="shared" si="297"/>
        <v/>
      </c>
      <c r="J711" s="7" t="str">
        <f t="shared" si="298"/>
        <v/>
      </c>
      <c r="K711" s="127" t="str">
        <f t="shared" si="299"/>
        <v/>
      </c>
      <c r="L711" s="127" t="str">
        <f>IF(NOT(ISERROR(VLOOKUP(B711,Deflatores!G$42:H$64,2,FALSE))),VLOOKUP(B711,Deflatores!G$42:H$64,2,FALSE),IF(OR(ISBLANK(C711),ISBLANK(B711)),"",VLOOKUP(C711,Deflatores!G$4:H$38,2,FALSE)*H711+VLOOKUP(C711,Deflatores!G$4:I$38,3,FALSE)))</f>
        <v/>
      </c>
      <c r="M711" s="10"/>
      <c r="N711" s="10"/>
      <c r="O711" s="6"/>
    </row>
    <row r="712" spans="1:15" x14ac:dyDescent="0.25">
      <c r="A712" s="119"/>
      <c r="B712" s="4"/>
      <c r="C712" s="4"/>
      <c r="D712" s="7"/>
      <c r="E712" s="7"/>
      <c r="F712" s="116" t="str">
        <f t="shared" si="294"/>
        <v/>
      </c>
      <c r="G712" s="7" t="str">
        <f t="shared" si="295"/>
        <v/>
      </c>
      <c r="H712" s="7" t="str">
        <f t="shared" si="296"/>
        <v/>
      </c>
      <c r="I712" s="116" t="str">
        <f t="shared" si="297"/>
        <v/>
      </c>
      <c r="J712" s="7" t="str">
        <f t="shared" si="298"/>
        <v/>
      </c>
      <c r="K712" s="127" t="str">
        <f t="shared" si="299"/>
        <v/>
      </c>
      <c r="L712" s="127" t="str">
        <f>IF(NOT(ISERROR(VLOOKUP(B712,Deflatores!G$42:H$64,2,FALSE))),VLOOKUP(B712,Deflatores!G$42:H$64,2,FALSE),IF(OR(ISBLANK(C712),ISBLANK(B712)),"",VLOOKUP(C712,Deflatores!G$4:H$38,2,FALSE)*H712+VLOOKUP(C712,Deflatores!G$4:I$38,3,FALSE)))</f>
        <v/>
      </c>
      <c r="M712" s="10"/>
      <c r="N712" s="10"/>
      <c r="O712" s="6"/>
    </row>
    <row r="713" spans="1:15" x14ac:dyDescent="0.25">
      <c r="A713" s="119"/>
      <c r="B713" s="4"/>
      <c r="C713" s="4"/>
      <c r="D713" s="7"/>
      <c r="E713" s="7"/>
      <c r="F713" s="116" t="str">
        <f t="shared" si="294"/>
        <v/>
      </c>
      <c r="G713" s="7" t="str">
        <f t="shared" si="295"/>
        <v/>
      </c>
      <c r="H713" s="7" t="str">
        <f t="shared" si="296"/>
        <v/>
      </c>
      <c r="I713" s="116" t="str">
        <f t="shared" si="297"/>
        <v/>
      </c>
      <c r="J713" s="7" t="str">
        <f t="shared" si="298"/>
        <v/>
      </c>
      <c r="K713" s="127" t="str">
        <f t="shared" si="299"/>
        <v/>
      </c>
      <c r="L713" s="127" t="str">
        <f>IF(NOT(ISERROR(VLOOKUP(B713,Deflatores!G$42:H$64,2,FALSE))),VLOOKUP(B713,Deflatores!G$42:H$64,2,FALSE),IF(OR(ISBLANK(C713),ISBLANK(B713)),"",VLOOKUP(C713,Deflatores!G$4:H$38,2,FALSE)*H713+VLOOKUP(C713,Deflatores!G$4:I$38,3,FALSE)))</f>
        <v/>
      </c>
      <c r="M713" s="10"/>
      <c r="N713" s="10"/>
      <c r="O713" s="6"/>
    </row>
    <row r="714" spans="1:15" x14ac:dyDescent="0.25">
      <c r="A714" s="119"/>
      <c r="B714" s="4"/>
      <c r="C714" s="4"/>
      <c r="D714" s="7"/>
      <c r="E714" s="7"/>
      <c r="F714" s="116" t="str">
        <f t="shared" si="294"/>
        <v/>
      </c>
      <c r="G714" s="7" t="str">
        <f t="shared" si="295"/>
        <v/>
      </c>
      <c r="H714" s="7" t="str">
        <f t="shared" si="296"/>
        <v/>
      </c>
      <c r="I714" s="116" t="str">
        <f t="shared" si="297"/>
        <v/>
      </c>
      <c r="J714" s="7" t="str">
        <f t="shared" si="298"/>
        <v/>
      </c>
      <c r="K714" s="127" t="str">
        <f t="shared" si="299"/>
        <v/>
      </c>
      <c r="L714" s="127" t="str">
        <f>IF(NOT(ISERROR(VLOOKUP(B714,Deflatores!G$42:H$64,2,FALSE))),VLOOKUP(B714,Deflatores!G$42:H$64,2,FALSE),IF(OR(ISBLANK(C714),ISBLANK(B714)),"",VLOOKUP(C714,Deflatores!G$4:H$38,2,FALSE)*H714+VLOOKUP(C714,Deflatores!G$4:I$38,3,FALSE)))</f>
        <v/>
      </c>
      <c r="M714" s="10"/>
      <c r="N714" s="10"/>
      <c r="O714" s="6"/>
    </row>
    <row r="715" spans="1:15" x14ac:dyDescent="0.25">
      <c r="A715" s="119"/>
      <c r="B715" s="4"/>
      <c r="C715" s="4"/>
      <c r="D715" s="7"/>
      <c r="E715" s="7"/>
      <c r="F715" s="116" t="str">
        <f t="shared" si="294"/>
        <v/>
      </c>
      <c r="G715" s="7" t="str">
        <f t="shared" si="295"/>
        <v/>
      </c>
      <c r="H715" s="7" t="str">
        <f t="shared" si="296"/>
        <v/>
      </c>
      <c r="I715" s="116" t="str">
        <f t="shared" si="297"/>
        <v/>
      </c>
      <c r="J715" s="7" t="str">
        <f t="shared" si="298"/>
        <v/>
      </c>
      <c r="K715" s="127" t="str">
        <f t="shared" si="299"/>
        <v/>
      </c>
      <c r="L715" s="127" t="str">
        <f>IF(NOT(ISERROR(VLOOKUP(B715,Deflatores!G$42:H$64,2,FALSE))),VLOOKUP(B715,Deflatores!G$42:H$64,2,FALSE),IF(OR(ISBLANK(C715),ISBLANK(B715)),"",VLOOKUP(C715,Deflatores!G$4:H$38,2,FALSE)*H715+VLOOKUP(C715,Deflatores!G$4:I$38,3,FALSE)))</f>
        <v/>
      </c>
      <c r="M715" s="10"/>
      <c r="N715" s="10"/>
      <c r="O715" s="6"/>
    </row>
    <row r="716" spans="1:15" x14ac:dyDescent="0.25">
      <c r="A716" s="119"/>
      <c r="B716" s="4"/>
      <c r="C716" s="4"/>
      <c r="D716" s="7"/>
      <c r="E716" s="7"/>
      <c r="F716" s="116" t="str">
        <f t="shared" si="294"/>
        <v/>
      </c>
      <c r="G716" s="7" t="str">
        <f t="shared" si="295"/>
        <v/>
      </c>
      <c r="H716" s="7" t="str">
        <f t="shared" si="296"/>
        <v/>
      </c>
      <c r="I716" s="116" t="str">
        <f t="shared" si="297"/>
        <v/>
      </c>
      <c r="J716" s="7" t="str">
        <f t="shared" si="298"/>
        <v/>
      </c>
      <c r="K716" s="127" t="str">
        <f t="shared" si="299"/>
        <v/>
      </c>
      <c r="L716" s="127" t="str">
        <f>IF(NOT(ISERROR(VLOOKUP(B716,Deflatores!G$42:H$64,2,FALSE))),VLOOKUP(B716,Deflatores!G$42:H$64,2,FALSE),IF(OR(ISBLANK(C716),ISBLANK(B716)),"",VLOOKUP(C716,Deflatores!G$4:H$38,2,FALSE)*H716+VLOOKUP(C716,Deflatores!G$4:I$38,3,FALSE)))</f>
        <v/>
      </c>
      <c r="M716" s="10"/>
      <c r="N716" s="10"/>
      <c r="O716" s="6"/>
    </row>
    <row r="717" spans="1:15" x14ac:dyDescent="0.25">
      <c r="A717" s="119"/>
      <c r="B717" s="4"/>
      <c r="C717" s="4"/>
      <c r="D717" s="7"/>
      <c r="E717" s="7"/>
      <c r="F717" s="116" t="str">
        <f t="shared" si="294"/>
        <v/>
      </c>
      <c r="G717" s="7" t="str">
        <f t="shared" si="295"/>
        <v/>
      </c>
      <c r="H717" s="7" t="str">
        <f t="shared" si="296"/>
        <v/>
      </c>
      <c r="I717" s="116" t="str">
        <f t="shared" si="297"/>
        <v/>
      </c>
      <c r="J717" s="7" t="str">
        <f t="shared" si="298"/>
        <v/>
      </c>
      <c r="K717" s="127" t="str">
        <f t="shared" si="299"/>
        <v/>
      </c>
      <c r="L717" s="127" t="str">
        <f>IF(NOT(ISERROR(VLOOKUP(B717,Deflatores!G$42:H$64,2,FALSE))),VLOOKUP(B717,Deflatores!G$42:H$64,2,FALSE),IF(OR(ISBLANK(C717),ISBLANK(B717)),"",VLOOKUP(C717,Deflatores!G$4:H$38,2,FALSE)*H717+VLOOKUP(C717,Deflatores!G$4:I$38,3,FALSE)))</f>
        <v/>
      </c>
      <c r="M717" s="10"/>
      <c r="N717" s="10"/>
      <c r="O717" s="6"/>
    </row>
    <row r="718" spans="1:15" x14ac:dyDescent="0.25">
      <c r="A718" s="119"/>
      <c r="B718" s="4"/>
      <c r="C718" s="4"/>
      <c r="D718" s="7"/>
      <c r="E718" s="7"/>
      <c r="F718" s="116" t="str">
        <f t="shared" si="294"/>
        <v/>
      </c>
      <c r="G718" s="7" t="str">
        <f t="shared" si="295"/>
        <v/>
      </c>
      <c r="H718" s="7" t="str">
        <f t="shared" si="296"/>
        <v/>
      </c>
      <c r="I718" s="116" t="str">
        <f t="shared" si="297"/>
        <v/>
      </c>
      <c r="J718" s="7" t="str">
        <f t="shared" si="298"/>
        <v/>
      </c>
      <c r="K718" s="127" t="str">
        <f t="shared" si="299"/>
        <v/>
      </c>
      <c r="L718" s="127" t="str">
        <f>IF(NOT(ISERROR(VLOOKUP(B718,Deflatores!G$42:H$64,2,FALSE))),VLOOKUP(B718,Deflatores!G$42:H$64,2,FALSE),IF(OR(ISBLANK(C718),ISBLANK(B718)),"",VLOOKUP(C718,Deflatores!G$4:H$38,2,FALSE)*H718+VLOOKUP(C718,Deflatores!G$4:I$38,3,FALSE)))</f>
        <v/>
      </c>
      <c r="M718" s="10"/>
      <c r="N718" s="10"/>
      <c r="O718" s="6"/>
    </row>
    <row r="719" spans="1:15" x14ac:dyDescent="0.25">
      <c r="A719" s="119"/>
      <c r="B719" s="4"/>
      <c r="C719" s="4"/>
      <c r="D719" s="7"/>
      <c r="E719" s="7"/>
      <c r="F719" s="116" t="str">
        <f t="shared" si="294"/>
        <v/>
      </c>
      <c r="G719" s="7" t="str">
        <f t="shared" si="295"/>
        <v/>
      </c>
      <c r="H719" s="7" t="str">
        <f t="shared" si="296"/>
        <v/>
      </c>
      <c r="I719" s="116" t="str">
        <f t="shared" si="297"/>
        <v/>
      </c>
      <c r="J719" s="7" t="str">
        <f t="shared" si="298"/>
        <v/>
      </c>
      <c r="K719" s="127" t="str">
        <f t="shared" si="299"/>
        <v/>
      </c>
      <c r="L719" s="127" t="str">
        <f>IF(NOT(ISERROR(VLOOKUP(B719,Deflatores!G$42:H$64,2,FALSE))),VLOOKUP(B719,Deflatores!G$42:H$64,2,FALSE),IF(OR(ISBLANK(C719),ISBLANK(B719)),"",VLOOKUP(C719,Deflatores!G$4:H$38,2,FALSE)*H719+VLOOKUP(C719,Deflatores!G$4:I$38,3,FALSE)))</f>
        <v/>
      </c>
      <c r="M719" s="10"/>
      <c r="N719" s="10"/>
      <c r="O719" s="6"/>
    </row>
    <row r="720" spans="1:15" x14ac:dyDescent="0.25">
      <c r="A720" s="119"/>
      <c r="B720" s="4"/>
      <c r="C720" s="4"/>
      <c r="D720" s="7"/>
      <c r="E720" s="7"/>
      <c r="F720" s="116" t="str">
        <f t="shared" si="294"/>
        <v/>
      </c>
      <c r="G720" s="7" t="str">
        <f t="shared" si="295"/>
        <v/>
      </c>
      <c r="H720" s="7" t="str">
        <f t="shared" si="296"/>
        <v/>
      </c>
      <c r="I720" s="116" t="str">
        <f t="shared" si="297"/>
        <v/>
      </c>
      <c r="J720" s="7" t="str">
        <f t="shared" si="298"/>
        <v/>
      </c>
      <c r="K720" s="127" t="str">
        <f t="shared" si="299"/>
        <v/>
      </c>
      <c r="L720" s="127" t="str">
        <f>IF(NOT(ISERROR(VLOOKUP(B720,Deflatores!G$42:H$64,2,FALSE))),VLOOKUP(B720,Deflatores!G$42:H$64,2,FALSE),IF(OR(ISBLANK(C720),ISBLANK(B720)),"",VLOOKUP(C720,Deflatores!G$4:H$38,2,FALSE)*H720+VLOOKUP(C720,Deflatores!G$4:I$38,3,FALSE)))</f>
        <v/>
      </c>
      <c r="M720" s="10"/>
      <c r="N720" s="10"/>
      <c r="O720" s="6"/>
    </row>
    <row r="721" spans="1:15" x14ac:dyDescent="0.25">
      <c r="A721" s="119"/>
      <c r="B721" s="4"/>
      <c r="C721" s="4"/>
      <c r="D721" s="7"/>
      <c r="E721" s="7"/>
      <c r="F721" s="116" t="str">
        <f t="shared" si="294"/>
        <v/>
      </c>
      <c r="G721" s="7" t="str">
        <f t="shared" si="295"/>
        <v/>
      </c>
      <c r="H721" s="7" t="str">
        <f t="shared" si="296"/>
        <v/>
      </c>
      <c r="I721" s="116" t="str">
        <f t="shared" si="297"/>
        <v/>
      </c>
      <c r="J721" s="7" t="str">
        <f t="shared" si="298"/>
        <v/>
      </c>
      <c r="K721" s="127" t="str">
        <f t="shared" si="299"/>
        <v/>
      </c>
      <c r="L721" s="127" t="str">
        <f>IF(NOT(ISERROR(VLOOKUP(B721,Deflatores!G$42:H$64,2,FALSE))),VLOOKUP(B721,Deflatores!G$42:H$64,2,FALSE),IF(OR(ISBLANK(C721),ISBLANK(B721)),"",VLOOKUP(C721,Deflatores!G$4:H$38,2,FALSE)*H721+VLOOKUP(C721,Deflatores!G$4:I$38,3,FALSE)))</f>
        <v/>
      </c>
      <c r="M721" s="10"/>
      <c r="N721" s="10"/>
      <c r="O721" s="6"/>
    </row>
    <row r="722" spans="1:15" x14ac:dyDescent="0.25">
      <c r="A722" s="119"/>
      <c r="B722" s="4"/>
      <c r="C722" s="4"/>
      <c r="D722" s="7"/>
      <c r="E722" s="7"/>
      <c r="F722" s="116" t="str">
        <f t="shared" si="294"/>
        <v/>
      </c>
      <c r="G722" s="7" t="str">
        <f t="shared" si="295"/>
        <v/>
      </c>
      <c r="H722" s="7" t="str">
        <f t="shared" si="296"/>
        <v/>
      </c>
      <c r="I722" s="116" t="str">
        <f t="shared" si="297"/>
        <v/>
      </c>
      <c r="J722" s="7" t="str">
        <f t="shared" si="298"/>
        <v/>
      </c>
      <c r="K722" s="127" t="str">
        <f t="shared" si="299"/>
        <v/>
      </c>
      <c r="L722" s="127" t="str">
        <f>IF(NOT(ISERROR(VLOOKUP(B722,Deflatores!G$42:H$64,2,FALSE))),VLOOKUP(B722,Deflatores!G$42:H$64,2,FALSE),IF(OR(ISBLANK(C722),ISBLANK(B722)),"",VLOOKUP(C722,Deflatores!G$4:H$38,2,FALSE)*H722+VLOOKUP(C722,Deflatores!G$4:I$38,3,FALSE)))</f>
        <v/>
      </c>
      <c r="M722" s="10"/>
      <c r="N722" s="10"/>
      <c r="O722" s="6"/>
    </row>
    <row r="723" spans="1:15" x14ac:dyDescent="0.25">
      <c r="A723" s="119"/>
      <c r="B723" s="4"/>
      <c r="C723" s="4"/>
      <c r="D723" s="7"/>
      <c r="E723" s="7"/>
      <c r="F723" s="116" t="str">
        <f t="shared" si="294"/>
        <v/>
      </c>
      <c r="G723" s="7" t="str">
        <f t="shared" si="295"/>
        <v/>
      </c>
      <c r="H723" s="7" t="str">
        <f t="shared" si="296"/>
        <v/>
      </c>
      <c r="I723" s="116" t="str">
        <f t="shared" si="297"/>
        <v/>
      </c>
      <c r="J723" s="7" t="str">
        <f t="shared" si="298"/>
        <v/>
      </c>
      <c r="K723" s="127" t="str">
        <f t="shared" si="299"/>
        <v/>
      </c>
      <c r="L723" s="127" t="str">
        <f>IF(NOT(ISERROR(VLOOKUP(B723,Deflatores!G$42:H$64,2,FALSE))),VLOOKUP(B723,Deflatores!G$42:H$64,2,FALSE),IF(OR(ISBLANK(C723),ISBLANK(B723)),"",VLOOKUP(C723,Deflatores!G$4:H$38,2,FALSE)*H723+VLOOKUP(C723,Deflatores!G$4:I$38,3,FALSE)))</f>
        <v/>
      </c>
      <c r="M723" s="10"/>
      <c r="N723" s="10"/>
      <c r="O723" s="6"/>
    </row>
    <row r="724" spans="1:15" x14ac:dyDescent="0.25">
      <c r="A724" s="119"/>
      <c r="B724" s="4"/>
      <c r="C724" s="4"/>
      <c r="D724" s="7"/>
      <c r="E724" s="7"/>
      <c r="F724" s="116" t="str">
        <f t="shared" si="294"/>
        <v/>
      </c>
      <c r="G724" s="7" t="str">
        <f t="shared" si="295"/>
        <v/>
      </c>
      <c r="H724" s="7" t="str">
        <f t="shared" si="296"/>
        <v/>
      </c>
      <c r="I724" s="116" t="str">
        <f t="shared" si="297"/>
        <v/>
      </c>
      <c r="J724" s="7" t="str">
        <f t="shared" si="298"/>
        <v/>
      </c>
      <c r="K724" s="127" t="str">
        <f t="shared" si="299"/>
        <v/>
      </c>
      <c r="L724" s="127" t="str">
        <f>IF(NOT(ISERROR(VLOOKUP(B724,Deflatores!G$42:H$64,2,FALSE))),VLOOKUP(B724,Deflatores!G$42:H$64,2,FALSE),IF(OR(ISBLANK(C724),ISBLANK(B724)),"",VLOOKUP(C724,Deflatores!G$4:H$38,2,FALSE)*H724+VLOOKUP(C724,Deflatores!G$4:I$38,3,FALSE)))</f>
        <v/>
      </c>
      <c r="M724" s="10"/>
      <c r="N724" s="10"/>
      <c r="O724" s="6"/>
    </row>
    <row r="725" spans="1:15" x14ac:dyDescent="0.25">
      <c r="A725" s="119"/>
      <c r="B725" s="4"/>
      <c r="C725" s="4"/>
      <c r="D725" s="7"/>
      <c r="E725" s="7"/>
      <c r="F725" s="116" t="str">
        <f t="shared" si="294"/>
        <v/>
      </c>
      <c r="G725" s="7" t="str">
        <f t="shared" si="295"/>
        <v/>
      </c>
      <c r="H725" s="7" t="str">
        <f t="shared" si="296"/>
        <v/>
      </c>
      <c r="I725" s="116" t="str">
        <f t="shared" si="297"/>
        <v/>
      </c>
      <c r="J725" s="7" t="str">
        <f t="shared" si="298"/>
        <v/>
      </c>
      <c r="K725" s="127" t="str">
        <f t="shared" si="299"/>
        <v/>
      </c>
      <c r="L725" s="127" t="str">
        <f>IF(NOT(ISERROR(VLOOKUP(B725,Deflatores!G$42:H$64,2,FALSE))),VLOOKUP(B725,Deflatores!G$42:H$64,2,FALSE),IF(OR(ISBLANK(C725),ISBLANK(B725)),"",VLOOKUP(C725,Deflatores!G$4:H$38,2,FALSE)*H725+VLOOKUP(C725,Deflatores!G$4:I$38,3,FALSE)))</f>
        <v/>
      </c>
      <c r="M725" s="10"/>
      <c r="N725" s="10"/>
      <c r="O725" s="6"/>
    </row>
    <row r="726" spans="1:15" x14ac:dyDescent="0.25">
      <c r="A726" s="119"/>
      <c r="B726" s="4"/>
      <c r="C726" s="4"/>
      <c r="D726" s="7"/>
      <c r="E726" s="7"/>
      <c r="F726" s="116" t="str">
        <f t="shared" si="294"/>
        <v/>
      </c>
      <c r="G726" s="7" t="str">
        <f t="shared" si="295"/>
        <v/>
      </c>
      <c r="H726" s="7" t="str">
        <f t="shared" si="296"/>
        <v/>
      </c>
      <c r="I726" s="116" t="str">
        <f t="shared" si="297"/>
        <v/>
      </c>
      <c r="J726" s="7" t="str">
        <f t="shared" si="298"/>
        <v/>
      </c>
      <c r="K726" s="127" t="str">
        <f t="shared" si="299"/>
        <v/>
      </c>
      <c r="L726" s="127" t="str">
        <f>IF(NOT(ISERROR(VLOOKUP(B726,Deflatores!G$42:H$64,2,FALSE))),VLOOKUP(B726,Deflatores!G$42:H$64,2,FALSE),IF(OR(ISBLANK(C726),ISBLANK(B726)),"",VLOOKUP(C726,Deflatores!G$4:H$38,2,FALSE)*H726+VLOOKUP(C726,Deflatores!G$4:I$38,3,FALSE)))</f>
        <v/>
      </c>
      <c r="M726" s="10"/>
      <c r="N726" s="10"/>
      <c r="O726" s="6"/>
    </row>
    <row r="727" spans="1:15" x14ac:dyDescent="0.25">
      <c r="A727" s="119"/>
      <c r="B727" s="4"/>
      <c r="C727" s="4"/>
      <c r="D727" s="7"/>
      <c r="E727" s="7"/>
      <c r="F727" s="116" t="str">
        <f t="shared" si="294"/>
        <v/>
      </c>
      <c r="G727" s="7" t="str">
        <f t="shared" si="295"/>
        <v/>
      </c>
      <c r="H727" s="7" t="str">
        <f t="shared" si="296"/>
        <v/>
      </c>
      <c r="I727" s="116" t="str">
        <f t="shared" si="297"/>
        <v/>
      </c>
      <c r="J727" s="7" t="str">
        <f t="shared" si="298"/>
        <v/>
      </c>
      <c r="K727" s="127" t="str">
        <f t="shared" si="299"/>
        <v/>
      </c>
      <c r="L727" s="127" t="str">
        <f>IF(NOT(ISERROR(VLOOKUP(B727,Deflatores!G$42:H$64,2,FALSE))),VLOOKUP(B727,Deflatores!G$42:H$64,2,FALSE),IF(OR(ISBLANK(C727),ISBLANK(B727)),"",VLOOKUP(C727,Deflatores!G$4:H$38,2,FALSE)*H727+VLOOKUP(C727,Deflatores!G$4:I$38,3,FALSE)))</f>
        <v/>
      </c>
      <c r="M727" s="10"/>
      <c r="N727" s="10"/>
      <c r="O727" s="6"/>
    </row>
    <row r="728" spans="1:15" x14ac:dyDescent="0.25">
      <c r="A728" s="119"/>
      <c r="B728" s="4"/>
      <c r="C728" s="4"/>
      <c r="D728" s="7"/>
      <c r="E728" s="7"/>
      <c r="F728" s="116" t="str">
        <f t="shared" si="294"/>
        <v/>
      </c>
      <c r="G728" s="7" t="str">
        <f t="shared" si="295"/>
        <v/>
      </c>
      <c r="H728" s="7" t="str">
        <f t="shared" si="296"/>
        <v/>
      </c>
      <c r="I728" s="116" t="str">
        <f t="shared" si="297"/>
        <v/>
      </c>
      <c r="J728" s="7" t="str">
        <f t="shared" si="298"/>
        <v/>
      </c>
      <c r="K728" s="127" t="str">
        <f t="shared" si="299"/>
        <v/>
      </c>
      <c r="L728" s="127" t="str">
        <f>IF(NOT(ISERROR(VLOOKUP(B728,Deflatores!G$42:H$64,2,FALSE))),VLOOKUP(B728,Deflatores!G$42:H$64,2,FALSE),IF(OR(ISBLANK(C728),ISBLANK(B728)),"",VLOOKUP(C728,Deflatores!G$4:H$38,2,FALSE)*H728+VLOOKUP(C728,Deflatores!G$4:I$38,3,FALSE)))</f>
        <v/>
      </c>
      <c r="M728" s="10"/>
      <c r="N728" s="10"/>
      <c r="O728" s="6"/>
    </row>
    <row r="729" spans="1:15" x14ac:dyDescent="0.25">
      <c r="A729" s="119"/>
      <c r="B729" s="4"/>
      <c r="C729" s="4"/>
      <c r="D729" s="7"/>
      <c r="E729" s="7"/>
      <c r="F729" s="116" t="str">
        <f t="shared" si="294"/>
        <v/>
      </c>
      <c r="G729" s="7" t="str">
        <f t="shared" si="295"/>
        <v/>
      </c>
      <c r="H729" s="7" t="str">
        <f t="shared" si="296"/>
        <v/>
      </c>
      <c r="I729" s="116" t="str">
        <f t="shared" si="297"/>
        <v/>
      </c>
      <c r="J729" s="7" t="str">
        <f t="shared" si="298"/>
        <v/>
      </c>
      <c r="K729" s="127" t="str">
        <f t="shared" si="299"/>
        <v/>
      </c>
      <c r="L729" s="127" t="str">
        <f>IF(NOT(ISERROR(VLOOKUP(B729,Deflatores!G$42:H$64,2,FALSE))),VLOOKUP(B729,Deflatores!G$42:H$64,2,FALSE),IF(OR(ISBLANK(C729),ISBLANK(B729)),"",VLOOKUP(C729,Deflatores!G$4:H$38,2,FALSE)*H729+VLOOKUP(C729,Deflatores!G$4:I$38,3,FALSE)))</f>
        <v/>
      </c>
      <c r="M729" s="10"/>
      <c r="N729" s="10"/>
      <c r="O729" s="6"/>
    </row>
    <row r="730" spans="1:15" x14ac:dyDescent="0.25">
      <c r="A730" s="119"/>
      <c r="B730" s="4"/>
      <c r="C730" s="4"/>
      <c r="D730" s="7"/>
      <c r="E730" s="7"/>
      <c r="F730" s="116" t="str">
        <f t="shared" si="294"/>
        <v/>
      </c>
      <c r="G730" s="7" t="str">
        <f t="shared" si="295"/>
        <v/>
      </c>
      <c r="H730" s="7" t="str">
        <f t="shared" si="296"/>
        <v/>
      </c>
      <c r="I730" s="116" t="str">
        <f t="shared" si="297"/>
        <v/>
      </c>
      <c r="J730" s="7" t="str">
        <f t="shared" si="298"/>
        <v/>
      </c>
      <c r="K730" s="127" t="str">
        <f t="shared" si="299"/>
        <v/>
      </c>
      <c r="L730" s="127" t="str">
        <f>IF(NOT(ISERROR(VLOOKUP(B730,Deflatores!G$42:H$64,2,FALSE))),VLOOKUP(B730,Deflatores!G$42:H$64,2,FALSE),IF(OR(ISBLANK(C730),ISBLANK(B730)),"",VLOOKUP(C730,Deflatores!G$4:H$38,2,FALSE)*H730+VLOOKUP(C730,Deflatores!G$4:I$38,3,FALSE)))</f>
        <v/>
      </c>
      <c r="M730" s="10"/>
      <c r="N730" s="10"/>
      <c r="O730" s="6"/>
    </row>
    <row r="731" spans="1:15" x14ac:dyDescent="0.25">
      <c r="A731" s="119"/>
      <c r="B731" s="4"/>
      <c r="C731" s="4"/>
      <c r="D731" s="7"/>
      <c r="E731" s="7"/>
      <c r="F731" s="116" t="str">
        <f t="shared" si="294"/>
        <v/>
      </c>
      <c r="G731" s="7" t="str">
        <f t="shared" si="295"/>
        <v/>
      </c>
      <c r="H731" s="7" t="str">
        <f t="shared" si="296"/>
        <v/>
      </c>
      <c r="I731" s="116" t="str">
        <f t="shared" si="297"/>
        <v/>
      </c>
      <c r="J731" s="7" t="str">
        <f t="shared" si="298"/>
        <v/>
      </c>
      <c r="K731" s="127" t="str">
        <f t="shared" si="299"/>
        <v/>
      </c>
      <c r="L731" s="127" t="str">
        <f>IF(NOT(ISERROR(VLOOKUP(B731,Deflatores!G$42:H$64,2,FALSE))),VLOOKUP(B731,Deflatores!G$42:H$64,2,FALSE),IF(OR(ISBLANK(C731),ISBLANK(B731)),"",VLOOKUP(C731,Deflatores!G$4:H$38,2,FALSE)*H731+VLOOKUP(C731,Deflatores!G$4:I$38,3,FALSE)))</f>
        <v/>
      </c>
      <c r="M731" s="10"/>
      <c r="N731" s="10"/>
      <c r="O731" s="6"/>
    </row>
    <row r="732" spans="1:15" x14ac:dyDescent="0.25">
      <c r="A732" s="119"/>
      <c r="B732" s="4"/>
      <c r="C732" s="4"/>
      <c r="D732" s="7"/>
      <c r="E732" s="7"/>
      <c r="F732" s="116" t="str">
        <f t="shared" si="294"/>
        <v/>
      </c>
      <c r="G732" s="7" t="str">
        <f t="shared" si="295"/>
        <v/>
      </c>
      <c r="H732" s="7" t="str">
        <f t="shared" si="296"/>
        <v/>
      </c>
      <c r="I732" s="116" t="str">
        <f t="shared" si="297"/>
        <v/>
      </c>
      <c r="J732" s="7" t="str">
        <f t="shared" si="298"/>
        <v/>
      </c>
      <c r="K732" s="127" t="str">
        <f t="shared" si="299"/>
        <v/>
      </c>
      <c r="L732" s="127" t="str">
        <f>IF(NOT(ISERROR(VLOOKUP(B732,Deflatores!G$42:H$64,2,FALSE))),VLOOKUP(B732,Deflatores!G$42:H$64,2,FALSE),IF(OR(ISBLANK(C732),ISBLANK(B732)),"",VLOOKUP(C732,Deflatores!G$4:H$38,2,FALSE)*H732+VLOOKUP(C732,Deflatores!G$4:I$38,3,FALSE)))</f>
        <v/>
      </c>
      <c r="M732" s="10"/>
      <c r="N732" s="10"/>
      <c r="O732" s="6"/>
    </row>
    <row r="733" spans="1:15" x14ac:dyDescent="0.25">
      <c r="A733" s="119"/>
      <c r="B733" s="4"/>
      <c r="C733" s="4"/>
      <c r="D733" s="7"/>
      <c r="E733" s="7"/>
      <c r="F733" s="116" t="str">
        <f t="shared" si="294"/>
        <v/>
      </c>
      <c r="G733" s="7" t="str">
        <f t="shared" si="295"/>
        <v/>
      </c>
      <c r="H733" s="7" t="str">
        <f t="shared" si="296"/>
        <v/>
      </c>
      <c r="I733" s="116" t="str">
        <f t="shared" si="297"/>
        <v/>
      </c>
      <c r="J733" s="7" t="str">
        <f t="shared" si="298"/>
        <v/>
      </c>
      <c r="K733" s="127" t="str">
        <f t="shared" si="299"/>
        <v/>
      </c>
      <c r="L733" s="127" t="str">
        <f>IF(NOT(ISERROR(VLOOKUP(B733,Deflatores!G$42:H$64,2,FALSE))),VLOOKUP(B733,Deflatores!G$42:H$64,2,FALSE),IF(OR(ISBLANK(C733),ISBLANK(B733)),"",VLOOKUP(C733,Deflatores!G$4:H$38,2,FALSE)*H733+VLOOKUP(C733,Deflatores!G$4:I$38,3,FALSE)))</f>
        <v/>
      </c>
      <c r="M733" s="10"/>
      <c r="N733" s="10"/>
      <c r="O733" s="6"/>
    </row>
    <row r="734" spans="1:15" x14ac:dyDescent="0.25">
      <c r="A734" s="119"/>
      <c r="B734" s="4"/>
      <c r="C734" s="4"/>
      <c r="D734" s="7"/>
      <c r="E734" s="7"/>
      <c r="F734" s="116" t="str">
        <f t="shared" si="294"/>
        <v/>
      </c>
      <c r="G734" s="7" t="str">
        <f t="shared" si="295"/>
        <v/>
      </c>
      <c r="H734" s="7" t="str">
        <f t="shared" si="296"/>
        <v/>
      </c>
      <c r="I734" s="116" t="str">
        <f t="shared" si="297"/>
        <v/>
      </c>
      <c r="J734" s="7" t="str">
        <f t="shared" si="298"/>
        <v/>
      </c>
      <c r="K734" s="127" t="str">
        <f t="shared" si="299"/>
        <v/>
      </c>
      <c r="L734" s="127" t="str">
        <f>IF(NOT(ISERROR(VLOOKUP(B734,Deflatores!G$42:H$64,2,FALSE))),VLOOKUP(B734,Deflatores!G$42:H$64,2,FALSE),IF(OR(ISBLANK(C734),ISBLANK(B734)),"",VLOOKUP(C734,Deflatores!G$4:H$38,2,FALSE)*H734+VLOOKUP(C734,Deflatores!G$4:I$38,3,FALSE)))</f>
        <v/>
      </c>
      <c r="M734" s="10"/>
      <c r="N734" s="10"/>
      <c r="O734" s="6"/>
    </row>
    <row r="735" spans="1:15" x14ac:dyDescent="0.25">
      <c r="A735" s="119"/>
      <c r="B735" s="4"/>
      <c r="C735" s="4"/>
      <c r="D735" s="7"/>
      <c r="E735" s="7"/>
      <c r="F735" s="116" t="str">
        <f t="shared" si="294"/>
        <v/>
      </c>
      <c r="G735" s="7" t="str">
        <f t="shared" si="295"/>
        <v/>
      </c>
      <c r="H735" s="7" t="str">
        <f t="shared" si="296"/>
        <v/>
      </c>
      <c r="I735" s="116" t="str">
        <f t="shared" si="297"/>
        <v/>
      </c>
      <c r="J735" s="7" t="str">
        <f t="shared" si="298"/>
        <v/>
      </c>
      <c r="K735" s="127" t="str">
        <f t="shared" si="299"/>
        <v/>
      </c>
      <c r="L735" s="127" t="str">
        <f>IF(NOT(ISERROR(VLOOKUP(B735,Deflatores!G$42:H$64,2,FALSE))),VLOOKUP(B735,Deflatores!G$42:H$64,2,FALSE),IF(OR(ISBLANK(C735),ISBLANK(B735)),"",VLOOKUP(C735,Deflatores!G$4:H$38,2,FALSE)*H735+VLOOKUP(C735,Deflatores!G$4:I$38,3,FALSE)))</f>
        <v/>
      </c>
      <c r="M735" s="10"/>
      <c r="N735" s="10"/>
      <c r="O735" s="6"/>
    </row>
    <row r="736" spans="1:15" x14ac:dyDescent="0.25">
      <c r="A736" s="119"/>
      <c r="B736" s="4"/>
      <c r="C736" s="4"/>
      <c r="D736" s="7"/>
      <c r="E736" s="7"/>
      <c r="F736" s="116" t="str">
        <f t="shared" si="294"/>
        <v/>
      </c>
      <c r="G736" s="7" t="str">
        <f t="shared" si="295"/>
        <v/>
      </c>
      <c r="H736" s="7" t="str">
        <f t="shared" si="296"/>
        <v/>
      </c>
      <c r="I736" s="116" t="str">
        <f t="shared" si="297"/>
        <v/>
      </c>
      <c r="J736" s="7" t="str">
        <f t="shared" si="298"/>
        <v/>
      </c>
      <c r="K736" s="127" t="str">
        <f t="shared" si="299"/>
        <v/>
      </c>
      <c r="L736" s="127" t="str">
        <f>IF(NOT(ISERROR(VLOOKUP(B736,Deflatores!G$42:H$64,2,FALSE))),VLOOKUP(B736,Deflatores!G$42:H$64,2,FALSE),IF(OR(ISBLANK(C736),ISBLANK(B736)),"",VLOOKUP(C736,Deflatores!G$4:H$38,2,FALSE)*H736+VLOOKUP(C736,Deflatores!G$4:I$38,3,FALSE)))</f>
        <v/>
      </c>
      <c r="M736" s="10"/>
      <c r="N736" s="10"/>
      <c r="O736" s="6"/>
    </row>
    <row r="737" spans="1:15" x14ac:dyDescent="0.25">
      <c r="A737" s="119"/>
      <c r="B737" s="4"/>
      <c r="C737" s="4"/>
      <c r="D737" s="7"/>
      <c r="E737" s="7"/>
      <c r="F737" s="116" t="str">
        <f t="shared" ref="F737:F800" si="300">IF(ISBLANK(B737),"",IF(I737="L","Baixa",IF(I737="A","Média",IF(I737="","","Alta"))))</f>
        <v/>
      </c>
      <c r="G737" s="7" t="str">
        <f t="shared" ref="G737:G800" si="301">CONCATENATE(B737,I737)</f>
        <v/>
      </c>
      <c r="H737" s="7" t="str">
        <f t="shared" ref="H737:H800" si="302">IF(ISBLANK(B737),"",IF(B737="ALI",IF(I737="L",7,IF(I737="A",10,15)),IF(B737="AIE",IF(I737="L",5,IF(I737="A",7,10)),IF(B737="SE",IF(I737="L",4,IF(I737="A",5,7)),IF(OR(B737="EE",B737="CE"),IF(I737="L",3,IF(I737="A",4,6)),0)))))</f>
        <v/>
      </c>
      <c r="I737" s="116" t="str">
        <f t="shared" ref="I737:I800" si="303">IF(OR(ISBLANK(D737),ISBLANK(E737)),IF(OR(B737="ALI",B737="AIE"),"L",IF(OR(B737="EE",B737="SE",B737="CE"),"A","")),IF(B737="EE",IF(E737&gt;=3,IF(D737&gt;=5,"H","A"),IF(E737&gt;=2,IF(D737&gt;=16,"H",IF(D737&lt;=4,"L","A")),IF(D737&lt;=15,"L","A"))),IF(OR(B737="SE",B737="CE"),IF(E737&gt;=4,IF(D737&gt;=6,"H","A"),IF(E737&gt;=2,IF(D737&gt;=20,"H",IF(D737&lt;=5,"L","A")),IF(D737&lt;=19,"L","A"))),IF(OR(B737="ALI",B737="AIE"),IF(E737&gt;=6,IF(D737&gt;=20,"H","A"),IF(E737&gt;=2,IF(D737&gt;=51,"H",IF(D737&lt;=19,"L","A")),IF(D737&lt;=50,"L","A"))),""))))</f>
        <v/>
      </c>
      <c r="J737" s="7" t="str">
        <f t="shared" ref="J737:J800" si="304">CONCATENATE(B737,C737)</f>
        <v/>
      </c>
      <c r="K737" s="127" t="str">
        <f t="shared" si="299"/>
        <v/>
      </c>
      <c r="L737" s="127" t="str">
        <f>IF(NOT(ISERROR(VLOOKUP(B737,Deflatores!G$42:H$64,2,FALSE))),VLOOKUP(B737,Deflatores!G$42:H$64,2,FALSE),IF(OR(ISBLANK(C737),ISBLANK(B737)),"",VLOOKUP(C737,Deflatores!G$4:H$38,2,FALSE)*H737+VLOOKUP(C737,Deflatores!G$4:I$38,3,FALSE)))</f>
        <v/>
      </c>
      <c r="M737" s="10"/>
      <c r="N737" s="10"/>
      <c r="O737" s="6"/>
    </row>
    <row r="738" spans="1:15" x14ac:dyDescent="0.25">
      <c r="A738" s="119"/>
      <c r="B738" s="4"/>
      <c r="C738" s="4"/>
      <c r="D738" s="7"/>
      <c r="E738" s="7"/>
      <c r="F738" s="116" t="str">
        <f t="shared" si="300"/>
        <v/>
      </c>
      <c r="G738" s="7" t="str">
        <f t="shared" si="301"/>
        <v/>
      </c>
      <c r="H738" s="7" t="str">
        <f t="shared" si="302"/>
        <v/>
      </c>
      <c r="I738" s="116" t="str">
        <f t="shared" si="303"/>
        <v/>
      </c>
      <c r="J738" s="7" t="str">
        <f t="shared" si="304"/>
        <v/>
      </c>
      <c r="K738" s="127" t="str">
        <f t="shared" si="299"/>
        <v/>
      </c>
      <c r="L738" s="127" t="str">
        <f>IF(NOT(ISERROR(VLOOKUP(B738,Deflatores!G$42:H$64,2,FALSE))),VLOOKUP(B738,Deflatores!G$42:H$64,2,FALSE),IF(OR(ISBLANK(C738),ISBLANK(B738)),"",VLOOKUP(C738,Deflatores!G$4:H$38,2,FALSE)*H738+VLOOKUP(C738,Deflatores!G$4:I$38,3,FALSE)))</f>
        <v/>
      </c>
      <c r="M738" s="10"/>
      <c r="N738" s="10"/>
      <c r="O738" s="6"/>
    </row>
    <row r="739" spans="1:15" x14ac:dyDescent="0.25">
      <c r="A739" s="119"/>
      <c r="B739" s="4"/>
      <c r="C739" s="4"/>
      <c r="D739" s="7"/>
      <c r="E739" s="7"/>
      <c r="F739" s="116" t="str">
        <f t="shared" si="300"/>
        <v/>
      </c>
      <c r="G739" s="7" t="str">
        <f t="shared" si="301"/>
        <v/>
      </c>
      <c r="H739" s="7" t="str">
        <f t="shared" si="302"/>
        <v/>
      </c>
      <c r="I739" s="116" t="str">
        <f t="shared" si="303"/>
        <v/>
      </c>
      <c r="J739" s="7" t="str">
        <f t="shared" si="304"/>
        <v/>
      </c>
      <c r="K739" s="127" t="str">
        <f t="shared" ref="K739:K802" si="305">IF(OR(H739="",H739=0),L739,H739)</f>
        <v/>
      </c>
      <c r="L739" s="127" t="str">
        <f>IF(NOT(ISERROR(VLOOKUP(B739,Deflatores!G$42:H$64,2,FALSE))),VLOOKUP(B739,Deflatores!G$42:H$64,2,FALSE),IF(OR(ISBLANK(C739),ISBLANK(B739)),"",VLOOKUP(C739,Deflatores!G$4:H$38,2,FALSE)*H739+VLOOKUP(C739,Deflatores!G$4:I$38,3,FALSE)))</f>
        <v/>
      </c>
      <c r="M739" s="10"/>
      <c r="N739" s="10"/>
      <c r="O739" s="6"/>
    </row>
    <row r="740" spans="1:15" x14ac:dyDescent="0.25">
      <c r="A740" s="119"/>
      <c r="B740" s="4"/>
      <c r="C740" s="4"/>
      <c r="D740" s="7"/>
      <c r="E740" s="7"/>
      <c r="F740" s="116" t="str">
        <f t="shared" si="300"/>
        <v/>
      </c>
      <c r="G740" s="7" t="str">
        <f t="shared" si="301"/>
        <v/>
      </c>
      <c r="H740" s="7" t="str">
        <f t="shared" si="302"/>
        <v/>
      </c>
      <c r="I740" s="116" t="str">
        <f t="shared" si="303"/>
        <v/>
      </c>
      <c r="J740" s="7" t="str">
        <f t="shared" si="304"/>
        <v/>
      </c>
      <c r="K740" s="127" t="str">
        <f t="shared" si="305"/>
        <v/>
      </c>
      <c r="L740" s="127" t="str">
        <f>IF(NOT(ISERROR(VLOOKUP(B740,Deflatores!G$42:H$64,2,FALSE))),VLOOKUP(B740,Deflatores!G$42:H$64,2,FALSE),IF(OR(ISBLANK(C740),ISBLANK(B740)),"",VLOOKUP(C740,Deflatores!G$4:H$38,2,FALSE)*H740+VLOOKUP(C740,Deflatores!G$4:I$38,3,FALSE)))</f>
        <v/>
      </c>
      <c r="M740" s="10"/>
      <c r="N740" s="10"/>
      <c r="O740" s="6"/>
    </row>
    <row r="741" spans="1:15" x14ac:dyDescent="0.25">
      <c r="A741" s="119"/>
      <c r="B741" s="4"/>
      <c r="C741" s="4"/>
      <c r="D741" s="7"/>
      <c r="E741" s="7"/>
      <c r="F741" s="116" t="str">
        <f t="shared" si="300"/>
        <v/>
      </c>
      <c r="G741" s="7" t="str">
        <f t="shared" si="301"/>
        <v/>
      </c>
      <c r="H741" s="7" t="str">
        <f t="shared" si="302"/>
        <v/>
      </c>
      <c r="I741" s="116" t="str">
        <f t="shared" si="303"/>
        <v/>
      </c>
      <c r="J741" s="7" t="str">
        <f t="shared" si="304"/>
        <v/>
      </c>
      <c r="K741" s="127" t="str">
        <f t="shared" si="305"/>
        <v/>
      </c>
      <c r="L741" s="127" t="str">
        <f>IF(NOT(ISERROR(VLOOKUP(B741,Deflatores!G$42:H$64,2,FALSE))),VLOOKUP(B741,Deflatores!G$42:H$64,2,FALSE),IF(OR(ISBLANK(C741),ISBLANK(B741)),"",VLOOKUP(C741,Deflatores!G$4:H$38,2,FALSE)*H741+VLOOKUP(C741,Deflatores!G$4:I$38,3,FALSE)))</f>
        <v/>
      </c>
      <c r="M741" s="10"/>
      <c r="N741" s="10"/>
      <c r="O741" s="6"/>
    </row>
    <row r="742" spans="1:15" x14ac:dyDescent="0.25">
      <c r="A742" s="119"/>
      <c r="B742" s="4"/>
      <c r="C742" s="4"/>
      <c r="D742" s="7"/>
      <c r="E742" s="7"/>
      <c r="F742" s="116" t="str">
        <f t="shared" si="300"/>
        <v/>
      </c>
      <c r="G742" s="7" t="str">
        <f t="shared" si="301"/>
        <v/>
      </c>
      <c r="H742" s="7" t="str">
        <f t="shared" si="302"/>
        <v/>
      </c>
      <c r="I742" s="116" t="str">
        <f t="shared" si="303"/>
        <v/>
      </c>
      <c r="J742" s="7" t="str">
        <f t="shared" si="304"/>
        <v/>
      </c>
      <c r="K742" s="127" t="str">
        <f t="shared" si="305"/>
        <v/>
      </c>
      <c r="L742" s="127" t="str">
        <f>IF(NOT(ISERROR(VLOOKUP(B742,Deflatores!G$42:H$64,2,FALSE))),VLOOKUP(B742,Deflatores!G$42:H$64,2,FALSE),IF(OR(ISBLANK(C742),ISBLANK(B742)),"",VLOOKUP(C742,Deflatores!G$4:H$38,2,FALSE)*H742+VLOOKUP(C742,Deflatores!G$4:I$38,3,FALSE)))</f>
        <v/>
      </c>
      <c r="M742" s="10"/>
      <c r="N742" s="10"/>
      <c r="O742" s="6"/>
    </row>
    <row r="743" spans="1:15" x14ac:dyDescent="0.25">
      <c r="A743" s="119"/>
      <c r="B743" s="4"/>
      <c r="C743" s="4"/>
      <c r="D743" s="7"/>
      <c r="E743" s="7"/>
      <c r="F743" s="116" t="str">
        <f t="shared" si="300"/>
        <v/>
      </c>
      <c r="G743" s="7" t="str">
        <f t="shared" si="301"/>
        <v/>
      </c>
      <c r="H743" s="7" t="str">
        <f t="shared" si="302"/>
        <v/>
      </c>
      <c r="I743" s="116" t="str">
        <f t="shared" si="303"/>
        <v/>
      </c>
      <c r="J743" s="7" t="str">
        <f t="shared" si="304"/>
        <v/>
      </c>
      <c r="K743" s="127" t="str">
        <f t="shared" si="305"/>
        <v/>
      </c>
      <c r="L743" s="127" t="str">
        <f>IF(NOT(ISERROR(VLOOKUP(B743,Deflatores!G$42:H$64,2,FALSE))),VLOOKUP(B743,Deflatores!G$42:H$64,2,FALSE),IF(OR(ISBLANK(C743),ISBLANK(B743)),"",VLOOKUP(C743,Deflatores!G$4:H$38,2,FALSE)*H743+VLOOKUP(C743,Deflatores!G$4:I$38,3,FALSE)))</f>
        <v/>
      </c>
      <c r="M743" s="10"/>
      <c r="N743" s="10"/>
      <c r="O743" s="6"/>
    </row>
    <row r="744" spans="1:15" x14ac:dyDescent="0.25">
      <c r="A744" s="119"/>
      <c r="B744" s="4"/>
      <c r="C744" s="4"/>
      <c r="D744" s="7"/>
      <c r="E744" s="7"/>
      <c r="F744" s="116" t="str">
        <f t="shared" si="300"/>
        <v/>
      </c>
      <c r="G744" s="7" t="str">
        <f t="shared" si="301"/>
        <v/>
      </c>
      <c r="H744" s="7" t="str">
        <f t="shared" si="302"/>
        <v/>
      </c>
      <c r="I744" s="116" t="str">
        <f t="shared" si="303"/>
        <v/>
      </c>
      <c r="J744" s="7" t="str">
        <f t="shared" si="304"/>
        <v/>
      </c>
      <c r="K744" s="127" t="str">
        <f t="shared" si="305"/>
        <v/>
      </c>
      <c r="L744" s="127" t="str">
        <f>IF(NOT(ISERROR(VLOOKUP(B744,Deflatores!G$42:H$64,2,FALSE))),VLOOKUP(B744,Deflatores!G$42:H$64,2,FALSE),IF(OR(ISBLANK(C744),ISBLANK(B744)),"",VLOOKUP(C744,Deflatores!G$4:H$38,2,FALSE)*H744+VLOOKUP(C744,Deflatores!G$4:I$38,3,FALSE)))</f>
        <v/>
      </c>
      <c r="M744" s="10"/>
      <c r="N744" s="10"/>
      <c r="O744" s="6"/>
    </row>
    <row r="745" spans="1:15" x14ac:dyDescent="0.25">
      <c r="A745" s="119"/>
      <c r="B745" s="4"/>
      <c r="C745" s="4"/>
      <c r="D745" s="7"/>
      <c r="E745" s="7"/>
      <c r="F745" s="116" t="str">
        <f t="shared" si="300"/>
        <v/>
      </c>
      <c r="G745" s="7" t="str">
        <f t="shared" si="301"/>
        <v/>
      </c>
      <c r="H745" s="7" t="str">
        <f t="shared" si="302"/>
        <v/>
      </c>
      <c r="I745" s="116" t="str">
        <f t="shared" si="303"/>
        <v/>
      </c>
      <c r="J745" s="7" t="str">
        <f t="shared" si="304"/>
        <v/>
      </c>
      <c r="K745" s="127" t="str">
        <f t="shared" si="305"/>
        <v/>
      </c>
      <c r="L745" s="127" t="str">
        <f>IF(NOT(ISERROR(VLOOKUP(B745,Deflatores!G$42:H$64,2,FALSE))),VLOOKUP(B745,Deflatores!G$42:H$64,2,FALSE),IF(OR(ISBLANK(C745),ISBLANK(B745)),"",VLOOKUP(C745,Deflatores!G$4:H$38,2,FALSE)*H745+VLOOKUP(C745,Deflatores!G$4:I$38,3,FALSE)))</f>
        <v/>
      </c>
      <c r="M745" s="10"/>
      <c r="N745" s="10"/>
      <c r="O745" s="6"/>
    </row>
    <row r="746" spans="1:15" x14ac:dyDescent="0.25">
      <c r="A746" s="119"/>
      <c r="B746" s="4"/>
      <c r="C746" s="4"/>
      <c r="D746" s="7"/>
      <c r="E746" s="7"/>
      <c r="F746" s="116" t="str">
        <f t="shared" si="300"/>
        <v/>
      </c>
      <c r="G746" s="7" t="str">
        <f t="shared" si="301"/>
        <v/>
      </c>
      <c r="H746" s="7" t="str">
        <f t="shared" si="302"/>
        <v/>
      </c>
      <c r="I746" s="116" t="str">
        <f t="shared" si="303"/>
        <v/>
      </c>
      <c r="J746" s="7" t="str">
        <f t="shared" si="304"/>
        <v/>
      </c>
      <c r="K746" s="127" t="str">
        <f t="shared" si="305"/>
        <v/>
      </c>
      <c r="L746" s="127" t="str">
        <f>IF(NOT(ISERROR(VLOOKUP(B746,Deflatores!G$42:H$64,2,FALSE))),VLOOKUP(B746,Deflatores!G$42:H$64,2,FALSE),IF(OR(ISBLANK(C746),ISBLANK(B746)),"",VLOOKUP(C746,Deflatores!G$4:H$38,2,FALSE)*H746+VLOOKUP(C746,Deflatores!G$4:I$38,3,FALSE)))</f>
        <v/>
      </c>
      <c r="M746" s="10"/>
      <c r="N746" s="10"/>
      <c r="O746" s="6"/>
    </row>
    <row r="747" spans="1:15" x14ac:dyDescent="0.25">
      <c r="A747" s="119"/>
      <c r="B747" s="4"/>
      <c r="C747" s="4"/>
      <c r="D747" s="7"/>
      <c r="E747" s="7"/>
      <c r="F747" s="116" t="str">
        <f t="shared" si="300"/>
        <v/>
      </c>
      <c r="G747" s="7" t="str">
        <f t="shared" si="301"/>
        <v/>
      </c>
      <c r="H747" s="7" t="str">
        <f t="shared" si="302"/>
        <v/>
      </c>
      <c r="I747" s="116" t="str">
        <f t="shared" si="303"/>
        <v/>
      </c>
      <c r="J747" s="7" t="str">
        <f t="shared" si="304"/>
        <v/>
      </c>
      <c r="K747" s="127" t="str">
        <f t="shared" si="305"/>
        <v/>
      </c>
      <c r="L747" s="127" t="str">
        <f>IF(NOT(ISERROR(VLOOKUP(B747,Deflatores!G$42:H$64,2,FALSE))),VLOOKUP(B747,Deflatores!G$42:H$64,2,FALSE),IF(OR(ISBLANK(C747),ISBLANK(B747)),"",VLOOKUP(C747,Deflatores!G$4:H$38,2,FALSE)*H747+VLOOKUP(C747,Deflatores!G$4:I$38,3,FALSE)))</f>
        <v/>
      </c>
      <c r="M747" s="10"/>
      <c r="N747" s="10"/>
      <c r="O747" s="6"/>
    </row>
    <row r="748" spans="1:15" x14ac:dyDescent="0.25">
      <c r="A748" s="119"/>
      <c r="B748" s="4"/>
      <c r="C748" s="4"/>
      <c r="D748" s="7"/>
      <c r="E748" s="7"/>
      <c r="F748" s="116" t="str">
        <f t="shared" si="300"/>
        <v/>
      </c>
      <c r="G748" s="7" t="str">
        <f t="shared" si="301"/>
        <v/>
      </c>
      <c r="H748" s="7" t="str">
        <f t="shared" si="302"/>
        <v/>
      </c>
      <c r="I748" s="116" t="str">
        <f t="shared" si="303"/>
        <v/>
      </c>
      <c r="J748" s="7" t="str">
        <f t="shared" si="304"/>
        <v/>
      </c>
      <c r="K748" s="127" t="str">
        <f t="shared" si="305"/>
        <v/>
      </c>
      <c r="L748" s="127" t="str">
        <f>IF(NOT(ISERROR(VLOOKUP(B748,Deflatores!G$42:H$64,2,FALSE))),VLOOKUP(B748,Deflatores!G$42:H$64,2,FALSE),IF(OR(ISBLANK(C748),ISBLANK(B748)),"",VLOOKUP(C748,Deflatores!G$4:H$38,2,FALSE)*H748+VLOOKUP(C748,Deflatores!G$4:I$38,3,FALSE)))</f>
        <v/>
      </c>
      <c r="M748" s="10"/>
      <c r="N748" s="10"/>
      <c r="O748" s="6"/>
    </row>
    <row r="749" spans="1:15" x14ac:dyDescent="0.25">
      <c r="A749" s="119"/>
      <c r="B749" s="4"/>
      <c r="C749" s="4"/>
      <c r="D749" s="7"/>
      <c r="E749" s="7"/>
      <c r="F749" s="116" t="str">
        <f t="shared" si="300"/>
        <v/>
      </c>
      <c r="G749" s="7" t="str">
        <f t="shared" si="301"/>
        <v/>
      </c>
      <c r="H749" s="7" t="str">
        <f t="shared" si="302"/>
        <v/>
      </c>
      <c r="I749" s="116" t="str">
        <f t="shared" si="303"/>
        <v/>
      </c>
      <c r="J749" s="7" t="str">
        <f t="shared" si="304"/>
        <v/>
      </c>
      <c r="K749" s="127" t="str">
        <f t="shared" si="305"/>
        <v/>
      </c>
      <c r="L749" s="127" t="str">
        <f>IF(NOT(ISERROR(VLOOKUP(B749,Deflatores!G$42:H$64,2,FALSE))),VLOOKUP(B749,Deflatores!G$42:H$64,2,FALSE),IF(OR(ISBLANK(C749),ISBLANK(B749)),"",VLOOKUP(C749,Deflatores!G$4:H$38,2,FALSE)*H749+VLOOKUP(C749,Deflatores!G$4:I$38,3,FALSE)))</f>
        <v/>
      </c>
      <c r="M749" s="10"/>
      <c r="N749" s="10"/>
      <c r="O749" s="6"/>
    </row>
    <row r="750" spans="1:15" x14ac:dyDescent="0.25">
      <c r="A750" s="119"/>
      <c r="B750" s="4"/>
      <c r="C750" s="4"/>
      <c r="D750" s="7"/>
      <c r="E750" s="7"/>
      <c r="F750" s="116" t="str">
        <f t="shared" si="300"/>
        <v/>
      </c>
      <c r="G750" s="7" t="str">
        <f t="shared" si="301"/>
        <v/>
      </c>
      <c r="H750" s="7" t="str">
        <f t="shared" si="302"/>
        <v/>
      </c>
      <c r="I750" s="116" t="str">
        <f t="shared" si="303"/>
        <v/>
      </c>
      <c r="J750" s="7" t="str">
        <f t="shared" si="304"/>
        <v/>
      </c>
      <c r="K750" s="127" t="str">
        <f t="shared" si="305"/>
        <v/>
      </c>
      <c r="L750" s="127" t="str">
        <f>IF(NOT(ISERROR(VLOOKUP(B750,Deflatores!G$42:H$64,2,FALSE))),VLOOKUP(B750,Deflatores!G$42:H$64,2,FALSE),IF(OR(ISBLANK(C750),ISBLANK(B750)),"",VLOOKUP(C750,Deflatores!G$4:H$38,2,FALSE)*H750+VLOOKUP(C750,Deflatores!G$4:I$38,3,FALSE)))</f>
        <v/>
      </c>
      <c r="M750" s="10"/>
      <c r="N750" s="10"/>
      <c r="O750" s="6"/>
    </row>
    <row r="751" spans="1:15" x14ac:dyDescent="0.25">
      <c r="A751" s="119"/>
      <c r="B751" s="4"/>
      <c r="C751" s="4"/>
      <c r="D751" s="7"/>
      <c r="E751" s="7"/>
      <c r="F751" s="116" t="str">
        <f t="shared" si="300"/>
        <v/>
      </c>
      <c r="G751" s="7" t="str">
        <f t="shared" si="301"/>
        <v/>
      </c>
      <c r="H751" s="7" t="str">
        <f t="shared" si="302"/>
        <v/>
      </c>
      <c r="I751" s="116" t="str">
        <f t="shared" si="303"/>
        <v/>
      </c>
      <c r="J751" s="7" t="str">
        <f t="shared" si="304"/>
        <v/>
      </c>
      <c r="K751" s="127" t="str">
        <f t="shared" si="305"/>
        <v/>
      </c>
      <c r="L751" s="127" t="str">
        <f>IF(NOT(ISERROR(VLOOKUP(B751,Deflatores!G$42:H$64,2,FALSE))),VLOOKUP(B751,Deflatores!G$42:H$64,2,FALSE),IF(OR(ISBLANK(C751),ISBLANK(B751)),"",VLOOKUP(C751,Deflatores!G$4:H$38,2,FALSE)*H751+VLOOKUP(C751,Deflatores!G$4:I$38,3,FALSE)))</f>
        <v/>
      </c>
      <c r="M751" s="10"/>
      <c r="N751" s="10"/>
      <c r="O751" s="6"/>
    </row>
    <row r="752" spans="1:15" x14ac:dyDescent="0.25">
      <c r="A752" s="119"/>
      <c r="B752" s="4"/>
      <c r="C752" s="4"/>
      <c r="D752" s="7"/>
      <c r="E752" s="7"/>
      <c r="F752" s="116" t="str">
        <f t="shared" si="300"/>
        <v/>
      </c>
      <c r="G752" s="7" t="str">
        <f t="shared" si="301"/>
        <v/>
      </c>
      <c r="H752" s="7" t="str">
        <f t="shared" si="302"/>
        <v/>
      </c>
      <c r="I752" s="116" t="str">
        <f t="shared" si="303"/>
        <v/>
      </c>
      <c r="J752" s="7" t="str">
        <f t="shared" si="304"/>
        <v/>
      </c>
      <c r="K752" s="127" t="str">
        <f t="shared" si="305"/>
        <v/>
      </c>
      <c r="L752" s="127" t="str">
        <f>IF(NOT(ISERROR(VLOOKUP(B752,Deflatores!G$42:H$64,2,FALSE))),VLOOKUP(B752,Deflatores!G$42:H$64,2,FALSE),IF(OR(ISBLANK(C752),ISBLANK(B752)),"",VLOOKUP(C752,Deflatores!G$4:H$38,2,FALSE)*H752+VLOOKUP(C752,Deflatores!G$4:I$38,3,FALSE)))</f>
        <v/>
      </c>
      <c r="M752" s="10"/>
      <c r="N752" s="10"/>
      <c r="O752" s="6"/>
    </row>
    <row r="753" spans="1:15" x14ac:dyDescent="0.25">
      <c r="A753" s="119"/>
      <c r="B753" s="4"/>
      <c r="C753" s="4"/>
      <c r="D753" s="7"/>
      <c r="E753" s="7"/>
      <c r="F753" s="116" t="str">
        <f t="shared" si="300"/>
        <v/>
      </c>
      <c r="G753" s="7" t="str">
        <f t="shared" si="301"/>
        <v/>
      </c>
      <c r="H753" s="7" t="str">
        <f t="shared" si="302"/>
        <v/>
      </c>
      <c r="I753" s="116" t="str">
        <f t="shared" si="303"/>
        <v/>
      </c>
      <c r="J753" s="7" t="str">
        <f t="shared" si="304"/>
        <v/>
      </c>
      <c r="K753" s="127" t="str">
        <f t="shared" si="305"/>
        <v/>
      </c>
      <c r="L753" s="127" t="str">
        <f>IF(NOT(ISERROR(VLOOKUP(B753,Deflatores!G$42:H$64,2,FALSE))),VLOOKUP(B753,Deflatores!G$42:H$64,2,FALSE),IF(OR(ISBLANK(C753),ISBLANK(B753)),"",VLOOKUP(C753,Deflatores!G$4:H$38,2,FALSE)*H753+VLOOKUP(C753,Deflatores!G$4:I$38,3,FALSE)))</f>
        <v/>
      </c>
      <c r="M753" s="10"/>
      <c r="N753" s="10"/>
      <c r="O753" s="6"/>
    </row>
    <row r="754" spans="1:15" x14ac:dyDescent="0.25">
      <c r="A754" s="119"/>
      <c r="B754" s="4"/>
      <c r="C754" s="4"/>
      <c r="D754" s="7"/>
      <c r="E754" s="7"/>
      <c r="F754" s="116" t="str">
        <f t="shared" si="300"/>
        <v/>
      </c>
      <c r="G754" s="7" t="str">
        <f t="shared" si="301"/>
        <v/>
      </c>
      <c r="H754" s="7" t="str">
        <f t="shared" si="302"/>
        <v/>
      </c>
      <c r="I754" s="116" t="str">
        <f t="shared" si="303"/>
        <v/>
      </c>
      <c r="J754" s="7" t="str">
        <f t="shared" si="304"/>
        <v/>
      </c>
      <c r="K754" s="127" t="str">
        <f t="shared" si="305"/>
        <v/>
      </c>
      <c r="L754" s="127" t="str">
        <f>IF(NOT(ISERROR(VLOOKUP(B754,Deflatores!G$42:H$64,2,FALSE))),VLOOKUP(B754,Deflatores!G$42:H$64,2,FALSE),IF(OR(ISBLANK(C754),ISBLANK(B754)),"",VLOOKUP(C754,Deflatores!G$4:H$38,2,FALSE)*H754+VLOOKUP(C754,Deflatores!G$4:I$38,3,FALSE)))</f>
        <v/>
      </c>
      <c r="M754" s="10"/>
      <c r="N754" s="10"/>
      <c r="O754" s="6"/>
    </row>
    <row r="755" spans="1:15" x14ac:dyDescent="0.25">
      <c r="A755" s="119"/>
      <c r="B755" s="4"/>
      <c r="C755" s="4"/>
      <c r="D755" s="7"/>
      <c r="E755" s="7"/>
      <c r="F755" s="116" t="str">
        <f t="shared" si="300"/>
        <v/>
      </c>
      <c r="G755" s="7" t="str">
        <f t="shared" si="301"/>
        <v/>
      </c>
      <c r="H755" s="7" t="str">
        <f t="shared" si="302"/>
        <v/>
      </c>
      <c r="I755" s="116" t="str">
        <f t="shared" si="303"/>
        <v/>
      </c>
      <c r="J755" s="7" t="str">
        <f t="shared" si="304"/>
        <v/>
      </c>
      <c r="K755" s="127" t="str">
        <f t="shared" si="305"/>
        <v/>
      </c>
      <c r="L755" s="127" t="str">
        <f>IF(NOT(ISERROR(VLOOKUP(B755,Deflatores!G$42:H$64,2,FALSE))),VLOOKUP(B755,Deflatores!G$42:H$64,2,FALSE),IF(OR(ISBLANK(C755),ISBLANK(B755)),"",VLOOKUP(C755,Deflatores!G$4:H$38,2,FALSE)*H755+VLOOKUP(C755,Deflatores!G$4:I$38,3,FALSE)))</f>
        <v/>
      </c>
      <c r="M755" s="10"/>
      <c r="N755" s="10"/>
      <c r="O755" s="6"/>
    </row>
    <row r="756" spans="1:15" x14ac:dyDescent="0.25">
      <c r="A756" s="119"/>
      <c r="B756" s="4"/>
      <c r="C756" s="4"/>
      <c r="D756" s="7"/>
      <c r="E756" s="7"/>
      <c r="F756" s="116" t="str">
        <f t="shared" si="300"/>
        <v/>
      </c>
      <c r="G756" s="7" t="str">
        <f t="shared" si="301"/>
        <v/>
      </c>
      <c r="H756" s="7" t="str">
        <f t="shared" si="302"/>
        <v/>
      </c>
      <c r="I756" s="116" t="str">
        <f t="shared" si="303"/>
        <v/>
      </c>
      <c r="J756" s="7" t="str">
        <f t="shared" si="304"/>
        <v/>
      </c>
      <c r="K756" s="127" t="str">
        <f t="shared" si="305"/>
        <v/>
      </c>
      <c r="L756" s="127" t="str">
        <f>IF(NOT(ISERROR(VLOOKUP(B756,Deflatores!G$42:H$64,2,FALSE))),VLOOKUP(B756,Deflatores!G$42:H$64,2,FALSE),IF(OR(ISBLANK(C756),ISBLANK(B756)),"",VLOOKUP(C756,Deflatores!G$4:H$38,2,FALSE)*H756+VLOOKUP(C756,Deflatores!G$4:I$38,3,FALSE)))</f>
        <v/>
      </c>
      <c r="M756" s="10"/>
      <c r="N756" s="10"/>
      <c r="O756" s="6"/>
    </row>
    <row r="757" spans="1:15" x14ac:dyDescent="0.25">
      <c r="A757" s="119"/>
      <c r="B757" s="4"/>
      <c r="C757" s="4"/>
      <c r="D757" s="7"/>
      <c r="E757" s="7"/>
      <c r="F757" s="116" t="str">
        <f t="shared" si="300"/>
        <v/>
      </c>
      <c r="G757" s="7" t="str">
        <f t="shared" si="301"/>
        <v/>
      </c>
      <c r="H757" s="7" t="str">
        <f t="shared" si="302"/>
        <v/>
      </c>
      <c r="I757" s="116" t="str">
        <f t="shared" si="303"/>
        <v/>
      </c>
      <c r="J757" s="7" t="str">
        <f t="shared" si="304"/>
        <v/>
      </c>
      <c r="K757" s="127" t="str">
        <f t="shared" si="305"/>
        <v/>
      </c>
      <c r="L757" s="127" t="str">
        <f>IF(NOT(ISERROR(VLOOKUP(B757,Deflatores!G$42:H$64,2,FALSE))),VLOOKUP(B757,Deflatores!G$42:H$64,2,FALSE),IF(OR(ISBLANK(C757),ISBLANK(B757)),"",VLOOKUP(C757,Deflatores!G$4:H$38,2,FALSE)*H757+VLOOKUP(C757,Deflatores!G$4:I$38,3,FALSE)))</f>
        <v/>
      </c>
      <c r="M757" s="10"/>
      <c r="N757" s="10"/>
      <c r="O757" s="6"/>
    </row>
    <row r="758" spans="1:15" x14ac:dyDescent="0.25">
      <c r="A758" s="119"/>
      <c r="B758" s="4"/>
      <c r="C758" s="4"/>
      <c r="D758" s="7"/>
      <c r="E758" s="7"/>
      <c r="F758" s="116" t="str">
        <f t="shared" si="300"/>
        <v/>
      </c>
      <c r="G758" s="7" t="str">
        <f t="shared" si="301"/>
        <v/>
      </c>
      <c r="H758" s="7" t="str">
        <f t="shared" si="302"/>
        <v/>
      </c>
      <c r="I758" s="116" t="str">
        <f t="shared" si="303"/>
        <v/>
      </c>
      <c r="J758" s="7" t="str">
        <f t="shared" si="304"/>
        <v/>
      </c>
      <c r="K758" s="127" t="str">
        <f t="shared" si="305"/>
        <v/>
      </c>
      <c r="L758" s="127" t="str">
        <f>IF(NOT(ISERROR(VLOOKUP(B758,Deflatores!G$42:H$64,2,FALSE))),VLOOKUP(B758,Deflatores!G$42:H$64,2,FALSE),IF(OR(ISBLANK(C758),ISBLANK(B758)),"",VLOOKUP(C758,Deflatores!G$4:H$38,2,FALSE)*H758+VLOOKUP(C758,Deflatores!G$4:I$38,3,FALSE)))</f>
        <v/>
      </c>
      <c r="M758" s="10"/>
      <c r="N758" s="10"/>
      <c r="O758" s="6"/>
    </row>
    <row r="759" spans="1:15" x14ac:dyDescent="0.25">
      <c r="A759" s="119"/>
      <c r="B759" s="4"/>
      <c r="C759" s="4"/>
      <c r="D759" s="7"/>
      <c r="E759" s="7"/>
      <c r="F759" s="116" t="str">
        <f t="shared" si="300"/>
        <v/>
      </c>
      <c r="G759" s="7" t="str">
        <f t="shared" si="301"/>
        <v/>
      </c>
      <c r="H759" s="7" t="str">
        <f t="shared" si="302"/>
        <v/>
      </c>
      <c r="I759" s="116" t="str">
        <f t="shared" si="303"/>
        <v/>
      </c>
      <c r="J759" s="7" t="str">
        <f t="shared" si="304"/>
        <v/>
      </c>
      <c r="K759" s="127" t="str">
        <f t="shared" si="305"/>
        <v/>
      </c>
      <c r="L759" s="127" t="str">
        <f>IF(NOT(ISERROR(VLOOKUP(B759,Deflatores!G$42:H$64,2,FALSE))),VLOOKUP(B759,Deflatores!G$42:H$64,2,FALSE),IF(OR(ISBLANK(C759),ISBLANK(B759)),"",VLOOKUP(C759,Deflatores!G$4:H$38,2,FALSE)*H759+VLOOKUP(C759,Deflatores!G$4:I$38,3,FALSE)))</f>
        <v/>
      </c>
      <c r="M759" s="10"/>
      <c r="N759" s="10"/>
      <c r="O759" s="6"/>
    </row>
    <row r="760" spans="1:15" x14ac:dyDescent="0.25">
      <c r="A760" s="119"/>
      <c r="B760" s="4"/>
      <c r="C760" s="4"/>
      <c r="D760" s="7"/>
      <c r="E760" s="7"/>
      <c r="F760" s="116" t="str">
        <f t="shared" si="300"/>
        <v/>
      </c>
      <c r="G760" s="7" t="str">
        <f t="shared" si="301"/>
        <v/>
      </c>
      <c r="H760" s="7" t="str">
        <f t="shared" si="302"/>
        <v/>
      </c>
      <c r="I760" s="116" t="str">
        <f t="shared" si="303"/>
        <v/>
      </c>
      <c r="J760" s="7" t="str">
        <f t="shared" si="304"/>
        <v/>
      </c>
      <c r="K760" s="127" t="str">
        <f t="shared" si="305"/>
        <v/>
      </c>
      <c r="L760" s="127" t="str">
        <f>IF(NOT(ISERROR(VLOOKUP(B760,Deflatores!G$42:H$64,2,FALSE))),VLOOKUP(B760,Deflatores!G$42:H$64,2,FALSE),IF(OR(ISBLANK(C760),ISBLANK(B760)),"",VLOOKUP(C760,Deflatores!G$4:H$38,2,FALSE)*H760+VLOOKUP(C760,Deflatores!G$4:I$38,3,FALSE)))</f>
        <v/>
      </c>
      <c r="M760" s="10"/>
      <c r="N760" s="10"/>
      <c r="O760" s="6"/>
    </row>
    <row r="761" spans="1:15" x14ac:dyDescent="0.25">
      <c r="A761" s="119"/>
      <c r="B761" s="4"/>
      <c r="C761" s="4"/>
      <c r="D761" s="7"/>
      <c r="E761" s="7"/>
      <c r="F761" s="116" t="str">
        <f t="shared" si="300"/>
        <v/>
      </c>
      <c r="G761" s="7" t="str">
        <f t="shared" si="301"/>
        <v/>
      </c>
      <c r="H761" s="7" t="str">
        <f t="shared" si="302"/>
        <v/>
      </c>
      <c r="I761" s="116" t="str">
        <f t="shared" si="303"/>
        <v/>
      </c>
      <c r="J761" s="7" t="str">
        <f t="shared" si="304"/>
        <v/>
      </c>
      <c r="K761" s="127" t="str">
        <f t="shared" si="305"/>
        <v/>
      </c>
      <c r="L761" s="127" t="str">
        <f>IF(NOT(ISERROR(VLOOKUP(B761,Deflatores!G$42:H$64,2,FALSE))),VLOOKUP(B761,Deflatores!G$42:H$64,2,FALSE),IF(OR(ISBLANK(C761),ISBLANK(B761)),"",VLOOKUP(C761,Deflatores!G$4:H$38,2,FALSE)*H761+VLOOKUP(C761,Deflatores!G$4:I$38,3,FALSE)))</f>
        <v/>
      </c>
      <c r="M761" s="10"/>
      <c r="N761" s="10"/>
      <c r="O761" s="6"/>
    </row>
    <row r="762" spans="1:15" x14ac:dyDescent="0.25">
      <c r="A762" s="119"/>
      <c r="B762" s="4"/>
      <c r="C762" s="4"/>
      <c r="D762" s="7"/>
      <c r="E762" s="7"/>
      <c r="F762" s="116" t="str">
        <f t="shared" si="300"/>
        <v/>
      </c>
      <c r="G762" s="7" t="str">
        <f t="shared" si="301"/>
        <v/>
      </c>
      <c r="H762" s="7" t="str">
        <f t="shared" si="302"/>
        <v/>
      </c>
      <c r="I762" s="116" t="str">
        <f t="shared" si="303"/>
        <v/>
      </c>
      <c r="J762" s="7" t="str">
        <f t="shared" si="304"/>
        <v/>
      </c>
      <c r="K762" s="127" t="str">
        <f t="shared" si="305"/>
        <v/>
      </c>
      <c r="L762" s="127" t="str">
        <f>IF(NOT(ISERROR(VLOOKUP(B762,Deflatores!G$42:H$64,2,FALSE))),VLOOKUP(B762,Deflatores!G$42:H$64,2,FALSE),IF(OR(ISBLANK(C762),ISBLANK(B762)),"",VLOOKUP(C762,Deflatores!G$4:H$38,2,FALSE)*H762+VLOOKUP(C762,Deflatores!G$4:I$38,3,FALSE)))</f>
        <v/>
      </c>
      <c r="M762" s="10"/>
      <c r="N762" s="10"/>
      <c r="O762" s="6"/>
    </row>
    <row r="763" spans="1:15" x14ac:dyDescent="0.25">
      <c r="A763" s="119"/>
      <c r="B763" s="4"/>
      <c r="C763" s="4"/>
      <c r="D763" s="7"/>
      <c r="E763" s="7"/>
      <c r="F763" s="116" t="str">
        <f t="shared" si="300"/>
        <v/>
      </c>
      <c r="G763" s="7" t="str">
        <f t="shared" si="301"/>
        <v/>
      </c>
      <c r="H763" s="7" t="str">
        <f t="shared" si="302"/>
        <v/>
      </c>
      <c r="I763" s="116" t="str">
        <f t="shared" si="303"/>
        <v/>
      </c>
      <c r="J763" s="7" t="str">
        <f t="shared" si="304"/>
        <v/>
      </c>
      <c r="K763" s="127" t="str">
        <f t="shared" si="305"/>
        <v/>
      </c>
      <c r="L763" s="127" t="str">
        <f>IF(NOT(ISERROR(VLOOKUP(B763,Deflatores!G$42:H$64,2,FALSE))),VLOOKUP(B763,Deflatores!G$42:H$64,2,FALSE),IF(OR(ISBLANK(C763),ISBLANK(B763)),"",VLOOKUP(C763,Deflatores!G$4:H$38,2,FALSE)*H763+VLOOKUP(C763,Deflatores!G$4:I$38,3,FALSE)))</f>
        <v/>
      </c>
      <c r="M763" s="10"/>
      <c r="N763" s="10"/>
      <c r="O763" s="6"/>
    </row>
    <row r="764" spans="1:15" x14ac:dyDescent="0.25">
      <c r="A764" s="119"/>
      <c r="B764" s="4"/>
      <c r="C764" s="4"/>
      <c r="D764" s="7"/>
      <c r="E764" s="7"/>
      <c r="F764" s="116" t="str">
        <f t="shared" si="300"/>
        <v/>
      </c>
      <c r="G764" s="7" t="str">
        <f t="shared" si="301"/>
        <v/>
      </c>
      <c r="H764" s="7" t="str">
        <f t="shared" si="302"/>
        <v/>
      </c>
      <c r="I764" s="116" t="str">
        <f t="shared" si="303"/>
        <v/>
      </c>
      <c r="J764" s="7" t="str">
        <f t="shared" si="304"/>
        <v/>
      </c>
      <c r="K764" s="127" t="str">
        <f t="shared" si="305"/>
        <v/>
      </c>
      <c r="L764" s="127" t="str">
        <f>IF(NOT(ISERROR(VLOOKUP(B764,Deflatores!G$42:H$64,2,FALSE))),VLOOKUP(B764,Deflatores!G$42:H$64,2,FALSE),IF(OR(ISBLANK(C764),ISBLANK(B764)),"",VLOOKUP(C764,Deflatores!G$4:H$38,2,FALSE)*H764+VLOOKUP(C764,Deflatores!G$4:I$38,3,FALSE)))</f>
        <v/>
      </c>
      <c r="M764" s="10"/>
      <c r="N764" s="10"/>
      <c r="O764" s="6"/>
    </row>
    <row r="765" spans="1:15" x14ac:dyDescent="0.25">
      <c r="A765" s="119"/>
      <c r="B765" s="4"/>
      <c r="C765" s="4"/>
      <c r="D765" s="7"/>
      <c r="E765" s="7"/>
      <c r="F765" s="116" t="str">
        <f t="shared" si="300"/>
        <v/>
      </c>
      <c r="G765" s="7" t="str">
        <f t="shared" si="301"/>
        <v/>
      </c>
      <c r="H765" s="7" t="str">
        <f t="shared" si="302"/>
        <v/>
      </c>
      <c r="I765" s="116" t="str">
        <f t="shared" si="303"/>
        <v/>
      </c>
      <c r="J765" s="7" t="str">
        <f t="shared" si="304"/>
        <v/>
      </c>
      <c r="K765" s="127" t="str">
        <f t="shared" si="305"/>
        <v/>
      </c>
      <c r="L765" s="127" t="str">
        <f>IF(NOT(ISERROR(VLOOKUP(B765,Deflatores!G$42:H$64,2,FALSE))),VLOOKUP(B765,Deflatores!G$42:H$64,2,FALSE),IF(OR(ISBLANK(C765),ISBLANK(B765)),"",VLOOKUP(C765,Deflatores!G$4:H$38,2,FALSE)*H765+VLOOKUP(C765,Deflatores!G$4:I$38,3,FALSE)))</f>
        <v/>
      </c>
      <c r="M765" s="10"/>
      <c r="N765" s="10"/>
      <c r="O765" s="6"/>
    </row>
    <row r="766" spans="1:15" x14ac:dyDescent="0.25">
      <c r="A766" s="119"/>
      <c r="B766" s="4"/>
      <c r="C766" s="4"/>
      <c r="D766" s="7"/>
      <c r="E766" s="7"/>
      <c r="F766" s="116" t="str">
        <f t="shared" si="300"/>
        <v/>
      </c>
      <c r="G766" s="7" t="str">
        <f t="shared" si="301"/>
        <v/>
      </c>
      <c r="H766" s="7" t="str">
        <f t="shared" si="302"/>
        <v/>
      </c>
      <c r="I766" s="116" t="str">
        <f t="shared" si="303"/>
        <v/>
      </c>
      <c r="J766" s="7" t="str">
        <f t="shared" si="304"/>
        <v/>
      </c>
      <c r="K766" s="127" t="str">
        <f t="shared" si="305"/>
        <v/>
      </c>
      <c r="L766" s="127" t="str">
        <f>IF(NOT(ISERROR(VLOOKUP(B766,Deflatores!G$42:H$64,2,FALSE))),VLOOKUP(B766,Deflatores!G$42:H$64,2,FALSE),IF(OR(ISBLANK(C766),ISBLANK(B766)),"",VLOOKUP(C766,Deflatores!G$4:H$38,2,FALSE)*H766+VLOOKUP(C766,Deflatores!G$4:I$38,3,FALSE)))</f>
        <v/>
      </c>
      <c r="M766" s="10"/>
      <c r="N766" s="10"/>
      <c r="O766" s="6"/>
    </row>
    <row r="767" spans="1:15" x14ac:dyDescent="0.25">
      <c r="A767" s="119"/>
      <c r="B767" s="4"/>
      <c r="C767" s="4"/>
      <c r="D767" s="7"/>
      <c r="E767" s="7"/>
      <c r="F767" s="116" t="str">
        <f t="shared" si="300"/>
        <v/>
      </c>
      <c r="G767" s="7" t="str">
        <f t="shared" si="301"/>
        <v/>
      </c>
      <c r="H767" s="7" t="str">
        <f t="shared" si="302"/>
        <v/>
      </c>
      <c r="I767" s="116" t="str">
        <f t="shared" si="303"/>
        <v/>
      </c>
      <c r="J767" s="7" t="str">
        <f t="shared" si="304"/>
        <v/>
      </c>
      <c r="K767" s="127" t="str">
        <f t="shared" si="305"/>
        <v/>
      </c>
      <c r="L767" s="127" t="str">
        <f>IF(NOT(ISERROR(VLOOKUP(B767,Deflatores!G$42:H$64,2,FALSE))),VLOOKUP(B767,Deflatores!G$42:H$64,2,FALSE),IF(OR(ISBLANK(C767),ISBLANK(B767)),"",VLOOKUP(C767,Deflatores!G$4:H$38,2,FALSE)*H767+VLOOKUP(C767,Deflatores!G$4:I$38,3,FALSE)))</f>
        <v/>
      </c>
      <c r="M767" s="10"/>
      <c r="N767" s="10"/>
      <c r="O767" s="6"/>
    </row>
    <row r="768" spans="1:15" x14ac:dyDescent="0.25">
      <c r="A768" s="119"/>
      <c r="B768" s="4"/>
      <c r="C768" s="4"/>
      <c r="D768" s="7"/>
      <c r="E768" s="7"/>
      <c r="F768" s="116" t="str">
        <f t="shared" si="300"/>
        <v/>
      </c>
      <c r="G768" s="7" t="str">
        <f t="shared" si="301"/>
        <v/>
      </c>
      <c r="H768" s="7" t="str">
        <f t="shared" si="302"/>
        <v/>
      </c>
      <c r="I768" s="116" t="str">
        <f t="shared" si="303"/>
        <v/>
      </c>
      <c r="J768" s="7" t="str">
        <f t="shared" si="304"/>
        <v/>
      </c>
      <c r="K768" s="127" t="str">
        <f t="shared" si="305"/>
        <v/>
      </c>
      <c r="L768" s="127" t="str">
        <f>IF(NOT(ISERROR(VLOOKUP(B768,Deflatores!G$42:H$64,2,FALSE))),VLOOKUP(B768,Deflatores!G$42:H$64,2,FALSE),IF(OR(ISBLANK(C768),ISBLANK(B768)),"",VLOOKUP(C768,Deflatores!G$4:H$38,2,FALSE)*H768+VLOOKUP(C768,Deflatores!G$4:I$38,3,FALSE)))</f>
        <v/>
      </c>
      <c r="M768" s="10"/>
      <c r="N768" s="10"/>
      <c r="O768" s="6"/>
    </row>
    <row r="769" spans="1:15" x14ac:dyDescent="0.25">
      <c r="A769" s="119"/>
      <c r="B769" s="4"/>
      <c r="C769" s="4"/>
      <c r="D769" s="7"/>
      <c r="E769" s="7"/>
      <c r="F769" s="116" t="str">
        <f t="shared" si="300"/>
        <v/>
      </c>
      <c r="G769" s="7" t="str">
        <f t="shared" si="301"/>
        <v/>
      </c>
      <c r="H769" s="7" t="str">
        <f t="shared" si="302"/>
        <v/>
      </c>
      <c r="I769" s="116" t="str">
        <f t="shared" si="303"/>
        <v/>
      </c>
      <c r="J769" s="7" t="str">
        <f t="shared" si="304"/>
        <v/>
      </c>
      <c r="K769" s="127" t="str">
        <f t="shared" si="305"/>
        <v/>
      </c>
      <c r="L769" s="127" t="str">
        <f>IF(NOT(ISERROR(VLOOKUP(B769,Deflatores!G$42:H$64,2,FALSE))),VLOOKUP(B769,Deflatores!G$42:H$64,2,FALSE),IF(OR(ISBLANK(C769),ISBLANK(B769)),"",VLOOKUP(C769,Deflatores!G$4:H$38,2,FALSE)*H769+VLOOKUP(C769,Deflatores!G$4:I$38,3,FALSE)))</f>
        <v/>
      </c>
      <c r="M769" s="10"/>
      <c r="N769" s="10"/>
      <c r="O769" s="6"/>
    </row>
    <row r="770" spans="1:15" x14ac:dyDescent="0.25">
      <c r="A770" s="119"/>
      <c r="B770" s="4"/>
      <c r="C770" s="4"/>
      <c r="D770" s="7"/>
      <c r="E770" s="7"/>
      <c r="F770" s="116" t="str">
        <f t="shared" si="300"/>
        <v/>
      </c>
      <c r="G770" s="7" t="str">
        <f t="shared" si="301"/>
        <v/>
      </c>
      <c r="H770" s="7" t="str">
        <f t="shared" si="302"/>
        <v/>
      </c>
      <c r="I770" s="116" t="str">
        <f t="shared" si="303"/>
        <v/>
      </c>
      <c r="J770" s="7" t="str">
        <f t="shared" si="304"/>
        <v/>
      </c>
      <c r="K770" s="127" t="str">
        <f t="shared" si="305"/>
        <v/>
      </c>
      <c r="L770" s="127" t="str">
        <f>IF(NOT(ISERROR(VLOOKUP(B770,Deflatores!G$42:H$64,2,FALSE))),VLOOKUP(B770,Deflatores!G$42:H$64,2,FALSE),IF(OR(ISBLANK(C770),ISBLANK(B770)),"",VLOOKUP(C770,Deflatores!G$4:H$38,2,FALSE)*H770+VLOOKUP(C770,Deflatores!G$4:I$38,3,FALSE)))</f>
        <v/>
      </c>
      <c r="M770" s="10"/>
      <c r="N770" s="10"/>
      <c r="O770" s="6"/>
    </row>
    <row r="771" spans="1:15" x14ac:dyDescent="0.25">
      <c r="A771" s="119"/>
      <c r="B771" s="4"/>
      <c r="C771" s="4"/>
      <c r="D771" s="7"/>
      <c r="E771" s="7"/>
      <c r="F771" s="116" t="str">
        <f t="shared" si="300"/>
        <v/>
      </c>
      <c r="G771" s="7" t="str">
        <f t="shared" si="301"/>
        <v/>
      </c>
      <c r="H771" s="7" t="str">
        <f t="shared" si="302"/>
        <v/>
      </c>
      <c r="I771" s="116" t="str">
        <f t="shared" si="303"/>
        <v/>
      </c>
      <c r="J771" s="7" t="str">
        <f t="shared" si="304"/>
        <v/>
      </c>
      <c r="K771" s="127" t="str">
        <f t="shared" si="305"/>
        <v/>
      </c>
      <c r="L771" s="127" t="str">
        <f>IF(NOT(ISERROR(VLOOKUP(B771,Deflatores!G$42:H$64,2,FALSE))),VLOOKUP(B771,Deflatores!G$42:H$64,2,FALSE),IF(OR(ISBLANK(C771),ISBLANK(B771)),"",VLOOKUP(C771,Deflatores!G$4:H$38,2,FALSE)*H771+VLOOKUP(C771,Deflatores!G$4:I$38,3,FALSE)))</f>
        <v/>
      </c>
      <c r="M771" s="10"/>
      <c r="N771" s="10"/>
      <c r="O771" s="6"/>
    </row>
    <row r="772" spans="1:15" x14ac:dyDescent="0.25">
      <c r="A772" s="119"/>
      <c r="B772" s="4"/>
      <c r="C772" s="4"/>
      <c r="D772" s="7"/>
      <c r="E772" s="7"/>
      <c r="F772" s="116" t="str">
        <f t="shared" si="300"/>
        <v/>
      </c>
      <c r="G772" s="7" t="str">
        <f t="shared" si="301"/>
        <v/>
      </c>
      <c r="H772" s="7" t="str">
        <f t="shared" si="302"/>
        <v/>
      </c>
      <c r="I772" s="116" t="str">
        <f t="shared" si="303"/>
        <v/>
      </c>
      <c r="J772" s="7" t="str">
        <f t="shared" si="304"/>
        <v/>
      </c>
      <c r="K772" s="127" t="str">
        <f t="shared" si="305"/>
        <v/>
      </c>
      <c r="L772" s="127" t="str">
        <f>IF(NOT(ISERROR(VLOOKUP(B772,Deflatores!G$42:H$64,2,FALSE))),VLOOKUP(B772,Deflatores!G$42:H$64,2,FALSE),IF(OR(ISBLANK(C772),ISBLANK(B772)),"",VLOOKUP(C772,Deflatores!G$4:H$38,2,FALSE)*H772+VLOOKUP(C772,Deflatores!G$4:I$38,3,FALSE)))</f>
        <v/>
      </c>
      <c r="M772" s="10"/>
      <c r="N772" s="10"/>
      <c r="O772" s="6"/>
    </row>
    <row r="773" spans="1:15" x14ac:dyDescent="0.25">
      <c r="A773" s="119"/>
      <c r="B773" s="4"/>
      <c r="C773" s="4"/>
      <c r="D773" s="7"/>
      <c r="E773" s="7"/>
      <c r="F773" s="116" t="str">
        <f t="shared" si="300"/>
        <v/>
      </c>
      <c r="G773" s="7" t="str">
        <f t="shared" si="301"/>
        <v/>
      </c>
      <c r="H773" s="7" t="str">
        <f t="shared" si="302"/>
        <v/>
      </c>
      <c r="I773" s="116" t="str">
        <f t="shared" si="303"/>
        <v/>
      </c>
      <c r="J773" s="7" t="str">
        <f t="shared" si="304"/>
        <v/>
      </c>
      <c r="K773" s="127" t="str">
        <f t="shared" si="305"/>
        <v/>
      </c>
      <c r="L773" s="127" t="str">
        <f>IF(NOT(ISERROR(VLOOKUP(B773,Deflatores!G$42:H$64,2,FALSE))),VLOOKUP(B773,Deflatores!G$42:H$64,2,FALSE),IF(OR(ISBLANK(C773),ISBLANK(B773)),"",VLOOKUP(C773,Deflatores!G$4:H$38,2,FALSE)*H773+VLOOKUP(C773,Deflatores!G$4:I$38,3,FALSE)))</f>
        <v/>
      </c>
      <c r="M773" s="10"/>
      <c r="N773" s="10"/>
      <c r="O773" s="6"/>
    </row>
    <row r="774" spans="1:15" x14ac:dyDescent="0.25">
      <c r="A774" s="119"/>
      <c r="B774" s="4"/>
      <c r="C774" s="4"/>
      <c r="D774" s="7"/>
      <c r="E774" s="7"/>
      <c r="F774" s="116" t="str">
        <f t="shared" si="300"/>
        <v/>
      </c>
      <c r="G774" s="7" t="str">
        <f t="shared" si="301"/>
        <v/>
      </c>
      <c r="H774" s="7" t="str">
        <f t="shared" si="302"/>
        <v/>
      </c>
      <c r="I774" s="116" t="str">
        <f t="shared" si="303"/>
        <v/>
      </c>
      <c r="J774" s="7" t="str">
        <f t="shared" si="304"/>
        <v/>
      </c>
      <c r="K774" s="127" t="str">
        <f t="shared" si="305"/>
        <v/>
      </c>
      <c r="L774" s="127" t="str">
        <f>IF(NOT(ISERROR(VLOOKUP(B774,Deflatores!G$42:H$64,2,FALSE))),VLOOKUP(B774,Deflatores!G$42:H$64,2,FALSE),IF(OR(ISBLANK(C774),ISBLANK(B774)),"",VLOOKUP(C774,Deflatores!G$4:H$38,2,FALSE)*H774+VLOOKUP(C774,Deflatores!G$4:I$38,3,FALSE)))</f>
        <v/>
      </c>
      <c r="M774" s="10"/>
      <c r="N774" s="10"/>
      <c r="O774" s="6"/>
    </row>
    <row r="775" spans="1:15" x14ac:dyDescent="0.25">
      <c r="A775" s="119"/>
      <c r="B775" s="4"/>
      <c r="C775" s="4"/>
      <c r="D775" s="7"/>
      <c r="E775" s="7"/>
      <c r="F775" s="116" t="str">
        <f t="shared" si="300"/>
        <v/>
      </c>
      <c r="G775" s="7" t="str">
        <f t="shared" si="301"/>
        <v/>
      </c>
      <c r="H775" s="7" t="str">
        <f t="shared" si="302"/>
        <v/>
      </c>
      <c r="I775" s="116" t="str">
        <f t="shared" si="303"/>
        <v/>
      </c>
      <c r="J775" s="7" t="str">
        <f t="shared" si="304"/>
        <v/>
      </c>
      <c r="K775" s="127" t="str">
        <f t="shared" si="305"/>
        <v/>
      </c>
      <c r="L775" s="127" t="str">
        <f>IF(NOT(ISERROR(VLOOKUP(B775,Deflatores!G$42:H$64,2,FALSE))),VLOOKUP(B775,Deflatores!G$42:H$64,2,FALSE),IF(OR(ISBLANK(C775),ISBLANK(B775)),"",VLOOKUP(C775,Deflatores!G$4:H$38,2,FALSE)*H775+VLOOKUP(C775,Deflatores!G$4:I$38,3,FALSE)))</f>
        <v/>
      </c>
      <c r="M775" s="10"/>
      <c r="N775" s="10"/>
      <c r="O775" s="6"/>
    </row>
    <row r="776" spans="1:15" x14ac:dyDescent="0.25">
      <c r="A776" s="119"/>
      <c r="B776" s="4"/>
      <c r="C776" s="4"/>
      <c r="D776" s="7"/>
      <c r="E776" s="7"/>
      <c r="F776" s="116" t="str">
        <f t="shared" si="300"/>
        <v/>
      </c>
      <c r="G776" s="7" t="str">
        <f t="shared" si="301"/>
        <v/>
      </c>
      <c r="H776" s="7" t="str">
        <f t="shared" si="302"/>
        <v/>
      </c>
      <c r="I776" s="116" t="str">
        <f t="shared" si="303"/>
        <v/>
      </c>
      <c r="J776" s="7" t="str">
        <f t="shared" si="304"/>
        <v/>
      </c>
      <c r="K776" s="127" t="str">
        <f t="shared" si="305"/>
        <v/>
      </c>
      <c r="L776" s="127" t="str">
        <f>IF(NOT(ISERROR(VLOOKUP(B776,Deflatores!G$42:H$64,2,FALSE))),VLOOKUP(B776,Deflatores!G$42:H$64,2,FALSE),IF(OR(ISBLANK(C776),ISBLANK(B776)),"",VLOOKUP(C776,Deflatores!G$4:H$38,2,FALSE)*H776+VLOOKUP(C776,Deflatores!G$4:I$38,3,FALSE)))</f>
        <v/>
      </c>
      <c r="M776" s="10"/>
      <c r="N776" s="10"/>
      <c r="O776" s="6"/>
    </row>
    <row r="777" spans="1:15" x14ac:dyDescent="0.25">
      <c r="A777" s="119"/>
      <c r="B777" s="4"/>
      <c r="C777" s="4"/>
      <c r="D777" s="7"/>
      <c r="E777" s="7"/>
      <c r="F777" s="116" t="str">
        <f t="shared" si="300"/>
        <v/>
      </c>
      <c r="G777" s="7" t="str">
        <f t="shared" si="301"/>
        <v/>
      </c>
      <c r="H777" s="7" t="str">
        <f t="shared" si="302"/>
        <v/>
      </c>
      <c r="I777" s="116" t="str">
        <f t="shared" si="303"/>
        <v/>
      </c>
      <c r="J777" s="7" t="str">
        <f t="shared" si="304"/>
        <v/>
      </c>
      <c r="K777" s="127" t="str">
        <f t="shared" si="305"/>
        <v/>
      </c>
      <c r="L777" s="127" t="str">
        <f>IF(NOT(ISERROR(VLOOKUP(B777,Deflatores!G$42:H$64,2,FALSE))),VLOOKUP(B777,Deflatores!G$42:H$64,2,FALSE),IF(OR(ISBLANK(C777),ISBLANK(B777)),"",VLOOKUP(C777,Deflatores!G$4:H$38,2,FALSE)*H777+VLOOKUP(C777,Deflatores!G$4:I$38,3,FALSE)))</f>
        <v/>
      </c>
      <c r="M777" s="10"/>
      <c r="N777" s="10"/>
      <c r="O777" s="6"/>
    </row>
    <row r="778" spans="1:15" x14ac:dyDescent="0.25">
      <c r="A778" s="119"/>
      <c r="B778" s="4"/>
      <c r="C778" s="4"/>
      <c r="D778" s="7"/>
      <c r="E778" s="7"/>
      <c r="F778" s="116" t="str">
        <f t="shared" si="300"/>
        <v/>
      </c>
      <c r="G778" s="7" t="str">
        <f t="shared" si="301"/>
        <v/>
      </c>
      <c r="H778" s="7" t="str">
        <f t="shared" si="302"/>
        <v/>
      </c>
      <c r="I778" s="116" t="str">
        <f t="shared" si="303"/>
        <v/>
      </c>
      <c r="J778" s="7" t="str">
        <f t="shared" si="304"/>
        <v/>
      </c>
      <c r="K778" s="127" t="str">
        <f t="shared" si="305"/>
        <v/>
      </c>
      <c r="L778" s="127" t="str">
        <f>IF(NOT(ISERROR(VLOOKUP(B778,Deflatores!G$42:H$64,2,FALSE))),VLOOKUP(B778,Deflatores!G$42:H$64,2,FALSE),IF(OR(ISBLANK(C778),ISBLANK(B778)),"",VLOOKUP(C778,Deflatores!G$4:H$38,2,FALSE)*H778+VLOOKUP(C778,Deflatores!G$4:I$38,3,FALSE)))</f>
        <v/>
      </c>
      <c r="M778" s="10"/>
      <c r="N778" s="10"/>
      <c r="O778" s="6"/>
    </row>
    <row r="779" spans="1:15" x14ac:dyDescent="0.25">
      <c r="A779" s="119"/>
      <c r="B779" s="4"/>
      <c r="C779" s="4"/>
      <c r="D779" s="7"/>
      <c r="E779" s="7"/>
      <c r="F779" s="116" t="str">
        <f t="shared" si="300"/>
        <v/>
      </c>
      <c r="G779" s="7" t="str">
        <f t="shared" si="301"/>
        <v/>
      </c>
      <c r="H779" s="7" t="str">
        <f t="shared" si="302"/>
        <v/>
      </c>
      <c r="I779" s="116" t="str">
        <f t="shared" si="303"/>
        <v/>
      </c>
      <c r="J779" s="7" t="str">
        <f t="shared" si="304"/>
        <v/>
      </c>
      <c r="K779" s="127" t="str">
        <f t="shared" si="305"/>
        <v/>
      </c>
      <c r="L779" s="127" t="str">
        <f>IF(NOT(ISERROR(VLOOKUP(B779,Deflatores!G$42:H$64,2,FALSE))),VLOOKUP(B779,Deflatores!G$42:H$64,2,FALSE),IF(OR(ISBLANK(C779),ISBLANK(B779)),"",VLOOKUP(C779,Deflatores!G$4:H$38,2,FALSE)*H779+VLOOKUP(C779,Deflatores!G$4:I$38,3,FALSE)))</f>
        <v/>
      </c>
      <c r="M779" s="10"/>
      <c r="N779" s="10"/>
      <c r="O779" s="6"/>
    </row>
    <row r="780" spans="1:15" x14ac:dyDescent="0.25">
      <c r="A780" s="119"/>
      <c r="B780" s="4"/>
      <c r="C780" s="4"/>
      <c r="D780" s="7"/>
      <c r="E780" s="7"/>
      <c r="F780" s="116" t="str">
        <f t="shared" si="300"/>
        <v/>
      </c>
      <c r="G780" s="7" t="str">
        <f t="shared" si="301"/>
        <v/>
      </c>
      <c r="H780" s="7" t="str">
        <f t="shared" si="302"/>
        <v/>
      </c>
      <c r="I780" s="116" t="str">
        <f t="shared" si="303"/>
        <v/>
      </c>
      <c r="J780" s="7" t="str">
        <f t="shared" si="304"/>
        <v/>
      </c>
      <c r="K780" s="127" t="str">
        <f t="shared" si="305"/>
        <v/>
      </c>
      <c r="L780" s="127" t="str">
        <f>IF(NOT(ISERROR(VLOOKUP(B780,Deflatores!G$42:H$64,2,FALSE))),VLOOKUP(B780,Deflatores!G$42:H$64,2,FALSE),IF(OR(ISBLANK(C780),ISBLANK(B780)),"",VLOOKUP(C780,Deflatores!G$4:H$38,2,FALSE)*H780+VLOOKUP(C780,Deflatores!G$4:I$38,3,FALSE)))</f>
        <v/>
      </c>
      <c r="M780" s="10"/>
      <c r="N780" s="10"/>
      <c r="O780" s="6"/>
    </row>
    <row r="781" spans="1:15" x14ac:dyDescent="0.25">
      <c r="A781" s="119"/>
      <c r="B781" s="4"/>
      <c r="C781" s="4"/>
      <c r="D781" s="7"/>
      <c r="E781" s="7"/>
      <c r="F781" s="116" t="str">
        <f t="shared" si="300"/>
        <v/>
      </c>
      <c r="G781" s="7" t="str">
        <f t="shared" si="301"/>
        <v/>
      </c>
      <c r="H781" s="7" t="str">
        <f t="shared" si="302"/>
        <v/>
      </c>
      <c r="I781" s="116" t="str">
        <f t="shared" si="303"/>
        <v/>
      </c>
      <c r="J781" s="7" t="str">
        <f t="shared" si="304"/>
        <v/>
      </c>
      <c r="K781" s="127" t="str">
        <f t="shared" si="305"/>
        <v/>
      </c>
      <c r="L781" s="127" t="str">
        <f>IF(NOT(ISERROR(VLOOKUP(B781,Deflatores!G$42:H$64,2,FALSE))),VLOOKUP(B781,Deflatores!G$42:H$64,2,FALSE),IF(OR(ISBLANK(C781),ISBLANK(B781)),"",VLOOKUP(C781,Deflatores!G$4:H$38,2,FALSE)*H781+VLOOKUP(C781,Deflatores!G$4:I$38,3,FALSE)))</f>
        <v/>
      </c>
      <c r="M781" s="10"/>
      <c r="N781" s="10"/>
      <c r="O781" s="6"/>
    </row>
    <row r="782" spans="1:15" x14ac:dyDescent="0.25">
      <c r="A782" s="119"/>
      <c r="B782" s="4"/>
      <c r="C782" s="4"/>
      <c r="D782" s="7"/>
      <c r="E782" s="7"/>
      <c r="F782" s="116" t="str">
        <f t="shared" si="300"/>
        <v/>
      </c>
      <c r="G782" s="7" t="str">
        <f t="shared" si="301"/>
        <v/>
      </c>
      <c r="H782" s="7" t="str">
        <f t="shared" si="302"/>
        <v/>
      </c>
      <c r="I782" s="116" t="str">
        <f t="shared" si="303"/>
        <v/>
      </c>
      <c r="J782" s="7" t="str">
        <f t="shared" si="304"/>
        <v/>
      </c>
      <c r="K782" s="127" t="str">
        <f t="shared" si="305"/>
        <v/>
      </c>
      <c r="L782" s="127" t="str">
        <f>IF(NOT(ISERROR(VLOOKUP(B782,Deflatores!G$42:H$64,2,FALSE))),VLOOKUP(B782,Deflatores!G$42:H$64,2,FALSE),IF(OR(ISBLANK(C782),ISBLANK(B782)),"",VLOOKUP(C782,Deflatores!G$4:H$38,2,FALSE)*H782+VLOOKUP(C782,Deflatores!G$4:I$38,3,FALSE)))</f>
        <v/>
      </c>
      <c r="M782" s="10"/>
      <c r="N782" s="10"/>
      <c r="O782" s="6"/>
    </row>
    <row r="783" spans="1:15" x14ac:dyDescent="0.25">
      <c r="A783" s="119"/>
      <c r="B783" s="4"/>
      <c r="C783" s="4"/>
      <c r="D783" s="7"/>
      <c r="E783" s="7"/>
      <c r="F783" s="116" t="str">
        <f t="shared" si="300"/>
        <v/>
      </c>
      <c r="G783" s="7" t="str">
        <f t="shared" si="301"/>
        <v/>
      </c>
      <c r="H783" s="7" t="str">
        <f t="shared" si="302"/>
        <v/>
      </c>
      <c r="I783" s="116" t="str">
        <f t="shared" si="303"/>
        <v/>
      </c>
      <c r="J783" s="7" t="str">
        <f t="shared" si="304"/>
        <v/>
      </c>
      <c r="K783" s="127" t="str">
        <f t="shared" si="305"/>
        <v/>
      </c>
      <c r="L783" s="127" t="str">
        <f>IF(NOT(ISERROR(VLOOKUP(B783,Deflatores!G$42:H$64,2,FALSE))),VLOOKUP(B783,Deflatores!G$42:H$64,2,FALSE),IF(OR(ISBLANK(C783),ISBLANK(B783)),"",VLOOKUP(C783,Deflatores!G$4:H$38,2,FALSE)*H783+VLOOKUP(C783,Deflatores!G$4:I$38,3,FALSE)))</f>
        <v/>
      </c>
      <c r="M783" s="10"/>
      <c r="N783" s="10"/>
      <c r="O783" s="6"/>
    </row>
    <row r="784" spans="1:15" x14ac:dyDescent="0.25">
      <c r="A784" s="119"/>
      <c r="B784" s="4"/>
      <c r="C784" s="4"/>
      <c r="D784" s="7"/>
      <c r="E784" s="7"/>
      <c r="F784" s="116" t="str">
        <f t="shared" si="300"/>
        <v/>
      </c>
      <c r="G784" s="7" t="str">
        <f t="shared" si="301"/>
        <v/>
      </c>
      <c r="H784" s="7" t="str">
        <f t="shared" si="302"/>
        <v/>
      </c>
      <c r="I784" s="116" t="str">
        <f t="shared" si="303"/>
        <v/>
      </c>
      <c r="J784" s="7" t="str">
        <f t="shared" si="304"/>
        <v/>
      </c>
      <c r="K784" s="127" t="str">
        <f t="shared" si="305"/>
        <v/>
      </c>
      <c r="L784" s="127" t="str">
        <f>IF(NOT(ISERROR(VLOOKUP(B784,Deflatores!G$42:H$64,2,FALSE))),VLOOKUP(B784,Deflatores!G$42:H$64,2,FALSE),IF(OR(ISBLANK(C784),ISBLANK(B784)),"",VLOOKUP(C784,Deflatores!G$4:H$38,2,FALSE)*H784+VLOOKUP(C784,Deflatores!G$4:I$38,3,FALSE)))</f>
        <v/>
      </c>
      <c r="M784" s="10"/>
      <c r="N784" s="10"/>
      <c r="O784" s="6"/>
    </row>
    <row r="785" spans="1:15" x14ac:dyDescent="0.25">
      <c r="A785" s="119"/>
      <c r="B785" s="4"/>
      <c r="C785" s="4"/>
      <c r="D785" s="7"/>
      <c r="E785" s="7"/>
      <c r="F785" s="116" t="str">
        <f t="shared" si="300"/>
        <v/>
      </c>
      <c r="G785" s="7" t="str">
        <f t="shared" si="301"/>
        <v/>
      </c>
      <c r="H785" s="7" t="str">
        <f t="shared" si="302"/>
        <v/>
      </c>
      <c r="I785" s="116" t="str">
        <f t="shared" si="303"/>
        <v/>
      </c>
      <c r="J785" s="7" t="str">
        <f t="shared" si="304"/>
        <v/>
      </c>
      <c r="K785" s="127" t="str">
        <f t="shared" si="305"/>
        <v/>
      </c>
      <c r="L785" s="127" t="str">
        <f>IF(NOT(ISERROR(VLOOKUP(B785,Deflatores!G$42:H$64,2,FALSE))),VLOOKUP(B785,Deflatores!G$42:H$64,2,FALSE),IF(OR(ISBLANK(C785),ISBLANK(B785)),"",VLOOKUP(C785,Deflatores!G$4:H$38,2,FALSE)*H785+VLOOKUP(C785,Deflatores!G$4:I$38,3,FALSE)))</f>
        <v/>
      </c>
      <c r="M785" s="10"/>
      <c r="N785" s="10"/>
      <c r="O785" s="6"/>
    </row>
    <row r="786" spans="1:15" x14ac:dyDescent="0.25">
      <c r="A786" s="119"/>
      <c r="B786" s="4"/>
      <c r="C786" s="4"/>
      <c r="D786" s="7"/>
      <c r="E786" s="7"/>
      <c r="F786" s="116" t="str">
        <f t="shared" si="300"/>
        <v/>
      </c>
      <c r="G786" s="7" t="str">
        <f t="shared" si="301"/>
        <v/>
      </c>
      <c r="H786" s="7" t="str">
        <f t="shared" si="302"/>
        <v/>
      </c>
      <c r="I786" s="116" t="str">
        <f t="shared" si="303"/>
        <v/>
      </c>
      <c r="J786" s="7" t="str">
        <f t="shared" si="304"/>
        <v/>
      </c>
      <c r="K786" s="127" t="str">
        <f t="shared" si="305"/>
        <v/>
      </c>
      <c r="L786" s="127" t="str">
        <f>IF(NOT(ISERROR(VLOOKUP(B786,Deflatores!G$42:H$64,2,FALSE))),VLOOKUP(B786,Deflatores!G$42:H$64,2,FALSE),IF(OR(ISBLANK(C786),ISBLANK(B786)),"",VLOOKUP(C786,Deflatores!G$4:H$38,2,FALSE)*H786+VLOOKUP(C786,Deflatores!G$4:I$38,3,FALSE)))</f>
        <v/>
      </c>
      <c r="M786" s="10"/>
      <c r="N786" s="10"/>
      <c r="O786" s="6"/>
    </row>
    <row r="787" spans="1:15" x14ac:dyDescent="0.25">
      <c r="A787" s="119"/>
      <c r="B787" s="4"/>
      <c r="C787" s="4"/>
      <c r="D787" s="7"/>
      <c r="E787" s="7"/>
      <c r="F787" s="116" t="str">
        <f t="shared" si="300"/>
        <v/>
      </c>
      <c r="G787" s="7" t="str">
        <f t="shared" si="301"/>
        <v/>
      </c>
      <c r="H787" s="7" t="str">
        <f t="shared" si="302"/>
        <v/>
      </c>
      <c r="I787" s="116" t="str">
        <f t="shared" si="303"/>
        <v/>
      </c>
      <c r="J787" s="7" t="str">
        <f t="shared" si="304"/>
        <v/>
      </c>
      <c r="K787" s="127" t="str">
        <f t="shared" si="305"/>
        <v/>
      </c>
      <c r="L787" s="127" t="str">
        <f>IF(NOT(ISERROR(VLOOKUP(B787,Deflatores!G$42:H$64,2,FALSE))),VLOOKUP(B787,Deflatores!G$42:H$64,2,FALSE),IF(OR(ISBLANK(C787),ISBLANK(B787)),"",VLOOKUP(C787,Deflatores!G$4:H$38,2,FALSE)*H787+VLOOKUP(C787,Deflatores!G$4:I$38,3,FALSE)))</f>
        <v/>
      </c>
      <c r="M787" s="10"/>
      <c r="N787" s="10"/>
      <c r="O787" s="6"/>
    </row>
    <row r="788" spans="1:15" x14ac:dyDescent="0.25">
      <c r="A788" s="119"/>
      <c r="B788" s="4"/>
      <c r="C788" s="4"/>
      <c r="D788" s="7"/>
      <c r="E788" s="7"/>
      <c r="F788" s="116" t="str">
        <f t="shared" si="300"/>
        <v/>
      </c>
      <c r="G788" s="7" t="str">
        <f t="shared" si="301"/>
        <v/>
      </c>
      <c r="H788" s="7" t="str">
        <f t="shared" si="302"/>
        <v/>
      </c>
      <c r="I788" s="116" t="str">
        <f t="shared" si="303"/>
        <v/>
      </c>
      <c r="J788" s="7" t="str">
        <f t="shared" si="304"/>
        <v/>
      </c>
      <c r="K788" s="127" t="str">
        <f t="shared" si="305"/>
        <v/>
      </c>
      <c r="L788" s="127" t="str">
        <f>IF(NOT(ISERROR(VLOOKUP(B788,Deflatores!G$42:H$64,2,FALSE))),VLOOKUP(B788,Deflatores!G$42:H$64,2,FALSE),IF(OR(ISBLANK(C788),ISBLANK(B788)),"",VLOOKUP(C788,Deflatores!G$4:H$38,2,FALSE)*H788+VLOOKUP(C788,Deflatores!G$4:I$38,3,FALSE)))</f>
        <v/>
      </c>
      <c r="M788" s="10"/>
      <c r="N788" s="10"/>
      <c r="O788" s="6"/>
    </row>
    <row r="789" spans="1:15" x14ac:dyDescent="0.25">
      <c r="A789" s="119"/>
      <c r="B789" s="4"/>
      <c r="C789" s="4"/>
      <c r="D789" s="7"/>
      <c r="E789" s="7"/>
      <c r="F789" s="116" t="str">
        <f t="shared" si="300"/>
        <v/>
      </c>
      <c r="G789" s="7" t="str">
        <f t="shared" si="301"/>
        <v/>
      </c>
      <c r="H789" s="7" t="str">
        <f t="shared" si="302"/>
        <v/>
      </c>
      <c r="I789" s="116" t="str">
        <f t="shared" si="303"/>
        <v/>
      </c>
      <c r="J789" s="7" t="str">
        <f t="shared" si="304"/>
        <v/>
      </c>
      <c r="K789" s="127" t="str">
        <f t="shared" si="305"/>
        <v/>
      </c>
      <c r="L789" s="127" t="str">
        <f>IF(NOT(ISERROR(VLOOKUP(B789,Deflatores!G$42:H$64,2,FALSE))),VLOOKUP(B789,Deflatores!G$42:H$64,2,FALSE),IF(OR(ISBLANK(C789),ISBLANK(B789)),"",VLOOKUP(C789,Deflatores!G$4:H$38,2,FALSE)*H789+VLOOKUP(C789,Deflatores!G$4:I$38,3,FALSE)))</f>
        <v/>
      </c>
      <c r="M789" s="10"/>
      <c r="N789" s="10"/>
      <c r="O789" s="6"/>
    </row>
    <row r="790" spans="1:15" x14ac:dyDescent="0.25">
      <c r="A790" s="119"/>
      <c r="B790" s="4"/>
      <c r="C790" s="4"/>
      <c r="D790" s="7"/>
      <c r="E790" s="7"/>
      <c r="F790" s="116" t="str">
        <f t="shared" si="300"/>
        <v/>
      </c>
      <c r="G790" s="7" t="str">
        <f t="shared" si="301"/>
        <v/>
      </c>
      <c r="H790" s="7" t="str">
        <f t="shared" si="302"/>
        <v/>
      </c>
      <c r="I790" s="116" t="str">
        <f t="shared" si="303"/>
        <v/>
      </c>
      <c r="J790" s="7" t="str">
        <f t="shared" si="304"/>
        <v/>
      </c>
      <c r="K790" s="127" t="str">
        <f t="shared" si="305"/>
        <v/>
      </c>
      <c r="L790" s="127" t="str">
        <f>IF(NOT(ISERROR(VLOOKUP(B790,Deflatores!G$42:H$64,2,FALSE))),VLOOKUP(B790,Deflatores!G$42:H$64,2,FALSE),IF(OR(ISBLANK(C790),ISBLANK(B790)),"",VLOOKUP(C790,Deflatores!G$4:H$38,2,FALSE)*H790+VLOOKUP(C790,Deflatores!G$4:I$38,3,FALSE)))</f>
        <v/>
      </c>
      <c r="M790" s="10"/>
      <c r="N790" s="10"/>
      <c r="O790" s="6"/>
    </row>
    <row r="791" spans="1:15" x14ac:dyDescent="0.25">
      <c r="A791" s="119"/>
      <c r="B791" s="4"/>
      <c r="C791" s="4"/>
      <c r="D791" s="7"/>
      <c r="E791" s="7"/>
      <c r="F791" s="116" t="str">
        <f t="shared" si="300"/>
        <v/>
      </c>
      <c r="G791" s="7" t="str">
        <f t="shared" si="301"/>
        <v/>
      </c>
      <c r="H791" s="7" t="str">
        <f t="shared" si="302"/>
        <v/>
      </c>
      <c r="I791" s="116" t="str">
        <f t="shared" si="303"/>
        <v/>
      </c>
      <c r="J791" s="7" t="str">
        <f t="shared" si="304"/>
        <v/>
      </c>
      <c r="K791" s="127" t="str">
        <f t="shared" si="305"/>
        <v/>
      </c>
      <c r="L791" s="127" t="str">
        <f>IF(NOT(ISERROR(VLOOKUP(B791,Deflatores!G$42:H$64,2,FALSE))),VLOOKUP(B791,Deflatores!G$42:H$64,2,FALSE),IF(OR(ISBLANK(C791),ISBLANK(B791)),"",VLOOKUP(C791,Deflatores!G$4:H$38,2,FALSE)*H791+VLOOKUP(C791,Deflatores!G$4:I$38,3,FALSE)))</f>
        <v/>
      </c>
      <c r="M791" s="10"/>
      <c r="N791" s="10"/>
      <c r="O791" s="6"/>
    </row>
    <row r="792" spans="1:15" x14ac:dyDescent="0.25">
      <c r="A792" s="119"/>
      <c r="B792" s="4"/>
      <c r="C792" s="4"/>
      <c r="D792" s="7"/>
      <c r="E792" s="7"/>
      <c r="F792" s="116" t="str">
        <f t="shared" si="300"/>
        <v/>
      </c>
      <c r="G792" s="7" t="str">
        <f t="shared" si="301"/>
        <v/>
      </c>
      <c r="H792" s="7" t="str">
        <f t="shared" si="302"/>
        <v/>
      </c>
      <c r="I792" s="116" t="str">
        <f t="shared" si="303"/>
        <v/>
      </c>
      <c r="J792" s="7" t="str">
        <f t="shared" si="304"/>
        <v/>
      </c>
      <c r="K792" s="127" t="str">
        <f t="shared" si="305"/>
        <v/>
      </c>
      <c r="L792" s="127" t="str">
        <f>IF(NOT(ISERROR(VLOOKUP(B792,Deflatores!G$42:H$64,2,FALSE))),VLOOKUP(B792,Deflatores!G$42:H$64,2,FALSE),IF(OR(ISBLANK(C792),ISBLANK(B792)),"",VLOOKUP(C792,Deflatores!G$4:H$38,2,FALSE)*H792+VLOOKUP(C792,Deflatores!G$4:I$38,3,FALSE)))</f>
        <v/>
      </c>
      <c r="M792" s="10"/>
      <c r="N792" s="10"/>
      <c r="O792" s="6"/>
    </row>
    <row r="793" spans="1:15" x14ac:dyDescent="0.25">
      <c r="A793" s="119"/>
      <c r="B793" s="4"/>
      <c r="C793" s="4"/>
      <c r="D793" s="7"/>
      <c r="E793" s="7"/>
      <c r="F793" s="116" t="str">
        <f t="shared" si="300"/>
        <v/>
      </c>
      <c r="G793" s="7" t="str">
        <f t="shared" si="301"/>
        <v/>
      </c>
      <c r="H793" s="7" t="str">
        <f t="shared" si="302"/>
        <v/>
      </c>
      <c r="I793" s="116" t="str">
        <f t="shared" si="303"/>
        <v/>
      </c>
      <c r="J793" s="7" t="str">
        <f t="shared" si="304"/>
        <v/>
      </c>
      <c r="K793" s="127" t="str">
        <f t="shared" si="305"/>
        <v/>
      </c>
      <c r="L793" s="127" t="str">
        <f>IF(NOT(ISERROR(VLOOKUP(B793,Deflatores!G$42:H$64,2,FALSE))),VLOOKUP(B793,Deflatores!G$42:H$64,2,FALSE),IF(OR(ISBLANK(C793),ISBLANK(B793)),"",VLOOKUP(C793,Deflatores!G$4:H$38,2,FALSE)*H793+VLOOKUP(C793,Deflatores!G$4:I$38,3,FALSE)))</f>
        <v/>
      </c>
      <c r="M793" s="10"/>
      <c r="N793" s="10"/>
      <c r="O793" s="6"/>
    </row>
    <row r="794" spans="1:15" x14ac:dyDescent="0.25">
      <c r="A794" s="119"/>
      <c r="B794" s="4"/>
      <c r="C794" s="4"/>
      <c r="D794" s="7"/>
      <c r="E794" s="7"/>
      <c r="F794" s="116" t="str">
        <f t="shared" si="300"/>
        <v/>
      </c>
      <c r="G794" s="7" t="str">
        <f t="shared" si="301"/>
        <v/>
      </c>
      <c r="H794" s="7" t="str">
        <f t="shared" si="302"/>
        <v/>
      </c>
      <c r="I794" s="116" t="str">
        <f t="shared" si="303"/>
        <v/>
      </c>
      <c r="J794" s="7" t="str">
        <f t="shared" si="304"/>
        <v/>
      </c>
      <c r="K794" s="127" t="str">
        <f t="shared" si="305"/>
        <v/>
      </c>
      <c r="L794" s="127" t="str">
        <f>IF(NOT(ISERROR(VLOOKUP(B794,Deflatores!G$42:H$64,2,FALSE))),VLOOKUP(B794,Deflatores!G$42:H$64,2,FALSE),IF(OR(ISBLANK(C794),ISBLANK(B794)),"",VLOOKUP(C794,Deflatores!G$4:H$38,2,FALSE)*H794+VLOOKUP(C794,Deflatores!G$4:I$38,3,FALSE)))</f>
        <v/>
      </c>
      <c r="M794" s="10"/>
      <c r="N794" s="10"/>
      <c r="O794" s="6"/>
    </row>
    <row r="795" spans="1:15" x14ac:dyDescent="0.25">
      <c r="A795" s="119"/>
      <c r="B795" s="4"/>
      <c r="C795" s="4"/>
      <c r="D795" s="7"/>
      <c r="E795" s="7"/>
      <c r="F795" s="116" t="str">
        <f t="shared" si="300"/>
        <v/>
      </c>
      <c r="G795" s="7" t="str">
        <f t="shared" si="301"/>
        <v/>
      </c>
      <c r="H795" s="7" t="str">
        <f t="shared" si="302"/>
        <v/>
      </c>
      <c r="I795" s="116" t="str">
        <f t="shared" si="303"/>
        <v/>
      </c>
      <c r="J795" s="7" t="str">
        <f t="shared" si="304"/>
        <v/>
      </c>
      <c r="K795" s="127" t="str">
        <f t="shared" si="305"/>
        <v/>
      </c>
      <c r="L795" s="127" t="str">
        <f>IF(NOT(ISERROR(VLOOKUP(B795,Deflatores!G$42:H$64,2,FALSE))),VLOOKUP(B795,Deflatores!G$42:H$64,2,FALSE),IF(OR(ISBLANK(C795),ISBLANK(B795)),"",VLOOKUP(C795,Deflatores!G$4:H$38,2,FALSE)*H795+VLOOKUP(C795,Deflatores!G$4:I$38,3,FALSE)))</f>
        <v/>
      </c>
      <c r="M795" s="10"/>
      <c r="N795" s="10"/>
      <c r="O795" s="6"/>
    </row>
    <row r="796" spans="1:15" x14ac:dyDescent="0.25">
      <c r="A796" s="119"/>
      <c r="B796" s="4"/>
      <c r="C796" s="4"/>
      <c r="D796" s="7"/>
      <c r="E796" s="7"/>
      <c r="F796" s="116" t="str">
        <f t="shared" si="300"/>
        <v/>
      </c>
      <c r="G796" s="7" t="str">
        <f t="shared" si="301"/>
        <v/>
      </c>
      <c r="H796" s="7" t="str">
        <f t="shared" si="302"/>
        <v/>
      </c>
      <c r="I796" s="116" t="str">
        <f t="shared" si="303"/>
        <v/>
      </c>
      <c r="J796" s="7" t="str">
        <f t="shared" si="304"/>
        <v/>
      </c>
      <c r="K796" s="127" t="str">
        <f t="shared" si="305"/>
        <v/>
      </c>
      <c r="L796" s="127" t="str">
        <f>IF(NOT(ISERROR(VLOOKUP(B796,Deflatores!G$42:H$64,2,FALSE))),VLOOKUP(B796,Deflatores!G$42:H$64,2,FALSE),IF(OR(ISBLANK(C796),ISBLANK(B796)),"",VLOOKUP(C796,Deflatores!G$4:H$38,2,FALSE)*H796+VLOOKUP(C796,Deflatores!G$4:I$38,3,FALSE)))</f>
        <v/>
      </c>
      <c r="M796" s="10"/>
      <c r="N796" s="10"/>
      <c r="O796" s="6"/>
    </row>
    <row r="797" spans="1:15" x14ac:dyDescent="0.25">
      <c r="A797" s="119"/>
      <c r="B797" s="4"/>
      <c r="C797" s="4"/>
      <c r="D797" s="7"/>
      <c r="E797" s="7"/>
      <c r="F797" s="116" t="str">
        <f t="shared" si="300"/>
        <v/>
      </c>
      <c r="G797" s="7" t="str">
        <f t="shared" si="301"/>
        <v/>
      </c>
      <c r="H797" s="7" t="str">
        <f t="shared" si="302"/>
        <v/>
      </c>
      <c r="I797" s="116" t="str">
        <f t="shared" si="303"/>
        <v/>
      </c>
      <c r="J797" s="7" t="str">
        <f t="shared" si="304"/>
        <v/>
      </c>
      <c r="K797" s="127" t="str">
        <f t="shared" si="305"/>
        <v/>
      </c>
      <c r="L797" s="127" t="str">
        <f>IF(NOT(ISERROR(VLOOKUP(B797,Deflatores!G$42:H$64,2,FALSE))),VLOOKUP(B797,Deflatores!G$42:H$64,2,FALSE),IF(OR(ISBLANK(C797),ISBLANK(B797)),"",VLOOKUP(C797,Deflatores!G$4:H$38,2,FALSE)*H797+VLOOKUP(C797,Deflatores!G$4:I$38,3,FALSE)))</f>
        <v/>
      </c>
      <c r="M797" s="10"/>
      <c r="N797" s="10"/>
      <c r="O797" s="6"/>
    </row>
    <row r="798" spans="1:15" x14ac:dyDescent="0.25">
      <c r="A798" s="119"/>
      <c r="B798" s="4"/>
      <c r="C798" s="4"/>
      <c r="D798" s="7"/>
      <c r="E798" s="7"/>
      <c r="F798" s="116" t="str">
        <f t="shared" si="300"/>
        <v/>
      </c>
      <c r="G798" s="7" t="str">
        <f t="shared" si="301"/>
        <v/>
      </c>
      <c r="H798" s="7" t="str">
        <f t="shared" si="302"/>
        <v/>
      </c>
      <c r="I798" s="116" t="str">
        <f t="shared" si="303"/>
        <v/>
      </c>
      <c r="J798" s="7" t="str">
        <f t="shared" si="304"/>
        <v/>
      </c>
      <c r="K798" s="127" t="str">
        <f t="shared" si="305"/>
        <v/>
      </c>
      <c r="L798" s="127" t="str">
        <f>IF(NOT(ISERROR(VLOOKUP(B798,Deflatores!G$42:H$64,2,FALSE))),VLOOKUP(B798,Deflatores!G$42:H$64,2,FALSE),IF(OR(ISBLANK(C798),ISBLANK(B798)),"",VLOOKUP(C798,Deflatores!G$4:H$38,2,FALSE)*H798+VLOOKUP(C798,Deflatores!G$4:I$38,3,FALSE)))</f>
        <v/>
      </c>
      <c r="M798" s="10"/>
      <c r="N798" s="10"/>
      <c r="O798" s="6"/>
    </row>
    <row r="799" spans="1:15" x14ac:dyDescent="0.25">
      <c r="A799" s="119"/>
      <c r="B799" s="4"/>
      <c r="C799" s="4"/>
      <c r="D799" s="7"/>
      <c r="E799" s="7"/>
      <c r="F799" s="116" t="str">
        <f t="shared" si="300"/>
        <v/>
      </c>
      <c r="G799" s="7" t="str">
        <f t="shared" si="301"/>
        <v/>
      </c>
      <c r="H799" s="7" t="str">
        <f t="shared" si="302"/>
        <v/>
      </c>
      <c r="I799" s="116" t="str">
        <f t="shared" si="303"/>
        <v/>
      </c>
      <c r="J799" s="7" t="str">
        <f t="shared" si="304"/>
        <v/>
      </c>
      <c r="K799" s="127" t="str">
        <f t="shared" si="305"/>
        <v/>
      </c>
      <c r="L799" s="127" t="str">
        <f>IF(NOT(ISERROR(VLOOKUP(B799,Deflatores!G$42:H$64,2,FALSE))),VLOOKUP(B799,Deflatores!G$42:H$64,2,FALSE),IF(OR(ISBLANK(C799),ISBLANK(B799)),"",VLOOKUP(C799,Deflatores!G$4:H$38,2,FALSE)*H799+VLOOKUP(C799,Deflatores!G$4:I$38,3,FALSE)))</f>
        <v/>
      </c>
      <c r="M799" s="10"/>
      <c r="N799" s="10"/>
      <c r="O799" s="6"/>
    </row>
    <row r="800" spans="1:15" x14ac:dyDescent="0.25">
      <c r="A800" s="119"/>
      <c r="B800" s="4"/>
      <c r="C800" s="4"/>
      <c r="D800" s="7"/>
      <c r="E800" s="7"/>
      <c r="F800" s="116" t="str">
        <f t="shared" si="300"/>
        <v/>
      </c>
      <c r="G800" s="7" t="str">
        <f t="shared" si="301"/>
        <v/>
      </c>
      <c r="H800" s="7" t="str">
        <f t="shared" si="302"/>
        <v/>
      </c>
      <c r="I800" s="116" t="str">
        <f t="shared" si="303"/>
        <v/>
      </c>
      <c r="J800" s="7" t="str">
        <f t="shared" si="304"/>
        <v/>
      </c>
      <c r="K800" s="127" t="str">
        <f t="shared" si="305"/>
        <v/>
      </c>
      <c r="L800" s="127" t="str">
        <f>IF(NOT(ISERROR(VLOOKUP(B800,Deflatores!G$42:H$64,2,FALSE))),VLOOKUP(B800,Deflatores!G$42:H$64,2,FALSE),IF(OR(ISBLANK(C800),ISBLANK(B800)),"",VLOOKUP(C800,Deflatores!G$4:H$38,2,FALSE)*H800+VLOOKUP(C800,Deflatores!G$4:I$38,3,FALSE)))</f>
        <v/>
      </c>
      <c r="M800" s="10"/>
      <c r="N800" s="10"/>
      <c r="O800" s="6"/>
    </row>
    <row r="801" spans="1:15" x14ac:dyDescent="0.25">
      <c r="A801" s="119"/>
      <c r="B801" s="4"/>
      <c r="C801" s="4"/>
      <c r="D801" s="7"/>
      <c r="E801" s="7"/>
      <c r="F801" s="116" t="str">
        <f t="shared" ref="F801:F824" si="306">IF(ISBLANK(B801),"",IF(I801="L","Baixa",IF(I801="A","Média",IF(I801="","","Alta"))))</f>
        <v/>
      </c>
      <c r="G801" s="7" t="str">
        <f t="shared" ref="G801:G824" si="307">CONCATENATE(B801,I801)</f>
        <v/>
      </c>
      <c r="H801" s="7" t="str">
        <f t="shared" ref="H801:H824" si="308">IF(ISBLANK(B801),"",IF(B801="ALI",IF(I801="L",7,IF(I801="A",10,15)),IF(B801="AIE",IF(I801="L",5,IF(I801="A",7,10)),IF(B801="SE",IF(I801="L",4,IF(I801="A",5,7)),IF(OR(B801="EE",B801="CE"),IF(I801="L",3,IF(I801="A",4,6)),0)))))</f>
        <v/>
      </c>
      <c r="I801" s="116" t="str">
        <f t="shared" ref="I801:I824" si="309">IF(OR(ISBLANK(D801),ISBLANK(E801)),IF(OR(B801="ALI",B801="AIE"),"L",IF(OR(B801="EE",B801="SE",B801="CE"),"A","")),IF(B801="EE",IF(E801&gt;=3,IF(D801&gt;=5,"H","A"),IF(E801&gt;=2,IF(D801&gt;=16,"H",IF(D801&lt;=4,"L","A")),IF(D801&lt;=15,"L","A"))),IF(OR(B801="SE",B801="CE"),IF(E801&gt;=4,IF(D801&gt;=6,"H","A"),IF(E801&gt;=2,IF(D801&gt;=20,"H",IF(D801&lt;=5,"L","A")),IF(D801&lt;=19,"L","A"))),IF(OR(B801="ALI",B801="AIE"),IF(E801&gt;=6,IF(D801&gt;=20,"H","A"),IF(E801&gt;=2,IF(D801&gt;=51,"H",IF(D801&lt;=19,"L","A")),IF(D801&lt;=50,"L","A"))),""))))</f>
        <v/>
      </c>
      <c r="J801" s="7" t="str">
        <f t="shared" ref="J801:J824" si="310">CONCATENATE(B801,C801)</f>
        <v/>
      </c>
      <c r="K801" s="127" t="str">
        <f t="shared" si="305"/>
        <v/>
      </c>
      <c r="L801" s="127" t="str">
        <f>IF(NOT(ISERROR(VLOOKUP(B801,Deflatores!G$42:H$64,2,FALSE))),VLOOKUP(B801,Deflatores!G$42:H$64,2,FALSE),IF(OR(ISBLANK(C801),ISBLANK(B801)),"",VLOOKUP(C801,Deflatores!G$4:H$38,2,FALSE)*H801+VLOOKUP(C801,Deflatores!G$4:I$38,3,FALSE)))</f>
        <v/>
      </c>
      <c r="M801" s="10"/>
      <c r="N801" s="10"/>
      <c r="O801" s="6"/>
    </row>
    <row r="802" spans="1:15" x14ac:dyDescent="0.25">
      <c r="A802" s="119"/>
      <c r="B802" s="4"/>
      <c r="C802" s="4"/>
      <c r="D802" s="7"/>
      <c r="E802" s="7"/>
      <c r="F802" s="116" t="str">
        <f t="shared" si="306"/>
        <v/>
      </c>
      <c r="G802" s="7" t="str">
        <f t="shared" si="307"/>
        <v/>
      </c>
      <c r="H802" s="7" t="str">
        <f t="shared" si="308"/>
        <v/>
      </c>
      <c r="I802" s="116" t="str">
        <f t="shared" si="309"/>
        <v/>
      </c>
      <c r="J802" s="7" t="str">
        <f t="shared" si="310"/>
        <v/>
      </c>
      <c r="K802" s="127" t="str">
        <f t="shared" si="305"/>
        <v/>
      </c>
      <c r="L802" s="127" t="str">
        <f>IF(NOT(ISERROR(VLOOKUP(B802,Deflatores!G$42:H$64,2,FALSE))),VLOOKUP(B802,Deflatores!G$42:H$64,2,FALSE),IF(OR(ISBLANK(C802),ISBLANK(B802)),"",VLOOKUP(C802,Deflatores!G$4:H$38,2,FALSE)*H802+VLOOKUP(C802,Deflatores!G$4:I$38,3,FALSE)))</f>
        <v/>
      </c>
      <c r="M802" s="10"/>
      <c r="N802" s="10"/>
      <c r="O802" s="6"/>
    </row>
    <row r="803" spans="1:15" x14ac:dyDescent="0.25">
      <c r="A803" s="119"/>
      <c r="B803" s="4"/>
      <c r="C803" s="4"/>
      <c r="D803" s="7"/>
      <c r="E803" s="7"/>
      <c r="F803" s="116" t="str">
        <f t="shared" si="306"/>
        <v/>
      </c>
      <c r="G803" s="7" t="str">
        <f t="shared" si="307"/>
        <v/>
      </c>
      <c r="H803" s="7" t="str">
        <f t="shared" si="308"/>
        <v/>
      </c>
      <c r="I803" s="116" t="str">
        <f t="shared" si="309"/>
        <v/>
      </c>
      <c r="J803" s="7" t="str">
        <f t="shared" si="310"/>
        <v/>
      </c>
      <c r="K803" s="127" t="str">
        <f t="shared" ref="K803:K824" si="311">IF(OR(H803="",H803=0),L803,H803)</f>
        <v/>
      </c>
      <c r="L803" s="127" t="str">
        <f>IF(NOT(ISERROR(VLOOKUP(B803,Deflatores!G$42:H$64,2,FALSE))),VLOOKUP(B803,Deflatores!G$42:H$64,2,FALSE),IF(OR(ISBLANK(C803),ISBLANK(B803)),"",VLOOKUP(C803,Deflatores!G$4:H$38,2,FALSE)*H803+VLOOKUP(C803,Deflatores!G$4:I$38,3,FALSE)))</f>
        <v/>
      </c>
      <c r="M803" s="10"/>
      <c r="N803" s="10"/>
      <c r="O803" s="6"/>
    </row>
    <row r="804" spans="1:15" x14ac:dyDescent="0.25">
      <c r="A804" s="119"/>
      <c r="B804" s="4"/>
      <c r="C804" s="4"/>
      <c r="D804" s="7"/>
      <c r="E804" s="7"/>
      <c r="F804" s="116" t="str">
        <f t="shared" si="306"/>
        <v/>
      </c>
      <c r="G804" s="7" t="str">
        <f t="shared" si="307"/>
        <v/>
      </c>
      <c r="H804" s="7" t="str">
        <f t="shared" si="308"/>
        <v/>
      </c>
      <c r="I804" s="116" t="str">
        <f t="shared" si="309"/>
        <v/>
      </c>
      <c r="J804" s="7" t="str">
        <f t="shared" si="310"/>
        <v/>
      </c>
      <c r="K804" s="127" t="str">
        <f t="shared" si="311"/>
        <v/>
      </c>
      <c r="L804" s="127" t="str">
        <f>IF(NOT(ISERROR(VLOOKUP(B804,Deflatores!G$42:H$64,2,FALSE))),VLOOKUP(B804,Deflatores!G$42:H$64,2,FALSE),IF(OR(ISBLANK(C804),ISBLANK(B804)),"",VLOOKUP(C804,Deflatores!G$4:H$38,2,FALSE)*H804+VLOOKUP(C804,Deflatores!G$4:I$38,3,FALSE)))</f>
        <v/>
      </c>
      <c r="M804" s="10"/>
      <c r="N804" s="10"/>
      <c r="O804" s="6"/>
    </row>
    <row r="805" spans="1:15" x14ac:dyDescent="0.25">
      <c r="A805" s="119"/>
      <c r="B805" s="4"/>
      <c r="C805" s="4"/>
      <c r="D805" s="7"/>
      <c r="E805" s="7"/>
      <c r="F805" s="116" t="str">
        <f t="shared" si="306"/>
        <v/>
      </c>
      <c r="G805" s="7" t="str">
        <f t="shared" si="307"/>
        <v/>
      </c>
      <c r="H805" s="7" t="str">
        <f t="shared" si="308"/>
        <v/>
      </c>
      <c r="I805" s="116" t="str">
        <f t="shared" si="309"/>
        <v/>
      </c>
      <c r="J805" s="7" t="str">
        <f t="shared" si="310"/>
        <v/>
      </c>
      <c r="K805" s="127" t="str">
        <f t="shared" si="311"/>
        <v/>
      </c>
      <c r="L805" s="127" t="str">
        <f>IF(NOT(ISERROR(VLOOKUP(B805,Deflatores!G$42:H$64,2,FALSE))),VLOOKUP(B805,Deflatores!G$42:H$64,2,FALSE),IF(OR(ISBLANK(C805),ISBLANK(B805)),"",VLOOKUP(C805,Deflatores!G$4:H$38,2,FALSE)*H805+VLOOKUP(C805,Deflatores!G$4:I$38,3,FALSE)))</f>
        <v/>
      </c>
      <c r="M805" s="10"/>
      <c r="N805" s="10"/>
      <c r="O805" s="6"/>
    </row>
    <row r="806" spans="1:15" x14ac:dyDescent="0.25">
      <c r="A806" s="119"/>
      <c r="B806" s="4"/>
      <c r="C806" s="4"/>
      <c r="D806" s="7"/>
      <c r="E806" s="7"/>
      <c r="F806" s="116" t="str">
        <f t="shared" si="306"/>
        <v/>
      </c>
      <c r="G806" s="7" t="str">
        <f t="shared" si="307"/>
        <v/>
      </c>
      <c r="H806" s="7" t="str">
        <f t="shared" si="308"/>
        <v/>
      </c>
      <c r="I806" s="116" t="str">
        <f t="shared" si="309"/>
        <v/>
      </c>
      <c r="J806" s="7" t="str">
        <f t="shared" si="310"/>
        <v/>
      </c>
      <c r="K806" s="127" t="str">
        <f t="shared" si="311"/>
        <v/>
      </c>
      <c r="L806" s="127" t="str">
        <f>IF(NOT(ISERROR(VLOOKUP(B806,Deflatores!G$42:H$64,2,FALSE))),VLOOKUP(B806,Deflatores!G$42:H$64,2,FALSE),IF(OR(ISBLANK(C806),ISBLANK(B806)),"",VLOOKUP(C806,Deflatores!G$4:H$38,2,FALSE)*H806+VLOOKUP(C806,Deflatores!G$4:I$38,3,FALSE)))</f>
        <v/>
      </c>
      <c r="M806" s="10"/>
      <c r="N806" s="10"/>
      <c r="O806" s="6"/>
    </row>
    <row r="807" spans="1:15" x14ac:dyDescent="0.25">
      <c r="A807" s="119"/>
      <c r="B807" s="4"/>
      <c r="C807" s="4"/>
      <c r="D807" s="7"/>
      <c r="E807" s="7"/>
      <c r="F807" s="116" t="str">
        <f t="shared" si="306"/>
        <v/>
      </c>
      <c r="G807" s="7" t="str">
        <f t="shared" si="307"/>
        <v/>
      </c>
      <c r="H807" s="7" t="str">
        <f t="shared" si="308"/>
        <v/>
      </c>
      <c r="I807" s="116" t="str">
        <f t="shared" si="309"/>
        <v/>
      </c>
      <c r="J807" s="7" t="str">
        <f t="shared" si="310"/>
        <v/>
      </c>
      <c r="K807" s="127" t="str">
        <f t="shared" si="311"/>
        <v/>
      </c>
      <c r="L807" s="127" t="str">
        <f>IF(NOT(ISERROR(VLOOKUP(B807,Deflatores!G$42:H$64,2,FALSE))),VLOOKUP(B807,Deflatores!G$42:H$64,2,FALSE),IF(OR(ISBLANK(C807),ISBLANK(B807)),"",VLOOKUP(C807,Deflatores!G$4:H$38,2,FALSE)*H807+VLOOKUP(C807,Deflatores!G$4:I$38,3,FALSE)))</f>
        <v/>
      </c>
      <c r="M807" s="10"/>
      <c r="N807" s="10"/>
      <c r="O807" s="6"/>
    </row>
    <row r="808" spans="1:15" x14ac:dyDescent="0.25">
      <c r="A808" s="119"/>
      <c r="B808" s="4"/>
      <c r="C808" s="4"/>
      <c r="D808" s="7"/>
      <c r="E808" s="7"/>
      <c r="F808" s="116" t="str">
        <f t="shared" si="306"/>
        <v/>
      </c>
      <c r="G808" s="7" t="str">
        <f t="shared" si="307"/>
        <v/>
      </c>
      <c r="H808" s="7" t="str">
        <f t="shared" si="308"/>
        <v/>
      </c>
      <c r="I808" s="116" t="str">
        <f t="shared" si="309"/>
        <v/>
      </c>
      <c r="J808" s="7" t="str">
        <f t="shared" si="310"/>
        <v/>
      </c>
      <c r="K808" s="127" t="str">
        <f t="shared" si="311"/>
        <v/>
      </c>
      <c r="L808" s="127" t="str">
        <f>IF(NOT(ISERROR(VLOOKUP(B808,Deflatores!G$42:H$64,2,FALSE))),VLOOKUP(B808,Deflatores!G$42:H$64,2,FALSE),IF(OR(ISBLANK(C808),ISBLANK(B808)),"",VLOOKUP(C808,Deflatores!G$4:H$38,2,FALSE)*H808+VLOOKUP(C808,Deflatores!G$4:I$38,3,FALSE)))</f>
        <v/>
      </c>
      <c r="M808" s="10"/>
      <c r="N808" s="10"/>
      <c r="O808" s="6"/>
    </row>
    <row r="809" spans="1:15" x14ac:dyDescent="0.25">
      <c r="A809" s="119"/>
      <c r="B809" s="4"/>
      <c r="C809" s="4"/>
      <c r="D809" s="7"/>
      <c r="E809" s="7"/>
      <c r="F809" s="116" t="str">
        <f t="shared" si="306"/>
        <v/>
      </c>
      <c r="G809" s="7" t="str">
        <f t="shared" si="307"/>
        <v/>
      </c>
      <c r="H809" s="7" t="str">
        <f t="shared" si="308"/>
        <v/>
      </c>
      <c r="I809" s="116" t="str">
        <f t="shared" si="309"/>
        <v/>
      </c>
      <c r="J809" s="7" t="str">
        <f t="shared" si="310"/>
        <v/>
      </c>
      <c r="K809" s="127" t="str">
        <f t="shared" si="311"/>
        <v/>
      </c>
      <c r="L809" s="127" t="str">
        <f>IF(NOT(ISERROR(VLOOKUP(B809,Deflatores!G$42:H$64,2,FALSE))),VLOOKUP(B809,Deflatores!G$42:H$64,2,FALSE),IF(OR(ISBLANK(C809),ISBLANK(B809)),"",VLOOKUP(C809,Deflatores!G$4:H$38,2,FALSE)*H809+VLOOKUP(C809,Deflatores!G$4:I$38,3,FALSE)))</f>
        <v/>
      </c>
      <c r="M809" s="10"/>
      <c r="N809" s="10"/>
      <c r="O809" s="6"/>
    </row>
    <row r="810" spans="1:15" x14ac:dyDescent="0.25">
      <c r="A810" s="119"/>
      <c r="B810" s="4"/>
      <c r="C810" s="4"/>
      <c r="D810" s="7"/>
      <c r="E810" s="7"/>
      <c r="F810" s="116" t="str">
        <f t="shared" si="306"/>
        <v/>
      </c>
      <c r="G810" s="7" t="str">
        <f t="shared" si="307"/>
        <v/>
      </c>
      <c r="H810" s="7" t="str">
        <f t="shared" si="308"/>
        <v/>
      </c>
      <c r="I810" s="116" t="str">
        <f t="shared" si="309"/>
        <v/>
      </c>
      <c r="J810" s="7" t="str">
        <f t="shared" si="310"/>
        <v/>
      </c>
      <c r="K810" s="127" t="str">
        <f t="shared" si="311"/>
        <v/>
      </c>
      <c r="L810" s="127" t="str">
        <f>IF(NOT(ISERROR(VLOOKUP(B810,Deflatores!G$42:H$64,2,FALSE))),VLOOKUP(B810,Deflatores!G$42:H$64,2,FALSE),IF(OR(ISBLANK(C810),ISBLANK(B810)),"",VLOOKUP(C810,Deflatores!G$4:H$38,2,FALSE)*H810+VLOOKUP(C810,Deflatores!G$4:I$38,3,FALSE)))</f>
        <v/>
      </c>
      <c r="M810" s="10"/>
      <c r="N810" s="10"/>
      <c r="O810" s="6"/>
    </row>
    <row r="811" spans="1:15" x14ac:dyDescent="0.25">
      <c r="A811" s="119"/>
      <c r="B811" s="4"/>
      <c r="C811" s="4"/>
      <c r="D811" s="7"/>
      <c r="E811" s="7"/>
      <c r="F811" s="116" t="str">
        <f t="shared" si="306"/>
        <v/>
      </c>
      <c r="G811" s="7" t="str">
        <f t="shared" si="307"/>
        <v/>
      </c>
      <c r="H811" s="7" t="str">
        <f t="shared" si="308"/>
        <v/>
      </c>
      <c r="I811" s="116" t="str">
        <f t="shared" si="309"/>
        <v/>
      </c>
      <c r="J811" s="7" t="str">
        <f t="shared" si="310"/>
        <v/>
      </c>
      <c r="K811" s="127" t="str">
        <f t="shared" si="311"/>
        <v/>
      </c>
      <c r="L811" s="127" t="str">
        <f>IF(NOT(ISERROR(VLOOKUP(B811,Deflatores!G$42:H$64,2,FALSE))),VLOOKUP(B811,Deflatores!G$42:H$64,2,FALSE),IF(OR(ISBLANK(C811),ISBLANK(B811)),"",VLOOKUP(C811,Deflatores!G$4:H$38,2,FALSE)*H811+VLOOKUP(C811,Deflatores!G$4:I$38,3,FALSE)))</f>
        <v/>
      </c>
      <c r="M811" s="10"/>
      <c r="N811" s="10"/>
      <c r="O811" s="6"/>
    </row>
    <row r="812" spans="1:15" x14ac:dyDescent="0.25">
      <c r="A812" s="119"/>
      <c r="B812" s="4"/>
      <c r="C812" s="4"/>
      <c r="D812" s="7"/>
      <c r="E812" s="7"/>
      <c r="F812" s="116" t="str">
        <f t="shared" si="306"/>
        <v/>
      </c>
      <c r="G812" s="7" t="str">
        <f t="shared" si="307"/>
        <v/>
      </c>
      <c r="H812" s="7" t="str">
        <f t="shared" si="308"/>
        <v/>
      </c>
      <c r="I812" s="116" t="str">
        <f t="shared" si="309"/>
        <v/>
      </c>
      <c r="J812" s="7" t="str">
        <f t="shared" si="310"/>
        <v/>
      </c>
      <c r="K812" s="127" t="str">
        <f t="shared" si="311"/>
        <v/>
      </c>
      <c r="L812" s="127" t="str">
        <f>IF(NOT(ISERROR(VLOOKUP(B812,Deflatores!G$42:H$64,2,FALSE))),VLOOKUP(B812,Deflatores!G$42:H$64,2,FALSE),IF(OR(ISBLANK(C812),ISBLANK(B812)),"",VLOOKUP(C812,Deflatores!G$4:H$38,2,FALSE)*H812+VLOOKUP(C812,Deflatores!G$4:I$38,3,FALSE)))</f>
        <v/>
      </c>
      <c r="M812" s="10"/>
      <c r="N812" s="10"/>
      <c r="O812" s="6"/>
    </row>
    <row r="813" spans="1:15" x14ac:dyDescent="0.25">
      <c r="A813" s="119"/>
      <c r="B813" s="4"/>
      <c r="C813" s="4"/>
      <c r="D813" s="7"/>
      <c r="E813" s="7"/>
      <c r="F813" s="116" t="str">
        <f t="shared" si="306"/>
        <v/>
      </c>
      <c r="G813" s="7" t="str">
        <f t="shared" si="307"/>
        <v/>
      </c>
      <c r="H813" s="7" t="str">
        <f t="shared" si="308"/>
        <v/>
      </c>
      <c r="I813" s="116" t="str">
        <f t="shared" si="309"/>
        <v/>
      </c>
      <c r="J813" s="7" t="str">
        <f t="shared" si="310"/>
        <v/>
      </c>
      <c r="K813" s="127" t="str">
        <f t="shared" si="311"/>
        <v/>
      </c>
      <c r="L813" s="127" t="str">
        <f>IF(NOT(ISERROR(VLOOKUP(B813,Deflatores!G$42:H$64,2,FALSE))),VLOOKUP(B813,Deflatores!G$42:H$64,2,FALSE),IF(OR(ISBLANK(C813),ISBLANK(B813)),"",VLOOKUP(C813,Deflatores!G$4:H$38,2,FALSE)*H813+VLOOKUP(C813,Deflatores!G$4:I$38,3,FALSE)))</f>
        <v/>
      </c>
      <c r="M813" s="10"/>
      <c r="N813" s="10"/>
      <c r="O813" s="6"/>
    </row>
    <row r="814" spans="1:15" x14ac:dyDescent="0.25">
      <c r="A814" s="119"/>
      <c r="B814" s="4"/>
      <c r="C814" s="4"/>
      <c r="D814" s="7"/>
      <c r="E814" s="7"/>
      <c r="F814" s="116" t="str">
        <f t="shared" si="306"/>
        <v/>
      </c>
      <c r="G814" s="7" t="str">
        <f t="shared" si="307"/>
        <v/>
      </c>
      <c r="H814" s="7" t="str">
        <f t="shared" si="308"/>
        <v/>
      </c>
      <c r="I814" s="116" t="str">
        <f t="shared" si="309"/>
        <v/>
      </c>
      <c r="J814" s="7" t="str">
        <f t="shared" si="310"/>
        <v/>
      </c>
      <c r="K814" s="127" t="str">
        <f t="shared" si="311"/>
        <v/>
      </c>
      <c r="L814" s="127" t="str">
        <f>IF(NOT(ISERROR(VLOOKUP(B814,Deflatores!G$42:H$64,2,FALSE))),VLOOKUP(B814,Deflatores!G$42:H$64,2,FALSE),IF(OR(ISBLANK(C814),ISBLANK(B814)),"",VLOOKUP(C814,Deflatores!G$4:H$38,2,FALSE)*H814+VLOOKUP(C814,Deflatores!G$4:I$38,3,FALSE)))</f>
        <v/>
      </c>
      <c r="M814" s="10"/>
      <c r="N814" s="10"/>
      <c r="O814" s="6"/>
    </row>
    <row r="815" spans="1:15" x14ac:dyDescent="0.25">
      <c r="A815" s="119"/>
      <c r="B815" s="4"/>
      <c r="C815" s="4"/>
      <c r="D815" s="7"/>
      <c r="E815" s="7"/>
      <c r="F815" s="116" t="str">
        <f t="shared" si="306"/>
        <v/>
      </c>
      <c r="G815" s="7" t="str">
        <f t="shared" si="307"/>
        <v/>
      </c>
      <c r="H815" s="7" t="str">
        <f t="shared" si="308"/>
        <v/>
      </c>
      <c r="I815" s="116" t="str">
        <f t="shared" si="309"/>
        <v/>
      </c>
      <c r="J815" s="7" t="str">
        <f t="shared" si="310"/>
        <v/>
      </c>
      <c r="K815" s="127" t="str">
        <f t="shared" si="311"/>
        <v/>
      </c>
      <c r="L815" s="127" t="str">
        <f>IF(NOT(ISERROR(VLOOKUP(B815,Deflatores!G$42:H$64,2,FALSE))),VLOOKUP(B815,Deflatores!G$42:H$64,2,FALSE),IF(OR(ISBLANK(C815),ISBLANK(B815)),"",VLOOKUP(C815,Deflatores!G$4:H$38,2,FALSE)*H815+VLOOKUP(C815,Deflatores!G$4:I$38,3,FALSE)))</f>
        <v/>
      </c>
      <c r="M815" s="10"/>
      <c r="N815" s="10"/>
      <c r="O815" s="6"/>
    </row>
    <row r="816" spans="1:15" x14ac:dyDescent="0.25">
      <c r="A816" s="119"/>
      <c r="B816" s="4"/>
      <c r="C816" s="4"/>
      <c r="D816" s="7"/>
      <c r="E816" s="7"/>
      <c r="F816" s="116" t="str">
        <f t="shared" si="306"/>
        <v/>
      </c>
      <c r="G816" s="7" t="str">
        <f t="shared" si="307"/>
        <v/>
      </c>
      <c r="H816" s="7" t="str">
        <f t="shared" si="308"/>
        <v/>
      </c>
      <c r="I816" s="116" t="str">
        <f t="shared" si="309"/>
        <v/>
      </c>
      <c r="J816" s="7" t="str">
        <f t="shared" si="310"/>
        <v/>
      </c>
      <c r="K816" s="127" t="str">
        <f t="shared" si="311"/>
        <v/>
      </c>
      <c r="L816" s="127" t="str">
        <f>IF(NOT(ISERROR(VLOOKUP(B816,Deflatores!G$42:H$64,2,FALSE))),VLOOKUP(B816,Deflatores!G$42:H$64,2,FALSE),IF(OR(ISBLANK(C816),ISBLANK(B816)),"",VLOOKUP(C816,Deflatores!G$4:H$38,2,FALSE)*H816+VLOOKUP(C816,Deflatores!G$4:I$38,3,FALSE)))</f>
        <v/>
      </c>
      <c r="M816" s="10"/>
      <c r="N816" s="10"/>
      <c r="O816" s="6"/>
    </row>
    <row r="817" spans="1:15" x14ac:dyDescent="0.25">
      <c r="A817" s="119"/>
      <c r="B817" s="4"/>
      <c r="C817" s="4"/>
      <c r="D817" s="7"/>
      <c r="E817" s="7"/>
      <c r="F817" s="8" t="str">
        <f t="shared" si="306"/>
        <v/>
      </c>
      <c r="G817" s="7" t="str">
        <f t="shared" si="307"/>
        <v/>
      </c>
      <c r="H817" s="5" t="str">
        <f t="shared" si="308"/>
        <v/>
      </c>
      <c r="I817" s="116" t="str">
        <f t="shared" si="309"/>
        <v/>
      </c>
      <c r="J817" s="7" t="str">
        <f t="shared" si="310"/>
        <v/>
      </c>
      <c r="K817" s="9" t="str">
        <f t="shared" si="311"/>
        <v/>
      </c>
      <c r="L817" s="9" t="str">
        <f>IF(NOT(ISERROR(VLOOKUP(B817,Deflatores!G$42:H$64,2,FALSE))),VLOOKUP(B817,Deflatores!G$42:H$64,2,FALSE),IF(OR(ISBLANK(C817),ISBLANK(B817)),"",VLOOKUP(C817,Deflatores!G$4:H$38,2,FALSE)*H817+VLOOKUP(C817,Deflatores!G$4:I$38,3,FALSE)))</f>
        <v/>
      </c>
      <c r="M817" s="10"/>
      <c r="N817" s="10"/>
      <c r="O817" s="6"/>
    </row>
    <row r="818" spans="1:15" x14ac:dyDescent="0.25">
      <c r="A818" s="119"/>
      <c r="B818" s="4"/>
      <c r="C818" s="4"/>
      <c r="D818" s="7"/>
      <c r="E818" s="7"/>
      <c r="F818" s="8" t="str">
        <f t="shared" si="306"/>
        <v/>
      </c>
      <c r="G818" s="7" t="str">
        <f t="shared" si="307"/>
        <v/>
      </c>
      <c r="H818" s="5" t="str">
        <f t="shared" si="308"/>
        <v/>
      </c>
      <c r="I818" s="116" t="str">
        <f t="shared" si="309"/>
        <v/>
      </c>
      <c r="J818" s="7" t="str">
        <f t="shared" si="310"/>
        <v/>
      </c>
      <c r="K818" s="9" t="str">
        <f t="shared" si="311"/>
        <v/>
      </c>
      <c r="L818" s="9" t="str">
        <f>IF(NOT(ISERROR(VLOOKUP(B818,Deflatores!G$42:H$64,2,FALSE))),VLOOKUP(B818,Deflatores!G$42:H$64,2,FALSE),IF(OR(ISBLANK(C818),ISBLANK(B818)),"",VLOOKUP(C818,Deflatores!G$4:H$38,2,FALSE)*H818+VLOOKUP(C818,Deflatores!G$4:I$38,3,FALSE)))</f>
        <v/>
      </c>
      <c r="M818" s="10"/>
      <c r="N818" s="10"/>
      <c r="O818" s="6"/>
    </row>
    <row r="819" spans="1:15" x14ac:dyDescent="0.25">
      <c r="A819" s="119"/>
      <c r="B819" s="4"/>
      <c r="C819" s="4"/>
      <c r="D819" s="7"/>
      <c r="E819" s="7"/>
      <c r="F819" s="8" t="str">
        <f t="shared" si="306"/>
        <v/>
      </c>
      <c r="G819" s="7" t="str">
        <f t="shared" si="307"/>
        <v/>
      </c>
      <c r="H819" s="5" t="str">
        <f t="shared" si="308"/>
        <v/>
      </c>
      <c r="I819" s="116" t="str">
        <f t="shared" si="309"/>
        <v/>
      </c>
      <c r="J819" s="7" t="str">
        <f t="shared" si="310"/>
        <v/>
      </c>
      <c r="K819" s="9" t="str">
        <f t="shared" si="311"/>
        <v/>
      </c>
      <c r="L819" s="9" t="str">
        <f>IF(NOT(ISERROR(VLOOKUP(B819,Deflatores!G$42:H$64,2,FALSE))),VLOOKUP(B819,Deflatores!G$42:H$64,2,FALSE),IF(OR(ISBLANK(C819),ISBLANK(B819)),"",VLOOKUP(C819,Deflatores!G$4:H$38,2,FALSE)*H819+VLOOKUP(C819,Deflatores!G$4:I$38,3,FALSE)))</f>
        <v/>
      </c>
      <c r="M819" s="10"/>
      <c r="N819" s="10"/>
      <c r="O819" s="6"/>
    </row>
    <row r="820" spans="1:15" x14ac:dyDescent="0.25">
      <c r="A820" s="119"/>
      <c r="B820" s="4"/>
      <c r="C820" s="4"/>
      <c r="D820" s="7"/>
      <c r="E820" s="7"/>
      <c r="F820" s="8" t="str">
        <f t="shared" si="306"/>
        <v/>
      </c>
      <c r="G820" s="7" t="str">
        <f t="shared" si="307"/>
        <v/>
      </c>
      <c r="H820" s="5" t="str">
        <f t="shared" si="308"/>
        <v/>
      </c>
      <c r="I820" s="116" t="str">
        <f t="shared" si="309"/>
        <v/>
      </c>
      <c r="J820" s="7" t="str">
        <f t="shared" si="310"/>
        <v/>
      </c>
      <c r="K820" s="9" t="str">
        <f t="shared" si="311"/>
        <v/>
      </c>
      <c r="L820" s="9" t="str">
        <f>IF(NOT(ISERROR(VLOOKUP(B820,Deflatores!G$42:H$64,2,FALSE))),VLOOKUP(B820,Deflatores!G$42:H$64,2,FALSE),IF(OR(ISBLANK(C820),ISBLANK(B820)),"",VLOOKUP(C820,Deflatores!G$4:H$38,2,FALSE)*H820+VLOOKUP(C820,Deflatores!G$4:I$38,3,FALSE)))</f>
        <v/>
      </c>
      <c r="M820" s="10"/>
      <c r="N820" s="10"/>
      <c r="O820" s="6"/>
    </row>
    <row r="821" spans="1:15" x14ac:dyDescent="0.25">
      <c r="A821" s="119"/>
      <c r="B821" s="4"/>
      <c r="C821" s="4"/>
      <c r="D821" s="7"/>
      <c r="E821" s="7"/>
      <c r="F821" s="8" t="str">
        <f t="shared" si="306"/>
        <v/>
      </c>
      <c r="G821" s="7" t="str">
        <f t="shared" si="307"/>
        <v/>
      </c>
      <c r="H821" s="5" t="str">
        <f t="shared" si="308"/>
        <v/>
      </c>
      <c r="I821" s="116" t="str">
        <f t="shared" si="309"/>
        <v/>
      </c>
      <c r="J821" s="7" t="str">
        <f t="shared" si="310"/>
        <v/>
      </c>
      <c r="K821" s="9" t="str">
        <f t="shared" si="311"/>
        <v/>
      </c>
      <c r="L821" s="9" t="str">
        <f>IF(NOT(ISERROR(VLOOKUP(B821,Deflatores!G$42:H$64,2,FALSE))),VLOOKUP(B821,Deflatores!G$42:H$64,2,FALSE),IF(OR(ISBLANK(C821),ISBLANK(B821)),"",VLOOKUP(C821,Deflatores!G$4:H$38,2,FALSE)*H821+VLOOKUP(C821,Deflatores!G$4:I$38,3,FALSE)))</f>
        <v/>
      </c>
      <c r="M821" s="10"/>
      <c r="N821" s="10"/>
      <c r="O821" s="6"/>
    </row>
    <row r="822" spans="1:15" x14ac:dyDescent="0.25">
      <c r="A822" s="119"/>
      <c r="B822" s="4"/>
      <c r="C822" s="4"/>
      <c r="D822" s="7"/>
      <c r="E822" s="7"/>
      <c r="F822" s="8" t="str">
        <f t="shared" si="306"/>
        <v/>
      </c>
      <c r="G822" s="7" t="str">
        <f t="shared" si="307"/>
        <v/>
      </c>
      <c r="H822" s="5" t="str">
        <f t="shared" si="308"/>
        <v/>
      </c>
      <c r="I822" s="116" t="str">
        <f t="shared" si="309"/>
        <v/>
      </c>
      <c r="J822" s="7" t="str">
        <f t="shared" si="310"/>
        <v/>
      </c>
      <c r="K822" s="9" t="str">
        <f t="shared" si="311"/>
        <v/>
      </c>
      <c r="L822" s="9" t="str">
        <f>IF(NOT(ISERROR(VLOOKUP(B822,Deflatores!G$42:H$64,2,FALSE))),VLOOKUP(B822,Deflatores!G$42:H$64,2,FALSE),IF(OR(ISBLANK(C822),ISBLANK(B822)),"",VLOOKUP(C822,Deflatores!G$4:H$38,2,FALSE)*H822+VLOOKUP(C822,Deflatores!G$4:I$38,3,FALSE)))</f>
        <v/>
      </c>
      <c r="M822" s="10"/>
      <c r="N822" s="10"/>
      <c r="O822" s="6"/>
    </row>
    <row r="823" spans="1:15" x14ac:dyDescent="0.25">
      <c r="A823" s="119"/>
      <c r="B823" s="4"/>
      <c r="C823" s="4"/>
      <c r="D823" s="7"/>
      <c r="E823" s="7"/>
      <c r="F823" s="8" t="str">
        <f t="shared" si="306"/>
        <v/>
      </c>
      <c r="G823" s="7" t="str">
        <f t="shared" si="307"/>
        <v/>
      </c>
      <c r="H823" s="5" t="str">
        <f t="shared" si="308"/>
        <v/>
      </c>
      <c r="I823" s="116" t="str">
        <f t="shared" si="309"/>
        <v/>
      </c>
      <c r="J823" s="7" t="str">
        <f t="shared" si="310"/>
        <v/>
      </c>
      <c r="K823" s="9" t="str">
        <f t="shared" si="311"/>
        <v/>
      </c>
      <c r="L823" s="9" t="str">
        <f>IF(NOT(ISERROR(VLOOKUP(B823,Deflatores!G$42:H$64,2,FALSE))),VLOOKUP(B823,Deflatores!G$42:H$64,2,FALSE),IF(OR(ISBLANK(C823),ISBLANK(B823)),"",VLOOKUP(C823,Deflatores!G$4:H$38,2,FALSE)*H823+VLOOKUP(C823,Deflatores!G$4:I$38,3,FALSE)))</f>
        <v/>
      </c>
      <c r="M823" s="10"/>
      <c r="N823" s="10"/>
      <c r="O823" s="6"/>
    </row>
    <row r="824" spans="1:15" ht="13" thickBot="1" x14ac:dyDescent="0.3">
      <c r="A824" s="120"/>
      <c r="B824" s="11"/>
      <c r="C824" s="11"/>
      <c r="D824" s="12"/>
      <c r="E824" s="12"/>
      <c r="F824" s="13" t="str">
        <f t="shared" si="306"/>
        <v/>
      </c>
      <c r="G824" s="14" t="str">
        <f t="shared" si="307"/>
        <v/>
      </c>
      <c r="H824" s="15" t="str">
        <f t="shared" si="308"/>
        <v/>
      </c>
      <c r="I824" s="117" t="str">
        <f t="shared" si="309"/>
        <v/>
      </c>
      <c r="J824" s="12" t="str">
        <f t="shared" si="310"/>
        <v/>
      </c>
      <c r="K824" s="16" t="str">
        <f t="shared" si="311"/>
        <v/>
      </c>
      <c r="L824" s="16" t="str">
        <f>IF(NOT(ISERROR(VLOOKUP(B824,Deflatores!G$42:H$64,2,FALSE))),VLOOKUP(B824,Deflatores!G$42:H$64,2,FALSE),IF(OR(ISBLANK(C824),ISBLANK(B824)),"",VLOOKUP(C824,Deflatores!G$4:H$38,2,FALSE)*H824+VLOOKUP(C824,Deflatores!G$4:I$38,3,FALSE)))</f>
        <v/>
      </c>
      <c r="M824" s="17"/>
      <c r="N824" s="17"/>
      <c r="O824" s="18"/>
    </row>
  </sheetData>
  <sheetProtection selectLockedCells="1" selectUnlockedCells="1"/>
  <mergeCells count="7">
    <mergeCell ref="B6:J6"/>
    <mergeCell ref="M6:O6"/>
    <mergeCell ref="A1:O3"/>
    <mergeCell ref="M4:O4"/>
    <mergeCell ref="M5:O5"/>
    <mergeCell ref="B4:J4"/>
    <mergeCell ref="B5:J5"/>
  </mergeCells>
  <conditionalFormatting sqref="C8:C37 C49:C142 C47 C41:C44 C39">
    <cfRule type="cellIs" dxfId="23" priority="79" stopIfTrue="1" operator="equal">
      <formula>"I"</formula>
    </cfRule>
    <cfRule type="cellIs" dxfId="22" priority="80" stopIfTrue="1" operator="equal">
      <formula>"A"</formula>
    </cfRule>
    <cfRule type="cellIs" dxfId="21" priority="81" stopIfTrue="1" operator="equal">
      <formula>"E"</formula>
    </cfRule>
  </conditionalFormatting>
  <conditionalFormatting sqref="C395:C824 C144:C387">
    <cfRule type="cellIs" dxfId="20" priority="19" stopIfTrue="1" operator="equal">
      <formula>"I"</formula>
    </cfRule>
    <cfRule type="cellIs" dxfId="19" priority="20" stopIfTrue="1" operator="equal">
      <formula>"A"</formula>
    </cfRule>
    <cfRule type="cellIs" dxfId="18" priority="21" stopIfTrue="1" operator="equal">
      <formula>"E"</formula>
    </cfRule>
  </conditionalFormatting>
  <conditionalFormatting sqref="C388:C394">
    <cfRule type="cellIs" dxfId="17" priority="16" stopIfTrue="1" operator="equal">
      <formula>"I"</formula>
    </cfRule>
    <cfRule type="cellIs" dxfId="16" priority="17" stopIfTrue="1" operator="equal">
      <formula>"A"</formula>
    </cfRule>
    <cfRule type="cellIs" dxfId="15" priority="18" stopIfTrue="1" operator="equal">
      <formula>"E"</formula>
    </cfRule>
  </conditionalFormatting>
  <conditionalFormatting sqref="C393:C394">
    <cfRule type="cellIs" dxfId="14" priority="13" stopIfTrue="1" operator="equal">
      <formula>"I"</formula>
    </cfRule>
    <cfRule type="cellIs" dxfId="13" priority="14" stopIfTrue="1" operator="equal">
      <formula>"A"</formula>
    </cfRule>
    <cfRule type="cellIs" dxfId="12" priority="15" stopIfTrue="1" operator="equal">
      <formula>"E"</formula>
    </cfRule>
  </conditionalFormatting>
  <conditionalFormatting sqref="C48">
    <cfRule type="cellIs" dxfId="11" priority="10" stopIfTrue="1" operator="equal">
      <formula>"I"</formula>
    </cfRule>
    <cfRule type="cellIs" dxfId="10" priority="11" stopIfTrue="1" operator="equal">
      <formula>"A"</formula>
    </cfRule>
    <cfRule type="cellIs" dxfId="9" priority="12" stopIfTrue="1" operator="equal">
      <formula>"E"</formula>
    </cfRule>
  </conditionalFormatting>
  <conditionalFormatting sqref="C45:C46">
    <cfRule type="cellIs" dxfId="8" priority="7" stopIfTrue="1" operator="equal">
      <formula>"I"</formula>
    </cfRule>
    <cfRule type="cellIs" dxfId="7" priority="8" stopIfTrue="1" operator="equal">
      <formula>"A"</formula>
    </cfRule>
    <cfRule type="cellIs" dxfId="6" priority="9" stopIfTrue="1" operator="equal">
      <formula>"E"</formula>
    </cfRule>
  </conditionalFormatting>
  <conditionalFormatting sqref="C40">
    <cfRule type="cellIs" dxfId="5" priority="4" stopIfTrue="1" operator="equal">
      <formula>"I"</formula>
    </cfRule>
    <cfRule type="cellIs" dxfId="4" priority="5" stopIfTrue="1" operator="equal">
      <formula>"A"</formula>
    </cfRule>
    <cfRule type="cellIs" dxfId="3" priority="6" stopIfTrue="1" operator="equal">
      <formula>"E"</formula>
    </cfRule>
  </conditionalFormatting>
  <conditionalFormatting sqref="C38">
    <cfRule type="cellIs" dxfId="2" priority="1" stopIfTrue="1" operator="equal">
      <formula>"I"</formula>
    </cfRule>
    <cfRule type="cellIs" dxfId="1" priority="2" stopIfTrue="1" operator="equal">
      <formula>"A"</formula>
    </cfRule>
    <cfRule type="cellIs" dxfId="0" priority="3" stopIfTrue="1" operator="equal">
      <formula>"E"</formula>
    </cfRule>
  </conditionalFormatting>
  <dataValidations count="2">
    <dataValidation type="list" operator="equal" allowBlank="1" showInputMessage="1" showErrorMessage="1" promptTitle="Tipo da Função" prompt="ALI, AIE, EE, SE, CE_x000a_ou_x000a_Itens não mensuráveis" sqref="B8:B133 B135:B141 B143:B823" xr:uid="{00000000-0002-0000-0100-000000000000}">
      <formula1>TiposDeFuncao</formula1>
      <formula2>0</formula2>
    </dataValidation>
    <dataValidation type="list" operator="equal" allowBlank="1" showInputMessage="1" showErrorMessage="1" promptTitle="Tipo de Manutenção na Função" prompt="I, A, E _x000a_ou_x000a_Itens não mensuráveis" sqref="C143:C823 C8:C141" xr:uid="{00000000-0002-0000-0100-000001000000}">
      <formula1>TiposDeManutencao</formula1>
      <formula2>0</formula2>
    </dataValidation>
  </dataValidations>
  <pageMargins left="0.70833333333333337" right="0.70833333333333337" top="0.74791666666666667" bottom="0.74861111111111112" header="0.51180555555555551" footer="0.31527777777777777"/>
  <pageSetup paperSize="9" scale="75" firstPageNumber="0" fitToHeight="0" orientation="landscape" horizontalDpi="300" verticalDpi="300" r:id="rId1"/>
  <headerFooter alignWithMargins="0">
    <oddFooter>&amp;CPágina &amp;P de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1:L64"/>
  <sheetViews>
    <sheetView showGridLines="0" zoomScaleNormal="100" zoomScaleSheetLayoutView="100" workbookViewId="0">
      <pane ySplit="1" topLeftCell="A13" activePane="bottomLeft" state="frozen"/>
      <selection activeCell="B11" sqref="B11"/>
      <selection pane="bottomLeft" activeCell="B36" sqref="B36:E36"/>
    </sheetView>
  </sheetViews>
  <sheetFormatPr defaultColWidth="11.54296875" defaultRowHeight="12.5" x14ac:dyDescent="0.25"/>
  <cols>
    <col min="4" max="4" width="10.81640625" customWidth="1"/>
    <col min="5" max="5" width="23.1796875" customWidth="1"/>
    <col min="6" max="6" width="53.1796875" customWidth="1"/>
    <col min="7" max="7" width="7.81640625" style="19" customWidth="1"/>
    <col min="8" max="8" width="13.1796875" style="20" customWidth="1"/>
    <col min="9" max="9" width="9.81640625" style="20" customWidth="1"/>
    <col min="10" max="11" width="10.54296875" customWidth="1"/>
    <col min="12" max="12" width="0" style="19" hidden="1" customWidth="1"/>
  </cols>
  <sheetData>
    <row r="1" spans="1:12" ht="36.65" customHeight="1" x14ac:dyDescent="0.35">
      <c r="A1" s="139" t="s">
        <v>352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21"/>
    </row>
    <row r="2" spans="1:12" ht="14.9" customHeight="1" x14ac:dyDescent="0.25">
      <c r="A2" s="159" t="s">
        <v>353</v>
      </c>
      <c r="B2" s="159"/>
      <c r="C2" s="159"/>
      <c r="D2" s="159"/>
      <c r="E2" s="159"/>
      <c r="F2" s="159"/>
      <c r="G2" s="160" t="s">
        <v>354</v>
      </c>
      <c r="H2" s="160" t="s">
        <v>355</v>
      </c>
      <c r="I2" s="160"/>
      <c r="J2" s="160" t="s">
        <v>3</v>
      </c>
      <c r="K2" s="161" t="s">
        <v>356</v>
      </c>
    </row>
    <row r="3" spans="1:12" ht="14.9" customHeight="1" x14ac:dyDescent="0.25">
      <c r="A3" s="22" t="s">
        <v>357</v>
      </c>
      <c r="B3" s="160" t="s">
        <v>358</v>
      </c>
      <c r="C3" s="160"/>
      <c r="D3" s="160"/>
      <c r="E3" s="160"/>
      <c r="F3" s="23" t="s">
        <v>359</v>
      </c>
      <c r="G3" s="160"/>
      <c r="H3" s="23" t="s">
        <v>360</v>
      </c>
      <c r="I3" s="23" t="s">
        <v>361</v>
      </c>
      <c r="J3" s="160"/>
      <c r="K3" s="161"/>
    </row>
    <row r="4" spans="1:12" x14ac:dyDescent="0.25">
      <c r="A4" s="3" t="s">
        <v>362</v>
      </c>
      <c r="B4" s="137" t="s">
        <v>363</v>
      </c>
      <c r="C4" s="137"/>
      <c r="D4" s="137"/>
      <c r="E4" s="137"/>
      <c r="F4" s="2"/>
      <c r="G4" s="24" t="s">
        <v>50</v>
      </c>
      <c r="H4" s="98">
        <v>1</v>
      </c>
      <c r="I4" s="99"/>
      <c r="J4" s="100">
        <f>SUMIF(Funções!$C$11:$C$824,Deflatores!G4,Funções!$H$11:$H$824)</f>
        <v>1285</v>
      </c>
      <c r="K4" s="101">
        <f>IF(H4="",COUNTIF(Funções!C$11:C$824,G4)*I4,H4*J4)</f>
        <v>1285</v>
      </c>
    </row>
    <row r="5" spans="1:12" x14ac:dyDescent="0.25">
      <c r="A5" s="3" t="s">
        <v>364</v>
      </c>
      <c r="B5" s="137" t="s">
        <v>365</v>
      </c>
      <c r="C5" s="137"/>
      <c r="D5" s="137"/>
      <c r="E5" s="137"/>
      <c r="F5" s="2" t="s">
        <v>366</v>
      </c>
      <c r="G5" s="24" t="s">
        <v>367</v>
      </c>
      <c r="H5" s="98">
        <v>0.5</v>
      </c>
      <c r="I5" s="99"/>
      <c r="J5" s="100">
        <f>SUMIF(Funções!$C$11:$C$824,Deflatores!G5,Funções!$H$11:$H$824)</f>
        <v>0</v>
      </c>
      <c r="K5" s="101">
        <f>IF(H5="",COUNTIF(Funções!C$11:C$824,G5)*I5,H5*J5)</f>
        <v>0</v>
      </c>
    </row>
    <row r="6" spans="1:12" x14ac:dyDescent="0.25">
      <c r="A6" s="3" t="s">
        <v>368</v>
      </c>
      <c r="B6" s="137" t="s">
        <v>369</v>
      </c>
      <c r="C6" s="137"/>
      <c r="D6" s="137"/>
      <c r="E6" s="137"/>
      <c r="F6" s="2" t="s">
        <v>366</v>
      </c>
      <c r="G6" s="24" t="s">
        <v>77</v>
      </c>
      <c r="H6" s="98">
        <v>0.4</v>
      </c>
      <c r="I6" s="99"/>
      <c r="J6" s="100">
        <f>SUMIF(Funções!$C$11:$C$824,Deflatores!G6,Funções!$H$11:$H$824)</f>
        <v>6</v>
      </c>
      <c r="K6" s="101">
        <f>IF(H6="",COUNTIF(Funções!C$11:C$824,G6)*I6,H6*J6)</f>
        <v>2.4000000000000004</v>
      </c>
    </row>
    <row r="7" spans="1:12" x14ac:dyDescent="0.25">
      <c r="A7" s="3"/>
      <c r="B7" s="137" t="s">
        <v>370</v>
      </c>
      <c r="C7" s="137"/>
      <c r="D7" s="137"/>
      <c r="E7" s="137"/>
      <c r="F7" s="2" t="s">
        <v>366</v>
      </c>
      <c r="G7" s="24" t="s">
        <v>371</v>
      </c>
      <c r="H7" s="98">
        <v>0.5</v>
      </c>
      <c r="I7" s="99"/>
      <c r="J7" s="100">
        <f>SUMIF(Funções!$C$11:$C$824,Deflatores!G7,Funções!$H$11:$H$824)</f>
        <v>0</v>
      </c>
      <c r="K7" s="101">
        <f>IF(H7="",COUNTIF(Funções!C$11:C$824,G7)*I7,H7*J7)</f>
        <v>0</v>
      </c>
    </row>
    <row r="8" spans="1:12" x14ac:dyDescent="0.25">
      <c r="A8" s="3"/>
      <c r="B8" s="137" t="s">
        <v>372</v>
      </c>
      <c r="C8" s="137"/>
      <c r="D8" s="137"/>
      <c r="E8" s="137"/>
      <c r="F8" s="2" t="s">
        <v>366</v>
      </c>
      <c r="G8" s="24" t="s">
        <v>373</v>
      </c>
      <c r="H8" s="98">
        <v>0.75</v>
      </c>
      <c r="I8" s="99"/>
      <c r="J8" s="100">
        <f>SUMIF(Funções!$C$11:$C$824,Deflatores!G8,Funções!$H$11:$H$824)</f>
        <v>0</v>
      </c>
      <c r="K8" s="101">
        <f>IF(H8="",COUNTIF(Funções!C$11:C$824,G8)*I8,H8*J8)</f>
        <v>0</v>
      </c>
    </row>
    <row r="9" spans="1:12" x14ac:dyDescent="0.25">
      <c r="A9" s="3"/>
      <c r="B9" s="137" t="s">
        <v>374</v>
      </c>
      <c r="C9" s="137"/>
      <c r="D9" s="137"/>
      <c r="E9" s="137"/>
      <c r="F9" s="2" t="s">
        <v>366</v>
      </c>
      <c r="G9" s="24" t="s">
        <v>375</v>
      </c>
      <c r="H9" s="98">
        <v>0.9</v>
      </c>
      <c r="I9" s="99"/>
      <c r="J9" s="100">
        <f>SUMIF(Funções!$C$11:$C$824,Deflatores!G9,Funções!$H$11:$H$824)</f>
        <v>0</v>
      </c>
      <c r="K9" s="101">
        <f>IF(H9="",COUNTIF(Funções!C$11:C$824,G9)*I9,H9*J9)</f>
        <v>0</v>
      </c>
    </row>
    <row r="10" spans="1:12" x14ac:dyDescent="0.25">
      <c r="A10" s="3"/>
      <c r="B10" s="137" t="s">
        <v>376</v>
      </c>
      <c r="C10" s="137"/>
      <c r="D10" s="137"/>
      <c r="E10" s="137"/>
      <c r="F10" s="2" t="s">
        <v>377</v>
      </c>
      <c r="G10" s="24" t="s">
        <v>378</v>
      </c>
      <c r="H10" s="98">
        <v>1</v>
      </c>
      <c r="I10" s="99"/>
      <c r="J10" s="100">
        <f>SUMIF(Funções!$C$11:$C$824,Deflatores!G10,Funções!$H$11:$H$824)</f>
        <v>0</v>
      </c>
      <c r="K10" s="101">
        <f>IF(H10="",COUNTIF(Funções!C$11:C$824,G10)*I10,H10*J10)</f>
        <v>0</v>
      </c>
    </row>
    <row r="11" spans="1:12" x14ac:dyDescent="0.25">
      <c r="A11" s="3"/>
      <c r="B11" s="137" t="s">
        <v>379</v>
      </c>
      <c r="C11" s="137"/>
      <c r="D11" s="137"/>
      <c r="E11" s="137"/>
      <c r="F11" s="2" t="s">
        <v>380</v>
      </c>
      <c r="G11" s="24" t="s">
        <v>381</v>
      </c>
      <c r="H11" s="98">
        <v>0.5</v>
      </c>
      <c r="I11" s="99"/>
      <c r="J11" s="100">
        <f>SUMIF(Funções!$C$11:$C$824,Deflatores!G11,Funções!$H$11:$H$824)</f>
        <v>0</v>
      </c>
      <c r="K11" s="101">
        <f>IF(H11="",COUNTIF(Funções!C$11:C$824,G11)*I11,H11*J11)</f>
        <v>0</v>
      </c>
    </row>
    <row r="12" spans="1:12" ht="13.5" customHeight="1" x14ac:dyDescent="0.25">
      <c r="A12" s="3"/>
      <c r="B12" s="137" t="s">
        <v>382</v>
      </c>
      <c r="C12" s="137"/>
      <c r="D12" s="137"/>
      <c r="E12" s="137"/>
      <c r="F12" s="2" t="s">
        <v>380</v>
      </c>
      <c r="G12" s="24" t="s">
        <v>383</v>
      </c>
      <c r="H12" s="98">
        <v>0.5</v>
      </c>
      <c r="I12" s="99"/>
      <c r="J12" s="100">
        <f>SUMIF(Funções!$C$11:$C$824,Deflatores!G12,Funções!$H$11:$H$824)</f>
        <v>0</v>
      </c>
      <c r="K12" s="101">
        <f>IF(H12="",COUNTIF(Funções!C$11:C$824,G12)*I12,H12*J12)</f>
        <v>0</v>
      </c>
    </row>
    <row r="13" spans="1:12" ht="13.5" customHeight="1" x14ac:dyDescent="0.25">
      <c r="A13" s="3"/>
      <c r="B13" s="137" t="s">
        <v>384</v>
      </c>
      <c r="C13" s="137"/>
      <c r="D13" s="137"/>
      <c r="E13" s="137"/>
      <c r="F13" s="2" t="s">
        <v>380</v>
      </c>
      <c r="G13" s="24" t="s">
        <v>385</v>
      </c>
      <c r="H13" s="98">
        <v>0.75</v>
      </c>
      <c r="I13" s="99"/>
      <c r="J13" s="100">
        <f>SUMIF(Funções!$C$11:$C$824,Deflatores!G13,Funções!$H$11:$H$824)</f>
        <v>0</v>
      </c>
      <c r="K13" s="101">
        <f>IF(H13="",COUNTIF(Funções!C$11:C$824,G13)*I13,H13*J13)</f>
        <v>0</v>
      </c>
    </row>
    <row r="14" spans="1:12" ht="13.5" customHeight="1" x14ac:dyDescent="0.25">
      <c r="A14" s="3"/>
      <c r="B14" s="137" t="s">
        <v>386</v>
      </c>
      <c r="C14" s="137"/>
      <c r="D14" s="137"/>
      <c r="E14" s="137"/>
      <c r="F14" s="2" t="s">
        <v>380</v>
      </c>
      <c r="G14" s="24" t="s">
        <v>387</v>
      </c>
      <c r="H14" s="98">
        <v>0.9</v>
      </c>
      <c r="I14" s="99"/>
      <c r="J14" s="100">
        <f>SUMIF(Funções!$C$11:$C$824,Deflatores!G14,Funções!$H$11:$H$824)</f>
        <v>0</v>
      </c>
      <c r="K14" s="101">
        <f>IF(H14="",COUNTIF(Funções!C$11:C$824,G14)*I14,H14*J14)</f>
        <v>0</v>
      </c>
    </row>
    <row r="15" spans="1:12" ht="13.5" customHeight="1" x14ac:dyDescent="0.25">
      <c r="A15" s="3"/>
      <c r="B15" s="137" t="s">
        <v>388</v>
      </c>
      <c r="C15" s="137"/>
      <c r="D15" s="137"/>
      <c r="E15" s="137"/>
      <c r="F15" s="2" t="s">
        <v>380</v>
      </c>
      <c r="G15" s="24" t="s">
        <v>389</v>
      </c>
      <c r="H15" s="98">
        <v>0</v>
      </c>
      <c r="I15" s="99"/>
      <c r="J15" s="100">
        <f>SUMIF(Funções!$C$11:$C$824,Deflatores!G15,Funções!$H$11:$H$824)</f>
        <v>0</v>
      </c>
      <c r="K15" s="101">
        <f>IF(H15="",COUNTIF(Funções!C$11:C$824,G15)*I15,H15*J15)</f>
        <v>0</v>
      </c>
    </row>
    <row r="16" spans="1:12" ht="13.5" customHeight="1" x14ac:dyDescent="0.25">
      <c r="A16" s="3"/>
      <c r="B16" s="137" t="s">
        <v>390</v>
      </c>
      <c r="C16" s="137"/>
      <c r="D16" s="137"/>
      <c r="E16" s="137"/>
      <c r="F16" s="2" t="s">
        <v>391</v>
      </c>
      <c r="G16" s="24" t="s">
        <v>392</v>
      </c>
      <c r="H16" s="98">
        <v>1</v>
      </c>
      <c r="I16" s="99"/>
      <c r="J16" s="100">
        <f>SUMIF(Funções!$C$11:$C$824,Deflatores!G16,Funções!$H$11:$H$824)</f>
        <v>0</v>
      </c>
      <c r="K16" s="101">
        <f>IF(H16="",COUNTIF(Funções!C$11:C$824,G16)*I16,H16*J16)</f>
        <v>0</v>
      </c>
    </row>
    <row r="17" spans="1:11" x14ac:dyDescent="0.25">
      <c r="A17" s="3"/>
      <c r="B17" s="137" t="s">
        <v>393</v>
      </c>
      <c r="C17" s="137"/>
      <c r="D17" s="137"/>
      <c r="E17" s="137"/>
      <c r="F17" s="2" t="s">
        <v>394</v>
      </c>
      <c r="G17" s="24" t="s">
        <v>395</v>
      </c>
      <c r="H17" s="98">
        <v>1</v>
      </c>
      <c r="I17" s="99"/>
      <c r="J17" s="100">
        <f>SUMIF(Funções!$C$11:$C$824,Deflatores!G17,Funções!$H$11:$H$824)</f>
        <v>0</v>
      </c>
      <c r="K17" s="101">
        <f>IF(H17="",COUNTIF(Funções!C$11:C$824,G17)*I17,H17*J17)</f>
        <v>0</v>
      </c>
    </row>
    <row r="18" spans="1:11" ht="13.5" customHeight="1" x14ac:dyDescent="0.25">
      <c r="A18" s="3"/>
      <c r="B18" s="137" t="s">
        <v>396</v>
      </c>
      <c r="C18" s="137"/>
      <c r="D18" s="137"/>
      <c r="E18" s="137"/>
      <c r="F18" s="2" t="s">
        <v>394</v>
      </c>
      <c r="G18" s="24" t="s">
        <v>397</v>
      </c>
      <c r="H18" s="98">
        <v>0.3</v>
      </c>
      <c r="I18" s="99"/>
      <c r="J18" s="100">
        <f>SUMIF(Funções!$C$11:$C$824,Deflatores!G18,Funções!$H$11:$H$824)</f>
        <v>0</v>
      </c>
      <c r="K18" s="101">
        <f>IF(H18="",COUNTIF(Funções!C$11:C$824,G18)*I18,H18*J18)</f>
        <v>0</v>
      </c>
    </row>
    <row r="19" spans="1:11" ht="13.5" customHeight="1" x14ac:dyDescent="0.25">
      <c r="A19" s="3"/>
      <c r="B19" s="137" t="s">
        <v>398</v>
      </c>
      <c r="C19" s="137"/>
      <c r="D19" s="137"/>
      <c r="E19" s="137"/>
      <c r="F19" s="2" t="s">
        <v>399</v>
      </c>
      <c r="G19" s="24" t="s">
        <v>400</v>
      </c>
      <c r="H19" s="98">
        <v>0.3</v>
      </c>
      <c r="I19" s="99"/>
      <c r="J19" s="100">
        <f>SUMIF(Funções!$C$11:$C$824,Deflatores!G19,Funções!$H$11:$H$824)</f>
        <v>0</v>
      </c>
      <c r="K19" s="101">
        <f>IF(H19="",COUNTIF(Funções!C$11:C$824,G19)*I19,H19*J19)</f>
        <v>0</v>
      </c>
    </row>
    <row r="20" spans="1:11" ht="13.5" customHeight="1" x14ac:dyDescent="0.25">
      <c r="A20" s="3"/>
      <c r="B20" s="137" t="s">
        <v>401</v>
      </c>
      <c r="C20" s="137"/>
      <c r="D20" s="137"/>
      <c r="E20" s="137"/>
      <c r="F20" s="2" t="s">
        <v>402</v>
      </c>
      <c r="G20" s="24" t="s">
        <v>403</v>
      </c>
      <c r="H20" s="98">
        <v>0.3</v>
      </c>
      <c r="I20" s="99"/>
      <c r="J20" s="100">
        <f>SUMIF(Funções!$C$11:$C$824,Deflatores!G20,Funções!$H$11:$H$824)</f>
        <v>0</v>
      </c>
      <c r="K20" s="101">
        <f>IF(H20="",COUNTIF(Funções!C$11:C$824,G20)*I20,H20*J20)</f>
        <v>0</v>
      </c>
    </row>
    <row r="21" spans="1:11" ht="13.5" customHeight="1" x14ac:dyDescent="0.25">
      <c r="A21" s="3"/>
      <c r="B21" s="137" t="s">
        <v>404</v>
      </c>
      <c r="C21" s="137"/>
      <c r="D21" s="137"/>
      <c r="E21" s="137"/>
      <c r="F21" s="2" t="s">
        <v>405</v>
      </c>
      <c r="G21" s="24" t="s">
        <v>406</v>
      </c>
      <c r="H21" s="98">
        <v>0.3</v>
      </c>
      <c r="I21" s="99"/>
      <c r="J21" s="100">
        <f>SUMIF(Funções!$C$11:$C$824,Deflatores!G21,Funções!$H$11:$H$824)</f>
        <v>0</v>
      </c>
      <c r="K21" s="101">
        <f>IF(H21="",COUNTIF(Funções!C$11:C$824,G21)*I21,H21*J21)</f>
        <v>0</v>
      </c>
    </row>
    <row r="22" spans="1:11" x14ac:dyDescent="0.25">
      <c r="A22" s="3"/>
      <c r="B22" s="137" t="s">
        <v>407</v>
      </c>
      <c r="C22" s="137"/>
      <c r="D22" s="137"/>
      <c r="E22" s="137"/>
      <c r="F22" s="2" t="s">
        <v>408</v>
      </c>
      <c r="G22" s="24" t="s">
        <v>46</v>
      </c>
      <c r="H22" s="98"/>
      <c r="I22" s="99">
        <v>0.6</v>
      </c>
      <c r="J22" s="100">
        <f>SUMIF(Funções!$C$11:$C$824,Deflatores!G22,Funções!$H$11:$H$824)</f>
        <v>7</v>
      </c>
      <c r="K22" s="101">
        <f>IF(H22="",COUNTIF(Funções!C$11:C$824,G22)*I22,H22*J22)</f>
        <v>1.2</v>
      </c>
    </row>
    <row r="23" spans="1:11" ht="27" customHeight="1" x14ac:dyDescent="0.25">
      <c r="A23" s="3"/>
      <c r="B23" s="162" t="s">
        <v>409</v>
      </c>
      <c r="C23" s="163"/>
      <c r="D23" s="163"/>
      <c r="E23" s="164"/>
      <c r="F23" s="97" t="s">
        <v>410</v>
      </c>
      <c r="G23" s="24" t="s">
        <v>411</v>
      </c>
      <c r="H23" s="98">
        <v>0.5</v>
      </c>
      <c r="I23" s="99"/>
      <c r="J23" s="100">
        <f>SUMIF(Funções!$C$11:$C$824,Deflatores!G23,Funções!$H$11:$H$824)</f>
        <v>0</v>
      </c>
      <c r="K23" s="101">
        <f>IF(H23="",COUNTIF(Funções!C$11:C$824,G23)*I23,H23*J23)</f>
        <v>0</v>
      </c>
    </row>
    <row r="24" spans="1:11" ht="27" customHeight="1" x14ac:dyDescent="0.25">
      <c r="A24" s="3"/>
      <c r="B24" s="162" t="s">
        <v>412</v>
      </c>
      <c r="C24" s="163"/>
      <c r="D24" s="163"/>
      <c r="E24" s="164"/>
      <c r="F24" s="97" t="s">
        <v>410</v>
      </c>
      <c r="G24" s="24" t="s">
        <v>413</v>
      </c>
      <c r="H24" s="98">
        <v>0.5</v>
      </c>
      <c r="I24" s="99"/>
      <c r="J24" s="100">
        <f>SUMIF(Funções!$C$11:$C$824,Deflatores!G24,Funções!$H$11:$H$824)</f>
        <v>0</v>
      </c>
      <c r="K24" s="101">
        <f>IF(H24="",COUNTIF(Funções!C$11:C$824,G24)*I24,H24*J24)</f>
        <v>0</v>
      </c>
    </row>
    <row r="25" spans="1:11" ht="27" customHeight="1" x14ac:dyDescent="0.25">
      <c r="A25" s="3"/>
      <c r="B25" s="165" t="s">
        <v>414</v>
      </c>
      <c r="C25" s="137"/>
      <c r="D25" s="137"/>
      <c r="E25" s="137"/>
      <c r="F25" s="97" t="s">
        <v>410</v>
      </c>
      <c r="G25" s="24" t="s">
        <v>415</v>
      </c>
      <c r="H25" s="98">
        <v>0.75</v>
      </c>
      <c r="I25" s="99"/>
      <c r="J25" s="100">
        <f>SUMIF(Funções!$C$11:$C$824,Deflatores!G25,Funções!$H$11:$H$824)</f>
        <v>0</v>
      </c>
      <c r="K25" s="101">
        <f>IF(H25="",COUNTIF(Funções!C$11:C$824,G25)*I25,H25*J25)</f>
        <v>0</v>
      </c>
    </row>
    <row r="26" spans="1:11" ht="13.5" customHeight="1" x14ac:dyDescent="0.25">
      <c r="A26" s="3"/>
      <c r="B26" s="137" t="s">
        <v>416</v>
      </c>
      <c r="C26" s="137"/>
      <c r="D26" s="137"/>
      <c r="E26" s="137"/>
      <c r="F26" s="2" t="s">
        <v>417</v>
      </c>
      <c r="G26" s="24" t="s">
        <v>418</v>
      </c>
      <c r="H26" s="98">
        <v>1</v>
      </c>
      <c r="I26" s="99"/>
      <c r="J26" s="100">
        <f>SUMIF(Funções!$C$11:$C$824,Deflatores!G26,Funções!$H$11:$H$824)</f>
        <v>0</v>
      </c>
      <c r="K26" s="101">
        <f>IF(H26="",COUNTIF(Funções!C$11:C$824,G26)*I26,H26*J26)</f>
        <v>0</v>
      </c>
    </row>
    <row r="27" spans="1:11" ht="13.5" customHeight="1" x14ac:dyDescent="0.25">
      <c r="A27" s="3"/>
      <c r="B27" s="137" t="s">
        <v>419</v>
      </c>
      <c r="C27" s="137"/>
      <c r="D27" s="137"/>
      <c r="E27" s="137"/>
      <c r="F27" s="2" t="s">
        <v>417</v>
      </c>
      <c r="G27" s="24" t="s">
        <v>420</v>
      </c>
      <c r="H27" s="98">
        <v>1</v>
      </c>
      <c r="I27" s="99"/>
      <c r="J27" s="100">
        <f>SUMIF(Funções!$C$11:$C$824,Deflatores!G27,Funções!$H$11:$H$824)</f>
        <v>0</v>
      </c>
      <c r="K27" s="101">
        <f>IF(H27="",COUNTIF(Funções!C$11:C$824,G27)*I27,H27*J27)</f>
        <v>0</v>
      </c>
    </row>
    <row r="28" spans="1:11" ht="13.5" customHeight="1" x14ac:dyDescent="0.25">
      <c r="A28" s="3"/>
      <c r="B28" s="137" t="s">
        <v>421</v>
      </c>
      <c r="C28" s="137"/>
      <c r="D28" s="137"/>
      <c r="E28" s="137"/>
      <c r="F28" s="2" t="s">
        <v>417</v>
      </c>
      <c r="G28" s="24" t="s">
        <v>422</v>
      </c>
      <c r="H28" s="98">
        <v>0.6</v>
      </c>
      <c r="I28" s="99"/>
      <c r="J28" s="100">
        <f>SUMIF(Funções!$C$11:$C$824,Deflatores!G28,Funções!$H$11:$H$824)</f>
        <v>0</v>
      </c>
      <c r="K28" s="101">
        <f>IF(H28="",COUNTIF(Funções!C$11:C$824,G28)*I28,H28*J28)</f>
        <v>0</v>
      </c>
    </row>
    <row r="29" spans="1:11" ht="13.5" customHeight="1" x14ac:dyDescent="0.25">
      <c r="A29" s="3"/>
      <c r="B29" s="137" t="s">
        <v>423</v>
      </c>
      <c r="C29" s="137"/>
      <c r="D29" s="137"/>
      <c r="E29" s="137"/>
      <c r="F29" s="2" t="s">
        <v>424</v>
      </c>
      <c r="G29" s="24" t="s">
        <v>425</v>
      </c>
      <c r="H29" s="98">
        <v>1</v>
      </c>
      <c r="I29" s="99"/>
      <c r="J29" s="100">
        <f>SUMIF(Funções!$C$11:$C$824,Deflatores!G29,Funções!$H$11:$H$824)</f>
        <v>0</v>
      </c>
      <c r="K29" s="101">
        <f>IF(H29="",COUNTIF(Funções!C$11:C$824,G29)*I29,H29*J29)</f>
        <v>0</v>
      </c>
    </row>
    <row r="30" spans="1:11" ht="13.5" customHeight="1" x14ac:dyDescent="0.25">
      <c r="A30" s="3"/>
      <c r="B30" s="137" t="s">
        <v>426</v>
      </c>
      <c r="C30" s="137"/>
      <c r="D30" s="137"/>
      <c r="E30" s="137"/>
      <c r="F30" s="2" t="s">
        <v>427</v>
      </c>
      <c r="G30" s="24" t="s">
        <v>428</v>
      </c>
      <c r="H30" s="98">
        <v>0.1</v>
      </c>
      <c r="I30" s="99"/>
      <c r="J30" s="100">
        <f>SUMIF(Funções!$C$11:$C$824,Deflatores!G30,Funções!$H$11:$H$824)</f>
        <v>0</v>
      </c>
      <c r="K30" s="101">
        <f>IF(H30="",COUNTIF(Funções!C$11:C$824,G30)*I30,H30*J30)</f>
        <v>0</v>
      </c>
    </row>
    <row r="31" spans="1:11" ht="13.5" customHeight="1" x14ac:dyDescent="0.25">
      <c r="A31" s="3"/>
      <c r="B31" s="137" t="s">
        <v>429</v>
      </c>
      <c r="C31" s="137"/>
      <c r="D31" s="137"/>
      <c r="E31" s="137"/>
      <c r="F31" s="2" t="s">
        <v>430</v>
      </c>
      <c r="G31" s="24" t="s">
        <v>431</v>
      </c>
      <c r="H31" s="98">
        <v>0.1</v>
      </c>
      <c r="I31" s="99"/>
      <c r="J31" s="100">
        <f>SUMIF(Funções!$C$11:$C$824,Deflatores!G31,Funções!$H$11:$H$824)</f>
        <v>0</v>
      </c>
      <c r="K31" s="101">
        <f>IF(H31="",COUNTIF(Funções!C$11:C$824,G31)*I31,H31*J31)</f>
        <v>0</v>
      </c>
    </row>
    <row r="32" spans="1:11" ht="13.5" customHeight="1" x14ac:dyDescent="0.25">
      <c r="A32" s="3"/>
      <c r="B32" s="111" t="s">
        <v>432</v>
      </c>
      <c r="C32" s="112"/>
      <c r="D32" s="112"/>
      <c r="E32" s="113"/>
      <c r="F32" s="2" t="s">
        <v>433</v>
      </c>
      <c r="G32" s="24" t="s">
        <v>434</v>
      </c>
      <c r="H32" s="98">
        <v>0.25</v>
      </c>
      <c r="I32" s="99"/>
      <c r="J32" s="100">
        <f>SUMIF(Funções!$C$11:$C$824,Deflatores!G32,Funções!$H$11:$H$824)</f>
        <v>0</v>
      </c>
      <c r="K32" s="101">
        <f>IF(H32="",COUNTIF(Funções!C$11:C$824,G32)*I32,H32*J32)</f>
        <v>0</v>
      </c>
    </row>
    <row r="33" spans="1:12" ht="13.5" customHeight="1" x14ac:dyDescent="0.25">
      <c r="A33" s="3"/>
      <c r="B33" s="111" t="s">
        <v>435</v>
      </c>
      <c r="C33" s="112"/>
      <c r="D33" s="112"/>
      <c r="E33" s="113"/>
      <c r="F33" s="2" t="s">
        <v>436</v>
      </c>
      <c r="G33" s="24" t="s">
        <v>437</v>
      </c>
      <c r="H33" s="98">
        <v>0.2</v>
      </c>
      <c r="I33" s="99"/>
      <c r="J33" s="100">
        <f>SUMIF(Funções!$C$11:$C$824,Deflatores!G33,Funções!$H$11:$H$824)</f>
        <v>0</v>
      </c>
      <c r="K33" s="101">
        <f>IF(H33="",COUNTIF(Funções!C$11:C$824,G33)*I33,H33*J33)</f>
        <v>0</v>
      </c>
    </row>
    <row r="34" spans="1:12" ht="13.5" customHeight="1" x14ac:dyDescent="0.25">
      <c r="A34" s="3"/>
      <c r="B34" s="111" t="s">
        <v>438</v>
      </c>
      <c r="C34" s="112"/>
      <c r="D34" s="112"/>
      <c r="E34" s="113"/>
      <c r="F34" s="2" t="s">
        <v>436</v>
      </c>
      <c r="G34" s="24" t="s">
        <v>439</v>
      </c>
      <c r="H34" s="98">
        <v>0.15</v>
      </c>
      <c r="I34" s="99"/>
      <c r="J34" s="100">
        <f>SUMIF(Funções!$C$11:$C$824,Deflatores!G34,Funções!$H$11:$H$824)</f>
        <v>0</v>
      </c>
      <c r="K34" s="101">
        <f>IF(H34="",COUNTIF(Funções!C$11:C$824,G34)*I34,H34*J34)</f>
        <v>0</v>
      </c>
    </row>
    <row r="35" spans="1:12" ht="13.5" customHeight="1" x14ac:dyDescent="0.25">
      <c r="A35" s="3"/>
      <c r="B35" s="111" t="s">
        <v>440</v>
      </c>
      <c r="C35" s="112"/>
      <c r="D35" s="112"/>
      <c r="E35" s="113"/>
      <c r="F35" s="2" t="s">
        <v>441</v>
      </c>
      <c r="G35" s="24" t="s">
        <v>442</v>
      </c>
      <c r="H35" s="98">
        <v>0.15</v>
      </c>
      <c r="I35" s="99"/>
      <c r="J35" s="100">
        <f>SUMIF(Funções!$C$11:$C$824,Deflatores!G35,Funções!$H$11:$H$824)</f>
        <v>0</v>
      </c>
      <c r="K35" s="101">
        <f>IF(H35="",COUNTIF(Funções!C$11:C$824,G35)*I35,H35*J35)</f>
        <v>0</v>
      </c>
    </row>
    <row r="36" spans="1:12" ht="13.5" customHeight="1" x14ac:dyDescent="0.25">
      <c r="A36" s="3"/>
      <c r="B36" s="137" t="s">
        <v>443</v>
      </c>
      <c r="C36" s="137"/>
      <c r="D36" s="137"/>
      <c r="E36" s="137"/>
      <c r="F36" s="2" t="s">
        <v>444</v>
      </c>
      <c r="G36" s="24" t="s">
        <v>445</v>
      </c>
      <c r="H36" s="98">
        <v>1</v>
      </c>
      <c r="I36" s="99"/>
      <c r="J36" s="100">
        <f>SUMIF(Funções!$C$11:$C$824,Deflatores!G36,Funções!$H$11:$H$824)</f>
        <v>0</v>
      </c>
      <c r="K36" s="101">
        <f>IF(H36="",COUNTIF(Funções!C$11:C$824,G36)*I36,H36*J36)</f>
        <v>0</v>
      </c>
    </row>
    <row r="37" spans="1:12" ht="13.5" customHeight="1" x14ac:dyDescent="0.25">
      <c r="A37" s="3"/>
      <c r="B37" s="137"/>
      <c r="C37" s="137"/>
      <c r="D37" s="137"/>
      <c r="E37" s="137"/>
      <c r="F37" s="2"/>
      <c r="G37" s="24" t="s">
        <v>446</v>
      </c>
      <c r="H37" s="98"/>
      <c r="I37" s="99"/>
      <c r="J37" s="100">
        <f>SUMIF(Funções!$C$11:$C$824,Deflatores!G37,Funções!$H$11:$H$824)</f>
        <v>0</v>
      </c>
      <c r="K37" s="101">
        <f>IF(H37="",COUNTIF(Funções!C$11:C$824,G37)*I37,H37*J37)</f>
        <v>0</v>
      </c>
      <c r="L37" s="19" t="s">
        <v>61</v>
      </c>
    </row>
    <row r="38" spans="1:12" ht="13.5" customHeight="1" x14ac:dyDescent="0.25">
      <c r="A38" s="3"/>
      <c r="B38" s="137"/>
      <c r="C38" s="137"/>
      <c r="D38" s="137"/>
      <c r="E38" s="137"/>
      <c r="F38" s="2"/>
      <c r="G38" s="24" t="s">
        <v>446</v>
      </c>
      <c r="H38" s="98"/>
      <c r="I38" s="99"/>
      <c r="J38" s="100">
        <f>SUMIF(Funções!$C$11:$C$824,Deflatores!G38,Funções!$H$11:$H$824)</f>
        <v>0</v>
      </c>
      <c r="K38" s="101">
        <f>IF(H38="",COUNTIF(Funções!C$11:C$824,G38)*I38,H38*J38)</f>
        <v>0</v>
      </c>
      <c r="L38" s="19" t="s">
        <v>49</v>
      </c>
    </row>
    <row r="39" spans="1:12" ht="13.5" x14ac:dyDescent="0.35">
      <c r="A39" s="74"/>
      <c r="B39" s="75"/>
      <c r="C39" s="75"/>
      <c r="D39" s="75"/>
      <c r="E39" s="75"/>
      <c r="F39" s="75"/>
      <c r="G39" s="76"/>
      <c r="H39" s="77"/>
      <c r="I39" s="77"/>
      <c r="J39" s="78"/>
      <c r="K39" s="79"/>
      <c r="L39" s="19" t="s">
        <v>45</v>
      </c>
    </row>
    <row r="40" spans="1:12" ht="14.9" customHeight="1" x14ac:dyDescent="0.25">
      <c r="A40" s="159" t="s">
        <v>352</v>
      </c>
      <c r="B40" s="159"/>
      <c r="C40" s="159"/>
      <c r="D40" s="159"/>
      <c r="E40" s="159"/>
      <c r="F40" s="159"/>
      <c r="G40" s="160" t="s">
        <v>354</v>
      </c>
      <c r="H40" s="160" t="s">
        <v>355</v>
      </c>
      <c r="I40" s="160"/>
      <c r="J40" s="160" t="s">
        <v>447</v>
      </c>
      <c r="K40" s="161" t="s">
        <v>356</v>
      </c>
      <c r="L40" s="19" t="s">
        <v>52</v>
      </c>
    </row>
    <row r="41" spans="1:12" ht="14.9" customHeight="1" x14ac:dyDescent="0.25">
      <c r="A41" s="22" t="s">
        <v>357</v>
      </c>
      <c r="B41" s="160" t="s">
        <v>358</v>
      </c>
      <c r="C41" s="160"/>
      <c r="D41" s="160"/>
      <c r="E41" s="160"/>
      <c r="F41" s="23" t="s">
        <v>359</v>
      </c>
      <c r="G41" s="160"/>
      <c r="H41" s="160"/>
      <c r="I41" s="160"/>
      <c r="J41" s="160"/>
      <c r="K41" s="161"/>
      <c r="L41" s="19" t="s">
        <v>181</v>
      </c>
    </row>
    <row r="42" spans="1:12" ht="13.5" customHeight="1" x14ac:dyDescent="0.35">
      <c r="A42" s="26"/>
      <c r="B42" s="137" t="s">
        <v>448</v>
      </c>
      <c r="C42" s="137"/>
      <c r="D42" s="137"/>
      <c r="E42" s="137"/>
      <c r="F42" s="2" t="s">
        <v>449</v>
      </c>
      <c r="G42" s="24" t="s">
        <v>450</v>
      </c>
      <c r="H42" s="166">
        <v>0.6</v>
      </c>
      <c r="I42" s="166"/>
      <c r="J42" s="27">
        <f>COUNTIF(Funções!B$11:B$824,G42)</f>
        <v>0</v>
      </c>
      <c r="K42" s="25">
        <f>SUMIF(Funções!B$11:B$824,$G42,Funções!K$11:K$824)</f>
        <v>0</v>
      </c>
      <c r="L42" s="19" t="str">
        <f t="shared" ref="L42:L64" si="0">""&amp;G42</f>
        <v>PAG</v>
      </c>
    </row>
    <row r="43" spans="1:12" ht="13.5" customHeight="1" x14ac:dyDescent="0.35">
      <c r="A43" s="26"/>
      <c r="B43" s="137" t="s">
        <v>451</v>
      </c>
      <c r="C43" s="137"/>
      <c r="D43" s="137"/>
      <c r="E43" s="137"/>
      <c r="F43" s="2" t="s">
        <v>408</v>
      </c>
      <c r="G43" s="24" t="s">
        <v>452</v>
      </c>
      <c r="H43" s="166">
        <v>0.6</v>
      </c>
      <c r="I43" s="166"/>
      <c r="J43" s="27">
        <f>COUNTIF(Funções!B$11:B$824,G43)</f>
        <v>0</v>
      </c>
      <c r="K43" s="25">
        <f>SUMIF(Funções!B$11:B$824,$G43,Funções!K$11:K$824)</f>
        <v>0</v>
      </c>
      <c r="L43" s="19" t="str">
        <f t="shared" si="0"/>
        <v>COSNF</v>
      </c>
    </row>
    <row r="44" spans="1:12" ht="13.5" customHeight="1" x14ac:dyDescent="0.35">
      <c r="A44" s="26"/>
      <c r="B44" s="137" t="s">
        <v>453</v>
      </c>
      <c r="C44" s="137"/>
      <c r="D44" s="137"/>
      <c r="E44" s="137"/>
      <c r="F44" s="2"/>
      <c r="G44" s="24" t="s">
        <v>454</v>
      </c>
      <c r="H44" s="166">
        <v>0</v>
      </c>
      <c r="I44" s="166"/>
      <c r="J44" s="27">
        <f>COUNTIF(Funções!B$11:B$824,G44)</f>
        <v>0</v>
      </c>
      <c r="K44" s="25">
        <f>SUMIF(Funções!B$11:B$824,$G44,Funções!K$11:K$824)</f>
        <v>0</v>
      </c>
      <c r="L44" s="19" t="str">
        <f t="shared" si="0"/>
        <v>DC</v>
      </c>
    </row>
    <row r="45" spans="1:12" ht="13.5" customHeight="1" x14ac:dyDescent="0.35">
      <c r="A45" s="26"/>
      <c r="B45" s="137"/>
      <c r="C45" s="137"/>
      <c r="D45" s="137"/>
      <c r="E45" s="137"/>
      <c r="F45" s="2"/>
      <c r="G45" s="24" t="s">
        <v>446</v>
      </c>
      <c r="H45" s="166"/>
      <c r="I45" s="166"/>
      <c r="J45" s="27">
        <f>COUNTIF(Funções!B$11:B$824,G45)</f>
        <v>0</v>
      </c>
      <c r="K45" s="25">
        <f>SUMIF(Funções!B$11:B$824,$G45,Funções!K$11:K$824)</f>
        <v>0</v>
      </c>
      <c r="L45" s="19" t="str">
        <f t="shared" si="0"/>
        <v xml:space="preserve">           .</v>
      </c>
    </row>
    <row r="46" spans="1:12" ht="13.5" customHeight="1" x14ac:dyDescent="0.35">
      <c r="A46" s="26"/>
      <c r="B46" s="137"/>
      <c r="C46" s="137"/>
      <c r="D46" s="137"/>
      <c r="E46" s="137"/>
      <c r="F46" s="2"/>
      <c r="G46" s="24" t="s">
        <v>446</v>
      </c>
      <c r="H46" s="166"/>
      <c r="I46" s="166"/>
      <c r="J46" s="27">
        <f>COUNTIF(Funções!B$11:B$824,G46)</f>
        <v>0</v>
      </c>
      <c r="K46" s="25">
        <f>SUMIF(Funções!B$11:B$824,$G46,Funções!K$11:K$824)</f>
        <v>0</v>
      </c>
      <c r="L46" s="19" t="str">
        <f t="shared" si="0"/>
        <v xml:space="preserve">           .</v>
      </c>
    </row>
    <row r="47" spans="1:12" ht="13.5" x14ac:dyDescent="0.35">
      <c r="A47" s="26"/>
      <c r="B47" s="137"/>
      <c r="C47" s="137"/>
      <c r="D47" s="137"/>
      <c r="E47" s="137"/>
      <c r="F47" s="2"/>
      <c r="G47" s="24" t="s">
        <v>446</v>
      </c>
      <c r="H47" s="166"/>
      <c r="I47" s="166"/>
      <c r="J47" s="27">
        <f>COUNTIF(Funções!B$11:B$824,G47)</f>
        <v>0</v>
      </c>
      <c r="K47" s="25">
        <f>SUMIF(Funções!B$11:B$824,$G47,Funções!K$11:K$824)</f>
        <v>0</v>
      </c>
      <c r="L47" s="19" t="str">
        <f t="shared" si="0"/>
        <v xml:space="preserve">           .</v>
      </c>
    </row>
    <row r="48" spans="1:12" ht="13.5" x14ac:dyDescent="0.35">
      <c r="A48" s="26"/>
      <c r="B48" s="137"/>
      <c r="C48" s="137"/>
      <c r="D48" s="137"/>
      <c r="E48" s="137"/>
      <c r="F48" s="2"/>
      <c r="G48" s="24" t="s">
        <v>446</v>
      </c>
      <c r="H48" s="166"/>
      <c r="I48" s="166"/>
      <c r="J48" s="27">
        <f>COUNTIF(Funções!B$11:B$824,G48)</f>
        <v>0</v>
      </c>
      <c r="K48" s="25">
        <f>SUMIF(Funções!B$11:B$824,$G48,Funções!K$11:K$824)</f>
        <v>0</v>
      </c>
      <c r="L48" s="19" t="str">
        <f t="shared" si="0"/>
        <v xml:space="preserve">           .</v>
      </c>
    </row>
    <row r="49" spans="1:12" ht="13.5" x14ac:dyDescent="0.35">
      <c r="A49" s="26"/>
      <c r="B49" s="137"/>
      <c r="C49" s="137"/>
      <c r="D49" s="137"/>
      <c r="E49" s="137"/>
      <c r="F49" s="2"/>
      <c r="G49" s="24" t="s">
        <v>446</v>
      </c>
      <c r="H49" s="166"/>
      <c r="I49" s="166"/>
      <c r="J49" s="27">
        <f>COUNTIF(Funções!B$11:B$824,G49)</f>
        <v>0</v>
      </c>
      <c r="K49" s="25">
        <f>SUMIF(Funções!B$11:B$824,$G49,Funções!K$11:K$824)</f>
        <v>0</v>
      </c>
      <c r="L49" s="19" t="str">
        <f t="shared" si="0"/>
        <v xml:space="preserve">           .</v>
      </c>
    </row>
    <row r="50" spans="1:12" ht="13.5" x14ac:dyDescent="0.35">
      <c r="A50" s="26"/>
      <c r="B50" s="137"/>
      <c r="C50" s="137"/>
      <c r="D50" s="137"/>
      <c r="E50" s="137"/>
      <c r="F50" s="2"/>
      <c r="G50" s="24" t="s">
        <v>446</v>
      </c>
      <c r="H50" s="166"/>
      <c r="I50" s="166"/>
      <c r="J50" s="27">
        <f>COUNTIF(Funções!B$11:B$824,G50)</f>
        <v>0</v>
      </c>
      <c r="K50" s="25">
        <f>SUMIF(Funções!B$11:B$824,$G50,Funções!K$11:K$824)</f>
        <v>0</v>
      </c>
      <c r="L50" s="19" t="str">
        <f t="shared" si="0"/>
        <v xml:space="preserve">           .</v>
      </c>
    </row>
    <row r="51" spans="1:12" ht="13.5" x14ac:dyDescent="0.35">
      <c r="A51" s="26"/>
      <c r="B51" s="137"/>
      <c r="C51" s="137"/>
      <c r="D51" s="137"/>
      <c r="E51" s="137"/>
      <c r="F51" s="2"/>
      <c r="G51" s="24" t="s">
        <v>446</v>
      </c>
      <c r="H51" s="166"/>
      <c r="I51" s="166"/>
      <c r="J51" s="27">
        <f>COUNTIF(Funções!B$11:B$824,G51)</f>
        <v>0</v>
      </c>
      <c r="K51" s="25">
        <f>SUMIF(Funções!B$11:B$824,$G51,Funções!K$11:K$824)</f>
        <v>0</v>
      </c>
      <c r="L51" s="19" t="str">
        <f t="shared" si="0"/>
        <v xml:space="preserve">           .</v>
      </c>
    </row>
    <row r="52" spans="1:12" ht="13.5" x14ac:dyDescent="0.35">
      <c r="A52" s="26"/>
      <c r="B52" s="137"/>
      <c r="C52" s="137"/>
      <c r="D52" s="137"/>
      <c r="E52" s="137"/>
      <c r="F52" s="2"/>
      <c r="G52" s="24" t="s">
        <v>446</v>
      </c>
      <c r="H52" s="166"/>
      <c r="I52" s="166"/>
      <c r="J52" s="27">
        <f>COUNTIF(Funções!B$11:B$824,G52)</f>
        <v>0</v>
      </c>
      <c r="K52" s="25">
        <f>SUMIF(Funções!B$11:B$824,$G52,Funções!K$11:K$824)</f>
        <v>0</v>
      </c>
      <c r="L52" s="19" t="str">
        <f t="shared" si="0"/>
        <v xml:space="preserve">           .</v>
      </c>
    </row>
    <row r="53" spans="1:12" ht="13.5" x14ac:dyDescent="0.35">
      <c r="A53" s="26"/>
      <c r="B53" s="137"/>
      <c r="C53" s="137"/>
      <c r="D53" s="137"/>
      <c r="E53" s="137"/>
      <c r="F53" s="2"/>
      <c r="G53" s="24" t="s">
        <v>446</v>
      </c>
      <c r="H53" s="166"/>
      <c r="I53" s="166"/>
      <c r="J53" s="27">
        <f>COUNTIF(Funções!B$11:B$824,G53)</f>
        <v>0</v>
      </c>
      <c r="K53" s="25">
        <f>SUMIF(Funções!B$11:B$824,$G53,Funções!K$11:K$824)</f>
        <v>0</v>
      </c>
      <c r="L53" s="19" t="str">
        <f t="shared" si="0"/>
        <v xml:space="preserve">           .</v>
      </c>
    </row>
    <row r="54" spans="1:12" ht="13.5" x14ac:dyDescent="0.35">
      <c r="A54" s="26"/>
      <c r="B54" s="137"/>
      <c r="C54" s="137"/>
      <c r="D54" s="137"/>
      <c r="E54" s="137"/>
      <c r="F54" s="2"/>
      <c r="G54" s="24" t="s">
        <v>446</v>
      </c>
      <c r="H54" s="166"/>
      <c r="I54" s="166"/>
      <c r="J54" s="27">
        <f>COUNTIF(Funções!B$11:B$824,G54)</f>
        <v>0</v>
      </c>
      <c r="K54" s="25">
        <f>SUMIF(Funções!B$11:B$824,$G54,Funções!K$11:K$824)</f>
        <v>0</v>
      </c>
      <c r="L54" s="19" t="str">
        <f t="shared" si="0"/>
        <v xml:space="preserve">           .</v>
      </c>
    </row>
    <row r="55" spans="1:12" ht="13.5" x14ac:dyDescent="0.35">
      <c r="A55" s="26"/>
      <c r="B55" s="137"/>
      <c r="C55" s="137"/>
      <c r="D55" s="137"/>
      <c r="E55" s="137"/>
      <c r="F55" s="2"/>
      <c r="G55" s="24" t="s">
        <v>446</v>
      </c>
      <c r="H55" s="166"/>
      <c r="I55" s="166"/>
      <c r="J55" s="27">
        <f>COUNTIF(Funções!B$11:B$824,G55)</f>
        <v>0</v>
      </c>
      <c r="K55" s="25">
        <f>SUMIF(Funções!B$11:B$824,$G55,Funções!K$11:K$824)</f>
        <v>0</v>
      </c>
      <c r="L55" s="19" t="str">
        <f t="shared" si="0"/>
        <v xml:space="preserve">           .</v>
      </c>
    </row>
    <row r="56" spans="1:12" ht="13.5" x14ac:dyDescent="0.35">
      <c r="A56" s="26"/>
      <c r="B56" s="137"/>
      <c r="C56" s="137"/>
      <c r="D56" s="137"/>
      <c r="E56" s="137"/>
      <c r="F56" s="2"/>
      <c r="G56" s="24" t="s">
        <v>446</v>
      </c>
      <c r="H56" s="166"/>
      <c r="I56" s="166"/>
      <c r="J56" s="27">
        <f>COUNTIF(Funções!B$11:B$824,G56)</f>
        <v>0</v>
      </c>
      <c r="K56" s="25">
        <f>SUMIF(Funções!B$11:B$824,$G56,Funções!K$11:K$824)</f>
        <v>0</v>
      </c>
      <c r="L56" s="19" t="str">
        <f t="shared" si="0"/>
        <v xml:space="preserve">           .</v>
      </c>
    </row>
    <row r="57" spans="1:12" ht="13.5" x14ac:dyDescent="0.35">
      <c r="A57" s="26"/>
      <c r="B57" s="137"/>
      <c r="C57" s="137"/>
      <c r="D57" s="137"/>
      <c r="E57" s="137"/>
      <c r="F57" s="2"/>
      <c r="G57" s="24" t="s">
        <v>446</v>
      </c>
      <c r="H57" s="166"/>
      <c r="I57" s="166"/>
      <c r="J57" s="27">
        <f>COUNTIF(Funções!B$11:B$824,G57)</f>
        <v>0</v>
      </c>
      <c r="K57" s="25">
        <f>SUMIF(Funções!B$11:B$824,$G57,Funções!K$11:K$824)</f>
        <v>0</v>
      </c>
      <c r="L57" s="19" t="str">
        <f t="shared" si="0"/>
        <v xml:space="preserve">           .</v>
      </c>
    </row>
    <row r="58" spans="1:12" ht="13.5" x14ac:dyDescent="0.35">
      <c r="A58" s="26"/>
      <c r="B58" s="137"/>
      <c r="C58" s="137"/>
      <c r="D58" s="137"/>
      <c r="E58" s="137"/>
      <c r="F58" s="2"/>
      <c r="G58" s="24" t="s">
        <v>446</v>
      </c>
      <c r="H58" s="166"/>
      <c r="I58" s="166"/>
      <c r="J58" s="27">
        <f>COUNTIF(Funções!B$11:B$824,G58)</f>
        <v>0</v>
      </c>
      <c r="K58" s="25">
        <f>SUMIF(Funções!B$11:B$824,$G58,Funções!K$11:K$824)</f>
        <v>0</v>
      </c>
      <c r="L58" s="19" t="str">
        <f t="shared" si="0"/>
        <v xml:space="preserve">           .</v>
      </c>
    </row>
    <row r="59" spans="1:12" ht="13.5" x14ac:dyDescent="0.35">
      <c r="A59" s="26"/>
      <c r="B59" s="137"/>
      <c r="C59" s="137"/>
      <c r="D59" s="137"/>
      <c r="E59" s="137"/>
      <c r="F59" s="2"/>
      <c r="G59" s="24" t="s">
        <v>446</v>
      </c>
      <c r="H59" s="166"/>
      <c r="I59" s="166"/>
      <c r="J59" s="27">
        <f>COUNTIF(Funções!B$11:B$824,G59)</f>
        <v>0</v>
      </c>
      <c r="K59" s="25">
        <f>SUMIF(Funções!B$11:B$824,$G59,Funções!K$11:K$824)</f>
        <v>0</v>
      </c>
      <c r="L59" s="19" t="str">
        <f t="shared" si="0"/>
        <v xml:space="preserve">           .</v>
      </c>
    </row>
    <row r="60" spans="1:12" ht="13.5" x14ac:dyDescent="0.35">
      <c r="A60" s="26"/>
      <c r="B60" s="137"/>
      <c r="C60" s="137"/>
      <c r="D60" s="137"/>
      <c r="E60" s="137"/>
      <c r="F60" s="2"/>
      <c r="G60" s="24" t="s">
        <v>446</v>
      </c>
      <c r="H60" s="166"/>
      <c r="I60" s="166"/>
      <c r="J60" s="27">
        <f>COUNTIF(Funções!B$11:B$824,G60)</f>
        <v>0</v>
      </c>
      <c r="K60" s="25">
        <f>SUMIF(Funções!B$11:B$824,$G60,Funções!K$11:K$824)</f>
        <v>0</v>
      </c>
      <c r="L60" s="19" t="str">
        <f t="shared" si="0"/>
        <v xml:space="preserve">           .</v>
      </c>
    </row>
    <row r="61" spans="1:12" ht="13.5" x14ac:dyDescent="0.35">
      <c r="A61" s="26"/>
      <c r="B61" s="137"/>
      <c r="C61" s="137"/>
      <c r="D61" s="137"/>
      <c r="E61" s="137"/>
      <c r="F61" s="2"/>
      <c r="G61" s="24" t="s">
        <v>446</v>
      </c>
      <c r="H61" s="166"/>
      <c r="I61" s="166"/>
      <c r="J61" s="27">
        <f>COUNTIF(Funções!B$11:B$824,G61)</f>
        <v>0</v>
      </c>
      <c r="K61" s="25">
        <f>SUMIF(Funções!B$11:B$824,$G61,Funções!K$11:K$824)</f>
        <v>0</v>
      </c>
      <c r="L61" s="19" t="str">
        <f t="shared" si="0"/>
        <v xml:space="preserve">           .</v>
      </c>
    </row>
    <row r="62" spans="1:12" ht="13.5" x14ac:dyDescent="0.35">
      <c r="A62" s="26"/>
      <c r="B62" s="137"/>
      <c r="C62" s="137"/>
      <c r="D62" s="137"/>
      <c r="E62" s="137"/>
      <c r="F62" s="2"/>
      <c r="G62" s="24" t="s">
        <v>446</v>
      </c>
      <c r="H62" s="166"/>
      <c r="I62" s="166"/>
      <c r="J62" s="27">
        <f>COUNTIF(Funções!B$11:B$824,G62)</f>
        <v>0</v>
      </c>
      <c r="K62" s="25">
        <f>SUMIF(Funções!B$11:B$824,$G62,Funções!K$11:K$824)</f>
        <v>0</v>
      </c>
      <c r="L62" s="19" t="str">
        <f t="shared" si="0"/>
        <v xml:space="preserve">           .</v>
      </c>
    </row>
    <row r="63" spans="1:12" ht="13.5" x14ac:dyDescent="0.35">
      <c r="A63" s="26"/>
      <c r="B63" s="137"/>
      <c r="C63" s="137"/>
      <c r="D63" s="137"/>
      <c r="E63" s="137"/>
      <c r="F63" s="2"/>
      <c r="G63" s="24" t="s">
        <v>446</v>
      </c>
      <c r="H63" s="166"/>
      <c r="I63" s="166"/>
      <c r="J63" s="27">
        <f>COUNTIF(Funções!B$11:B$824,G63)</f>
        <v>0</v>
      </c>
      <c r="K63" s="25">
        <f>SUMIF(Funções!B$11:B$824,$G63,Funções!K$11:K$824)</f>
        <v>0</v>
      </c>
      <c r="L63" s="19" t="str">
        <f t="shared" si="0"/>
        <v xml:space="preserve">           .</v>
      </c>
    </row>
    <row r="64" spans="1:12" ht="13.5" x14ac:dyDescent="0.35">
      <c r="A64" s="28"/>
      <c r="B64" s="167"/>
      <c r="C64" s="167"/>
      <c r="D64" s="167"/>
      <c r="E64" s="167"/>
      <c r="F64" s="29"/>
      <c r="G64" s="30" t="s">
        <v>446</v>
      </c>
      <c r="H64" s="168"/>
      <c r="I64" s="168"/>
      <c r="J64" s="31">
        <f>COUNTIF(Funções!B$11:B$824,G64)</f>
        <v>0</v>
      </c>
      <c r="K64" s="32">
        <f>SUMIF(Funções!B$11:B$824,$G64,Funções!K$11:K$824)</f>
        <v>0</v>
      </c>
      <c r="L64" s="19" t="str">
        <f t="shared" si="0"/>
        <v xml:space="preserve">           .</v>
      </c>
    </row>
  </sheetData>
  <sheetProtection selectLockedCells="1" selectUnlockedCells="1"/>
  <mergeCells count="90">
    <mergeCell ref="B63:E63"/>
    <mergeCell ref="H63:I63"/>
    <mergeCell ref="B64:E64"/>
    <mergeCell ref="H64:I64"/>
    <mergeCell ref="B60:E60"/>
    <mergeCell ref="H60:I60"/>
    <mergeCell ref="B61:E61"/>
    <mergeCell ref="H61:I61"/>
    <mergeCell ref="B62:E62"/>
    <mergeCell ref="H62:I62"/>
    <mergeCell ref="B57:E57"/>
    <mergeCell ref="H57:I57"/>
    <mergeCell ref="B58:E58"/>
    <mergeCell ref="H58:I58"/>
    <mergeCell ref="B59:E59"/>
    <mergeCell ref="H59:I59"/>
    <mergeCell ref="B54:E54"/>
    <mergeCell ref="H54:I54"/>
    <mergeCell ref="B55:E55"/>
    <mergeCell ref="H55:I55"/>
    <mergeCell ref="B56:E56"/>
    <mergeCell ref="H56:I56"/>
    <mergeCell ref="B51:E51"/>
    <mergeCell ref="H51:I51"/>
    <mergeCell ref="B52:E52"/>
    <mergeCell ref="H52:I52"/>
    <mergeCell ref="B53:E53"/>
    <mergeCell ref="H53:I53"/>
    <mergeCell ref="B48:E48"/>
    <mergeCell ref="H48:I48"/>
    <mergeCell ref="B49:E49"/>
    <mergeCell ref="H49:I49"/>
    <mergeCell ref="B50:E50"/>
    <mergeCell ref="H50:I50"/>
    <mergeCell ref="B45:E45"/>
    <mergeCell ref="H45:I45"/>
    <mergeCell ref="B46:E46"/>
    <mergeCell ref="H46:I46"/>
    <mergeCell ref="B47:E47"/>
    <mergeCell ref="H47:I47"/>
    <mergeCell ref="B43:E43"/>
    <mergeCell ref="H43:I43"/>
    <mergeCell ref="B44:E44"/>
    <mergeCell ref="H44:I44"/>
    <mergeCell ref="H40:I41"/>
    <mergeCell ref="J40:J41"/>
    <mergeCell ref="K40:K41"/>
    <mergeCell ref="B41:E41"/>
    <mergeCell ref="B42:E42"/>
    <mergeCell ref="H42:I42"/>
    <mergeCell ref="G40:G41"/>
    <mergeCell ref="B31:E31"/>
    <mergeCell ref="B36:E36"/>
    <mergeCell ref="B37:E37"/>
    <mergeCell ref="B38:E38"/>
    <mergeCell ref="A40:F40"/>
    <mergeCell ref="B30:E30"/>
    <mergeCell ref="B18:E18"/>
    <mergeCell ref="B19:E19"/>
    <mergeCell ref="B20:E20"/>
    <mergeCell ref="B21:E21"/>
    <mergeCell ref="B22:E22"/>
    <mergeCell ref="B24:E24"/>
    <mergeCell ref="B23:E23"/>
    <mergeCell ref="B25:E25"/>
    <mergeCell ref="B26:E26"/>
    <mergeCell ref="B27:E27"/>
    <mergeCell ref="B28:E28"/>
    <mergeCell ref="B29:E29"/>
    <mergeCell ref="B17:E17"/>
    <mergeCell ref="B6:E6"/>
    <mergeCell ref="B7:E7"/>
    <mergeCell ref="B8:E8"/>
    <mergeCell ref="B9:E9"/>
    <mergeCell ref="B10:E10"/>
    <mergeCell ref="B11:E11"/>
    <mergeCell ref="B12:E12"/>
    <mergeCell ref="B13:E13"/>
    <mergeCell ref="B15:E15"/>
    <mergeCell ref="B16:E16"/>
    <mergeCell ref="B14:E14"/>
    <mergeCell ref="B4:E4"/>
    <mergeCell ref="B5:E5"/>
    <mergeCell ref="A1:K1"/>
    <mergeCell ref="A2:F2"/>
    <mergeCell ref="G2:G3"/>
    <mergeCell ref="H2:I2"/>
    <mergeCell ref="J2:J3"/>
    <mergeCell ref="K2:K3"/>
    <mergeCell ref="B3:E3"/>
  </mergeCells>
  <pageMargins left="0.78749999999999998" right="0.78749999999999998" top="1.023611111111111" bottom="1.023611111111111" header="0.51180555555555551" footer="0.78749999999999998"/>
  <pageSetup paperSize="9" scale="48" firstPageNumber="0" orientation="portrait" horizontalDpi="300" verticalDpi="300" r:id="rId1"/>
  <headerFooter alignWithMargins="0">
    <oddFooter>&amp;CPágina 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/>
  <dimension ref="A1:L52"/>
  <sheetViews>
    <sheetView showGridLines="0" zoomScaleNormal="100" zoomScaleSheetLayoutView="100" workbookViewId="0">
      <pane ySplit="8" topLeftCell="A12" activePane="bottomLeft" state="frozen"/>
      <selection activeCell="B11" sqref="B11"/>
      <selection pane="bottomLeft" activeCell="A9" sqref="A9"/>
    </sheetView>
  </sheetViews>
  <sheetFormatPr defaultRowHeight="12.5" x14ac:dyDescent="0.25"/>
  <cols>
    <col min="1" max="1" width="2.81640625" customWidth="1"/>
    <col min="2" max="2" width="8.1796875" customWidth="1"/>
    <col min="3" max="3" width="11.54296875" customWidth="1"/>
    <col min="4" max="4" width="1.1796875" customWidth="1"/>
    <col min="5" max="5" width="7.81640625" customWidth="1"/>
    <col min="6" max="6" width="5.81640625" customWidth="1"/>
    <col min="7" max="7" width="13.453125" customWidth="1"/>
    <col min="8" max="8" width="8.453125" customWidth="1"/>
    <col min="9" max="9" width="5.81640625" customWidth="1"/>
    <col min="10" max="10" width="11.54296875" customWidth="1"/>
    <col min="11" max="11" width="8.453125" customWidth="1"/>
    <col min="12" max="12" width="6.54296875" customWidth="1"/>
  </cols>
  <sheetData>
    <row r="1" spans="1:12" x14ac:dyDescent="0.25">
      <c r="A1" s="139" t="s">
        <v>455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</row>
    <row r="2" spans="1:12" x14ac:dyDescent="0.25">
      <c r="A2" s="139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</row>
    <row r="3" spans="1:12" x14ac:dyDescent="0.25">
      <c r="A3" s="139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</row>
    <row r="4" spans="1:12" x14ac:dyDescent="0.25">
      <c r="A4" s="171" t="str">
        <f>Contagem!A5&amp;" : "&amp;Contagem!F5</f>
        <v>Aplicação : Web Ponto 2.0</v>
      </c>
      <c r="B4" s="171"/>
      <c r="C4" s="171"/>
      <c r="D4" s="171"/>
      <c r="E4" s="171"/>
      <c r="F4" s="153" t="str">
        <f>Contagem!A8&amp;" : "&amp;Contagem!F8</f>
        <v>Projeto : Desenvolvimento do produto Web Ponto 2.0</v>
      </c>
      <c r="G4" s="153"/>
      <c r="H4" s="153"/>
      <c r="I4" s="153"/>
      <c r="J4" s="153"/>
      <c r="K4" s="153"/>
      <c r="L4" s="153"/>
    </row>
    <row r="5" spans="1:12" x14ac:dyDescent="0.25">
      <c r="A5" s="171" t="str">
        <f>Contagem!A9&amp;" : "&amp;Contagem!F9</f>
        <v>Responsável : Ana Karyna da Silva Teixeira</v>
      </c>
      <c r="B5" s="171"/>
      <c r="C5" s="171"/>
      <c r="D5" s="171"/>
      <c r="E5" s="171"/>
      <c r="F5" s="153" t="str">
        <f>Contagem!A10&amp;" : "&amp;Contagem!F10</f>
        <v>Revisor : Luana Alves de Araújo Passos Aguiar</v>
      </c>
      <c r="G5" s="153"/>
      <c r="H5" s="153"/>
      <c r="I5" s="153"/>
      <c r="J5" s="153"/>
      <c r="K5" s="153"/>
      <c r="L5" s="153"/>
    </row>
    <row r="6" spans="1:12" x14ac:dyDescent="0.25">
      <c r="A6" s="171" t="str">
        <f>Contagem!A4&amp;" : "&amp;Contagem!F4</f>
        <v>Empresa : Secretaria de Estado de Planejamento e Gestão de Mato Grosso</v>
      </c>
      <c r="B6" s="171"/>
      <c r="C6" s="171"/>
      <c r="D6" s="171"/>
      <c r="E6" s="171"/>
      <c r="F6" s="153" t="str">
        <f>"Tipo de Contagem : "&amp;Contagem!F6</f>
        <v>Tipo de Contagem : Projeto de Desenvolvimento</v>
      </c>
      <c r="G6" s="153"/>
      <c r="H6" s="153"/>
      <c r="I6" s="153"/>
      <c r="J6" s="153"/>
      <c r="K6" s="153"/>
      <c r="L6" s="153"/>
    </row>
    <row r="7" spans="1:12" ht="12.75" customHeight="1" x14ac:dyDescent="0.25">
      <c r="A7" s="173" t="s">
        <v>456</v>
      </c>
      <c r="B7" s="173"/>
      <c r="C7" s="174" t="s">
        <v>457</v>
      </c>
      <c r="D7" s="174"/>
      <c r="E7" s="174"/>
      <c r="F7" s="174"/>
      <c r="G7" s="169" t="s">
        <v>458</v>
      </c>
      <c r="H7" s="169" t="s">
        <v>459</v>
      </c>
      <c r="I7" s="65"/>
      <c r="J7" s="169" t="s">
        <v>460</v>
      </c>
      <c r="K7" s="169"/>
      <c r="L7" s="170" t="s">
        <v>459</v>
      </c>
    </row>
    <row r="8" spans="1:12" x14ac:dyDescent="0.25">
      <c r="A8" s="173"/>
      <c r="B8" s="173"/>
      <c r="C8" s="174"/>
      <c r="D8" s="174"/>
      <c r="E8" s="174"/>
      <c r="F8" s="174"/>
      <c r="G8" s="169"/>
      <c r="H8" s="169"/>
      <c r="I8" s="66"/>
      <c r="J8" s="169"/>
      <c r="K8" s="169"/>
      <c r="L8" s="170"/>
    </row>
    <row r="9" spans="1:12" ht="6" customHeight="1" x14ac:dyDescent="0.35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ht="13.5" x14ac:dyDescent="0.35">
      <c r="A10" s="48"/>
      <c r="B10" s="49" t="s">
        <v>45</v>
      </c>
      <c r="C10" s="50">
        <f>COUNTIF(Funções!G11:G824,"EEL")</f>
        <v>30</v>
      </c>
      <c r="D10" s="49"/>
      <c r="E10" s="51" t="s">
        <v>461</v>
      </c>
      <c r="F10" s="51" t="s">
        <v>462</v>
      </c>
      <c r="G10" s="50">
        <f>C10*3</f>
        <v>90</v>
      </c>
      <c r="H10" s="49"/>
      <c r="I10" s="33"/>
      <c r="J10" s="52" t="str">
        <f>Deflatores!$G$4&amp;"="</f>
        <v>I=</v>
      </c>
      <c r="K10" s="53">
        <f>SUMIF(Funções!$J$11:$J$824,"EE"&amp;Deflatores!G4,Funções!$L$11:$L$824)</f>
        <v>428</v>
      </c>
      <c r="L10" s="54"/>
    </row>
    <row r="11" spans="1:12" ht="13.5" x14ac:dyDescent="0.35">
      <c r="A11" s="55"/>
      <c r="B11" s="49"/>
      <c r="C11" s="50">
        <f>COUNTIF(Funções!G11:G824,"EEA")</f>
        <v>8</v>
      </c>
      <c r="D11" s="49"/>
      <c r="E11" s="51" t="s">
        <v>463</v>
      </c>
      <c r="F11" s="51" t="s">
        <v>464</v>
      </c>
      <c r="G11" s="50">
        <f>C11*4</f>
        <v>32</v>
      </c>
      <c r="H11" s="49"/>
      <c r="I11" s="33"/>
      <c r="J11" s="52" t="str">
        <f>Deflatores!$G$5&amp;"="</f>
        <v>A=</v>
      </c>
      <c r="K11" s="53">
        <f>SUMIF(Funções!$J$11:$J$824,"EE"&amp;Deflatores!G5,Funções!$L$11:$L$824)</f>
        <v>0</v>
      </c>
      <c r="L11" s="54"/>
    </row>
    <row r="12" spans="1:12" ht="13.5" x14ac:dyDescent="0.35">
      <c r="A12" s="55"/>
      <c r="B12" s="49"/>
      <c r="C12" s="50">
        <f>COUNTIF(Funções!G11:G824,"EEH")</f>
        <v>51</v>
      </c>
      <c r="D12" s="49"/>
      <c r="E12" s="51" t="s">
        <v>465</v>
      </c>
      <c r="F12" s="51" t="s">
        <v>466</v>
      </c>
      <c r="G12" s="50">
        <f>C12*6</f>
        <v>306</v>
      </c>
      <c r="H12" s="49"/>
      <c r="I12" s="33"/>
      <c r="J12" s="52" t="str">
        <f>Deflatores!$G$6&amp;"="</f>
        <v>E=</v>
      </c>
      <c r="K12" s="53">
        <f>SUMIF(Funções!$J$11:$J$824,"EE"&amp;Deflatores!G6,Funções!$L$11:$L$824)</f>
        <v>0</v>
      </c>
      <c r="L12" s="56"/>
    </row>
    <row r="13" spans="1:12" ht="13.5" x14ac:dyDescent="0.35">
      <c r="A13" s="55"/>
      <c r="B13" s="49"/>
      <c r="C13" s="49"/>
      <c r="D13" s="49"/>
      <c r="E13" s="49"/>
      <c r="F13" s="49"/>
      <c r="G13" s="49"/>
      <c r="H13" s="49"/>
      <c r="I13" s="49"/>
      <c r="J13" s="49"/>
      <c r="K13" s="57"/>
      <c r="L13" s="54"/>
    </row>
    <row r="14" spans="1:12" ht="13.5" x14ac:dyDescent="0.35">
      <c r="A14" s="55"/>
      <c r="B14" s="58" t="s">
        <v>467</v>
      </c>
      <c r="C14" s="50">
        <f>SUM(C10:C12)</f>
        <v>89</v>
      </c>
      <c r="D14" s="49"/>
      <c r="E14" s="49"/>
      <c r="F14" s="58" t="s">
        <v>468</v>
      </c>
      <c r="G14" s="50">
        <f>SUM(G10:G12)</f>
        <v>428</v>
      </c>
      <c r="H14" s="33">
        <f>IF($G$45&lt;&gt;0,G14/$G$45,"")</f>
        <v>0.32872503840245776</v>
      </c>
      <c r="J14" s="52"/>
      <c r="K14" s="53">
        <f>SUM(K10:K13)</f>
        <v>428</v>
      </c>
      <c r="L14" s="34">
        <f>IF('Sumário 2'!L11&lt;&gt;0,K14/'Sumário 2'!L11,"")</f>
        <v>0.33214341145429149</v>
      </c>
    </row>
    <row r="15" spans="1:12" ht="6" customHeight="1" x14ac:dyDescent="0.35">
      <c r="A15" s="59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60"/>
    </row>
    <row r="16" spans="1:12" ht="6" customHeight="1" x14ac:dyDescent="0.35">
      <c r="A16" s="55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54"/>
    </row>
    <row r="17" spans="1:12" ht="13.5" x14ac:dyDescent="0.35">
      <c r="A17" s="55"/>
      <c r="B17" s="49" t="s">
        <v>181</v>
      </c>
      <c r="C17" s="52">
        <f>COUNTIF(Funções!G11:G824,"SEL")</f>
        <v>3</v>
      </c>
      <c r="D17" s="49"/>
      <c r="E17" s="51" t="s">
        <v>461</v>
      </c>
      <c r="F17" s="51" t="s">
        <v>464</v>
      </c>
      <c r="G17" s="52">
        <f>C17*4</f>
        <v>12</v>
      </c>
      <c r="H17" s="49"/>
      <c r="I17" s="49"/>
      <c r="J17" s="52" t="str">
        <f>Deflatores!$G$4&amp;"="</f>
        <v>I=</v>
      </c>
      <c r="K17" s="61">
        <f>SUMIF(Funções!$J$11:$J$824,"SE"&amp;Deflatores!$G$4,Funções!$L$11:$L$824)</f>
        <v>136</v>
      </c>
      <c r="L17" s="54"/>
    </row>
    <row r="18" spans="1:12" ht="13.5" x14ac:dyDescent="0.35">
      <c r="A18" s="55"/>
      <c r="B18" s="49"/>
      <c r="C18" s="52">
        <f>COUNTIF(Funções!G11:G824,"SEA")</f>
        <v>1</v>
      </c>
      <c r="D18" s="49"/>
      <c r="E18" s="51" t="s">
        <v>463</v>
      </c>
      <c r="F18" s="51" t="s">
        <v>469</v>
      </c>
      <c r="G18" s="52">
        <f>C18*5</f>
        <v>5</v>
      </c>
      <c r="H18" s="49"/>
      <c r="I18" s="49"/>
      <c r="J18" s="52" t="str">
        <f>Deflatores!$G$5&amp;"="</f>
        <v>A=</v>
      </c>
      <c r="K18" s="61">
        <f>SUMIF(Funções!$J$11:$J$824,"SE"&amp;Deflatores!$G$5,Funções!$L$11:$L$824)</f>
        <v>0</v>
      </c>
      <c r="L18" s="54"/>
    </row>
    <row r="19" spans="1:12" ht="13.5" x14ac:dyDescent="0.35">
      <c r="A19" s="55"/>
      <c r="B19" s="49"/>
      <c r="C19" s="52">
        <f>COUNTIF(Funções!G11:G824,"SEH")</f>
        <v>17</v>
      </c>
      <c r="D19" s="49"/>
      <c r="E19" s="51" t="s">
        <v>465</v>
      </c>
      <c r="F19" s="51" t="s">
        <v>470</v>
      </c>
      <c r="G19" s="52">
        <f>C19*7</f>
        <v>119</v>
      </c>
      <c r="H19" s="49"/>
      <c r="I19" s="49"/>
      <c r="J19" s="52" t="str">
        <f>Deflatores!$G$6&amp;"="</f>
        <v>E=</v>
      </c>
      <c r="K19" s="61">
        <f>SUMIF(Funções!$J$11:$J$824,"SE"&amp;Deflatores!$G$6,Funções!$L$11:$L$824)</f>
        <v>0</v>
      </c>
      <c r="L19" s="56"/>
    </row>
    <row r="20" spans="1:12" ht="13.5" x14ac:dyDescent="0.35">
      <c r="A20" s="55"/>
      <c r="B20" s="49"/>
      <c r="C20" s="49"/>
      <c r="D20" s="49"/>
      <c r="E20" s="49"/>
      <c r="F20" s="49"/>
      <c r="G20" s="49"/>
      <c r="H20" s="49"/>
      <c r="I20" s="49"/>
      <c r="J20" s="49"/>
      <c r="K20" s="57"/>
      <c r="L20" s="54"/>
    </row>
    <row r="21" spans="1:12" ht="13.5" x14ac:dyDescent="0.35">
      <c r="A21" s="55"/>
      <c r="B21" s="58" t="s">
        <v>467</v>
      </c>
      <c r="C21" s="50">
        <f>SUM(C17:C19)</f>
        <v>21</v>
      </c>
      <c r="D21" s="49"/>
      <c r="E21" s="49"/>
      <c r="F21" s="58" t="s">
        <v>468</v>
      </c>
      <c r="G21" s="50">
        <f>SUM(G17:G19)</f>
        <v>136</v>
      </c>
      <c r="H21" s="33">
        <f>IF($G$45&lt;&gt;0,G21/$G$45,"")</f>
        <v>0.10445468509984639</v>
      </c>
      <c r="J21" s="52"/>
      <c r="K21" s="53">
        <f>SUM(K17:K20)</f>
        <v>136</v>
      </c>
      <c r="L21" s="34">
        <f>IF('Sumário 2'!L11&lt;&gt;0,K21/'Sumário 2'!L11,"")</f>
        <v>0.10554089709762533</v>
      </c>
    </row>
    <row r="22" spans="1:12" ht="6" customHeight="1" x14ac:dyDescent="0.35">
      <c r="A22" s="59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60"/>
    </row>
    <row r="23" spans="1:12" ht="6" customHeight="1" x14ac:dyDescent="0.35">
      <c r="A23" s="45"/>
      <c r="B23" s="46"/>
      <c r="C23" s="49"/>
      <c r="D23" s="46"/>
      <c r="E23" s="46"/>
      <c r="F23" s="46"/>
      <c r="G23" s="49"/>
      <c r="H23" s="46"/>
      <c r="I23" s="46"/>
      <c r="J23" s="46"/>
      <c r="K23" s="46"/>
      <c r="L23" s="47"/>
    </row>
    <row r="24" spans="1:12" ht="13.5" x14ac:dyDescent="0.35">
      <c r="A24" s="55"/>
      <c r="B24" s="49" t="s">
        <v>52</v>
      </c>
      <c r="C24" s="50">
        <f>COUNTIF(Funções!G11:G824,"CEL")</f>
        <v>65</v>
      </c>
      <c r="D24" s="49"/>
      <c r="E24" s="51" t="s">
        <v>461</v>
      </c>
      <c r="F24" s="51" t="s">
        <v>462</v>
      </c>
      <c r="G24" s="50">
        <f>C24*3</f>
        <v>195</v>
      </c>
      <c r="H24" s="49"/>
      <c r="I24" s="49"/>
      <c r="J24" s="52" t="str">
        <f>Deflatores!$G$4&amp;"="</f>
        <v>I=</v>
      </c>
      <c r="K24" s="53">
        <f>SUMIF(Funções!$J$11:$J$824,"CE"&amp;Deflatores!$G$4,Funções!$L$11:$L$824)</f>
        <v>514</v>
      </c>
      <c r="L24" s="54"/>
    </row>
    <row r="25" spans="1:12" ht="13.5" x14ac:dyDescent="0.35">
      <c r="A25" s="55"/>
      <c r="B25" s="49"/>
      <c r="C25" s="50">
        <f>COUNTIF(Funções!G11:G824,"CEA")</f>
        <v>33</v>
      </c>
      <c r="D25" s="49"/>
      <c r="E25" s="51" t="s">
        <v>463</v>
      </c>
      <c r="F25" s="51" t="s">
        <v>464</v>
      </c>
      <c r="G25" s="50">
        <f>C25*4</f>
        <v>132</v>
      </c>
      <c r="H25" s="49"/>
      <c r="I25" s="49"/>
      <c r="J25" s="52" t="str">
        <f>Deflatores!$G$5&amp;"="</f>
        <v>A=</v>
      </c>
      <c r="K25" s="53">
        <f>SUMIF(Funções!$J$11:$J$824,"CE"&amp;Deflatores!$G$5,Funções!$L$11:$L$824)</f>
        <v>0</v>
      </c>
      <c r="L25" s="54"/>
    </row>
    <row r="26" spans="1:12" ht="13.5" x14ac:dyDescent="0.35">
      <c r="A26" s="55"/>
      <c r="B26" s="49"/>
      <c r="C26" s="50">
        <f>COUNTIF(Funções!G11:G824,"CEH")</f>
        <v>34</v>
      </c>
      <c r="D26" s="49"/>
      <c r="E26" s="51" t="s">
        <v>465</v>
      </c>
      <c r="F26" s="51" t="s">
        <v>466</v>
      </c>
      <c r="G26" s="50">
        <f>C26*6</f>
        <v>204</v>
      </c>
      <c r="H26" s="49"/>
      <c r="I26" s="49"/>
      <c r="J26" s="52" t="str">
        <f>Deflatores!$G$6&amp;"="</f>
        <v>E=</v>
      </c>
      <c r="K26" s="53">
        <f>SUMIF(Funções!$J$11:$J$824,"CE"&amp;Deflatores!$G$6,Funções!$L$11:$L$824)</f>
        <v>2.4000000000000004</v>
      </c>
      <c r="L26" s="56"/>
    </row>
    <row r="27" spans="1:12" ht="13.5" x14ac:dyDescent="0.35">
      <c r="A27" s="55"/>
      <c r="B27" s="49"/>
      <c r="C27" s="49"/>
      <c r="D27" s="49"/>
      <c r="E27" s="49"/>
      <c r="F27" s="49"/>
      <c r="G27" s="49"/>
      <c r="H27" s="49"/>
      <c r="I27" s="49"/>
      <c r="J27" s="49"/>
      <c r="K27" s="57"/>
      <c r="L27" s="54"/>
    </row>
    <row r="28" spans="1:12" ht="13.5" x14ac:dyDescent="0.35">
      <c r="A28" s="55"/>
      <c r="B28" s="58" t="s">
        <v>467</v>
      </c>
      <c r="C28" s="50">
        <f>SUM(C24:C26)</f>
        <v>132</v>
      </c>
      <c r="D28" s="49"/>
      <c r="E28" s="49"/>
      <c r="F28" s="58" t="s">
        <v>468</v>
      </c>
      <c r="G28" s="50">
        <f>SUM(G24:G26)</f>
        <v>531</v>
      </c>
      <c r="H28" s="33">
        <f>IF($G$45&lt;&gt;0,G28/$G$45,"")</f>
        <v>0.40783410138248849</v>
      </c>
      <c r="J28" s="52"/>
      <c r="K28" s="53">
        <f>SUM(K24:K27)</f>
        <v>516.4</v>
      </c>
      <c r="L28" s="34">
        <f>IF('Sumário 2'!L11&lt;&gt;0,K28/'Sumário 2'!L11,"")</f>
        <v>0.40074499456774798</v>
      </c>
    </row>
    <row r="29" spans="1:12" ht="6" customHeight="1" x14ac:dyDescent="0.35">
      <c r="A29" s="59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60"/>
    </row>
    <row r="30" spans="1:12" ht="6" customHeight="1" x14ac:dyDescent="0.35">
      <c r="A30" s="45"/>
      <c r="B30" s="46"/>
      <c r="C30" s="49"/>
      <c r="D30" s="46"/>
      <c r="E30" s="46"/>
      <c r="F30" s="46"/>
      <c r="G30" s="49"/>
      <c r="H30" s="46"/>
      <c r="I30" s="46"/>
      <c r="J30" s="46"/>
      <c r="K30" s="46"/>
      <c r="L30" s="47"/>
    </row>
    <row r="31" spans="1:12" ht="13.5" x14ac:dyDescent="0.35">
      <c r="A31" s="55"/>
      <c r="B31" s="49" t="s">
        <v>61</v>
      </c>
      <c r="C31" s="50">
        <f>COUNTIF(Funções!G11:G824,"ALIL")</f>
        <v>11</v>
      </c>
      <c r="D31" s="49"/>
      <c r="E31" s="49" t="s">
        <v>461</v>
      </c>
      <c r="F31" s="49" t="s">
        <v>470</v>
      </c>
      <c r="G31" s="50">
        <f>C31*7</f>
        <v>77</v>
      </c>
      <c r="H31" s="49"/>
      <c r="I31" s="49"/>
      <c r="J31" s="52" t="str">
        <f>Deflatores!$G$4&amp;"="</f>
        <v>I=</v>
      </c>
      <c r="K31" s="53">
        <f>SUMIF(Funções!$J$11:$J$824,"ALI"&amp;Deflatores!$G$4,Funções!$L$11:$L$824)</f>
        <v>102</v>
      </c>
      <c r="L31" s="54"/>
    </row>
    <row r="32" spans="1:12" ht="13.5" x14ac:dyDescent="0.35">
      <c r="A32" s="55"/>
      <c r="B32" s="49"/>
      <c r="C32" s="50">
        <f>COUNTIF(Funções!G11:G824,"ALIA")</f>
        <v>1</v>
      </c>
      <c r="D32" s="49"/>
      <c r="E32" s="49" t="s">
        <v>463</v>
      </c>
      <c r="F32" s="49" t="s">
        <v>471</v>
      </c>
      <c r="G32" s="50">
        <f>C32*10</f>
        <v>10</v>
      </c>
      <c r="H32" s="49"/>
      <c r="I32" s="49"/>
      <c r="J32" s="52" t="str">
        <f>Deflatores!$G$5&amp;"="</f>
        <v>A=</v>
      </c>
      <c r="K32" s="53">
        <f>SUMIF(Funções!$J$11:$J$824,"ALI"&amp;Deflatores!$G$5,Funções!$L$11:$L$824)</f>
        <v>0</v>
      </c>
      <c r="L32" s="54"/>
    </row>
    <row r="33" spans="1:12" ht="13.5" x14ac:dyDescent="0.35">
      <c r="A33" s="55"/>
      <c r="B33" s="49"/>
      <c r="C33" s="50">
        <f>COUNTIF(Funções!G11:G824,"ALIH")</f>
        <v>1</v>
      </c>
      <c r="D33" s="49"/>
      <c r="E33" s="49" t="s">
        <v>465</v>
      </c>
      <c r="F33" s="49" t="s">
        <v>472</v>
      </c>
      <c r="G33" s="50">
        <f>C33*15</f>
        <v>15</v>
      </c>
      <c r="H33" s="49"/>
      <c r="I33" s="49"/>
      <c r="J33" s="52" t="str">
        <f>Deflatores!$G$6&amp;"="</f>
        <v>E=</v>
      </c>
      <c r="K33" s="53">
        <f>SUMIF(Funções!$J$11:$J$824,"ALI"&amp;Deflatores!$G$6,Funções!$L$11:$L$824)</f>
        <v>0</v>
      </c>
      <c r="L33" s="56"/>
    </row>
    <row r="34" spans="1:12" ht="13.5" x14ac:dyDescent="0.35">
      <c r="A34" s="55"/>
      <c r="B34" s="49"/>
      <c r="C34" s="49"/>
      <c r="D34" s="49"/>
      <c r="E34" s="49"/>
      <c r="F34" s="49"/>
      <c r="G34" s="49"/>
      <c r="H34" s="49"/>
      <c r="I34" s="49"/>
      <c r="J34" s="49"/>
      <c r="K34" s="57"/>
      <c r="L34" s="54"/>
    </row>
    <row r="35" spans="1:12" ht="13.5" x14ac:dyDescent="0.35">
      <c r="A35" s="55"/>
      <c r="B35" s="58" t="s">
        <v>467</v>
      </c>
      <c r="C35" s="50">
        <f>SUM(C31:C33)</f>
        <v>13</v>
      </c>
      <c r="D35" s="49"/>
      <c r="E35" s="49"/>
      <c r="F35" s="58" t="s">
        <v>468</v>
      </c>
      <c r="G35" s="50">
        <f>SUM(G31:G33)</f>
        <v>102</v>
      </c>
      <c r="H35" s="33">
        <f>IF($G$45&lt;&gt;0,G35/$G$45,"")</f>
        <v>7.8341013824884786E-2</v>
      </c>
      <c r="J35" s="52"/>
      <c r="K35" s="53">
        <f>SUM(K31:K34)</f>
        <v>102</v>
      </c>
      <c r="L35" s="34">
        <f>IF('Sumário 2'!L11&lt;&gt;0,K35/'Sumário 2'!L11,"")</f>
        <v>7.9155672823219003E-2</v>
      </c>
    </row>
    <row r="36" spans="1:12" ht="6" customHeight="1" x14ac:dyDescent="0.35">
      <c r="A36" s="59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60"/>
    </row>
    <row r="37" spans="1:12" ht="6" customHeight="1" x14ac:dyDescent="0.35">
      <c r="A37" s="45"/>
      <c r="B37" s="46"/>
      <c r="C37" s="49"/>
      <c r="D37" s="46"/>
      <c r="E37" s="46"/>
      <c r="F37" s="46"/>
      <c r="G37" s="49"/>
      <c r="H37" s="46"/>
      <c r="I37" s="46"/>
      <c r="J37" s="46"/>
      <c r="K37" s="46"/>
      <c r="L37" s="47"/>
    </row>
    <row r="38" spans="1:12" ht="13.5" x14ac:dyDescent="0.35">
      <c r="A38" s="55"/>
      <c r="B38" s="49" t="s">
        <v>49</v>
      </c>
      <c r="C38" s="50">
        <f>COUNTIF(Funções!G11:G824,"AIEL")</f>
        <v>19</v>
      </c>
      <c r="D38" s="49"/>
      <c r="E38" s="49" t="s">
        <v>461</v>
      </c>
      <c r="F38" s="49" t="s">
        <v>469</v>
      </c>
      <c r="G38" s="50">
        <f>C38*5</f>
        <v>95</v>
      </c>
      <c r="H38" s="49"/>
      <c r="I38" s="49"/>
      <c r="J38" s="52" t="str">
        <f>Deflatores!$G$4&amp;"="</f>
        <v>I=</v>
      </c>
      <c r="K38" s="53">
        <f>SUMIF(Funções!$J$11:$J$824,"AIE"&amp;Deflatores!$G$4,Funções!$L$11:$L$824)</f>
        <v>105</v>
      </c>
      <c r="L38" s="54"/>
    </row>
    <row r="39" spans="1:12" ht="13.5" x14ac:dyDescent="0.35">
      <c r="A39" s="55"/>
      <c r="B39" s="49"/>
      <c r="C39" s="50">
        <f>COUNTIF(Funções!G11:G824,"AIEA")</f>
        <v>0</v>
      </c>
      <c r="D39" s="49"/>
      <c r="E39" s="49" t="s">
        <v>463</v>
      </c>
      <c r="F39" s="49" t="s">
        <v>470</v>
      </c>
      <c r="G39" s="50">
        <f>C39*7</f>
        <v>0</v>
      </c>
      <c r="H39" s="49"/>
      <c r="I39" s="49"/>
      <c r="J39" s="52" t="str">
        <f>Deflatores!$G$5&amp;"="</f>
        <v>A=</v>
      </c>
      <c r="K39" s="53">
        <f>SUMIF(Funções!$J$11:$J$824,"AIE"&amp;Deflatores!$G$5,Funções!$L$11:$L$824)</f>
        <v>0</v>
      </c>
      <c r="L39" s="54"/>
    </row>
    <row r="40" spans="1:12" ht="13.5" x14ac:dyDescent="0.35">
      <c r="A40" s="55"/>
      <c r="B40" s="49"/>
      <c r="C40" s="50">
        <f>COUNTIF(Funções!G11:G824,"AIEH")</f>
        <v>1</v>
      </c>
      <c r="D40" s="49"/>
      <c r="E40" s="49" t="s">
        <v>465</v>
      </c>
      <c r="F40" s="49" t="s">
        <v>471</v>
      </c>
      <c r="G40" s="50">
        <f>C40*10</f>
        <v>10</v>
      </c>
      <c r="H40" s="49"/>
      <c r="I40" s="49"/>
      <c r="J40" s="52" t="str">
        <f>Deflatores!$G$6&amp;"="</f>
        <v>E=</v>
      </c>
      <c r="K40" s="53">
        <f>SUMIF(Funções!$J$11:$J$824,"AIE"&amp;Deflatores!$G$6,Funções!$L$11:$L$824)</f>
        <v>0</v>
      </c>
      <c r="L40" s="56"/>
    </row>
    <row r="41" spans="1:12" ht="13.5" x14ac:dyDescent="0.35">
      <c r="A41" s="55"/>
      <c r="B41" s="49"/>
      <c r="C41" s="49"/>
      <c r="D41" s="49"/>
      <c r="E41" s="49"/>
      <c r="F41" s="49"/>
      <c r="G41" s="49"/>
      <c r="H41" s="49"/>
      <c r="I41" s="49"/>
      <c r="J41" s="49"/>
      <c r="K41" s="57"/>
      <c r="L41" s="54"/>
    </row>
    <row r="42" spans="1:12" ht="13.5" x14ac:dyDescent="0.35">
      <c r="A42" s="55"/>
      <c r="B42" s="58" t="s">
        <v>467</v>
      </c>
      <c r="C42" s="50">
        <f>SUM(C38:C40)</f>
        <v>20</v>
      </c>
      <c r="D42" s="49"/>
      <c r="E42" s="49"/>
      <c r="F42" s="58" t="s">
        <v>468</v>
      </c>
      <c r="G42" s="50">
        <f>SUM(G38:G40)</f>
        <v>105</v>
      </c>
      <c r="H42" s="33">
        <f>IF($G$45&lt;&gt;0,G42/$G$45,"")</f>
        <v>8.0645161290322578E-2</v>
      </c>
      <c r="J42" s="52"/>
      <c r="K42" s="53">
        <f>SUM(K38:K41)</f>
        <v>105</v>
      </c>
      <c r="L42" s="34">
        <f>IF('Sumário 2'!L11&lt;&gt;0,K42/'Sumário 2'!L11,"")</f>
        <v>8.1483780847431325E-2</v>
      </c>
    </row>
    <row r="43" spans="1:12" ht="6" customHeight="1" x14ac:dyDescent="0.35">
      <c r="A43" s="59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60"/>
    </row>
    <row r="44" spans="1:12" ht="6" customHeight="1" x14ac:dyDescent="0.35">
      <c r="A44" s="55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54"/>
    </row>
    <row r="45" spans="1:12" ht="13.5" x14ac:dyDescent="0.35">
      <c r="A45" s="55"/>
      <c r="B45" s="172" t="s">
        <v>473</v>
      </c>
      <c r="C45" s="172"/>
      <c r="D45" s="172"/>
      <c r="E45" s="172"/>
      <c r="F45" s="172"/>
      <c r="G45" s="50">
        <f>SUM(G14+G21+G28+G35+G42)</f>
        <v>1302</v>
      </c>
      <c r="H45" s="49"/>
      <c r="I45" s="49"/>
      <c r="J45" s="49"/>
      <c r="K45" s="49"/>
      <c r="L45" s="54"/>
    </row>
    <row r="46" spans="1:12" ht="13.5" x14ac:dyDescent="0.35">
      <c r="A46" s="55"/>
      <c r="B46" s="172" t="s">
        <v>474</v>
      </c>
      <c r="C46" s="172"/>
      <c r="D46" s="172"/>
      <c r="E46" s="172"/>
      <c r="F46" s="172"/>
      <c r="G46" s="50">
        <f>(C10+C11+C12)*4+(C17+C18+C19)*5+(C24+C25+C26)*4+(C31+C32+C33)*7+(C38+C39+C40)*5</f>
        <v>1180</v>
      </c>
      <c r="H46" s="49"/>
      <c r="I46" s="49"/>
      <c r="J46" s="49"/>
      <c r="K46" s="49"/>
      <c r="L46" s="54"/>
    </row>
    <row r="47" spans="1:12" ht="13.5" x14ac:dyDescent="0.35">
      <c r="A47" s="55"/>
      <c r="B47" s="172" t="s">
        <v>475</v>
      </c>
      <c r="C47" s="172"/>
      <c r="D47" s="172"/>
      <c r="E47" s="172"/>
      <c r="F47" s="172"/>
      <c r="G47" s="50">
        <f>(C31+C32+C33)*35+(C38+C39+C40)*15</f>
        <v>755</v>
      </c>
      <c r="H47" s="49"/>
      <c r="I47" s="49"/>
      <c r="J47" s="49"/>
      <c r="K47" s="49"/>
      <c r="L47" s="54"/>
    </row>
    <row r="48" spans="1:12" ht="13.5" x14ac:dyDescent="0.35">
      <c r="A48" s="55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54"/>
    </row>
    <row r="49" spans="1:12" ht="13.5" x14ac:dyDescent="0.35">
      <c r="A49" s="55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54"/>
    </row>
    <row r="50" spans="1:12" ht="13.5" x14ac:dyDescent="0.35">
      <c r="A50" s="55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54"/>
    </row>
    <row r="51" spans="1:12" ht="13.5" x14ac:dyDescent="0.35">
      <c r="A51" s="55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54"/>
    </row>
    <row r="52" spans="1:12" ht="13.5" x14ac:dyDescent="0.35">
      <c r="A52" s="62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4"/>
    </row>
  </sheetData>
  <sheetProtection selectLockedCells="1" selectUnlockedCells="1"/>
  <mergeCells count="16">
    <mergeCell ref="B45:F45"/>
    <mergeCell ref="B46:F46"/>
    <mergeCell ref="B47:F47"/>
    <mergeCell ref="A7:B8"/>
    <mergeCell ref="C7:F8"/>
    <mergeCell ref="G7:G8"/>
    <mergeCell ref="H7:H8"/>
    <mergeCell ref="J7:K8"/>
    <mergeCell ref="L7:L8"/>
    <mergeCell ref="A1:L3"/>
    <mergeCell ref="A4:E4"/>
    <mergeCell ref="F4:L4"/>
    <mergeCell ref="A5:E5"/>
    <mergeCell ref="F5:L5"/>
    <mergeCell ref="A6:E6"/>
    <mergeCell ref="F6:L6"/>
  </mergeCells>
  <pageMargins left="0.51180555555555551" right="0.51180555555555551" top="0.78749999999999998" bottom="0.78749999999999998" header="0.51180555555555551" footer="0.31527777777777777"/>
  <pageSetup paperSize="9" firstPageNumber="0" orientation="portrait" horizontalDpi="300" verticalDpi="300" r:id="rId1"/>
  <headerFooter alignWithMargins="0">
    <oddFooter>&amp;CPágina &amp;P de &amp;N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"/>
  <dimension ref="A1:M70"/>
  <sheetViews>
    <sheetView showGridLines="0" view="pageBreakPreview" zoomScaleSheetLayoutView="100" workbookViewId="0">
      <pane ySplit="6" topLeftCell="A28" activePane="bottomLeft" state="frozen"/>
      <selection activeCell="B11" sqref="B11"/>
      <selection pane="bottomLeft" activeCell="A7" sqref="A7"/>
    </sheetView>
  </sheetViews>
  <sheetFormatPr defaultColWidth="11.54296875" defaultRowHeight="12.5" x14ac:dyDescent="0.25"/>
  <cols>
    <col min="1" max="1" width="3.1796875" customWidth="1"/>
    <col min="2" max="2" width="32.54296875" customWidth="1"/>
    <col min="3" max="3" width="36.453125" customWidth="1"/>
    <col min="4" max="4" width="7" customWidth="1"/>
    <col min="5" max="5" width="9.81640625" customWidth="1"/>
    <col min="6" max="6" width="9.1796875" customWidth="1"/>
    <col min="7" max="8" width="12.1796875" customWidth="1"/>
    <col min="9" max="9" width="12.54296875" customWidth="1"/>
    <col min="10" max="10" width="7.54296875" customWidth="1"/>
    <col min="11" max="11" width="2.1796875" customWidth="1"/>
    <col min="12" max="12" width="13.54296875" customWidth="1"/>
    <col min="13" max="13" width="1.81640625" customWidth="1"/>
  </cols>
  <sheetData>
    <row r="1" spans="1:13" x14ac:dyDescent="0.25">
      <c r="A1" s="139" t="s">
        <v>476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</row>
    <row r="2" spans="1:13" x14ac:dyDescent="0.25">
      <c r="A2" s="139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</row>
    <row r="3" spans="1:13" x14ac:dyDescent="0.25">
      <c r="A3" s="139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</row>
    <row r="4" spans="1:13" x14ac:dyDescent="0.25">
      <c r="A4" s="171" t="str">
        <f>Contagem!A5&amp;" : "&amp;Contagem!F5</f>
        <v>Aplicação : Web Ponto 2.0</v>
      </c>
      <c r="B4" s="171"/>
      <c r="C4" s="171"/>
      <c r="D4" s="171"/>
      <c r="E4" s="171"/>
      <c r="F4" s="153" t="str">
        <f>Contagem!A8&amp;" : "&amp;Contagem!F8</f>
        <v>Projeto : Desenvolvimento do produto Web Ponto 2.0</v>
      </c>
      <c r="G4" s="153"/>
      <c r="H4" s="153"/>
      <c r="I4" s="153"/>
      <c r="J4" s="153"/>
      <c r="K4" s="153"/>
      <c r="L4" s="153"/>
      <c r="M4" s="153"/>
    </row>
    <row r="5" spans="1:13" x14ac:dyDescent="0.25">
      <c r="A5" s="175" t="str">
        <f>Contagem!A9&amp;" : "&amp;Contagem!F9</f>
        <v>Responsável : Ana Karyna da Silva Teixeira</v>
      </c>
      <c r="B5" s="175"/>
      <c r="C5" s="175"/>
      <c r="D5" s="175"/>
      <c r="E5" s="175"/>
      <c r="F5" s="153" t="str">
        <f>Contagem!A10&amp;" : "&amp;Contagem!F10</f>
        <v>Revisor : Luana Alves de Araújo Passos Aguiar</v>
      </c>
      <c r="G5" s="153"/>
      <c r="H5" s="153"/>
      <c r="I5" s="153"/>
      <c r="J5" s="153"/>
      <c r="K5" s="153"/>
      <c r="L5" s="153"/>
      <c r="M5" s="153"/>
    </row>
    <row r="6" spans="1:13" x14ac:dyDescent="0.25">
      <c r="A6" s="175" t="str">
        <f>Contagem!A4&amp;" : "&amp;Contagem!F4</f>
        <v>Empresa : Secretaria de Estado de Planejamento e Gestão de Mato Grosso</v>
      </c>
      <c r="B6" s="175"/>
      <c r="C6" s="175"/>
      <c r="D6" s="175"/>
      <c r="E6" s="175"/>
      <c r="F6" s="153" t="str">
        <f>"Tipo de Contagem : "&amp;Contagem!F6</f>
        <v>Tipo de Contagem : Projeto de Desenvolvimento</v>
      </c>
      <c r="G6" s="153"/>
      <c r="H6" s="153"/>
      <c r="I6" s="153"/>
      <c r="J6" s="153"/>
      <c r="K6" s="153"/>
      <c r="L6" s="153"/>
      <c r="M6" s="153"/>
    </row>
    <row r="7" spans="1:13" x14ac:dyDescent="0.25">
      <c r="A7" s="80"/>
      <c r="M7" s="81"/>
    </row>
    <row r="8" spans="1:13" ht="13.5" x14ac:dyDescent="0.35">
      <c r="A8" s="80"/>
      <c r="B8" s="176"/>
      <c r="C8" s="176"/>
      <c r="D8" s="176"/>
      <c r="E8" s="176"/>
      <c r="F8" s="176"/>
      <c r="G8" s="176"/>
      <c r="H8" s="176"/>
      <c r="I8" s="176"/>
      <c r="M8" s="81"/>
    </row>
    <row r="9" spans="1:13" ht="13.5" x14ac:dyDescent="0.35">
      <c r="A9" s="80"/>
      <c r="B9" s="177" t="s">
        <v>477</v>
      </c>
      <c r="C9" s="177"/>
      <c r="D9" s="177"/>
      <c r="E9" s="35" t="s">
        <v>447</v>
      </c>
      <c r="F9" s="35" t="s">
        <v>3</v>
      </c>
      <c r="G9" s="35" t="s">
        <v>478</v>
      </c>
      <c r="H9" s="35" t="s">
        <v>479</v>
      </c>
      <c r="I9" s="35" t="s">
        <v>9</v>
      </c>
      <c r="J9" s="35" t="s">
        <v>480</v>
      </c>
      <c r="M9" s="81"/>
    </row>
    <row r="10" spans="1:13" ht="13.5" customHeight="1" x14ac:dyDescent="0.35">
      <c r="A10" s="80"/>
      <c r="B10" s="137" t="str">
        <f>""&amp;Deflatores!B4</f>
        <v>Inclusão</v>
      </c>
      <c r="C10" s="137"/>
      <c r="D10" s="24" t="str">
        <f>""&amp;Deflatores!G4</f>
        <v>I</v>
      </c>
      <c r="E10" s="102">
        <f>IF(D10="","",COUNTIF(Funções!C$11:C$824,D10))</f>
        <v>273</v>
      </c>
      <c r="F10" s="103">
        <f>SUMIF(Funções!$C$11:$C$824,Deflatores!G4,Funções!$H$11:$H$824)</f>
        <v>1285</v>
      </c>
      <c r="G10" s="104">
        <f>IF(ISBLANK(Deflatores!H4),"",Deflatores!H4)</f>
        <v>1</v>
      </c>
      <c r="H10" s="103" t="str">
        <f>IF(ISBLANK(Deflatores!I4),"",Deflatores!I4)</f>
        <v/>
      </c>
      <c r="I10" s="105">
        <f>IF(F10=0,Deflatores!K4,F10*G10)</f>
        <v>1285</v>
      </c>
      <c r="J10" s="106">
        <f t="shared" ref="J10:J44" si="0">IF($L$11&lt;&gt;0,I10/$L$11,"")</f>
        <v>0.99720627037094534</v>
      </c>
      <c r="L10" s="40" t="s">
        <v>9</v>
      </c>
      <c r="M10" s="54"/>
    </row>
    <row r="11" spans="1:13" ht="13.5" customHeight="1" x14ac:dyDescent="0.35">
      <c r="A11" s="80"/>
      <c r="B11" s="137" t="str">
        <f>""&amp;Deflatores!B5</f>
        <v>Alteração (sem conhecimento do Fator de Impacto)</v>
      </c>
      <c r="C11" s="137"/>
      <c r="D11" s="24" t="str">
        <f>""&amp;Deflatores!G5</f>
        <v>A</v>
      </c>
      <c r="E11" s="102">
        <f>IF(D11="","",COUNTIF(Funções!C$11:C$824,D11))</f>
        <v>0</v>
      </c>
      <c r="F11" s="103">
        <f>SUMIF(Funções!$C$11:$C$824,Deflatores!G5,Funções!$H$11:$H$824)</f>
        <v>0</v>
      </c>
      <c r="G11" s="104">
        <f>IF(ISBLANK(Deflatores!H5),"",Deflatores!H5)</f>
        <v>0.5</v>
      </c>
      <c r="H11" s="103" t="str">
        <f>IF(ISBLANK(Deflatores!I5),"",Deflatores!I5)</f>
        <v/>
      </c>
      <c r="I11" s="105">
        <f>IF(F11=0,Deflatores!K5,F11*G11)</f>
        <v>0</v>
      </c>
      <c r="J11" s="106">
        <f t="shared" si="0"/>
        <v>0</v>
      </c>
      <c r="K11" s="92"/>
      <c r="L11" s="41">
        <f>Contagem!Q6</f>
        <v>1288.5999999999999</v>
      </c>
      <c r="M11" s="54"/>
    </row>
    <row r="12" spans="1:13" ht="13.5" customHeight="1" x14ac:dyDescent="0.35">
      <c r="A12" s="80"/>
      <c r="B12" s="137" t="str">
        <f>""&amp;Deflatores!B6</f>
        <v>Exclusão</v>
      </c>
      <c r="C12" s="137"/>
      <c r="D12" s="24" t="str">
        <f>""&amp;Deflatores!G6</f>
        <v>E</v>
      </c>
      <c r="E12" s="102">
        <f>IF(D12="","",COUNTIF(Funções!C$11:C$824,D12))</f>
        <v>2</v>
      </c>
      <c r="F12" s="103">
        <f>SUMIF(Funções!$C$11:$C$824,Deflatores!G6,Funções!$H$11:$H$824)</f>
        <v>6</v>
      </c>
      <c r="G12" s="104">
        <f>IF(ISBLANK(Deflatores!H6),"",Deflatores!H6)</f>
        <v>0.4</v>
      </c>
      <c r="H12" s="103" t="str">
        <f>IF(ISBLANK(Deflatores!I6),"",Deflatores!I6)</f>
        <v/>
      </c>
      <c r="I12" s="105">
        <f>IF(F12=0,Deflatores!K6,F12*G12)</f>
        <v>2.4000000000000004</v>
      </c>
      <c r="J12" s="106">
        <f t="shared" si="0"/>
        <v>1.8624864193698592E-3</v>
      </c>
      <c r="K12" s="92"/>
      <c r="L12" s="93"/>
      <c r="M12" s="54"/>
    </row>
    <row r="13" spans="1:13" ht="13.5" customHeight="1" x14ac:dyDescent="0.35">
      <c r="A13" s="80"/>
      <c r="B13" s="137" t="str">
        <f>""&amp;Deflatores!B7</f>
        <v>Alteração (50%) de função desenvolvida ou já alterada pela empresa atual</v>
      </c>
      <c r="C13" s="137"/>
      <c r="D13" s="24" t="str">
        <f>""&amp;Deflatores!G7</f>
        <v>A50</v>
      </c>
      <c r="E13" s="102">
        <f>IF(D13="","",COUNTIF(Funções!C$11:C$824,D13))</f>
        <v>0</v>
      </c>
      <c r="F13" s="103">
        <f>SUMIF(Funções!$C$11:$C$824,Deflatores!G7,Funções!$H$11:$H$824)</f>
        <v>0</v>
      </c>
      <c r="G13" s="104">
        <f>IF(ISBLANK(Deflatores!H7),"",Deflatores!H7)</f>
        <v>0.5</v>
      </c>
      <c r="H13" s="103" t="str">
        <f>IF(ISBLANK(Deflatores!I7),"",Deflatores!I7)</f>
        <v/>
      </c>
      <c r="I13" s="105">
        <f>Deflatores!K7</f>
        <v>0</v>
      </c>
      <c r="J13" s="106">
        <f t="shared" si="0"/>
        <v>0</v>
      </c>
      <c r="K13" s="92"/>
      <c r="L13" s="40" t="s">
        <v>481</v>
      </c>
      <c r="M13" s="54"/>
    </row>
    <row r="14" spans="1:13" ht="13.5" customHeight="1" x14ac:dyDescent="0.35">
      <c r="A14" s="80"/>
      <c r="B14" s="137" t="str">
        <f>""&amp;Deflatores!B8</f>
        <v>Alteração (75%) de função não desenv. e ainda não alterada pela empresa atual</v>
      </c>
      <c r="C14" s="137"/>
      <c r="D14" s="24" t="str">
        <f>""&amp;Deflatores!G8</f>
        <v>A75</v>
      </c>
      <c r="E14" s="102">
        <f>IF(D14="","",COUNTIF(Funções!C$11:C$824,D14))</f>
        <v>0</v>
      </c>
      <c r="F14" s="103">
        <f>SUMIF(Funções!$C$11:$C$824,Deflatores!G8,Funções!$H$11:$H$824)</f>
        <v>0</v>
      </c>
      <c r="G14" s="104">
        <f>IF(ISBLANK(Deflatores!H8),"",Deflatores!H8)</f>
        <v>0.75</v>
      </c>
      <c r="H14" s="103" t="str">
        <f>IF(ISBLANK(Deflatores!I8),"",Deflatores!I8)</f>
        <v/>
      </c>
      <c r="I14" s="105">
        <f>Deflatores!K8</f>
        <v>0</v>
      </c>
      <c r="J14" s="106">
        <f t="shared" si="0"/>
        <v>0</v>
      </c>
      <c r="L14" s="41">
        <f>Contagem!Q4</f>
        <v>1302</v>
      </c>
      <c r="M14" s="54"/>
    </row>
    <row r="15" spans="1:13" ht="13.5" customHeight="1" x14ac:dyDescent="0.25">
      <c r="A15" s="80"/>
      <c r="B15" s="137" t="str">
        <f>""&amp;Deflatores!B9</f>
        <v>Alteração (75%+15%): o mesmo acima + redocumentar a função</v>
      </c>
      <c r="C15" s="137"/>
      <c r="D15" s="24" t="str">
        <f>""&amp;Deflatores!G9</f>
        <v>A90</v>
      </c>
      <c r="E15" s="102">
        <f>IF(D15="","",COUNTIF(Funções!C$11:C$824,D15))</f>
        <v>0</v>
      </c>
      <c r="F15" s="103">
        <f>SUMIF(Funções!$C$11:$C$824,Deflatores!G9,Funções!$H$11:$H$824)</f>
        <v>0</v>
      </c>
      <c r="G15" s="104">
        <f>IF(ISBLANK(Deflatores!H9),"",Deflatores!H9)</f>
        <v>0.9</v>
      </c>
      <c r="H15" s="103" t="str">
        <f>IF(ISBLANK(Deflatores!I9),"",Deflatores!I9)</f>
        <v/>
      </c>
      <c r="I15" s="105">
        <f>Deflatores!K9</f>
        <v>0</v>
      </c>
      <c r="J15" s="106">
        <f t="shared" si="0"/>
        <v>0</v>
      </c>
      <c r="M15" s="81"/>
    </row>
    <row r="16" spans="1:13" ht="13.5" customHeight="1" x14ac:dyDescent="0.25">
      <c r="A16" s="80"/>
      <c r="B16" s="137" t="str">
        <f>""&amp;Deflatores!B10</f>
        <v>Migração de Dados</v>
      </c>
      <c r="C16" s="137"/>
      <c r="D16" s="24" t="str">
        <f>""&amp;Deflatores!G10</f>
        <v>PMD</v>
      </c>
      <c r="E16" s="102">
        <f>IF(D16="","",COUNTIF(Funções!C$11:C$824,D16))</f>
        <v>0</v>
      </c>
      <c r="F16" s="103">
        <f>SUMIF(Funções!$C$11:$C$824,Deflatores!G10,Funções!$H$11:$H$824)</f>
        <v>0</v>
      </c>
      <c r="G16" s="104">
        <f>IF(ISBLANK(Deflatores!H10),"",Deflatores!H10)</f>
        <v>1</v>
      </c>
      <c r="H16" s="103" t="str">
        <f>IF(ISBLANK(Deflatores!I10),"",Deflatores!I10)</f>
        <v/>
      </c>
      <c r="I16" s="105">
        <f>Deflatores!K10</f>
        <v>0</v>
      </c>
      <c r="J16" s="106">
        <f t="shared" si="0"/>
        <v>0</v>
      </c>
      <c r="M16" s="81"/>
    </row>
    <row r="17" spans="1:13" ht="13.5" customHeight="1" x14ac:dyDescent="0.25">
      <c r="A17" s="80"/>
      <c r="B17" s="137" t="str">
        <f>""&amp;Deflatores!B11</f>
        <v>Corretiva (sem conhecimento do Fator de Impacto)</v>
      </c>
      <c r="C17" s="137"/>
      <c r="D17" s="24" t="str">
        <f>""&amp;Deflatores!G11</f>
        <v>COR</v>
      </c>
      <c r="E17" s="102">
        <f>IF(D17="","",COUNTIF(Funções!C$11:C$824,D17))</f>
        <v>0</v>
      </c>
      <c r="F17" s="103">
        <f>SUMIF(Funções!$C$11:$C$824,Deflatores!G11,Funções!$H$11:$H$824)</f>
        <v>0</v>
      </c>
      <c r="G17" s="104">
        <f>IF(ISBLANK(Deflatores!H11),"",Deflatores!H11)</f>
        <v>0.5</v>
      </c>
      <c r="H17" s="103" t="str">
        <f>IF(ISBLANK(Deflatores!I11),"",Deflatores!I11)</f>
        <v/>
      </c>
      <c r="I17" s="105">
        <f>Deflatores!K11</f>
        <v>0</v>
      </c>
      <c r="J17" s="106">
        <f>IF($L$11&lt;&gt;0,I17/$L$11,"")</f>
        <v>0</v>
      </c>
      <c r="M17" s="81"/>
    </row>
    <row r="18" spans="1:13" ht="13.5" customHeight="1" x14ac:dyDescent="0.25">
      <c r="A18" s="80"/>
      <c r="B18" s="137" t="str">
        <f>""&amp;Deflatores!B12</f>
        <v>Corretiva (50%) - Fora da garantia (mesma empresa)</v>
      </c>
      <c r="C18" s="137"/>
      <c r="D18" s="24" t="str">
        <f>""&amp;Deflatores!G12</f>
        <v>COR50</v>
      </c>
      <c r="E18" s="102">
        <f>IF(D18="","",COUNTIF(Funções!C$11:C$824,D18))</f>
        <v>0</v>
      </c>
      <c r="F18" s="103">
        <f>SUMIF(Funções!$C$11:$C$824,Deflatores!G12,Funções!$H$11:$H$824)</f>
        <v>0</v>
      </c>
      <c r="G18" s="104">
        <f>IF(ISBLANK(Deflatores!H12),"",Deflatores!H12)</f>
        <v>0.5</v>
      </c>
      <c r="H18" s="103" t="str">
        <f>IF(ISBLANK(Deflatores!I12),"",Deflatores!I12)</f>
        <v/>
      </c>
      <c r="I18" s="105">
        <f>Deflatores!K12</f>
        <v>0</v>
      </c>
      <c r="J18" s="106">
        <f t="shared" si="0"/>
        <v>0</v>
      </c>
      <c r="M18" s="81"/>
    </row>
    <row r="19" spans="1:13" ht="13.5" customHeight="1" x14ac:dyDescent="0.25">
      <c r="A19" s="80"/>
      <c r="B19" s="137" t="str">
        <f>""&amp;Deflatores!B13</f>
        <v>Corretiva (75%) - Fora da garantia (outra empresa)</v>
      </c>
      <c r="C19" s="137"/>
      <c r="D19" s="24" t="str">
        <f>""&amp;Deflatores!G13</f>
        <v>COR75</v>
      </c>
      <c r="E19" s="102">
        <f>IF(D19="","",COUNTIF(Funções!C$11:C$824,D19))</f>
        <v>0</v>
      </c>
      <c r="F19" s="103">
        <f>SUMIF(Funções!$C$11:$C$824,Deflatores!G13,Funções!$H$11:$H$824)</f>
        <v>0</v>
      </c>
      <c r="G19" s="104">
        <f>IF(ISBLANK(Deflatores!H13),"",Deflatores!H13)</f>
        <v>0.75</v>
      </c>
      <c r="H19" s="103" t="str">
        <f>IF(ISBLANK(Deflatores!I13),"",Deflatores!I13)</f>
        <v/>
      </c>
      <c r="I19" s="105">
        <f>Deflatores!K13</f>
        <v>0</v>
      </c>
      <c r="J19" s="106">
        <f t="shared" si="0"/>
        <v>0</v>
      </c>
      <c r="M19" s="81"/>
    </row>
    <row r="20" spans="1:13" ht="13.5" customHeight="1" x14ac:dyDescent="0.25">
      <c r="A20" s="80"/>
      <c r="B20" s="137" t="str">
        <f>""&amp;Deflatores!B14</f>
        <v>Corretiva (75%+15%) - Fora da garantia (outra empresa) + Redocumentação</v>
      </c>
      <c r="C20" s="137"/>
      <c r="D20" s="24" t="str">
        <f>""&amp;Deflatores!G14</f>
        <v>COR90</v>
      </c>
      <c r="E20" s="102">
        <f>IF(D20="","",COUNTIF(Funções!C$11:C$824,D20))</f>
        <v>0</v>
      </c>
      <c r="F20" s="103">
        <f>SUMIF(Funções!$C$11:$C$824,Deflatores!G14,Funções!$H$11:$H$824)</f>
        <v>0</v>
      </c>
      <c r="G20" s="104">
        <f>IF(ISBLANK(Deflatores!H14),"",Deflatores!H14)</f>
        <v>0.9</v>
      </c>
      <c r="H20" s="103" t="str">
        <f>IF(ISBLANK(Deflatores!I14),"",Deflatores!I14)</f>
        <v/>
      </c>
      <c r="I20" s="105">
        <f>Deflatores!K14</f>
        <v>0</v>
      </c>
      <c r="J20" s="106">
        <f>IF($L$11&lt;&gt;0,I20/$L$11,"")</f>
        <v>0</v>
      </c>
      <c r="M20" s="81"/>
    </row>
    <row r="21" spans="1:13" ht="13.5" customHeight="1" x14ac:dyDescent="0.25">
      <c r="A21" s="80"/>
      <c r="B21" s="137" t="str">
        <f>""&amp;Deflatores!B15</f>
        <v>Corretiva em Garantia</v>
      </c>
      <c r="C21" s="137"/>
      <c r="D21" s="24" t="str">
        <f>""&amp;Deflatores!G15</f>
        <v>GAR</v>
      </c>
      <c r="E21" s="102">
        <f>IF(D21="","",COUNTIF(Funções!C$11:C$824,D21))</f>
        <v>0</v>
      </c>
      <c r="F21" s="103">
        <f>SUMIF(Funções!$C$11:$C$824,Deflatores!G15,Funções!$H$11:$H$824)</f>
        <v>0</v>
      </c>
      <c r="G21" s="104">
        <f>IF(ISBLANK(Deflatores!H15),"",Deflatores!H15)</f>
        <v>0</v>
      </c>
      <c r="H21" s="103" t="str">
        <f>IF(ISBLANK(Deflatores!I15),"",Deflatores!I15)</f>
        <v/>
      </c>
      <c r="I21" s="105">
        <f>Deflatores!K15</f>
        <v>0</v>
      </c>
      <c r="J21" s="106">
        <f>IF($L$11&lt;&gt;0,I21/$L$11,"")</f>
        <v>0</v>
      </c>
      <c r="M21" s="81"/>
    </row>
    <row r="22" spans="1:13" ht="13.5" customHeight="1" x14ac:dyDescent="0.25">
      <c r="A22" s="80"/>
      <c r="B22" s="137" t="str">
        <f>""&amp;Deflatores!B16</f>
        <v>Mudança de Plataforma - Linguagem de Programação</v>
      </c>
      <c r="C22" s="137"/>
      <c r="D22" s="24" t="str">
        <f>""&amp;Deflatores!G16</f>
        <v>MLP</v>
      </c>
      <c r="E22" s="102">
        <f>IF(D22="","",COUNTIF(Funções!C$11:C$824,D22))</f>
        <v>0</v>
      </c>
      <c r="F22" s="103">
        <f>SUMIF(Funções!$C$11:$C$824,Deflatores!G16,Funções!$H$11:$H$824)</f>
        <v>0</v>
      </c>
      <c r="G22" s="104">
        <f>IF(ISBLANK(Deflatores!H16),"",Deflatores!H16)</f>
        <v>1</v>
      </c>
      <c r="H22" s="103" t="str">
        <f>IF(ISBLANK(Deflatores!I16),"",Deflatores!I16)</f>
        <v/>
      </c>
      <c r="I22" s="105">
        <f>Deflatores!K16</f>
        <v>0</v>
      </c>
      <c r="J22" s="106">
        <f t="shared" si="0"/>
        <v>0</v>
      </c>
      <c r="M22" s="81"/>
    </row>
    <row r="23" spans="1:13" ht="13.5" customHeight="1" x14ac:dyDescent="0.25">
      <c r="A23" s="80"/>
      <c r="B23" s="137" t="str">
        <f>""&amp;Deflatores!B17</f>
        <v>Mudança de Plataforma - Banco de Dados (outro paradigma)</v>
      </c>
      <c r="C23" s="137"/>
      <c r="D23" s="24" t="str">
        <f>""&amp;Deflatores!G17</f>
        <v>MBO</v>
      </c>
      <c r="E23" s="102">
        <f>IF(D23="","",COUNTIF(Funções!C$11:C$824,D23))</f>
        <v>0</v>
      </c>
      <c r="F23" s="103">
        <f>SUMIF(Funções!$C$11:$C$824,Deflatores!G17,Funções!$H$11:$H$824)</f>
        <v>0</v>
      </c>
      <c r="G23" s="104">
        <f>IF(ISBLANK(Deflatores!H17),"",Deflatores!H17)</f>
        <v>1</v>
      </c>
      <c r="H23" s="103" t="str">
        <f>IF(ISBLANK(Deflatores!I17),"",Deflatores!I17)</f>
        <v/>
      </c>
      <c r="I23" s="105">
        <f>Deflatores!K17</f>
        <v>0</v>
      </c>
      <c r="J23" s="106">
        <f t="shared" si="0"/>
        <v>0</v>
      </c>
      <c r="M23" s="81"/>
    </row>
    <row r="24" spans="1:13" ht="13.5" customHeight="1" x14ac:dyDescent="0.25">
      <c r="A24" s="80"/>
      <c r="B24" s="137" t="str">
        <f>""&amp;Deflatores!B18</f>
        <v>Mudança de Plataforma - Banco de Dados (mesmo paradigma com alterações)</v>
      </c>
      <c r="C24" s="137"/>
      <c r="D24" s="24" t="str">
        <f>""&amp;Deflatores!G18</f>
        <v>MBM</v>
      </c>
      <c r="E24" s="102">
        <f>IF(D24="","",COUNTIF(Funções!C$11:C$824,D24))</f>
        <v>0</v>
      </c>
      <c r="F24" s="103">
        <f>SUMIF(Funções!$C$11:$C$824,Deflatores!G18,Funções!$H$11:$H$824)</f>
        <v>0</v>
      </c>
      <c r="G24" s="104">
        <f>IF(ISBLANK(Deflatores!H18),"",Deflatores!H18)</f>
        <v>0.3</v>
      </c>
      <c r="H24" s="103" t="str">
        <f>IF(ISBLANK(Deflatores!I18),"",Deflatores!I18)</f>
        <v/>
      </c>
      <c r="I24" s="105">
        <f>Deflatores!K18</f>
        <v>0</v>
      </c>
      <c r="J24" s="106">
        <f t="shared" si="0"/>
        <v>0</v>
      </c>
      <c r="K24" s="92"/>
      <c r="M24" s="81"/>
    </row>
    <row r="25" spans="1:13" ht="13.5" customHeight="1" x14ac:dyDescent="0.25">
      <c r="A25" s="80"/>
      <c r="B25" s="137" t="str">
        <f>""&amp;Deflatores!B19</f>
        <v>Atualização de Versão – Linguagem de Programação</v>
      </c>
      <c r="C25" s="137"/>
      <c r="D25" s="24" t="str">
        <f>""&amp;Deflatores!G19</f>
        <v>ALP</v>
      </c>
      <c r="E25" s="102">
        <f>IF(D25="","",COUNTIF(Funções!C$11:C$824,D25))</f>
        <v>0</v>
      </c>
      <c r="F25" s="103">
        <f>SUMIF(Funções!$C$11:$C$824,Deflatores!G19,Funções!$H$11:$H$824)</f>
        <v>0</v>
      </c>
      <c r="G25" s="104">
        <f>IF(ISBLANK(Deflatores!H19),"",Deflatores!H19)</f>
        <v>0.3</v>
      </c>
      <c r="H25" s="103" t="str">
        <f>IF(ISBLANK(Deflatores!I19),"",Deflatores!I19)</f>
        <v/>
      </c>
      <c r="I25" s="105">
        <f>Deflatores!K19</f>
        <v>0</v>
      </c>
      <c r="J25" s="106">
        <f t="shared" si="0"/>
        <v>0</v>
      </c>
      <c r="K25" s="92"/>
      <c r="M25" s="81"/>
    </row>
    <row r="26" spans="1:13" ht="13.5" customHeight="1" x14ac:dyDescent="0.25">
      <c r="A26" s="80"/>
      <c r="B26" s="137" t="str">
        <f>""&amp;Deflatores!B20</f>
        <v>Atualização de Versão – Browser</v>
      </c>
      <c r="C26" s="137"/>
      <c r="D26" s="24" t="str">
        <f>""&amp;Deflatores!G20</f>
        <v>AVB</v>
      </c>
      <c r="E26" s="102">
        <f>IF(D26="","",COUNTIF(Funções!C$11:C$824,D26))</f>
        <v>0</v>
      </c>
      <c r="F26" s="103">
        <f>SUMIF(Funções!$C$11:$C$824,Deflatores!G20,Funções!$H$11:$H$824)</f>
        <v>0</v>
      </c>
      <c r="G26" s="104">
        <f>IF(ISBLANK(Deflatores!H20),"",Deflatores!H20)</f>
        <v>0.3</v>
      </c>
      <c r="H26" s="103" t="str">
        <f>IF(ISBLANK(Deflatores!I20),"",Deflatores!I20)</f>
        <v/>
      </c>
      <c r="I26" s="105">
        <f>Deflatores!K20</f>
        <v>0</v>
      </c>
      <c r="J26" s="106">
        <f t="shared" si="0"/>
        <v>0</v>
      </c>
      <c r="K26" s="92"/>
      <c r="M26" s="81"/>
    </row>
    <row r="27" spans="1:13" ht="13.5" customHeight="1" x14ac:dyDescent="0.25">
      <c r="A27" s="80"/>
      <c r="B27" s="137" t="str">
        <f>""&amp;Deflatores!B21</f>
        <v>Atualização de Versão – Banco de Dados</v>
      </c>
      <c r="C27" s="137"/>
      <c r="D27" s="24" t="str">
        <f>""&amp;Deflatores!G21</f>
        <v>ABD</v>
      </c>
      <c r="E27" s="102">
        <f>IF(D27="","",COUNTIF(Funções!C$11:C$824,D27))</f>
        <v>0</v>
      </c>
      <c r="F27" s="103">
        <f>SUMIF(Funções!$C$11:$C$824,Deflatores!G21,Funções!$H$11:$H$824)</f>
        <v>0</v>
      </c>
      <c r="G27" s="104">
        <f>IF(ISBLANK(Deflatores!H21),"",Deflatores!H21)</f>
        <v>0.3</v>
      </c>
      <c r="H27" s="103" t="str">
        <f>IF(ISBLANK(Deflatores!I21),"",Deflatores!I21)</f>
        <v/>
      </c>
      <c r="I27" s="105">
        <f>Deflatores!K21</f>
        <v>0</v>
      </c>
      <c r="J27" s="106">
        <f t="shared" si="0"/>
        <v>0</v>
      </c>
      <c r="K27" s="92"/>
      <c r="M27" s="81"/>
    </row>
    <row r="28" spans="1:13" ht="13.5" customHeight="1" x14ac:dyDescent="0.25">
      <c r="A28" s="80"/>
      <c r="B28" s="137" t="str">
        <f>""&amp;Deflatores!B22</f>
        <v>Manutenção Cosmética</v>
      </c>
      <c r="C28" s="137"/>
      <c r="D28" s="24" t="str">
        <f>""&amp;Deflatores!G22</f>
        <v>COS</v>
      </c>
      <c r="E28" s="102">
        <f>IF(D28="","",COUNTIF(Funções!C$11:C$824,D28))</f>
        <v>2</v>
      </c>
      <c r="F28" s="103">
        <f>SUMIF(Funções!$C$11:$C$824,Deflatores!G22,Funções!$H$11:$H$824)</f>
        <v>7</v>
      </c>
      <c r="G28" s="104" t="str">
        <f>IF(ISBLANK(Deflatores!H22),"",Deflatores!H22)</f>
        <v/>
      </c>
      <c r="H28" s="103">
        <f>IF(ISBLANK(Deflatores!I22),"",Deflatores!I22)</f>
        <v>0.6</v>
      </c>
      <c r="I28" s="105">
        <f>Deflatores!K22</f>
        <v>1.2</v>
      </c>
      <c r="J28" s="106">
        <f t="shared" si="0"/>
        <v>9.3124320968492936E-4</v>
      </c>
      <c r="M28" s="81"/>
    </row>
    <row r="29" spans="1:13" ht="27" customHeight="1" x14ac:dyDescent="0.25">
      <c r="A29" s="80"/>
      <c r="B29" s="162" t="str">
        <f>""&amp;Deflatores!B23</f>
        <v>Adaptação em Funcionalidades sem Alteração de Requisitos Funcionais
(sem conhecimento do Fator de Impacto)</v>
      </c>
      <c r="C29" s="164"/>
      <c r="D29" s="24" t="str">
        <f>""&amp;Deflatores!G23</f>
        <v>ARN</v>
      </c>
      <c r="E29" s="102">
        <f>IF(D29="","",COUNTIF(Funções!C$11:C$824,D29))</f>
        <v>0</v>
      </c>
      <c r="F29" s="103">
        <f>SUMIF(Funções!$C$11:$C$824,Deflatores!G23,Funções!$H$11:$H$824)</f>
        <v>0</v>
      </c>
      <c r="G29" s="104">
        <f>IF(ISBLANK(Deflatores!H23),"",Deflatores!H23)</f>
        <v>0.5</v>
      </c>
      <c r="H29" s="103" t="str">
        <f>IF(ISBLANK(Deflatores!I23),"",Deflatores!I23)</f>
        <v/>
      </c>
      <c r="I29" s="105">
        <f>Deflatores!K23</f>
        <v>0</v>
      </c>
      <c r="J29" s="106">
        <f>IF($L$11&lt;&gt;0,I29/$L$11,"")</f>
        <v>0</v>
      </c>
      <c r="M29" s="81"/>
    </row>
    <row r="30" spans="1:13" ht="27" customHeight="1" x14ac:dyDescent="0.25">
      <c r="A30" s="80"/>
      <c r="B30" s="162" t="str">
        <f>""&amp;Deflatores!B24</f>
        <v>Adaptação em Funcionalidades sem Alteração de Requisitos Funcionais (50%)
(em função desenvolvida ou já alterada pela empresa atual)</v>
      </c>
      <c r="C30" s="164"/>
      <c r="D30" s="24" t="str">
        <f>""&amp;Deflatores!G24</f>
        <v>ARN50</v>
      </c>
      <c r="E30" s="102">
        <f>IF(D30="","",COUNTIF(Funções!C$11:C$824,D30))</f>
        <v>0</v>
      </c>
      <c r="F30" s="103">
        <f>SUMIF(Funções!$C$11:$C$824,Deflatores!G24,Funções!$H$11:$H$824)</f>
        <v>0</v>
      </c>
      <c r="G30" s="104">
        <f>IF(ISBLANK(Deflatores!H24),"",Deflatores!H24)</f>
        <v>0.5</v>
      </c>
      <c r="H30" s="103" t="str">
        <f>IF(ISBLANK(Deflatores!I24),"",Deflatores!I24)</f>
        <v/>
      </c>
      <c r="I30" s="105">
        <f>Deflatores!K24</f>
        <v>0</v>
      </c>
      <c r="J30" s="106">
        <f t="shared" si="0"/>
        <v>0</v>
      </c>
      <c r="M30" s="81"/>
    </row>
    <row r="31" spans="1:13" ht="27" customHeight="1" x14ac:dyDescent="0.25">
      <c r="A31" s="80"/>
      <c r="B31" s="162" t="str">
        <f>""&amp;Deflatores!B25</f>
        <v>Adaptação em Funcionalidades sem Alteração de Requisitos Funcionais (75%)
(em função não desenvolvida e ainda não alterada pela empresa atual)</v>
      </c>
      <c r="C31" s="164"/>
      <c r="D31" s="24" t="str">
        <f>""&amp;Deflatores!G25</f>
        <v>ARN75</v>
      </c>
      <c r="E31" s="102">
        <f>IF(D31="","",COUNTIF(Funções!C$11:C$824,D31))</f>
        <v>0</v>
      </c>
      <c r="F31" s="103">
        <f>SUMIF(Funções!$C$11:$C$824,Deflatores!G25,Funções!$H$11:$H$824)</f>
        <v>0</v>
      </c>
      <c r="G31" s="104">
        <f>IF(ISBLANK(Deflatores!H25),"",Deflatores!H25)</f>
        <v>0.75</v>
      </c>
      <c r="H31" s="103" t="str">
        <f>IF(ISBLANK(Deflatores!I25),"",Deflatores!I25)</f>
        <v/>
      </c>
      <c r="I31" s="105">
        <f>Deflatores!K25</f>
        <v>0</v>
      </c>
      <c r="J31" s="106">
        <f t="shared" si="0"/>
        <v>0</v>
      </c>
      <c r="M31" s="81"/>
    </row>
    <row r="32" spans="1:13" ht="13.5" customHeight="1" x14ac:dyDescent="0.25">
      <c r="A32" s="80"/>
      <c r="B32" s="137" t="str">
        <f>""&amp;Deflatores!B26</f>
        <v>Atualização de Dados sem Consulta Prévia</v>
      </c>
      <c r="C32" s="137"/>
      <c r="D32" s="24" t="str">
        <f>""&amp;Deflatores!G26</f>
        <v>ADS</v>
      </c>
      <c r="E32" s="102">
        <f>IF(D32="","",COUNTIF(Funções!C$11:C$824,D32))</f>
        <v>0</v>
      </c>
      <c r="F32" s="103">
        <f>SUMIF(Funções!$C$11:$C$824,Deflatores!G26,Funções!$H$11:$H$824)</f>
        <v>0</v>
      </c>
      <c r="G32" s="104">
        <f>IF(ISBLANK(Deflatores!H26),"",Deflatores!H26)</f>
        <v>1</v>
      </c>
      <c r="H32" s="103" t="str">
        <f>IF(ISBLANK(Deflatores!I26),"",Deflatores!I26)</f>
        <v/>
      </c>
      <c r="I32" s="105">
        <f>Deflatores!K26</f>
        <v>0</v>
      </c>
      <c r="J32" s="106">
        <f t="shared" si="0"/>
        <v>0</v>
      </c>
      <c r="M32" s="81"/>
    </row>
    <row r="33" spans="1:13" ht="13.5" customHeight="1" x14ac:dyDescent="0.25">
      <c r="A33" s="80"/>
      <c r="B33" s="137" t="str">
        <f>""&amp;Deflatores!B27</f>
        <v>Consulta Prévia sem Atualização</v>
      </c>
      <c r="C33" s="137"/>
      <c r="D33" s="24" t="str">
        <f>""&amp;Deflatores!G27</f>
        <v>CPA</v>
      </c>
      <c r="E33" s="102">
        <f>IF(D33="","",COUNTIF(Funções!C$11:C$824,D33))</f>
        <v>0</v>
      </c>
      <c r="F33" s="103">
        <f>SUMIF(Funções!$C$11:$C$824,Deflatores!G27,Funções!$H$11:$H$824)</f>
        <v>0</v>
      </c>
      <c r="G33" s="104">
        <f>IF(ISBLANK(Deflatores!H27),"",Deflatores!H27)</f>
        <v>1</v>
      </c>
      <c r="H33" s="103" t="str">
        <f>IF(ISBLANK(Deflatores!I27),"",Deflatores!I27)</f>
        <v/>
      </c>
      <c r="I33" s="105">
        <f>Deflatores!K27</f>
        <v>0</v>
      </c>
      <c r="J33" s="106">
        <f t="shared" si="0"/>
        <v>0</v>
      </c>
      <c r="M33" s="81"/>
    </row>
    <row r="34" spans="1:13" ht="13.5" customHeight="1" x14ac:dyDescent="0.25">
      <c r="A34" s="80"/>
      <c r="B34" s="137" t="str">
        <f>""&amp;Deflatores!B28</f>
        <v>Atualização de Dados com Consulta Prévia</v>
      </c>
      <c r="C34" s="137"/>
      <c r="D34" s="24" t="str">
        <f>""&amp;Deflatores!G28</f>
        <v>ADC</v>
      </c>
      <c r="E34" s="102">
        <f>IF(D34="","",COUNTIF(Funções!C$11:C$824,D34))</f>
        <v>0</v>
      </c>
      <c r="F34" s="103">
        <f>SUMIF(Funções!$C$11:$C$824,Deflatores!G28,Funções!$H$11:$H$824)</f>
        <v>0</v>
      </c>
      <c r="G34" s="104">
        <f>IF(ISBLANK(Deflatores!H28),"",Deflatores!H28)</f>
        <v>0.6</v>
      </c>
      <c r="H34" s="103" t="str">
        <f>IF(ISBLANK(Deflatores!I28),"",Deflatores!I28)</f>
        <v/>
      </c>
      <c r="I34" s="105">
        <f>Deflatores!K28</f>
        <v>0</v>
      </c>
      <c r="J34" s="106">
        <f t="shared" si="0"/>
        <v>0</v>
      </c>
      <c r="M34" s="81"/>
    </row>
    <row r="35" spans="1:13" ht="13.5" customHeight="1" x14ac:dyDescent="0.25">
      <c r="A35" s="80"/>
      <c r="B35" s="137" t="str">
        <f>""&amp;Deflatores!B29</f>
        <v>Apuração Especial – Geração de Relatórios</v>
      </c>
      <c r="C35" s="137"/>
      <c r="D35" s="24" t="str">
        <f>""&amp;Deflatores!G29</f>
        <v>AGR</v>
      </c>
      <c r="E35" s="102">
        <f>IF(D35="","",COUNTIF(Funções!C$11:C$824,D35))</f>
        <v>0</v>
      </c>
      <c r="F35" s="103">
        <f>SUMIF(Funções!$C$11:$C$824,Deflatores!G29,Funções!$H$11:$H$824)</f>
        <v>0</v>
      </c>
      <c r="G35" s="104">
        <f>IF(ISBLANK(Deflatores!H29),"",Deflatores!H29)</f>
        <v>1</v>
      </c>
      <c r="H35" s="103" t="str">
        <f>IF(ISBLANK(Deflatores!I29),"",Deflatores!I29)</f>
        <v/>
      </c>
      <c r="I35" s="105">
        <f>Deflatores!K29</f>
        <v>0</v>
      </c>
      <c r="J35" s="106">
        <f t="shared" si="0"/>
        <v>0</v>
      </c>
      <c r="M35" s="81"/>
    </row>
    <row r="36" spans="1:13" ht="13.5" customHeight="1" x14ac:dyDescent="0.25">
      <c r="A36" s="80"/>
      <c r="B36" s="137" t="str">
        <f>""&amp;Deflatores!B30</f>
        <v>Apuração Especial – Reexecução</v>
      </c>
      <c r="C36" s="137"/>
      <c r="D36" s="24" t="str">
        <f>""&amp;Deflatores!G30</f>
        <v>AER</v>
      </c>
      <c r="E36" s="102">
        <f>IF(D36="","",COUNTIF(Funções!C$11:C$824,D36))</f>
        <v>0</v>
      </c>
      <c r="F36" s="103">
        <f>SUMIF(Funções!$C$11:$C$824,Deflatores!G30,Funções!$H$11:$H$824)</f>
        <v>0</v>
      </c>
      <c r="G36" s="104">
        <f>IF(ISBLANK(Deflatores!H30),"",Deflatores!H30)</f>
        <v>0.1</v>
      </c>
      <c r="H36" s="103" t="str">
        <f>IF(ISBLANK(Deflatores!I30),"",Deflatores!I30)</f>
        <v/>
      </c>
      <c r="I36" s="105">
        <f>Deflatores!K30</f>
        <v>0</v>
      </c>
      <c r="J36" s="106">
        <f t="shared" si="0"/>
        <v>0</v>
      </c>
      <c r="M36" s="81"/>
    </row>
    <row r="37" spans="1:13" ht="13.5" customHeight="1" x14ac:dyDescent="0.25">
      <c r="A37" s="80"/>
      <c r="B37" s="137" t="str">
        <f>""&amp;Deflatores!B31</f>
        <v>Atualização de Dados</v>
      </c>
      <c r="C37" s="137"/>
      <c r="D37" s="24" t="str">
        <f>""&amp;Deflatores!G31</f>
        <v>ATD</v>
      </c>
      <c r="E37" s="102">
        <f>IF(D37="","",COUNTIF(Funções!C$11:C$824,D37))</f>
        <v>0</v>
      </c>
      <c r="F37" s="103">
        <f>SUMIF(Funções!$C$11:$C$824,Deflatores!G31,Funções!$H$11:$H$824)</f>
        <v>0</v>
      </c>
      <c r="G37" s="104">
        <f>IF(ISBLANK(Deflatores!H31),"",Deflatores!H31)</f>
        <v>0.1</v>
      </c>
      <c r="H37" s="103" t="str">
        <f>IF(ISBLANK(Deflatores!I31),"",Deflatores!I31)</f>
        <v/>
      </c>
      <c r="I37" s="105">
        <f>Deflatores!K31</f>
        <v>0</v>
      </c>
      <c r="J37" s="106">
        <f t="shared" si="0"/>
        <v>0</v>
      </c>
      <c r="M37" s="81"/>
    </row>
    <row r="38" spans="1:13" ht="13.5" customHeight="1" x14ac:dyDescent="0.25">
      <c r="A38" s="80"/>
      <c r="B38" s="137" t="str">
        <f>""&amp;Deflatores!B32</f>
        <v>Manutenção de Documentação de Sistemas Legados</v>
      </c>
      <c r="C38" s="137"/>
      <c r="D38" s="24" t="str">
        <f>""&amp;Deflatores!G32</f>
        <v>MSL</v>
      </c>
      <c r="E38" s="102">
        <f>IF(D38="","",COUNTIF(Funções!C$11:C$824,D38))</f>
        <v>0</v>
      </c>
      <c r="F38" s="103">
        <f>SUMIF(Funções!$C$11:$C$824,Deflatores!G32,Funções!$H$11:$H$824)</f>
        <v>0</v>
      </c>
      <c r="G38" s="104">
        <f>IF(ISBLANK(Deflatores!H32),"",Deflatores!H32)</f>
        <v>0.25</v>
      </c>
      <c r="H38" s="103" t="str">
        <f>IF(ISBLANK(Deflatores!I32),"",Deflatores!I32)</f>
        <v/>
      </c>
      <c r="I38" s="105">
        <f>Deflatores!K32</f>
        <v>0</v>
      </c>
      <c r="J38" s="106">
        <f>IF($L$11&lt;&gt;0,I38/$L$11,"")</f>
        <v>0</v>
      </c>
      <c r="M38" s="81"/>
    </row>
    <row r="39" spans="1:13" ht="13.5" customHeight="1" x14ac:dyDescent="0.25">
      <c r="A39" s="80"/>
      <c r="B39" s="137" t="str">
        <f>""&amp;Deflatores!B33</f>
        <v>Verificação de Erros (Sem Documentação de Teste existente)</v>
      </c>
      <c r="C39" s="137"/>
      <c r="D39" s="24" t="str">
        <f>""&amp;Deflatores!G33</f>
        <v>VES</v>
      </c>
      <c r="E39" s="102">
        <f>IF(D39="","",COUNTIF(Funções!C$11:C$824,D39))</f>
        <v>0</v>
      </c>
      <c r="F39" s="103">
        <f>SUMIF(Funções!$C$11:$C$824,Deflatores!G33,Funções!$H$11:$H$824)</f>
        <v>0</v>
      </c>
      <c r="G39" s="104">
        <f>IF(ISBLANK(Deflatores!H33),"",Deflatores!H33)</f>
        <v>0.2</v>
      </c>
      <c r="H39" s="103" t="str">
        <f>IF(ISBLANK(Deflatores!I33),"",Deflatores!I33)</f>
        <v/>
      </c>
      <c r="I39" s="105">
        <f>Deflatores!K33</f>
        <v>0</v>
      </c>
      <c r="J39" s="106">
        <f>IF($L$11&lt;&gt;0,I39/$L$11,"")</f>
        <v>0</v>
      </c>
      <c r="M39" s="81"/>
    </row>
    <row r="40" spans="1:13" ht="13.5" customHeight="1" x14ac:dyDescent="0.25">
      <c r="A40" s="80"/>
      <c r="B40" s="137" t="str">
        <f>""&amp;Deflatores!B34</f>
        <v>Verificação de Erros (Com Documentação de Teste existente)</v>
      </c>
      <c r="C40" s="137"/>
      <c r="D40" s="24" t="str">
        <f>""&amp;Deflatores!G34</f>
        <v>VEC</v>
      </c>
      <c r="E40" s="102">
        <f>IF(D40="","",COUNTIF(Funções!C$11:C$824,D40))</f>
        <v>0</v>
      </c>
      <c r="F40" s="103">
        <f>SUMIF(Funções!$C$11:$C$824,Deflatores!G34,Funções!$H$11:$H$824)</f>
        <v>0</v>
      </c>
      <c r="G40" s="104">
        <f>IF(ISBLANK(Deflatores!H34),"",Deflatores!H34)</f>
        <v>0.15</v>
      </c>
      <c r="H40" s="103" t="str">
        <f>IF(ISBLANK(Deflatores!I34),"",Deflatores!I34)</f>
        <v/>
      </c>
      <c r="I40" s="105">
        <f>Deflatores!K34</f>
        <v>0</v>
      </c>
      <c r="J40" s="106">
        <f>IF($L$11&lt;&gt;0,I40/$L$11,"")</f>
        <v>0</v>
      </c>
      <c r="M40" s="81"/>
    </row>
    <row r="41" spans="1:13" ht="13.5" customHeight="1" x14ac:dyDescent="0.25">
      <c r="A41" s="80"/>
      <c r="B41" s="137" t="str">
        <f>""&amp;Deflatores!B35</f>
        <v>Pontos de Função de Teste</v>
      </c>
      <c r="C41" s="137"/>
      <c r="D41" s="24" t="str">
        <f>""&amp;Deflatores!G35</f>
        <v>PFT</v>
      </c>
      <c r="E41" s="102">
        <f>IF(D41="","",COUNTIF(Funções!C$11:C$824,D41))</f>
        <v>0</v>
      </c>
      <c r="F41" s="103">
        <f>SUMIF(Funções!$C$11:$C$824,Deflatores!G35,Funções!$H$11:$H$824)</f>
        <v>0</v>
      </c>
      <c r="G41" s="104">
        <f>IF(ISBLANK(Deflatores!H35),"",Deflatores!H35)</f>
        <v>0.15</v>
      </c>
      <c r="H41" s="103" t="str">
        <f>IF(ISBLANK(Deflatores!I35),"",Deflatores!I35)</f>
        <v/>
      </c>
      <c r="I41" s="105">
        <f>Deflatores!K35</f>
        <v>0</v>
      </c>
      <c r="J41" s="106">
        <f>IF($L$11&lt;&gt;0,I41/$L$11,"")</f>
        <v>0</v>
      </c>
      <c r="M41" s="81"/>
    </row>
    <row r="42" spans="1:13" ht="13.5" customHeight="1" x14ac:dyDescent="0.25">
      <c r="A42" s="80"/>
      <c r="B42" s="137" t="str">
        <f>""&amp;Deflatores!B36</f>
        <v>Componente Interno Reusável</v>
      </c>
      <c r="C42" s="137"/>
      <c r="D42" s="24" t="str">
        <f>""&amp;Deflatores!G36</f>
        <v>CIR</v>
      </c>
      <c r="E42" s="102">
        <f>IF(D42="","",COUNTIF(Funções!C$11:C$824,D42))</f>
        <v>0</v>
      </c>
      <c r="F42" s="103">
        <f>SUMIF(Funções!$C$11:$C$824,Deflatores!G36,Funções!$H$11:$H$824)</f>
        <v>0</v>
      </c>
      <c r="G42" s="104">
        <f>IF(ISBLANK(Deflatores!H36),"",Deflatores!H36)</f>
        <v>1</v>
      </c>
      <c r="H42" s="103" t="str">
        <f>IF(ISBLANK(Deflatores!I36),"",Deflatores!I36)</f>
        <v/>
      </c>
      <c r="I42" s="105">
        <f>Deflatores!K36</f>
        <v>0</v>
      </c>
      <c r="J42" s="106">
        <f t="shared" si="0"/>
        <v>0</v>
      </c>
      <c r="M42" s="81"/>
    </row>
    <row r="43" spans="1:13" ht="13.5" customHeight="1" x14ac:dyDescent="0.25">
      <c r="A43" s="80"/>
      <c r="B43" s="137" t="str">
        <f>""&amp;Deflatores!B37</f>
        <v/>
      </c>
      <c r="C43" s="137"/>
      <c r="D43" s="24" t="str">
        <f>""&amp;Deflatores!G37</f>
        <v xml:space="preserve">           .</v>
      </c>
      <c r="E43" s="102">
        <f>IF(D43="","",COUNTIF(Funções!C$11:C$824,D43))</f>
        <v>0</v>
      </c>
      <c r="F43" s="103">
        <f>SUMIF(Funções!$C$11:$C$824,Deflatores!G37,Funções!$H$11:$H$824)</f>
        <v>0</v>
      </c>
      <c r="G43" s="104" t="str">
        <f>IF(ISBLANK(Deflatores!H37),"",Deflatores!H37)</f>
        <v/>
      </c>
      <c r="H43" s="103" t="str">
        <f>IF(ISBLANK(Deflatores!I37),"",Deflatores!I37)</f>
        <v/>
      </c>
      <c r="I43" s="105">
        <f>Deflatores!K37</f>
        <v>0</v>
      </c>
      <c r="J43" s="106">
        <f t="shared" si="0"/>
        <v>0</v>
      </c>
      <c r="M43" s="81"/>
    </row>
    <row r="44" spans="1:13" ht="13.5" customHeight="1" x14ac:dyDescent="0.25">
      <c r="A44" s="80"/>
      <c r="B44" s="137" t="str">
        <f>""&amp;Deflatores!B38</f>
        <v/>
      </c>
      <c r="C44" s="137"/>
      <c r="D44" s="24" t="str">
        <f>""&amp;Deflatores!G38</f>
        <v xml:space="preserve">           .</v>
      </c>
      <c r="E44" s="102">
        <f>IF(D44="","",COUNTIF(Funções!C$11:C$824,D44))</f>
        <v>0</v>
      </c>
      <c r="F44" s="103">
        <f>SUMIF(Funções!$C$11:$C$824,Deflatores!G38,Funções!$H$11:$H$824)</f>
        <v>0</v>
      </c>
      <c r="G44" s="104" t="str">
        <f>IF(ISBLANK(Deflatores!H38),"",Deflatores!H38)</f>
        <v/>
      </c>
      <c r="H44" s="103" t="str">
        <f>IF(ISBLANK(Deflatores!I38),"",Deflatores!I38)</f>
        <v/>
      </c>
      <c r="I44" s="105">
        <f>Deflatores!K38</f>
        <v>0</v>
      </c>
      <c r="J44" s="106">
        <f t="shared" si="0"/>
        <v>0</v>
      </c>
      <c r="M44" s="81"/>
    </row>
    <row r="45" spans="1:13" ht="13.5" x14ac:dyDescent="0.35">
      <c r="A45" s="80"/>
      <c r="B45" s="94"/>
      <c r="C45" s="58"/>
      <c r="D45" s="82"/>
      <c r="E45" s="78"/>
      <c r="F45" s="78"/>
      <c r="G45" s="42"/>
      <c r="H45" s="95"/>
      <c r="I45" s="96"/>
      <c r="M45" s="81"/>
    </row>
    <row r="46" spans="1:13" ht="13.5" customHeight="1" x14ac:dyDescent="0.35">
      <c r="A46" s="80"/>
      <c r="B46" s="178" t="s">
        <v>482</v>
      </c>
      <c r="C46" s="178"/>
      <c r="D46" s="178"/>
      <c r="E46" s="43" t="s">
        <v>447</v>
      </c>
      <c r="F46" s="44"/>
      <c r="G46" s="42"/>
      <c r="H46" s="43" t="s">
        <v>479</v>
      </c>
      <c r="I46" s="43" t="s">
        <v>9</v>
      </c>
      <c r="J46" s="43" t="s">
        <v>480</v>
      </c>
      <c r="M46" s="81"/>
    </row>
    <row r="47" spans="1:13" ht="13.5" customHeight="1" x14ac:dyDescent="0.35">
      <c r="A47" s="80"/>
      <c r="B47" s="137" t="str">
        <f>""&amp;Deflatores!B42</f>
        <v>Páginas Estáticas</v>
      </c>
      <c r="C47" s="137"/>
      <c r="D47" s="36" t="str">
        <f>""&amp;Deflatores!G42</f>
        <v>PAG</v>
      </c>
      <c r="E47" s="37">
        <f>Deflatores!J42</f>
        <v>0</v>
      </c>
      <c r="H47" s="38">
        <f>IF(ISBLANK(Deflatores!H42),"",Deflatores!H42)</f>
        <v>0.6</v>
      </c>
      <c r="I47" s="38">
        <f t="shared" ref="I47:I69" si="1">IF(ISNUMBER(H47),E47*H47,"")</f>
        <v>0</v>
      </c>
      <c r="J47" s="39">
        <f t="shared" ref="J47:J69" si="2">IF(ISNUMBER(I47),IF($L$11&lt;&gt;0,I47/$L$11,""),"")</f>
        <v>0</v>
      </c>
      <c r="M47" s="81"/>
    </row>
    <row r="48" spans="1:13" ht="13.5" customHeight="1" x14ac:dyDescent="0.35">
      <c r="A48" s="80"/>
      <c r="B48" s="137" t="str">
        <f>""&amp;Deflatores!B43</f>
        <v>Manutenção Cosmética (atrelada a algo não funcional)</v>
      </c>
      <c r="C48" s="137"/>
      <c r="D48" s="36" t="str">
        <f>""&amp;Deflatores!G43</f>
        <v>COSNF</v>
      </c>
      <c r="E48" s="37">
        <f>Deflatores!J43</f>
        <v>0</v>
      </c>
      <c r="H48" s="38">
        <f>IF(ISBLANK(Deflatores!H43),"",Deflatores!H43)</f>
        <v>0.6</v>
      </c>
      <c r="I48" s="38">
        <f t="shared" si="1"/>
        <v>0</v>
      </c>
      <c r="J48" s="39">
        <f t="shared" si="2"/>
        <v>0</v>
      </c>
      <c r="M48" s="81"/>
    </row>
    <row r="49" spans="1:13" ht="13.5" x14ac:dyDescent="0.35">
      <c r="A49" s="80"/>
      <c r="B49" s="137" t="str">
        <f>""&amp;Deflatores!B44</f>
        <v>Dados de Código</v>
      </c>
      <c r="C49" s="137"/>
      <c r="D49" s="36" t="str">
        <f>""&amp;Deflatores!G44</f>
        <v>DC</v>
      </c>
      <c r="E49" s="37">
        <f>Deflatores!J44</f>
        <v>0</v>
      </c>
      <c r="H49" s="38">
        <f>IF(ISBLANK(Deflatores!H44),"",Deflatores!H44)</f>
        <v>0</v>
      </c>
      <c r="I49" s="38">
        <f t="shared" si="1"/>
        <v>0</v>
      </c>
      <c r="J49" s="39">
        <f t="shared" si="2"/>
        <v>0</v>
      </c>
      <c r="M49" s="81"/>
    </row>
    <row r="50" spans="1:13" ht="13.5" x14ac:dyDescent="0.35">
      <c r="A50" s="80"/>
      <c r="B50" s="137" t="str">
        <f>""&amp;Deflatores!B45</f>
        <v/>
      </c>
      <c r="C50" s="137"/>
      <c r="D50" s="36" t="str">
        <f>""&amp;Deflatores!G45</f>
        <v xml:space="preserve">           .</v>
      </c>
      <c r="E50" s="37">
        <f>Deflatores!J45</f>
        <v>0</v>
      </c>
      <c r="H50" s="38" t="str">
        <f>IF(ISBLANK(Deflatores!H45),"",Deflatores!H45)</f>
        <v/>
      </c>
      <c r="I50" s="38" t="str">
        <f t="shared" si="1"/>
        <v/>
      </c>
      <c r="J50" s="39" t="str">
        <f t="shared" si="2"/>
        <v/>
      </c>
      <c r="M50" s="81"/>
    </row>
    <row r="51" spans="1:13" ht="13.5" x14ac:dyDescent="0.35">
      <c r="A51" s="80"/>
      <c r="B51" s="137" t="str">
        <f>""&amp;Deflatores!B46</f>
        <v/>
      </c>
      <c r="C51" s="137"/>
      <c r="D51" s="36" t="str">
        <f>""&amp;Deflatores!G46</f>
        <v xml:space="preserve">           .</v>
      </c>
      <c r="E51" s="37">
        <f>Deflatores!J46</f>
        <v>0</v>
      </c>
      <c r="H51" s="38" t="str">
        <f>IF(ISBLANK(Deflatores!H46),"",Deflatores!H46)</f>
        <v/>
      </c>
      <c r="I51" s="38" t="str">
        <f t="shared" si="1"/>
        <v/>
      </c>
      <c r="J51" s="39" t="str">
        <f t="shared" si="2"/>
        <v/>
      </c>
      <c r="M51" s="81"/>
    </row>
    <row r="52" spans="1:13" ht="13.5" x14ac:dyDescent="0.35">
      <c r="A52" s="80"/>
      <c r="B52" s="137" t="str">
        <f>""&amp;Deflatores!B47</f>
        <v/>
      </c>
      <c r="C52" s="137"/>
      <c r="D52" s="36" t="str">
        <f>""&amp;Deflatores!G47</f>
        <v xml:space="preserve">           .</v>
      </c>
      <c r="E52" s="37">
        <f>Deflatores!J47</f>
        <v>0</v>
      </c>
      <c r="H52" s="38" t="str">
        <f>IF(ISBLANK(Deflatores!H47),"",Deflatores!H47)</f>
        <v/>
      </c>
      <c r="I52" s="38" t="str">
        <f t="shared" si="1"/>
        <v/>
      </c>
      <c r="J52" s="39" t="str">
        <f t="shared" si="2"/>
        <v/>
      </c>
      <c r="M52" s="81"/>
    </row>
    <row r="53" spans="1:13" ht="13.5" x14ac:dyDescent="0.35">
      <c r="A53" s="80"/>
      <c r="B53" s="137" t="str">
        <f>""&amp;Deflatores!B48</f>
        <v/>
      </c>
      <c r="C53" s="137"/>
      <c r="D53" s="36" t="str">
        <f>""&amp;Deflatores!G48</f>
        <v xml:space="preserve">           .</v>
      </c>
      <c r="E53" s="37">
        <f>Deflatores!J48</f>
        <v>0</v>
      </c>
      <c r="H53" s="38" t="str">
        <f>IF(ISBLANK(Deflatores!H48),"",Deflatores!H48)</f>
        <v/>
      </c>
      <c r="I53" s="38" t="str">
        <f t="shared" si="1"/>
        <v/>
      </c>
      <c r="J53" s="39" t="str">
        <f t="shared" si="2"/>
        <v/>
      </c>
      <c r="M53" s="81"/>
    </row>
    <row r="54" spans="1:13" ht="13.5" x14ac:dyDescent="0.35">
      <c r="A54" s="80"/>
      <c r="B54" s="137" t="str">
        <f>""&amp;Deflatores!B49</f>
        <v/>
      </c>
      <c r="C54" s="137"/>
      <c r="D54" s="36" t="str">
        <f>""&amp;Deflatores!G49</f>
        <v xml:space="preserve">           .</v>
      </c>
      <c r="E54" s="37">
        <f>Deflatores!J49</f>
        <v>0</v>
      </c>
      <c r="H54" s="38" t="str">
        <f>IF(ISBLANK(Deflatores!H49),"",Deflatores!H49)</f>
        <v/>
      </c>
      <c r="I54" s="38" t="str">
        <f t="shared" si="1"/>
        <v/>
      </c>
      <c r="J54" s="39" t="str">
        <f t="shared" si="2"/>
        <v/>
      </c>
      <c r="M54" s="81"/>
    </row>
    <row r="55" spans="1:13" ht="13.5" x14ac:dyDescent="0.35">
      <c r="A55" s="80"/>
      <c r="B55" s="137" t="str">
        <f>""&amp;Deflatores!B50</f>
        <v/>
      </c>
      <c r="C55" s="137"/>
      <c r="D55" s="36" t="str">
        <f>""&amp;Deflatores!G50</f>
        <v xml:space="preserve">           .</v>
      </c>
      <c r="E55" s="37">
        <f>Deflatores!J50</f>
        <v>0</v>
      </c>
      <c r="H55" s="38" t="str">
        <f>IF(ISBLANK(Deflatores!H50),"",Deflatores!H50)</f>
        <v/>
      </c>
      <c r="I55" s="38" t="str">
        <f t="shared" si="1"/>
        <v/>
      </c>
      <c r="J55" s="39" t="str">
        <f t="shared" si="2"/>
        <v/>
      </c>
      <c r="M55" s="81"/>
    </row>
    <row r="56" spans="1:13" ht="13.5" x14ac:dyDescent="0.35">
      <c r="A56" s="80"/>
      <c r="B56" s="137" t="str">
        <f>""&amp;Deflatores!B51</f>
        <v/>
      </c>
      <c r="C56" s="137"/>
      <c r="D56" s="36" t="str">
        <f>""&amp;Deflatores!G51</f>
        <v xml:space="preserve">           .</v>
      </c>
      <c r="E56" s="37">
        <f>Deflatores!J51</f>
        <v>0</v>
      </c>
      <c r="H56" s="38" t="str">
        <f>IF(ISBLANK(Deflatores!H51),"",Deflatores!H51)</f>
        <v/>
      </c>
      <c r="I56" s="38" t="str">
        <f t="shared" si="1"/>
        <v/>
      </c>
      <c r="J56" s="39" t="str">
        <f t="shared" si="2"/>
        <v/>
      </c>
      <c r="M56" s="81"/>
    </row>
    <row r="57" spans="1:13" ht="13.5" x14ac:dyDescent="0.35">
      <c r="A57" s="80"/>
      <c r="B57" s="137" t="str">
        <f>""&amp;Deflatores!B52</f>
        <v/>
      </c>
      <c r="C57" s="137"/>
      <c r="D57" s="36" t="str">
        <f>""&amp;Deflatores!G52</f>
        <v xml:space="preserve">           .</v>
      </c>
      <c r="E57" s="37">
        <f>Deflatores!J52</f>
        <v>0</v>
      </c>
      <c r="H57" s="38" t="str">
        <f>IF(ISBLANK(Deflatores!H52),"",Deflatores!H52)</f>
        <v/>
      </c>
      <c r="I57" s="38" t="str">
        <f t="shared" si="1"/>
        <v/>
      </c>
      <c r="J57" s="39" t="str">
        <f t="shared" si="2"/>
        <v/>
      </c>
      <c r="M57" s="81"/>
    </row>
    <row r="58" spans="1:13" ht="13.5" x14ac:dyDescent="0.35">
      <c r="A58" s="80"/>
      <c r="B58" s="137" t="str">
        <f>""&amp;Deflatores!B53</f>
        <v/>
      </c>
      <c r="C58" s="137"/>
      <c r="D58" s="36" t="str">
        <f>""&amp;Deflatores!G53</f>
        <v xml:space="preserve">           .</v>
      </c>
      <c r="E58" s="37">
        <f>Deflatores!J53</f>
        <v>0</v>
      </c>
      <c r="H58" s="38" t="str">
        <f>IF(ISBLANK(Deflatores!H53),"",Deflatores!H53)</f>
        <v/>
      </c>
      <c r="I58" s="38" t="str">
        <f t="shared" si="1"/>
        <v/>
      </c>
      <c r="J58" s="39" t="str">
        <f t="shared" si="2"/>
        <v/>
      </c>
      <c r="M58" s="81"/>
    </row>
    <row r="59" spans="1:13" ht="13.5" x14ac:dyDescent="0.35">
      <c r="A59" s="80"/>
      <c r="B59" s="137" t="str">
        <f>""&amp;Deflatores!B54</f>
        <v/>
      </c>
      <c r="C59" s="137"/>
      <c r="D59" s="36" t="str">
        <f>""&amp;Deflatores!G54</f>
        <v xml:space="preserve">           .</v>
      </c>
      <c r="E59" s="37">
        <f>Deflatores!J54</f>
        <v>0</v>
      </c>
      <c r="H59" s="38" t="str">
        <f>IF(ISBLANK(Deflatores!H54),"",Deflatores!H54)</f>
        <v/>
      </c>
      <c r="I59" s="38" t="str">
        <f t="shared" si="1"/>
        <v/>
      </c>
      <c r="J59" s="39" t="str">
        <f t="shared" si="2"/>
        <v/>
      </c>
      <c r="M59" s="81"/>
    </row>
    <row r="60" spans="1:13" ht="13.5" x14ac:dyDescent="0.35">
      <c r="A60" s="80"/>
      <c r="B60" s="137" t="str">
        <f>""&amp;Deflatores!B55</f>
        <v/>
      </c>
      <c r="C60" s="137"/>
      <c r="D60" s="36" t="str">
        <f>""&amp;Deflatores!G55</f>
        <v xml:space="preserve">           .</v>
      </c>
      <c r="E60" s="37">
        <f>Deflatores!J55</f>
        <v>0</v>
      </c>
      <c r="H60" s="38" t="str">
        <f>IF(ISBLANK(Deflatores!H55),"",Deflatores!H55)</f>
        <v/>
      </c>
      <c r="I60" s="38" t="str">
        <f t="shared" si="1"/>
        <v/>
      </c>
      <c r="J60" s="39" t="str">
        <f t="shared" si="2"/>
        <v/>
      </c>
      <c r="M60" s="81"/>
    </row>
    <row r="61" spans="1:13" ht="13.5" x14ac:dyDescent="0.35">
      <c r="A61" s="80"/>
      <c r="B61" s="137" t="str">
        <f>""&amp;Deflatores!B56</f>
        <v/>
      </c>
      <c r="C61" s="137"/>
      <c r="D61" s="36" t="str">
        <f>""&amp;Deflatores!G56</f>
        <v xml:space="preserve">           .</v>
      </c>
      <c r="E61" s="37">
        <f>Deflatores!J56</f>
        <v>0</v>
      </c>
      <c r="H61" s="38" t="str">
        <f>IF(ISBLANK(Deflatores!H56),"",Deflatores!H56)</f>
        <v/>
      </c>
      <c r="I61" s="38" t="str">
        <f t="shared" si="1"/>
        <v/>
      </c>
      <c r="J61" s="39" t="str">
        <f t="shared" si="2"/>
        <v/>
      </c>
      <c r="M61" s="81"/>
    </row>
    <row r="62" spans="1:13" ht="13.5" x14ac:dyDescent="0.35">
      <c r="A62" s="80"/>
      <c r="B62" s="137" t="str">
        <f>""&amp;Deflatores!B57</f>
        <v/>
      </c>
      <c r="C62" s="137"/>
      <c r="D62" s="36" t="str">
        <f>""&amp;Deflatores!G57</f>
        <v xml:space="preserve">           .</v>
      </c>
      <c r="E62" s="37">
        <f>Deflatores!J57</f>
        <v>0</v>
      </c>
      <c r="H62" s="38" t="str">
        <f>IF(ISBLANK(Deflatores!H57),"",Deflatores!H57)</f>
        <v/>
      </c>
      <c r="I62" s="38" t="str">
        <f t="shared" si="1"/>
        <v/>
      </c>
      <c r="J62" s="39" t="str">
        <f t="shared" si="2"/>
        <v/>
      </c>
      <c r="M62" s="81"/>
    </row>
    <row r="63" spans="1:13" ht="13.5" x14ac:dyDescent="0.35">
      <c r="A63" s="80"/>
      <c r="B63" s="137" t="str">
        <f>""&amp;Deflatores!B58</f>
        <v/>
      </c>
      <c r="C63" s="137"/>
      <c r="D63" s="36" t="str">
        <f>""&amp;Deflatores!G58</f>
        <v xml:space="preserve">           .</v>
      </c>
      <c r="E63" s="37">
        <f>Deflatores!J58</f>
        <v>0</v>
      </c>
      <c r="H63" s="38" t="str">
        <f>IF(ISBLANK(Deflatores!H58),"",Deflatores!H58)</f>
        <v/>
      </c>
      <c r="I63" s="38" t="str">
        <f t="shared" si="1"/>
        <v/>
      </c>
      <c r="J63" s="39" t="str">
        <f t="shared" si="2"/>
        <v/>
      </c>
      <c r="M63" s="81"/>
    </row>
    <row r="64" spans="1:13" ht="13.5" x14ac:dyDescent="0.35">
      <c r="A64" s="80"/>
      <c r="B64" s="137" t="str">
        <f>""&amp;Deflatores!B59</f>
        <v/>
      </c>
      <c r="C64" s="137"/>
      <c r="D64" s="36" t="str">
        <f>""&amp;Deflatores!G59</f>
        <v xml:space="preserve">           .</v>
      </c>
      <c r="E64" s="37">
        <f>Deflatores!J59</f>
        <v>0</v>
      </c>
      <c r="H64" s="38" t="str">
        <f>IF(ISBLANK(Deflatores!H59),"",Deflatores!H59)</f>
        <v/>
      </c>
      <c r="I64" s="38" t="str">
        <f t="shared" si="1"/>
        <v/>
      </c>
      <c r="J64" s="39" t="str">
        <f t="shared" si="2"/>
        <v/>
      </c>
      <c r="M64" s="81"/>
    </row>
    <row r="65" spans="1:13" ht="13.5" x14ac:dyDescent="0.35">
      <c r="A65" s="80"/>
      <c r="B65" s="137" t="str">
        <f>""&amp;Deflatores!B60</f>
        <v/>
      </c>
      <c r="C65" s="137"/>
      <c r="D65" s="36" t="str">
        <f>""&amp;Deflatores!G60</f>
        <v xml:space="preserve">           .</v>
      </c>
      <c r="E65" s="37">
        <f>Deflatores!J60</f>
        <v>0</v>
      </c>
      <c r="H65" s="38" t="str">
        <f>IF(ISBLANK(Deflatores!H60),"",Deflatores!H60)</f>
        <v/>
      </c>
      <c r="I65" s="38" t="str">
        <f t="shared" si="1"/>
        <v/>
      </c>
      <c r="J65" s="39" t="str">
        <f t="shared" si="2"/>
        <v/>
      </c>
      <c r="M65" s="81"/>
    </row>
    <row r="66" spans="1:13" ht="13.5" x14ac:dyDescent="0.35">
      <c r="A66" s="80"/>
      <c r="B66" s="137" t="str">
        <f>""&amp;Deflatores!B61</f>
        <v/>
      </c>
      <c r="C66" s="137"/>
      <c r="D66" s="36" t="str">
        <f>""&amp;Deflatores!G61</f>
        <v xml:space="preserve">           .</v>
      </c>
      <c r="E66" s="37">
        <f>Deflatores!J61</f>
        <v>0</v>
      </c>
      <c r="H66" s="38" t="str">
        <f>IF(ISBLANK(Deflatores!H61),"",Deflatores!H61)</f>
        <v/>
      </c>
      <c r="I66" s="38" t="str">
        <f t="shared" si="1"/>
        <v/>
      </c>
      <c r="J66" s="39" t="str">
        <f t="shared" si="2"/>
        <v/>
      </c>
      <c r="M66" s="81"/>
    </row>
    <row r="67" spans="1:13" ht="13.5" x14ac:dyDescent="0.35">
      <c r="A67" s="80"/>
      <c r="B67" s="137" t="str">
        <f>""&amp;Deflatores!B62</f>
        <v/>
      </c>
      <c r="C67" s="137"/>
      <c r="D67" s="36" t="str">
        <f>""&amp;Deflatores!G62</f>
        <v xml:space="preserve">           .</v>
      </c>
      <c r="E67" s="37">
        <f>Deflatores!J62</f>
        <v>0</v>
      </c>
      <c r="H67" s="38" t="str">
        <f>IF(ISBLANK(Deflatores!H62),"",Deflatores!H62)</f>
        <v/>
      </c>
      <c r="I67" s="38" t="str">
        <f t="shared" si="1"/>
        <v/>
      </c>
      <c r="J67" s="39" t="str">
        <f t="shared" si="2"/>
        <v/>
      </c>
      <c r="M67" s="81"/>
    </row>
    <row r="68" spans="1:13" ht="13.5" x14ac:dyDescent="0.35">
      <c r="A68" s="80"/>
      <c r="B68" s="137" t="str">
        <f>""&amp;Deflatores!B63</f>
        <v/>
      </c>
      <c r="C68" s="137"/>
      <c r="D68" s="36" t="str">
        <f>""&amp;Deflatores!G63</f>
        <v xml:space="preserve">           .</v>
      </c>
      <c r="E68" s="37">
        <f>Deflatores!J63</f>
        <v>0</v>
      </c>
      <c r="H68" s="38" t="str">
        <f>IF(ISBLANK(Deflatores!H63),"",Deflatores!H63)</f>
        <v/>
      </c>
      <c r="I68" s="38" t="str">
        <f t="shared" si="1"/>
        <v/>
      </c>
      <c r="J68" s="39" t="str">
        <f t="shared" si="2"/>
        <v/>
      </c>
      <c r="M68" s="81"/>
    </row>
    <row r="69" spans="1:13" ht="13.5" x14ac:dyDescent="0.35">
      <c r="A69" s="80"/>
      <c r="B69" s="137" t="str">
        <f>""&amp;Deflatores!B64</f>
        <v/>
      </c>
      <c r="C69" s="137"/>
      <c r="D69" s="36" t="str">
        <f>""&amp;Deflatores!G64</f>
        <v xml:space="preserve">           .</v>
      </c>
      <c r="E69" s="37">
        <f>Deflatores!J64</f>
        <v>0</v>
      </c>
      <c r="F69" s="42"/>
      <c r="G69" s="42"/>
      <c r="H69" s="38" t="str">
        <f>IF(ISBLANK(Deflatores!H64),"",Deflatores!H64)</f>
        <v/>
      </c>
      <c r="I69" s="38" t="str">
        <f t="shared" si="1"/>
        <v/>
      </c>
      <c r="J69" s="39" t="str">
        <f t="shared" si="2"/>
        <v/>
      </c>
      <c r="M69" s="81"/>
    </row>
    <row r="70" spans="1:13" ht="13.5" x14ac:dyDescent="0.35">
      <c r="A70" s="83"/>
      <c r="B70" s="84"/>
      <c r="C70" s="85"/>
      <c r="D70" s="86"/>
      <c r="E70" s="87"/>
      <c r="F70" s="88"/>
      <c r="G70" s="88"/>
      <c r="H70" s="89"/>
      <c r="I70" s="90"/>
      <c r="J70" s="85"/>
      <c r="K70" s="85"/>
      <c r="L70" s="85"/>
      <c r="M70" s="91"/>
    </row>
  </sheetData>
  <sheetProtection selectLockedCells="1" selectUnlockedCells="1"/>
  <mergeCells count="68">
    <mergeCell ref="B67:C67"/>
    <mergeCell ref="B68:C68"/>
    <mergeCell ref="B69:C69"/>
    <mergeCell ref="B61:C61"/>
    <mergeCell ref="B62:C62"/>
    <mergeCell ref="B63:C63"/>
    <mergeCell ref="B64:C64"/>
    <mergeCell ref="B65:C65"/>
    <mergeCell ref="B66:C66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47:C47"/>
    <mergeCell ref="B48:C48"/>
    <mergeCell ref="B36:C36"/>
    <mergeCell ref="B37:C37"/>
    <mergeCell ref="B42:C42"/>
    <mergeCell ref="B43:C43"/>
    <mergeCell ref="B44:C44"/>
    <mergeCell ref="B46:D46"/>
    <mergeCell ref="B38:C38"/>
    <mergeCell ref="B39:C39"/>
    <mergeCell ref="B40:C40"/>
    <mergeCell ref="B41:C41"/>
    <mergeCell ref="B35:C35"/>
    <mergeCell ref="B23:C23"/>
    <mergeCell ref="B24:C24"/>
    <mergeCell ref="B25:C25"/>
    <mergeCell ref="B26:C26"/>
    <mergeCell ref="B27:C27"/>
    <mergeCell ref="B28:C28"/>
    <mergeCell ref="B30:C30"/>
    <mergeCell ref="B31:C31"/>
    <mergeCell ref="B32:C32"/>
    <mergeCell ref="B33:C33"/>
    <mergeCell ref="B34:C34"/>
    <mergeCell ref="B16:C16"/>
    <mergeCell ref="B18:C18"/>
    <mergeCell ref="B19:C19"/>
    <mergeCell ref="B22:C22"/>
    <mergeCell ref="B17:C17"/>
    <mergeCell ref="B21:C21"/>
    <mergeCell ref="B20:C20"/>
    <mergeCell ref="B15:C15"/>
    <mergeCell ref="B29:C29"/>
    <mergeCell ref="A1:M3"/>
    <mergeCell ref="A4:E4"/>
    <mergeCell ref="F4:M4"/>
    <mergeCell ref="A5:E5"/>
    <mergeCell ref="F5:M5"/>
    <mergeCell ref="A6:E6"/>
    <mergeCell ref="F6:M6"/>
    <mergeCell ref="B8:I8"/>
    <mergeCell ref="B9:D9"/>
    <mergeCell ref="B10:C10"/>
    <mergeCell ref="B11:C11"/>
    <mergeCell ref="B12:C12"/>
    <mergeCell ref="B13:C13"/>
    <mergeCell ref="B14:C14"/>
  </mergeCells>
  <pageMargins left="0.78749999999999998" right="0.78749999999999998" top="1.023611111111111" bottom="1.023611111111111" header="0.51180555555555551" footer="0.78749999999999998"/>
  <pageSetup paperSize="9" scale="47" firstPageNumber="0" orientation="portrait" horizontalDpi="300" verticalDpi="300" r:id="rId1"/>
  <headerFooter alignWithMargins="0">
    <oddFooter>&amp;CPágina &amp;P de &amp;N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5C3A4A078B24409F4073CEF5E3297D" ma:contentTypeVersion="17" ma:contentTypeDescription="Crie um novo documento." ma:contentTypeScope="" ma:versionID="56debad90e3cac77ff0ec3bc1db26ff3">
  <xsd:schema xmlns:xsd="http://www.w3.org/2001/XMLSchema" xmlns:xs="http://www.w3.org/2001/XMLSchema" xmlns:p="http://schemas.microsoft.com/office/2006/metadata/properties" xmlns:ns2="46465ebb-25e2-44df-b623-5e7a76671d78" xmlns:ns3="690a974b-267b-40a0-ba1d-a7db95a3f3f2" targetNamespace="http://schemas.microsoft.com/office/2006/metadata/properties" ma:root="true" ma:fieldsID="fdace01bddda66f5177bad93e5ca1a92" ns2:_="" ns3:_="">
    <xsd:import namespace="46465ebb-25e2-44df-b623-5e7a76671d78"/>
    <xsd:import namespace="690a974b-267b-40a0-ba1d-a7db95a3f3f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465ebb-25e2-44df-b623-5e7a76671d7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7b6dc67-11e7-49f0-a9a6-e468f874fa6b}" ma:internalName="TaxCatchAll" ma:showField="CatchAllData" ma:web="46465ebb-25e2-44df-b623-5e7a76671d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0a974b-267b-40a0-ba1d-a7db95a3f3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b4910b2a-893c-444d-8c40-1668f6542f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0a974b-267b-40a0-ba1d-a7db95a3f3f2">
      <Terms xmlns="http://schemas.microsoft.com/office/infopath/2007/PartnerControls"/>
    </lcf76f155ced4ddcb4097134ff3c332f>
    <TaxCatchAll xmlns="46465ebb-25e2-44df-b623-5e7a76671d7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20DC6F-438B-4FD2-9BFE-7EE33D798D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465ebb-25e2-44df-b623-5e7a76671d78"/>
    <ds:schemaRef ds:uri="690a974b-267b-40a0-ba1d-a7db95a3f3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36E8EE-F796-40F7-9C57-0E922E94FF72}">
  <ds:schemaRefs>
    <ds:schemaRef ds:uri="http://schemas.microsoft.com/office/2006/metadata/properties"/>
    <ds:schemaRef ds:uri="http://schemas.microsoft.com/office/infopath/2007/PartnerControls"/>
    <ds:schemaRef ds:uri="690a974b-267b-40a0-ba1d-a7db95a3f3f2"/>
    <ds:schemaRef ds:uri="46465ebb-25e2-44df-b623-5e7a76671d78"/>
  </ds:schemaRefs>
</ds:datastoreItem>
</file>

<file path=customXml/itemProps3.xml><?xml version="1.0" encoding="utf-8"?>
<ds:datastoreItem xmlns:ds="http://schemas.openxmlformats.org/officeDocument/2006/customXml" ds:itemID="{BD4B024B-876C-4883-9092-E47F01415F2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Contagem</vt:lpstr>
      <vt:lpstr>Funções</vt:lpstr>
      <vt:lpstr>Deflatores</vt:lpstr>
      <vt:lpstr>Sumário 1</vt:lpstr>
      <vt:lpstr>Sumário 2</vt:lpstr>
      <vt:lpstr>Contagem!Area_de_impressao</vt:lpstr>
      <vt:lpstr>Funções!TiposDeFuncao</vt:lpstr>
      <vt:lpstr>Funções!TiposDeManutencao</vt:lpstr>
      <vt:lpstr>Funções!Titulos_de_impressao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Fatto Consultoria e Sistemas;Jonathas Gomes Marques</dc:creator>
  <cp:keywords/>
  <dc:description/>
  <cp:lastModifiedBy>Ana Karyna da Silva Teixeira</cp:lastModifiedBy>
  <cp:revision/>
  <dcterms:created xsi:type="dcterms:W3CDTF">2015-06-26T19:24:40Z</dcterms:created>
  <dcterms:modified xsi:type="dcterms:W3CDTF">2025-10-21T01:27:35Z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0x010100DA5C3A4A078B24409F4073CEF5E3297D</vt:lpwstr>
  </property>
  <property fmtid="{D5CDD505-2E9C-101B-9397-08002B2CF9AE}" pid="3" name="MediaServiceImageTags">
    <vt:lpwstr/>
  </property>
</Properties>
</file>