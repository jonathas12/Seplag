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EstaPastaDeTrabalho"/>
  <mc:AlternateContent xmlns:mc="http://schemas.openxmlformats.org/markup-compatibility/2006">
    <mc:Choice Requires="x15">
      <x15ac:absPath xmlns:x15ac="http://schemas.microsoft.com/office/spreadsheetml/2010/11/ac" url="C:\Users\ana.karyna\Downloads\"/>
    </mc:Choice>
  </mc:AlternateContent>
  <xr:revisionPtr revIDLastSave="2" documentId="13_ncr:1_{730D0134-08BE-4A82-B37D-7DF0BE80FFA5}" xr6:coauthVersionLast="47" xr6:coauthVersionMax="47" xr10:uidLastSave="{C5C4CDC1-9FAE-403C-95E7-8550FE52C634}"/>
  <bookViews>
    <workbookView xWindow="28690" yWindow="-3200" windowWidth="29020" windowHeight="15700" tabRatio="340" firstSheet="1" activeTab="1" xr2:uid="{00000000-000D-0000-FFFF-FFFF00000000}"/>
  </bookViews>
  <sheets>
    <sheet name="Contagem" sheetId="1" r:id="rId1"/>
    <sheet name="Funções" sheetId="2" r:id="rId2"/>
    <sheet name="Deflatores" sheetId="3" r:id="rId3"/>
    <sheet name="Sumário 1" sheetId="4" r:id="rId4"/>
    <sheet name="Sumário 2" sheetId="5" r:id="rId5"/>
  </sheets>
  <definedNames>
    <definedName name="_xlnm.Print_Area" localSheetId="0">Contagem!$A$1:$V$45</definedName>
    <definedName name="TiposDeFuncao" localSheetId="1">Deflatores!$L$37:$L$64</definedName>
    <definedName name="TiposDeManutencao" localSheetId="1">Deflatores!$G$4:$G$38</definedName>
    <definedName name="_xlnm.Print_Titles" localSheetId="1">Funções!$1:$7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61" i="2" l="1"/>
  <c r="F361" i="2" s="1"/>
  <c r="J361" i="2"/>
  <c r="F371" i="2"/>
  <c r="I371" i="2"/>
  <c r="G371" i="2" s="1"/>
  <c r="J371" i="2"/>
  <c r="I369" i="2"/>
  <c r="G369" i="2" s="1"/>
  <c r="J369" i="2"/>
  <c r="I370" i="2"/>
  <c r="H370" i="2" s="1"/>
  <c r="J370" i="2"/>
  <c r="I355" i="2"/>
  <c r="H355" i="2" s="1"/>
  <c r="J355" i="2"/>
  <c r="I317" i="2"/>
  <c r="H317" i="2" s="1"/>
  <c r="J317" i="2"/>
  <c r="I331" i="2"/>
  <c r="F331" i="2" s="1"/>
  <c r="J331" i="2"/>
  <c r="H361" i="2" l="1"/>
  <c r="G361" i="2"/>
  <c r="H371" i="2"/>
  <c r="G370" i="2"/>
  <c r="F370" i="2"/>
  <c r="F369" i="2"/>
  <c r="K370" i="2"/>
  <c r="L370" i="2"/>
  <c r="H369" i="2"/>
  <c r="G355" i="2"/>
  <c r="F355" i="2"/>
  <c r="K355" i="2"/>
  <c r="L355" i="2"/>
  <c r="K317" i="2"/>
  <c r="L317" i="2"/>
  <c r="G317" i="2"/>
  <c r="F317" i="2"/>
  <c r="H331" i="2"/>
  <c r="G331" i="2"/>
  <c r="L361" i="2" l="1"/>
  <c r="K361" i="2"/>
  <c r="L371" i="2"/>
  <c r="K371" i="2"/>
  <c r="K369" i="2"/>
  <c r="L369" i="2"/>
  <c r="K331" i="2"/>
  <c r="L331" i="2"/>
  <c r="L407" i="2" l="1"/>
  <c r="L408" i="2"/>
  <c r="L413" i="2"/>
  <c r="K413" i="2" s="1"/>
  <c r="L414" i="2"/>
  <c r="L417" i="2"/>
  <c r="L418" i="2"/>
  <c r="L372" i="2"/>
  <c r="L373" i="2"/>
  <c r="L376" i="2"/>
  <c r="L377" i="2"/>
  <c r="L379" i="2"/>
  <c r="L380" i="2"/>
  <c r="L383" i="2"/>
  <c r="L384" i="2"/>
  <c r="L389" i="2"/>
  <c r="L390" i="2"/>
  <c r="L394" i="2"/>
  <c r="L395" i="2"/>
  <c r="L397" i="2"/>
  <c r="L398" i="2"/>
  <c r="L400" i="2"/>
  <c r="L401" i="2"/>
  <c r="L403" i="2"/>
  <c r="L404" i="2"/>
  <c r="L332" i="2"/>
  <c r="L333" i="2"/>
  <c r="L341" i="2"/>
  <c r="L342" i="2"/>
  <c r="L344" i="2"/>
  <c r="L345" i="2"/>
  <c r="L347" i="2"/>
  <c r="L348" i="2"/>
  <c r="L350" i="2"/>
  <c r="L351" i="2"/>
  <c r="L356" i="2"/>
  <c r="L357" i="2"/>
  <c r="L359" i="2"/>
  <c r="L360" i="2"/>
  <c r="L318" i="2"/>
  <c r="L319" i="2"/>
  <c r="L310" i="2"/>
  <c r="L311" i="2"/>
  <c r="J417" i="2"/>
  <c r="I417" i="2"/>
  <c r="G417" i="2" s="1"/>
  <c r="H417" i="2"/>
  <c r="F417" i="2"/>
  <c r="J416" i="2"/>
  <c r="I416" i="2"/>
  <c r="H416" i="2" s="1"/>
  <c r="L416" i="2" s="1"/>
  <c r="J415" i="2"/>
  <c r="I415" i="2"/>
  <c r="G415" i="2" s="1"/>
  <c r="J414" i="2"/>
  <c r="I414" i="2"/>
  <c r="G414" i="2" s="1"/>
  <c r="H414" i="2"/>
  <c r="F414" i="2"/>
  <c r="J413" i="2"/>
  <c r="I413" i="2"/>
  <c r="G413" i="2" s="1"/>
  <c r="H413" i="2"/>
  <c r="F413" i="2"/>
  <c r="J412" i="2"/>
  <c r="I412" i="2"/>
  <c r="G412" i="2" s="1"/>
  <c r="J411" i="2"/>
  <c r="I411" i="2"/>
  <c r="F411" i="2" s="1"/>
  <c r="J410" i="2"/>
  <c r="I410" i="2"/>
  <c r="F410" i="2" s="1"/>
  <c r="J409" i="2"/>
  <c r="I409" i="2"/>
  <c r="G409" i="2" s="1"/>
  <c r="J408" i="2"/>
  <c r="I408" i="2"/>
  <c r="G408" i="2" s="1"/>
  <c r="H408" i="2"/>
  <c r="F408" i="2"/>
  <c r="J407" i="2"/>
  <c r="I407" i="2"/>
  <c r="G407" i="2" s="1"/>
  <c r="H407" i="2"/>
  <c r="F407" i="2"/>
  <c r="J406" i="2"/>
  <c r="I406" i="2"/>
  <c r="H406" i="2" s="1"/>
  <c r="L406" i="2" s="1"/>
  <c r="J405" i="2"/>
  <c r="I405" i="2"/>
  <c r="H405" i="2" s="1"/>
  <c r="L405" i="2" s="1"/>
  <c r="J404" i="2"/>
  <c r="I404" i="2"/>
  <c r="G404" i="2" s="1"/>
  <c r="H404" i="2"/>
  <c r="F404" i="2"/>
  <c r="J403" i="2"/>
  <c r="I403" i="2"/>
  <c r="G403" i="2" s="1"/>
  <c r="H403" i="2"/>
  <c r="F403" i="2"/>
  <c r="J402" i="2"/>
  <c r="I402" i="2"/>
  <c r="F402" i="2" s="1"/>
  <c r="J401" i="2"/>
  <c r="I401" i="2"/>
  <c r="G401" i="2" s="1"/>
  <c r="H401" i="2"/>
  <c r="F401" i="2"/>
  <c r="J400" i="2"/>
  <c r="I400" i="2"/>
  <c r="G400" i="2" s="1"/>
  <c r="H400" i="2"/>
  <c r="F400" i="2"/>
  <c r="J399" i="2"/>
  <c r="I399" i="2"/>
  <c r="G399" i="2" s="1"/>
  <c r="J398" i="2"/>
  <c r="I398" i="2"/>
  <c r="G398" i="2" s="1"/>
  <c r="H398" i="2"/>
  <c r="F398" i="2"/>
  <c r="J397" i="2"/>
  <c r="I397" i="2"/>
  <c r="G397" i="2" s="1"/>
  <c r="H397" i="2"/>
  <c r="F397" i="2"/>
  <c r="J396" i="2"/>
  <c r="I396" i="2"/>
  <c r="G396" i="2" s="1"/>
  <c r="J395" i="2"/>
  <c r="I395" i="2"/>
  <c r="G395" i="2" s="1"/>
  <c r="H395" i="2"/>
  <c r="F395" i="2"/>
  <c r="J394" i="2"/>
  <c r="I394" i="2"/>
  <c r="G394" i="2" s="1"/>
  <c r="H394" i="2"/>
  <c r="F394" i="2"/>
  <c r="J393" i="2"/>
  <c r="I393" i="2"/>
  <c r="F393" i="2" s="1"/>
  <c r="J392" i="2"/>
  <c r="I392" i="2"/>
  <c r="H392" i="2" s="1"/>
  <c r="L392" i="2" s="1"/>
  <c r="J391" i="2"/>
  <c r="I391" i="2"/>
  <c r="G391" i="2" s="1"/>
  <c r="J390" i="2"/>
  <c r="I390" i="2"/>
  <c r="G390" i="2" s="1"/>
  <c r="H390" i="2"/>
  <c r="F390" i="2"/>
  <c r="J389" i="2"/>
  <c r="I389" i="2"/>
  <c r="G389" i="2" s="1"/>
  <c r="H389" i="2"/>
  <c r="K389" i="2" s="1"/>
  <c r="F389" i="2"/>
  <c r="J388" i="2"/>
  <c r="I388" i="2"/>
  <c r="G388" i="2" s="1"/>
  <c r="J387" i="2"/>
  <c r="I387" i="2"/>
  <c r="F387" i="2" s="1"/>
  <c r="J386" i="2"/>
  <c r="I386" i="2"/>
  <c r="F386" i="2" s="1"/>
  <c r="J385" i="2"/>
  <c r="I385" i="2"/>
  <c r="F385" i="2" s="1"/>
  <c r="H385" i="2"/>
  <c r="L385" i="2" s="1"/>
  <c r="J384" i="2"/>
  <c r="I384" i="2"/>
  <c r="G384" i="2" s="1"/>
  <c r="H384" i="2"/>
  <c r="K384" i="2" s="1"/>
  <c r="F384" i="2"/>
  <c r="J383" i="2"/>
  <c r="I383" i="2"/>
  <c r="G383" i="2" s="1"/>
  <c r="H383" i="2"/>
  <c r="F383" i="2"/>
  <c r="J382" i="2"/>
  <c r="I382" i="2"/>
  <c r="H382" i="2" s="1"/>
  <c r="L382" i="2" s="1"/>
  <c r="J381" i="2"/>
  <c r="I381" i="2"/>
  <c r="H381" i="2" s="1"/>
  <c r="L381" i="2" s="1"/>
  <c r="J380" i="2"/>
  <c r="I380" i="2"/>
  <c r="G380" i="2" s="1"/>
  <c r="H380" i="2"/>
  <c r="F380" i="2"/>
  <c r="J379" i="2"/>
  <c r="I379" i="2"/>
  <c r="G379" i="2" s="1"/>
  <c r="H379" i="2"/>
  <c r="F379" i="2"/>
  <c r="J378" i="2"/>
  <c r="I378" i="2"/>
  <c r="F378" i="2" s="1"/>
  <c r="J377" i="2"/>
  <c r="I377" i="2"/>
  <c r="G377" i="2" s="1"/>
  <c r="H377" i="2"/>
  <c r="F377" i="2"/>
  <c r="J376" i="2"/>
  <c r="I376" i="2"/>
  <c r="G376" i="2" s="1"/>
  <c r="H376" i="2"/>
  <c r="F376" i="2"/>
  <c r="J375" i="2"/>
  <c r="I375" i="2"/>
  <c r="G375" i="2" s="1"/>
  <c r="J374" i="2"/>
  <c r="I374" i="2"/>
  <c r="H374" i="2" s="1"/>
  <c r="L374" i="2" s="1"/>
  <c r="J373" i="2"/>
  <c r="I373" i="2"/>
  <c r="G373" i="2" s="1"/>
  <c r="H373" i="2"/>
  <c r="F373" i="2"/>
  <c r="J372" i="2"/>
  <c r="I372" i="2"/>
  <c r="G372" i="2" s="1"/>
  <c r="H372" i="2"/>
  <c r="F372" i="2"/>
  <c r="J368" i="2"/>
  <c r="I368" i="2"/>
  <c r="F368" i="2" s="1"/>
  <c r="J367" i="2"/>
  <c r="I367" i="2"/>
  <c r="F367" i="2" s="1"/>
  <c r="J366" i="2"/>
  <c r="I366" i="2"/>
  <c r="F366" i="2" s="1"/>
  <c r="J365" i="2"/>
  <c r="I365" i="2"/>
  <c r="H365" i="2" s="1"/>
  <c r="J364" i="2"/>
  <c r="I364" i="2"/>
  <c r="F364" i="2" s="1"/>
  <c r="J363" i="2"/>
  <c r="I363" i="2"/>
  <c r="H363" i="2" s="1"/>
  <c r="L363" i="2" s="1"/>
  <c r="J362" i="2"/>
  <c r="I362" i="2"/>
  <c r="H362" i="2" s="1"/>
  <c r="L362" i="2" s="1"/>
  <c r="J360" i="2"/>
  <c r="I360" i="2"/>
  <c r="G360" i="2" s="1"/>
  <c r="H360" i="2"/>
  <c r="K360" i="2" s="1"/>
  <c r="F360" i="2"/>
  <c r="J359" i="2"/>
  <c r="I359" i="2"/>
  <c r="G359" i="2" s="1"/>
  <c r="H359" i="2"/>
  <c r="F359" i="2"/>
  <c r="J358" i="2"/>
  <c r="I358" i="2"/>
  <c r="F358" i="2" s="1"/>
  <c r="J357" i="2"/>
  <c r="I357" i="2"/>
  <c r="G357" i="2" s="1"/>
  <c r="H357" i="2"/>
  <c r="F357" i="2"/>
  <c r="J356" i="2"/>
  <c r="I356" i="2"/>
  <c r="G356" i="2" s="1"/>
  <c r="H356" i="2"/>
  <c r="F356" i="2"/>
  <c r="J354" i="2"/>
  <c r="I354" i="2"/>
  <c r="G354" i="2" s="1"/>
  <c r="J353" i="2"/>
  <c r="I353" i="2"/>
  <c r="H353" i="2" s="1"/>
  <c r="L353" i="2" s="1"/>
  <c r="J352" i="2"/>
  <c r="I352" i="2"/>
  <c r="H352" i="2" s="1"/>
  <c r="L352" i="2" s="1"/>
  <c r="J351" i="2"/>
  <c r="I351" i="2"/>
  <c r="G351" i="2" s="1"/>
  <c r="H351" i="2"/>
  <c r="F351" i="2"/>
  <c r="J350" i="2"/>
  <c r="I350" i="2"/>
  <c r="G350" i="2" s="1"/>
  <c r="H350" i="2"/>
  <c r="K350" i="2" s="1"/>
  <c r="F350" i="2"/>
  <c r="J349" i="2"/>
  <c r="I349" i="2"/>
  <c r="F349" i="2" s="1"/>
  <c r="J348" i="2"/>
  <c r="I348" i="2"/>
  <c r="H348" i="2"/>
  <c r="G348" i="2"/>
  <c r="F348" i="2"/>
  <c r="J347" i="2"/>
  <c r="I347" i="2"/>
  <c r="G347" i="2" s="1"/>
  <c r="H347" i="2"/>
  <c r="F347" i="2"/>
  <c r="J346" i="2"/>
  <c r="I346" i="2"/>
  <c r="G346" i="2" s="1"/>
  <c r="J345" i="2"/>
  <c r="I345" i="2"/>
  <c r="G345" i="2" s="1"/>
  <c r="H345" i="2"/>
  <c r="K345" i="2" s="1"/>
  <c r="F345" i="2"/>
  <c r="J344" i="2"/>
  <c r="I344" i="2"/>
  <c r="G344" i="2" s="1"/>
  <c r="H344" i="2"/>
  <c r="F344" i="2"/>
  <c r="J343" i="2"/>
  <c r="I343" i="2"/>
  <c r="G343" i="2" s="1"/>
  <c r="J342" i="2"/>
  <c r="I342" i="2"/>
  <c r="G342" i="2" s="1"/>
  <c r="H342" i="2"/>
  <c r="F342" i="2"/>
  <c r="J341" i="2"/>
  <c r="I341" i="2"/>
  <c r="G341" i="2" s="1"/>
  <c r="H341" i="2"/>
  <c r="F341" i="2"/>
  <c r="J340" i="2"/>
  <c r="I340" i="2"/>
  <c r="G340" i="2" s="1"/>
  <c r="J339" i="2"/>
  <c r="I339" i="2"/>
  <c r="F339" i="2" s="1"/>
  <c r="J338" i="2"/>
  <c r="I338" i="2"/>
  <c r="G338" i="2" s="1"/>
  <c r="F338" i="2"/>
  <c r="J337" i="2"/>
  <c r="I337" i="2"/>
  <c r="H337" i="2" s="1"/>
  <c r="L337" i="2" s="1"/>
  <c r="J336" i="2"/>
  <c r="I336" i="2"/>
  <c r="H336" i="2" s="1"/>
  <c r="L336" i="2" s="1"/>
  <c r="J335" i="2"/>
  <c r="I335" i="2"/>
  <c r="G335" i="2" s="1"/>
  <c r="J334" i="2"/>
  <c r="I334" i="2"/>
  <c r="F334" i="2" s="1"/>
  <c r="J333" i="2"/>
  <c r="I333" i="2"/>
  <c r="G333" i="2" s="1"/>
  <c r="H333" i="2"/>
  <c r="F333" i="2"/>
  <c r="J332" i="2"/>
  <c r="I332" i="2"/>
  <c r="H332" i="2"/>
  <c r="G332" i="2"/>
  <c r="F332" i="2"/>
  <c r="J330" i="2"/>
  <c r="I330" i="2"/>
  <c r="H330" i="2" s="1"/>
  <c r="J329" i="2"/>
  <c r="I329" i="2"/>
  <c r="F329" i="2" s="1"/>
  <c r="J328" i="2"/>
  <c r="I328" i="2"/>
  <c r="H328" i="2" s="1"/>
  <c r="L328" i="2" s="1"/>
  <c r="J327" i="2"/>
  <c r="I327" i="2"/>
  <c r="H327" i="2" s="1"/>
  <c r="L327" i="2" s="1"/>
  <c r="J326" i="2"/>
  <c r="I326" i="2"/>
  <c r="G326" i="2" s="1"/>
  <c r="J325" i="2"/>
  <c r="I325" i="2"/>
  <c r="F325" i="2" s="1"/>
  <c r="J324" i="2"/>
  <c r="I324" i="2"/>
  <c r="F324" i="2" s="1"/>
  <c r="J323" i="2"/>
  <c r="I323" i="2"/>
  <c r="H323" i="2" s="1"/>
  <c r="L323" i="2" s="1"/>
  <c r="J322" i="2"/>
  <c r="I322" i="2"/>
  <c r="G322" i="2" s="1"/>
  <c r="J321" i="2"/>
  <c r="I321" i="2"/>
  <c r="H321" i="2" s="1"/>
  <c r="J320" i="2"/>
  <c r="I320" i="2"/>
  <c r="H320" i="2" s="1"/>
  <c r="L320" i="2" s="1"/>
  <c r="J319" i="2"/>
  <c r="I319" i="2"/>
  <c r="G319" i="2" s="1"/>
  <c r="H319" i="2"/>
  <c r="F319" i="2"/>
  <c r="J318" i="2"/>
  <c r="I318" i="2"/>
  <c r="G318" i="2" s="1"/>
  <c r="H318" i="2"/>
  <c r="K318" i="2" s="1"/>
  <c r="F318" i="2"/>
  <c r="J316" i="2"/>
  <c r="I316" i="2"/>
  <c r="F316" i="2" s="1"/>
  <c r="J315" i="2"/>
  <c r="I315" i="2"/>
  <c r="F315" i="2" s="1"/>
  <c r="J314" i="2"/>
  <c r="I314" i="2"/>
  <c r="G314" i="2" s="1"/>
  <c r="J313" i="2"/>
  <c r="I313" i="2"/>
  <c r="H313" i="2" s="1"/>
  <c r="J312" i="2"/>
  <c r="I312" i="2"/>
  <c r="F312" i="2" s="1"/>
  <c r="J311" i="2"/>
  <c r="I311" i="2"/>
  <c r="G311" i="2" s="1"/>
  <c r="H311" i="2"/>
  <c r="F311" i="2"/>
  <c r="J172" i="2"/>
  <c r="I172" i="2"/>
  <c r="H172" i="2" s="1"/>
  <c r="J76" i="2"/>
  <c r="I76" i="2"/>
  <c r="H76" i="2" s="1"/>
  <c r="J71" i="2"/>
  <c r="I71" i="2"/>
  <c r="F71" i="2" s="1"/>
  <c r="J70" i="2"/>
  <c r="I70" i="2"/>
  <c r="H70" i="2" s="1"/>
  <c r="J69" i="2"/>
  <c r="I69" i="2"/>
  <c r="H69" i="2" s="1"/>
  <c r="J68" i="2"/>
  <c r="I68" i="2"/>
  <c r="G68" i="2" s="1"/>
  <c r="J67" i="2"/>
  <c r="I67" i="2"/>
  <c r="H67" i="2" s="1"/>
  <c r="J66" i="2"/>
  <c r="I66" i="2"/>
  <c r="G66" i="2" s="1"/>
  <c r="J65" i="2"/>
  <c r="I65" i="2"/>
  <c r="F65" i="2" s="1"/>
  <c r="J64" i="2"/>
  <c r="I64" i="2"/>
  <c r="G64" i="2" s="1"/>
  <c r="J63" i="2"/>
  <c r="I63" i="2"/>
  <c r="G63" i="2" s="1"/>
  <c r="J62" i="2"/>
  <c r="I62" i="2"/>
  <c r="F62" i="2" s="1"/>
  <c r="J61" i="2"/>
  <c r="I61" i="2"/>
  <c r="H61" i="2" s="1"/>
  <c r="J60" i="2"/>
  <c r="I60" i="2"/>
  <c r="G60" i="2" s="1"/>
  <c r="J59" i="2"/>
  <c r="I59" i="2"/>
  <c r="H59" i="2" s="1"/>
  <c r="J58" i="2"/>
  <c r="I58" i="2"/>
  <c r="G58" i="2" s="1"/>
  <c r="J57" i="2"/>
  <c r="I57" i="2"/>
  <c r="F57" i="2" s="1"/>
  <c r="J56" i="2"/>
  <c r="I56" i="2"/>
  <c r="G56" i="2" s="1"/>
  <c r="J55" i="2"/>
  <c r="I55" i="2"/>
  <c r="G55" i="2" s="1"/>
  <c r="J54" i="2"/>
  <c r="I54" i="2"/>
  <c r="H54" i="2" s="1"/>
  <c r="J53" i="2"/>
  <c r="I53" i="2"/>
  <c r="H53" i="2" s="1"/>
  <c r="J52" i="2"/>
  <c r="I52" i="2"/>
  <c r="G52" i="2" s="1"/>
  <c r="J51" i="2"/>
  <c r="I51" i="2"/>
  <c r="H51" i="2" s="1"/>
  <c r="J50" i="2"/>
  <c r="I50" i="2"/>
  <c r="G50" i="2" s="1"/>
  <c r="J49" i="2"/>
  <c r="I49" i="2"/>
  <c r="F49" i="2" s="1"/>
  <c r="I81" i="2"/>
  <c r="F81" i="2" s="1"/>
  <c r="J81" i="2"/>
  <c r="J240" i="2"/>
  <c r="I240" i="2"/>
  <c r="H240" i="2" s="1"/>
  <c r="L240" i="2" s="1"/>
  <c r="L272" i="2"/>
  <c r="L273" i="2"/>
  <c r="L278" i="2"/>
  <c r="L279" i="2"/>
  <c r="L281" i="2"/>
  <c r="L282" i="2"/>
  <c r="L284" i="2"/>
  <c r="L285" i="2"/>
  <c r="L287" i="2"/>
  <c r="L288" i="2"/>
  <c r="L291" i="2"/>
  <c r="L292" i="2"/>
  <c r="L296" i="2"/>
  <c r="L297" i="2"/>
  <c r="L302" i="2"/>
  <c r="L303" i="2"/>
  <c r="L306" i="2"/>
  <c r="L307" i="2"/>
  <c r="J310" i="2"/>
  <c r="I310" i="2"/>
  <c r="G310" i="2" s="1"/>
  <c r="H310" i="2"/>
  <c r="F310" i="2"/>
  <c r="J309" i="2"/>
  <c r="I309" i="2"/>
  <c r="H309" i="2" s="1"/>
  <c r="L309" i="2" s="1"/>
  <c r="J308" i="2"/>
  <c r="I308" i="2"/>
  <c r="G308" i="2" s="1"/>
  <c r="J307" i="2"/>
  <c r="I307" i="2"/>
  <c r="G307" i="2" s="1"/>
  <c r="H307" i="2"/>
  <c r="F307" i="2"/>
  <c r="J306" i="2"/>
  <c r="I306" i="2"/>
  <c r="G306" i="2" s="1"/>
  <c r="H306" i="2"/>
  <c r="F306" i="2"/>
  <c r="J305" i="2"/>
  <c r="I305" i="2"/>
  <c r="F305" i="2" s="1"/>
  <c r="J304" i="2"/>
  <c r="I304" i="2"/>
  <c r="G304" i="2" s="1"/>
  <c r="J303" i="2"/>
  <c r="I303" i="2"/>
  <c r="G303" i="2" s="1"/>
  <c r="H303" i="2"/>
  <c r="F303" i="2"/>
  <c r="J302" i="2"/>
  <c r="I302" i="2"/>
  <c r="G302" i="2" s="1"/>
  <c r="H302" i="2"/>
  <c r="F302" i="2"/>
  <c r="J301" i="2"/>
  <c r="I301" i="2"/>
  <c r="H301" i="2" s="1"/>
  <c r="L301" i="2" s="1"/>
  <c r="J300" i="2"/>
  <c r="I300" i="2"/>
  <c r="G300" i="2" s="1"/>
  <c r="J299" i="2"/>
  <c r="I299" i="2"/>
  <c r="F299" i="2" s="1"/>
  <c r="J298" i="2"/>
  <c r="I298" i="2"/>
  <c r="H298" i="2" s="1"/>
  <c r="J297" i="2"/>
  <c r="I297" i="2"/>
  <c r="G297" i="2" s="1"/>
  <c r="H297" i="2"/>
  <c r="F297" i="2"/>
  <c r="J296" i="2"/>
  <c r="I296" i="2"/>
  <c r="G296" i="2" s="1"/>
  <c r="H296" i="2"/>
  <c r="F296" i="2"/>
  <c r="J295" i="2"/>
  <c r="I295" i="2"/>
  <c r="F295" i="2" s="1"/>
  <c r="J294" i="2"/>
  <c r="I294" i="2"/>
  <c r="G294" i="2" s="1"/>
  <c r="J293" i="2"/>
  <c r="I293" i="2"/>
  <c r="H293" i="2" s="1"/>
  <c r="L293" i="2" s="1"/>
  <c r="J292" i="2"/>
  <c r="I292" i="2"/>
  <c r="G292" i="2" s="1"/>
  <c r="H292" i="2"/>
  <c r="F292" i="2"/>
  <c r="J291" i="2"/>
  <c r="I291" i="2"/>
  <c r="G291" i="2" s="1"/>
  <c r="H291" i="2"/>
  <c r="F291" i="2"/>
  <c r="J290" i="2"/>
  <c r="I290" i="2"/>
  <c r="G290" i="2" s="1"/>
  <c r="J289" i="2"/>
  <c r="I289" i="2"/>
  <c r="F289" i="2" s="1"/>
  <c r="J288" i="2"/>
  <c r="I288" i="2"/>
  <c r="G288" i="2" s="1"/>
  <c r="H288" i="2"/>
  <c r="F288" i="2"/>
  <c r="J287" i="2"/>
  <c r="I287" i="2"/>
  <c r="G287" i="2" s="1"/>
  <c r="H287" i="2"/>
  <c r="F287" i="2"/>
  <c r="J286" i="2"/>
  <c r="I286" i="2"/>
  <c r="G286" i="2" s="1"/>
  <c r="J285" i="2"/>
  <c r="I285" i="2"/>
  <c r="G285" i="2" s="1"/>
  <c r="H285" i="2"/>
  <c r="F285" i="2"/>
  <c r="J284" i="2"/>
  <c r="I284" i="2"/>
  <c r="G284" i="2" s="1"/>
  <c r="H284" i="2"/>
  <c r="F284" i="2"/>
  <c r="J283" i="2"/>
  <c r="I283" i="2"/>
  <c r="F283" i="2" s="1"/>
  <c r="J282" i="2"/>
  <c r="I282" i="2"/>
  <c r="G282" i="2" s="1"/>
  <c r="H282" i="2"/>
  <c r="F282" i="2"/>
  <c r="J281" i="2"/>
  <c r="I281" i="2"/>
  <c r="G281" i="2" s="1"/>
  <c r="H281" i="2"/>
  <c r="F281" i="2"/>
  <c r="J280" i="2"/>
  <c r="I280" i="2"/>
  <c r="G280" i="2" s="1"/>
  <c r="J279" i="2"/>
  <c r="I279" i="2"/>
  <c r="G279" i="2" s="1"/>
  <c r="H279" i="2"/>
  <c r="F279" i="2"/>
  <c r="J278" i="2"/>
  <c r="I278" i="2"/>
  <c r="G278" i="2" s="1"/>
  <c r="H278" i="2"/>
  <c r="F278" i="2"/>
  <c r="J277" i="2"/>
  <c r="I277" i="2"/>
  <c r="H277" i="2" s="1"/>
  <c r="L277" i="2" s="1"/>
  <c r="J276" i="2"/>
  <c r="I276" i="2"/>
  <c r="G276" i="2" s="1"/>
  <c r="J275" i="2"/>
  <c r="I275" i="2"/>
  <c r="F275" i="2" s="1"/>
  <c r="J274" i="2"/>
  <c r="I274" i="2"/>
  <c r="H274" i="2" s="1"/>
  <c r="L274" i="2" s="1"/>
  <c r="J273" i="2"/>
  <c r="I273" i="2"/>
  <c r="G273" i="2" s="1"/>
  <c r="H273" i="2"/>
  <c r="F273" i="2"/>
  <c r="L229" i="2"/>
  <c r="L230" i="2"/>
  <c r="L238" i="2"/>
  <c r="L239" i="2"/>
  <c r="L250" i="2"/>
  <c r="L251" i="2"/>
  <c r="L253" i="2"/>
  <c r="L254" i="2"/>
  <c r="L268" i="2"/>
  <c r="L269" i="2"/>
  <c r="J272" i="2"/>
  <c r="I272" i="2"/>
  <c r="G272" i="2" s="1"/>
  <c r="H272" i="2"/>
  <c r="F272" i="2"/>
  <c r="J271" i="2"/>
  <c r="I271" i="2"/>
  <c r="H271" i="2" s="1"/>
  <c r="L271" i="2" s="1"/>
  <c r="J270" i="2"/>
  <c r="I270" i="2"/>
  <c r="G270" i="2" s="1"/>
  <c r="J269" i="2"/>
  <c r="I269" i="2"/>
  <c r="G269" i="2" s="1"/>
  <c r="H269" i="2"/>
  <c r="F269" i="2"/>
  <c r="J268" i="2"/>
  <c r="I268" i="2"/>
  <c r="G268" i="2" s="1"/>
  <c r="H268" i="2"/>
  <c r="F268" i="2"/>
  <c r="J267" i="2"/>
  <c r="I267" i="2"/>
  <c r="G267" i="2" s="1"/>
  <c r="J266" i="2"/>
  <c r="I266" i="2"/>
  <c r="F266" i="2" s="1"/>
  <c r="J265" i="2"/>
  <c r="I265" i="2"/>
  <c r="H265" i="2" s="1"/>
  <c r="L265" i="2" s="1"/>
  <c r="J264" i="2"/>
  <c r="I264" i="2"/>
  <c r="H264" i="2" s="1"/>
  <c r="L264" i="2" s="1"/>
  <c r="J263" i="2"/>
  <c r="I263" i="2"/>
  <c r="G263" i="2" s="1"/>
  <c r="J262" i="2"/>
  <c r="I262" i="2"/>
  <c r="H262" i="2" s="1"/>
  <c r="L262" i="2" s="1"/>
  <c r="J261" i="2"/>
  <c r="I261" i="2"/>
  <c r="H261" i="2" s="1"/>
  <c r="L261" i="2" s="1"/>
  <c r="J260" i="2"/>
  <c r="I260" i="2"/>
  <c r="H260" i="2" s="1"/>
  <c r="L260" i="2" s="1"/>
  <c r="J259" i="2"/>
  <c r="I259" i="2"/>
  <c r="G259" i="2" s="1"/>
  <c r="J258" i="2"/>
  <c r="I258" i="2"/>
  <c r="F258" i="2" s="1"/>
  <c r="J257" i="2"/>
  <c r="I257" i="2"/>
  <c r="H257" i="2" s="1"/>
  <c r="L257" i="2" s="1"/>
  <c r="J256" i="2"/>
  <c r="I256" i="2"/>
  <c r="H256" i="2" s="1"/>
  <c r="L256" i="2" s="1"/>
  <c r="J255" i="2"/>
  <c r="I255" i="2"/>
  <c r="G255" i="2" s="1"/>
  <c r="J254" i="2"/>
  <c r="I254" i="2"/>
  <c r="G254" i="2" s="1"/>
  <c r="H254" i="2"/>
  <c r="F254" i="2"/>
  <c r="J253" i="2"/>
  <c r="I253" i="2"/>
  <c r="G253" i="2" s="1"/>
  <c r="H253" i="2"/>
  <c r="F253" i="2"/>
  <c r="J252" i="2"/>
  <c r="I252" i="2"/>
  <c r="H252" i="2" s="1"/>
  <c r="L252" i="2" s="1"/>
  <c r="J251" i="2"/>
  <c r="I251" i="2"/>
  <c r="G251" i="2" s="1"/>
  <c r="H251" i="2"/>
  <c r="F251" i="2"/>
  <c r="J250" i="2"/>
  <c r="I250" i="2"/>
  <c r="G250" i="2" s="1"/>
  <c r="H250" i="2"/>
  <c r="F250" i="2"/>
  <c r="J249" i="2"/>
  <c r="I249" i="2"/>
  <c r="H249" i="2" s="1"/>
  <c r="L249" i="2" s="1"/>
  <c r="J248" i="2"/>
  <c r="I248" i="2"/>
  <c r="H248" i="2" s="1"/>
  <c r="L248" i="2" s="1"/>
  <c r="J247" i="2"/>
  <c r="I247" i="2"/>
  <c r="H247" i="2" s="1"/>
  <c r="J246" i="2"/>
  <c r="I246" i="2"/>
  <c r="H246" i="2" s="1"/>
  <c r="L246" i="2" s="1"/>
  <c r="J245" i="2"/>
  <c r="I245" i="2"/>
  <c r="H245" i="2" s="1"/>
  <c r="L245" i="2" s="1"/>
  <c r="J244" i="2"/>
  <c r="I244" i="2"/>
  <c r="H244" i="2" s="1"/>
  <c r="L244" i="2" s="1"/>
  <c r="J243" i="2"/>
  <c r="I243" i="2"/>
  <c r="G243" i="2" s="1"/>
  <c r="J242" i="2"/>
  <c r="I242" i="2"/>
  <c r="F242" i="2" s="1"/>
  <c r="J241" i="2"/>
  <c r="I241" i="2"/>
  <c r="H241" i="2" s="1"/>
  <c r="L241" i="2" s="1"/>
  <c r="J239" i="2"/>
  <c r="I239" i="2"/>
  <c r="G239" i="2" s="1"/>
  <c r="H239" i="2"/>
  <c r="F239" i="2"/>
  <c r="J238" i="2"/>
  <c r="I238" i="2"/>
  <c r="G238" i="2" s="1"/>
  <c r="H238" i="2"/>
  <c r="F238" i="2"/>
  <c r="J237" i="2"/>
  <c r="I237" i="2"/>
  <c r="H237" i="2" s="1"/>
  <c r="L237" i="2" s="1"/>
  <c r="J236" i="2"/>
  <c r="I236" i="2"/>
  <c r="H236" i="2" s="1"/>
  <c r="L236" i="2" s="1"/>
  <c r="J235" i="2"/>
  <c r="I235" i="2"/>
  <c r="G235" i="2" s="1"/>
  <c r="J234" i="2"/>
  <c r="I234" i="2"/>
  <c r="F234" i="2" s="1"/>
  <c r="J233" i="2"/>
  <c r="I233" i="2"/>
  <c r="H233" i="2" s="1"/>
  <c r="L233" i="2" s="1"/>
  <c r="J232" i="2"/>
  <c r="I232" i="2"/>
  <c r="H232" i="2" s="1"/>
  <c r="J231" i="2"/>
  <c r="I231" i="2"/>
  <c r="H231" i="2" s="1"/>
  <c r="L231" i="2" s="1"/>
  <c r="J230" i="2"/>
  <c r="I230" i="2"/>
  <c r="G230" i="2" s="1"/>
  <c r="H230" i="2"/>
  <c r="F230" i="2"/>
  <c r="F66" i="2" l="1"/>
  <c r="K238" i="2"/>
  <c r="H366" i="2"/>
  <c r="L366" i="2" s="1"/>
  <c r="G366" i="2"/>
  <c r="H387" i="2"/>
  <c r="L387" i="2" s="1"/>
  <c r="G339" i="2"/>
  <c r="K400" i="2"/>
  <c r="H339" i="2"/>
  <c r="K339" i="2" s="1"/>
  <c r="K372" i="2"/>
  <c r="F323" i="2"/>
  <c r="G367" i="2"/>
  <c r="K383" i="2"/>
  <c r="H340" i="2"/>
  <c r="L340" i="2" s="1"/>
  <c r="F246" i="2"/>
  <c r="H314" i="2"/>
  <c r="L314" i="2" s="1"/>
  <c r="G364" i="2"/>
  <c r="H386" i="2"/>
  <c r="L386" i="2" s="1"/>
  <c r="K408" i="2"/>
  <c r="K394" i="2"/>
  <c r="G233" i="2"/>
  <c r="G329" i="2"/>
  <c r="H338" i="2"/>
  <c r="K338" i="2" s="1"/>
  <c r="G392" i="2"/>
  <c r="K417" i="2"/>
  <c r="K268" i="2"/>
  <c r="H329" i="2"/>
  <c r="K329" i="2" s="1"/>
  <c r="F409" i="2"/>
  <c r="H368" i="2"/>
  <c r="L368" i="2" s="1"/>
  <c r="H378" i="2"/>
  <c r="L378" i="2" s="1"/>
  <c r="G385" i="2"/>
  <c r="H409" i="2"/>
  <c r="L409" i="2" s="1"/>
  <c r="F56" i="2"/>
  <c r="H411" i="2"/>
  <c r="L411" i="2" s="1"/>
  <c r="K404" i="2"/>
  <c r="K390" i="2"/>
  <c r="K341" i="2"/>
  <c r="G323" i="2"/>
  <c r="H393" i="2"/>
  <c r="L393" i="2" s="1"/>
  <c r="G312" i="2"/>
  <c r="F321" i="2"/>
  <c r="F330" i="2"/>
  <c r="H367" i="2"/>
  <c r="L367" i="2" s="1"/>
  <c r="F375" i="2"/>
  <c r="F172" i="2"/>
  <c r="H312" i="2"/>
  <c r="L312" i="2" s="1"/>
  <c r="H315" i="2"/>
  <c r="L315" i="2" s="1"/>
  <c r="G321" i="2"/>
  <c r="G330" i="2"/>
  <c r="K356" i="2"/>
  <c r="G386" i="2"/>
  <c r="H334" i="2"/>
  <c r="L334" i="2" s="1"/>
  <c r="K373" i="2"/>
  <c r="H346" i="2"/>
  <c r="L346" i="2" s="1"/>
  <c r="H364" i="2"/>
  <c r="K364" i="2" s="1"/>
  <c r="K376" i="2"/>
  <c r="K398" i="2"/>
  <c r="K319" i="2"/>
  <c r="K407" i="2"/>
  <c r="K287" i="2"/>
  <c r="K342" i="2"/>
  <c r="K359" i="2"/>
  <c r="H375" i="2"/>
  <c r="L375" i="2" s="1"/>
  <c r="F399" i="2"/>
  <c r="K347" i="2"/>
  <c r="K380" i="2"/>
  <c r="G49" i="2"/>
  <c r="F314" i="2"/>
  <c r="H325" i="2"/>
  <c r="L325" i="2" s="1"/>
  <c r="G393" i="2"/>
  <c r="H399" i="2"/>
  <c r="L399" i="2" s="1"/>
  <c r="L321" i="2"/>
  <c r="K321" i="2"/>
  <c r="K313" i="2"/>
  <c r="L313" i="2"/>
  <c r="L365" i="2"/>
  <c r="K365" i="2"/>
  <c r="K330" i="2"/>
  <c r="L330" i="2"/>
  <c r="H294" i="2"/>
  <c r="K294" i="2" s="1"/>
  <c r="H316" i="2"/>
  <c r="L316" i="2" s="1"/>
  <c r="K348" i="2"/>
  <c r="G378" i="2"/>
  <c r="F392" i="2"/>
  <c r="F416" i="2"/>
  <c r="K414" i="2"/>
  <c r="K279" i="2"/>
  <c r="K344" i="2"/>
  <c r="H255" i="2"/>
  <c r="K255" i="2" s="1"/>
  <c r="F313" i="2"/>
  <c r="F365" i="2"/>
  <c r="G410" i="2"/>
  <c r="K351" i="2"/>
  <c r="K332" i="2"/>
  <c r="K397" i="2"/>
  <c r="K281" i="2"/>
  <c r="G62" i="2"/>
  <c r="G65" i="2"/>
  <c r="G313" i="2"/>
  <c r="G324" i="2"/>
  <c r="F340" i="2"/>
  <c r="G349" i="2"/>
  <c r="F354" i="2"/>
  <c r="G358" i="2"/>
  <c r="G365" i="2"/>
  <c r="F391" i="2"/>
  <c r="H410" i="2"/>
  <c r="L410" i="2" s="1"/>
  <c r="K311" i="2"/>
  <c r="K230" i="2"/>
  <c r="H62" i="2"/>
  <c r="G315" i="2"/>
  <c r="H324" i="2"/>
  <c r="L324" i="2" s="1"/>
  <c r="F346" i="2"/>
  <c r="H349" i="2"/>
  <c r="L349" i="2" s="1"/>
  <c r="H354" i="2"/>
  <c r="H358" i="2"/>
  <c r="L358" i="2" s="1"/>
  <c r="H391" i="2"/>
  <c r="H415" i="2"/>
  <c r="F322" i="2"/>
  <c r="H322" i="2"/>
  <c r="K395" i="2"/>
  <c r="K403" i="2"/>
  <c r="K377" i="2"/>
  <c r="K379" i="2"/>
  <c r="K401" i="2"/>
  <c r="K333" i="2"/>
  <c r="K357" i="2"/>
  <c r="K310" i="2"/>
  <c r="G402" i="2"/>
  <c r="H402" i="2"/>
  <c r="L402" i="2" s="1"/>
  <c r="K362" i="2"/>
  <c r="K382" i="2"/>
  <c r="K392" i="2"/>
  <c r="K416" i="2"/>
  <c r="K336" i="2"/>
  <c r="K363" i="2"/>
  <c r="K374" i="2"/>
  <c r="K352" i="2"/>
  <c r="K406" i="2"/>
  <c r="K337" i="2"/>
  <c r="K353" i="2"/>
  <c r="K328" i="2"/>
  <c r="K381" i="2"/>
  <c r="K320" i="2"/>
  <c r="K405" i="2"/>
  <c r="K327" i="2"/>
  <c r="G316" i="2"/>
  <c r="G325" i="2"/>
  <c r="H326" i="2"/>
  <c r="L326" i="2" s="1"/>
  <c r="G334" i="2"/>
  <c r="H335" i="2"/>
  <c r="L335" i="2" s="1"/>
  <c r="H343" i="2"/>
  <c r="L343" i="2" s="1"/>
  <c r="G368" i="2"/>
  <c r="G387" i="2"/>
  <c r="H388" i="2"/>
  <c r="L388" i="2" s="1"/>
  <c r="H396" i="2"/>
  <c r="L396" i="2" s="1"/>
  <c r="G411" i="2"/>
  <c r="H412" i="2"/>
  <c r="L412" i="2" s="1"/>
  <c r="F415" i="2"/>
  <c r="G416" i="2"/>
  <c r="F320" i="2"/>
  <c r="F328" i="2"/>
  <c r="F337" i="2"/>
  <c r="F353" i="2"/>
  <c r="F363" i="2"/>
  <c r="F374" i="2"/>
  <c r="F382" i="2"/>
  <c r="K387" i="2"/>
  <c r="F406" i="2"/>
  <c r="G320" i="2"/>
  <c r="F327" i="2"/>
  <c r="G328" i="2"/>
  <c r="F336" i="2"/>
  <c r="G337" i="2"/>
  <c r="F352" i="2"/>
  <c r="G353" i="2"/>
  <c r="F362" i="2"/>
  <c r="G363" i="2"/>
  <c r="K367" i="2"/>
  <c r="G374" i="2"/>
  <c r="F381" i="2"/>
  <c r="G382" i="2"/>
  <c r="K386" i="2"/>
  <c r="F405" i="2"/>
  <c r="G406" i="2"/>
  <c r="K314" i="2"/>
  <c r="K323" i="2"/>
  <c r="F326" i="2"/>
  <c r="G327" i="2"/>
  <c r="F335" i="2"/>
  <c r="G336" i="2"/>
  <c r="K340" i="2"/>
  <c r="F343" i="2"/>
  <c r="G352" i="2"/>
  <c r="G362" i="2"/>
  <c r="K366" i="2"/>
  <c r="G381" i="2"/>
  <c r="K385" i="2"/>
  <c r="F388" i="2"/>
  <c r="F396" i="2"/>
  <c r="G405" i="2"/>
  <c r="K409" i="2"/>
  <c r="F412" i="2"/>
  <c r="L172" i="2"/>
  <c r="K172" i="2"/>
  <c r="F274" i="2"/>
  <c r="K297" i="2"/>
  <c r="F64" i="2"/>
  <c r="G172" i="2"/>
  <c r="H50" i="2"/>
  <c r="G71" i="2"/>
  <c r="K62" i="2"/>
  <c r="H71" i="2"/>
  <c r="L71" i="2" s="1"/>
  <c r="F55" i="2"/>
  <c r="F63" i="2"/>
  <c r="K273" i="2"/>
  <c r="K291" i="2"/>
  <c r="H55" i="2"/>
  <c r="K55" i="2" s="1"/>
  <c r="F58" i="2"/>
  <c r="H63" i="2"/>
  <c r="L76" i="2"/>
  <c r="K76" i="2"/>
  <c r="F50" i="2"/>
  <c r="F70" i="2"/>
  <c r="G70" i="2"/>
  <c r="F76" i="2"/>
  <c r="K239" i="2"/>
  <c r="H258" i="2"/>
  <c r="L258" i="2" s="1"/>
  <c r="H283" i="2"/>
  <c r="K283" i="2" s="1"/>
  <c r="G57" i="2"/>
  <c r="G76" i="2"/>
  <c r="F54" i="2"/>
  <c r="H60" i="2"/>
  <c r="K60" i="2" s="1"/>
  <c r="H68" i="2"/>
  <c r="G54" i="2"/>
  <c r="F249" i="2"/>
  <c r="G274" i="2"/>
  <c r="H52" i="2"/>
  <c r="K52" i="2" s="1"/>
  <c r="H56" i="2"/>
  <c r="H58" i="2"/>
  <c r="H64" i="2"/>
  <c r="H66" i="2"/>
  <c r="K53" i="2"/>
  <c r="K67" i="2"/>
  <c r="K59" i="2"/>
  <c r="K70" i="2"/>
  <c r="L70" i="2"/>
  <c r="K51" i="2"/>
  <c r="K54" i="2"/>
  <c r="K61" i="2"/>
  <c r="L69" i="2"/>
  <c r="K69" i="2"/>
  <c r="H234" i="2"/>
  <c r="L234" i="2" s="1"/>
  <c r="K254" i="2"/>
  <c r="H263" i="2"/>
  <c r="K263" i="2" s="1"/>
  <c r="H49" i="2"/>
  <c r="H57" i="2"/>
  <c r="H65" i="2"/>
  <c r="K307" i="2"/>
  <c r="F53" i="2"/>
  <c r="F61" i="2"/>
  <c r="F69" i="2"/>
  <c r="F52" i="2"/>
  <c r="G53" i="2"/>
  <c r="F60" i="2"/>
  <c r="G61" i="2"/>
  <c r="F68" i="2"/>
  <c r="G69" i="2"/>
  <c r="F255" i="2"/>
  <c r="F233" i="2"/>
  <c r="H242" i="2"/>
  <c r="L242" i="2" s="1"/>
  <c r="G258" i="2"/>
  <c r="F51" i="2"/>
  <c r="F59" i="2"/>
  <c r="F67" i="2"/>
  <c r="K303" i="2"/>
  <c r="G51" i="2"/>
  <c r="G59" i="2"/>
  <c r="G67" i="2"/>
  <c r="G246" i="2"/>
  <c r="G249" i="2"/>
  <c r="H290" i="2"/>
  <c r="L290" i="2" s="1"/>
  <c r="F241" i="2"/>
  <c r="H81" i="2"/>
  <c r="K81" i="2" s="1"/>
  <c r="G81" i="2"/>
  <c r="H235" i="2"/>
  <c r="L235" i="2" s="1"/>
  <c r="G271" i="2"/>
  <c r="H286" i="2"/>
  <c r="L286" i="2" s="1"/>
  <c r="H299" i="2"/>
  <c r="L299" i="2" s="1"/>
  <c r="K306" i="2"/>
  <c r="F256" i="2"/>
  <c r="F231" i="2"/>
  <c r="G256" i="2"/>
  <c r="F262" i="2"/>
  <c r="F276" i="2"/>
  <c r="F294" i="2"/>
  <c r="F298" i="2"/>
  <c r="G231" i="2"/>
  <c r="G262" i="2"/>
  <c r="F265" i="2"/>
  <c r="G283" i="2"/>
  <c r="G298" i="2"/>
  <c r="G265" i="2"/>
  <c r="K282" i="2"/>
  <c r="F271" i="2"/>
  <c r="G299" i="2"/>
  <c r="L247" i="2"/>
  <c r="K247" i="2"/>
  <c r="K240" i="2"/>
  <c r="K232" i="2"/>
  <c r="L232" i="2"/>
  <c r="K298" i="2"/>
  <c r="L298" i="2"/>
  <c r="F248" i="2"/>
  <c r="K285" i="2"/>
  <c r="K231" i="2"/>
  <c r="G241" i="2"/>
  <c r="G248" i="2"/>
  <c r="F257" i="2"/>
  <c r="F264" i="2"/>
  <c r="F270" i="2"/>
  <c r="K269" i="2"/>
  <c r="K253" i="2"/>
  <c r="H276" i="2"/>
  <c r="K278" i="2"/>
  <c r="H280" i="2"/>
  <c r="K292" i="2"/>
  <c r="F232" i="2"/>
  <c r="F247" i="2"/>
  <c r="G257" i="2"/>
  <c r="G264" i="2"/>
  <c r="G266" i="2"/>
  <c r="H270" i="2"/>
  <c r="G295" i="2"/>
  <c r="H300" i="2"/>
  <c r="H304" i="2"/>
  <c r="L304" i="2" s="1"/>
  <c r="H308" i="2"/>
  <c r="L308" i="2" s="1"/>
  <c r="F240" i="2"/>
  <c r="G232" i="2"/>
  <c r="G247" i="2"/>
  <c r="F263" i="2"/>
  <c r="H266" i="2"/>
  <c r="L266" i="2" s="1"/>
  <c r="G275" i="2"/>
  <c r="F286" i="2"/>
  <c r="F290" i="2"/>
  <c r="H295" i="2"/>
  <c r="L295" i="2" s="1"/>
  <c r="G240" i="2"/>
  <c r="G234" i="2"/>
  <c r="G242" i="2"/>
  <c r="H275" i="2"/>
  <c r="F277" i="2"/>
  <c r="K284" i="2"/>
  <c r="K272" i="2"/>
  <c r="K288" i="2"/>
  <c r="K296" i="2"/>
  <c r="K302" i="2"/>
  <c r="K309" i="2"/>
  <c r="K277" i="2"/>
  <c r="K301" i="2"/>
  <c r="K293" i="2"/>
  <c r="K274" i="2"/>
  <c r="F280" i="2"/>
  <c r="G289" i="2"/>
  <c r="F304" i="2"/>
  <c r="G305" i="2"/>
  <c r="H289" i="2"/>
  <c r="L289" i="2" s="1"/>
  <c r="H305" i="2"/>
  <c r="L305" i="2" s="1"/>
  <c r="F293" i="2"/>
  <c r="F301" i="2"/>
  <c r="F309" i="2"/>
  <c r="G293" i="2"/>
  <c r="F300" i="2"/>
  <c r="G301" i="2"/>
  <c r="F308" i="2"/>
  <c r="G309" i="2"/>
  <c r="G277" i="2"/>
  <c r="K251" i="2"/>
  <c r="K250" i="2"/>
  <c r="K260" i="2"/>
  <c r="K237" i="2"/>
  <c r="K252" i="2"/>
  <c r="K241" i="2"/>
  <c r="K244" i="2"/>
  <c r="K261" i="2"/>
  <c r="K245" i="2"/>
  <c r="K262" i="2"/>
  <c r="K265" i="2"/>
  <c r="K236" i="2"/>
  <c r="K271" i="2"/>
  <c r="K246" i="2"/>
  <c r="K249" i="2"/>
  <c r="K257" i="2"/>
  <c r="H243" i="2"/>
  <c r="L243" i="2" s="1"/>
  <c r="H259" i="2"/>
  <c r="L259" i="2" s="1"/>
  <c r="H267" i="2"/>
  <c r="L267" i="2" s="1"/>
  <c r="F237" i="2"/>
  <c r="F245" i="2"/>
  <c r="K258" i="2"/>
  <c r="F261" i="2"/>
  <c r="K233" i="2"/>
  <c r="F236" i="2"/>
  <c r="G237" i="2"/>
  <c r="F244" i="2"/>
  <c r="G245" i="2"/>
  <c r="F252" i="2"/>
  <c r="F260" i="2"/>
  <c r="G261" i="2"/>
  <c r="F235" i="2"/>
  <c r="G236" i="2"/>
  <c r="F243" i="2"/>
  <c r="G244" i="2"/>
  <c r="K248" i="2"/>
  <c r="G252" i="2"/>
  <c r="K256" i="2"/>
  <c r="F259" i="2"/>
  <c r="G260" i="2"/>
  <c r="K264" i="2"/>
  <c r="F267" i="2"/>
  <c r="L338" i="2" l="1"/>
  <c r="K375" i="2"/>
  <c r="L339" i="2"/>
  <c r="K368" i="2"/>
  <c r="K378" i="2"/>
  <c r="K324" i="2"/>
  <c r="K411" i="2"/>
  <c r="L329" i="2"/>
  <c r="K299" i="2"/>
  <c r="K393" i="2"/>
  <c r="K312" i="2"/>
  <c r="K346" i="2"/>
  <c r="K315" i="2"/>
  <c r="L364" i="2"/>
  <c r="K325" i="2"/>
  <c r="K334" i="2"/>
  <c r="L294" i="2"/>
  <c r="K316" i="2"/>
  <c r="K358" i="2"/>
  <c r="K399" i="2"/>
  <c r="L263" i="2"/>
  <c r="K349" i="2"/>
  <c r="L415" i="2"/>
  <c r="K415" i="2"/>
  <c r="L354" i="2"/>
  <c r="K354" i="2"/>
  <c r="L391" i="2"/>
  <c r="K391" i="2"/>
  <c r="K410" i="2"/>
  <c r="L255" i="2"/>
  <c r="K322" i="2"/>
  <c r="L322" i="2"/>
  <c r="K402" i="2"/>
  <c r="K343" i="2"/>
  <c r="K335" i="2"/>
  <c r="K412" i="2"/>
  <c r="K326" i="2"/>
  <c r="K396" i="2"/>
  <c r="K388" i="2"/>
  <c r="K71" i="2"/>
  <c r="K234" i="2"/>
  <c r="L283" i="2"/>
  <c r="K50" i="2"/>
  <c r="K63" i="2"/>
  <c r="K286" i="2"/>
  <c r="K66" i="2"/>
  <c r="K64" i="2"/>
  <c r="K58" i="2"/>
  <c r="K56" i="2"/>
  <c r="K266" i="2"/>
  <c r="K295" i="2"/>
  <c r="K68" i="2"/>
  <c r="K235" i="2"/>
  <c r="K65" i="2"/>
  <c r="K57" i="2"/>
  <c r="K49" i="2"/>
  <c r="K242" i="2"/>
  <c r="K290" i="2"/>
  <c r="K304" i="2"/>
  <c r="K280" i="2"/>
  <c r="L280" i="2"/>
  <c r="K308" i="2"/>
  <c r="K276" i="2"/>
  <c r="L276" i="2"/>
  <c r="K270" i="2"/>
  <c r="L270" i="2"/>
  <c r="L275" i="2"/>
  <c r="K275" i="2"/>
  <c r="K300" i="2"/>
  <c r="L300" i="2"/>
  <c r="K305" i="2"/>
  <c r="K289" i="2"/>
  <c r="K259" i="2"/>
  <c r="K243" i="2"/>
  <c r="K267" i="2"/>
  <c r="L10" i="2" l="1"/>
  <c r="L11" i="2"/>
  <c r="L29" i="2"/>
  <c r="L30" i="2"/>
  <c r="L72" i="2"/>
  <c r="L73" i="2"/>
  <c r="L81" i="2"/>
  <c r="L84" i="2"/>
  <c r="L85" i="2"/>
  <c r="L87" i="2"/>
  <c r="L88" i="2"/>
  <c r="L103" i="2"/>
  <c r="L104" i="2"/>
  <c r="L119" i="2"/>
  <c r="L120" i="2"/>
  <c r="L133" i="2"/>
  <c r="L134" i="2"/>
  <c r="L150" i="2"/>
  <c r="L151" i="2"/>
  <c r="L155" i="2"/>
  <c r="L156" i="2"/>
  <c r="L175" i="2"/>
  <c r="L176" i="2"/>
  <c r="L179" i="2"/>
  <c r="L180" i="2"/>
  <c r="L186" i="2"/>
  <c r="L187" i="2"/>
  <c r="L194" i="2"/>
  <c r="L195" i="2"/>
  <c r="L197" i="2"/>
  <c r="L198" i="2"/>
  <c r="L201" i="2"/>
  <c r="L202" i="2"/>
  <c r="L210" i="2"/>
  <c r="L211" i="2"/>
  <c r="J10" i="2"/>
  <c r="I10" i="2"/>
  <c r="G10" i="2" s="1"/>
  <c r="H10" i="2"/>
  <c r="F10" i="2"/>
  <c r="F11" i="2"/>
  <c r="H11" i="2"/>
  <c r="I11" i="2"/>
  <c r="G11" i="2" s="1"/>
  <c r="J11" i="2"/>
  <c r="J9" i="2"/>
  <c r="I9" i="2"/>
  <c r="H9" i="2" s="1"/>
  <c r="L8" i="2"/>
  <c r="J8" i="2"/>
  <c r="I8" i="2"/>
  <c r="G8" i="2" s="1"/>
  <c r="H8" i="2"/>
  <c r="F8" i="2"/>
  <c r="J193" i="2"/>
  <c r="I193" i="2"/>
  <c r="H193" i="2" s="1"/>
  <c r="L193" i="2" s="1"/>
  <c r="J189" i="2"/>
  <c r="I189" i="2"/>
  <c r="F189" i="2" s="1"/>
  <c r="J185" i="2"/>
  <c r="I185" i="2"/>
  <c r="H185" i="2" s="1"/>
  <c r="L185" i="2" s="1"/>
  <c r="J34" i="2"/>
  <c r="I34" i="2"/>
  <c r="H34" i="2" s="1"/>
  <c r="L34" i="2" s="1"/>
  <c r="J229" i="2"/>
  <c r="I229" i="2"/>
  <c r="G229" i="2" s="1"/>
  <c r="H229" i="2"/>
  <c r="F229" i="2"/>
  <c r="J228" i="2"/>
  <c r="I228" i="2"/>
  <c r="G228" i="2" s="1"/>
  <c r="J227" i="2"/>
  <c r="I227" i="2"/>
  <c r="H227" i="2" s="1"/>
  <c r="L227" i="2" s="1"/>
  <c r="J226" i="2"/>
  <c r="I226" i="2"/>
  <c r="H226" i="2" s="1"/>
  <c r="L226" i="2" s="1"/>
  <c r="J225" i="2"/>
  <c r="I225" i="2"/>
  <c r="G225" i="2" s="1"/>
  <c r="J224" i="2"/>
  <c r="I224" i="2"/>
  <c r="H224" i="2" s="1"/>
  <c r="L224" i="2" s="1"/>
  <c r="J223" i="2"/>
  <c r="I223" i="2"/>
  <c r="G223" i="2" s="1"/>
  <c r="J222" i="2"/>
  <c r="I222" i="2"/>
  <c r="G222" i="2" s="1"/>
  <c r="J221" i="2"/>
  <c r="I221" i="2"/>
  <c r="H221" i="2" s="1"/>
  <c r="L221" i="2" s="1"/>
  <c r="J220" i="2"/>
  <c r="I220" i="2"/>
  <c r="G220" i="2" s="1"/>
  <c r="J219" i="2"/>
  <c r="I219" i="2"/>
  <c r="H219" i="2" s="1"/>
  <c r="L219" i="2" s="1"/>
  <c r="J218" i="2"/>
  <c r="I218" i="2"/>
  <c r="G218" i="2" s="1"/>
  <c r="J217" i="2"/>
  <c r="I217" i="2"/>
  <c r="G217" i="2" s="1"/>
  <c r="J216" i="2"/>
  <c r="I216" i="2"/>
  <c r="H216" i="2" s="1"/>
  <c r="L216" i="2" s="1"/>
  <c r="J215" i="2"/>
  <c r="I215" i="2"/>
  <c r="G215" i="2" s="1"/>
  <c r="J214" i="2"/>
  <c r="I214" i="2"/>
  <c r="F214" i="2" s="1"/>
  <c r="J213" i="2"/>
  <c r="I213" i="2"/>
  <c r="H213" i="2" s="1"/>
  <c r="L213" i="2" s="1"/>
  <c r="J212" i="2"/>
  <c r="I212" i="2"/>
  <c r="G212" i="2" s="1"/>
  <c r="J211" i="2"/>
  <c r="I211" i="2"/>
  <c r="G211" i="2" s="1"/>
  <c r="H211" i="2"/>
  <c r="J210" i="2"/>
  <c r="I210" i="2"/>
  <c r="G210" i="2" s="1"/>
  <c r="H210" i="2"/>
  <c r="F210" i="2"/>
  <c r="J209" i="2"/>
  <c r="I209" i="2"/>
  <c r="G209" i="2" s="1"/>
  <c r="J208" i="2"/>
  <c r="I208" i="2"/>
  <c r="H208" i="2" s="1"/>
  <c r="L208" i="2" s="1"/>
  <c r="J207" i="2"/>
  <c r="I207" i="2"/>
  <c r="G207" i="2" s="1"/>
  <c r="J206" i="2"/>
  <c r="I206" i="2"/>
  <c r="F206" i="2" s="1"/>
  <c r="J205" i="2"/>
  <c r="I205" i="2"/>
  <c r="H205" i="2" s="1"/>
  <c r="L205" i="2" s="1"/>
  <c r="J204" i="2"/>
  <c r="I204" i="2"/>
  <c r="G204" i="2" s="1"/>
  <c r="J203" i="2"/>
  <c r="I203" i="2"/>
  <c r="G203" i="2" s="1"/>
  <c r="K11" i="2" l="1"/>
  <c r="K10" i="2"/>
  <c r="K8" i="2"/>
  <c r="F217" i="2"/>
  <c r="F222" i="2"/>
  <c r="H217" i="2"/>
  <c r="L217" i="2" s="1"/>
  <c r="F223" i="2"/>
  <c r="H223" i="2"/>
  <c r="L223" i="2" s="1"/>
  <c r="F218" i="2"/>
  <c r="H218" i="2"/>
  <c r="L218" i="2" s="1"/>
  <c r="H228" i="2"/>
  <c r="L228" i="2" s="1"/>
  <c r="H203" i="2"/>
  <c r="L203" i="2" s="1"/>
  <c r="L9" i="2"/>
  <c r="K9" i="2"/>
  <c r="H222" i="2"/>
  <c r="L222" i="2" s="1"/>
  <c r="H189" i="2"/>
  <c r="F9" i="2"/>
  <c r="G9" i="2"/>
  <c r="F209" i="2"/>
  <c r="F203" i="2"/>
  <c r="H209" i="2"/>
  <c r="L209" i="2" s="1"/>
  <c r="F228" i="2"/>
  <c r="F193" i="2"/>
  <c r="G189" i="2"/>
  <c r="K193" i="2"/>
  <c r="G193" i="2"/>
  <c r="F227" i="2"/>
  <c r="F219" i="2"/>
  <c r="G227" i="2"/>
  <c r="H214" i="2"/>
  <c r="L214" i="2" s="1"/>
  <c r="K210" i="2"/>
  <c r="F185" i="2"/>
  <c r="F226" i="2"/>
  <c r="G185" i="2"/>
  <c r="K185" i="2"/>
  <c r="H207" i="2"/>
  <c r="L207" i="2" s="1"/>
  <c r="H204" i="2"/>
  <c r="L204" i="2" s="1"/>
  <c r="G214" i="2"/>
  <c r="H225" i="2"/>
  <c r="L225" i="2" s="1"/>
  <c r="F34" i="2"/>
  <c r="K226" i="2"/>
  <c r="K34" i="2"/>
  <c r="G219" i="2"/>
  <c r="F225" i="2"/>
  <c r="G226" i="2"/>
  <c r="G34" i="2"/>
  <c r="H212" i="2"/>
  <c r="L212" i="2" s="1"/>
  <c r="K229" i="2"/>
  <c r="G206" i="2"/>
  <c r="H215" i="2"/>
  <c r="L215" i="2" s="1"/>
  <c r="H206" i="2"/>
  <c r="L206" i="2" s="1"/>
  <c r="F211" i="2"/>
  <c r="H220" i="2"/>
  <c r="L220" i="2" s="1"/>
  <c r="K224" i="2"/>
  <c r="K221" i="2"/>
  <c r="K213" i="2"/>
  <c r="K208" i="2"/>
  <c r="K216" i="2"/>
  <c r="K205" i="2"/>
  <c r="F208" i="2"/>
  <c r="F216" i="2"/>
  <c r="F224" i="2"/>
  <c r="F207" i="2"/>
  <c r="G208" i="2"/>
  <c r="F215" i="2"/>
  <c r="G216" i="2"/>
  <c r="G224" i="2"/>
  <c r="K211" i="2"/>
  <c r="K219" i="2"/>
  <c r="K227" i="2"/>
  <c r="F205" i="2"/>
  <c r="F221" i="2"/>
  <c r="F213" i="2"/>
  <c r="F204" i="2"/>
  <c r="F212" i="2"/>
  <c r="G213" i="2"/>
  <c r="F220" i="2"/>
  <c r="G221" i="2"/>
  <c r="G205" i="2"/>
  <c r="K217" i="2" l="1"/>
  <c r="K218" i="2"/>
  <c r="K189" i="2"/>
  <c r="L189" i="2"/>
  <c r="K214" i="2"/>
  <c r="K228" i="2"/>
  <c r="K220" i="2"/>
  <c r="K223" i="2"/>
  <c r="K203" i="2"/>
  <c r="K222" i="2"/>
  <c r="K209" i="2"/>
  <c r="K204" i="2"/>
  <c r="K212" i="2"/>
  <c r="K207" i="2"/>
  <c r="K225" i="2"/>
  <c r="K206" i="2"/>
  <c r="K215" i="2"/>
  <c r="J89" i="2" l="1"/>
  <c r="I89" i="2"/>
  <c r="G89" i="2" s="1"/>
  <c r="J88" i="2"/>
  <c r="I88" i="2"/>
  <c r="H88" i="2" s="1"/>
  <c r="J87" i="2"/>
  <c r="I87" i="2"/>
  <c r="H87" i="2" s="1"/>
  <c r="J86" i="2"/>
  <c r="I86" i="2"/>
  <c r="H86" i="2" s="1"/>
  <c r="L86" i="2" s="1"/>
  <c r="J84" i="2"/>
  <c r="I84" i="2"/>
  <c r="H84" i="2" s="1"/>
  <c r="J83" i="2"/>
  <c r="I83" i="2"/>
  <c r="H83" i="2" s="1"/>
  <c r="L83" i="2" s="1"/>
  <c r="J82" i="2"/>
  <c r="I82" i="2"/>
  <c r="F82" i="2" s="1"/>
  <c r="J77" i="2"/>
  <c r="I77" i="2"/>
  <c r="G77" i="2" s="1"/>
  <c r="J80" i="2"/>
  <c r="I80" i="2"/>
  <c r="H80" i="2" s="1"/>
  <c r="L80" i="2" s="1"/>
  <c r="J79" i="2"/>
  <c r="I79" i="2"/>
  <c r="F79" i="2" s="1"/>
  <c r="J78" i="2"/>
  <c r="I78" i="2"/>
  <c r="H78" i="2" s="1"/>
  <c r="L78" i="2" s="1"/>
  <c r="J202" i="2"/>
  <c r="I202" i="2"/>
  <c r="G202" i="2" s="1"/>
  <c r="H202" i="2"/>
  <c r="F202" i="2"/>
  <c r="J201" i="2"/>
  <c r="I201" i="2"/>
  <c r="H201" i="2" s="1"/>
  <c r="J200" i="2"/>
  <c r="I200" i="2"/>
  <c r="F200" i="2" s="1"/>
  <c r="J199" i="2"/>
  <c r="I199" i="2"/>
  <c r="H199" i="2" s="1"/>
  <c r="L199" i="2" s="1"/>
  <c r="J198" i="2"/>
  <c r="I198" i="2"/>
  <c r="G198" i="2" s="1"/>
  <c r="H198" i="2"/>
  <c r="F198" i="2"/>
  <c r="J197" i="2"/>
  <c r="I197" i="2"/>
  <c r="G197" i="2" s="1"/>
  <c r="H197" i="2"/>
  <c r="F197" i="2"/>
  <c r="J196" i="2"/>
  <c r="I196" i="2"/>
  <c r="F196" i="2" s="1"/>
  <c r="J195" i="2"/>
  <c r="I195" i="2"/>
  <c r="H195" i="2" s="1"/>
  <c r="J194" i="2"/>
  <c r="I194" i="2"/>
  <c r="G194" i="2" s="1"/>
  <c r="J192" i="2"/>
  <c r="I192" i="2"/>
  <c r="F192" i="2" s="1"/>
  <c r="J191" i="2"/>
  <c r="I191" i="2"/>
  <c r="G191" i="2" s="1"/>
  <c r="J190" i="2"/>
  <c r="I190" i="2"/>
  <c r="G190" i="2" s="1"/>
  <c r="J188" i="2"/>
  <c r="I188" i="2"/>
  <c r="G188" i="2" s="1"/>
  <c r="J187" i="2"/>
  <c r="I187" i="2"/>
  <c r="G187" i="2" s="1"/>
  <c r="J186" i="2"/>
  <c r="I186" i="2"/>
  <c r="G186" i="2" s="1"/>
  <c r="J184" i="2"/>
  <c r="I184" i="2"/>
  <c r="F184" i="2" s="1"/>
  <c r="J183" i="2"/>
  <c r="I183" i="2"/>
  <c r="F183" i="2" s="1"/>
  <c r="J182" i="2"/>
  <c r="I182" i="2"/>
  <c r="F182" i="2" s="1"/>
  <c r="J181" i="2"/>
  <c r="I181" i="2"/>
  <c r="H181" i="2" s="1"/>
  <c r="L181" i="2" s="1"/>
  <c r="J180" i="2"/>
  <c r="I180" i="2"/>
  <c r="H180" i="2" s="1"/>
  <c r="J179" i="2"/>
  <c r="I179" i="2"/>
  <c r="G179" i="2" s="1"/>
  <c r="J178" i="2"/>
  <c r="I178" i="2"/>
  <c r="F178" i="2" s="1"/>
  <c r="J177" i="2"/>
  <c r="I177" i="2"/>
  <c r="G177" i="2" s="1"/>
  <c r="J176" i="2"/>
  <c r="I176" i="2"/>
  <c r="H176" i="2" s="1"/>
  <c r="J175" i="2"/>
  <c r="I175" i="2"/>
  <c r="F175" i="2" s="1"/>
  <c r="J174" i="2"/>
  <c r="I174" i="2"/>
  <c r="G174" i="2" s="1"/>
  <c r="J173" i="2"/>
  <c r="I173" i="2"/>
  <c r="G173" i="2" s="1"/>
  <c r="J171" i="2"/>
  <c r="I171" i="2"/>
  <c r="H171" i="2" s="1"/>
  <c r="L171" i="2" s="1"/>
  <c r="J170" i="2"/>
  <c r="I170" i="2"/>
  <c r="G170" i="2" s="1"/>
  <c r="J169" i="2"/>
  <c r="I169" i="2"/>
  <c r="F169" i="2" s="1"/>
  <c r="J168" i="2"/>
  <c r="I168" i="2"/>
  <c r="G168" i="2" s="1"/>
  <c r="J167" i="2"/>
  <c r="I167" i="2"/>
  <c r="H167" i="2" s="1"/>
  <c r="L167" i="2" s="1"/>
  <c r="J166" i="2"/>
  <c r="I166" i="2"/>
  <c r="H166" i="2" s="1"/>
  <c r="L166" i="2" s="1"/>
  <c r="J165" i="2"/>
  <c r="I165" i="2"/>
  <c r="G165" i="2" s="1"/>
  <c r="J164" i="2"/>
  <c r="I164" i="2"/>
  <c r="G164" i="2" s="1"/>
  <c r="J163" i="2"/>
  <c r="I163" i="2"/>
  <c r="H163" i="2" s="1"/>
  <c r="L163" i="2" s="1"/>
  <c r="J162" i="2"/>
  <c r="I162" i="2"/>
  <c r="G162" i="2" s="1"/>
  <c r="J161" i="2"/>
  <c r="I161" i="2"/>
  <c r="G161" i="2" s="1"/>
  <c r="J160" i="2"/>
  <c r="I160" i="2"/>
  <c r="G160" i="2" s="1"/>
  <c r="J159" i="2"/>
  <c r="I159" i="2"/>
  <c r="F159" i="2" s="1"/>
  <c r="J158" i="2"/>
  <c r="I158" i="2"/>
  <c r="H158" i="2" s="1"/>
  <c r="L158" i="2" s="1"/>
  <c r="J157" i="2"/>
  <c r="I157" i="2"/>
  <c r="H157" i="2" s="1"/>
  <c r="L157" i="2" s="1"/>
  <c r="J156" i="2"/>
  <c r="I156" i="2"/>
  <c r="H156" i="2" s="1"/>
  <c r="J155" i="2"/>
  <c r="I155" i="2"/>
  <c r="H155" i="2" s="1"/>
  <c r="J154" i="2"/>
  <c r="I154" i="2"/>
  <c r="G154" i="2" s="1"/>
  <c r="J153" i="2"/>
  <c r="I153" i="2"/>
  <c r="G153" i="2" s="1"/>
  <c r="J152" i="2"/>
  <c r="I152" i="2"/>
  <c r="G152" i="2" s="1"/>
  <c r="J151" i="2"/>
  <c r="I151" i="2"/>
  <c r="G151" i="2" s="1"/>
  <c r="H151" i="2"/>
  <c r="F151" i="2"/>
  <c r="J150" i="2"/>
  <c r="I150" i="2"/>
  <c r="G150" i="2" s="1"/>
  <c r="J149" i="2"/>
  <c r="I149" i="2"/>
  <c r="F149" i="2" s="1"/>
  <c r="J148" i="2"/>
  <c r="I148" i="2"/>
  <c r="H148" i="2" s="1"/>
  <c r="L148" i="2" s="1"/>
  <c r="J147" i="2"/>
  <c r="I147" i="2"/>
  <c r="J146" i="2"/>
  <c r="I146" i="2"/>
  <c r="J145" i="2"/>
  <c r="I145" i="2"/>
  <c r="H145" i="2" s="1"/>
  <c r="L145" i="2" s="1"/>
  <c r="J144" i="2"/>
  <c r="I144" i="2"/>
  <c r="G144" i="2" s="1"/>
  <c r="J143" i="2"/>
  <c r="I143" i="2"/>
  <c r="F143" i="2" s="1"/>
  <c r="J142" i="2"/>
  <c r="I142" i="2"/>
  <c r="G142" i="2" s="1"/>
  <c r="J141" i="2"/>
  <c r="I141" i="2"/>
  <c r="G141" i="2" s="1"/>
  <c r="I40" i="2"/>
  <c r="G40" i="2" s="1"/>
  <c r="J40" i="2"/>
  <c r="I41" i="2"/>
  <c r="H41" i="2" s="1"/>
  <c r="L41" i="2" s="1"/>
  <c r="J41" i="2"/>
  <c r="I42" i="2"/>
  <c r="G42" i="2" s="1"/>
  <c r="J42" i="2"/>
  <c r="I43" i="2"/>
  <c r="F43" i="2" s="1"/>
  <c r="J43" i="2"/>
  <c r="I44" i="2"/>
  <c r="F44" i="2" s="1"/>
  <c r="J44" i="2"/>
  <c r="I45" i="2"/>
  <c r="F45" i="2" s="1"/>
  <c r="J45" i="2"/>
  <c r="I46" i="2"/>
  <c r="J46" i="2"/>
  <c r="I47" i="2"/>
  <c r="F47" i="2" s="1"/>
  <c r="J47" i="2"/>
  <c r="I48" i="2"/>
  <c r="G48" i="2" s="1"/>
  <c r="J48" i="2"/>
  <c r="F72" i="2"/>
  <c r="H72" i="2"/>
  <c r="I72" i="2"/>
  <c r="G72" i="2" s="1"/>
  <c r="J72" i="2"/>
  <c r="I73" i="2"/>
  <c r="G73" i="2" s="1"/>
  <c r="J73" i="2"/>
  <c r="I74" i="2"/>
  <c r="F74" i="2" s="1"/>
  <c r="J74" i="2"/>
  <c r="I75" i="2"/>
  <c r="F75" i="2" s="1"/>
  <c r="J75" i="2"/>
  <c r="I90" i="2"/>
  <c r="G90" i="2" s="1"/>
  <c r="J90" i="2"/>
  <c r="J128" i="2"/>
  <c r="I128" i="2"/>
  <c r="H128" i="2" s="1"/>
  <c r="L128" i="2" s="1"/>
  <c r="J127" i="2"/>
  <c r="I127" i="2"/>
  <c r="H127" i="2" s="1"/>
  <c r="L127" i="2" s="1"/>
  <c r="J136" i="2"/>
  <c r="I136" i="2"/>
  <c r="H136" i="2" s="1"/>
  <c r="L136" i="2" s="1"/>
  <c r="J135" i="2"/>
  <c r="I135" i="2"/>
  <c r="G135" i="2" s="1"/>
  <c r="J129" i="2"/>
  <c r="I129" i="2"/>
  <c r="H129" i="2" s="1"/>
  <c r="L129" i="2" s="1"/>
  <c r="J115" i="2"/>
  <c r="I115" i="2"/>
  <c r="G115" i="2" s="1"/>
  <c r="F141" i="2" l="1"/>
  <c r="F48" i="2"/>
  <c r="F174" i="2"/>
  <c r="H174" i="2"/>
  <c r="L174" i="2" s="1"/>
  <c r="H141" i="2"/>
  <c r="L141" i="2" s="1"/>
  <c r="H165" i="2"/>
  <c r="L165" i="2" s="1"/>
  <c r="H152" i="2"/>
  <c r="L152" i="2" s="1"/>
  <c r="F191" i="2"/>
  <c r="F152" i="2"/>
  <c r="H191" i="2"/>
  <c r="L191" i="2" s="1"/>
  <c r="G146" i="2"/>
  <c r="F146" i="2"/>
  <c r="G147" i="2"/>
  <c r="F147" i="2"/>
  <c r="F165" i="2"/>
  <c r="F190" i="2"/>
  <c r="H89" i="2"/>
  <c r="F90" i="2"/>
  <c r="H147" i="2"/>
  <c r="L147" i="2" s="1"/>
  <c r="F164" i="2"/>
  <c r="H90" i="2"/>
  <c r="L90" i="2" s="1"/>
  <c r="H48" i="2"/>
  <c r="L48" i="2" s="1"/>
  <c r="H146" i="2"/>
  <c r="L146" i="2" s="1"/>
  <c r="H164" i="2"/>
  <c r="L164" i="2" s="1"/>
  <c r="H190" i="2"/>
  <c r="L190" i="2" s="1"/>
  <c r="F173" i="2"/>
  <c r="H173" i="2"/>
  <c r="L173" i="2" s="1"/>
  <c r="F77" i="2"/>
  <c r="H82" i="2"/>
  <c r="L82" i="2" s="1"/>
  <c r="G82" i="2"/>
  <c r="G88" i="2"/>
  <c r="F84" i="2"/>
  <c r="F88" i="2"/>
  <c r="F89" i="2"/>
  <c r="K88" i="2"/>
  <c r="K86" i="2"/>
  <c r="K87" i="2"/>
  <c r="F87" i="2"/>
  <c r="F86" i="2"/>
  <c r="G87" i="2"/>
  <c r="G86" i="2"/>
  <c r="K83" i="2"/>
  <c r="K84" i="2"/>
  <c r="F83" i="2"/>
  <c r="G84" i="2"/>
  <c r="G83" i="2"/>
  <c r="H77" i="2"/>
  <c r="L77" i="2" s="1"/>
  <c r="G79" i="2"/>
  <c r="H79" i="2"/>
  <c r="L79" i="2" s="1"/>
  <c r="H196" i="2"/>
  <c r="L196" i="2" s="1"/>
  <c r="K80" i="2"/>
  <c r="F80" i="2"/>
  <c r="G80" i="2"/>
  <c r="H200" i="2"/>
  <c r="L200" i="2" s="1"/>
  <c r="G182" i="2"/>
  <c r="H182" i="2"/>
  <c r="L182" i="2" s="1"/>
  <c r="F78" i="2"/>
  <c r="K78" i="2"/>
  <c r="G78" i="2"/>
  <c r="H184" i="2"/>
  <c r="L184" i="2" s="1"/>
  <c r="G200" i="2"/>
  <c r="F148" i="2"/>
  <c r="G166" i="2"/>
  <c r="F176" i="2"/>
  <c r="G176" i="2"/>
  <c r="F150" i="2"/>
  <c r="H162" i="2"/>
  <c r="L162" i="2" s="1"/>
  <c r="F166" i="2"/>
  <c r="G184" i="2"/>
  <c r="H144" i="2"/>
  <c r="L144" i="2" s="1"/>
  <c r="K198" i="2"/>
  <c r="H149" i="2"/>
  <c r="F201" i="2"/>
  <c r="K166" i="2"/>
  <c r="G149" i="2"/>
  <c r="H177" i="2"/>
  <c r="L177" i="2" s="1"/>
  <c r="H186" i="2"/>
  <c r="G159" i="2"/>
  <c r="H159" i="2"/>
  <c r="L159" i="2" s="1"/>
  <c r="H168" i="2"/>
  <c r="L168" i="2" s="1"/>
  <c r="H192" i="2"/>
  <c r="L192" i="2" s="1"/>
  <c r="H150" i="2"/>
  <c r="H154" i="2"/>
  <c r="L154" i="2" s="1"/>
  <c r="F142" i="2"/>
  <c r="F158" i="2"/>
  <c r="K197" i="2"/>
  <c r="H142" i="2"/>
  <c r="L142" i="2" s="1"/>
  <c r="G158" i="2"/>
  <c r="H175" i="2"/>
  <c r="F177" i="2"/>
  <c r="H183" i="2"/>
  <c r="L183" i="2" s="1"/>
  <c r="F186" i="2"/>
  <c r="K148" i="2"/>
  <c r="K158" i="2"/>
  <c r="K156" i="2"/>
  <c r="K157" i="2"/>
  <c r="F168" i="2"/>
  <c r="G175" i="2"/>
  <c r="H179" i="2"/>
  <c r="G183" i="2"/>
  <c r="H188" i="2"/>
  <c r="L188" i="2" s="1"/>
  <c r="G192" i="2"/>
  <c r="H194" i="2"/>
  <c r="F157" i="2"/>
  <c r="F167" i="2"/>
  <c r="G148" i="2"/>
  <c r="K151" i="2"/>
  <c r="F156" i="2"/>
  <c r="G157" i="2"/>
  <c r="G167" i="2"/>
  <c r="F195" i="2"/>
  <c r="K202" i="2"/>
  <c r="G156" i="2"/>
  <c r="F160" i="2"/>
  <c r="F181" i="2"/>
  <c r="G195" i="2"/>
  <c r="K141" i="2"/>
  <c r="G143" i="2"/>
  <c r="H160" i="2"/>
  <c r="L160" i="2" s="1"/>
  <c r="H170" i="2"/>
  <c r="L170" i="2" s="1"/>
  <c r="F194" i="2"/>
  <c r="K155" i="2"/>
  <c r="K180" i="2"/>
  <c r="K201" i="2"/>
  <c r="K145" i="2"/>
  <c r="K163" i="2"/>
  <c r="K181" i="2"/>
  <c r="K171" i="2"/>
  <c r="K199" i="2"/>
  <c r="G169" i="2"/>
  <c r="G178" i="2"/>
  <c r="H143" i="2"/>
  <c r="L143" i="2" s="1"/>
  <c r="H153" i="2"/>
  <c r="L153" i="2" s="1"/>
  <c r="H161" i="2"/>
  <c r="L161" i="2" s="1"/>
  <c r="H169" i="2"/>
  <c r="L169" i="2" s="1"/>
  <c r="H178" i="2"/>
  <c r="L178" i="2" s="1"/>
  <c r="H187" i="2"/>
  <c r="G196" i="2"/>
  <c r="G201" i="2"/>
  <c r="F145" i="2"/>
  <c r="F155" i="2"/>
  <c r="F163" i="2"/>
  <c r="F171" i="2"/>
  <c r="F180" i="2"/>
  <c r="G181" i="2"/>
  <c r="F199" i="2"/>
  <c r="F144" i="2"/>
  <c r="G145" i="2"/>
  <c r="F154" i="2"/>
  <c r="G155" i="2"/>
  <c r="F162" i="2"/>
  <c r="G163" i="2"/>
  <c r="K167" i="2"/>
  <c r="F170" i="2"/>
  <c r="G171" i="2"/>
  <c r="K176" i="2"/>
  <c r="F179" i="2"/>
  <c r="G180" i="2"/>
  <c r="F188" i="2"/>
  <c r="K195" i="2"/>
  <c r="G199" i="2"/>
  <c r="F153" i="2"/>
  <c r="F161" i="2"/>
  <c r="F187" i="2"/>
  <c r="F46" i="2"/>
  <c r="G46" i="2"/>
  <c r="K72" i="2"/>
  <c r="H47" i="2"/>
  <c r="L47" i="2" s="1"/>
  <c r="H44" i="2"/>
  <c r="L44" i="2" s="1"/>
  <c r="H42" i="2"/>
  <c r="L42" i="2" s="1"/>
  <c r="G75" i="2"/>
  <c r="F73" i="2"/>
  <c r="G44" i="2"/>
  <c r="F42" i="2"/>
  <c r="H75" i="2"/>
  <c r="L75" i="2" s="1"/>
  <c r="H73" i="2"/>
  <c r="G41" i="2"/>
  <c r="G74" i="2"/>
  <c r="G43" i="2"/>
  <c r="K41" i="2"/>
  <c r="F40" i="2"/>
  <c r="H74" i="2"/>
  <c r="L74" i="2" s="1"/>
  <c r="H43" i="2"/>
  <c r="L43" i="2" s="1"/>
  <c r="F41" i="2"/>
  <c r="H45" i="2"/>
  <c r="L45" i="2" s="1"/>
  <c r="H46" i="2"/>
  <c r="L46" i="2" s="1"/>
  <c r="G45" i="2"/>
  <c r="G47" i="2"/>
  <c r="H40" i="2"/>
  <c r="L40" i="2" s="1"/>
  <c r="F128" i="2"/>
  <c r="K128" i="2"/>
  <c r="G128" i="2"/>
  <c r="F127" i="2"/>
  <c r="K127" i="2"/>
  <c r="G127" i="2"/>
  <c r="H135" i="2"/>
  <c r="L135" i="2" s="1"/>
  <c r="F136" i="2"/>
  <c r="G136" i="2"/>
  <c r="K136" i="2"/>
  <c r="F135" i="2"/>
  <c r="F129" i="2"/>
  <c r="G129" i="2"/>
  <c r="K129" i="2"/>
  <c r="H115" i="2"/>
  <c r="L115" i="2" s="1"/>
  <c r="F115" i="2"/>
  <c r="K152" i="2" l="1"/>
  <c r="K174" i="2"/>
  <c r="K149" i="2"/>
  <c r="L149" i="2"/>
  <c r="K89" i="2"/>
  <c r="L89" i="2"/>
  <c r="K165" i="2"/>
  <c r="K90" i="2"/>
  <c r="K191" i="2"/>
  <c r="K200" i="2"/>
  <c r="K48" i="2"/>
  <c r="K164" i="2"/>
  <c r="K190" i="2"/>
  <c r="K147" i="2"/>
  <c r="K173" i="2"/>
  <c r="K146" i="2"/>
  <c r="K82" i="2"/>
  <c r="K44" i="2"/>
  <c r="K42" i="2"/>
  <c r="K170" i="2"/>
  <c r="K175" i="2"/>
  <c r="K186" i="2"/>
  <c r="K183" i="2"/>
  <c r="K144" i="2"/>
  <c r="K182" i="2"/>
  <c r="K77" i="2"/>
  <c r="K79" i="2"/>
  <c r="K196" i="2"/>
  <c r="K159" i="2"/>
  <c r="K142" i="2"/>
  <c r="K73" i="2"/>
  <c r="K184" i="2"/>
  <c r="K179" i="2"/>
  <c r="K177" i="2"/>
  <c r="K162" i="2"/>
  <c r="K154" i="2"/>
  <c r="K150" i="2"/>
  <c r="K168" i="2"/>
  <c r="K160" i="2"/>
  <c r="K192" i="2"/>
  <c r="K194" i="2"/>
  <c r="K188" i="2"/>
  <c r="K187" i="2"/>
  <c r="K143" i="2"/>
  <c r="K178" i="2"/>
  <c r="K169" i="2"/>
  <c r="K161" i="2"/>
  <c r="K153" i="2"/>
  <c r="K75" i="2"/>
  <c r="K47" i="2"/>
  <c r="K74" i="2"/>
  <c r="K43" i="2"/>
  <c r="K40" i="2"/>
  <c r="K46" i="2"/>
  <c r="K45" i="2"/>
  <c r="K135" i="2"/>
  <c r="K115" i="2"/>
  <c r="J103" i="2" l="1"/>
  <c r="I103" i="2"/>
  <c r="H103" i="2" s="1"/>
  <c r="J38" i="2"/>
  <c r="I38" i="2"/>
  <c r="H38" i="2" s="1"/>
  <c r="L38" i="2" s="1"/>
  <c r="J25" i="2"/>
  <c r="I25" i="2"/>
  <c r="H25" i="2" s="1"/>
  <c r="L25" i="2" s="1"/>
  <c r="F103" i="2" l="1"/>
  <c r="K103" i="2"/>
  <c r="G103" i="2"/>
  <c r="F38" i="2"/>
  <c r="K38" i="2"/>
  <c r="G38" i="2"/>
  <c r="F25" i="2"/>
  <c r="K25" i="2"/>
  <c r="G25" i="2"/>
  <c r="J123" i="2"/>
  <c r="I123" i="2"/>
  <c r="F123" i="2" s="1"/>
  <c r="J117" i="2"/>
  <c r="I117" i="2"/>
  <c r="H117" i="2" s="1"/>
  <c r="L117" i="2" s="1"/>
  <c r="G123" i="2" l="1"/>
  <c r="H123" i="2"/>
  <c r="L123" i="2" s="1"/>
  <c r="F117" i="2"/>
  <c r="G117" i="2"/>
  <c r="K117" i="2"/>
  <c r="J111" i="2"/>
  <c r="I111" i="2"/>
  <c r="H111" i="2" s="1"/>
  <c r="L111" i="2" s="1"/>
  <c r="J105" i="2"/>
  <c r="I105" i="2"/>
  <c r="H105" i="2" s="1"/>
  <c r="L105" i="2" s="1"/>
  <c r="K123" i="2" l="1"/>
  <c r="G111" i="2"/>
  <c r="F111" i="2"/>
  <c r="K111" i="2"/>
  <c r="K105" i="2"/>
  <c r="F105" i="2"/>
  <c r="G105" i="2"/>
  <c r="J99" i="2"/>
  <c r="I99" i="2"/>
  <c r="H99" i="2" s="1"/>
  <c r="L99" i="2" s="1"/>
  <c r="J97" i="2"/>
  <c r="I97" i="2"/>
  <c r="G97" i="2" s="1"/>
  <c r="J96" i="2"/>
  <c r="I96" i="2"/>
  <c r="H96" i="2" s="1"/>
  <c r="L96" i="2" s="1"/>
  <c r="J93" i="2"/>
  <c r="I93" i="2"/>
  <c r="H93" i="2" s="1"/>
  <c r="L93" i="2" s="1"/>
  <c r="H97" i="2" l="1"/>
  <c r="L97" i="2" s="1"/>
  <c r="F97" i="2"/>
  <c r="K99" i="2"/>
  <c r="F99" i="2"/>
  <c r="G99" i="2"/>
  <c r="K96" i="2"/>
  <c r="F96" i="2"/>
  <c r="G96" i="2"/>
  <c r="K93" i="2"/>
  <c r="F93" i="2"/>
  <c r="G93" i="2"/>
  <c r="K97" i="2" l="1"/>
  <c r="J33" i="2" l="1"/>
  <c r="I33" i="2"/>
  <c r="G33" i="2" s="1"/>
  <c r="F33" i="2" l="1"/>
  <c r="H33" i="2"/>
  <c r="L33" i="2" s="1"/>
  <c r="K33" i="2" l="1"/>
  <c r="J108" i="2" l="1"/>
  <c r="I108" i="2"/>
  <c r="H108" i="2" s="1"/>
  <c r="L108" i="2" s="1"/>
  <c r="J132" i="2"/>
  <c r="I132" i="2"/>
  <c r="G132" i="2" s="1"/>
  <c r="J138" i="2"/>
  <c r="I138" i="2"/>
  <c r="G138" i="2" s="1"/>
  <c r="J139" i="2"/>
  <c r="I139" i="2"/>
  <c r="H139" i="2" s="1"/>
  <c r="L139" i="2" s="1"/>
  <c r="K108" i="2" l="1"/>
  <c r="F108" i="2"/>
  <c r="G108" i="2"/>
  <c r="F132" i="2"/>
  <c r="H132" i="2"/>
  <c r="L132" i="2" s="1"/>
  <c r="H138" i="2"/>
  <c r="L138" i="2" s="1"/>
  <c r="F138" i="2"/>
  <c r="K139" i="2"/>
  <c r="F139" i="2"/>
  <c r="G139" i="2"/>
  <c r="K132" i="2" l="1"/>
  <c r="K138" i="2"/>
  <c r="J37" i="2" l="1"/>
  <c r="I37" i="2"/>
  <c r="H37" i="2" s="1"/>
  <c r="L37" i="2" s="1"/>
  <c r="J36" i="2"/>
  <c r="I36" i="2"/>
  <c r="H36" i="2" s="1"/>
  <c r="L36" i="2" s="1"/>
  <c r="J29" i="2"/>
  <c r="I29" i="2"/>
  <c r="H29" i="2" s="1"/>
  <c r="J20" i="2"/>
  <c r="I20" i="2"/>
  <c r="H20" i="2" s="1"/>
  <c r="L20" i="2" s="1"/>
  <c r="J140" i="2"/>
  <c r="I140" i="2"/>
  <c r="G140" i="2" s="1"/>
  <c r="J134" i="2"/>
  <c r="I134" i="2"/>
  <c r="G134" i="2" s="1"/>
  <c r="J112" i="2"/>
  <c r="I112" i="2"/>
  <c r="G112" i="2" s="1"/>
  <c r="J133" i="2"/>
  <c r="I133" i="2"/>
  <c r="G133" i="2" s="1"/>
  <c r="J131" i="2"/>
  <c r="I131" i="2"/>
  <c r="G131" i="2" s="1"/>
  <c r="F112" i="2" l="1"/>
  <c r="H112" i="2"/>
  <c r="L112" i="2" s="1"/>
  <c r="F140" i="2"/>
  <c r="H140" i="2"/>
  <c r="L140" i="2" s="1"/>
  <c r="F134" i="2"/>
  <c r="H134" i="2"/>
  <c r="K37" i="2"/>
  <c r="F37" i="2"/>
  <c r="G37" i="2"/>
  <c r="K36" i="2"/>
  <c r="F36" i="2"/>
  <c r="G36" i="2"/>
  <c r="K29" i="2"/>
  <c r="F29" i="2"/>
  <c r="G29" i="2"/>
  <c r="K20" i="2"/>
  <c r="F20" i="2"/>
  <c r="G20" i="2"/>
  <c r="H133" i="2"/>
  <c r="F133" i="2"/>
  <c r="H131" i="2"/>
  <c r="L131" i="2" s="1"/>
  <c r="F131" i="2"/>
  <c r="I125" i="2"/>
  <c r="G125" i="2" s="1"/>
  <c r="I126" i="2"/>
  <c r="G126" i="2" s="1"/>
  <c r="I137" i="2"/>
  <c r="F137" i="2" s="1"/>
  <c r="J125" i="2"/>
  <c r="J126" i="2"/>
  <c r="J137" i="2"/>
  <c r="J122" i="2"/>
  <c r="I122" i="2"/>
  <c r="H122" i="2" s="1"/>
  <c r="L122" i="2" s="1"/>
  <c r="J118" i="2"/>
  <c r="I118" i="2"/>
  <c r="F118" i="2" s="1"/>
  <c r="J114" i="2"/>
  <c r="I114" i="2"/>
  <c r="H114" i="2" s="1"/>
  <c r="L114" i="2" s="1"/>
  <c r="K112" i="2" l="1"/>
  <c r="K140" i="2"/>
  <c r="H125" i="2"/>
  <c r="L125" i="2" s="1"/>
  <c r="F125" i="2"/>
  <c r="K134" i="2"/>
  <c r="F126" i="2"/>
  <c r="H126" i="2"/>
  <c r="L126" i="2" s="1"/>
  <c r="K133" i="2"/>
  <c r="K131" i="2"/>
  <c r="G137" i="2"/>
  <c r="H137" i="2"/>
  <c r="L137" i="2" s="1"/>
  <c r="K122" i="2"/>
  <c r="F122" i="2"/>
  <c r="G122" i="2"/>
  <c r="G118" i="2"/>
  <c r="H118" i="2"/>
  <c r="L118" i="2" s="1"/>
  <c r="F114" i="2"/>
  <c r="G114" i="2"/>
  <c r="K114" i="2"/>
  <c r="J113" i="2"/>
  <c r="I113" i="2"/>
  <c r="H113" i="2" s="1"/>
  <c r="L113" i="2" s="1"/>
  <c r="J104" i="2"/>
  <c r="I104" i="2"/>
  <c r="H104" i="2" s="1"/>
  <c r="J100" i="2"/>
  <c r="I100" i="2"/>
  <c r="G100" i="2" s="1"/>
  <c r="J98" i="2"/>
  <c r="I98" i="2"/>
  <c r="G98" i="2" s="1"/>
  <c r="J92" i="2"/>
  <c r="I92" i="2"/>
  <c r="H92" i="2" s="1"/>
  <c r="L92" i="2" s="1"/>
  <c r="J91" i="2"/>
  <c r="I91" i="2"/>
  <c r="H91" i="2" s="1"/>
  <c r="L91" i="2" s="1"/>
  <c r="K125" i="2" l="1"/>
  <c r="F113" i="2"/>
  <c r="K126" i="2"/>
  <c r="F92" i="2"/>
  <c r="K137" i="2"/>
  <c r="K118" i="2"/>
  <c r="K113" i="2"/>
  <c r="G113" i="2"/>
  <c r="K104" i="2"/>
  <c r="F104" i="2"/>
  <c r="G104" i="2"/>
  <c r="H100" i="2"/>
  <c r="L100" i="2" s="1"/>
  <c r="F100" i="2"/>
  <c r="H98" i="2"/>
  <c r="L98" i="2" s="1"/>
  <c r="F98" i="2"/>
  <c r="K92" i="2"/>
  <c r="G92" i="2"/>
  <c r="K91" i="2"/>
  <c r="F91" i="2"/>
  <c r="G91" i="2"/>
  <c r="K100" i="2" l="1"/>
  <c r="K98" i="2"/>
  <c r="J35" i="2" l="1"/>
  <c r="I35" i="2"/>
  <c r="H35" i="2" s="1"/>
  <c r="L35" i="2" s="1"/>
  <c r="J16" i="2"/>
  <c r="I16" i="2"/>
  <c r="F16" i="2" s="1"/>
  <c r="K35" i="2" l="1"/>
  <c r="F35" i="2"/>
  <c r="G35" i="2"/>
  <c r="H16" i="2"/>
  <c r="L16" i="2" s="1"/>
  <c r="G16" i="2"/>
  <c r="K16" i="2" l="1"/>
  <c r="J21" i="2" l="1"/>
  <c r="I21" i="2"/>
  <c r="H21" i="2" s="1"/>
  <c r="L21" i="2" s="1"/>
  <c r="J19" i="2"/>
  <c r="I19" i="2"/>
  <c r="H19" i="2" s="1"/>
  <c r="L19" i="2" s="1"/>
  <c r="J28" i="2"/>
  <c r="I28" i="2"/>
  <c r="G28" i="2" s="1"/>
  <c r="J27" i="2"/>
  <c r="I27" i="2"/>
  <c r="H27" i="2" s="1"/>
  <c r="L27" i="2" s="1"/>
  <c r="J12" i="2"/>
  <c r="I12" i="2"/>
  <c r="G12" i="2" s="1"/>
  <c r="G19" i="2" l="1"/>
  <c r="F19" i="2"/>
  <c r="K21" i="2"/>
  <c r="F21" i="2"/>
  <c r="G21" i="2"/>
  <c r="K19" i="2"/>
  <c r="H28" i="2"/>
  <c r="L28" i="2" s="1"/>
  <c r="F28" i="2"/>
  <c r="K27" i="2"/>
  <c r="F27" i="2"/>
  <c r="G27" i="2"/>
  <c r="F12" i="2"/>
  <c r="H12" i="2"/>
  <c r="L12" i="2" s="1"/>
  <c r="J15" i="2"/>
  <c r="I15" i="2"/>
  <c r="H15" i="2" s="1"/>
  <c r="L15" i="2" s="1"/>
  <c r="J23" i="2"/>
  <c r="I23" i="2"/>
  <c r="F23" i="2" s="1"/>
  <c r="H23" i="2" l="1"/>
  <c r="L23" i="2" s="1"/>
  <c r="G23" i="2"/>
  <c r="K28" i="2"/>
  <c r="K12" i="2"/>
  <c r="K15" i="2"/>
  <c r="F15" i="2"/>
  <c r="G15" i="2"/>
  <c r="K23" i="2" l="1"/>
  <c r="J14" i="2"/>
  <c r="I14" i="2"/>
  <c r="G14" i="2" s="1"/>
  <c r="J109" i="2"/>
  <c r="I109" i="2"/>
  <c r="G109" i="2" s="1"/>
  <c r="J124" i="2"/>
  <c r="I124" i="2"/>
  <c r="G124" i="2" s="1"/>
  <c r="J119" i="2"/>
  <c r="I119" i="2"/>
  <c r="G119" i="2" s="1"/>
  <c r="J120" i="2"/>
  <c r="I120" i="2"/>
  <c r="G120" i="2" s="1"/>
  <c r="J121" i="2"/>
  <c r="I121" i="2"/>
  <c r="G121" i="2" s="1"/>
  <c r="J116" i="2"/>
  <c r="I116" i="2"/>
  <c r="G116" i="2" s="1"/>
  <c r="J130" i="2"/>
  <c r="I130" i="2"/>
  <c r="G130" i="2" s="1"/>
  <c r="F116" i="2" l="1"/>
  <c r="H116" i="2"/>
  <c r="L116" i="2" s="1"/>
  <c r="F109" i="2"/>
  <c r="H109" i="2"/>
  <c r="L109" i="2" s="1"/>
  <c r="F14" i="2"/>
  <c r="H14" i="2"/>
  <c r="L14" i="2" s="1"/>
  <c r="H121" i="2"/>
  <c r="L121" i="2" s="1"/>
  <c r="H120" i="2"/>
  <c r="H124" i="2"/>
  <c r="L124" i="2" s="1"/>
  <c r="H119" i="2"/>
  <c r="F124" i="2"/>
  <c r="F120" i="2"/>
  <c r="F130" i="2"/>
  <c r="H130" i="2"/>
  <c r="F121" i="2"/>
  <c r="F119" i="2"/>
  <c r="K130" i="2" l="1"/>
  <c r="L130" i="2"/>
  <c r="K116" i="2"/>
  <c r="K109" i="2"/>
  <c r="K14" i="2"/>
  <c r="K124" i="2"/>
  <c r="K119" i="2"/>
  <c r="K121" i="2"/>
  <c r="K120" i="2"/>
  <c r="J13" i="2"/>
  <c r="I13" i="2"/>
  <c r="G13" i="2" s="1"/>
  <c r="F13" i="2" l="1"/>
  <c r="H13" i="2"/>
  <c r="L13" i="2" s="1"/>
  <c r="K13" i="2" l="1"/>
  <c r="J24" i="2" l="1"/>
  <c r="I24" i="2"/>
  <c r="F24" i="2" s="1"/>
  <c r="J22" i="2"/>
  <c r="I22" i="2"/>
  <c r="G22" i="2" s="1"/>
  <c r="H24" i="2" l="1"/>
  <c r="G24" i="2"/>
  <c r="H22" i="2"/>
  <c r="L22" i="2" s="1"/>
  <c r="F22" i="2"/>
  <c r="K24" i="2" l="1"/>
  <c r="L24" i="2"/>
  <c r="K22" i="2"/>
  <c r="B6" i="2"/>
  <c r="B5" i="2"/>
  <c r="B4" i="2"/>
  <c r="H41" i="5"/>
  <c r="G41" i="5"/>
  <c r="F41" i="5"/>
  <c r="D41" i="5"/>
  <c r="E41" i="5" s="1"/>
  <c r="B41" i="5"/>
  <c r="H40" i="5"/>
  <c r="G40" i="5"/>
  <c r="F40" i="5"/>
  <c r="D40" i="5"/>
  <c r="E40" i="5" s="1"/>
  <c r="B40" i="5"/>
  <c r="H39" i="5"/>
  <c r="G39" i="5"/>
  <c r="F39" i="5"/>
  <c r="D39" i="5"/>
  <c r="E39" i="5" s="1"/>
  <c r="B39" i="5"/>
  <c r="H38" i="5"/>
  <c r="G38" i="5"/>
  <c r="F38" i="5"/>
  <c r="D38" i="5"/>
  <c r="E38" i="5" s="1"/>
  <c r="B38" i="5"/>
  <c r="J32" i="3"/>
  <c r="K32" i="3" s="1"/>
  <c r="I38" i="5" s="1"/>
  <c r="J33" i="3"/>
  <c r="K33" i="3" s="1"/>
  <c r="I39" i="5" s="1"/>
  <c r="J34" i="3"/>
  <c r="K34" i="3" s="1"/>
  <c r="I40" i="5" s="1"/>
  <c r="J35" i="3"/>
  <c r="K35" i="3" s="1"/>
  <c r="I41" i="5" s="1"/>
  <c r="L423" i="2"/>
  <c r="L424"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H29" i="5"/>
  <c r="G29" i="5"/>
  <c r="F29" i="5"/>
  <c r="D29" i="5"/>
  <c r="E29" i="5" s="1"/>
  <c r="B29" i="5"/>
  <c r="J23" i="3"/>
  <c r="K23" i="3" s="1"/>
  <c r="I29" i="5" s="1"/>
  <c r="H20" i="5"/>
  <c r="G20" i="5"/>
  <c r="F20" i="5"/>
  <c r="D20" i="5"/>
  <c r="E20" i="5" s="1"/>
  <c r="B20" i="5"/>
  <c r="J14" i="3"/>
  <c r="K14" i="3" s="1"/>
  <c r="I20" i="5" s="1"/>
  <c r="H21" i="5"/>
  <c r="G21" i="5"/>
  <c r="F21" i="5"/>
  <c r="D21" i="5"/>
  <c r="E21" i="5" s="1"/>
  <c r="B21" i="5"/>
  <c r="H17" i="5"/>
  <c r="G17" i="5"/>
  <c r="F17" i="5"/>
  <c r="D17" i="5"/>
  <c r="E17" i="5"/>
  <c r="B17" i="5"/>
  <c r="J8" i="3"/>
  <c r="K8" i="3" s="1"/>
  <c r="I14" i="5" s="1"/>
  <c r="J9" i="3"/>
  <c r="K9" i="3" s="1"/>
  <c r="I15" i="5" s="1"/>
  <c r="J10" i="3"/>
  <c r="K10" i="3" s="1"/>
  <c r="I16" i="5" s="1"/>
  <c r="J11" i="3"/>
  <c r="K11" i="3" s="1"/>
  <c r="I17" i="5" s="1"/>
  <c r="J12" i="3"/>
  <c r="K12" i="3" s="1"/>
  <c r="I18" i="5" s="1"/>
  <c r="J13" i="3"/>
  <c r="K13" i="3" s="1"/>
  <c r="I19" i="5" s="1"/>
  <c r="J15" i="3"/>
  <c r="K15" i="3" s="1"/>
  <c r="I21" i="5" s="1"/>
  <c r="J16" i="3"/>
  <c r="K16" i="3" s="1"/>
  <c r="I22" i="5" s="1"/>
  <c r="J17" i="3"/>
  <c r="K17" i="3" s="1"/>
  <c r="I23" i="5" s="1"/>
  <c r="J18" i="3"/>
  <c r="K18" i="3" s="1"/>
  <c r="I24" i="5" s="1"/>
  <c r="J19" i="3"/>
  <c r="K19" i="3" s="1"/>
  <c r="I25" i="5" s="1"/>
  <c r="J20" i="3"/>
  <c r="K20" i="3" s="1"/>
  <c r="I26" i="5" s="1"/>
  <c r="J21" i="3"/>
  <c r="K21" i="3" s="1"/>
  <c r="I27" i="5" s="1"/>
  <c r="K22" i="3"/>
  <c r="I28" i="5" s="1"/>
  <c r="J24" i="3"/>
  <c r="K24" i="3" s="1"/>
  <c r="I30" i="5" s="1"/>
  <c r="J25" i="3"/>
  <c r="K25" i="3" s="1"/>
  <c r="I31" i="5" s="1"/>
  <c r="J26" i="3"/>
  <c r="K26" i="3" s="1"/>
  <c r="I32" i="5" s="1"/>
  <c r="J27" i="3"/>
  <c r="K27" i="3" s="1"/>
  <c r="I33" i="5" s="1"/>
  <c r="J28" i="3"/>
  <c r="K28" i="3" s="1"/>
  <c r="I34" i="5" s="1"/>
  <c r="J29" i="3"/>
  <c r="K29" i="3" s="1"/>
  <c r="I35" i="5" s="1"/>
  <c r="J31" i="3"/>
  <c r="K31" i="3" s="1"/>
  <c r="I37" i="5" s="1"/>
  <c r="J36" i="3"/>
  <c r="K36" i="3" s="1"/>
  <c r="I42" i="5" s="1"/>
  <c r="J37" i="3"/>
  <c r="K37" i="3"/>
  <c r="I43" i="5" s="1"/>
  <c r="J38" i="3"/>
  <c r="K38" i="3"/>
  <c r="I44" i="5" s="1"/>
  <c r="J42" i="3"/>
  <c r="E47" i="5" s="1"/>
  <c r="L42" i="3"/>
  <c r="J43" i="3"/>
  <c r="E48" i="5" s="1"/>
  <c r="K43" i="3"/>
  <c r="L43" i="3"/>
  <c r="J44" i="3"/>
  <c r="E49" i="5" s="1"/>
  <c r="L44" i="3"/>
  <c r="J45" i="3"/>
  <c r="E50" i="5" s="1"/>
  <c r="K45" i="3"/>
  <c r="L45" i="3"/>
  <c r="J46" i="3"/>
  <c r="E51" i="5" s="1"/>
  <c r="K46" i="3"/>
  <c r="L46" i="3"/>
  <c r="J47" i="3"/>
  <c r="E52" i="5" s="1"/>
  <c r="K47" i="3"/>
  <c r="L47" i="3"/>
  <c r="J48" i="3"/>
  <c r="E53" i="5" s="1"/>
  <c r="K48" i="3"/>
  <c r="L48" i="3"/>
  <c r="J49" i="3"/>
  <c r="E54" i="5" s="1"/>
  <c r="K49" i="3"/>
  <c r="L49" i="3"/>
  <c r="J50" i="3"/>
  <c r="E55" i="5" s="1"/>
  <c r="K50" i="3"/>
  <c r="L50" i="3"/>
  <c r="J51" i="3"/>
  <c r="E56" i="5" s="1"/>
  <c r="K51" i="3"/>
  <c r="L51" i="3"/>
  <c r="J52" i="3"/>
  <c r="E57" i="5" s="1"/>
  <c r="K52" i="3"/>
  <c r="L52" i="3"/>
  <c r="J53" i="3"/>
  <c r="E58" i="5" s="1"/>
  <c r="K53" i="3"/>
  <c r="L53" i="3"/>
  <c r="J54" i="3"/>
  <c r="E59" i="5" s="1"/>
  <c r="K54" i="3"/>
  <c r="L54" i="3"/>
  <c r="J55" i="3"/>
  <c r="E60" i="5" s="1"/>
  <c r="K55" i="3"/>
  <c r="L55" i="3"/>
  <c r="J56" i="3"/>
  <c r="E61" i="5" s="1"/>
  <c r="K56" i="3"/>
  <c r="L56" i="3"/>
  <c r="J57" i="3"/>
  <c r="E62" i="5" s="1"/>
  <c r="K57" i="3"/>
  <c r="L57" i="3"/>
  <c r="J58" i="3"/>
  <c r="E63" i="5" s="1"/>
  <c r="K58" i="3"/>
  <c r="L58" i="3"/>
  <c r="J59" i="3"/>
  <c r="E64" i="5" s="1"/>
  <c r="K59" i="3"/>
  <c r="L59" i="3"/>
  <c r="J60" i="3"/>
  <c r="E65" i="5" s="1"/>
  <c r="K60" i="3"/>
  <c r="L60" i="3"/>
  <c r="J61" i="3"/>
  <c r="E66" i="5" s="1"/>
  <c r="K61" i="3"/>
  <c r="L61" i="3"/>
  <c r="J62" i="3"/>
  <c r="E67" i="5" s="1"/>
  <c r="K62" i="3"/>
  <c r="L62" i="3"/>
  <c r="J63" i="3"/>
  <c r="E68" i="5" s="1"/>
  <c r="K63" i="3"/>
  <c r="L63" i="3"/>
  <c r="J64" i="3"/>
  <c r="E69" i="5" s="1"/>
  <c r="K64" i="3"/>
  <c r="L64" i="3"/>
  <c r="A4" i="2"/>
  <c r="A5" i="2"/>
  <c r="A6" i="2"/>
  <c r="I17" i="2"/>
  <c r="G17" i="2" s="1"/>
  <c r="J17" i="2"/>
  <c r="I18" i="2"/>
  <c r="G18" i="2" s="1"/>
  <c r="J18" i="2"/>
  <c r="I26" i="2"/>
  <c r="G26" i="2" s="1"/>
  <c r="J26" i="2"/>
  <c r="I31" i="2"/>
  <c r="G31" i="2" s="1"/>
  <c r="J31" i="2"/>
  <c r="I30" i="2"/>
  <c r="H30" i="2" s="1"/>
  <c r="J30" i="2"/>
  <c r="I32" i="2"/>
  <c r="G32" i="2" s="1"/>
  <c r="J32" i="2"/>
  <c r="I39" i="2"/>
  <c r="G39" i="2" s="1"/>
  <c r="J39" i="2"/>
  <c r="I94" i="2"/>
  <c r="G94" i="2" s="1"/>
  <c r="J94" i="2"/>
  <c r="I95" i="2"/>
  <c r="G95" i="2" s="1"/>
  <c r="J95" i="2"/>
  <c r="I101" i="2"/>
  <c r="G101" i="2" s="1"/>
  <c r="J101" i="2"/>
  <c r="I102" i="2"/>
  <c r="G102" i="2" s="1"/>
  <c r="J102" i="2"/>
  <c r="I106" i="2"/>
  <c r="J106" i="2"/>
  <c r="I107" i="2"/>
  <c r="G107" i="2" s="1"/>
  <c r="J107" i="2"/>
  <c r="I110" i="2"/>
  <c r="G110" i="2" s="1"/>
  <c r="J110" i="2"/>
  <c r="F418" i="2"/>
  <c r="H418" i="2"/>
  <c r="I418" i="2"/>
  <c r="G418" i="2" s="1"/>
  <c r="J418" i="2"/>
  <c r="I419" i="2"/>
  <c r="G419" i="2" s="1"/>
  <c r="J419" i="2"/>
  <c r="I420" i="2"/>
  <c r="G420" i="2" s="1"/>
  <c r="J420" i="2"/>
  <c r="I421" i="2"/>
  <c r="G421" i="2" s="1"/>
  <c r="J421" i="2"/>
  <c r="I422" i="2"/>
  <c r="G422" i="2" s="1"/>
  <c r="J422" i="2"/>
  <c r="F423" i="2"/>
  <c r="H423" i="2"/>
  <c r="I423" i="2"/>
  <c r="G423" i="2" s="1"/>
  <c r="J423" i="2"/>
  <c r="F424" i="2"/>
  <c r="H424" i="2"/>
  <c r="I424" i="2"/>
  <c r="G424" i="2" s="1"/>
  <c r="J424" i="2"/>
  <c r="I425" i="2"/>
  <c r="G425" i="2" s="1"/>
  <c r="J425" i="2"/>
  <c r="F426" i="2"/>
  <c r="H426" i="2"/>
  <c r="I426" i="2"/>
  <c r="G426" i="2" s="1"/>
  <c r="J426" i="2"/>
  <c r="F427" i="2"/>
  <c r="H427" i="2"/>
  <c r="I427" i="2"/>
  <c r="G427" i="2" s="1"/>
  <c r="J427" i="2"/>
  <c r="F428" i="2"/>
  <c r="H428" i="2"/>
  <c r="I428" i="2"/>
  <c r="G428" i="2" s="1"/>
  <c r="J428" i="2"/>
  <c r="F429" i="2"/>
  <c r="H429" i="2"/>
  <c r="I429" i="2"/>
  <c r="G429" i="2" s="1"/>
  <c r="J429" i="2"/>
  <c r="F430" i="2"/>
  <c r="H430" i="2"/>
  <c r="I430" i="2"/>
  <c r="G430" i="2" s="1"/>
  <c r="J430" i="2"/>
  <c r="F431" i="2"/>
  <c r="H431" i="2"/>
  <c r="I431" i="2"/>
  <c r="G431" i="2" s="1"/>
  <c r="J431" i="2"/>
  <c r="F432" i="2"/>
  <c r="H432" i="2"/>
  <c r="I432" i="2"/>
  <c r="G432" i="2" s="1"/>
  <c r="J432" i="2"/>
  <c r="F433" i="2"/>
  <c r="H433" i="2"/>
  <c r="I433" i="2"/>
  <c r="G433" i="2" s="1"/>
  <c r="J433" i="2"/>
  <c r="F434" i="2"/>
  <c r="H434" i="2"/>
  <c r="I434" i="2"/>
  <c r="G434" i="2" s="1"/>
  <c r="J434" i="2"/>
  <c r="F435" i="2"/>
  <c r="H435" i="2"/>
  <c r="I435" i="2"/>
  <c r="G435" i="2" s="1"/>
  <c r="J435" i="2"/>
  <c r="F436" i="2"/>
  <c r="H436" i="2"/>
  <c r="I436" i="2"/>
  <c r="G436" i="2" s="1"/>
  <c r="J436" i="2"/>
  <c r="F437" i="2"/>
  <c r="H437" i="2"/>
  <c r="I437" i="2"/>
  <c r="G437" i="2" s="1"/>
  <c r="J437" i="2"/>
  <c r="F438" i="2"/>
  <c r="H438" i="2"/>
  <c r="I438" i="2"/>
  <c r="G438" i="2" s="1"/>
  <c r="J438" i="2"/>
  <c r="F439" i="2"/>
  <c r="H439" i="2"/>
  <c r="I439" i="2"/>
  <c r="G439" i="2" s="1"/>
  <c r="J439" i="2"/>
  <c r="F440" i="2"/>
  <c r="H440" i="2"/>
  <c r="I440" i="2"/>
  <c r="G440" i="2" s="1"/>
  <c r="J440" i="2"/>
  <c r="F441" i="2"/>
  <c r="H441" i="2"/>
  <c r="I441" i="2"/>
  <c r="G441" i="2" s="1"/>
  <c r="J441" i="2"/>
  <c r="F442" i="2"/>
  <c r="H442" i="2"/>
  <c r="I442" i="2"/>
  <c r="G442" i="2" s="1"/>
  <c r="J442" i="2"/>
  <c r="F443" i="2"/>
  <c r="H443" i="2"/>
  <c r="I443" i="2"/>
  <c r="G443" i="2" s="1"/>
  <c r="J443" i="2"/>
  <c r="F444" i="2"/>
  <c r="H444" i="2"/>
  <c r="I444" i="2"/>
  <c r="G444" i="2" s="1"/>
  <c r="J444" i="2"/>
  <c r="F445" i="2"/>
  <c r="H445" i="2"/>
  <c r="I445" i="2"/>
  <c r="G445" i="2" s="1"/>
  <c r="J445" i="2"/>
  <c r="F446" i="2"/>
  <c r="H446" i="2"/>
  <c r="I446" i="2"/>
  <c r="G446" i="2" s="1"/>
  <c r="J446" i="2"/>
  <c r="F447" i="2"/>
  <c r="H447" i="2"/>
  <c r="I447" i="2"/>
  <c r="G447" i="2" s="1"/>
  <c r="J447" i="2"/>
  <c r="F448" i="2"/>
  <c r="H448" i="2"/>
  <c r="I448" i="2"/>
  <c r="G448" i="2" s="1"/>
  <c r="J448" i="2"/>
  <c r="F449" i="2"/>
  <c r="H449" i="2"/>
  <c r="I449" i="2"/>
  <c r="G449" i="2" s="1"/>
  <c r="J449" i="2"/>
  <c r="F450" i="2"/>
  <c r="H450" i="2"/>
  <c r="I450" i="2"/>
  <c r="G450" i="2" s="1"/>
  <c r="J450" i="2"/>
  <c r="F451" i="2"/>
  <c r="H451" i="2"/>
  <c r="I451" i="2"/>
  <c r="G451" i="2" s="1"/>
  <c r="J451" i="2"/>
  <c r="F452" i="2"/>
  <c r="H452" i="2"/>
  <c r="I452" i="2"/>
  <c r="G452" i="2" s="1"/>
  <c r="J452" i="2"/>
  <c r="F453" i="2"/>
  <c r="H453" i="2"/>
  <c r="I453" i="2"/>
  <c r="G453" i="2" s="1"/>
  <c r="J453" i="2"/>
  <c r="F454" i="2"/>
  <c r="H454" i="2"/>
  <c r="I454" i="2"/>
  <c r="G454" i="2" s="1"/>
  <c r="J454" i="2"/>
  <c r="F455" i="2"/>
  <c r="H455" i="2"/>
  <c r="I455" i="2"/>
  <c r="G455" i="2" s="1"/>
  <c r="J455" i="2"/>
  <c r="F456" i="2"/>
  <c r="H456" i="2"/>
  <c r="I456" i="2"/>
  <c r="G456" i="2" s="1"/>
  <c r="J456" i="2"/>
  <c r="F457" i="2"/>
  <c r="H457" i="2"/>
  <c r="I457" i="2"/>
  <c r="G457" i="2" s="1"/>
  <c r="J457" i="2"/>
  <c r="F458" i="2"/>
  <c r="H458" i="2"/>
  <c r="I458" i="2"/>
  <c r="G458" i="2" s="1"/>
  <c r="J458" i="2"/>
  <c r="F459" i="2"/>
  <c r="H459" i="2"/>
  <c r="I459" i="2"/>
  <c r="G459" i="2" s="1"/>
  <c r="J459" i="2"/>
  <c r="F460" i="2"/>
  <c r="H460" i="2"/>
  <c r="I460" i="2"/>
  <c r="G460" i="2" s="1"/>
  <c r="J460" i="2"/>
  <c r="F461" i="2"/>
  <c r="H461" i="2"/>
  <c r="I461" i="2"/>
  <c r="G461" i="2" s="1"/>
  <c r="J461" i="2"/>
  <c r="F462" i="2"/>
  <c r="H462" i="2"/>
  <c r="I462" i="2"/>
  <c r="G462" i="2" s="1"/>
  <c r="J462" i="2"/>
  <c r="F463" i="2"/>
  <c r="H463" i="2"/>
  <c r="I463" i="2"/>
  <c r="G463" i="2" s="1"/>
  <c r="J463" i="2"/>
  <c r="F464" i="2"/>
  <c r="H464" i="2"/>
  <c r="I464" i="2"/>
  <c r="G464" i="2" s="1"/>
  <c r="J464" i="2"/>
  <c r="F465" i="2"/>
  <c r="H465" i="2"/>
  <c r="I465" i="2"/>
  <c r="G465" i="2" s="1"/>
  <c r="J465" i="2"/>
  <c r="F466" i="2"/>
  <c r="H466" i="2"/>
  <c r="I466" i="2"/>
  <c r="G466" i="2" s="1"/>
  <c r="J466" i="2"/>
  <c r="F467" i="2"/>
  <c r="H467" i="2"/>
  <c r="I467" i="2"/>
  <c r="G467" i="2" s="1"/>
  <c r="J467" i="2"/>
  <c r="F468" i="2"/>
  <c r="H468" i="2"/>
  <c r="I468" i="2"/>
  <c r="G468" i="2" s="1"/>
  <c r="J468" i="2"/>
  <c r="F469" i="2"/>
  <c r="H469" i="2"/>
  <c r="I469" i="2"/>
  <c r="G469" i="2" s="1"/>
  <c r="J469" i="2"/>
  <c r="F470" i="2"/>
  <c r="H470" i="2"/>
  <c r="I470" i="2"/>
  <c r="G470" i="2" s="1"/>
  <c r="J470" i="2"/>
  <c r="F471" i="2"/>
  <c r="H471" i="2"/>
  <c r="I471" i="2"/>
  <c r="G471" i="2" s="1"/>
  <c r="J471" i="2"/>
  <c r="F472" i="2"/>
  <c r="H472" i="2"/>
  <c r="I472" i="2"/>
  <c r="G472" i="2" s="1"/>
  <c r="J472" i="2"/>
  <c r="F473" i="2"/>
  <c r="H473" i="2"/>
  <c r="I473" i="2"/>
  <c r="G473" i="2" s="1"/>
  <c r="J473" i="2"/>
  <c r="F474" i="2"/>
  <c r="H474" i="2"/>
  <c r="I474" i="2"/>
  <c r="G474" i="2" s="1"/>
  <c r="J474" i="2"/>
  <c r="F475" i="2"/>
  <c r="H475" i="2"/>
  <c r="I475" i="2"/>
  <c r="G475" i="2" s="1"/>
  <c r="J475" i="2"/>
  <c r="F476" i="2"/>
  <c r="H476" i="2"/>
  <c r="I476" i="2"/>
  <c r="G476" i="2" s="1"/>
  <c r="J476" i="2"/>
  <c r="F477" i="2"/>
  <c r="H477" i="2"/>
  <c r="I477" i="2"/>
  <c r="G477" i="2" s="1"/>
  <c r="J477" i="2"/>
  <c r="F478" i="2"/>
  <c r="H478" i="2"/>
  <c r="I478" i="2"/>
  <c r="G478" i="2" s="1"/>
  <c r="J478" i="2"/>
  <c r="F479" i="2"/>
  <c r="H479" i="2"/>
  <c r="I479" i="2"/>
  <c r="G479" i="2" s="1"/>
  <c r="J479" i="2"/>
  <c r="F480" i="2"/>
  <c r="H480" i="2"/>
  <c r="I480" i="2"/>
  <c r="G480" i="2" s="1"/>
  <c r="J480" i="2"/>
  <c r="F481" i="2"/>
  <c r="H481" i="2"/>
  <c r="I481" i="2"/>
  <c r="G481" i="2" s="1"/>
  <c r="J481" i="2"/>
  <c r="F482" i="2"/>
  <c r="H482" i="2"/>
  <c r="I482" i="2"/>
  <c r="G482" i="2" s="1"/>
  <c r="J482" i="2"/>
  <c r="F483" i="2"/>
  <c r="H483" i="2"/>
  <c r="I483" i="2"/>
  <c r="G483" i="2" s="1"/>
  <c r="J483" i="2"/>
  <c r="F484" i="2"/>
  <c r="H484" i="2"/>
  <c r="I484" i="2"/>
  <c r="G484" i="2" s="1"/>
  <c r="J484" i="2"/>
  <c r="F485" i="2"/>
  <c r="H485" i="2"/>
  <c r="I485" i="2"/>
  <c r="G485" i="2" s="1"/>
  <c r="J485" i="2"/>
  <c r="F486" i="2"/>
  <c r="H486" i="2"/>
  <c r="I486" i="2"/>
  <c r="G486" i="2" s="1"/>
  <c r="J486" i="2"/>
  <c r="F487" i="2"/>
  <c r="H487" i="2"/>
  <c r="I487" i="2"/>
  <c r="G487" i="2" s="1"/>
  <c r="J487" i="2"/>
  <c r="F488" i="2"/>
  <c r="H488" i="2"/>
  <c r="I488" i="2"/>
  <c r="G488" i="2" s="1"/>
  <c r="J488" i="2"/>
  <c r="F489" i="2"/>
  <c r="H489" i="2"/>
  <c r="I489" i="2"/>
  <c r="G489" i="2" s="1"/>
  <c r="J489" i="2"/>
  <c r="F490" i="2"/>
  <c r="H490" i="2"/>
  <c r="I490" i="2"/>
  <c r="G490" i="2" s="1"/>
  <c r="J490" i="2"/>
  <c r="F491" i="2"/>
  <c r="H491" i="2"/>
  <c r="I491" i="2"/>
  <c r="G491" i="2" s="1"/>
  <c r="J491" i="2"/>
  <c r="F492" i="2"/>
  <c r="H492" i="2"/>
  <c r="I492" i="2"/>
  <c r="G492" i="2" s="1"/>
  <c r="J492" i="2"/>
  <c r="F493" i="2"/>
  <c r="H493" i="2"/>
  <c r="I493" i="2"/>
  <c r="G493" i="2" s="1"/>
  <c r="J493" i="2"/>
  <c r="F494" i="2"/>
  <c r="H494" i="2"/>
  <c r="I494" i="2"/>
  <c r="G494" i="2" s="1"/>
  <c r="J494" i="2"/>
  <c r="F495" i="2"/>
  <c r="H495" i="2"/>
  <c r="I495" i="2"/>
  <c r="G495" i="2" s="1"/>
  <c r="J495" i="2"/>
  <c r="F496" i="2"/>
  <c r="H496" i="2"/>
  <c r="I496" i="2"/>
  <c r="G496" i="2" s="1"/>
  <c r="J496" i="2"/>
  <c r="F497" i="2"/>
  <c r="H497" i="2"/>
  <c r="I497" i="2"/>
  <c r="G497" i="2" s="1"/>
  <c r="J497" i="2"/>
  <c r="F498" i="2"/>
  <c r="H498" i="2"/>
  <c r="I498" i="2"/>
  <c r="G498" i="2" s="1"/>
  <c r="J498" i="2"/>
  <c r="F499" i="2"/>
  <c r="H499" i="2"/>
  <c r="I499" i="2"/>
  <c r="G499" i="2" s="1"/>
  <c r="J499" i="2"/>
  <c r="F500" i="2"/>
  <c r="H500" i="2"/>
  <c r="I500" i="2"/>
  <c r="G500" i="2" s="1"/>
  <c r="J500" i="2"/>
  <c r="F501" i="2"/>
  <c r="H501" i="2"/>
  <c r="I501" i="2"/>
  <c r="G501" i="2" s="1"/>
  <c r="J501" i="2"/>
  <c r="F502" i="2"/>
  <c r="H502" i="2"/>
  <c r="I502" i="2"/>
  <c r="G502" i="2" s="1"/>
  <c r="J502" i="2"/>
  <c r="F503" i="2"/>
  <c r="H503" i="2"/>
  <c r="I503" i="2"/>
  <c r="G503" i="2" s="1"/>
  <c r="J503" i="2"/>
  <c r="F504" i="2"/>
  <c r="H504" i="2"/>
  <c r="I504" i="2"/>
  <c r="G504" i="2" s="1"/>
  <c r="J504" i="2"/>
  <c r="F505" i="2"/>
  <c r="H505" i="2"/>
  <c r="I505" i="2"/>
  <c r="G505" i="2" s="1"/>
  <c r="J505" i="2"/>
  <c r="F506" i="2"/>
  <c r="H506" i="2"/>
  <c r="I506" i="2"/>
  <c r="G506" i="2" s="1"/>
  <c r="J506" i="2"/>
  <c r="F507" i="2"/>
  <c r="H507" i="2"/>
  <c r="I507" i="2"/>
  <c r="G507" i="2" s="1"/>
  <c r="J507" i="2"/>
  <c r="F508" i="2"/>
  <c r="H508" i="2"/>
  <c r="I508" i="2"/>
  <c r="G508" i="2" s="1"/>
  <c r="J508" i="2"/>
  <c r="F509" i="2"/>
  <c r="H509" i="2"/>
  <c r="I509" i="2"/>
  <c r="G509" i="2" s="1"/>
  <c r="J509" i="2"/>
  <c r="F510" i="2"/>
  <c r="H510" i="2"/>
  <c r="I510" i="2"/>
  <c r="G510" i="2" s="1"/>
  <c r="J510" i="2"/>
  <c r="F511" i="2"/>
  <c r="H511" i="2"/>
  <c r="I511" i="2"/>
  <c r="G511" i="2" s="1"/>
  <c r="J511" i="2"/>
  <c r="F512" i="2"/>
  <c r="H512" i="2"/>
  <c r="I512" i="2"/>
  <c r="G512" i="2" s="1"/>
  <c r="J512" i="2"/>
  <c r="F513" i="2"/>
  <c r="H513" i="2"/>
  <c r="I513" i="2"/>
  <c r="G513" i="2" s="1"/>
  <c r="J513" i="2"/>
  <c r="F514" i="2"/>
  <c r="H514" i="2"/>
  <c r="I514" i="2"/>
  <c r="G514" i="2" s="1"/>
  <c r="J514" i="2"/>
  <c r="F515" i="2"/>
  <c r="H515" i="2"/>
  <c r="I515" i="2"/>
  <c r="G515" i="2" s="1"/>
  <c r="J515" i="2"/>
  <c r="F516" i="2"/>
  <c r="H516" i="2"/>
  <c r="I516" i="2"/>
  <c r="G516" i="2" s="1"/>
  <c r="J516" i="2"/>
  <c r="F517" i="2"/>
  <c r="H517" i="2"/>
  <c r="I517" i="2"/>
  <c r="G517" i="2" s="1"/>
  <c r="J517" i="2"/>
  <c r="F518" i="2"/>
  <c r="H518" i="2"/>
  <c r="I518" i="2"/>
  <c r="G518" i="2" s="1"/>
  <c r="J518" i="2"/>
  <c r="F519" i="2"/>
  <c r="H519" i="2"/>
  <c r="I519" i="2"/>
  <c r="G519" i="2" s="1"/>
  <c r="J519" i="2"/>
  <c r="F520" i="2"/>
  <c r="H520" i="2"/>
  <c r="I520" i="2"/>
  <c r="G520" i="2" s="1"/>
  <c r="J520" i="2"/>
  <c r="F521" i="2"/>
  <c r="H521" i="2"/>
  <c r="I521" i="2"/>
  <c r="G521" i="2" s="1"/>
  <c r="J521" i="2"/>
  <c r="F522" i="2"/>
  <c r="H522" i="2"/>
  <c r="I522" i="2"/>
  <c r="G522" i="2" s="1"/>
  <c r="J522" i="2"/>
  <c r="F523" i="2"/>
  <c r="H523" i="2"/>
  <c r="I523" i="2"/>
  <c r="G523" i="2" s="1"/>
  <c r="J523" i="2"/>
  <c r="F524" i="2"/>
  <c r="H524" i="2"/>
  <c r="I524" i="2"/>
  <c r="G524" i="2" s="1"/>
  <c r="J524" i="2"/>
  <c r="F525" i="2"/>
  <c r="H525" i="2"/>
  <c r="I525" i="2"/>
  <c r="G525" i="2" s="1"/>
  <c r="J525" i="2"/>
  <c r="F526" i="2"/>
  <c r="H526" i="2"/>
  <c r="I526" i="2"/>
  <c r="G526" i="2" s="1"/>
  <c r="J526" i="2"/>
  <c r="F527" i="2"/>
  <c r="H527" i="2"/>
  <c r="I527" i="2"/>
  <c r="G527" i="2" s="1"/>
  <c r="J527" i="2"/>
  <c r="F528" i="2"/>
  <c r="H528" i="2"/>
  <c r="I528" i="2"/>
  <c r="G528" i="2" s="1"/>
  <c r="J528" i="2"/>
  <c r="F529" i="2"/>
  <c r="H529" i="2"/>
  <c r="I529" i="2"/>
  <c r="G529" i="2" s="1"/>
  <c r="J529" i="2"/>
  <c r="F530" i="2"/>
  <c r="H530" i="2"/>
  <c r="I530" i="2"/>
  <c r="G530" i="2" s="1"/>
  <c r="J530" i="2"/>
  <c r="F531" i="2"/>
  <c r="H531" i="2"/>
  <c r="I531" i="2"/>
  <c r="G531" i="2" s="1"/>
  <c r="J531" i="2"/>
  <c r="F532" i="2"/>
  <c r="H532" i="2"/>
  <c r="I532" i="2"/>
  <c r="G532" i="2" s="1"/>
  <c r="J532" i="2"/>
  <c r="F533" i="2"/>
  <c r="H533" i="2"/>
  <c r="I533" i="2"/>
  <c r="G533" i="2" s="1"/>
  <c r="J533" i="2"/>
  <c r="F534" i="2"/>
  <c r="H534" i="2"/>
  <c r="I534" i="2"/>
  <c r="G534" i="2" s="1"/>
  <c r="J534" i="2"/>
  <c r="F535" i="2"/>
  <c r="H535" i="2"/>
  <c r="I535" i="2"/>
  <c r="G535" i="2" s="1"/>
  <c r="J535" i="2"/>
  <c r="F536" i="2"/>
  <c r="H536" i="2"/>
  <c r="I536" i="2"/>
  <c r="G536" i="2" s="1"/>
  <c r="J536" i="2"/>
  <c r="F537" i="2"/>
  <c r="H537" i="2"/>
  <c r="I537" i="2"/>
  <c r="G537" i="2" s="1"/>
  <c r="J537" i="2"/>
  <c r="F538" i="2"/>
  <c r="H538" i="2"/>
  <c r="I538" i="2"/>
  <c r="G538" i="2" s="1"/>
  <c r="J538" i="2"/>
  <c r="F539" i="2"/>
  <c r="H539" i="2"/>
  <c r="I539" i="2"/>
  <c r="G539" i="2" s="1"/>
  <c r="J539" i="2"/>
  <c r="F540" i="2"/>
  <c r="H540" i="2"/>
  <c r="I540" i="2"/>
  <c r="G540" i="2" s="1"/>
  <c r="J540" i="2"/>
  <c r="F541" i="2"/>
  <c r="H541" i="2"/>
  <c r="I541" i="2"/>
  <c r="G541" i="2" s="1"/>
  <c r="J541" i="2"/>
  <c r="F542" i="2"/>
  <c r="H542" i="2"/>
  <c r="I542" i="2"/>
  <c r="G542" i="2" s="1"/>
  <c r="J542" i="2"/>
  <c r="F543" i="2"/>
  <c r="H543" i="2"/>
  <c r="I543" i="2"/>
  <c r="G543" i="2" s="1"/>
  <c r="J543" i="2"/>
  <c r="F544" i="2"/>
  <c r="H544" i="2"/>
  <c r="I544" i="2"/>
  <c r="G544" i="2" s="1"/>
  <c r="J544" i="2"/>
  <c r="F545" i="2"/>
  <c r="H545" i="2"/>
  <c r="I545" i="2"/>
  <c r="G545" i="2" s="1"/>
  <c r="J545" i="2"/>
  <c r="F546" i="2"/>
  <c r="H546" i="2"/>
  <c r="I546" i="2"/>
  <c r="G546" i="2" s="1"/>
  <c r="J546" i="2"/>
  <c r="F547" i="2"/>
  <c r="H547" i="2"/>
  <c r="I547" i="2"/>
  <c r="G547" i="2" s="1"/>
  <c r="J547" i="2"/>
  <c r="F548" i="2"/>
  <c r="H548" i="2"/>
  <c r="I548" i="2"/>
  <c r="G548" i="2" s="1"/>
  <c r="J548" i="2"/>
  <c r="F549" i="2"/>
  <c r="H549" i="2"/>
  <c r="I549" i="2"/>
  <c r="G549" i="2" s="1"/>
  <c r="J549" i="2"/>
  <c r="F550" i="2"/>
  <c r="H550" i="2"/>
  <c r="I550" i="2"/>
  <c r="G550" i="2" s="1"/>
  <c r="J550" i="2"/>
  <c r="F551" i="2"/>
  <c r="H551" i="2"/>
  <c r="I551" i="2"/>
  <c r="G551" i="2" s="1"/>
  <c r="J551" i="2"/>
  <c r="F552" i="2"/>
  <c r="H552" i="2"/>
  <c r="I552" i="2"/>
  <c r="G552" i="2" s="1"/>
  <c r="J552" i="2"/>
  <c r="F553" i="2"/>
  <c r="H553" i="2"/>
  <c r="I553" i="2"/>
  <c r="G553" i="2" s="1"/>
  <c r="J553" i="2"/>
  <c r="F554" i="2"/>
  <c r="H554" i="2"/>
  <c r="I554" i="2"/>
  <c r="G554" i="2" s="1"/>
  <c r="J554" i="2"/>
  <c r="F555" i="2"/>
  <c r="H555" i="2"/>
  <c r="I555" i="2"/>
  <c r="G555" i="2" s="1"/>
  <c r="J555" i="2"/>
  <c r="F556" i="2"/>
  <c r="H556" i="2"/>
  <c r="I556" i="2"/>
  <c r="G556" i="2" s="1"/>
  <c r="J556" i="2"/>
  <c r="F557" i="2"/>
  <c r="H557" i="2"/>
  <c r="I557" i="2"/>
  <c r="G557" i="2" s="1"/>
  <c r="J557" i="2"/>
  <c r="F558" i="2"/>
  <c r="H558" i="2"/>
  <c r="I558" i="2"/>
  <c r="G558" i="2" s="1"/>
  <c r="J558" i="2"/>
  <c r="F559" i="2"/>
  <c r="H559" i="2"/>
  <c r="I559" i="2"/>
  <c r="G559" i="2" s="1"/>
  <c r="J559" i="2"/>
  <c r="F560" i="2"/>
  <c r="H560" i="2"/>
  <c r="I560" i="2"/>
  <c r="G560" i="2" s="1"/>
  <c r="J560" i="2"/>
  <c r="F561" i="2"/>
  <c r="H561" i="2"/>
  <c r="I561" i="2"/>
  <c r="G561" i="2" s="1"/>
  <c r="J561" i="2"/>
  <c r="F562" i="2"/>
  <c r="H562" i="2"/>
  <c r="I562" i="2"/>
  <c r="G562" i="2" s="1"/>
  <c r="J562" i="2"/>
  <c r="F563" i="2"/>
  <c r="H563" i="2"/>
  <c r="I563" i="2"/>
  <c r="G563" i="2" s="1"/>
  <c r="J563" i="2"/>
  <c r="F564" i="2"/>
  <c r="H564" i="2"/>
  <c r="I564" i="2"/>
  <c r="G564" i="2" s="1"/>
  <c r="J564" i="2"/>
  <c r="F565" i="2"/>
  <c r="H565" i="2"/>
  <c r="I565" i="2"/>
  <c r="G565" i="2" s="1"/>
  <c r="J565" i="2"/>
  <c r="F566" i="2"/>
  <c r="H566" i="2"/>
  <c r="I566" i="2"/>
  <c r="G566" i="2" s="1"/>
  <c r="J566" i="2"/>
  <c r="F567" i="2"/>
  <c r="H567" i="2"/>
  <c r="I567" i="2"/>
  <c r="G567" i="2" s="1"/>
  <c r="J567" i="2"/>
  <c r="F568" i="2"/>
  <c r="H568" i="2"/>
  <c r="I568" i="2"/>
  <c r="G568" i="2" s="1"/>
  <c r="J568" i="2"/>
  <c r="F569" i="2"/>
  <c r="H569" i="2"/>
  <c r="I569" i="2"/>
  <c r="G569" i="2" s="1"/>
  <c r="J569" i="2"/>
  <c r="F570" i="2"/>
  <c r="H570" i="2"/>
  <c r="I570" i="2"/>
  <c r="G570" i="2" s="1"/>
  <c r="J570" i="2"/>
  <c r="F571" i="2"/>
  <c r="H571" i="2"/>
  <c r="I571" i="2"/>
  <c r="G571" i="2" s="1"/>
  <c r="J571" i="2"/>
  <c r="F572" i="2"/>
  <c r="H572" i="2"/>
  <c r="I572" i="2"/>
  <c r="G572" i="2" s="1"/>
  <c r="J572" i="2"/>
  <c r="F573" i="2"/>
  <c r="H573" i="2"/>
  <c r="I573" i="2"/>
  <c r="G573" i="2" s="1"/>
  <c r="J573" i="2"/>
  <c r="F574" i="2"/>
  <c r="H574" i="2"/>
  <c r="I574" i="2"/>
  <c r="G574" i="2" s="1"/>
  <c r="J574" i="2"/>
  <c r="F575" i="2"/>
  <c r="H575" i="2"/>
  <c r="I575" i="2"/>
  <c r="G575" i="2" s="1"/>
  <c r="J575" i="2"/>
  <c r="F576" i="2"/>
  <c r="H576" i="2"/>
  <c r="I576" i="2"/>
  <c r="G576" i="2" s="1"/>
  <c r="J576" i="2"/>
  <c r="F577" i="2"/>
  <c r="H577" i="2"/>
  <c r="I577" i="2"/>
  <c r="G577" i="2" s="1"/>
  <c r="J577" i="2"/>
  <c r="F578" i="2"/>
  <c r="H578" i="2"/>
  <c r="I578" i="2"/>
  <c r="G578" i="2" s="1"/>
  <c r="J578" i="2"/>
  <c r="F579" i="2"/>
  <c r="H579" i="2"/>
  <c r="I579" i="2"/>
  <c r="G579" i="2" s="1"/>
  <c r="J579" i="2"/>
  <c r="F580" i="2"/>
  <c r="H580" i="2"/>
  <c r="I580" i="2"/>
  <c r="G580" i="2" s="1"/>
  <c r="J580" i="2"/>
  <c r="F581" i="2"/>
  <c r="H581" i="2"/>
  <c r="I581" i="2"/>
  <c r="G581" i="2" s="1"/>
  <c r="J581" i="2"/>
  <c r="F582" i="2"/>
  <c r="H582" i="2"/>
  <c r="I582" i="2"/>
  <c r="G582" i="2" s="1"/>
  <c r="J582" i="2"/>
  <c r="F583" i="2"/>
  <c r="H583" i="2"/>
  <c r="I583" i="2"/>
  <c r="G583" i="2" s="1"/>
  <c r="J583" i="2"/>
  <c r="F584" i="2"/>
  <c r="H584" i="2"/>
  <c r="I584" i="2"/>
  <c r="G584" i="2" s="1"/>
  <c r="J584" i="2"/>
  <c r="F585" i="2"/>
  <c r="H585" i="2"/>
  <c r="I585" i="2"/>
  <c r="G585" i="2" s="1"/>
  <c r="J585" i="2"/>
  <c r="F586" i="2"/>
  <c r="H586" i="2"/>
  <c r="I586" i="2"/>
  <c r="G586" i="2" s="1"/>
  <c r="J586" i="2"/>
  <c r="F587" i="2"/>
  <c r="H587" i="2"/>
  <c r="I587" i="2"/>
  <c r="G587" i="2" s="1"/>
  <c r="J587" i="2"/>
  <c r="F588" i="2"/>
  <c r="H588" i="2"/>
  <c r="I588" i="2"/>
  <c r="G588" i="2" s="1"/>
  <c r="J588" i="2"/>
  <c r="F589" i="2"/>
  <c r="H589" i="2"/>
  <c r="I589" i="2"/>
  <c r="G589" i="2" s="1"/>
  <c r="J589" i="2"/>
  <c r="F590" i="2"/>
  <c r="H590" i="2"/>
  <c r="I590" i="2"/>
  <c r="G590" i="2" s="1"/>
  <c r="J590" i="2"/>
  <c r="F591" i="2"/>
  <c r="H591" i="2"/>
  <c r="I591" i="2"/>
  <c r="G591" i="2" s="1"/>
  <c r="J591" i="2"/>
  <c r="F592" i="2"/>
  <c r="H592" i="2"/>
  <c r="I592" i="2"/>
  <c r="G592" i="2" s="1"/>
  <c r="J592" i="2"/>
  <c r="F593" i="2"/>
  <c r="H593" i="2"/>
  <c r="I593" i="2"/>
  <c r="G593" i="2" s="1"/>
  <c r="J593" i="2"/>
  <c r="F594" i="2"/>
  <c r="H594" i="2"/>
  <c r="I594" i="2"/>
  <c r="G594" i="2" s="1"/>
  <c r="J594" i="2"/>
  <c r="F595" i="2"/>
  <c r="H595" i="2"/>
  <c r="I595" i="2"/>
  <c r="G595" i="2" s="1"/>
  <c r="J595" i="2"/>
  <c r="F596" i="2"/>
  <c r="H596" i="2"/>
  <c r="I596" i="2"/>
  <c r="G596" i="2" s="1"/>
  <c r="J596" i="2"/>
  <c r="F597" i="2"/>
  <c r="H597" i="2"/>
  <c r="I597" i="2"/>
  <c r="G597" i="2" s="1"/>
  <c r="J597" i="2"/>
  <c r="F598" i="2"/>
  <c r="H598" i="2"/>
  <c r="I598" i="2"/>
  <c r="G598" i="2" s="1"/>
  <c r="J598" i="2"/>
  <c r="F599" i="2"/>
  <c r="H599" i="2"/>
  <c r="I599" i="2"/>
  <c r="G599" i="2" s="1"/>
  <c r="J599" i="2"/>
  <c r="F600" i="2"/>
  <c r="H600" i="2"/>
  <c r="I600" i="2"/>
  <c r="G600" i="2" s="1"/>
  <c r="J600" i="2"/>
  <c r="F601" i="2"/>
  <c r="H601" i="2"/>
  <c r="I601" i="2"/>
  <c r="G601" i="2" s="1"/>
  <c r="J601" i="2"/>
  <c r="F602" i="2"/>
  <c r="H602" i="2"/>
  <c r="I602" i="2"/>
  <c r="G602" i="2" s="1"/>
  <c r="J602" i="2"/>
  <c r="F603" i="2"/>
  <c r="H603" i="2"/>
  <c r="I603" i="2"/>
  <c r="G603" i="2" s="1"/>
  <c r="J603" i="2"/>
  <c r="F604" i="2"/>
  <c r="H604" i="2"/>
  <c r="I604" i="2"/>
  <c r="G604" i="2" s="1"/>
  <c r="J604" i="2"/>
  <c r="F605" i="2"/>
  <c r="H605" i="2"/>
  <c r="I605" i="2"/>
  <c r="G605" i="2" s="1"/>
  <c r="J605" i="2"/>
  <c r="F606" i="2"/>
  <c r="H606" i="2"/>
  <c r="I606" i="2"/>
  <c r="G606" i="2" s="1"/>
  <c r="J606" i="2"/>
  <c r="F607" i="2"/>
  <c r="H607" i="2"/>
  <c r="I607" i="2"/>
  <c r="G607" i="2" s="1"/>
  <c r="J607" i="2"/>
  <c r="F608" i="2"/>
  <c r="H608" i="2"/>
  <c r="I608" i="2"/>
  <c r="G608" i="2" s="1"/>
  <c r="J608" i="2"/>
  <c r="F609" i="2"/>
  <c r="H609" i="2"/>
  <c r="I609" i="2"/>
  <c r="G609" i="2" s="1"/>
  <c r="J609" i="2"/>
  <c r="F610" i="2"/>
  <c r="H610" i="2"/>
  <c r="I610" i="2"/>
  <c r="G610" i="2" s="1"/>
  <c r="J610" i="2"/>
  <c r="F611" i="2"/>
  <c r="H611" i="2"/>
  <c r="I611" i="2"/>
  <c r="G611" i="2" s="1"/>
  <c r="J611" i="2"/>
  <c r="F612" i="2"/>
  <c r="H612" i="2"/>
  <c r="I612" i="2"/>
  <c r="G612" i="2" s="1"/>
  <c r="J612" i="2"/>
  <c r="F613" i="2"/>
  <c r="H613" i="2"/>
  <c r="I613" i="2"/>
  <c r="G613" i="2" s="1"/>
  <c r="J613" i="2"/>
  <c r="F614" i="2"/>
  <c r="H614" i="2"/>
  <c r="I614" i="2"/>
  <c r="G614" i="2" s="1"/>
  <c r="J614" i="2"/>
  <c r="F615" i="2"/>
  <c r="H615" i="2"/>
  <c r="I615" i="2"/>
  <c r="G615" i="2" s="1"/>
  <c r="J615" i="2"/>
  <c r="F616" i="2"/>
  <c r="H616" i="2"/>
  <c r="I616" i="2"/>
  <c r="G616" i="2" s="1"/>
  <c r="J616" i="2"/>
  <c r="F617" i="2"/>
  <c r="H617" i="2"/>
  <c r="I617" i="2"/>
  <c r="G617" i="2" s="1"/>
  <c r="J617" i="2"/>
  <c r="F618" i="2"/>
  <c r="H618" i="2"/>
  <c r="I618" i="2"/>
  <c r="G618" i="2" s="1"/>
  <c r="J618" i="2"/>
  <c r="F619" i="2"/>
  <c r="H619" i="2"/>
  <c r="I619" i="2"/>
  <c r="G619" i="2" s="1"/>
  <c r="J619" i="2"/>
  <c r="F620" i="2"/>
  <c r="H620" i="2"/>
  <c r="I620" i="2"/>
  <c r="G620" i="2" s="1"/>
  <c r="J620" i="2"/>
  <c r="F621" i="2"/>
  <c r="H621" i="2"/>
  <c r="I621" i="2"/>
  <c r="G621" i="2" s="1"/>
  <c r="J621" i="2"/>
  <c r="F622" i="2"/>
  <c r="H622" i="2"/>
  <c r="I622" i="2"/>
  <c r="G622" i="2" s="1"/>
  <c r="J622" i="2"/>
  <c r="F623" i="2"/>
  <c r="H623" i="2"/>
  <c r="I623" i="2"/>
  <c r="G623" i="2" s="1"/>
  <c r="J623" i="2"/>
  <c r="F624" i="2"/>
  <c r="H624" i="2"/>
  <c r="I624" i="2"/>
  <c r="G624" i="2" s="1"/>
  <c r="J624" i="2"/>
  <c r="F625" i="2"/>
  <c r="H625" i="2"/>
  <c r="I625" i="2"/>
  <c r="G625" i="2" s="1"/>
  <c r="J625" i="2"/>
  <c r="F626" i="2"/>
  <c r="H626" i="2"/>
  <c r="I626" i="2"/>
  <c r="G626" i="2" s="1"/>
  <c r="J626" i="2"/>
  <c r="F627" i="2"/>
  <c r="H627" i="2"/>
  <c r="I627" i="2"/>
  <c r="G627" i="2" s="1"/>
  <c r="J627" i="2"/>
  <c r="F628" i="2"/>
  <c r="H628" i="2"/>
  <c r="I628" i="2"/>
  <c r="G628" i="2" s="1"/>
  <c r="J628" i="2"/>
  <c r="F629" i="2"/>
  <c r="H629" i="2"/>
  <c r="I629" i="2"/>
  <c r="G629" i="2" s="1"/>
  <c r="J629" i="2"/>
  <c r="F630" i="2"/>
  <c r="H630" i="2"/>
  <c r="I630" i="2"/>
  <c r="G630" i="2" s="1"/>
  <c r="J630" i="2"/>
  <c r="F631" i="2"/>
  <c r="H631" i="2"/>
  <c r="I631" i="2"/>
  <c r="G631" i="2" s="1"/>
  <c r="J631" i="2"/>
  <c r="F632" i="2"/>
  <c r="H632" i="2"/>
  <c r="I632" i="2"/>
  <c r="G632" i="2" s="1"/>
  <c r="J632" i="2"/>
  <c r="F633" i="2"/>
  <c r="H633" i="2"/>
  <c r="I633" i="2"/>
  <c r="G633" i="2" s="1"/>
  <c r="J633" i="2"/>
  <c r="F634" i="2"/>
  <c r="H634" i="2"/>
  <c r="I634" i="2"/>
  <c r="G634" i="2" s="1"/>
  <c r="J634" i="2"/>
  <c r="F635" i="2"/>
  <c r="H635" i="2"/>
  <c r="I635" i="2"/>
  <c r="G635" i="2" s="1"/>
  <c r="J635" i="2"/>
  <c r="F636" i="2"/>
  <c r="H636" i="2"/>
  <c r="I636" i="2"/>
  <c r="G636" i="2" s="1"/>
  <c r="J636" i="2"/>
  <c r="F637" i="2"/>
  <c r="H637" i="2"/>
  <c r="I637" i="2"/>
  <c r="G637" i="2" s="1"/>
  <c r="J637" i="2"/>
  <c r="F638" i="2"/>
  <c r="H638" i="2"/>
  <c r="I638" i="2"/>
  <c r="G638" i="2" s="1"/>
  <c r="J638" i="2"/>
  <c r="F639" i="2"/>
  <c r="H639" i="2"/>
  <c r="I639" i="2"/>
  <c r="G639" i="2" s="1"/>
  <c r="J639" i="2"/>
  <c r="F640" i="2"/>
  <c r="H640" i="2"/>
  <c r="I640" i="2"/>
  <c r="G640" i="2" s="1"/>
  <c r="J640" i="2"/>
  <c r="F641" i="2"/>
  <c r="H641" i="2"/>
  <c r="I641" i="2"/>
  <c r="G641" i="2" s="1"/>
  <c r="J641" i="2"/>
  <c r="F642" i="2"/>
  <c r="H642" i="2"/>
  <c r="I642" i="2"/>
  <c r="G642" i="2" s="1"/>
  <c r="J642" i="2"/>
  <c r="F643" i="2"/>
  <c r="H643" i="2"/>
  <c r="I643" i="2"/>
  <c r="G643" i="2" s="1"/>
  <c r="J643" i="2"/>
  <c r="F644" i="2"/>
  <c r="H644" i="2"/>
  <c r="I644" i="2"/>
  <c r="G644" i="2" s="1"/>
  <c r="J644" i="2"/>
  <c r="F645" i="2"/>
  <c r="H645" i="2"/>
  <c r="I645" i="2"/>
  <c r="G645" i="2" s="1"/>
  <c r="J645" i="2"/>
  <c r="F646" i="2"/>
  <c r="H646" i="2"/>
  <c r="I646" i="2"/>
  <c r="G646" i="2" s="1"/>
  <c r="J646" i="2"/>
  <c r="F647" i="2"/>
  <c r="H647" i="2"/>
  <c r="I647" i="2"/>
  <c r="G647" i="2" s="1"/>
  <c r="J647" i="2"/>
  <c r="F648" i="2"/>
  <c r="H648" i="2"/>
  <c r="I648" i="2"/>
  <c r="G648" i="2" s="1"/>
  <c r="J648" i="2"/>
  <c r="F649" i="2"/>
  <c r="H649" i="2"/>
  <c r="I649" i="2"/>
  <c r="G649" i="2" s="1"/>
  <c r="J649" i="2"/>
  <c r="F650" i="2"/>
  <c r="H650" i="2"/>
  <c r="I650" i="2"/>
  <c r="G650" i="2" s="1"/>
  <c r="J650" i="2"/>
  <c r="F651" i="2"/>
  <c r="H651" i="2"/>
  <c r="I651" i="2"/>
  <c r="G651" i="2" s="1"/>
  <c r="J651" i="2"/>
  <c r="F652" i="2"/>
  <c r="H652" i="2"/>
  <c r="I652" i="2"/>
  <c r="G652" i="2" s="1"/>
  <c r="J652" i="2"/>
  <c r="F653" i="2"/>
  <c r="H653" i="2"/>
  <c r="I653" i="2"/>
  <c r="G653" i="2" s="1"/>
  <c r="J653" i="2"/>
  <c r="F654" i="2"/>
  <c r="H654" i="2"/>
  <c r="I654" i="2"/>
  <c r="G654" i="2" s="1"/>
  <c r="J654" i="2"/>
  <c r="F655" i="2"/>
  <c r="H655" i="2"/>
  <c r="I655" i="2"/>
  <c r="G655" i="2" s="1"/>
  <c r="J655" i="2"/>
  <c r="F656" i="2"/>
  <c r="H656" i="2"/>
  <c r="I656" i="2"/>
  <c r="G656" i="2" s="1"/>
  <c r="J656" i="2"/>
  <c r="F657" i="2"/>
  <c r="H657" i="2"/>
  <c r="I657" i="2"/>
  <c r="G657" i="2" s="1"/>
  <c r="J657" i="2"/>
  <c r="F658" i="2"/>
  <c r="H658" i="2"/>
  <c r="I658" i="2"/>
  <c r="G658" i="2" s="1"/>
  <c r="J658" i="2"/>
  <c r="F659" i="2"/>
  <c r="H659" i="2"/>
  <c r="I659" i="2"/>
  <c r="G659" i="2" s="1"/>
  <c r="J659" i="2"/>
  <c r="F660" i="2"/>
  <c r="H660" i="2"/>
  <c r="I660" i="2"/>
  <c r="G660" i="2" s="1"/>
  <c r="J660" i="2"/>
  <c r="F661" i="2"/>
  <c r="H661" i="2"/>
  <c r="I661" i="2"/>
  <c r="G661" i="2" s="1"/>
  <c r="J661" i="2"/>
  <c r="F662" i="2"/>
  <c r="H662" i="2"/>
  <c r="I662" i="2"/>
  <c r="G662" i="2" s="1"/>
  <c r="J662" i="2"/>
  <c r="F663" i="2"/>
  <c r="H663" i="2"/>
  <c r="I663" i="2"/>
  <c r="G663" i="2" s="1"/>
  <c r="J663" i="2"/>
  <c r="F664" i="2"/>
  <c r="H664" i="2"/>
  <c r="I664" i="2"/>
  <c r="G664" i="2" s="1"/>
  <c r="J664" i="2"/>
  <c r="F665" i="2"/>
  <c r="H665" i="2"/>
  <c r="I665" i="2"/>
  <c r="G665" i="2" s="1"/>
  <c r="J665" i="2"/>
  <c r="F666" i="2"/>
  <c r="H666" i="2"/>
  <c r="I666" i="2"/>
  <c r="G666" i="2" s="1"/>
  <c r="J666" i="2"/>
  <c r="F667" i="2"/>
  <c r="H667" i="2"/>
  <c r="I667" i="2"/>
  <c r="G667" i="2" s="1"/>
  <c r="J667" i="2"/>
  <c r="F668" i="2"/>
  <c r="H668" i="2"/>
  <c r="I668" i="2"/>
  <c r="G668" i="2" s="1"/>
  <c r="J668" i="2"/>
  <c r="F669" i="2"/>
  <c r="H669" i="2"/>
  <c r="I669" i="2"/>
  <c r="G669" i="2" s="1"/>
  <c r="J669" i="2"/>
  <c r="F670" i="2"/>
  <c r="H670" i="2"/>
  <c r="I670" i="2"/>
  <c r="G670" i="2" s="1"/>
  <c r="J670" i="2"/>
  <c r="F671" i="2"/>
  <c r="H671" i="2"/>
  <c r="I671" i="2"/>
  <c r="G671" i="2" s="1"/>
  <c r="J671" i="2"/>
  <c r="F672" i="2"/>
  <c r="H672" i="2"/>
  <c r="I672" i="2"/>
  <c r="G672" i="2" s="1"/>
  <c r="J672" i="2"/>
  <c r="F673" i="2"/>
  <c r="H673" i="2"/>
  <c r="I673" i="2"/>
  <c r="G673" i="2" s="1"/>
  <c r="J673" i="2"/>
  <c r="F674" i="2"/>
  <c r="H674" i="2"/>
  <c r="I674" i="2"/>
  <c r="G674" i="2" s="1"/>
  <c r="J674" i="2"/>
  <c r="F675" i="2"/>
  <c r="H675" i="2"/>
  <c r="I675" i="2"/>
  <c r="G675" i="2" s="1"/>
  <c r="J675" i="2"/>
  <c r="F676" i="2"/>
  <c r="H676" i="2"/>
  <c r="I676" i="2"/>
  <c r="G676" i="2" s="1"/>
  <c r="J676" i="2"/>
  <c r="F677" i="2"/>
  <c r="H677" i="2"/>
  <c r="I677" i="2"/>
  <c r="G677" i="2" s="1"/>
  <c r="J677" i="2"/>
  <c r="F678" i="2"/>
  <c r="H678" i="2"/>
  <c r="I678" i="2"/>
  <c r="G678" i="2" s="1"/>
  <c r="J678" i="2"/>
  <c r="F679" i="2"/>
  <c r="H679" i="2"/>
  <c r="I679" i="2"/>
  <c r="G679" i="2" s="1"/>
  <c r="J679" i="2"/>
  <c r="F680" i="2"/>
  <c r="H680" i="2"/>
  <c r="I680" i="2"/>
  <c r="G680" i="2" s="1"/>
  <c r="J680" i="2"/>
  <c r="F681" i="2"/>
  <c r="H681" i="2"/>
  <c r="I681" i="2"/>
  <c r="G681" i="2" s="1"/>
  <c r="J681" i="2"/>
  <c r="F682" i="2"/>
  <c r="H682" i="2"/>
  <c r="I682" i="2"/>
  <c r="G682" i="2" s="1"/>
  <c r="J682" i="2"/>
  <c r="F683" i="2"/>
  <c r="H683" i="2"/>
  <c r="I683" i="2"/>
  <c r="G683" i="2" s="1"/>
  <c r="J683" i="2"/>
  <c r="F684" i="2"/>
  <c r="H684" i="2"/>
  <c r="I684" i="2"/>
  <c r="G684" i="2" s="1"/>
  <c r="J684" i="2"/>
  <c r="F685" i="2"/>
  <c r="H685" i="2"/>
  <c r="I685" i="2"/>
  <c r="G685" i="2" s="1"/>
  <c r="J685" i="2"/>
  <c r="F686" i="2"/>
  <c r="H686" i="2"/>
  <c r="I686" i="2"/>
  <c r="G686" i="2" s="1"/>
  <c r="J686" i="2"/>
  <c r="F687" i="2"/>
  <c r="H687" i="2"/>
  <c r="I687" i="2"/>
  <c r="G687" i="2" s="1"/>
  <c r="J687" i="2"/>
  <c r="F688" i="2"/>
  <c r="H688" i="2"/>
  <c r="I688" i="2"/>
  <c r="G688" i="2" s="1"/>
  <c r="J688" i="2"/>
  <c r="F689" i="2"/>
  <c r="H689" i="2"/>
  <c r="I689" i="2"/>
  <c r="G689" i="2" s="1"/>
  <c r="J689" i="2"/>
  <c r="F690" i="2"/>
  <c r="H690" i="2"/>
  <c r="I690" i="2"/>
  <c r="G690" i="2" s="1"/>
  <c r="J690" i="2"/>
  <c r="F691" i="2"/>
  <c r="H691" i="2"/>
  <c r="I691" i="2"/>
  <c r="G691" i="2" s="1"/>
  <c r="J691" i="2"/>
  <c r="F692" i="2"/>
  <c r="H692" i="2"/>
  <c r="I692" i="2"/>
  <c r="G692" i="2" s="1"/>
  <c r="J692" i="2"/>
  <c r="F693" i="2"/>
  <c r="H693" i="2"/>
  <c r="I693" i="2"/>
  <c r="G693" i="2" s="1"/>
  <c r="J693" i="2"/>
  <c r="F694" i="2"/>
  <c r="H694" i="2"/>
  <c r="I694" i="2"/>
  <c r="G694" i="2" s="1"/>
  <c r="J694" i="2"/>
  <c r="F695" i="2"/>
  <c r="H695" i="2"/>
  <c r="I695" i="2"/>
  <c r="G695" i="2" s="1"/>
  <c r="J695" i="2"/>
  <c r="F696" i="2"/>
  <c r="H696" i="2"/>
  <c r="I696" i="2"/>
  <c r="G696" i="2" s="1"/>
  <c r="J696" i="2"/>
  <c r="F697" i="2"/>
  <c r="H697" i="2"/>
  <c r="I697" i="2"/>
  <c r="G697" i="2" s="1"/>
  <c r="J697" i="2"/>
  <c r="F698" i="2"/>
  <c r="H698" i="2"/>
  <c r="I698" i="2"/>
  <c r="G698" i="2" s="1"/>
  <c r="J698" i="2"/>
  <c r="F699" i="2"/>
  <c r="H699" i="2"/>
  <c r="I699" i="2"/>
  <c r="G699" i="2" s="1"/>
  <c r="J699" i="2"/>
  <c r="F700" i="2"/>
  <c r="H700" i="2"/>
  <c r="I700" i="2"/>
  <c r="G700" i="2" s="1"/>
  <c r="J700" i="2"/>
  <c r="F701" i="2"/>
  <c r="H701" i="2"/>
  <c r="I701" i="2"/>
  <c r="G701" i="2" s="1"/>
  <c r="J701" i="2"/>
  <c r="F702" i="2"/>
  <c r="H702" i="2"/>
  <c r="I702" i="2"/>
  <c r="G702" i="2" s="1"/>
  <c r="J702" i="2"/>
  <c r="F703" i="2"/>
  <c r="H703" i="2"/>
  <c r="I703" i="2"/>
  <c r="G703" i="2" s="1"/>
  <c r="J703" i="2"/>
  <c r="F704" i="2"/>
  <c r="H704" i="2"/>
  <c r="I704" i="2"/>
  <c r="G704" i="2" s="1"/>
  <c r="J704" i="2"/>
  <c r="F705" i="2"/>
  <c r="H705" i="2"/>
  <c r="I705" i="2"/>
  <c r="G705" i="2" s="1"/>
  <c r="J705" i="2"/>
  <c r="F706" i="2"/>
  <c r="H706" i="2"/>
  <c r="I706" i="2"/>
  <c r="G706" i="2" s="1"/>
  <c r="J706" i="2"/>
  <c r="F707" i="2"/>
  <c r="H707" i="2"/>
  <c r="I707" i="2"/>
  <c r="G707" i="2" s="1"/>
  <c r="J707" i="2"/>
  <c r="F708" i="2"/>
  <c r="H708" i="2"/>
  <c r="I708" i="2"/>
  <c r="G708" i="2" s="1"/>
  <c r="J708" i="2"/>
  <c r="F709" i="2"/>
  <c r="H709" i="2"/>
  <c r="I709" i="2"/>
  <c r="G709" i="2" s="1"/>
  <c r="J709" i="2"/>
  <c r="F710" i="2"/>
  <c r="H710" i="2"/>
  <c r="I710" i="2"/>
  <c r="G710" i="2" s="1"/>
  <c r="J710" i="2"/>
  <c r="F711" i="2"/>
  <c r="H711" i="2"/>
  <c r="I711" i="2"/>
  <c r="G711" i="2" s="1"/>
  <c r="J711" i="2"/>
  <c r="F712" i="2"/>
  <c r="H712" i="2"/>
  <c r="I712" i="2"/>
  <c r="G712" i="2" s="1"/>
  <c r="J712" i="2"/>
  <c r="F713" i="2"/>
  <c r="H713" i="2"/>
  <c r="I713" i="2"/>
  <c r="G713" i="2" s="1"/>
  <c r="J713" i="2"/>
  <c r="F714" i="2"/>
  <c r="H714" i="2"/>
  <c r="I714" i="2"/>
  <c r="G714" i="2" s="1"/>
  <c r="J714" i="2"/>
  <c r="F715" i="2"/>
  <c r="H715" i="2"/>
  <c r="I715" i="2"/>
  <c r="G715" i="2" s="1"/>
  <c r="J715" i="2"/>
  <c r="F716" i="2"/>
  <c r="H716" i="2"/>
  <c r="I716" i="2"/>
  <c r="G716" i="2" s="1"/>
  <c r="J716" i="2"/>
  <c r="F717" i="2"/>
  <c r="H717" i="2"/>
  <c r="I717" i="2"/>
  <c r="G717" i="2" s="1"/>
  <c r="J717" i="2"/>
  <c r="F718" i="2"/>
  <c r="H718" i="2"/>
  <c r="I718" i="2"/>
  <c r="G718" i="2" s="1"/>
  <c r="J718" i="2"/>
  <c r="F719" i="2"/>
  <c r="H719" i="2"/>
  <c r="I719" i="2"/>
  <c r="G719" i="2" s="1"/>
  <c r="J719" i="2"/>
  <c r="F720" i="2"/>
  <c r="H720" i="2"/>
  <c r="I720" i="2"/>
  <c r="G720" i="2" s="1"/>
  <c r="J720" i="2"/>
  <c r="F721" i="2"/>
  <c r="H721" i="2"/>
  <c r="I721" i="2"/>
  <c r="G721" i="2" s="1"/>
  <c r="J721" i="2"/>
  <c r="F722" i="2"/>
  <c r="H722" i="2"/>
  <c r="I722" i="2"/>
  <c r="G722" i="2" s="1"/>
  <c r="J722" i="2"/>
  <c r="F723" i="2"/>
  <c r="H723" i="2"/>
  <c r="I723" i="2"/>
  <c r="G723" i="2" s="1"/>
  <c r="J723" i="2"/>
  <c r="F724" i="2"/>
  <c r="H724" i="2"/>
  <c r="I724" i="2"/>
  <c r="G724" i="2" s="1"/>
  <c r="J724" i="2"/>
  <c r="F725" i="2"/>
  <c r="H725" i="2"/>
  <c r="I725" i="2"/>
  <c r="G725" i="2" s="1"/>
  <c r="J725" i="2"/>
  <c r="F726" i="2"/>
  <c r="H726" i="2"/>
  <c r="I726" i="2"/>
  <c r="G726" i="2" s="1"/>
  <c r="J726" i="2"/>
  <c r="F727" i="2"/>
  <c r="H727" i="2"/>
  <c r="I727" i="2"/>
  <c r="G727" i="2" s="1"/>
  <c r="J727" i="2"/>
  <c r="F728" i="2"/>
  <c r="H728" i="2"/>
  <c r="I728" i="2"/>
  <c r="G728" i="2" s="1"/>
  <c r="J728" i="2"/>
  <c r="F729" i="2"/>
  <c r="H729" i="2"/>
  <c r="I729" i="2"/>
  <c r="G729" i="2" s="1"/>
  <c r="J729" i="2"/>
  <c r="F730" i="2"/>
  <c r="H730" i="2"/>
  <c r="I730" i="2"/>
  <c r="G730" i="2" s="1"/>
  <c r="J730" i="2"/>
  <c r="F731" i="2"/>
  <c r="H731" i="2"/>
  <c r="I731" i="2"/>
  <c r="G731" i="2" s="1"/>
  <c r="J731" i="2"/>
  <c r="F732" i="2"/>
  <c r="H732" i="2"/>
  <c r="I732" i="2"/>
  <c r="G732" i="2" s="1"/>
  <c r="J732" i="2"/>
  <c r="F733" i="2"/>
  <c r="H733" i="2"/>
  <c r="I733" i="2"/>
  <c r="G733" i="2" s="1"/>
  <c r="J733" i="2"/>
  <c r="F734" i="2"/>
  <c r="H734" i="2"/>
  <c r="I734" i="2"/>
  <c r="G734" i="2" s="1"/>
  <c r="J734" i="2"/>
  <c r="F735" i="2"/>
  <c r="H735" i="2"/>
  <c r="I735" i="2"/>
  <c r="G735" i="2" s="1"/>
  <c r="J735" i="2"/>
  <c r="F736" i="2"/>
  <c r="H736" i="2"/>
  <c r="I736" i="2"/>
  <c r="G736" i="2" s="1"/>
  <c r="J736" i="2"/>
  <c r="F737" i="2"/>
  <c r="H737" i="2"/>
  <c r="I737" i="2"/>
  <c r="G737" i="2" s="1"/>
  <c r="J737" i="2"/>
  <c r="F738" i="2"/>
  <c r="H738" i="2"/>
  <c r="I738" i="2"/>
  <c r="G738" i="2" s="1"/>
  <c r="J738" i="2"/>
  <c r="F739" i="2"/>
  <c r="H739" i="2"/>
  <c r="I739" i="2"/>
  <c r="G739" i="2" s="1"/>
  <c r="J739" i="2"/>
  <c r="F740" i="2"/>
  <c r="H740" i="2"/>
  <c r="I740" i="2"/>
  <c r="G740" i="2" s="1"/>
  <c r="J740" i="2"/>
  <c r="F741" i="2"/>
  <c r="H741" i="2"/>
  <c r="I741" i="2"/>
  <c r="G741" i="2" s="1"/>
  <c r="J741" i="2"/>
  <c r="F742" i="2"/>
  <c r="H742" i="2"/>
  <c r="I742" i="2"/>
  <c r="G742" i="2" s="1"/>
  <c r="J742" i="2"/>
  <c r="F743" i="2"/>
  <c r="H743" i="2"/>
  <c r="I743" i="2"/>
  <c r="G743" i="2" s="1"/>
  <c r="J743" i="2"/>
  <c r="F744" i="2"/>
  <c r="H744" i="2"/>
  <c r="I744" i="2"/>
  <c r="G744" i="2" s="1"/>
  <c r="J744" i="2"/>
  <c r="I745" i="2"/>
  <c r="G745" i="2" s="1"/>
  <c r="H745" i="2"/>
  <c r="J745" i="2"/>
  <c r="H746" i="2"/>
  <c r="I746" i="2"/>
  <c r="G746" i="2" s="1"/>
  <c r="F746" i="2"/>
  <c r="J746" i="2"/>
  <c r="F747" i="2"/>
  <c r="I747" i="2"/>
  <c r="G747" i="2" s="1"/>
  <c r="J747" i="2"/>
  <c r="F748" i="2"/>
  <c r="H748" i="2"/>
  <c r="I748" i="2"/>
  <c r="G748" i="2" s="1"/>
  <c r="J748" i="2"/>
  <c r="F749" i="2"/>
  <c r="H749" i="2"/>
  <c r="I749" i="2"/>
  <c r="G749" i="2" s="1"/>
  <c r="J749" i="2"/>
  <c r="F750" i="2"/>
  <c r="H750" i="2"/>
  <c r="I750" i="2"/>
  <c r="G750" i="2" s="1"/>
  <c r="J750" i="2"/>
  <c r="H751" i="2"/>
  <c r="I751" i="2"/>
  <c r="G751" i="2" s="1"/>
  <c r="F751" i="2"/>
  <c r="J751" i="2"/>
  <c r="F752" i="2"/>
  <c r="H752" i="2"/>
  <c r="I752" i="2"/>
  <c r="G752" i="2" s="1"/>
  <c r="J752" i="2"/>
  <c r="F753" i="2"/>
  <c r="H753" i="2"/>
  <c r="I753" i="2"/>
  <c r="G753" i="2" s="1"/>
  <c r="J753" i="2"/>
  <c r="F754" i="2"/>
  <c r="H754" i="2"/>
  <c r="I754" i="2"/>
  <c r="G754" i="2" s="1"/>
  <c r="J754" i="2"/>
  <c r="F755" i="2"/>
  <c r="H755" i="2"/>
  <c r="I755" i="2"/>
  <c r="G755" i="2" s="1"/>
  <c r="J755" i="2"/>
  <c r="F756" i="2"/>
  <c r="H756" i="2"/>
  <c r="I756" i="2"/>
  <c r="G756" i="2" s="1"/>
  <c r="J756" i="2"/>
  <c r="F757" i="2"/>
  <c r="H757" i="2"/>
  <c r="I757" i="2"/>
  <c r="G757" i="2" s="1"/>
  <c r="J757" i="2"/>
  <c r="F758" i="2"/>
  <c r="H758" i="2"/>
  <c r="I758" i="2"/>
  <c r="G758" i="2" s="1"/>
  <c r="J758" i="2"/>
  <c r="F759" i="2"/>
  <c r="H759" i="2"/>
  <c r="I759" i="2"/>
  <c r="G759" i="2" s="1"/>
  <c r="J759" i="2"/>
  <c r="F760" i="2"/>
  <c r="H760" i="2"/>
  <c r="I760" i="2"/>
  <c r="G760" i="2" s="1"/>
  <c r="J760" i="2"/>
  <c r="F761" i="2"/>
  <c r="H761" i="2"/>
  <c r="I761" i="2"/>
  <c r="G761" i="2" s="1"/>
  <c r="J761" i="2"/>
  <c r="F762" i="2"/>
  <c r="H762" i="2"/>
  <c r="I762" i="2"/>
  <c r="G762" i="2" s="1"/>
  <c r="J762" i="2"/>
  <c r="F763" i="2"/>
  <c r="H763" i="2"/>
  <c r="I763" i="2"/>
  <c r="G763" i="2" s="1"/>
  <c r="J763" i="2"/>
  <c r="F764" i="2"/>
  <c r="H764" i="2"/>
  <c r="I764" i="2"/>
  <c r="G764" i="2" s="1"/>
  <c r="J764" i="2"/>
  <c r="F765" i="2"/>
  <c r="H765" i="2"/>
  <c r="I765" i="2"/>
  <c r="G765" i="2" s="1"/>
  <c r="J765" i="2"/>
  <c r="F766" i="2"/>
  <c r="H766" i="2"/>
  <c r="I766" i="2"/>
  <c r="G766" i="2" s="1"/>
  <c r="J766" i="2"/>
  <c r="F767" i="2"/>
  <c r="H767" i="2"/>
  <c r="I767" i="2"/>
  <c r="G767" i="2" s="1"/>
  <c r="J767" i="2"/>
  <c r="F768" i="2"/>
  <c r="H768" i="2"/>
  <c r="I768" i="2"/>
  <c r="G768" i="2" s="1"/>
  <c r="J768" i="2"/>
  <c r="F769" i="2"/>
  <c r="H769" i="2"/>
  <c r="I769" i="2"/>
  <c r="G769" i="2" s="1"/>
  <c r="J769" i="2"/>
  <c r="F770" i="2"/>
  <c r="H770" i="2"/>
  <c r="I770" i="2"/>
  <c r="G770" i="2" s="1"/>
  <c r="J770" i="2"/>
  <c r="F771" i="2"/>
  <c r="H771" i="2"/>
  <c r="I771" i="2"/>
  <c r="G771" i="2" s="1"/>
  <c r="J771" i="2"/>
  <c r="F772" i="2"/>
  <c r="H772" i="2"/>
  <c r="I772" i="2"/>
  <c r="G772" i="2" s="1"/>
  <c r="J772" i="2"/>
  <c r="F773" i="2"/>
  <c r="H773" i="2"/>
  <c r="I773" i="2"/>
  <c r="G773" i="2" s="1"/>
  <c r="J773" i="2"/>
  <c r="F774" i="2"/>
  <c r="H774" i="2"/>
  <c r="I774" i="2"/>
  <c r="G774" i="2" s="1"/>
  <c r="J774" i="2"/>
  <c r="F775" i="2"/>
  <c r="H775" i="2"/>
  <c r="I775" i="2"/>
  <c r="G775" i="2" s="1"/>
  <c r="J775" i="2"/>
  <c r="F776" i="2"/>
  <c r="H776" i="2"/>
  <c r="I776" i="2"/>
  <c r="G776" i="2" s="1"/>
  <c r="J776" i="2"/>
  <c r="F777" i="2"/>
  <c r="H777" i="2"/>
  <c r="I777" i="2"/>
  <c r="G777" i="2" s="1"/>
  <c r="J777" i="2"/>
  <c r="F778" i="2"/>
  <c r="H778" i="2"/>
  <c r="I778" i="2"/>
  <c r="G778" i="2" s="1"/>
  <c r="J778" i="2"/>
  <c r="A4" i="4"/>
  <c r="F4" i="4"/>
  <c r="A5" i="4"/>
  <c r="F5" i="4"/>
  <c r="A6" i="4"/>
  <c r="F6" i="4"/>
  <c r="J10" i="4"/>
  <c r="J11" i="4"/>
  <c r="J12" i="4"/>
  <c r="J17" i="4"/>
  <c r="J18" i="4"/>
  <c r="J19" i="4"/>
  <c r="J24" i="4"/>
  <c r="J25" i="4"/>
  <c r="J26" i="4"/>
  <c r="J31" i="4"/>
  <c r="J32" i="4"/>
  <c r="J33" i="4"/>
  <c r="J38" i="4"/>
  <c r="J39" i="4"/>
  <c r="J40" i="4"/>
  <c r="A4" i="5"/>
  <c r="F4" i="5"/>
  <c r="A5" i="5"/>
  <c r="F5" i="5"/>
  <c r="A6" i="5"/>
  <c r="F6" i="5"/>
  <c r="B10" i="5"/>
  <c r="D10" i="5"/>
  <c r="E10" i="5" s="1"/>
  <c r="G10" i="5"/>
  <c r="H10" i="5"/>
  <c r="B11" i="5"/>
  <c r="D11" i="5"/>
  <c r="E11" i="5" s="1"/>
  <c r="G11" i="5"/>
  <c r="H11" i="5"/>
  <c r="B12" i="5"/>
  <c r="D12" i="5"/>
  <c r="E12" i="5" s="1"/>
  <c r="G12" i="5"/>
  <c r="H12" i="5"/>
  <c r="B13" i="5"/>
  <c r="D13" i="5"/>
  <c r="E13" i="5" s="1"/>
  <c r="G13" i="5"/>
  <c r="H13" i="5"/>
  <c r="B14" i="5"/>
  <c r="D14" i="5"/>
  <c r="E14" i="5" s="1"/>
  <c r="F14" i="5"/>
  <c r="G14" i="5"/>
  <c r="H14" i="5"/>
  <c r="B15" i="5"/>
  <c r="D15" i="5"/>
  <c r="E15" i="5"/>
  <c r="F15" i="5"/>
  <c r="G15" i="5"/>
  <c r="H15" i="5"/>
  <c r="B16" i="5"/>
  <c r="D16" i="5"/>
  <c r="E16" i="5" s="1"/>
  <c r="F16" i="5"/>
  <c r="G16" i="5"/>
  <c r="H16" i="5"/>
  <c r="B18" i="5"/>
  <c r="D18" i="5"/>
  <c r="E18" i="5" s="1"/>
  <c r="F18" i="5"/>
  <c r="G18" i="5"/>
  <c r="H18" i="5"/>
  <c r="B19" i="5"/>
  <c r="D19" i="5"/>
  <c r="E19" i="5" s="1"/>
  <c r="F19" i="5"/>
  <c r="G19" i="5"/>
  <c r="H19" i="5"/>
  <c r="B22" i="5"/>
  <c r="D22" i="5"/>
  <c r="E22" i="5" s="1"/>
  <c r="F22" i="5"/>
  <c r="G22" i="5"/>
  <c r="H22" i="5"/>
  <c r="B23" i="5"/>
  <c r="D23" i="5"/>
  <c r="E23" i="5" s="1"/>
  <c r="F23" i="5"/>
  <c r="G23" i="5"/>
  <c r="H23" i="5"/>
  <c r="B24" i="5"/>
  <c r="D24" i="5"/>
  <c r="E24" i="5" s="1"/>
  <c r="F24" i="5"/>
  <c r="G24" i="5"/>
  <c r="H24" i="5"/>
  <c r="B25" i="5"/>
  <c r="D25" i="5"/>
  <c r="E25" i="5" s="1"/>
  <c r="F25" i="5"/>
  <c r="G25" i="5"/>
  <c r="H25" i="5"/>
  <c r="B26" i="5"/>
  <c r="D26" i="5"/>
  <c r="E26" i="5"/>
  <c r="F26" i="5"/>
  <c r="G26" i="5"/>
  <c r="H26" i="5"/>
  <c r="B27" i="5"/>
  <c r="D27" i="5"/>
  <c r="E27" i="5" s="1"/>
  <c r="F27" i="5"/>
  <c r="G27" i="5"/>
  <c r="H27" i="5"/>
  <c r="B28" i="5"/>
  <c r="D28" i="5"/>
  <c r="E28" i="5" s="1"/>
  <c r="G28" i="5"/>
  <c r="H28" i="5"/>
  <c r="B30" i="5"/>
  <c r="D30" i="5"/>
  <c r="E30" i="5" s="1"/>
  <c r="F30" i="5"/>
  <c r="G30" i="5"/>
  <c r="H30" i="5"/>
  <c r="B31" i="5"/>
  <c r="D31" i="5"/>
  <c r="E31" i="5" s="1"/>
  <c r="F31" i="5"/>
  <c r="G31" i="5"/>
  <c r="H31" i="5"/>
  <c r="B32" i="5"/>
  <c r="D32" i="5"/>
  <c r="E32" i="5" s="1"/>
  <c r="F32" i="5"/>
  <c r="G32" i="5"/>
  <c r="H32" i="5"/>
  <c r="B33" i="5"/>
  <c r="D33" i="5"/>
  <c r="E33" i="5"/>
  <c r="F33" i="5"/>
  <c r="G33" i="5"/>
  <c r="H33" i="5"/>
  <c r="B34" i="5"/>
  <c r="D34" i="5"/>
  <c r="E34" i="5" s="1"/>
  <c r="F34" i="5"/>
  <c r="G34" i="5"/>
  <c r="H34" i="5"/>
  <c r="B35" i="5"/>
  <c r="D35" i="5"/>
  <c r="E35" i="5" s="1"/>
  <c r="F35" i="5"/>
  <c r="G35" i="5"/>
  <c r="H35" i="5"/>
  <c r="B36" i="5"/>
  <c r="D36" i="5"/>
  <c r="E36" i="5" s="1"/>
  <c r="G36" i="5"/>
  <c r="H36" i="5"/>
  <c r="B37" i="5"/>
  <c r="D37" i="5"/>
  <c r="E37" i="5" s="1"/>
  <c r="F37" i="5"/>
  <c r="G37" i="5"/>
  <c r="H37" i="5"/>
  <c r="B42" i="5"/>
  <c r="D42" i="5"/>
  <c r="E42" i="5" s="1"/>
  <c r="F42" i="5"/>
  <c r="G42" i="5"/>
  <c r="H42" i="5"/>
  <c r="B43" i="5"/>
  <c r="D43" i="5"/>
  <c r="E43" i="5"/>
  <c r="F43" i="5"/>
  <c r="G43" i="5"/>
  <c r="H43" i="5"/>
  <c r="B44" i="5"/>
  <c r="D44" i="5"/>
  <c r="E44" i="5" s="1"/>
  <c r="F44" i="5"/>
  <c r="G44" i="5"/>
  <c r="H44" i="5"/>
  <c r="B47" i="5"/>
  <c r="D47" i="5"/>
  <c r="H47" i="5"/>
  <c r="B48" i="5"/>
  <c r="D48" i="5"/>
  <c r="H48" i="5"/>
  <c r="B49" i="5"/>
  <c r="D49" i="5"/>
  <c r="H49" i="5"/>
  <c r="B50" i="5"/>
  <c r="D50" i="5"/>
  <c r="H50" i="5"/>
  <c r="I50" i="5" s="1"/>
  <c r="J50" i="5" s="1"/>
  <c r="B51" i="5"/>
  <c r="D51" i="5"/>
  <c r="H51" i="5"/>
  <c r="I51" i="5" s="1"/>
  <c r="J51" i="5" s="1"/>
  <c r="B52" i="5"/>
  <c r="D52" i="5"/>
  <c r="H52" i="5"/>
  <c r="I52" i="5" s="1"/>
  <c r="J52" i="5" s="1"/>
  <c r="B53" i="5"/>
  <c r="D53" i="5"/>
  <c r="H53" i="5"/>
  <c r="I53" i="5" s="1"/>
  <c r="J53" i="5" s="1"/>
  <c r="B54" i="5"/>
  <c r="D54" i="5"/>
  <c r="H54" i="5"/>
  <c r="I54" i="5" s="1"/>
  <c r="J54" i="5" s="1"/>
  <c r="B55" i="5"/>
  <c r="D55" i="5"/>
  <c r="H55" i="5"/>
  <c r="I55" i="5" s="1"/>
  <c r="J55" i="5" s="1"/>
  <c r="B56" i="5"/>
  <c r="D56" i="5"/>
  <c r="H56" i="5"/>
  <c r="I56" i="5" s="1"/>
  <c r="J56" i="5" s="1"/>
  <c r="B57" i="5"/>
  <c r="D57" i="5"/>
  <c r="H57" i="5"/>
  <c r="I57" i="5" s="1"/>
  <c r="J57" i="5" s="1"/>
  <c r="B58" i="5"/>
  <c r="D58" i="5"/>
  <c r="H58" i="5"/>
  <c r="I58" i="5" s="1"/>
  <c r="J58" i="5" s="1"/>
  <c r="B59" i="5"/>
  <c r="D59" i="5"/>
  <c r="H59" i="5"/>
  <c r="I59" i="5" s="1"/>
  <c r="J59" i="5" s="1"/>
  <c r="B60" i="5"/>
  <c r="D60" i="5"/>
  <c r="H60" i="5"/>
  <c r="I60" i="5" s="1"/>
  <c r="J60" i="5" s="1"/>
  <c r="B61" i="5"/>
  <c r="D61" i="5"/>
  <c r="H61" i="5"/>
  <c r="I61" i="5" s="1"/>
  <c r="J61" i="5" s="1"/>
  <c r="B62" i="5"/>
  <c r="D62" i="5"/>
  <c r="H62" i="5"/>
  <c r="I62" i="5" s="1"/>
  <c r="J62" i="5" s="1"/>
  <c r="B63" i="5"/>
  <c r="D63" i="5"/>
  <c r="H63" i="5"/>
  <c r="I63" i="5" s="1"/>
  <c r="J63" i="5" s="1"/>
  <c r="B64" i="5"/>
  <c r="D64" i="5"/>
  <c r="H64" i="5"/>
  <c r="I64" i="5" s="1"/>
  <c r="J64" i="5" s="1"/>
  <c r="B65" i="5"/>
  <c r="D65" i="5"/>
  <c r="H65" i="5"/>
  <c r="I65" i="5" s="1"/>
  <c r="J65" i="5" s="1"/>
  <c r="B66" i="5"/>
  <c r="D66" i="5"/>
  <c r="H66" i="5"/>
  <c r="I66" i="5" s="1"/>
  <c r="J66" i="5" s="1"/>
  <c r="B67" i="5"/>
  <c r="D67" i="5"/>
  <c r="H67" i="5"/>
  <c r="I67" i="5" s="1"/>
  <c r="J67" i="5" s="1"/>
  <c r="B68" i="5"/>
  <c r="D68" i="5"/>
  <c r="H68" i="5"/>
  <c r="I68" i="5" s="1"/>
  <c r="J68" i="5" s="1"/>
  <c r="B69" i="5"/>
  <c r="D69" i="5"/>
  <c r="H69" i="5"/>
  <c r="I69" i="5" s="1"/>
  <c r="J69" i="5" s="1"/>
  <c r="H747" i="2"/>
  <c r="F745" i="2"/>
  <c r="F11" i="5"/>
  <c r="J5" i="3"/>
  <c r="K5" i="3" s="1"/>
  <c r="H425" i="2" l="1"/>
  <c r="L425" i="2" s="1"/>
  <c r="F425" i="2"/>
  <c r="H420" i="2"/>
  <c r="L420" i="2" s="1"/>
  <c r="F420" i="2"/>
  <c r="F422" i="2"/>
  <c r="H419" i="2"/>
  <c r="L419" i="2" s="1"/>
  <c r="F419" i="2"/>
  <c r="H422" i="2"/>
  <c r="L422" i="2" s="1"/>
  <c r="H421" i="2"/>
  <c r="L421" i="2" s="1"/>
  <c r="F421" i="2"/>
  <c r="G106" i="2"/>
  <c r="F106" i="2"/>
  <c r="F107" i="2"/>
  <c r="K742" i="2"/>
  <c r="K730" i="2"/>
  <c r="K718" i="2"/>
  <c r="K706" i="2"/>
  <c r="K694" i="2"/>
  <c r="K682" i="2"/>
  <c r="K670" i="2"/>
  <c r="K658" i="2"/>
  <c r="K646" i="2"/>
  <c r="K634" i="2"/>
  <c r="K622" i="2"/>
  <c r="K610" i="2"/>
  <c r="K598" i="2"/>
  <c r="K586" i="2"/>
  <c r="K574" i="2"/>
  <c r="K562" i="2"/>
  <c r="K550" i="2"/>
  <c r="K538" i="2"/>
  <c r="K526" i="2"/>
  <c r="K514" i="2"/>
  <c r="K502" i="2"/>
  <c r="K490" i="2"/>
  <c r="K478" i="2"/>
  <c r="K466" i="2"/>
  <c r="K454" i="2"/>
  <c r="K442" i="2"/>
  <c r="K430" i="2"/>
  <c r="K418" i="2"/>
  <c r="H107" i="2"/>
  <c r="L107" i="2" s="1"/>
  <c r="K778" i="2"/>
  <c r="K766" i="2"/>
  <c r="K754" i="2"/>
  <c r="K473" i="2"/>
  <c r="F95" i="2"/>
  <c r="K741" i="2"/>
  <c r="K729" i="2"/>
  <c r="K717" i="2"/>
  <c r="K705" i="2"/>
  <c r="K693" i="2"/>
  <c r="K681" i="2"/>
  <c r="K669" i="2"/>
  <c r="K657" i="2"/>
  <c r="K525" i="2"/>
  <c r="K513" i="2"/>
  <c r="K429" i="2"/>
  <c r="K777" i="2"/>
  <c r="K765" i="2"/>
  <c r="K753" i="2"/>
  <c r="F102" i="2"/>
  <c r="H102" i="2"/>
  <c r="L102" i="2" s="1"/>
  <c r="H95" i="2"/>
  <c r="L95" i="2" s="1"/>
  <c r="F32" i="2"/>
  <c r="F18" i="2"/>
  <c r="H18" i="2"/>
  <c r="L18" i="2" s="1"/>
  <c r="K700" i="2"/>
  <c r="K664" i="2"/>
  <c r="K652" i="2"/>
  <c r="K628" i="2"/>
  <c r="K616" i="2"/>
  <c r="K604" i="2"/>
  <c r="K580" i="2"/>
  <c r="K568" i="2"/>
  <c r="K556" i="2"/>
  <c r="K544" i="2"/>
  <c r="K532" i="2"/>
  <c r="K520" i="2"/>
  <c r="K508" i="2"/>
  <c r="K496" i="2"/>
  <c r="K484" i="2"/>
  <c r="K472" i="2"/>
  <c r="K460" i="2"/>
  <c r="K448" i="2"/>
  <c r="K436" i="2"/>
  <c r="K424" i="2"/>
  <c r="K736" i="2"/>
  <c r="K712" i="2"/>
  <c r="K688" i="2"/>
  <c r="K640" i="2"/>
  <c r="K592" i="2"/>
  <c r="K724" i="2"/>
  <c r="K676" i="2"/>
  <c r="K772" i="2"/>
  <c r="K760" i="2"/>
  <c r="K748" i="2"/>
  <c r="K697" i="2"/>
  <c r="K673" i="2"/>
  <c r="K649" i="2"/>
  <c r="K625" i="2"/>
  <c r="K613" i="2"/>
  <c r="K601" i="2"/>
  <c r="K577" i="2"/>
  <c r="K565" i="2"/>
  <c r="K553" i="2"/>
  <c r="K541" i="2"/>
  <c r="K529" i="2"/>
  <c r="K517" i="2"/>
  <c r="K493" i="2"/>
  <c r="K481" i="2"/>
  <c r="K469" i="2"/>
  <c r="K457" i="2"/>
  <c r="K445" i="2"/>
  <c r="K433" i="2"/>
  <c r="K721" i="2"/>
  <c r="K709" i="2"/>
  <c r="K685" i="2"/>
  <c r="K661" i="2"/>
  <c r="K637" i="2"/>
  <c r="K747" i="2"/>
  <c r="K715" i="2"/>
  <c r="K691" i="2"/>
  <c r="K679" i="2"/>
  <c r="K655" i="2"/>
  <c r="K643" i="2"/>
  <c r="K631" i="2"/>
  <c r="K619" i="2"/>
  <c r="K595" i="2"/>
  <c r="K583" i="2"/>
  <c r="K571" i="2"/>
  <c r="K559" i="2"/>
  <c r="K547" i="2"/>
  <c r="K535" i="2"/>
  <c r="K523" i="2"/>
  <c r="K511" i="2"/>
  <c r="K499" i="2"/>
  <c r="K487" i="2"/>
  <c r="K475" i="2"/>
  <c r="K463" i="2"/>
  <c r="K451" i="2"/>
  <c r="K439" i="2"/>
  <c r="K427" i="2"/>
  <c r="K739" i="2"/>
  <c r="K727" i="2"/>
  <c r="K667" i="2"/>
  <c r="K703" i="2"/>
  <c r="K771" i="2"/>
  <c r="K759" i="2"/>
  <c r="K735" i="2"/>
  <c r="K723" i="2"/>
  <c r="K711" i="2"/>
  <c r="K699" i="2"/>
  <c r="K687" i="2"/>
  <c r="K675" i="2"/>
  <c r="K663" i="2"/>
  <c r="K579" i="2"/>
  <c r="K555" i="2"/>
  <c r="K543" i="2"/>
  <c r="K531" i="2"/>
  <c r="K519" i="2"/>
  <c r="K507" i="2"/>
  <c r="K495" i="2"/>
  <c r="K471" i="2"/>
  <c r="K423" i="2"/>
  <c r="K455" i="2"/>
  <c r="K775" i="2"/>
  <c r="K763" i="2"/>
  <c r="K751" i="2"/>
  <c r="K744" i="2"/>
  <c r="K708" i="2"/>
  <c r="K696" i="2"/>
  <c r="K672" i="2"/>
  <c r="K660" i="2"/>
  <c r="K648" i="2"/>
  <c r="K636" i="2"/>
  <c r="K624" i="2"/>
  <c r="K612" i="2"/>
  <c r="K600" i="2"/>
  <c r="K588" i="2"/>
  <c r="K576" i="2"/>
  <c r="K564" i="2"/>
  <c r="K552" i="2"/>
  <c r="K540" i="2"/>
  <c r="K528" i="2"/>
  <c r="K516" i="2"/>
  <c r="K504" i="2"/>
  <c r="K492" i="2"/>
  <c r="K480" i="2"/>
  <c r="K468" i="2"/>
  <c r="K456" i="2"/>
  <c r="K444" i="2"/>
  <c r="K432" i="2"/>
  <c r="K420" i="2"/>
  <c r="K607" i="2"/>
  <c r="K768" i="2"/>
  <c r="K756" i="2"/>
  <c r="K638" i="2"/>
  <c r="K602" i="2"/>
  <c r="K518" i="2"/>
  <c r="K494" i="2"/>
  <c r="K470" i="2"/>
  <c r="K745" i="2"/>
  <c r="K733" i="2"/>
  <c r="K570" i="2"/>
  <c r="K522" i="2"/>
  <c r="K769" i="2"/>
  <c r="K757" i="2"/>
  <c r="H39" i="2"/>
  <c r="L39" i="2" s="1"/>
  <c r="F39" i="2"/>
  <c r="H32" i="2"/>
  <c r="L32" i="2" s="1"/>
  <c r="K743" i="2"/>
  <c r="K731" i="2"/>
  <c r="K719" i="2"/>
  <c r="K707" i="2"/>
  <c r="K695" i="2"/>
  <c r="K683" i="2"/>
  <c r="K671" i="2"/>
  <c r="K659" i="2"/>
  <c r="K647" i="2"/>
  <c r="K635" i="2"/>
  <c r="K623" i="2"/>
  <c r="K611" i="2"/>
  <c r="K599" i="2"/>
  <c r="K587" i="2"/>
  <c r="K752" i="2"/>
  <c r="K428" i="2"/>
  <c r="K767" i="2"/>
  <c r="K755" i="2"/>
  <c r="K575" i="2"/>
  <c r="K563" i="2"/>
  <c r="K551" i="2"/>
  <c r="K539" i="2"/>
  <c r="K527" i="2"/>
  <c r="K515" i="2"/>
  <c r="K503" i="2"/>
  <c r="K491" i="2"/>
  <c r="K479" i="2"/>
  <c r="K467" i="2"/>
  <c r="K443" i="2"/>
  <c r="K431" i="2"/>
  <c r="K419" i="2"/>
  <c r="F110" i="2"/>
  <c r="K452" i="2"/>
  <c r="K440" i="2"/>
  <c r="K704" i="2"/>
  <c r="K644" i="2"/>
  <c r="K632" i="2"/>
  <c r="K620" i="2"/>
  <c r="K608" i="2"/>
  <c r="K596" i="2"/>
  <c r="K740" i="2"/>
  <c r="K572" i="2"/>
  <c r="K560" i="2"/>
  <c r="K548" i="2"/>
  <c r="K536" i="2"/>
  <c r="K524" i="2"/>
  <c r="K512" i="2"/>
  <c r="K500" i="2"/>
  <c r="K488" i="2"/>
  <c r="K476" i="2"/>
  <c r="K464" i="2"/>
  <c r="K582" i="2"/>
  <c r="K450" i="2"/>
  <c r="K438" i="2"/>
  <c r="K426" i="2"/>
  <c r="K558" i="2"/>
  <c r="K546" i="2"/>
  <c r="K534" i="2"/>
  <c r="K510" i="2"/>
  <c r="K498" i="2"/>
  <c r="K774" i="2"/>
  <c r="K762" i="2"/>
  <c r="K738" i="2"/>
  <c r="K726" i="2"/>
  <c r="K714" i="2"/>
  <c r="K486" i="2"/>
  <c r="K702" i="2"/>
  <c r="K474" i="2"/>
  <c r="K750" i="2"/>
  <c r="K690" i="2"/>
  <c r="K678" i="2"/>
  <c r="K666" i="2"/>
  <c r="K654" i="2"/>
  <c r="K462" i="2"/>
  <c r="K642" i="2"/>
  <c r="K630" i="2"/>
  <c r="K618" i="2"/>
  <c r="K606" i="2"/>
  <c r="K594" i="2"/>
  <c r="H110" i="2"/>
  <c r="L110" i="2" s="1"/>
  <c r="K605" i="2"/>
  <c r="K593" i="2"/>
  <c r="K557" i="2"/>
  <c r="K713" i="2"/>
  <c r="K629" i="2"/>
  <c r="K617" i="2"/>
  <c r="K581" i="2"/>
  <c r="K521" i="2"/>
  <c r="F101" i="2"/>
  <c r="K773" i="2"/>
  <c r="K701" i="2"/>
  <c r="K569" i="2"/>
  <c r="K530" i="2"/>
  <c r="K689" i="2"/>
  <c r="K509" i="2"/>
  <c r="K461" i="2"/>
  <c r="K761" i="2"/>
  <c r="K677" i="2"/>
  <c r="K665" i="2"/>
  <c r="K653" i="2"/>
  <c r="K497" i="2"/>
  <c r="K449" i="2"/>
  <c r="K641" i="2"/>
  <c r="K437" i="2"/>
  <c r="K425" i="2"/>
  <c r="K749" i="2"/>
  <c r="K737" i="2"/>
  <c r="K725" i="2"/>
  <c r="K545" i="2"/>
  <c r="K533" i="2"/>
  <c r="K485" i="2"/>
  <c r="F30" i="2"/>
  <c r="K459" i="2"/>
  <c r="K566" i="2"/>
  <c r="K446" i="2"/>
  <c r="K542" i="2"/>
  <c r="K626" i="2"/>
  <c r="K590" i="2"/>
  <c r="K458" i="2"/>
  <c r="K434" i="2"/>
  <c r="K614" i="2"/>
  <c r="K506" i="2"/>
  <c r="K650" i="2"/>
  <c r="K578" i="2"/>
  <c r="K554" i="2"/>
  <c r="K482" i="2"/>
  <c r="G30" i="2"/>
  <c r="K746" i="2"/>
  <c r="H106" i="2"/>
  <c r="L106" i="2" s="1"/>
  <c r="H101" i="2"/>
  <c r="L101" i="2" s="1"/>
  <c r="H94" i="2"/>
  <c r="L94" i="2" s="1"/>
  <c r="F94" i="2"/>
  <c r="K674" i="2"/>
  <c r="K567" i="2"/>
  <c r="K698" i="2"/>
  <c r="K627" i="2"/>
  <c r="K435" i="2"/>
  <c r="K770" i="2"/>
  <c r="K758" i="2"/>
  <c r="K734" i="2"/>
  <c r="K591" i="2"/>
  <c r="K639" i="2"/>
  <c r="K603" i="2"/>
  <c r="K686" i="2"/>
  <c r="K662" i="2"/>
  <c r="K483" i="2"/>
  <c r="K776" i="2"/>
  <c r="K561" i="2"/>
  <c r="K549" i="2"/>
  <c r="K537" i="2"/>
  <c r="K501" i="2"/>
  <c r="K465" i="2"/>
  <c r="K710" i="2"/>
  <c r="K447" i="2"/>
  <c r="K651" i="2"/>
  <c r="K615" i="2"/>
  <c r="K722" i="2"/>
  <c r="K30" i="2"/>
  <c r="H31" i="2"/>
  <c r="L31" i="2" s="1"/>
  <c r="F31" i="2"/>
  <c r="H26" i="2"/>
  <c r="L26" i="2" s="1"/>
  <c r="F26" i="2"/>
  <c r="K728" i="2"/>
  <c r="K680" i="2"/>
  <c r="K585" i="2"/>
  <c r="K764" i="2"/>
  <c r="K633" i="2"/>
  <c r="K597" i="2"/>
  <c r="K656" i="2"/>
  <c r="K732" i="2"/>
  <c r="K589" i="2"/>
  <c r="K505" i="2"/>
  <c r="K489" i="2"/>
  <c r="K716" i="2"/>
  <c r="K668" i="2"/>
  <c r="K645" i="2"/>
  <c r="K609" i="2"/>
  <c r="K441" i="2"/>
  <c r="K692" i="2"/>
  <c r="K453" i="2"/>
  <c r="K684" i="2"/>
  <c r="K621" i="2"/>
  <c r="K573" i="2"/>
  <c r="K720" i="2"/>
  <c r="K477" i="2"/>
  <c r="H17" i="2"/>
  <c r="L17" i="2" s="1"/>
  <c r="F17" i="2"/>
  <c r="K584" i="2"/>
  <c r="I49" i="5"/>
  <c r="I48" i="5"/>
  <c r="I47" i="5"/>
  <c r="K33" i="4"/>
  <c r="I11" i="5"/>
  <c r="K18" i="4"/>
  <c r="K19" i="4"/>
  <c r="K39" i="4"/>
  <c r="K40" i="4"/>
  <c r="K25" i="4"/>
  <c r="K32" i="4"/>
  <c r="K26" i="4"/>
  <c r="K421" i="2" l="1"/>
  <c r="K422" i="2"/>
  <c r="K107" i="2"/>
  <c r="J7" i="3"/>
  <c r="K7" i="3" s="1"/>
  <c r="I13" i="5" s="1"/>
  <c r="F13" i="5"/>
  <c r="K42" i="3"/>
  <c r="K102" i="2"/>
  <c r="K95" i="2"/>
  <c r="K18" i="2"/>
  <c r="K44" i="3"/>
  <c r="K39" i="2"/>
  <c r="K32" i="2"/>
  <c r="F28" i="5"/>
  <c r="J22" i="3"/>
  <c r="K94" i="2"/>
  <c r="K110" i="2"/>
  <c r="K106" i="2"/>
  <c r="K101" i="2"/>
  <c r="C19" i="4"/>
  <c r="G19" i="4" s="1"/>
  <c r="C25" i="4"/>
  <c r="G25" i="4" s="1"/>
  <c r="C11" i="4"/>
  <c r="G11" i="4" s="1"/>
  <c r="C40" i="4"/>
  <c r="G40" i="4" s="1"/>
  <c r="C32" i="4"/>
  <c r="G32" i="4" s="1"/>
  <c r="K31" i="2"/>
  <c r="K26" i="2"/>
  <c r="J4" i="3"/>
  <c r="K4" i="3" s="1"/>
  <c r="C26" i="4"/>
  <c r="G26" i="4" s="1"/>
  <c r="C38" i="4"/>
  <c r="G38" i="4" s="1"/>
  <c r="C10" i="4"/>
  <c r="G10" i="4" s="1"/>
  <c r="J30" i="3"/>
  <c r="K30" i="3" s="1"/>
  <c r="I36" i="5" s="1"/>
  <c r="F36" i="5"/>
  <c r="C24" i="4"/>
  <c r="G24" i="4" s="1"/>
  <c r="C18" i="4"/>
  <c r="G18" i="4" s="1"/>
  <c r="C17" i="4"/>
  <c r="C12" i="4"/>
  <c r="G12" i="4" s="1"/>
  <c r="C33" i="4"/>
  <c r="G33" i="4" s="1"/>
  <c r="L4" i="2"/>
  <c r="Q4" i="1" s="1"/>
  <c r="L14" i="5" s="1"/>
  <c r="F10" i="5"/>
  <c r="J6" i="3"/>
  <c r="K6" i="3" s="1"/>
  <c r="F12" i="5"/>
  <c r="K12" i="4"/>
  <c r="C31" i="4"/>
  <c r="C39" i="4"/>
  <c r="G39" i="4" s="1"/>
  <c r="K17" i="2" l="1"/>
  <c r="K11" i="4"/>
  <c r="K38" i="4"/>
  <c r="K42" i="4" s="1"/>
  <c r="I10" i="5"/>
  <c r="K24" i="4"/>
  <c r="K28" i="4" s="1"/>
  <c r="K17" i="4"/>
  <c r="K21" i="4" s="1"/>
  <c r="K31" i="4"/>
  <c r="K35" i="4" s="1"/>
  <c r="K10" i="4"/>
  <c r="G28" i="4"/>
  <c r="I12" i="5"/>
  <c r="C21" i="4"/>
  <c r="C14" i="4"/>
  <c r="G17" i="4"/>
  <c r="G21" i="4" s="1"/>
  <c r="C28" i="4"/>
  <c r="G14" i="4"/>
  <c r="G46" i="4"/>
  <c r="L6" i="2"/>
  <c r="Q6" i="1" s="1"/>
  <c r="L11" i="5" s="1"/>
  <c r="G47" i="4"/>
  <c r="G31" i="4"/>
  <c r="G35" i="4" s="1"/>
  <c r="C35" i="4"/>
  <c r="G42" i="4"/>
  <c r="C42" i="4"/>
  <c r="K14" i="4" l="1"/>
  <c r="L14" i="4" s="1"/>
  <c r="L5" i="2"/>
  <c r="Q5" i="1" s="1"/>
  <c r="J44" i="5"/>
  <c r="J35" i="5"/>
  <c r="J34" i="5"/>
  <c r="J39" i="5"/>
  <c r="J28" i="5"/>
  <c r="J30" i="5"/>
  <c r="J19" i="5"/>
  <c r="J37" i="5"/>
  <c r="J32" i="5"/>
  <c r="J33" i="5"/>
  <c r="J36" i="5"/>
  <c r="J31" i="5"/>
  <c r="J12" i="5"/>
  <c r="J49" i="5"/>
  <c r="J24" i="5"/>
  <c r="J15" i="5"/>
  <c r="L42" i="4"/>
  <c r="J14" i="5"/>
  <c r="J18" i="5"/>
  <c r="J29" i="5"/>
  <c r="J27" i="5"/>
  <c r="J42" i="5"/>
  <c r="J47" i="5"/>
  <c r="J41" i="5"/>
  <c r="J13" i="5"/>
  <c r="J48" i="5"/>
  <c r="J22" i="5"/>
  <c r="L35" i="4"/>
  <c r="J26" i="5"/>
  <c r="J40" i="5"/>
  <c r="J23" i="5"/>
  <c r="J17" i="5"/>
  <c r="L28" i="4"/>
  <c r="L21" i="4"/>
  <c r="J11" i="5"/>
  <c r="J43" i="5"/>
  <c r="J20" i="5"/>
  <c r="J25" i="5"/>
  <c r="J10" i="5"/>
  <c r="J38" i="5"/>
  <c r="J16" i="5"/>
  <c r="J21" i="5"/>
  <c r="G45" i="4"/>
  <c r="H14" i="4" s="1"/>
  <c r="H28" i="4" l="1"/>
  <c r="H35" i="4"/>
  <c r="H21" i="4"/>
  <c r="H4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Q4" authorId="0" shapeId="0" xr:uid="{00000000-0006-0000-0000-000001000000}">
      <text>
        <r>
          <rPr>
            <b/>
            <sz val="8.5"/>
            <color indexed="63"/>
            <rFont val="Times New Roman"/>
            <family val="1"/>
          </rPr>
          <t xml:space="preserve">Ponto de Função IFPUG: </t>
        </r>
        <r>
          <rPr>
            <sz val="8.5"/>
            <color indexed="63"/>
            <rFont val="Times New Roman"/>
            <family val="1"/>
          </rPr>
          <t>medição baseada nas regras do IFPUG. Não considerada os deflatores nem os itens não mensuráveis. Caso a funcionalidade não tenha sido detalhada, será considerada a estimativa da NESMA.</t>
        </r>
      </text>
    </comment>
    <comment ref="Q5" authorId="0" shapeId="0" xr:uid="{00000000-0006-0000-0000-000002000000}">
      <text>
        <r>
          <rPr>
            <b/>
            <sz val="8.5"/>
            <color indexed="63"/>
            <rFont val="Times New Roman"/>
            <family val="1"/>
          </rPr>
          <t xml:space="preserve">Ponto de Função Local do EM: </t>
        </r>
        <r>
          <rPr>
            <sz val="8.5"/>
            <color indexed="63"/>
            <rFont val="Times New Roman"/>
            <family val="1"/>
          </rPr>
          <t>medição para remuneração do Escritório de Métricas.Equivalente à medição IFPUG. Porém, considera os itens não mensuráveis previstos em contrato.</t>
        </r>
      </text>
    </comment>
    <comment ref="Q6" authorId="0" shapeId="0" xr:uid="{00000000-0006-0000-0000-000003000000}">
      <text>
        <r>
          <rPr>
            <b/>
            <sz val="8.5"/>
            <rFont val="Times New Roman"/>
            <family val="1"/>
          </rPr>
          <t xml:space="preserve">Ponto de Função Local da FS: </t>
        </r>
        <r>
          <rPr>
            <sz val="8.5"/>
            <color indexed="81"/>
            <rFont val="Times New Roman"/>
            <family val="1"/>
          </rPr>
          <t>medição para remuneração da Fábrica de Software. Equivalente à medição IFPUG. Porém, considera os deflatores e os itens não mensuráveis previstos em contrato.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cleriston alvarenga</author>
  </authors>
  <commentList>
    <comment ref="K4" authorId="0" shapeId="0" xr:uid="{00000000-0006-0000-0100-000001000000}">
      <text>
        <r>
          <rPr>
            <b/>
            <sz val="8"/>
            <color indexed="8"/>
            <rFont val="Tahoma"/>
            <family val="2"/>
          </rPr>
          <t xml:space="preserve">Ponto de Função IFPUG:
</t>
        </r>
        <r>
          <rPr>
            <sz val="8"/>
            <color indexed="8"/>
            <rFont val="Tahoma"/>
            <family val="2"/>
          </rPr>
          <t xml:space="preserve">Medição baseada nas regras do IFPUG. Não considerada os deflatores nem os itens não mensuráveis. Caso a funcionalidade não tenha sido detalhada, será considerada a estimativa da NESMA.
</t>
        </r>
      </text>
    </comment>
    <comment ref="K5" authorId="0" shapeId="0" xr:uid="{00000000-0006-0000-0100-000002000000}">
      <text>
        <r>
          <rPr>
            <b/>
            <sz val="8"/>
            <color indexed="8"/>
            <rFont val="Tahoma"/>
            <family val="2"/>
          </rPr>
          <t xml:space="preserve">Ponto de Função Local do EM:
</t>
        </r>
        <r>
          <rPr>
            <sz val="8"/>
            <color indexed="8"/>
            <rFont val="Tahoma"/>
            <family val="2"/>
          </rPr>
          <t>Medição para remuneração do Escritório de Métricas. Equivalente à medição IFPUG. Porém, considera os itens não mensuráveis previstos em contrato.</t>
        </r>
      </text>
    </comment>
    <comment ref="K6" authorId="0" shapeId="0" xr:uid="{00000000-0006-0000-0100-000003000000}">
      <text>
        <r>
          <rPr>
            <b/>
            <sz val="8"/>
            <color indexed="8"/>
            <rFont val="Tahoma"/>
            <family val="2"/>
          </rPr>
          <t xml:space="preserve">Ponto de Função Local da FS:
</t>
        </r>
        <r>
          <rPr>
            <sz val="8"/>
            <color indexed="8"/>
            <rFont val="Tahoma"/>
            <family val="2"/>
          </rPr>
          <t xml:space="preserve">Medição para remuneração da Fábrica de Software. Equivalente à medição IFPUG. Porém, considera os deflatores e os itens não mensuráveis previstos em contrato.
</t>
        </r>
      </text>
    </comment>
    <comment ref="A7" authorId="0" shapeId="0" xr:uid="{00000000-0006-0000-0100-000004000000}">
      <text>
        <r>
          <rPr>
            <b/>
            <sz val="8"/>
            <color indexed="8"/>
            <rFont val="Tahoma"/>
            <family val="2"/>
          </rPr>
          <t xml:space="preserve">Nome da Função:
</t>
        </r>
        <r>
          <rPr>
            <sz val="8"/>
            <color indexed="8"/>
            <rFont val="Tahoma"/>
            <family val="2"/>
          </rPr>
          <t>O processo é a menor unidade de atividade significativa para o usuário?
É auto-contido e deixa o negócio da aplicação em um estado consistente?</t>
        </r>
      </text>
    </comment>
    <comment ref="B7" authorId="0" shapeId="0" xr:uid="{00000000-0006-0000-0100-000005000000}">
      <text>
        <r>
          <rPr>
            <b/>
            <sz val="8"/>
            <color indexed="8"/>
            <rFont val="Tahoma"/>
            <family val="2"/>
          </rPr>
          <t xml:space="preserve">Tipo de Função: 
</t>
        </r>
        <r>
          <rPr>
            <sz val="8"/>
            <color indexed="8"/>
            <rFont val="Tahoma"/>
            <family val="2"/>
          </rPr>
          <t>ALI, AIE, EE, SE, CE
ou
Itens não mensuráveis</t>
        </r>
      </text>
    </comment>
    <comment ref="C7" authorId="0" shapeId="0" xr:uid="{00000000-0006-0000-0100-000006000000}">
      <text>
        <r>
          <rPr>
            <b/>
            <sz val="8"/>
            <color indexed="8"/>
            <rFont val="Tahoma"/>
            <family val="2"/>
          </rPr>
          <t xml:space="preserve">Tipo de Manutenção na função:
</t>
        </r>
        <r>
          <rPr>
            <sz val="8"/>
            <color indexed="8"/>
            <rFont val="Tahoma"/>
            <family val="2"/>
          </rPr>
          <t xml:space="preserve">I, A, E 
ou
Itens não mensuráveis
</t>
        </r>
      </text>
    </comment>
    <comment ref="D7" authorId="0" shapeId="0" xr:uid="{00000000-0006-0000-0100-000007000000}">
      <text>
        <r>
          <rPr>
            <b/>
            <sz val="8"/>
            <color indexed="8"/>
            <rFont val="Tahoma"/>
            <family val="2"/>
          </rPr>
          <t xml:space="preserve">Tipos de Dados (DETs)
</t>
        </r>
      </text>
    </comment>
    <comment ref="E7" authorId="0" shapeId="0" xr:uid="{00000000-0006-0000-0100-000008000000}">
      <text>
        <r>
          <rPr>
            <b/>
            <sz val="8"/>
            <color indexed="8"/>
            <rFont val="Tahoma"/>
            <family val="2"/>
          </rPr>
          <t xml:space="preserve">Arquivos Referenciados / Tipos de Registro
</t>
        </r>
      </text>
    </comment>
    <comment ref="F7" authorId="0" shapeId="0" xr:uid="{00000000-0006-0000-0100-000009000000}">
      <text>
        <r>
          <rPr>
            <b/>
            <sz val="8"/>
            <color indexed="8"/>
            <rFont val="Tahoma"/>
            <family val="2"/>
          </rPr>
          <t xml:space="preserve">Grau de complexidade específico atribuído a uma função.
</t>
        </r>
      </text>
    </comment>
    <comment ref="M7" authorId="0" shapeId="0" xr:uid="{00000000-0006-0000-0100-00000A000000}">
      <text>
        <r>
          <rPr>
            <b/>
            <sz val="8"/>
            <color indexed="8"/>
            <rFont val="Tahoma"/>
            <family val="2"/>
          </rPr>
          <t xml:space="preserve">Normalmente utilizado para contagem de baseline, onde o desenvolvimento foi realizado de forma incremental. Isto indica em qual(is) pacote(s) cada funcionalidade foi impactada. Em algumas situações pode ser informado o número do projeto, demanda ou incremento.
</t>
        </r>
      </text>
    </comment>
    <comment ref="N7" authorId="0" shapeId="0" xr:uid="{00000000-0006-0000-0100-00000B000000}">
      <text>
        <r>
          <rPr>
            <b/>
            <sz val="8"/>
            <color indexed="8"/>
            <rFont val="Tahoma"/>
            <family val="2"/>
          </rPr>
          <t xml:space="preserve">Referência ao documento que justifica a contagem da funcionalidade
</t>
        </r>
      </text>
    </comment>
    <comment ref="D12" authorId="1" shapeId="0" xr:uid="{FF8A97A3-EC16-433D-9CFF-1CF163F06E49}">
      <text>
        <r>
          <rPr>
            <sz val="9"/>
            <color indexed="81"/>
            <rFont val="Segoe UI"/>
            <family val="2"/>
          </rPr>
          <t xml:space="preserve">1 . Código
2 . Sigla
3 . Descrição
</t>
        </r>
      </text>
    </comment>
    <comment ref="E12" authorId="1" shapeId="0" xr:uid="{A28A8301-D090-490F-AB83-C198123E70B8}">
      <text>
        <r>
          <rPr>
            <sz val="9"/>
            <color indexed="81"/>
            <rFont val="Segoe UI"/>
            <family val="2"/>
          </rPr>
          <t xml:space="preserve">1 -  Órgão
</t>
        </r>
      </text>
    </comment>
    <comment ref="D13" authorId="1" shapeId="0" xr:uid="{95974059-C313-4DEA-98BC-1D9689023A06}">
      <text>
        <r>
          <rPr>
            <sz val="9"/>
            <color indexed="81"/>
            <rFont val="Segoe UI"/>
            <family val="2"/>
          </rPr>
          <t xml:space="preserve">1. CEP
2. Cod Municipio
3. Municipio
4. UF
5. Pais
6. Bairro
7.Tipo logradouro
8.lograrouro
</t>
        </r>
      </text>
    </comment>
    <comment ref="E13" authorId="1" shapeId="0" xr:uid="{A04818CE-71D4-45F6-843E-7C231E2FD048}">
      <text>
        <r>
          <rPr>
            <b/>
            <sz val="9"/>
            <color indexed="81"/>
            <rFont val="Segoe UI"/>
            <family val="2"/>
          </rPr>
          <t>cleriston alvarenga:</t>
        </r>
        <r>
          <rPr>
            <sz val="9"/>
            <color indexed="81"/>
            <rFont val="Segoe UI"/>
            <family val="2"/>
          </rPr>
          <t xml:space="preserve">
1-CEP</t>
        </r>
      </text>
    </comment>
    <comment ref="D14" authorId="1" shapeId="0" xr:uid="{B6487A88-E49F-45A7-B034-B9F51BAC332C}">
      <text>
        <r>
          <rPr>
            <sz val="9"/>
            <color indexed="81"/>
            <rFont val="Segoe UI"/>
            <family val="2"/>
          </rPr>
          <t xml:space="preserve">1. Setor
2. Unidade
</t>
        </r>
      </text>
    </comment>
    <comment ref="E14" authorId="1" shapeId="0" xr:uid="{AF20A5A4-1841-443D-9215-090BD52CBEE1}">
      <text>
        <r>
          <rPr>
            <sz val="9"/>
            <color indexed="81"/>
            <rFont val="Segoe UI"/>
            <family val="2"/>
          </rPr>
          <t>1 -  Setor/Unidade</t>
        </r>
      </text>
    </comment>
    <comment ref="D15" authorId="1" shapeId="0" xr:uid="{91D4D1C3-8A5A-4E36-BEA5-41C06762B91F}">
      <text>
        <r>
          <rPr>
            <sz val="9"/>
            <color indexed="81"/>
            <rFont val="Segoe UI"/>
            <family val="2"/>
          </rPr>
          <t xml:space="preserve">1. Setor
2. Unidade
</t>
        </r>
      </text>
    </comment>
    <comment ref="E15" authorId="1" shapeId="0" xr:uid="{62527C0C-C79F-4404-B60B-C55D4FEE1CE5}">
      <text>
        <r>
          <rPr>
            <sz val="9"/>
            <color indexed="81"/>
            <rFont val="Segoe UI"/>
            <family val="2"/>
          </rPr>
          <t>1 -  Municipio</t>
        </r>
      </text>
    </comment>
    <comment ref="D16" authorId="1" shapeId="0" xr:uid="{88011B26-A958-4565-8510-7905C81DD212}">
      <text>
        <r>
          <rPr>
            <sz val="9"/>
            <color indexed="81"/>
            <rFont val="Segoe UI"/>
            <family val="2"/>
          </rPr>
          <t xml:space="preserve">1. Setor
2. Unidade
</t>
        </r>
      </text>
    </comment>
    <comment ref="E16" authorId="1" shapeId="0" xr:uid="{8EBCABC5-D4C7-4037-8F79-057B47E98761}">
      <text>
        <r>
          <rPr>
            <sz val="9"/>
            <color indexed="81"/>
            <rFont val="Segoe UI"/>
            <family val="2"/>
          </rPr>
          <t>1 -  Tipo Logradouro</t>
        </r>
      </text>
    </comment>
    <comment ref="D17" authorId="1" shapeId="0" xr:uid="{8F26409B-5C98-48F1-80DF-C78D2A6FAF67}">
      <text>
        <r>
          <rPr>
            <sz val="9"/>
            <color indexed="81"/>
            <rFont val="Segoe UI"/>
            <family val="2"/>
          </rPr>
          <t>1 . Orgão/Entidade
2 . Setor/Unidade
3 . Nome
4 . CEP
5 . Cod Municipio
6 . Municipio
7 . UF
8 . Pais
9 . Bairro
10.Numero
11.Tipo logradouro
12.lograrouro
13.complemento
14.Data de Cadastro 
15.Usuário de Cadastro 
16.Data de Alteração, 
17.Usuário de Alteração
18.id Deposito fisico
19.ID - Sala
20.Código do endereçamento - Sala
21.Nome - Sala
22.Identificador - Sala
23.Total fileiras - Sala
24.Total de caixas - Sala
25.Capacidade  - Sala
26.Data de Cadastro - Sala
27.Usuário de Cadastro - Sala 
28.Data de Alteração - Sala 
29.Usuário de Alteração - Sala 
30.ID Fileira
31.ID - Sala na Fileira
32.Codigo do endereçamento - Fileira
33.Descrição - Fileira
34.Identificador - Fileira
35.Caixas capacidade - Fileira
36.Caixas disponível - Fileira
37.Data de Cadastro - Fileira
38.Usuário de Cadastro - Fileira
39.Data de Alteração - Fileira
40.Usuário de Alteração - Fileira
41.ID - Classificação/Divisórias
42.ID - Classificação/Divisórias na Fileira
43.Codigo de endereçamento -  Classificação/Divisórias
44.Identificador -  Classificação/Divisórias
45.Descrição -  Classificação/Divisórias
46.Caixa capacidade -  Classificação/Divisórias
47.Caixa em uso -  Classificação/Divisórias
48.Caixas disponível -  Classificação/Divisórias
49.Data de Cadastro - Classificação/Divisórias
50.Usuário de Cadastro - Classificação/Divisórias
51.Data de Alteração - Classificação/Divisórias
52.Usuário de Alteração - Classificação/Divisórias
53.Mapa - Sala
54.Mapa - Módulo
55.Mapa - Fileira
56.Mapa - Estante
57.Mapa - Face
58.Mapa - Bandeja
59. Total Estante
60. Total Face
61. Total Bandeja
62. Nome módulo
63. Código Endereçamento módulo
64. Identificador módulo
65. Data de Cadastro módulo
66. Usuário de Cadastro módulo
67. Data de Alteração módulo
68. Usuário de Alteração módulo
69. Nome Estante
70. Código Endereçamento Estante
71. Identificador Estante
72. Data de Cadastro Estante
73. Usuário de Cadastro Estante
74. Data de Alteração Estante
75. Usuário de Alteração Estante
76. Nome Face/Prateleira
77. Código Endereçamento Face/Prateleira
78. Identificador Face/Prateleira
79.Data de Cadastro Face/Prateleira
80. Usuário de Cadastro Face/Prateleira
81. Data de Alteração Face/Prateleira
82. Usuário de Alteração Face/Prateleira
83. Nome Bandeja
84. Código Endereçamento Bandeja
85. Identificador Bandeja
86. Data de Cadastro Bandeja
87. Usuário de Cadastro Bandeja
88. Data de Alteração Bandeja
89. Usuário de Alteração Bandeja</t>
        </r>
      </text>
    </comment>
    <comment ref="E17" authorId="1" shapeId="0" xr:uid="{9F9B2131-0F20-44E8-991C-F31FB13273E6}">
      <text>
        <r>
          <rPr>
            <sz val="9"/>
            <color indexed="81"/>
            <rFont val="Segoe UI"/>
            <family val="2"/>
          </rPr>
          <t>1 -  Deposito Fisico
2 - Salas
3 - Fileiras
4 - Classificação/Divisórias
5 - Modulo
6 - Fileira
7 - Estante
8 - Face</t>
        </r>
      </text>
    </comment>
    <comment ref="D18" authorId="1" shapeId="0" xr:uid="{6A5DB876-0AA6-4D3F-B7EC-DAA80443AE6A}">
      <text>
        <r>
          <rPr>
            <sz val="9"/>
            <color indexed="81"/>
            <rFont val="Segoe UI"/>
            <family val="2"/>
          </rPr>
          <t xml:space="preserve">1. Orgão/Entidade
2. Setor/Unidade
3. Nome
4. Municipio
5. Data cadastro ini
6. Data cadstro fim
7. Total de salas
8. CMD
9.MSG </t>
        </r>
      </text>
    </comment>
    <comment ref="E18" authorId="1" shapeId="0" xr:uid="{9125E9BC-806D-4259-90E1-F331DF4397E5}">
      <text>
        <r>
          <rPr>
            <sz val="9"/>
            <color indexed="81"/>
            <rFont val="Segoe UI"/>
            <family val="2"/>
          </rPr>
          <t>1 -  Deposito Fisico
2 - Orgão
3 - Setores/unidades 
4 - Municipio</t>
        </r>
      </text>
    </comment>
    <comment ref="D19" authorId="1" shapeId="0" xr:uid="{9BF70116-0C12-47B6-97E2-28D2975D3CF4}">
      <text>
        <r>
          <rPr>
            <sz val="9"/>
            <color indexed="81"/>
            <rFont val="Segoe UI"/>
            <family val="2"/>
          </rPr>
          <t xml:space="preserve">1. Orgão/Entidade
2. Setor/Unidade
3. Nome
4. Municipio
5. Data cadastro ini
6. Data cadstro fim
7. Total de salas
8. Data de Cadastro 
9. Usuário de Cadastro 
10. Data de Alteração
11. Usuário de Alteração
12.CMD
13.MSG </t>
        </r>
      </text>
    </comment>
    <comment ref="E19" authorId="1" shapeId="0" xr:uid="{8CC0F8BB-2AE7-4916-966B-1995765A875B}">
      <text>
        <r>
          <rPr>
            <sz val="9"/>
            <color indexed="81"/>
            <rFont val="Segoe UI"/>
            <family val="2"/>
          </rPr>
          <t>1 -  Deposito Fisico
2 - Orgão
3 - Setores/unidades 
4 - Municipio</t>
        </r>
      </text>
    </comment>
    <comment ref="D20" authorId="1" shapeId="0" xr:uid="{A20D3B09-9389-4423-BCFC-2C34C3D3664B}">
      <text>
        <r>
          <rPr>
            <sz val="9"/>
            <color indexed="81"/>
            <rFont val="Segoe UI"/>
            <family val="2"/>
          </rPr>
          <t>1. Orgão/Entidade
2. Setor/Unidade
3. Nome
4. CEP
5. Cod Municipio
6. Municipio
7. UF
8. Pais
9. Bairro
10. Numero
11.Tipo logradouro
12.lograrouro
13.complemento
14.CMD
15.MSG</t>
        </r>
      </text>
    </comment>
    <comment ref="E20" authorId="1" shapeId="0" xr:uid="{518CC1B2-AC0D-4D22-94A0-FF650FA28409}">
      <text>
        <r>
          <rPr>
            <sz val="9"/>
            <color indexed="81"/>
            <rFont val="Segoe UI"/>
            <family val="2"/>
          </rPr>
          <t>1 -  Deposito Fisico
2 - Orgão
3 - Setores/unidades 
4 - CEP
5 - Usuario
6 - Municipio
7 - Tipo Logradouro</t>
        </r>
      </text>
    </comment>
    <comment ref="D21" authorId="1" shapeId="0" xr:uid="{AFA916B7-CE27-4C67-8D10-92A7962B48D9}">
      <text>
        <r>
          <rPr>
            <sz val="9"/>
            <color indexed="81"/>
            <rFont val="Segoe UI"/>
            <family val="2"/>
          </rPr>
          <t>1. Código
2. Descrição
3. Comando</t>
        </r>
      </text>
    </comment>
    <comment ref="E21" authorId="1" shapeId="0" xr:uid="{3432C67C-E6BA-410F-B250-4BFFDF51FD11}">
      <text>
        <r>
          <rPr>
            <sz val="9"/>
            <color indexed="81"/>
            <rFont val="Segoe UI"/>
            <family val="2"/>
          </rPr>
          <t xml:space="preserve">1 -  Órgão
</t>
        </r>
      </text>
    </comment>
    <comment ref="D22" authorId="1" shapeId="0" xr:uid="{51FE3AA3-E9B4-470A-AACF-BF0FC5734724}">
      <text>
        <r>
          <rPr>
            <sz val="9"/>
            <color indexed="81"/>
            <rFont val="Segoe UI"/>
            <family val="2"/>
          </rPr>
          <t>1. Código
2. Descrição
3. Comando</t>
        </r>
      </text>
    </comment>
    <comment ref="E22" authorId="1" shapeId="0" xr:uid="{F1FD6E1B-D8D2-4EDB-95FF-DF3A0295642E}">
      <text>
        <r>
          <rPr>
            <sz val="9"/>
            <color indexed="81"/>
            <rFont val="Segoe UI"/>
            <family val="2"/>
          </rPr>
          <t>1 -  Setor/Unidade</t>
        </r>
      </text>
    </comment>
    <comment ref="D23" authorId="1" shapeId="0" xr:uid="{7321F448-23EA-41DB-837C-A05D142E7FFF}">
      <text>
        <r>
          <rPr>
            <sz val="9"/>
            <color indexed="81"/>
            <rFont val="Segoe UI"/>
            <family val="2"/>
          </rPr>
          <t>1. Código
2. Descrição
3. Comando</t>
        </r>
      </text>
    </comment>
    <comment ref="E23" authorId="1" shapeId="0" xr:uid="{D30609AA-AF18-4DC5-9088-5B3F82EC4C29}">
      <text>
        <r>
          <rPr>
            <sz val="9"/>
            <color indexed="81"/>
            <rFont val="Segoe UI"/>
            <family val="2"/>
          </rPr>
          <t>1 -  Municipio</t>
        </r>
      </text>
    </comment>
    <comment ref="D24" authorId="1" shapeId="0" xr:uid="{EC46EA9F-844F-4805-A571-A712C84102D3}">
      <text>
        <r>
          <rPr>
            <sz val="9"/>
            <color indexed="81"/>
            <rFont val="Segoe UI"/>
            <family val="2"/>
          </rPr>
          <t>1. Código
2. Descrição
3. Comando</t>
        </r>
      </text>
    </comment>
    <comment ref="E24" authorId="1" shapeId="0" xr:uid="{B561570A-D01F-442B-B35F-E8223C0A6B03}">
      <text>
        <r>
          <rPr>
            <sz val="9"/>
            <color indexed="81"/>
            <rFont val="Segoe UI"/>
            <family val="2"/>
          </rPr>
          <t>1 -  Tipo Logradouro</t>
        </r>
      </text>
    </comment>
    <comment ref="D25" authorId="1" shapeId="0" xr:uid="{F9652001-4B44-49CA-9B2A-9EACF5C1498D}">
      <text>
        <r>
          <rPr>
            <sz val="9"/>
            <color indexed="81"/>
            <rFont val="Segoe UI"/>
            <family val="2"/>
          </rPr>
          <t>1. Orgão/Entidade
2. Setor/Unidade
3. Nome
4. CEP
5. Cod Municipio
6. Municipio
7. UF
8. Pais
9. Bairro
10. Numero
11.Tipo logradouro
12.lograrouro
13.complemento
14.CMD
15.MSG</t>
        </r>
      </text>
    </comment>
    <comment ref="E25" authorId="1" shapeId="0" xr:uid="{0D3C7300-3412-4CA3-B680-A3A6CA06CC4B}">
      <text>
        <r>
          <rPr>
            <sz val="9"/>
            <color indexed="81"/>
            <rFont val="Segoe UI"/>
            <family val="2"/>
          </rPr>
          <t>1 -  Deposito Fisico
2 - Orgão
3 - Setores/unidades 
4 - CEP
5 - Usuario
6 - Municipio
7 - Tipo de Logradouro</t>
        </r>
      </text>
    </comment>
    <comment ref="D26" authorId="1" shapeId="0" xr:uid="{2077C1AF-422C-4192-81EA-BF0A5854915F}">
      <text>
        <r>
          <rPr>
            <sz val="9"/>
            <color indexed="81"/>
            <rFont val="Segoe UI"/>
            <family val="2"/>
          </rPr>
          <t>1. Orgão/Entidade
2. Setor/Unidade
3. Nome
4. CEP
5. Cod Municipio
6. Municipio
7. UF
8. Pais
9. Bairro
10. Numero
11.Tipo logradouro
12.lograrouro
13.complemento</t>
        </r>
      </text>
    </comment>
    <comment ref="E26" authorId="1" shapeId="0" xr:uid="{D929BAE5-0A52-40BF-9E8C-5235046F98E5}">
      <text>
        <r>
          <rPr>
            <sz val="9"/>
            <color indexed="81"/>
            <rFont val="Segoe UI"/>
            <family val="2"/>
          </rPr>
          <t>1 -  Deposito Fisico
2 - Orgão
3 - Setores/unidades 
4 - CEP
5 - Usuario
6 - Municipio
7 - Tipo de Logradouro</t>
        </r>
      </text>
    </comment>
    <comment ref="D27" authorId="1" shapeId="0" xr:uid="{4546ABD6-9007-4C4E-9F20-FA5011009628}">
      <text>
        <r>
          <rPr>
            <sz val="9"/>
            <color indexed="81"/>
            <rFont val="Segoe UI"/>
            <family val="2"/>
          </rPr>
          <t>1. Orgão/Entidade
2. Setor/Unidade
3. Nome
4. CEP
5. Cod Municipio
6. Municipio
7. UF
8. Pais
9. Bairro
10. Numero
11.Tipo logradouro
12.lograrouro
13.complemento
14.CMD
15.MSG</t>
        </r>
      </text>
    </comment>
    <comment ref="E27" authorId="1" shapeId="0" xr:uid="{45F75996-B27E-444E-8BD2-8E7A2A2B295F}">
      <text>
        <r>
          <rPr>
            <sz val="9"/>
            <color indexed="81"/>
            <rFont val="Segoe UI"/>
            <family val="2"/>
          </rPr>
          <t>1 -  Deposito Fisico
2 - Orgão
3 - Setores/unidades 
4 - CEP
5 - Usuario
6 - Municipio
7 - Tipo de Logradouro</t>
        </r>
      </text>
    </comment>
    <comment ref="D28" authorId="1" shapeId="0" xr:uid="{F892F52A-DCA1-4F0A-8FD6-428D5C450DBD}">
      <text>
        <r>
          <rPr>
            <sz val="9"/>
            <color indexed="81"/>
            <rFont val="Segoe UI"/>
            <family val="2"/>
          </rPr>
          <t xml:space="preserve">1. Código
2. CMD
3. MSG
</t>
        </r>
      </text>
    </comment>
    <comment ref="E28" authorId="1" shapeId="0" xr:uid="{41019540-8FDD-4753-BBCA-91156AC492C8}">
      <text>
        <r>
          <rPr>
            <sz val="9"/>
            <color indexed="81"/>
            <rFont val="Segoe UI"/>
            <family val="2"/>
          </rPr>
          <t xml:space="preserve">1 -  Deposito Fisico
2 - Usuario
</t>
        </r>
      </text>
    </comment>
    <comment ref="D31" authorId="1" shapeId="0" xr:uid="{F4A1FA6B-5C41-41ED-A4B7-A0DBA8E171E7}">
      <text>
        <r>
          <rPr>
            <sz val="9"/>
            <color indexed="81"/>
            <rFont val="Segoe UI"/>
            <family val="2"/>
          </rPr>
          <t xml:space="preserve">1. Código do endereçamento
2. Nome
3. Identificador
4. Total fileiras
5. Total de caixas
6. Capacidade 
7. Total Módulos
8. Total Estante
9. Total Face
10. Total Bandeja
11. CMD
12. MSG
</t>
        </r>
      </text>
    </comment>
    <comment ref="E31" authorId="1" shapeId="0" xr:uid="{5911CA85-19CA-4069-92FD-AA9492816A9F}">
      <text>
        <r>
          <rPr>
            <sz val="9"/>
            <color indexed="81"/>
            <rFont val="Segoe UI"/>
            <family val="2"/>
          </rPr>
          <t>1 -  Deposito Fisico
2 -  Usuario</t>
        </r>
      </text>
    </comment>
    <comment ref="D32" authorId="1" shapeId="0" xr:uid="{AA7FEC23-FDF0-4BC5-A3DF-49DE284BDAD1}">
      <text>
        <r>
          <rPr>
            <sz val="9"/>
            <color indexed="81"/>
            <rFont val="Segoe UI"/>
            <family val="2"/>
          </rPr>
          <t xml:space="preserve">1. Código do endereçamento
2. Nome
3. Identificador
4. Total fileiras
5. Total de caixas
6-Capacidade 
7. Total Módulos
8. Total Estante
9. Total Face
10. Total Bandeja
11. CMD
12. MSG
</t>
        </r>
      </text>
    </comment>
    <comment ref="E32" authorId="1" shapeId="0" xr:uid="{46A2BEA9-4189-407E-A318-24339EEB8756}">
      <text>
        <r>
          <rPr>
            <sz val="9"/>
            <color indexed="81"/>
            <rFont val="Segoe UI"/>
            <family val="2"/>
          </rPr>
          <t>1 -  Deposito Fisico
2 -  Usuario</t>
        </r>
      </text>
    </comment>
    <comment ref="D33" authorId="1" shapeId="0" xr:uid="{1252F77B-EB90-4B8A-9228-05F8A8D05079}">
      <text>
        <r>
          <rPr>
            <sz val="9"/>
            <color indexed="81"/>
            <rFont val="Segoe UI"/>
            <family val="2"/>
          </rPr>
          <t xml:space="preserve">1. Código do endereçamento
2. Nome
3. Identificador
4. Total fileiras
5. Total de caixas
6-Capacidade
7. Total Módulos
8. Total Estante
9. Total Face
10. Total Bandeja
</t>
        </r>
      </text>
    </comment>
    <comment ref="E33" authorId="1" shapeId="0" xr:uid="{F289BCC4-A554-46E5-8195-B73D39FE50CB}">
      <text>
        <r>
          <rPr>
            <sz val="9"/>
            <color indexed="81"/>
            <rFont val="Segoe UI"/>
            <family val="2"/>
          </rPr>
          <t>1 -  Deposito Fisico</t>
        </r>
      </text>
    </comment>
    <comment ref="D34" authorId="1" shapeId="0" xr:uid="{1D8F4CF3-D0E3-47BE-B086-583BF1AEBF8A}">
      <text>
        <r>
          <rPr>
            <sz val="9"/>
            <color indexed="81"/>
            <rFont val="Segoe UI"/>
            <family val="2"/>
          </rPr>
          <t xml:space="preserve">1. Código do endereçamento
2. Nome
3. Identificador
4. Total fileiras
5. Total de caixas
6-Capacidade 
7. Total Módulos
8. Total Estante
9. Total Face
10. Total Bandeja
11. CMD
12. MSG
</t>
        </r>
      </text>
    </comment>
    <comment ref="E34" authorId="1" shapeId="0" xr:uid="{76B21A03-F74B-4261-89A4-277BDE6F2D90}">
      <text>
        <r>
          <rPr>
            <sz val="9"/>
            <color indexed="81"/>
            <rFont val="Segoe UI"/>
            <family val="2"/>
          </rPr>
          <t>1 -  Deposito Fisico</t>
        </r>
      </text>
    </comment>
    <comment ref="D35" authorId="1" shapeId="0" xr:uid="{75F54B37-F107-4C79-A217-8B699AFE0E25}">
      <text>
        <r>
          <rPr>
            <sz val="9"/>
            <color indexed="81"/>
            <rFont val="Segoe UI"/>
            <family val="2"/>
          </rPr>
          <t xml:space="preserve">1.Codigo 
2.CMD
3.MSG
</t>
        </r>
      </text>
    </comment>
    <comment ref="E35" authorId="1" shapeId="0" xr:uid="{37DBDE73-E4CC-4CE7-9370-2CC851F432EA}">
      <text>
        <r>
          <rPr>
            <sz val="9"/>
            <color indexed="81"/>
            <rFont val="Segoe UI"/>
            <family val="2"/>
          </rPr>
          <t>1 -  Deposito Fisico
2 -  Usuario</t>
        </r>
      </text>
    </comment>
    <comment ref="D36" authorId="1" shapeId="0" xr:uid="{43227177-2360-4F50-85B7-9BE443064CF3}">
      <text>
        <r>
          <rPr>
            <sz val="9"/>
            <color indexed="81"/>
            <rFont val="Segoe UI"/>
            <family val="2"/>
          </rPr>
          <t xml:space="preserve">1. Identificador
2. Nome
3. Total de Caixas Disponível
4. CMD
5-MSG
</t>
        </r>
      </text>
    </comment>
    <comment ref="E36" authorId="1" shapeId="0" xr:uid="{5DCF4FB4-AD55-4E43-AD4E-A52391D0D83E}">
      <text>
        <r>
          <rPr>
            <sz val="9"/>
            <color indexed="81"/>
            <rFont val="Segoe UI"/>
            <family val="2"/>
          </rPr>
          <t>1 -  Deposito Fisico</t>
        </r>
      </text>
    </comment>
    <comment ref="D37" authorId="1" shapeId="0" xr:uid="{30B02284-1B68-4CA9-B9AF-C13461EF2AA2}">
      <text>
        <r>
          <rPr>
            <sz val="9"/>
            <color indexed="81"/>
            <rFont val="Segoe UI"/>
            <family val="2"/>
          </rPr>
          <t>1. Codigo
2. Identificador 
3. Nome 
4. Total de fileiras
5-Total de caixas disponível
6-Capacidade total de caixas
7. Numero Fileira
8. Percentual
9. Identificacao 
10. Caixa capacidade
11. Ciaxas disponível
12. Total Módulos
13. Total Estante
14. Total Face
15. Total Bandeja
16. CMD
17. MSG</t>
        </r>
      </text>
    </comment>
    <comment ref="E37" authorId="1" shapeId="0" xr:uid="{EDB5EDE0-A082-4F70-9D07-6BE66BE8C011}">
      <text>
        <r>
          <rPr>
            <sz val="9"/>
            <color indexed="81"/>
            <rFont val="Segoe UI"/>
            <family val="2"/>
          </rPr>
          <t>1 -  Deposito Fisico</t>
        </r>
      </text>
    </comment>
    <comment ref="D38" authorId="1" shapeId="0" xr:uid="{653CA193-B5C1-4893-9D9A-0AB25C8456C9}">
      <text>
        <r>
          <rPr>
            <sz val="9"/>
            <color indexed="81"/>
            <rFont val="Segoe UI"/>
            <family val="2"/>
          </rPr>
          <t xml:space="preserve">1. Codigo do endereçamento
2. Descrição
3. Identificador
4. Caixas capacidade
5.Caixas disponível
6. Módulo
7.CMD
8.MSG
</t>
        </r>
      </text>
    </comment>
    <comment ref="E38" authorId="1" shapeId="0" xr:uid="{620F25CF-60F2-49CE-A4D2-4D58EA827DB7}">
      <text>
        <r>
          <rPr>
            <sz val="9"/>
            <color indexed="81"/>
            <rFont val="Segoe UI"/>
            <family val="2"/>
          </rPr>
          <t>1 -  Deposito Fisico
2 -  Usuario</t>
        </r>
      </text>
    </comment>
    <comment ref="D39" authorId="1" shapeId="0" xr:uid="{BE35E3BA-B635-433A-972F-2BE1CCA67BF0}">
      <text>
        <r>
          <rPr>
            <sz val="9"/>
            <color indexed="81"/>
            <rFont val="Segoe UI"/>
            <family val="2"/>
          </rPr>
          <t xml:space="preserve">1. Codigo do endereçamento
2. Descrição
3. Identificador
4. Caixas capacidade
5.Caixas disponível
6. Módulo
7.CMD
8.MSG
</t>
        </r>
      </text>
    </comment>
    <comment ref="E39" authorId="1" shapeId="0" xr:uid="{0B3B165D-5427-46A1-BEF7-9D827EB10C9F}">
      <text>
        <r>
          <rPr>
            <sz val="9"/>
            <color indexed="81"/>
            <rFont val="Segoe UI"/>
            <family val="2"/>
          </rPr>
          <t>1 -  Deposito Fisico</t>
        </r>
      </text>
    </comment>
    <comment ref="D40" authorId="1" shapeId="0" xr:uid="{7D328CD4-0176-4EB3-B131-CF7854B1725D}">
      <text>
        <r>
          <rPr>
            <sz val="9"/>
            <color indexed="81"/>
            <rFont val="Segoe UI"/>
            <family val="2"/>
          </rPr>
          <t xml:space="preserve">1. Codigo do endereçamento
2. Descrição
3. Identificador
4. Caixas capacidade
5.Caixas disponível
6. Módulo
7.CMD
8.MSG
</t>
        </r>
      </text>
    </comment>
    <comment ref="E40" authorId="1" shapeId="0" xr:uid="{DBE14BA5-A0B9-436E-8AB4-A181660555A4}">
      <text>
        <r>
          <rPr>
            <sz val="9"/>
            <color indexed="81"/>
            <rFont val="Segoe UI"/>
            <family val="2"/>
          </rPr>
          <t>1 -  Deposito Fisico
2 -  Usuario</t>
        </r>
      </text>
    </comment>
    <comment ref="D41" authorId="1" shapeId="0" xr:uid="{A1C2D468-024D-446C-A97D-249461E56C21}">
      <text>
        <r>
          <rPr>
            <sz val="9"/>
            <color indexed="81"/>
            <rFont val="Segoe UI"/>
            <family val="2"/>
          </rPr>
          <t xml:space="preserve">1. Codigo do endereçamento
2. Descrição
3. Identificador
4. Caixas capacidade
5.Caixas disponível
6. Módulo
7. Órgão
8. Unidade
</t>
        </r>
      </text>
    </comment>
    <comment ref="E41" authorId="1" shapeId="0" xr:uid="{1D44538C-56E7-4F0D-9072-52F002E81DD8}">
      <text>
        <r>
          <rPr>
            <sz val="9"/>
            <color indexed="81"/>
            <rFont val="Segoe UI"/>
            <family val="2"/>
          </rPr>
          <t>1 -  Deposito Fisico
2 - Órgão
3 - Unidade</t>
        </r>
      </text>
    </comment>
    <comment ref="D42" authorId="1" shapeId="0" xr:uid="{B042EFB3-95F1-4510-8806-69A52B84DA85}">
      <text>
        <r>
          <rPr>
            <sz val="9"/>
            <color indexed="81"/>
            <rFont val="Segoe UI"/>
            <family val="2"/>
          </rPr>
          <t xml:space="preserve">1. Codigo do endereçamento
2. Descrição
3. Identificador
4. Caixas capacidade
5.Caixas disponível
6. Módulo
7. Órgão
8. Unidade
9.CMD
10.MSG
</t>
        </r>
      </text>
    </comment>
    <comment ref="E42" authorId="1" shapeId="0" xr:uid="{7BCEA4CE-688C-44B8-B4FF-208A8A904C9D}">
      <text>
        <r>
          <rPr>
            <sz val="9"/>
            <color indexed="81"/>
            <rFont val="Segoe UI"/>
            <family val="2"/>
          </rPr>
          <t>1 -  Deposito Fisico
2 - Órgão
3 - Unidade</t>
        </r>
      </text>
    </comment>
    <comment ref="D43" authorId="1" shapeId="0" xr:uid="{B8E2F091-9E18-44E2-975A-F3211D0FDAC7}">
      <text>
        <r>
          <rPr>
            <sz val="9"/>
            <color indexed="81"/>
            <rFont val="Segoe UI"/>
            <family val="2"/>
          </rPr>
          <t xml:space="preserve">1.Codigo 
2.CMD
3.MSG
</t>
        </r>
      </text>
    </comment>
    <comment ref="E43" authorId="1" shapeId="0" xr:uid="{05DD76E5-FC7B-4A35-9413-78B0090F85BA}">
      <text>
        <r>
          <rPr>
            <sz val="9"/>
            <color indexed="81"/>
            <rFont val="Segoe UI"/>
            <family val="2"/>
          </rPr>
          <t>1 -  Deposito Fisico
2 -  Usuario</t>
        </r>
      </text>
    </comment>
    <comment ref="D44" authorId="1" shapeId="0" xr:uid="{87EE29D6-43CC-4557-9894-F9AB31F5C8B7}">
      <text>
        <r>
          <rPr>
            <sz val="9"/>
            <color indexed="81"/>
            <rFont val="Segoe UI"/>
            <family val="2"/>
          </rPr>
          <t>1.Codigo de endereçamento
2. Identificador
3. Descrição
4.Caixa capacidade
5.Caixa em uso
6.Caixas disponível
7.CMD
8.MSG</t>
        </r>
      </text>
    </comment>
    <comment ref="E44" authorId="1" shapeId="0" xr:uid="{1C6F96C5-0DB9-4ECD-960D-5F9B58E93582}">
      <text>
        <r>
          <rPr>
            <sz val="9"/>
            <color indexed="81"/>
            <rFont val="Segoe UI"/>
            <family val="2"/>
          </rPr>
          <t>1 -  Deposito Fisico
2 -  Usuario</t>
        </r>
      </text>
    </comment>
    <comment ref="D45" authorId="1" shapeId="0" xr:uid="{156595FB-71FE-4E92-AFB9-443BB89D98E0}">
      <text>
        <r>
          <rPr>
            <sz val="9"/>
            <color indexed="81"/>
            <rFont val="Segoe UI"/>
            <family val="2"/>
          </rPr>
          <t>1.Codigo de endereçamento
2. Identificador
3. Descrição
4.Caixa capacidade
5.Caixa em uso
6.Caixas disponível
7.CMD
8.MSG</t>
        </r>
      </text>
    </comment>
    <comment ref="E45" authorId="1" shapeId="0" xr:uid="{16E17F8F-351B-4F1F-8681-DC704D5E11D6}">
      <text>
        <r>
          <rPr>
            <sz val="9"/>
            <color indexed="81"/>
            <rFont val="Segoe UI"/>
            <family val="2"/>
          </rPr>
          <t>1 -  Deposito Fisico
2 -  Usuario</t>
        </r>
      </text>
    </comment>
    <comment ref="D46" authorId="1" shapeId="0" xr:uid="{8D9D5B39-9959-4957-8A78-A6C1ECA57875}">
      <text>
        <r>
          <rPr>
            <sz val="9"/>
            <color indexed="81"/>
            <rFont val="Segoe UI"/>
            <family val="2"/>
          </rPr>
          <t xml:space="preserve">1.Codigo de endereçamento
2. Identificador
3. Descrição
4.Caixa capacidade
5.Caixa em uso
6.Caixas disponível
</t>
        </r>
      </text>
    </comment>
    <comment ref="E46" authorId="1" shapeId="0" xr:uid="{4B4B9DED-165E-4283-9A5B-25DC801AD9DE}">
      <text>
        <r>
          <rPr>
            <sz val="9"/>
            <color indexed="81"/>
            <rFont val="Segoe UI"/>
            <family val="2"/>
          </rPr>
          <t>1 -  Deposito Fisico</t>
        </r>
      </text>
    </comment>
    <comment ref="D47" authorId="1" shapeId="0" xr:uid="{FA5C4E5D-2D2D-4343-BE2C-B66A6CE085F0}">
      <text>
        <r>
          <rPr>
            <sz val="9"/>
            <color indexed="81"/>
            <rFont val="Segoe UI"/>
            <family val="2"/>
          </rPr>
          <t>1.Codigo de endereçamento
2. Identificador
3. Descrição
4.Caixa capacidade
5.Caixa em uso
6.Caixas disponível
7.CMD
8.MSG</t>
        </r>
      </text>
    </comment>
    <comment ref="E47" authorId="1" shapeId="0" xr:uid="{EB526933-2437-4FA0-A422-05434A71410A}">
      <text>
        <r>
          <rPr>
            <sz val="9"/>
            <color indexed="81"/>
            <rFont val="Segoe UI"/>
            <family val="2"/>
          </rPr>
          <t>1 -  Deposito Fisico</t>
        </r>
      </text>
    </comment>
    <comment ref="D48" authorId="1" shapeId="0" xr:uid="{1136699B-1DA1-4641-96C6-79F19ED82D2C}">
      <text>
        <r>
          <rPr>
            <sz val="9"/>
            <color indexed="81"/>
            <rFont val="Segoe UI"/>
            <family val="2"/>
          </rPr>
          <t xml:space="preserve">1.Codigo 
2.CMD
3.MSG
</t>
        </r>
      </text>
    </comment>
    <comment ref="E48" authorId="1" shapeId="0" xr:uid="{94D5FA69-329A-4A13-A57E-8EF8A3214020}">
      <text>
        <r>
          <rPr>
            <sz val="9"/>
            <color indexed="81"/>
            <rFont val="Segoe UI"/>
            <family val="2"/>
          </rPr>
          <t>1 -  Deposito Fisico
2 -  Usuario</t>
        </r>
      </text>
    </comment>
    <comment ref="D49" authorId="1" shapeId="0" xr:uid="{F72E1E7D-2BB7-416C-AC8E-E8F97DE8274B}">
      <text>
        <r>
          <rPr>
            <sz val="9"/>
            <color indexed="81"/>
            <rFont val="Segoe UI"/>
            <family val="2"/>
          </rPr>
          <t>1. Nome módulo
2. Código Endereçamento módulo
3. Identificador módulo
4. Data de Cadastro módulo
5. Usuário de Cadastro módulo
6. Data de Alteração módulo
7. Usuário de Alteração módulo
8.CMD
9.MSG</t>
        </r>
      </text>
    </comment>
    <comment ref="E49" authorId="1" shapeId="0" xr:uid="{35164AB7-5D97-40B6-B500-FA7064628734}">
      <text>
        <r>
          <rPr>
            <sz val="9"/>
            <color indexed="81"/>
            <rFont val="Segoe UI"/>
            <family val="2"/>
          </rPr>
          <t>1 -  Deposito Fisico
2 -  Usuario</t>
        </r>
      </text>
    </comment>
    <comment ref="D50" authorId="1" shapeId="0" xr:uid="{4B190A98-E1C3-4795-B2BD-E3C0C813CA19}">
      <text>
        <r>
          <rPr>
            <sz val="9"/>
            <color indexed="81"/>
            <rFont val="Segoe UI"/>
            <family val="2"/>
          </rPr>
          <t>1. Nome módulo
2. Código Endereçamento módulo
3. Identificador módulo
4. Data de Cadastro módulo
5. Usuário de Cadastro módulo
6. Data de Alteração módulo
7. Usuário de Alteração módulo
8.CMD
9.MSG</t>
        </r>
      </text>
    </comment>
    <comment ref="E50" authorId="1" shapeId="0" xr:uid="{41527E9C-724C-41CA-A213-2D9CB28A05AE}">
      <text>
        <r>
          <rPr>
            <sz val="9"/>
            <color indexed="81"/>
            <rFont val="Segoe UI"/>
            <family val="2"/>
          </rPr>
          <t>1 -  Deposito Fisico
2 -  Usuario</t>
        </r>
      </text>
    </comment>
    <comment ref="D51" authorId="1" shapeId="0" xr:uid="{7D09F607-581C-40F0-8886-F4CED89DEFFC}">
      <text>
        <r>
          <rPr>
            <sz val="9"/>
            <color indexed="81"/>
            <rFont val="Segoe UI"/>
            <family val="2"/>
          </rPr>
          <t>1. Nome módulo
2. Código Endereçamento módulo
3. Identificador módulo
4. Data de Cadastro módulo
5. Usuário de Cadastro módulo
6. Data de Alteração módulo
7. Usuário de Alteração módulo</t>
        </r>
      </text>
    </comment>
    <comment ref="E51" authorId="1" shapeId="0" xr:uid="{19741B6C-D890-47A0-A2AC-DABF4EC9BC44}">
      <text>
        <r>
          <rPr>
            <sz val="9"/>
            <color indexed="81"/>
            <rFont val="Segoe UI"/>
            <family val="2"/>
          </rPr>
          <t>1 -  Deposito Fisico
2 - Órgão
3 - Unidade</t>
        </r>
      </text>
    </comment>
    <comment ref="D52" authorId="1" shapeId="0" xr:uid="{D77A5CF0-0A87-4706-BB08-51024CC4C3C3}">
      <text>
        <r>
          <rPr>
            <sz val="9"/>
            <color indexed="81"/>
            <rFont val="Segoe UI"/>
            <family val="2"/>
          </rPr>
          <t>1. Nome módulo
2. Código Endereçamento módulo
3. Identificador módulo
4. Data de Cadastro módulo
5. Usuário de Cadastro módulo
6. Data de Alteração módulo
7. Usuário de Alteração módulo
8.CMD
9.MSG</t>
        </r>
      </text>
    </comment>
    <comment ref="E52" authorId="1" shapeId="0" xr:uid="{323887D1-56F1-4971-A987-498B703894A6}">
      <text>
        <r>
          <rPr>
            <sz val="9"/>
            <color indexed="81"/>
            <rFont val="Segoe UI"/>
            <family val="2"/>
          </rPr>
          <t>1 -  Deposito Fisico
2 - Órgão
3 - Unidade</t>
        </r>
      </text>
    </comment>
    <comment ref="D53" authorId="1" shapeId="0" xr:uid="{89823C2B-1E37-43C5-AD77-0158F84B31D9}">
      <text>
        <r>
          <rPr>
            <sz val="9"/>
            <color indexed="81"/>
            <rFont val="Segoe UI"/>
            <family val="2"/>
          </rPr>
          <t xml:space="preserve">1.Codigo 
2.CMD
3.MSG
</t>
        </r>
      </text>
    </comment>
    <comment ref="E53" authorId="1" shapeId="0" xr:uid="{2718063F-5E61-40CB-977F-279C1C154447}">
      <text>
        <r>
          <rPr>
            <sz val="9"/>
            <color indexed="81"/>
            <rFont val="Segoe UI"/>
            <family val="2"/>
          </rPr>
          <t>1 -  Deposito Fisico
2 -  Usuario</t>
        </r>
      </text>
    </comment>
    <comment ref="D54" authorId="1" shapeId="0" xr:uid="{65C54DB9-F07B-4F96-A50D-C9C6355A695B}">
      <text>
        <r>
          <rPr>
            <sz val="9"/>
            <color indexed="81"/>
            <rFont val="Segoe UI"/>
            <family val="2"/>
          </rPr>
          <t>1. Nome estante
2. Código Endereçamento estante
3. Identificador estante
4. Data de Cadastro estante
5. Usuário de Cadastro estante
6. Data de Alteração estante
7. Usuário de Alteração estante
8.CMD
9.MSG</t>
        </r>
      </text>
    </comment>
    <comment ref="E54" authorId="1" shapeId="0" xr:uid="{573A6616-3CED-4F50-A2EC-0A28815EAAFA}">
      <text>
        <r>
          <rPr>
            <sz val="9"/>
            <color indexed="81"/>
            <rFont val="Segoe UI"/>
            <family val="2"/>
          </rPr>
          <t>1 -  Deposito Fisico
2 -  Usuario</t>
        </r>
      </text>
    </comment>
    <comment ref="D55" authorId="1" shapeId="0" xr:uid="{CC1FFF22-BAF3-4850-8583-0D63E5E88BDB}">
      <text>
        <r>
          <rPr>
            <sz val="9"/>
            <color indexed="81"/>
            <rFont val="Segoe UI"/>
            <family val="2"/>
          </rPr>
          <t>1. Nome estante
2. Código Endereçamento estante
3. Identificador estante
4. Data de Cadastro estante
5. Usuário de Cadastro estante
6. Data de Alteração estante
7. Usuário de Alteração estante
8.CMD
9.MSG</t>
        </r>
      </text>
    </comment>
    <comment ref="E55" authorId="1" shapeId="0" xr:uid="{559D3E52-A33F-47E4-AD33-4A4AA9C20308}">
      <text>
        <r>
          <rPr>
            <sz val="9"/>
            <color indexed="81"/>
            <rFont val="Segoe UI"/>
            <family val="2"/>
          </rPr>
          <t>1 -  Deposito Fisico
2 -  Usuario</t>
        </r>
      </text>
    </comment>
    <comment ref="D56" authorId="1" shapeId="0" xr:uid="{6806F3BE-20E2-4C0A-A431-CB6797040ED9}">
      <text>
        <r>
          <rPr>
            <sz val="9"/>
            <color indexed="81"/>
            <rFont val="Segoe UI"/>
            <family val="2"/>
          </rPr>
          <t xml:space="preserve">1. Nome estante
2. Código Endereçamento estante
3. Identificador estante
4. Data de Cadastro estante
5. Usuário de Cadastro estante
6. Data de Alteração estante
7. Usuário de Alteração estante
</t>
        </r>
      </text>
    </comment>
    <comment ref="E56" authorId="1" shapeId="0" xr:uid="{F86011DC-297D-4480-BFA4-C5C942776458}">
      <text>
        <r>
          <rPr>
            <sz val="9"/>
            <color indexed="81"/>
            <rFont val="Segoe UI"/>
            <family val="2"/>
          </rPr>
          <t>1 -  Deposito Fisico
2 - Órgão
3 - Unidade</t>
        </r>
      </text>
    </comment>
    <comment ref="D57" authorId="1" shapeId="0" xr:uid="{53AD3E2E-0114-49F4-97EF-762FDD636CA1}">
      <text>
        <r>
          <rPr>
            <sz val="9"/>
            <color indexed="81"/>
            <rFont val="Segoe UI"/>
            <family val="2"/>
          </rPr>
          <t>1. Nome estante
2. Código Endereçamento estante
3. Identificador estante
4. Data de Cadastro estante
5. Usuário de Cadastro estante
6. Data de Alteração estante
7. Usuário de Alteração estante
8.CMD
9.MSG</t>
        </r>
      </text>
    </comment>
    <comment ref="E57" authorId="1" shapeId="0" xr:uid="{0CADF211-5088-417A-8316-67E119A079DE}">
      <text>
        <r>
          <rPr>
            <sz val="9"/>
            <color indexed="81"/>
            <rFont val="Segoe UI"/>
            <family val="2"/>
          </rPr>
          <t>1 -  Deposito Fisico
2 - Órgão
3 - Unidade</t>
        </r>
      </text>
    </comment>
    <comment ref="D58" authorId="1" shapeId="0" xr:uid="{57C40806-6A46-4BC5-A42A-3ECE841B34E9}">
      <text>
        <r>
          <rPr>
            <sz val="9"/>
            <color indexed="81"/>
            <rFont val="Segoe UI"/>
            <family val="2"/>
          </rPr>
          <t xml:space="preserve">1.Codigo 
2.CMD
3.MSG
</t>
        </r>
      </text>
    </comment>
    <comment ref="E58" authorId="1" shapeId="0" xr:uid="{10B5B565-3241-49C7-AEB6-1A589F97F11E}">
      <text>
        <r>
          <rPr>
            <sz val="9"/>
            <color indexed="81"/>
            <rFont val="Segoe UI"/>
            <family val="2"/>
          </rPr>
          <t>1 -  Deposito Fisico
2 -  Usuario</t>
        </r>
      </text>
    </comment>
    <comment ref="D59" authorId="1" shapeId="0" xr:uid="{C9CADF26-2DD4-4D81-BF99-220E4F7C4095}">
      <text>
        <r>
          <rPr>
            <sz val="9"/>
            <color indexed="81"/>
            <rFont val="Segoe UI"/>
            <family val="2"/>
          </rPr>
          <t>1. Nome Face/Prateleira
2. Código Endereçamento Face/Prateleira
3. Identificador Face/Prateleira
4. Data de Cadastro Face/Prateleira
5. Usuário de Cadastro Face/Prateleira
6. Data de Alteração Face/Prateleira
7. Usuário de Alteração Face/Prateleira
8.CMD
9.MSG</t>
        </r>
      </text>
    </comment>
    <comment ref="E59" authorId="1" shapeId="0" xr:uid="{48DF464F-066B-4480-935F-C531EF2E3B31}">
      <text>
        <r>
          <rPr>
            <sz val="9"/>
            <color indexed="81"/>
            <rFont val="Segoe UI"/>
            <family val="2"/>
          </rPr>
          <t>1 -  Deposito Fisico
2 -  Usuario</t>
        </r>
      </text>
    </comment>
    <comment ref="D60" authorId="1" shapeId="0" xr:uid="{A01556A6-6CCC-4B35-A631-2CF391FA7D6D}">
      <text>
        <r>
          <rPr>
            <sz val="9"/>
            <color indexed="81"/>
            <rFont val="Segoe UI"/>
            <family val="2"/>
          </rPr>
          <t>1. Nome Face/Prateleira
2. Código Endereçamento Face/Prateleira
3. Identificador Face/Prateleira
4. Data de Cadastro Face/Prateleira
5. Usuário de Cadastro Face/Prateleira
6. Data de Alteração Face/Prateleira
7. Usuário de Alteração Face/Prateleira
8.CMD
9.MSG</t>
        </r>
      </text>
    </comment>
    <comment ref="E60" authorId="1" shapeId="0" xr:uid="{C8DF541A-C422-4D70-AAC4-FFD55AFF1BBF}">
      <text>
        <r>
          <rPr>
            <sz val="9"/>
            <color indexed="81"/>
            <rFont val="Segoe UI"/>
            <family val="2"/>
          </rPr>
          <t>1 -  Deposito Fisico
2 -  Usuario</t>
        </r>
      </text>
    </comment>
    <comment ref="D61" authorId="1" shapeId="0" xr:uid="{AFDECFD4-BAFB-450B-A37B-B5A3926AC05B}">
      <text>
        <r>
          <rPr>
            <sz val="9"/>
            <color indexed="81"/>
            <rFont val="Segoe UI"/>
            <family val="2"/>
          </rPr>
          <t>1. Nome Face/Prateleira
2. Código Endereçamento Face/Prateleira
3. Identificador Face/Prateleira
4. Data de Cadastro Face/Prateleira
5. Usuário de Cadastro Face/Prateleira
6. Data de Alteração Face/Prateleira
7. Usuário de Alteração Face/Prateleira</t>
        </r>
      </text>
    </comment>
    <comment ref="E61" authorId="1" shapeId="0" xr:uid="{F01E1BC1-B313-4F2F-B633-7D934539E593}">
      <text>
        <r>
          <rPr>
            <sz val="9"/>
            <color indexed="81"/>
            <rFont val="Segoe UI"/>
            <family val="2"/>
          </rPr>
          <t>1 -  Deposito Fisico
2 - Órgão
3 - Unidade</t>
        </r>
      </text>
    </comment>
    <comment ref="D62" authorId="1" shapeId="0" xr:uid="{F01164C6-47F7-40E5-8CA4-966348C0E3F7}">
      <text>
        <r>
          <rPr>
            <sz val="9"/>
            <color indexed="81"/>
            <rFont val="Segoe UI"/>
            <family val="2"/>
          </rPr>
          <t>1. Nome Face/Prateleira
2. Código Endereçamento Face/Prateleira
3. Identificador Face/Prateleira
4. Data de Cadastro Face/Prateleira
5. Usuário de Cadastro Face/Prateleira
6. Data de Alteração Face/Prateleira
7. Usuário de Alteração Face/Prateleira
8.CMD
9.MSG</t>
        </r>
      </text>
    </comment>
    <comment ref="E62" authorId="1" shapeId="0" xr:uid="{6EF92104-94F5-4096-BC8C-44EBC67396E1}">
      <text>
        <r>
          <rPr>
            <sz val="9"/>
            <color indexed="81"/>
            <rFont val="Segoe UI"/>
            <family val="2"/>
          </rPr>
          <t>1 -  Deposito Fisico
2 - Órgão
3 - Unidade</t>
        </r>
      </text>
    </comment>
    <comment ref="D63" authorId="1" shapeId="0" xr:uid="{C9153A84-A5CF-48A8-8FC8-4F09B9E805D1}">
      <text>
        <r>
          <rPr>
            <sz val="9"/>
            <color indexed="81"/>
            <rFont val="Segoe UI"/>
            <family val="2"/>
          </rPr>
          <t xml:space="preserve">1.Codigo 
2.CMD
3.MSG
</t>
        </r>
      </text>
    </comment>
    <comment ref="E63" authorId="1" shapeId="0" xr:uid="{C80E0EF8-9C84-42E0-BFEC-AE1EB6DCAF1E}">
      <text>
        <r>
          <rPr>
            <sz val="9"/>
            <color indexed="81"/>
            <rFont val="Segoe UI"/>
            <family val="2"/>
          </rPr>
          <t>1 -  Deposito Fisico
2 -  Usuario</t>
        </r>
      </text>
    </comment>
    <comment ref="D64" authorId="1" shapeId="0" xr:uid="{33BD20D8-12FB-4538-BE95-1989EFE982EB}">
      <text>
        <r>
          <rPr>
            <sz val="9"/>
            <color indexed="81"/>
            <rFont val="Segoe UI"/>
            <family val="2"/>
          </rPr>
          <t>1. Nome Bandeja
2. Código Endereçamento Bandeja
3. Identificador Bandeja
4. Data de Cadastro Bandeja
5. Usuário de Cadastro Bandeja
6. Data de Alteração Bandeja
7. Usuário de Alteração Bandeja
8.CMD
9.MSG</t>
        </r>
      </text>
    </comment>
    <comment ref="E64" authorId="1" shapeId="0" xr:uid="{CA24EBC0-0E42-4E30-8D77-07838CCD1DAE}">
      <text>
        <r>
          <rPr>
            <sz val="9"/>
            <color indexed="81"/>
            <rFont val="Segoe UI"/>
            <family val="2"/>
          </rPr>
          <t>1 -  Deposito Fisico
2 -  Usuario</t>
        </r>
      </text>
    </comment>
    <comment ref="D65" authorId="1" shapeId="0" xr:uid="{AC482C63-7A51-4343-9858-84692739BADB}">
      <text>
        <r>
          <rPr>
            <sz val="9"/>
            <color indexed="81"/>
            <rFont val="Segoe UI"/>
            <family val="2"/>
          </rPr>
          <t>1. Nome Bandeja
2. Código Endereçamento Bandeja
3. Identificador Bandeja
4. Data de Cadastro Bandeja
5. Usuário de Cadastro Bandeja
6. Data de Alteração Bandeja
7. Usuário de Alteração Bandeja
8.CMD
9.MSG</t>
        </r>
      </text>
    </comment>
    <comment ref="E65" authorId="1" shapeId="0" xr:uid="{C99CFDC2-0460-4481-8445-AEC666610DB6}">
      <text>
        <r>
          <rPr>
            <sz val="9"/>
            <color indexed="81"/>
            <rFont val="Segoe UI"/>
            <family val="2"/>
          </rPr>
          <t>1 -  Deposito Fisico
2 -  Usuario</t>
        </r>
      </text>
    </comment>
    <comment ref="D66" authorId="1" shapeId="0" xr:uid="{182A143E-5D93-4B2F-884D-5A2A677C68D0}">
      <text>
        <r>
          <rPr>
            <sz val="9"/>
            <color indexed="81"/>
            <rFont val="Segoe UI"/>
            <family val="2"/>
          </rPr>
          <t xml:space="preserve">1. Nome Bandeja
2. Código Endereçamento Bandeja
3. Identificador Bandeja
4. Data de Cadastro Bandeja
5. Usuário de Cadastro Bandeja
6. Data de Alteração Bandeja
7. Usuário de Alteração Bandeja
</t>
        </r>
      </text>
    </comment>
    <comment ref="E66" authorId="1" shapeId="0" xr:uid="{50DC10AF-A77C-486F-A353-21D79C380240}">
      <text>
        <r>
          <rPr>
            <sz val="9"/>
            <color indexed="81"/>
            <rFont val="Segoe UI"/>
            <family val="2"/>
          </rPr>
          <t>1 -  Deposito Fisico
2 - Órgão
3 - Unidade</t>
        </r>
      </text>
    </comment>
    <comment ref="D67" authorId="1" shapeId="0" xr:uid="{EE01024A-721A-4DD2-BB3A-81AF02F6BC10}">
      <text>
        <r>
          <rPr>
            <sz val="9"/>
            <color indexed="81"/>
            <rFont val="Segoe UI"/>
            <family val="2"/>
          </rPr>
          <t>1. Nome Bandeja
2. Código Endereçamento Bandeja
3. Identificador Bandeja
4. Data de Cadastro Bandeja
5. Usuário de Cadastro Bandeja
6. Data de Alteração Bandeja
7. Usuário de Alteração Bandeja
8.CMD
9.MSG</t>
        </r>
      </text>
    </comment>
    <comment ref="E67" authorId="1" shapeId="0" xr:uid="{2052A0F4-EE93-4D7B-9AA4-51F03CC2A512}">
      <text>
        <r>
          <rPr>
            <sz val="9"/>
            <color indexed="81"/>
            <rFont val="Segoe UI"/>
            <family val="2"/>
          </rPr>
          <t>1 -  Deposito Fisico
2 - Órgão
3 - Unidade</t>
        </r>
      </text>
    </comment>
    <comment ref="D68" authorId="1" shapeId="0" xr:uid="{947B08A5-9C53-4134-84A0-FE1217E61505}">
      <text>
        <r>
          <rPr>
            <sz val="9"/>
            <color indexed="81"/>
            <rFont val="Segoe UI"/>
            <family val="2"/>
          </rPr>
          <t xml:space="preserve">1.Codigo 
2.CMD
3.MSG
</t>
        </r>
      </text>
    </comment>
    <comment ref="E68" authorId="1" shapeId="0" xr:uid="{FB40AE3C-F13D-4C0A-AC70-D0E758026E9D}">
      <text>
        <r>
          <rPr>
            <sz val="9"/>
            <color indexed="81"/>
            <rFont val="Segoe UI"/>
            <family val="2"/>
          </rPr>
          <t>1 -  Deposito Fisico
2 -  Usuario</t>
        </r>
      </text>
    </comment>
    <comment ref="D69" authorId="1" shapeId="0" xr:uid="{21589F39-537D-4CDF-BBFD-ACAC530EBDE4}">
      <text>
        <r>
          <rPr>
            <sz val="9"/>
            <color indexed="81"/>
            <rFont val="Segoe UI"/>
            <family val="2"/>
          </rPr>
          <t>1. Código
2. Descrição
3. Comando</t>
        </r>
      </text>
    </comment>
    <comment ref="E69" authorId="1" shapeId="0" xr:uid="{FF80F31B-2272-4479-AB2E-C1F314E0CDF8}">
      <text>
        <r>
          <rPr>
            <sz val="9"/>
            <color indexed="81"/>
            <rFont val="Segoe UI"/>
            <family val="2"/>
          </rPr>
          <t xml:space="preserve">1 -  Módulo
</t>
        </r>
      </text>
    </comment>
    <comment ref="D70" authorId="1" shapeId="0" xr:uid="{26301749-8FAF-4AB4-98E9-0EF9FA25F8D4}">
      <text>
        <r>
          <rPr>
            <sz val="9"/>
            <color indexed="81"/>
            <rFont val="Segoe UI"/>
            <family val="2"/>
          </rPr>
          <t>1. Código
2. Descrição
3. Comando</t>
        </r>
      </text>
    </comment>
    <comment ref="E70" authorId="1" shapeId="0" xr:uid="{744B9796-87AE-44A7-9450-82B662D67DD4}">
      <text>
        <r>
          <rPr>
            <sz val="9"/>
            <color indexed="81"/>
            <rFont val="Segoe UI"/>
            <family val="2"/>
          </rPr>
          <t>1 -  Estante</t>
        </r>
      </text>
    </comment>
    <comment ref="D71" authorId="1" shapeId="0" xr:uid="{A6C6EC54-D640-4211-A599-CCDCAD353919}">
      <text>
        <r>
          <rPr>
            <sz val="9"/>
            <color indexed="81"/>
            <rFont val="Segoe UI"/>
            <family val="2"/>
          </rPr>
          <t>1. Código
2. Descrição
3. Comando</t>
        </r>
      </text>
    </comment>
    <comment ref="E71" authorId="1" shapeId="0" xr:uid="{B2F89704-77AB-4EE0-B1D2-3D7E4D2163F2}">
      <text>
        <r>
          <rPr>
            <sz val="9"/>
            <color indexed="81"/>
            <rFont val="Segoe UI"/>
            <family val="2"/>
          </rPr>
          <t>1 -  Face</t>
        </r>
      </text>
    </comment>
    <comment ref="D74" authorId="1" shapeId="0" xr:uid="{44CF55B3-130D-4B09-8B7F-BD9E9EB2F661}">
      <text>
        <r>
          <rPr>
            <sz val="9"/>
            <color indexed="81"/>
            <rFont val="Segoe UI"/>
            <family val="2"/>
          </rPr>
          <t>1. Orgão/Entidade
2. Setor/Unidade
3. Cod Endereçamento
4. Identificador
5. Situacao
6. Data de Cadastro, 
7. Usuário de Cadastro, 
8. Data de Alteração, 
9. Usuário de Alteração
10. ID
11. Número de Página
12. Sala
13. Módulo
14. Fileira
15. Estante
16. Face
17. Bandeja/Prateleira
18. Depósito</t>
        </r>
      </text>
    </comment>
    <comment ref="E74" authorId="1" shapeId="0" xr:uid="{9CEEAAC0-D084-44BF-ABA9-DD207ABB0863}">
      <text>
        <r>
          <rPr>
            <sz val="9"/>
            <color indexed="81"/>
            <rFont val="Segoe UI"/>
            <family val="2"/>
          </rPr>
          <t>1 - Caixas
2 - Situação
3 - Código Endereçamento</t>
        </r>
      </text>
    </comment>
    <comment ref="D75" authorId="1" shapeId="0" xr:uid="{FBA2DDF6-2BC7-4EE4-B35B-C29176774363}">
      <text>
        <r>
          <rPr>
            <sz val="9"/>
            <color indexed="81"/>
            <rFont val="Segoe UI"/>
            <family val="2"/>
          </rPr>
          <t>1. Orgão/Entidade
2. Setor/Unidade
3. Cod Endereçamento
4. Identificador
5. Situacao
6. Data cadatro ini
7. Data cadastro fim 
8. CMD
9.MSG</t>
        </r>
      </text>
    </comment>
    <comment ref="E75" authorId="1" shapeId="0" xr:uid="{5355F5F1-F535-4483-9AA7-5C40E06DAE99}">
      <text>
        <r>
          <rPr>
            <sz val="9"/>
            <color indexed="81"/>
            <rFont val="Segoe UI"/>
            <family val="2"/>
          </rPr>
          <t xml:space="preserve">1 - Caixa
2 - Orgão/Entidade
3 - Setor/unidade
</t>
        </r>
      </text>
    </comment>
    <comment ref="D76" authorId="1" shapeId="0" xr:uid="{6C31B608-972F-4FAE-98A0-2A69A58499C3}">
      <text>
        <r>
          <rPr>
            <sz val="9"/>
            <color indexed="81"/>
            <rFont val="Segoe UI"/>
            <family val="2"/>
          </rPr>
          <t>1. Código
2. Descrição
3. Comando</t>
        </r>
      </text>
    </comment>
    <comment ref="E76" authorId="1" shapeId="0" xr:uid="{12D58F7C-B1FE-4824-8AA4-09C43ECCA5E4}">
      <text>
        <r>
          <rPr>
            <sz val="9"/>
            <color indexed="81"/>
            <rFont val="Segoe UI"/>
            <family val="2"/>
          </rPr>
          <t xml:space="preserve">1 -  Código Endereçamento
</t>
        </r>
      </text>
    </comment>
    <comment ref="D77" authorId="1" shapeId="0" xr:uid="{834E07C7-BC9A-486A-B842-BE6590EEE7F9}">
      <text>
        <r>
          <rPr>
            <sz val="9"/>
            <color indexed="81"/>
            <rFont val="Segoe UI"/>
            <family val="2"/>
          </rPr>
          <t>1. Orgão/Entidade
2. Setor/Unidade
3. Cod Endereçamento
4. Identificador
5. Situacao
6. Justificativa
7. Número de páginas
8. Sala
9. Módulo
10. Fileira
11. Estante
12. Face
13. Bandeja/Prateleira
14. Depósito
15. CMD
16. MSG</t>
        </r>
      </text>
    </comment>
    <comment ref="E77" authorId="1" shapeId="0" xr:uid="{1AA706F0-4496-4BAD-AE61-EAC48B06B29B}">
      <text>
        <r>
          <rPr>
            <sz val="9"/>
            <color indexed="81"/>
            <rFont val="Segoe UI"/>
            <family val="2"/>
          </rPr>
          <t>1 - Caixa
2 - Orgão/Entidade
3 - Setor/unidade
4 - usuario</t>
        </r>
      </text>
    </comment>
    <comment ref="D78" authorId="1" shapeId="0" xr:uid="{CDBF9FD6-A080-40B3-B786-C0E4110E63BE}">
      <text>
        <r>
          <rPr>
            <sz val="9"/>
            <color indexed="81"/>
            <rFont val="Segoe UI"/>
            <family val="2"/>
          </rPr>
          <t>1. Código
2. Descrição
3. Comando</t>
        </r>
      </text>
    </comment>
    <comment ref="E78" authorId="1" shapeId="0" xr:uid="{CE761504-4E2B-4F10-A3D1-F43385BC5F08}">
      <text>
        <r>
          <rPr>
            <sz val="9"/>
            <color indexed="81"/>
            <rFont val="Segoe UI"/>
            <family val="2"/>
          </rPr>
          <t xml:space="preserve">1 -  Órgão
</t>
        </r>
      </text>
    </comment>
    <comment ref="D79" authorId="1" shapeId="0" xr:uid="{7A7C9D01-AE6D-4E53-A339-2D23C15B7276}">
      <text>
        <r>
          <rPr>
            <sz val="9"/>
            <color indexed="81"/>
            <rFont val="Segoe UI"/>
            <family val="2"/>
          </rPr>
          <t>1. Orgão/Entidade
2. Setor/Unidade
3. Cod Endereçamento
4. Identificador
5. Situacao
6. Justificativa
7. Número de páginas
8. Sala
9. Módulo
10. Fileira
11. Estante
12. Face
13. Bandeja/Prateleira
14. Depósito
15. CMD
16. MSG</t>
        </r>
      </text>
    </comment>
    <comment ref="E79" authorId="1" shapeId="0" xr:uid="{EFEF93E8-68CF-4FBC-AD77-E69FCBABDA63}">
      <text>
        <r>
          <rPr>
            <sz val="9"/>
            <color indexed="81"/>
            <rFont val="Segoe UI"/>
            <family val="2"/>
          </rPr>
          <t>1 - Caixa
2 - Orgão/Entidade
3 - Setor/unidade
4 - usuario</t>
        </r>
      </text>
    </comment>
    <comment ref="D80" authorId="1" shapeId="0" xr:uid="{A15E378F-3340-45F0-8F65-59146042DB9D}">
      <text>
        <r>
          <rPr>
            <sz val="9"/>
            <color indexed="81"/>
            <rFont val="Segoe UI"/>
            <family val="2"/>
          </rPr>
          <t xml:space="preserve">1. Orgão/Entidade
2. Setor/Unidade
3. Cod Endereçamento
4. Identificador
5. Situacao
6. Justificativa
7. Número de páginas
8. Sala
9. Módulo
10. Fileira
11. Estante
12. Face
13. Bandeja/Prateleira
14. Depósito
</t>
        </r>
      </text>
    </comment>
    <comment ref="E80" authorId="1" shapeId="0" xr:uid="{7CD414FA-4F50-46EE-9501-A6FCD955BA65}">
      <text>
        <r>
          <rPr>
            <sz val="9"/>
            <color indexed="81"/>
            <rFont val="Segoe UI"/>
            <family val="2"/>
          </rPr>
          <t xml:space="preserve">1 - Caixa
2 - Orgão/Entidade
3 - Setor/unidade
</t>
        </r>
      </text>
    </comment>
    <comment ref="D81" authorId="1" shapeId="0" xr:uid="{77B85408-65FB-44EB-A732-4AF903A786AB}">
      <text>
        <r>
          <rPr>
            <sz val="9"/>
            <color indexed="81"/>
            <rFont val="Segoe UI"/>
            <family val="2"/>
          </rPr>
          <t>1. Orgão/Entidade
2. Setor/Unidade
3. Cod Endereçamento
4. Identificador
5. Situacao
6. Justificativa
7. Número de páginas
8. Sala
9. Módulo
10. Fileira
11. Estante
12. Face
13. Bandeja/Prateleira
14. Depósito
15. CMD
16. MSG</t>
        </r>
      </text>
    </comment>
    <comment ref="E81" authorId="1" shapeId="0" xr:uid="{361272B3-B48A-47FD-982C-96182F174997}">
      <text>
        <r>
          <rPr>
            <sz val="9"/>
            <color indexed="81"/>
            <rFont val="Segoe UI"/>
            <family val="2"/>
          </rPr>
          <t xml:space="preserve">1 - Caixa
2 - Orgão/Entidade
3 - Setor/unidade
</t>
        </r>
      </text>
    </comment>
    <comment ref="D82" authorId="1" shapeId="0" xr:uid="{119D09AE-ACEB-4A48-A49C-9FF602939AF2}">
      <text>
        <r>
          <rPr>
            <sz val="9"/>
            <color indexed="81"/>
            <rFont val="Segoe UI"/>
            <family val="2"/>
          </rPr>
          <t xml:space="preserve">1.Codigo 
2.CMD
3.MSG
</t>
        </r>
      </text>
    </comment>
    <comment ref="E82" authorId="1" shapeId="0" xr:uid="{6A794C5A-C854-436C-80F7-2894F4055E58}">
      <text>
        <r>
          <rPr>
            <sz val="9"/>
            <color indexed="81"/>
            <rFont val="Segoe UI"/>
            <family val="2"/>
          </rPr>
          <t>1 - Caixas
2 - usuario</t>
        </r>
      </text>
    </comment>
    <comment ref="D83" authorId="1" shapeId="0" xr:uid="{24043AAA-76E3-4A5C-97A7-1D7D26D15E39}">
      <text>
        <r>
          <rPr>
            <sz val="9"/>
            <color indexed="81"/>
            <rFont val="Segoe UI"/>
            <family val="2"/>
          </rPr>
          <t>1. Orgão/Entidade
2. Setor/Unidade
3. Cod Endereçamento
4. Identificador
5. Situacao
6. Data cadatro ini
7. Data cadastro fim 
8. Data de Cadastro, 
9. Usuário de Cadastro, 
10. Data de Alteração, 
11. Usuário de Alteração
12. CMD
13. MSG</t>
        </r>
      </text>
    </comment>
    <comment ref="E83" authorId="1" shapeId="0" xr:uid="{5A6F71C5-DEA7-43BE-8CEE-2DB1074B5E76}">
      <text>
        <r>
          <rPr>
            <sz val="9"/>
            <color indexed="81"/>
            <rFont val="Segoe UI"/>
            <family val="2"/>
          </rPr>
          <t xml:space="preserve">1 - Caixa
2 - Orgão/Entidade
3 - Setor/unidade
</t>
        </r>
      </text>
    </comment>
    <comment ref="D86" authorId="1" shapeId="0" xr:uid="{E6279F24-4BCF-489C-A078-A834914FC4B8}">
      <text>
        <r>
          <rPr>
            <sz val="9"/>
            <color indexed="81"/>
            <rFont val="Segoe UI"/>
            <family val="2"/>
          </rPr>
          <t>1. Código
2. Descrição
3. Situação
4. Data início
5. Previsão Término
6. Data Cadastro da Demanda
7. Data Notificado Responsáveis
8. Data Cadastro de Caicas
9. Data Início de Captura
10. Data Início de Conferência
11. Data Conclusão da Demanda</t>
        </r>
      </text>
    </comment>
    <comment ref="E86" authorId="1" shapeId="0" xr:uid="{19B8EC7C-22D1-49BF-9B41-8CA143F67763}">
      <text>
        <r>
          <rPr>
            <sz val="9"/>
            <color indexed="81"/>
            <rFont val="Segoe UI"/>
            <family val="2"/>
          </rPr>
          <t>1 - Demanda de Captura
2 - Conjunto Documental
3 - Notificação Responsáveis
4 - Arquivos da Demanda</t>
        </r>
      </text>
    </comment>
    <comment ref="D89" authorId="1" shapeId="0" xr:uid="{B49287AD-FDBD-4EA6-A42E-230131E18527}">
      <text>
        <r>
          <rPr>
            <sz val="9"/>
            <color indexed="81"/>
            <rFont val="Segoe UI"/>
            <family val="2"/>
          </rPr>
          <t>1. Código
2. Nome
3. Email
4. Matricula</t>
        </r>
      </text>
    </comment>
    <comment ref="E89" authorId="1" shapeId="0" xr:uid="{44F79734-1EE7-4CD2-8B71-3D39C22EA4A1}">
      <text>
        <r>
          <rPr>
            <sz val="9"/>
            <color indexed="81"/>
            <rFont val="Segoe UI"/>
            <family val="2"/>
          </rPr>
          <t>1 - Servidor</t>
        </r>
      </text>
    </comment>
    <comment ref="D90" authorId="1" shapeId="0" xr:uid="{DC762D77-3E76-4D93-B211-D586296DE4F0}">
      <text>
        <r>
          <rPr>
            <sz val="9"/>
            <color indexed="81"/>
            <rFont val="Segoe UI"/>
            <family val="2"/>
          </rPr>
          <t>1. Orgão/Entidade
2. Setor/Unidade
3. Previsão inicio
4. Previsão termino 
5. Tipo 
6. Prioridade
7. Titulo
8. Descrição
9. Data de Cadastro
10. Usuário de Cadastro
11. Data de Alteração
12. Usuário de Alteração
13 . Motivo Cancelamento
14. Situação
15. Requisito Mínimo</t>
        </r>
      </text>
    </comment>
    <comment ref="E90" authorId="1" shapeId="0" xr:uid="{AAB823C5-4FB1-4F41-8110-C6CA1EE4999C}">
      <text>
        <r>
          <rPr>
            <sz val="9"/>
            <color indexed="81"/>
            <rFont val="Segoe UI"/>
            <family val="2"/>
          </rPr>
          <t>1 - Demanda de Captura
2 - Tipo de Demanda
3 - Prioridade</t>
        </r>
      </text>
    </comment>
    <comment ref="D91" authorId="1" shapeId="0" xr:uid="{ED7BB74D-219E-4480-B66D-48244331AD3E}">
      <text>
        <r>
          <rPr>
            <sz val="9"/>
            <color indexed="81"/>
            <rFont val="Segoe UI"/>
            <family val="2"/>
          </rPr>
          <t>1. Orgão/Entidade
2. Setor/Unidade
3. Cod Demanda
4. Responsavel
5. Situacao
6. Data cadatro ini
7. Data cadastro fim 
8. Titulo
9.CMD
10.MSG</t>
        </r>
      </text>
    </comment>
    <comment ref="E91" authorId="1" shapeId="0" xr:uid="{0820CC4F-2240-4933-BAD2-08A22E7E58ED}">
      <text>
        <r>
          <rPr>
            <sz val="9"/>
            <color indexed="81"/>
            <rFont val="Segoe UI"/>
            <family val="2"/>
          </rPr>
          <t>1 - Demanda de Captura 
2 - Orgão/Entidade
3 - Setor/unidade
4 - Servidor</t>
        </r>
      </text>
    </comment>
    <comment ref="D92" authorId="1" shapeId="0" xr:uid="{E24ED4ED-8EB7-4C39-AB2B-5CF98E6493AA}">
      <text>
        <r>
          <rPr>
            <sz val="9"/>
            <color indexed="81"/>
            <rFont val="Segoe UI"/>
            <family val="2"/>
          </rPr>
          <t>1. Código
2. Nome
3. CMD</t>
        </r>
      </text>
    </comment>
    <comment ref="E92" authorId="1" shapeId="0" xr:uid="{ACDE8127-1318-49D8-AE22-5AAA4F2B1C14}">
      <text>
        <r>
          <rPr>
            <sz val="9"/>
            <color indexed="81"/>
            <rFont val="Segoe UI"/>
            <family val="2"/>
          </rPr>
          <t>1 - Servidor</t>
        </r>
      </text>
    </comment>
    <comment ref="D93" authorId="1" shapeId="0" xr:uid="{381AE9C1-807E-4F9C-B2A4-184395D2094E}">
      <text>
        <r>
          <rPr>
            <sz val="9"/>
            <color indexed="81"/>
            <rFont val="Segoe UI"/>
            <family val="2"/>
          </rPr>
          <t>1. Orgão/Entidade
2. Setor/Unidade
3. Previsão inicio
4. Previsão termino 
5. Tipo 
6. Prioridade
7. Titulo
8. Descrição
9. Caixa
10. Classificação
11. Ano inicial
12. Ano final
13. Observações
14. Pasta
15. CMD
16. MSG</t>
        </r>
      </text>
    </comment>
    <comment ref="E93" authorId="1" shapeId="0" xr:uid="{47F48D4F-39BE-4A0A-816D-0B9AFD01C059}">
      <text>
        <r>
          <rPr>
            <sz val="9"/>
            <color indexed="81"/>
            <rFont val="Segoe UI"/>
            <family val="2"/>
          </rPr>
          <t>1 - Demanda de Captura 
2 - Orgão/Entidade
3 - Setor/unidade
4 - Usuario
5 - Conjunto Documental</t>
        </r>
      </text>
    </comment>
    <comment ref="D94" authorId="1" shapeId="0" xr:uid="{0B20F420-4A56-44E2-9C71-5AF63B606F53}">
      <text>
        <r>
          <rPr>
            <sz val="9"/>
            <color indexed="81"/>
            <rFont val="Segoe UI"/>
            <family val="2"/>
          </rPr>
          <t>1. Código
2. Descrição
3. Comando</t>
        </r>
      </text>
    </comment>
    <comment ref="E94" authorId="1" shapeId="0" xr:uid="{51EBE966-26A2-45D0-94D5-85105FF0C89F}">
      <text>
        <r>
          <rPr>
            <sz val="9"/>
            <color indexed="81"/>
            <rFont val="Segoe UI"/>
            <family val="2"/>
          </rPr>
          <t xml:space="preserve">1 - Tipo de Demanda
</t>
        </r>
      </text>
    </comment>
    <comment ref="D95" authorId="1" shapeId="0" xr:uid="{7A27E155-9932-42C3-B0C3-A00DE395588C}">
      <text>
        <r>
          <rPr>
            <sz val="9"/>
            <color indexed="81"/>
            <rFont val="Segoe UI"/>
            <family val="2"/>
          </rPr>
          <t>1. Código
2. Descrição
3. Comando</t>
        </r>
      </text>
    </comment>
    <comment ref="E95" authorId="1" shapeId="0" xr:uid="{FC44EBD0-3641-4568-9380-CF047577D3C5}">
      <text>
        <r>
          <rPr>
            <sz val="9"/>
            <color indexed="81"/>
            <rFont val="Segoe UI"/>
            <family val="2"/>
          </rPr>
          <t xml:space="preserve">1 -  Prioridade
</t>
        </r>
      </text>
    </comment>
    <comment ref="D96" authorId="1" shapeId="0" xr:uid="{3EAE35C3-029A-4AD5-9AFB-4387953A0F4C}">
      <text>
        <r>
          <rPr>
            <sz val="9"/>
            <color indexed="81"/>
            <rFont val="Segoe UI"/>
            <family val="2"/>
          </rPr>
          <t>1. Código
2. Descrição
3. Comando</t>
        </r>
      </text>
    </comment>
    <comment ref="E96" authorId="1" shapeId="0" xr:uid="{48D5FC49-4ED1-4D4A-A5DA-5D18D5DDDCF9}">
      <text>
        <r>
          <rPr>
            <sz val="9"/>
            <color indexed="81"/>
            <rFont val="Segoe UI"/>
            <family val="2"/>
          </rPr>
          <t xml:space="preserve">1 - Requisitos Mínimos da Digitalização
</t>
        </r>
      </text>
    </comment>
    <comment ref="D97" authorId="1" shapeId="0" xr:uid="{7725B161-B8D9-4148-9447-1DC1F489733A}">
      <text>
        <r>
          <rPr>
            <sz val="9"/>
            <color indexed="81"/>
            <rFont val="Segoe UI"/>
            <family val="2"/>
          </rPr>
          <t>1. Orgão/Entidade
2. Setor/Unidade
3. Previsão inicio
4. Previsão termino 
5. Tipo 
6. Prioridade
7. Titulo
8. Descrição
9.CMD
10.MSG</t>
        </r>
      </text>
    </comment>
    <comment ref="E97" authorId="1" shapeId="0" xr:uid="{7EF72D02-2A62-4841-923F-A44DCD313673}">
      <text>
        <r>
          <rPr>
            <sz val="9"/>
            <color indexed="81"/>
            <rFont val="Segoe UI"/>
            <family val="2"/>
          </rPr>
          <t>1 - Demanda de Captura 
2 - Orgão/Entidade
3 - Setor/unidade
4 - Usuario</t>
        </r>
      </text>
    </comment>
    <comment ref="D98" authorId="1" shapeId="0" xr:uid="{910F2489-C0BE-4817-BCFA-1E73F90B90D8}">
      <text>
        <r>
          <rPr>
            <sz val="9"/>
            <color indexed="81"/>
            <rFont val="Segoe UI"/>
            <family val="2"/>
          </rPr>
          <t>1. Orgão/Entidade
2. Setor/Unidade
3. Previsão inicio
4. Previsão termino 
5. Tipo 
6. Prioridade
7. Titulo
8. Descrição
9. Cod demanda
10. Situacao</t>
        </r>
      </text>
    </comment>
    <comment ref="E98" authorId="1" shapeId="0" xr:uid="{59ACFE91-7165-41D5-8F51-1A55E746897C}">
      <text>
        <r>
          <rPr>
            <sz val="9"/>
            <color indexed="81"/>
            <rFont val="Segoe UI"/>
            <family val="2"/>
          </rPr>
          <t xml:space="preserve">1 - Demanda de Captura 
2 - Orgão/Entidade
3 - Setor/unidade
</t>
        </r>
      </text>
    </comment>
    <comment ref="D99" authorId="1" shapeId="0" xr:uid="{C6F5AFED-1002-4B92-B213-6135F34D7C50}">
      <text>
        <r>
          <rPr>
            <sz val="9"/>
            <color indexed="81"/>
            <rFont val="Segoe UI"/>
            <family val="2"/>
          </rPr>
          <t>1. Orgão/Entidade
2. Setor/Unidade
3. Previsão inicio
4. Previsão termino 
5. Tipo 
6. Prioridade
7. Titulo
8. Descrição
9. Cod demanda
10. Situacao
11.CMD
12.MSG</t>
        </r>
      </text>
    </comment>
    <comment ref="E99" authorId="1" shapeId="0" xr:uid="{EB7A66BA-5E3B-4131-829A-548AC4CE6619}">
      <text>
        <r>
          <rPr>
            <sz val="9"/>
            <color indexed="81"/>
            <rFont val="Segoe UI"/>
            <family val="2"/>
          </rPr>
          <t xml:space="preserve">1 - Demanda de Captura 
2 - Orgão/Entidade
3 - Setor/unidade
</t>
        </r>
      </text>
    </comment>
    <comment ref="D100" authorId="1" shapeId="0" xr:uid="{99CED993-AB4D-4AB4-97F1-D1499BC7CEEC}">
      <text>
        <r>
          <rPr>
            <sz val="9"/>
            <color indexed="81"/>
            <rFont val="Segoe UI"/>
            <family val="2"/>
          </rPr>
          <t xml:space="preserve">1.Codigo 
2.CMD
3.MSG
</t>
        </r>
      </text>
    </comment>
    <comment ref="E100" authorId="1" shapeId="0" xr:uid="{FD93ADFC-C898-437E-9112-F54F8AB54244}">
      <text>
        <r>
          <rPr>
            <sz val="9"/>
            <color indexed="81"/>
            <rFont val="Segoe UI"/>
            <family val="2"/>
          </rPr>
          <t xml:space="preserve">1 - Demanda de Captura
2 - Usuario
</t>
        </r>
      </text>
    </comment>
    <comment ref="D101" authorId="1" shapeId="0" xr:uid="{620BCDD7-A0FB-4313-A582-3B944B09A9DB}">
      <text>
        <r>
          <rPr>
            <sz val="9"/>
            <color indexed="81"/>
            <rFont val="Segoe UI"/>
            <family val="2"/>
          </rPr>
          <t>1. Orgão/Entidade
2. Setor/Unidade
3. Cod Demanda
4. Responsavel
5. Situacao
6. Titulo
7. Data de Cadastro
8. Usuário de Cadastro
9. Data de Alteração
10. Usuário de Alteração
11.CMD
12.MSG</t>
        </r>
      </text>
    </comment>
    <comment ref="E101" authorId="1" shapeId="0" xr:uid="{907C0E9B-DD12-4AF5-9BCC-2D62CA915C35}">
      <text>
        <r>
          <rPr>
            <sz val="9"/>
            <color indexed="81"/>
            <rFont val="Segoe UI"/>
            <family val="2"/>
          </rPr>
          <t xml:space="preserve">1 - Demanda de Captura 
2 - Orgão/Entidade
3 - Setor/unidade
</t>
        </r>
      </text>
    </comment>
    <comment ref="D102" authorId="1" shapeId="0" xr:uid="{E7615B8B-AD13-4E20-B39E-66CE2EF628BF}">
      <text>
        <r>
          <rPr>
            <sz val="9"/>
            <color indexed="81"/>
            <rFont val="Segoe UI"/>
            <family val="2"/>
          </rPr>
          <t xml:space="preserve">1.Motivo do cancelamento
2.Usuario
3.Data
4. Situação
5.CMD
6.MSG
</t>
        </r>
      </text>
    </comment>
    <comment ref="E102" authorId="1" shapeId="0" xr:uid="{FFBC0447-C15E-4A29-8633-A727609F058D}">
      <text>
        <r>
          <rPr>
            <sz val="9"/>
            <color indexed="81"/>
            <rFont val="Segoe UI"/>
            <family val="2"/>
          </rPr>
          <t xml:space="preserve">1 - Demanda de Captura
2 - usuario
</t>
        </r>
      </text>
    </comment>
    <comment ref="D105" authorId="1" shapeId="0" xr:uid="{99E00A21-405E-43B2-A005-C2C4F477D204}">
      <text>
        <r>
          <rPr>
            <sz val="9"/>
            <color indexed="81"/>
            <rFont val="Segoe UI"/>
            <family val="2"/>
          </rPr>
          <t xml:space="preserve">1. Código
2. Descrição
</t>
        </r>
      </text>
    </comment>
    <comment ref="E105" authorId="1" shapeId="0" xr:uid="{814EE35A-DD12-4346-8036-29515EFBCC25}">
      <text>
        <r>
          <rPr>
            <sz val="9"/>
            <color indexed="81"/>
            <rFont val="Segoe UI"/>
            <family val="2"/>
          </rPr>
          <t xml:space="preserve">1 - Classificação
</t>
        </r>
      </text>
    </comment>
    <comment ref="D106" authorId="1" shapeId="0" xr:uid="{BDAA8E54-2794-49EB-A480-7759B3B8B4CF}">
      <text>
        <r>
          <rPr>
            <sz val="9"/>
            <color indexed="81"/>
            <rFont val="Segoe UI"/>
            <family val="2"/>
          </rPr>
          <t xml:space="preserve">1. Código
2. Descrição
</t>
        </r>
      </text>
    </comment>
    <comment ref="E106" authorId="1" shapeId="0" xr:uid="{708B2735-7F65-4168-BC54-D6A4FEF04463}">
      <text>
        <r>
          <rPr>
            <sz val="9"/>
            <color indexed="81"/>
            <rFont val="Segoe UI"/>
            <family val="2"/>
          </rPr>
          <t>1 - Exercício</t>
        </r>
      </text>
    </comment>
    <comment ref="D107" authorId="1" shapeId="0" xr:uid="{6C2008A1-3FE4-4556-9455-859D8566FEB5}">
      <text>
        <r>
          <rPr>
            <sz val="9"/>
            <color indexed="81"/>
            <rFont val="Segoe UI"/>
            <family val="2"/>
          </rPr>
          <t>1. Orgão/Entidade
2. Setor/Unidade
3. Caixa
4. status
5. Classificacao
6. Ano inicial
7. Ano Final 
8.OBS
9. Data de Cadastro 
10. Usuário de Cadastro
11. Data de Alteração
12. Usuário de Alteração
13. Responsável pela digitalização</t>
        </r>
      </text>
    </comment>
    <comment ref="E107" authorId="1" shapeId="0" xr:uid="{0082C3DA-89B2-47B1-AEF1-78E17FE3529B}">
      <text>
        <r>
          <rPr>
            <sz val="9"/>
            <color indexed="81"/>
            <rFont val="Segoe UI"/>
            <family val="2"/>
          </rPr>
          <t xml:space="preserve">1 - Conjunto documental da demanda
</t>
        </r>
      </text>
    </comment>
    <comment ref="D108" authorId="1" shapeId="0" xr:uid="{D438EF33-F03D-4741-A543-6FD6F93A7A00}">
      <text>
        <r>
          <rPr>
            <sz val="9"/>
            <color indexed="81"/>
            <rFont val="Segoe UI"/>
            <family val="2"/>
          </rPr>
          <t>1. Conjunto Documental
2. Classificação
3. Status
4. Responsável
5. Ano Inicial
6. Ano Final
7. Protocolo
8. Interessado
9. Situação do Arquivo
10. Data upload - inicio
11. Data upload - fim
12. Caixa
13. Respo Digitalização
14. Capacidade Páginas
15. Capacidade Disponível
16. Páginas Capturadas
17. Páginas a conferir
18. Status
20. CMD
21.MSG</t>
        </r>
      </text>
    </comment>
    <comment ref="E108" authorId="1" shapeId="0" xr:uid="{D8C90C55-671E-429A-9038-20B601560DAC}">
      <text>
        <r>
          <rPr>
            <sz val="9"/>
            <color indexed="81"/>
            <rFont val="Segoe UI"/>
            <family val="2"/>
          </rPr>
          <t>1 - Caixa
2 - Conjunto documental da demanda
3 - Exercício
4 - Arquivos da Demanda</t>
        </r>
      </text>
    </comment>
    <comment ref="D109" authorId="1" shapeId="0" xr:uid="{CA98A5D2-0389-4F4E-973B-F15934F395EF}">
      <text>
        <r>
          <rPr>
            <sz val="9"/>
            <color indexed="81"/>
            <rFont val="Segoe UI"/>
            <family val="2"/>
          </rPr>
          <t>1. Código
2. Orgão
3. Setor
4. Caixa
5. Capacidade
6. Status
7. Ano inicial
8. Ano final
9. Classificação
10. Responsável pela Digitalização
11. Observações
12. CMD
13. MSG</t>
        </r>
      </text>
    </comment>
    <comment ref="E109" authorId="1" shapeId="0" xr:uid="{357AE958-5873-4BCD-9A4C-D31FF4108174}">
      <text>
        <r>
          <rPr>
            <sz val="9"/>
            <color indexed="81"/>
            <rFont val="Segoe UI"/>
            <family val="2"/>
          </rPr>
          <t>1 - Caixa
2 - Orgão/Entidade
3 - Setor/unidade
4 - Conjunto Documental da Demanda 
5 - Usuario
6 - Exercício</t>
        </r>
      </text>
    </comment>
    <comment ref="D110" authorId="1" shapeId="0" xr:uid="{4F36AC66-55F9-4CF1-ABE9-36BF27D23679}">
      <text>
        <r>
          <rPr>
            <sz val="9"/>
            <color indexed="81"/>
            <rFont val="Segoe UI"/>
            <family val="2"/>
          </rPr>
          <t xml:space="preserve">1. Código
2. Descrição
3.CMD
</t>
        </r>
      </text>
    </comment>
    <comment ref="E110" authorId="1" shapeId="0" xr:uid="{83344536-9750-46A9-81CF-5BE1CECB30AE}">
      <text>
        <r>
          <rPr>
            <sz val="9"/>
            <color indexed="81"/>
            <rFont val="Segoe UI"/>
            <family val="2"/>
          </rPr>
          <t xml:space="preserve">1 - Caixa
</t>
        </r>
      </text>
    </comment>
    <comment ref="D111" authorId="1" shapeId="0" xr:uid="{C57CDDB1-E4AF-4668-A196-E9D616C5B537}">
      <text>
        <r>
          <rPr>
            <sz val="9"/>
            <color indexed="81"/>
            <rFont val="Segoe UI"/>
            <family val="2"/>
          </rPr>
          <t xml:space="preserve">1. Código
2. Descrição
3.CMD
</t>
        </r>
      </text>
    </comment>
    <comment ref="E111" authorId="1" shapeId="0" xr:uid="{9D9CD817-625B-4E83-B379-5938FCF0F0C8}">
      <text>
        <r>
          <rPr>
            <sz val="9"/>
            <color indexed="81"/>
            <rFont val="Segoe UI"/>
            <family val="2"/>
          </rPr>
          <t xml:space="preserve">1 - Classificação Documental
</t>
        </r>
      </text>
    </comment>
    <comment ref="D112" authorId="1" shapeId="0" xr:uid="{54353D18-C8EE-46FD-9F80-E8191BD53481}">
      <text>
        <r>
          <rPr>
            <sz val="9"/>
            <color indexed="81"/>
            <rFont val="Segoe UI"/>
            <family val="2"/>
          </rPr>
          <t>1. Código
2. Orgão
3. Setor
4. Caixa
5. Capacidade
6. Status
7. Ano inicial
8. Ano final
9. Classificação
10. Responsável pela Digitalização
11. Observações
12. CMD
13. MSG</t>
        </r>
      </text>
    </comment>
    <comment ref="E112" authorId="1" shapeId="0" xr:uid="{886AE468-D08A-4EB5-9B9F-0541CBB8EAA7}">
      <text>
        <r>
          <rPr>
            <sz val="9"/>
            <color indexed="81"/>
            <rFont val="Segoe UI"/>
            <family val="2"/>
          </rPr>
          <t>1 - Caixa
2 - Orgão/Entidade
3 - Setor/unidade
4 - Conjunto Documental da Demanda 
5 - Usuario
6 - Exercício</t>
        </r>
      </text>
    </comment>
    <comment ref="D113" authorId="1" shapeId="0" xr:uid="{8D3C9BB4-DAB6-4F2E-A664-1EAC548FA170}">
      <text>
        <r>
          <rPr>
            <sz val="9"/>
            <color indexed="81"/>
            <rFont val="Segoe UI"/>
            <family val="2"/>
          </rPr>
          <t xml:space="preserve">1. Código
2. Orgão
3. Setor
4. Caixa
5. Capacidade
6. Status
7. Ano inicial
8. Ano final
9. Classificação
10. Responsável pela Digitalização
11. Observações
</t>
        </r>
      </text>
    </comment>
    <comment ref="E113" authorId="1" shapeId="0" xr:uid="{1716660E-EE71-4860-A2A6-8A8435B0B786}">
      <text>
        <r>
          <rPr>
            <sz val="9"/>
            <color indexed="81"/>
            <rFont val="Segoe UI"/>
            <family val="2"/>
          </rPr>
          <t>1 - Caixa
2 - Orgão/Entidade
3 - Setor/unidade
4 - Conjunto Documental da Demanda 
5 - Usuario
6 - Exercício</t>
        </r>
      </text>
    </comment>
    <comment ref="D114" authorId="1" shapeId="0" xr:uid="{E89D28D5-A891-4FA7-A20A-A427C932F573}">
      <text>
        <r>
          <rPr>
            <sz val="9"/>
            <color indexed="81"/>
            <rFont val="Segoe UI"/>
            <family val="2"/>
          </rPr>
          <t>1. Código
2. Orgão
3. Setor
4. Caixa
5. Capacidade
6. Status
7. Ano inicial
8. Ano final
9. Classificação
10. Responsável pela Digitalização
11. Observações
12. CMD
13. MSG</t>
        </r>
      </text>
    </comment>
    <comment ref="E114" authorId="1" shapeId="0" xr:uid="{B3B48732-2A72-46EF-9920-002BF0C613F8}">
      <text>
        <r>
          <rPr>
            <sz val="9"/>
            <color indexed="81"/>
            <rFont val="Segoe UI"/>
            <family val="2"/>
          </rPr>
          <t>1 - Caixa
2 - Orgão/Entidade
3 - Setor/unidade
4 - Conjunto Documental da Demanda 
5 - Usuario
6 - Exercício</t>
        </r>
      </text>
    </comment>
    <comment ref="D115" authorId="1" shapeId="0" xr:uid="{C710F30D-86FF-4FB8-A35F-919A6F0F9773}">
      <text>
        <r>
          <rPr>
            <sz val="9"/>
            <color indexed="81"/>
            <rFont val="Segoe UI"/>
            <family val="2"/>
          </rPr>
          <t xml:space="preserve">1.Codigo 
2.CMD
3.MSG
</t>
        </r>
      </text>
    </comment>
    <comment ref="E115" authorId="1" shapeId="0" xr:uid="{207C27A3-F5E8-4BB7-9B7B-05AD57A4F03E}">
      <text>
        <r>
          <rPr>
            <sz val="9"/>
            <color indexed="81"/>
            <rFont val="Segoe UI"/>
            <family val="2"/>
          </rPr>
          <t xml:space="preserve">1 - Conjunto documental da demanda
2 - Usuario
</t>
        </r>
      </text>
    </comment>
    <comment ref="D116" authorId="1" shapeId="0" xr:uid="{8AF2DF91-FC87-4A68-B422-EBAB35358841}">
      <text>
        <r>
          <rPr>
            <sz val="9"/>
            <color indexed="81"/>
            <rFont val="Segoe UI"/>
            <family val="2"/>
          </rPr>
          <t>1. Código
2. Caixa
3. Classificação
4. Resp Digitalização
5. Capacidade Páginas
6. Capacidade Disponível
7. Paginas Capturadas
8. Páginas a Conferir
9. Status
10.CMD
11.MSG</t>
        </r>
      </text>
    </comment>
    <comment ref="E116" authorId="1" shapeId="0" xr:uid="{03A25D1D-EA4A-41A3-B438-675381F00DCB}">
      <text>
        <r>
          <rPr>
            <sz val="9"/>
            <color indexed="81"/>
            <rFont val="Segoe UI"/>
            <family val="2"/>
          </rPr>
          <t xml:space="preserve">1 - Caixa
2 - Conjunto documental da demanda
</t>
        </r>
      </text>
    </comment>
    <comment ref="D117" authorId="1" shapeId="0" xr:uid="{51381B82-F6C5-474C-8455-71A505D0247A}">
      <text>
        <r>
          <rPr>
            <sz val="9"/>
            <color indexed="81"/>
            <rFont val="Segoe UI"/>
            <family val="2"/>
          </rPr>
          <t>1. Conjunto
2. Caixa
3. Responsável
4. CMD
5. MSG</t>
        </r>
      </text>
    </comment>
    <comment ref="E117" authorId="1" shapeId="0" xr:uid="{E3A45F0A-080D-484A-B9C1-437C50E480AE}">
      <text>
        <r>
          <rPr>
            <sz val="9"/>
            <color indexed="81"/>
            <rFont val="Segoe UI"/>
            <family val="2"/>
          </rPr>
          <t xml:space="preserve">1 - Conjunto documental da demanda
2 - Servidor
</t>
        </r>
      </text>
    </comment>
    <comment ref="D118" authorId="1" shapeId="0" xr:uid="{6A745EEF-6125-4905-97E2-E34BD57E15E1}">
      <text>
        <r>
          <rPr>
            <sz val="9"/>
            <color indexed="81"/>
            <rFont val="Segoe UI"/>
            <family val="2"/>
          </rPr>
          <t>1. Demanda
2. Situação
3. CMD
4. MSG</t>
        </r>
      </text>
    </comment>
    <comment ref="E118" authorId="1" shapeId="0" xr:uid="{A52CA903-1F90-4FA7-BEB7-A3070249224E}">
      <text>
        <r>
          <rPr>
            <sz val="9"/>
            <color indexed="81"/>
            <rFont val="Segoe UI"/>
            <family val="2"/>
          </rPr>
          <t xml:space="preserve">1 - Conjunto documental da demanda
</t>
        </r>
      </text>
    </comment>
    <comment ref="D121" authorId="1" shapeId="0" xr:uid="{5AD0CE6C-E9AB-4A21-8BC4-3A94FC53E91F}">
      <text>
        <r>
          <rPr>
            <sz val="9"/>
            <color indexed="81"/>
            <rFont val="Segoe UI"/>
            <family val="2"/>
          </rPr>
          <t xml:space="preserve">1. Documento
2. Resolução
3. COR
4. Tipo Original
5. Formato
6. Data cadatro Ini
7. Data cadastro fim 
8. Formato 
9.Data de Cadastro
10.Usuário de Cadastro 
11.Data de Alteração
12.Usuário de Alteração
13.ID
</t>
        </r>
      </text>
    </comment>
    <comment ref="E121" authorId="1" shapeId="0" xr:uid="{82D12CDF-203C-469D-B5ED-0B8721CAEA0F}">
      <text>
        <r>
          <rPr>
            <sz val="9"/>
            <color indexed="81"/>
            <rFont val="Segoe UI"/>
            <family val="2"/>
          </rPr>
          <t>1 - Requisitos Mínimos da Digitalização
2 - Cor
3 - Tipo
4 - Formato Arquivo</t>
        </r>
      </text>
    </comment>
    <comment ref="D122" authorId="1" shapeId="0" xr:uid="{AB2F2905-0E2F-4B49-B923-928406B3A7EF}">
      <text>
        <r>
          <rPr>
            <sz val="9"/>
            <color indexed="81"/>
            <rFont val="Segoe UI"/>
            <family val="2"/>
          </rPr>
          <t xml:space="preserve">1. Documento
2. Resolução
3. COR
4. Tipo Original
5. Formato
6. Data cadatro Ini
7. Data cadastro fim 
8. Formato 
9.CMD
10.MSG
</t>
        </r>
      </text>
    </comment>
    <comment ref="E122" authorId="1" shapeId="0" xr:uid="{36556F99-4B8F-4D79-A4C3-195D5F9F52F0}">
      <text>
        <r>
          <rPr>
            <sz val="9"/>
            <color indexed="81"/>
            <rFont val="Segoe UI"/>
            <family val="2"/>
          </rPr>
          <t xml:space="preserve">1 - Requisitos Mínimos da Digitalização
</t>
        </r>
      </text>
    </comment>
    <comment ref="D123" authorId="1" shapeId="0" xr:uid="{46AB3C91-D840-48FA-A749-42374052CF79}">
      <text>
        <r>
          <rPr>
            <sz val="9"/>
            <color indexed="81"/>
            <rFont val="Segoe UI"/>
            <family val="2"/>
          </rPr>
          <t>1. Documento
2. Resolução
3. Cor
4. Tipo Original
5. Formato
6.CMD
7.MSG</t>
        </r>
      </text>
    </comment>
    <comment ref="E123" authorId="1" shapeId="0" xr:uid="{CB6685DB-C47C-49F5-AE97-F7DBA194B136}">
      <text>
        <r>
          <rPr>
            <sz val="9"/>
            <color indexed="81"/>
            <rFont val="Segoe UI"/>
            <family val="2"/>
          </rPr>
          <t xml:space="preserve">1 - Requisitos Mínimos da Digitalização
2 - Usuario
</t>
        </r>
      </text>
    </comment>
    <comment ref="D124" authorId="1" shapeId="0" xr:uid="{9929455D-B065-4A5D-842B-1CFCC5B7E9F4}">
      <text>
        <r>
          <rPr>
            <sz val="9"/>
            <color indexed="81"/>
            <rFont val="Segoe UI"/>
            <family val="2"/>
          </rPr>
          <t>1. Código
2. Descrição
3. Comando</t>
        </r>
      </text>
    </comment>
    <comment ref="E124" authorId="1" shapeId="0" xr:uid="{330FE3D1-A951-41E8-B9DA-AC262D5812C8}">
      <text>
        <r>
          <rPr>
            <sz val="9"/>
            <color indexed="81"/>
            <rFont val="Segoe UI"/>
            <family val="2"/>
          </rPr>
          <t xml:space="preserve">1 -  Cor
</t>
        </r>
      </text>
    </comment>
    <comment ref="D125" authorId="1" shapeId="0" xr:uid="{9C337F3D-1419-49F4-8556-13F650C94530}">
      <text>
        <r>
          <rPr>
            <sz val="9"/>
            <color indexed="81"/>
            <rFont val="Segoe UI"/>
            <family val="2"/>
          </rPr>
          <t>1. Código
2. Descrição
3. Comando</t>
        </r>
      </text>
    </comment>
    <comment ref="E125" authorId="1" shapeId="0" xr:uid="{59EF23FE-A42F-4B2F-8591-E7066F12DF7A}">
      <text>
        <r>
          <rPr>
            <sz val="9"/>
            <color indexed="81"/>
            <rFont val="Segoe UI"/>
            <family val="2"/>
          </rPr>
          <t xml:space="preserve">1 -  Tipo
</t>
        </r>
      </text>
    </comment>
    <comment ref="D126" authorId="1" shapeId="0" xr:uid="{7D66AD30-F017-4F5F-BA17-879A27B22A20}">
      <text>
        <r>
          <rPr>
            <sz val="9"/>
            <color indexed="81"/>
            <rFont val="Segoe UI"/>
            <family val="2"/>
          </rPr>
          <t>1. Código
2. Descrição
3. Comando</t>
        </r>
      </text>
    </comment>
    <comment ref="E126" authorId="1" shapeId="0" xr:uid="{9E9332DF-21DA-4937-8EA7-769BF84D8863}">
      <text>
        <r>
          <rPr>
            <sz val="9"/>
            <color indexed="81"/>
            <rFont val="Segoe UI"/>
            <family val="2"/>
          </rPr>
          <t xml:space="preserve">1 -  Formato arquivo
</t>
        </r>
      </text>
    </comment>
    <comment ref="D127" authorId="1" shapeId="0" xr:uid="{77698536-B53A-4703-A0AB-E69E0F0EF28B}">
      <text>
        <r>
          <rPr>
            <sz val="9"/>
            <color indexed="81"/>
            <rFont val="Segoe UI"/>
            <family val="2"/>
          </rPr>
          <t>1. Documento
2. Resolução
3. Cor
4. Tipo Original
5. Formato
6.CMD
7.MSG</t>
        </r>
      </text>
    </comment>
    <comment ref="E127" authorId="1" shapeId="0" xr:uid="{7A6A28E0-B50F-4917-A408-9F9AE23235F5}">
      <text>
        <r>
          <rPr>
            <sz val="9"/>
            <color indexed="81"/>
            <rFont val="Segoe UI"/>
            <family val="2"/>
          </rPr>
          <t xml:space="preserve">1 - Requisitos Mínimos da Digitalização
2 - Usuario
</t>
        </r>
      </text>
    </comment>
    <comment ref="D128" authorId="1" shapeId="0" xr:uid="{B45B3530-5B7C-4931-A05F-9D6170EB0A55}">
      <text>
        <r>
          <rPr>
            <sz val="9"/>
            <color indexed="81"/>
            <rFont val="Segoe UI"/>
            <family val="2"/>
          </rPr>
          <t xml:space="preserve">1. Documento
2. Resolução
3. Cor
4. Tipo Original
5. Formato
</t>
        </r>
      </text>
    </comment>
    <comment ref="E128" authorId="1" shapeId="0" xr:uid="{2583CC77-13FB-440A-950B-629E34762EEA}">
      <text>
        <r>
          <rPr>
            <sz val="9"/>
            <color indexed="81"/>
            <rFont val="Segoe UI"/>
            <family val="2"/>
          </rPr>
          <t xml:space="preserve">1 - Requisitos Mínimos da Digitalização
</t>
        </r>
      </text>
    </comment>
    <comment ref="D129" authorId="1" shapeId="0" xr:uid="{228AEFD0-FEC9-40F7-ADE6-710EFEDBEF18}">
      <text>
        <r>
          <rPr>
            <sz val="9"/>
            <color indexed="81"/>
            <rFont val="Segoe UI"/>
            <family val="2"/>
          </rPr>
          <t>1. Documento
2. Resolução
3. Cor
4. Tipo Original
5. Formato
6.CMD
7.MSG</t>
        </r>
      </text>
    </comment>
    <comment ref="E129" authorId="1" shapeId="0" xr:uid="{C66D187D-C90B-494C-ACC7-86F4CDD66C18}">
      <text>
        <r>
          <rPr>
            <sz val="9"/>
            <color indexed="81"/>
            <rFont val="Segoe UI"/>
            <family val="2"/>
          </rPr>
          <t xml:space="preserve">1 - Requisitos Mínimos da Digitalização
</t>
        </r>
      </text>
    </comment>
    <comment ref="D130" authorId="1" shapeId="0" xr:uid="{33F08476-6456-4B10-A5EE-22AFACB4E598}">
      <text>
        <r>
          <rPr>
            <sz val="9"/>
            <color indexed="81"/>
            <rFont val="Segoe UI"/>
            <family val="2"/>
          </rPr>
          <t xml:space="preserve">1.Codigo 
2.CMD
3.MSG
</t>
        </r>
      </text>
    </comment>
    <comment ref="E130" authorId="1" shapeId="0" xr:uid="{B74CE156-4CCA-4FCA-A6DA-0BB661685E00}">
      <text>
        <r>
          <rPr>
            <sz val="9"/>
            <color indexed="81"/>
            <rFont val="Segoe UI"/>
            <family val="2"/>
          </rPr>
          <t xml:space="preserve">1 - Requisitos Mínimos da Digitalização
2 - Usuario
</t>
        </r>
      </text>
    </comment>
    <comment ref="D131" authorId="1" shapeId="0" xr:uid="{AF6E6BD1-150D-4284-B5B2-032233CF6E0C}">
      <text>
        <r>
          <rPr>
            <sz val="9"/>
            <color indexed="81"/>
            <rFont val="Segoe UI"/>
            <family val="2"/>
          </rPr>
          <t xml:space="preserve">1. Documento
2. Resolução
3. COR
4. Tipo Original
5. Formato
6. Data cadatro Ini
7. Data cadastro fim 
8. Formato 
9. Data de Cadastro
10.Usuário de Cadastro
11.Data de Alteração
12.Usuário de Alteração
13.CMD
14.MSG
</t>
        </r>
      </text>
    </comment>
    <comment ref="E131" authorId="1" shapeId="0" xr:uid="{2F57D2DA-D72C-41FB-93C0-DE9B46C6E8BD}">
      <text>
        <r>
          <rPr>
            <sz val="9"/>
            <color indexed="81"/>
            <rFont val="Segoe UI"/>
            <family val="2"/>
          </rPr>
          <t xml:space="preserve">1 - Requisitos Mínimos da Digitalização
</t>
        </r>
      </text>
    </comment>
    <comment ref="D132" authorId="1" shapeId="0" xr:uid="{95A6C928-F1CE-4929-A3E2-0D83E7591879}">
      <text>
        <r>
          <rPr>
            <sz val="9"/>
            <color indexed="81"/>
            <rFont val="Segoe UI"/>
            <family val="2"/>
          </rPr>
          <t xml:space="preserve">1.Situação
2.CMD
3.MSG
</t>
        </r>
      </text>
    </comment>
    <comment ref="E132" authorId="1" shapeId="0" xr:uid="{3151D275-117F-43BB-ABEB-28FA6740317D}">
      <text>
        <r>
          <rPr>
            <sz val="9"/>
            <color indexed="81"/>
            <rFont val="Segoe UI"/>
            <family val="2"/>
          </rPr>
          <t xml:space="preserve">1 - Requisitos Mínimos da Digitalização
2 - Usuario
</t>
        </r>
      </text>
    </comment>
    <comment ref="D135" authorId="1" shapeId="0" xr:uid="{B56A77BF-D68E-43E6-AA77-417345C39B4B}">
      <text>
        <r>
          <rPr>
            <sz val="9"/>
            <color indexed="81"/>
            <rFont val="Segoe UI"/>
            <family val="2"/>
          </rPr>
          <t>1 - Código
2 - Nome fantasia 
3 - CNPJ da empresa</t>
        </r>
      </text>
    </comment>
    <comment ref="E135" authorId="1" shapeId="0" xr:uid="{F0C1BACD-0EFA-42FC-ACF0-1CA5F920EF66}">
      <text>
        <r>
          <rPr>
            <sz val="9"/>
            <color indexed="81"/>
            <rFont val="Segoe UI"/>
            <family val="2"/>
          </rPr>
          <t>1- Pessoa Juridica</t>
        </r>
      </text>
    </comment>
    <comment ref="D136" authorId="1" shapeId="0" xr:uid="{15A44F58-CADC-4FED-8BF6-D72091C98836}">
      <text>
        <r>
          <rPr>
            <sz val="9"/>
            <color indexed="81"/>
            <rFont val="Segoe UI"/>
            <family val="2"/>
          </rPr>
          <t>1. Empresa
2. Email
3. Responsável
4. Celular
5. Contrato
6. Telefone 
7. Arquivo
8. Membro servidor
9. Nome
10. CPF
11. Email
12. Matricula
13. Situação
14. Vinculo
15. Justificativa inativação
16. Data de Cadastro
17. Usuário de Cadastro
18. Data de Alteração
19. Usuário de Alteração
20. ID Responsável
21. ID Equipe</t>
        </r>
      </text>
    </comment>
    <comment ref="E136" authorId="1" shapeId="0" xr:uid="{9A2B4DBB-9D56-410C-BE50-DF9286942A91}">
      <text>
        <r>
          <rPr>
            <sz val="9"/>
            <color indexed="81"/>
            <rFont val="Segoe UI"/>
            <family val="2"/>
          </rPr>
          <t xml:space="preserve">1 - Responsáveis pela Digitalização
2 - Equipe
</t>
        </r>
      </text>
    </comment>
    <comment ref="D137" authorId="1" shapeId="0" xr:uid="{D04620B5-28D5-49B1-9894-99C1E6F62F11}">
      <text>
        <r>
          <rPr>
            <sz val="9"/>
            <color indexed="81"/>
            <rFont val="Segoe UI"/>
            <family val="2"/>
          </rPr>
          <t>1. Empresa
2. Email
3. Responsável
4. Celular
5. Contrato
6. Telefone 
7. Arquivo
8. CMD
9. MSG</t>
        </r>
      </text>
    </comment>
    <comment ref="E137" authorId="1" shapeId="0" xr:uid="{7BFD2156-1D38-4276-9D70-975AA886449E}">
      <text>
        <r>
          <rPr>
            <sz val="9"/>
            <color indexed="81"/>
            <rFont val="Segoe UI"/>
            <family val="2"/>
          </rPr>
          <t xml:space="preserve">1 -Responsáveis pela Digitalização
2 - Usuario
3 - Servidor
4 - Empresa
</t>
        </r>
      </text>
    </comment>
    <comment ref="D138" authorId="1" shapeId="0" xr:uid="{CE468F8B-7589-4927-8712-6BDD254B175A}">
      <text>
        <r>
          <rPr>
            <b/>
            <sz val="9"/>
            <color indexed="81"/>
            <rFont val="Segoe UI"/>
            <family val="2"/>
          </rPr>
          <t xml:space="preserve">
</t>
        </r>
        <r>
          <rPr>
            <sz val="9"/>
            <color indexed="81"/>
            <rFont val="Segoe UI"/>
            <family val="2"/>
          </rPr>
          <t>1 - Nome fantasia 
2 - CNPJ da empresa
3 - CMD</t>
        </r>
      </text>
    </comment>
    <comment ref="E138" authorId="1" shapeId="0" xr:uid="{9E69A253-D616-4A45-A05E-719CA26DA9DB}">
      <text>
        <r>
          <rPr>
            <sz val="9"/>
            <color indexed="81"/>
            <rFont val="Segoe UI"/>
            <family val="2"/>
          </rPr>
          <t>1- Entidade Empresas</t>
        </r>
      </text>
    </comment>
    <comment ref="D139" authorId="1" shapeId="0" xr:uid="{1A0BF22E-AA4F-46FC-9C30-B21EB5FE1CC7}">
      <text>
        <r>
          <rPr>
            <sz val="9"/>
            <color indexed="81"/>
            <rFont val="Segoe UI"/>
            <family val="2"/>
          </rPr>
          <t>1. Empresa
2. Email
3. Responsável
4. Celular
5. Contrato
6. Telefone 
7. Arquivo
8. CMD
9. MSG</t>
        </r>
      </text>
    </comment>
    <comment ref="E139" authorId="1" shapeId="0" xr:uid="{DDDB13AA-C1B1-46AE-96AC-A4F9C081AFA3}">
      <text>
        <r>
          <rPr>
            <sz val="9"/>
            <color indexed="81"/>
            <rFont val="Segoe UI"/>
            <family val="2"/>
          </rPr>
          <t xml:space="preserve">1 -Responsáveis pela Digitalização
2 - Usuario
3 - Servidor
4 - Entidade Empresas
</t>
        </r>
      </text>
    </comment>
    <comment ref="D140" authorId="1" shapeId="0" xr:uid="{E63884D2-219C-4A0E-9424-3883B6E36659}">
      <text>
        <r>
          <rPr>
            <sz val="9"/>
            <color indexed="81"/>
            <rFont val="Segoe UI"/>
            <family val="2"/>
          </rPr>
          <t>1. Empresa
2. Email
3. Responsável
4. Celular
5. Contrato
6. Telefone 
7. Arquivo
8. Data Cadatro Equipe
9. Flag Servidor
10. Nome
11. Matricula
12. CPF
13. E-mail Equipe
14. Resp. Inclusão
15. Situação Equipe</t>
        </r>
      </text>
    </comment>
    <comment ref="E140" authorId="1" shapeId="0" xr:uid="{1F93F9B4-1D63-4C1A-9034-3DB28FC5DDD0}">
      <text>
        <r>
          <rPr>
            <sz val="9"/>
            <color indexed="81"/>
            <rFont val="Segoe UI"/>
            <family val="2"/>
          </rPr>
          <t xml:space="preserve">1 -Responsáveis pela Digitalização
2 - Entidade Empresas
3 - Servidor
</t>
        </r>
      </text>
    </comment>
    <comment ref="D141" authorId="1" shapeId="0" xr:uid="{BF798F0A-6ADC-4F94-8B2B-82F3229388CD}">
      <text>
        <r>
          <rPr>
            <sz val="9"/>
            <color indexed="81"/>
            <rFont val="Segoe UI"/>
            <family val="2"/>
          </rPr>
          <t>1. Empresa
2. Email
3. Responsável
4. Celular
5. Contrato
6. Telefone 
7. Arquivo
8. Data Cadatro Equipe
9. Flag Servidor
10. Nome
11. Matricula
12. CPF
13. E-mail Equipe
14. Resp. Inclusão
15. Situação Equipe
16. Comando
17. Mensagem</t>
        </r>
      </text>
    </comment>
    <comment ref="E141" authorId="1" shapeId="0" xr:uid="{9FCF3458-C33E-4794-BF92-5216708E165E}">
      <text>
        <r>
          <rPr>
            <sz val="9"/>
            <color indexed="81"/>
            <rFont val="Segoe UI"/>
            <family val="2"/>
          </rPr>
          <t xml:space="preserve">1 -Responsáveis pela Digitalização
2 - Entidade Empresas
3 - Servidor
</t>
        </r>
      </text>
    </comment>
    <comment ref="D142" authorId="1" shapeId="0" xr:uid="{A908B420-826A-49C9-9796-C3EF345CE30F}">
      <text>
        <r>
          <rPr>
            <sz val="9"/>
            <color indexed="81"/>
            <rFont val="Segoe UI"/>
            <family val="2"/>
          </rPr>
          <t xml:space="preserve">1. Membro servidor
2. Nome
3. CPF
4. Email
5. Matricula
6. Situação
7. Vinculo
8. Flag Servidor
9. Data Cadastro
10. Responsavel Inclusão
11. CMD
12. MSG
</t>
        </r>
      </text>
    </comment>
    <comment ref="E142" authorId="1" shapeId="0" xr:uid="{3FABFE3A-26C6-4017-BE19-38EBC956DDF2}">
      <text>
        <r>
          <rPr>
            <sz val="9"/>
            <color indexed="81"/>
            <rFont val="Segoe UI"/>
            <family val="2"/>
          </rPr>
          <t xml:space="preserve">1 -Responsáveis pela Digitalização
2 - Usuario
3 - Servidor
</t>
        </r>
      </text>
    </comment>
    <comment ref="D143" authorId="1" shapeId="0" xr:uid="{6B114700-CA98-46E4-B189-951D5636EB99}">
      <text>
        <r>
          <rPr>
            <sz val="9"/>
            <color indexed="81"/>
            <rFont val="Segoe UI"/>
            <family val="2"/>
          </rPr>
          <t xml:space="preserve">1. Flag servidor
2. Nome
3. CPF
4. Email
5. Matricula
6. Situação
7. Vinculo
8. CMD
9. MSG
</t>
        </r>
      </text>
    </comment>
    <comment ref="E143" authorId="1" shapeId="0" xr:uid="{CAA788B1-7499-4BDE-A829-8307D6754938}">
      <text>
        <r>
          <rPr>
            <sz val="9"/>
            <color indexed="81"/>
            <rFont val="Segoe UI"/>
            <family val="2"/>
          </rPr>
          <t xml:space="preserve">1 -Responsáveis pela Digitalização
2 - Usuario
3 - Servidor
</t>
        </r>
      </text>
    </comment>
    <comment ref="D144" authorId="1" shapeId="0" xr:uid="{6A686A16-0367-4083-AE8B-F9F48C548304}">
      <text>
        <r>
          <rPr>
            <sz val="9"/>
            <color indexed="81"/>
            <rFont val="Segoe UI"/>
            <family val="2"/>
          </rPr>
          <t xml:space="preserve">1. Flag servidor
2. Nome
3. CPF
4. Email
5. Matricula
6. Situaacao
7. Vinculo
8. Justificativa inativação
9.CMD
10.MSG
</t>
        </r>
      </text>
    </comment>
    <comment ref="E144" authorId="1" shapeId="0" xr:uid="{8A41CD4D-D594-4F49-9276-2286E863C22D}">
      <text>
        <r>
          <rPr>
            <sz val="9"/>
            <color indexed="81"/>
            <rFont val="Segoe UI"/>
            <family val="2"/>
          </rPr>
          <t xml:space="preserve">1 -Responsáveis pela Digitalização
2 - Usuario
3 - Servidor
</t>
        </r>
      </text>
    </comment>
    <comment ref="D145" authorId="1" shapeId="0" xr:uid="{47462B14-0375-4EEB-9F15-DFA8F9B7D61E}">
      <text>
        <r>
          <rPr>
            <sz val="9"/>
            <color indexed="81"/>
            <rFont val="Segoe UI"/>
            <family val="2"/>
          </rPr>
          <t xml:space="preserve">1. Flag servidor
2. Nome
3. CPF
4. Email
5. Matricula
6. Situação
7. Vinculo
8. Justificativa inativação
</t>
        </r>
      </text>
    </comment>
    <comment ref="E145" authorId="1" shapeId="0" xr:uid="{D1D36DCC-C3DE-4DAE-A045-9AC21BC256BB}">
      <text>
        <r>
          <rPr>
            <sz val="9"/>
            <color indexed="81"/>
            <rFont val="Segoe UI"/>
            <family val="2"/>
          </rPr>
          <t xml:space="preserve">1 -Responsáveis pela Digitalização
2 - Servidor
</t>
        </r>
      </text>
    </comment>
    <comment ref="D146" authorId="1" shapeId="0" xr:uid="{6E3C6A72-421B-4045-AAC7-1F3CAC71CD49}">
      <text>
        <r>
          <rPr>
            <sz val="9"/>
            <color indexed="81"/>
            <rFont val="Segoe UI"/>
            <family val="2"/>
          </rPr>
          <t xml:space="preserve">1. Membro servidor
2. Nome
3. CPF
4. Email
5. Matricula
6. Situação
7. Vinculo
8. justificativa inativação
9.CMD
10.MSG
</t>
        </r>
      </text>
    </comment>
    <comment ref="E146" authorId="1" shapeId="0" xr:uid="{C92FC330-F4C9-4019-B25A-F388C9B7F802}">
      <text>
        <r>
          <rPr>
            <sz val="9"/>
            <color indexed="81"/>
            <rFont val="Segoe UI"/>
            <family val="2"/>
          </rPr>
          <t xml:space="preserve">1 -Responsáveis pela Digitalização
2 - Servidor
</t>
        </r>
      </text>
    </comment>
    <comment ref="D147" authorId="1" shapeId="0" xr:uid="{63D06ADF-0AFD-4348-A486-BB1A1A44BE15}">
      <text>
        <r>
          <rPr>
            <sz val="9"/>
            <color indexed="81"/>
            <rFont val="Segoe UI"/>
            <family val="2"/>
          </rPr>
          <t xml:space="preserve">1.Situação
2.CMD
3.MSG
</t>
        </r>
      </text>
    </comment>
    <comment ref="E147" authorId="1" shapeId="0" xr:uid="{D5384A9C-B668-4050-AE89-5DF8E821FC4E}">
      <text>
        <r>
          <rPr>
            <sz val="9"/>
            <color indexed="81"/>
            <rFont val="Segoe UI"/>
            <family val="2"/>
          </rPr>
          <t xml:space="preserve">1 - Responsáveis pela Digitalização
2 - Usuario
</t>
        </r>
      </text>
    </comment>
    <comment ref="D148" authorId="1" shapeId="0" xr:uid="{AC8D310C-3E4C-463E-835D-ED55A1A01A69}">
      <text>
        <r>
          <rPr>
            <sz val="9"/>
            <color indexed="81"/>
            <rFont val="Segoe UI"/>
            <family val="2"/>
          </rPr>
          <t xml:space="preserve">1. Nome
2. Matricula
3. CPF
4. Data Cadastro
5. Flag Servidor
6. Email
7. Resp Inclusão
8. Situacao
9. Data de Alteração 
10. Usuário de Alteração
11.CMD
12. MSG
</t>
        </r>
      </text>
    </comment>
    <comment ref="E148" authorId="1" shapeId="0" xr:uid="{0A99D75D-66FF-4635-B541-90CF599B6DAD}">
      <text>
        <r>
          <rPr>
            <sz val="9"/>
            <color indexed="81"/>
            <rFont val="Segoe UI"/>
            <family val="2"/>
          </rPr>
          <t xml:space="preserve">1 -Responsáveis pela Digitalização
2 - Usuario
3 - Servidor
</t>
        </r>
      </text>
    </comment>
    <comment ref="D149" authorId="1" shapeId="0" xr:uid="{60A848DF-1971-40D2-BBA6-2E6BDB34F7E9}">
      <text>
        <r>
          <rPr>
            <sz val="9"/>
            <color indexed="81"/>
            <rFont val="Segoe UI"/>
            <family val="2"/>
          </rPr>
          <t xml:space="preserve">1.Situação
2.CMD
3.MSG
</t>
        </r>
      </text>
    </comment>
    <comment ref="E149" authorId="1" shapeId="0" xr:uid="{96E6C027-8D9B-48B4-814B-63187F96532C}">
      <text>
        <r>
          <rPr>
            <sz val="9"/>
            <color indexed="81"/>
            <rFont val="Segoe UI"/>
            <family val="2"/>
          </rPr>
          <t xml:space="preserve">1 - Responsáveis pela Digitalização
2 - Usuario
</t>
        </r>
      </text>
    </comment>
    <comment ref="D152" authorId="1" shapeId="0" xr:uid="{E26EB376-D674-4AC7-B99F-AF49C86BE0CE}">
      <text>
        <r>
          <rPr>
            <sz val="9"/>
            <color indexed="81"/>
            <rFont val="Segoe UI"/>
            <family val="2"/>
          </rPr>
          <t>1. Destinatario
2. Anexo
3. Texto complementar
4. Situação</t>
        </r>
      </text>
    </comment>
    <comment ref="E152" authorId="1" shapeId="0" xr:uid="{557E10C3-32E0-4DA6-AC3C-736F24F8C7A5}">
      <text>
        <r>
          <rPr>
            <sz val="9"/>
            <color indexed="81"/>
            <rFont val="Segoe UI"/>
            <family val="2"/>
          </rPr>
          <t>1 - Notificação Responsáveis</t>
        </r>
      </text>
    </comment>
    <comment ref="D153" authorId="1" shapeId="0" xr:uid="{871CFD2D-4885-41C9-919A-CD96A046B685}">
      <text>
        <r>
          <rPr>
            <sz val="9"/>
            <color indexed="81"/>
            <rFont val="Segoe UI"/>
            <family val="2"/>
          </rPr>
          <t xml:space="preserve">1. Destinatario
2. Assunto
3. Anexo
4. Responsavel
5. Contrato
6. Previsão de término
7. Previsão de inicio
8. Data notificação
9. Data cadastro Equipe
10. Flag Servidor
11. Nome 
12. Matricula
13. CPF
14. Email
15. Resp Inclusão Equipe
16. Texto complementar
17. CMD
18. MSG
</t>
        </r>
      </text>
    </comment>
    <comment ref="E153" authorId="1" shapeId="0" xr:uid="{62D58D93-FEB2-4637-A648-039DE35BC293}">
      <text>
        <r>
          <rPr>
            <sz val="9"/>
            <color indexed="81"/>
            <rFont val="Segoe UI"/>
            <family val="2"/>
          </rPr>
          <t>1 - Responsáveis pela Digitalização
2 - Servidor
3 - Demanda de Captura 
4 - Notificação Responsáveis</t>
        </r>
      </text>
    </comment>
    <comment ref="D154" authorId="1" shapeId="0" xr:uid="{FBFA329B-A6BE-43A6-8EEC-3D7DF656AFFA}">
      <text>
        <r>
          <rPr>
            <sz val="9"/>
            <color indexed="81"/>
            <rFont val="Segoe UI"/>
            <family val="2"/>
          </rPr>
          <t xml:space="preserve">1. Destinatario
2. Assunto
3. Anexo
4. Responsavel
5. Contrato
6. Previsão de término
7. Previsão de inicio
8. Data notificação
9. Data cadastro Equipe
10. Flag Servidor
11. Nome 
12. Matricula
13. CPF
14. Email
15. Resp Inclusão Equipe
16. Texto complementar
17. CMD
18. MSG
</t>
        </r>
      </text>
    </comment>
    <comment ref="E154" authorId="1" shapeId="0" xr:uid="{A52F28D0-DEB1-4DBA-ABD9-C2DBC716731A}">
      <text>
        <r>
          <rPr>
            <sz val="9"/>
            <color indexed="81"/>
            <rFont val="Segoe UI"/>
            <family val="2"/>
          </rPr>
          <t>1 - Responsáveis pela Digitalização
2 - Servidor
3 - Demanda de Captura 
4 - Notificação Responsáveis</t>
        </r>
      </text>
    </comment>
    <comment ref="D157" authorId="1" shapeId="0" xr:uid="{C8DA5F74-B81D-464B-8C42-510AA52B16FD}">
      <text>
        <r>
          <rPr>
            <sz val="9"/>
            <color indexed="81"/>
            <rFont val="Segoe UI"/>
            <family val="2"/>
          </rPr>
          <t>1 - Código
2 - Código da Demanda
3 - Nome do Arquivo
4 - Tipo/Formato
5 - Tamanho
6 - N° de Paginas
7 - Data de Criação
8 - Data de Alteração
9 - Caminho da Pasta de Origem
10 - Data de Upload
11 - Situação
12 - A imagem digitalizada está legível
13 - Obs
14 - A imagem manteve a fidelidade do documento original
15 - Obs
16 - A quantidade de páginas digitalizadas confere com o documento original
17 - Obs
18 - Os parâmetros técnicos mínimos para digitalização foram respeitados
19 - Obs
20 - Observações Gerais
21 - Ultima Alteração
22 - Usuário de Alteração
23 - Nome 
24 - Data
25 - Codigo CRC
26 - Codigo Verificador
27-Prazo de Guarda no Arquivo Intermediário
28-Destinação
29-Data Início da Guarda</t>
        </r>
      </text>
    </comment>
    <comment ref="E157" authorId="1" shapeId="0" xr:uid="{8D06399B-68A4-410F-BF74-311D74558840}">
      <text>
        <r>
          <rPr>
            <sz val="9"/>
            <color indexed="81"/>
            <rFont val="Segoe UI"/>
            <family val="2"/>
          </rPr>
          <t>1 - Arquivos da Demanda
2 - Conferencia de qualidade
3 - Historico de  Conferencia de qualidade
4 - Assinatura</t>
        </r>
      </text>
    </comment>
    <comment ref="D158" authorId="1" shapeId="0" xr:uid="{FB777CF0-C216-4B64-B26D-4C16DF192DAE}">
      <text>
        <r>
          <rPr>
            <sz val="9"/>
            <color indexed="81"/>
            <rFont val="Segoe UI"/>
            <family val="2"/>
          </rPr>
          <t>1 - Código
1 - Protocolo Nº 
2 - Data
3 - Assunto
4 - Código de Barras
5 - Interessado(a)
6 - Volume
7 - Órgão/Entidade 
8 - Setor/Unidade 
9 - Ano
10 - Classificação Documental
11 - Caixa
12 - Situação da Etapa 01 
13-Prazo de Guarda no Arquivo Intermediário
14-Destinação
15-Data Início da Guarda</t>
        </r>
      </text>
    </comment>
    <comment ref="E158" authorId="1" shapeId="0" xr:uid="{267719D0-E7CA-43B1-A10D-A3E5EFEA65B0}">
      <text>
        <r>
          <rPr>
            <sz val="9"/>
            <color indexed="81"/>
            <rFont val="Segoe UI"/>
            <family val="2"/>
          </rPr>
          <t>1 - Etiqueta</t>
        </r>
      </text>
    </comment>
    <comment ref="D159" authorId="1" shapeId="0" xr:uid="{FC21B0F4-9C7C-4282-BAEF-C1DEA3A0750A}">
      <text>
        <r>
          <rPr>
            <sz val="9"/>
            <color indexed="81"/>
            <rFont val="Segoe UI"/>
            <family val="2"/>
          </rPr>
          <t>1 -Caixa
2 -Protocolo N
3 -Ano
4 -Interessado
5 -Situação
6 -Data de Upload inicial
7 -Data de Upload final 
8 -Pasta Eletrônica
9 -Classificação
10-Total de Paginas
11-Paginas Pedentes
12-Status
13-Data do Documento inicial 
14-Data do Documento final
15-Cod Demanda
16-Descrição da demanda
17-Situação da demanda
18-Data inicio
19-Data termino
20-Prazo de Guarda no Arquivo Intermediário
21-Destinação
22-Data Início da Guarda
23-CMD
24-MSG</t>
        </r>
      </text>
    </comment>
    <comment ref="E159" authorId="1" shapeId="0" xr:uid="{EB932B8F-C039-436B-B9AE-119EC51309D3}">
      <text>
        <r>
          <rPr>
            <sz val="9"/>
            <color indexed="81"/>
            <rFont val="Segoe UI"/>
            <family val="2"/>
          </rPr>
          <t>1 - Caixa
2 - Conjunto Documental da Demanda 
3 - Usuario
4 - Demanda de Captura</t>
        </r>
      </text>
    </comment>
    <comment ref="D160" authorId="1" shapeId="0" xr:uid="{63DB6955-08DD-4E7C-977A-372E768E40C6}">
      <text>
        <r>
          <rPr>
            <sz val="9"/>
            <color indexed="81"/>
            <rFont val="Segoe UI"/>
            <family val="2"/>
          </rPr>
          <t>1. Código
2. Descrição
3. Comando</t>
        </r>
      </text>
    </comment>
    <comment ref="E160" authorId="1" shapeId="0" xr:uid="{C6EA5C70-6E27-4C32-B1C2-241CAE9DA377}">
      <text>
        <r>
          <rPr>
            <sz val="9"/>
            <color indexed="81"/>
            <rFont val="Segoe UI"/>
            <family val="2"/>
          </rPr>
          <t xml:space="preserve">1 -  Exercício
</t>
        </r>
      </text>
    </comment>
    <comment ref="D161" authorId="1" shapeId="0" xr:uid="{FCDFB386-6CA7-464E-BB8D-2F490905087C}">
      <text>
        <r>
          <rPr>
            <sz val="9"/>
            <color indexed="81"/>
            <rFont val="Segoe UI"/>
            <family val="2"/>
          </rPr>
          <t>1 -Tipo, 
2 -Protocolo N°
3 -Interessado(a)
4 -Ano
5 -Nome
6 -Tamanho
7 -N° de Paginas
8 -Classificação
9 -Assunto
10-Data Upload
11-Situação
12-CMD
13-MSG</t>
        </r>
      </text>
    </comment>
    <comment ref="E161" authorId="1" shapeId="0" xr:uid="{1E45373B-23A5-468E-AC70-75B4911B7D1E}">
      <text>
        <r>
          <rPr>
            <sz val="9"/>
            <color indexed="81"/>
            <rFont val="Segoe UI"/>
            <family val="2"/>
          </rPr>
          <t>1 - Caixa
2 - Conjunto Documental da Demanda 
3 - Usuario
 4 - Demanda de Captura</t>
        </r>
      </text>
    </comment>
    <comment ref="D162" authorId="1" shapeId="0" xr:uid="{684B10CC-FEA3-4DD5-8BFB-DE4C6FE30F5B}">
      <text>
        <r>
          <rPr>
            <sz val="9"/>
            <color indexed="81"/>
            <rFont val="Segoe UI"/>
            <family val="2"/>
          </rPr>
          <t>1 -Caixa
2 -Protocolo N
3 -Ano
4 -Interessado
5 -Situação
6 -Data de Upload inicial
7 -Data de Upload final 
8 -Pasta Eletrônica
9 -Classificação
10-Total de Paginas
11-Paginas Pedentes
12-Status
13-Data do Documento inicial 
14-Data do Documento final
15-CMD
16-MSG</t>
        </r>
      </text>
    </comment>
    <comment ref="E162" authorId="1" shapeId="0" xr:uid="{411F1860-C5B2-4116-9CE9-C50D49BA2DDC}">
      <text>
        <r>
          <rPr>
            <sz val="9"/>
            <color indexed="81"/>
            <rFont val="Segoe UI"/>
            <family val="2"/>
          </rPr>
          <t>1 - Caixa
2 - Conjunto Documental da Demanda 
3 - Usuario
 4 - Demanda de Captura</t>
        </r>
      </text>
    </comment>
    <comment ref="D163" authorId="1" shapeId="0" xr:uid="{06F267A0-BE6E-4CFB-97BC-CB9225368408}">
      <text>
        <r>
          <rPr>
            <sz val="9"/>
            <color indexed="81"/>
            <rFont val="Segoe UI"/>
            <family val="2"/>
          </rPr>
          <t>1 -Tipo, 
2 -Protocolo N°
3 -Interessado(a)
4 -Ano
5 -Nome
6 -Tamanho
7 -N° de Paginas
8 -Classificação
9 -Assunto
10-Data Upload
11-Situação
12-CMD
13-MSG</t>
        </r>
      </text>
    </comment>
    <comment ref="E163" authorId="1" shapeId="0" xr:uid="{A4685E57-BD5B-45DF-BFD3-35AFF37F3723}">
      <text>
        <r>
          <rPr>
            <sz val="9"/>
            <color indexed="81"/>
            <rFont val="Segoe UI"/>
            <family val="2"/>
          </rPr>
          <t>1 - Caixa
2 - Conjunto Documental da Demanda 
3 - Usuario
 4 - Demanda de Captura</t>
        </r>
      </text>
    </comment>
    <comment ref="D164" authorId="1" shapeId="0" xr:uid="{F3E8B0E9-01D4-4B35-B7DC-092889C48BF3}">
      <text>
        <r>
          <rPr>
            <sz val="9"/>
            <color indexed="81"/>
            <rFont val="Segoe UI"/>
            <family val="2"/>
          </rPr>
          <t>1 -Nome do Arquivo
2 -Tipo/Formato
3 -Tamanho
4 -N° de Paginas
5 -Data de Criação
6 -Data de Alteração
7 -Caminho da Pasta de Origem
8 -Data de Upload
9 -Situação
10-CMD
11-MSG</t>
        </r>
      </text>
    </comment>
    <comment ref="E164" authorId="1" shapeId="0" xr:uid="{0D1B8027-162C-47D0-93D4-9139447FF785}">
      <text>
        <r>
          <rPr>
            <sz val="9"/>
            <color indexed="81"/>
            <rFont val="Segoe UI"/>
            <family val="2"/>
          </rPr>
          <t>1 - Caixa
2 - Conjunto Documental da Demanda 
3 - Usuario
4 - Arquivos da Demanda
5- Etiqueta da Demanda</t>
        </r>
      </text>
    </comment>
    <comment ref="D165" authorId="1" shapeId="0" xr:uid="{6EA07433-C5E6-41A1-9BBB-77E03607036A}">
      <text>
        <r>
          <rPr>
            <sz val="9"/>
            <color indexed="81"/>
            <rFont val="Segoe UI"/>
            <family val="2"/>
          </rPr>
          <t>1. Codigo
2. CMD
3. MSG</t>
        </r>
      </text>
    </comment>
    <comment ref="E165" authorId="1" shapeId="0" xr:uid="{BE80C7B9-4BB8-48BA-920F-E1BD86A85024}">
      <text>
        <r>
          <rPr>
            <sz val="9"/>
            <color indexed="81"/>
            <rFont val="Segoe UI"/>
            <family val="2"/>
          </rPr>
          <t>1 -Arquivos da Demanda</t>
        </r>
      </text>
    </comment>
    <comment ref="D166" authorId="1" shapeId="0" xr:uid="{E774E223-1459-493E-9A21-3BA65D0FC30C}">
      <text>
        <r>
          <rPr>
            <sz val="9"/>
            <color indexed="81"/>
            <rFont val="Segoe UI"/>
            <family val="2"/>
          </rPr>
          <t xml:space="preserve">1. Nome do documento
2. Situação
3. CMD
4. MSG
</t>
        </r>
      </text>
    </comment>
    <comment ref="E166" authorId="1" shapeId="0" xr:uid="{4B3DCDF8-D379-4463-A0E0-9D5B97152F84}">
      <text>
        <r>
          <rPr>
            <sz val="9"/>
            <color indexed="81"/>
            <rFont val="Segoe UI"/>
            <family val="2"/>
          </rPr>
          <t>1 -Arquivos da Demanda</t>
        </r>
      </text>
    </comment>
    <comment ref="D167" authorId="1" shapeId="0" xr:uid="{D116AB1D-4328-4A11-B2DE-A2D4E8B2CB63}">
      <text>
        <r>
          <rPr>
            <sz val="9"/>
            <color indexed="81"/>
            <rFont val="Segoe UI"/>
            <family val="2"/>
          </rPr>
          <t>1 -Nome do Arquivo
2 -Tipo/Formato
3 -Tamanho
4 -N° de Paginas
5 -Data de Criação
6 -Data de Alteração
7 -Caminho da Pasta de Origem
8 -Data de Upload
9 -Situação
10-CMD
11-MSG</t>
        </r>
      </text>
    </comment>
    <comment ref="E167" authorId="1" shapeId="0" xr:uid="{877DCCA8-470A-46B0-BC08-34F0BDC53901}">
      <text>
        <r>
          <rPr>
            <sz val="9"/>
            <color indexed="81"/>
            <rFont val="Segoe UI"/>
            <family val="2"/>
          </rPr>
          <t>1 - Caixa
2 - Conjunto Documental da Demanda 
3 - Usuario
4 - Arquivos da Demanda
5- Etiqueta da Demanda</t>
        </r>
      </text>
    </comment>
    <comment ref="D168" authorId="1" shapeId="0" xr:uid="{42E261B4-0900-4D58-8E7A-C17C5B427EBD}">
      <text>
        <r>
          <rPr>
            <sz val="9"/>
            <color indexed="81"/>
            <rFont val="Segoe UI"/>
            <family val="2"/>
          </rPr>
          <t>1 - Arquivo
2 - Hash
3 - Tamanho
4 - Cor
5 - Tipo
6 - Situação Demanda
7 - CMD
8 - MSG</t>
        </r>
      </text>
    </comment>
    <comment ref="E168" authorId="1" shapeId="0" xr:uid="{D0CA886E-B8A5-49EF-806C-9639A58ADCED}">
      <text>
        <r>
          <rPr>
            <sz val="9"/>
            <color indexed="81"/>
            <rFont val="Segoe UI"/>
            <family val="2"/>
          </rPr>
          <t>1 -Arquivos da Demanda
2 - Demanda de Captura</t>
        </r>
      </text>
    </comment>
    <comment ref="D169" authorId="1" shapeId="0" xr:uid="{14F1A994-6A67-49A7-8246-E383F0AA7C76}">
      <text>
        <r>
          <rPr>
            <sz val="9"/>
            <color indexed="81"/>
            <rFont val="Segoe UI"/>
            <family val="2"/>
          </rPr>
          <t>1 - Arquivo
2 - CMD
3 - MSG</t>
        </r>
      </text>
    </comment>
    <comment ref="E169" authorId="1" shapeId="0" xr:uid="{E397773A-356F-478F-81C9-A09C102590E6}">
      <text>
        <r>
          <rPr>
            <sz val="9"/>
            <color indexed="81"/>
            <rFont val="Segoe UI"/>
            <family val="2"/>
          </rPr>
          <t>1 -Arquivos da Demanda</t>
        </r>
      </text>
    </comment>
    <comment ref="D170" authorId="1" shapeId="0" xr:uid="{2DD376BB-CC69-4C3A-B152-24DE7CBBFF56}">
      <text>
        <r>
          <rPr>
            <sz val="9"/>
            <color indexed="81"/>
            <rFont val="Segoe UI"/>
            <family val="2"/>
          </rPr>
          <t xml:space="preserve">1. Arquivo
2. Conjunto documental/Caixa
3. CMD
4. MSG
</t>
        </r>
      </text>
    </comment>
    <comment ref="E170" authorId="1" shapeId="0" xr:uid="{E2276C89-2EC5-443B-9240-562127F0AB60}">
      <text>
        <r>
          <rPr>
            <sz val="9"/>
            <color indexed="81"/>
            <rFont val="Segoe UI"/>
            <family val="2"/>
          </rPr>
          <t xml:space="preserve">1 - Caixa
2 - Conjunto Documental da Demanda 
3 - Arquivos da Demanda
</t>
        </r>
      </text>
    </comment>
    <comment ref="D171" authorId="1" shapeId="0" xr:uid="{0E79D5A3-4000-48FE-AAE0-9FC88860E5A3}">
      <text>
        <r>
          <rPr>
            <sz val="9"/>
            <color indexed="81"/>
            <rFont val="Segoe UI"/>
            <family val="2"/>
          </rPr>
          <t xml:space="preserve">1. Arquivo
2. Responsável
3. CMD
4. MSG
</t>
        </r>
      </text>
    </comment>
    <comment ref="E171" authorId="1" shapeId="0" xr:uid="{E26EFD53-8AB8-438B-ABA7-CEB3C815421C}">
      <text>
        <r>
          <rPr>
            <sz val="9"/>
            <color indexed="81"/>
            <rFont val="Segoe UI"/>
            <family val="2"/>
          </rPr>
          <t xml:space="preserve">1 - Servidor
2 - Conjunto Documental da Demanda 
3 - Arquivos da Demanda
</t>
        </r>
      </text>
    </comment>
    <comment ref="D172" authorId="1" shapeId="0" xr:uid="{2B9A0209-2381-432B-8934-885DA10EA896}">
      <text>
        <r>
          <rPr>
            <sz val="9"/>
            <color indexed="81"/>
            <rFont val="Segoe UI"/>
            <family val="2"/>
          </rPr>
          <t xml:space="preserve">1 - Arquivo
2 - Caixa 
3 - Deposito fisico
4 - Sala do deposito
5 - Fileira da sala
6 - Divisoria
7 - CMD
8 - MSG
</t>
        </r>
      </text>
    </comment>
    <comment ref="E172" authorId="1" shapeId="0" xr:uid="{3A478FD4-32E7-4E3B-B61A-CFD34F40C35F}">
      <text>
        <r>
          <rPr>
            <sz val="9"/>
            <color indexed="81"/>
            <rFont val="Segoe UI"/>
            <family val="2"/>
          </rPr>
          <t xml:space="preserve">1 - Caixa
2 - Conjunto Documental da Demanda 
3 - Arquivos da Demanda
4 - Depósito Físico
</t>
        </r>
      </text>
    </comment>
    <comment ref="D173" authorId="1" shapeId="0" xr:uid="{8CA43584-DA5E-4CA8-A115-854A89042460}">
      <text>
        <r>
          <rPr>
            <sz val="9"/>
            <color indexed="81"/>
            <rFont val="Segoe UI"/>
            <family val="2"/>
          </rPr>
          <t xml:space="preserve">1 - Arquivo
2 - Caixa 
3 - Deposito fisico
4 - Sala do deposito
5 - Fileira da sala
6 - Divisoria
7 - CMD
8 - MSG
</t>
        </r>
      </text>
    </comment>
    <comment ref="E173" authorId="1" shapeId="0" xr:uid="{1497C760-299C-4FE7-863D-558DAA5633DD}">
      <text>
        <r>
          <rPr>
            <sz val="9"/>
            <color indexed="81"/>
            <rFont val="Segoe UI"/>
            <family val="2"/>
          </rPr>
          <t xml:space="preserve">1 - Caixa
2 - Conjunto Documental da Demanda 
3 - Arquivos da Demanda
4 - Depósito Físico
</t>
        </r>
      </text>
    </comment>
    <comment ref="D174" authorId="1" shapeId="0" xr:uid="{1964593F-CDA0-470D-8BB2-0B8F443D0C78}">
      <text>
        <r>
          <rPr>
            <sz val="9"/>
            <color indexed="81"/>
            <rFont val="Segoe UI"/>
            <family val="2"/>
          </rPr>
          <t xml:space="preserve">1 - Arquivo
2 - Caixa 
3 - Deposito fisico
4 - Sala do deposito
5 - Fileira da sala
6 - Divisoria
</t>
        </r>
      </text>
    </comment>
    <comment ref="E174" authorId="1" shapeId="0" xr:uid="{D828D67E-AE51-41F6-A2F7-8EECF9CAE066}">
      <text>
        <r>
          <rPr>
            <sz val="9"/>
            <color indexed="81"/>
            <rFont val="Segoe UI"/>
            <family val="2"/>
          </rPr>
          <t xml:space="preserve">1 - Caixa
2 - Conjunto Documental da Demanda 
3 - Arquivos da Demanda
</t>
        </r>
      </text>
    </comment>
    <comment ref="D177" authorId="1" shapeId="0" xr:uid="{421A2597-EC83-4C15-BB36-58196D1A49BE}">
      <text>
        <r>
          <rPr>
            <sz val="9"/>
            <color indexed="81"/>
            <rFont val="Segoe UI"/>
            <family val="2"/>
          </rPr>
          <t xml:space="preserve">1. Cod demanda 
2. Descrição
3. Situacao demanda 
4. Data inicio 
5.Previsão de termino 
6. Protocolo 
7. Codigo de barras
8. Nome do Arquivo
9. Condição
10. CMD
11. MSG
</t>
        </r>
      </text>
    </comment>
    <comment ref="E177" authorId="1" shapeId="0" xr:uid="{7F3A406D-B3BA-41D2-8DD7-AA00EBF8BB47}">
      <text>
        <r>
          <rPr>
            <sz val="9"/>
            <color indexed="81"/>
            <rFont val="Segoe UI"/>
            <family val="2"/>
          </rPr>
          <t>1 - Arquivos demanda
2 - Demanda de Captura</t>
        </r>
      </text>
    </comment>
    <comment ref="D178" authorId="1" shapeId="0" xr:uid="{951DEDFB-3FAD-4A8E-A1E7-F115A2696277}">
      <text>
        <r>
          <rPr>
            <sz val="9"/>
            <color indexed="81"/>
            <rFont val="Segoe UI"/>
            <family val="2"/>
          </rPr>
          <t>1. Codigo
2. CMD
3. MSG</t>
        </r>
      </text>
    </comment>
    <comment ref="E178" authorId="1" shapeId="0" xr:uid="{59EC8CA1-B681-4DDB-99B4-6E007409AD83}">
      <text>
        <r>
          <rPr>
            <sz val="9"/>
            <color indexed="81"/>
            <rFont val="Segoe UI"/>
            <family val="2"/>
          </rPr>
          <t>1 -Arquivos da Demanda</t>
        </r>
      </text>
    </comment>
    <comment ref="D181" authorId="1" shapeId="0" xr:uid="{06D386C9-A83F-4CD4-AB5B-E89B67CFC0ED}">
      <text>
        <r>
          <rPr>
            <sz val="9"/>
            <color indexed="81"/>
            <rFont val="Segoe UI"/>
            <family val="2"/>
          </rPr>
          <t xml:space="preserve">1 -Identificado a Etiqueta do Documento
2 -Protocolo Nº
3 -Código de Barras
4 -Assunto
5 -Data
6 -Ano
7 -Interessado
8 -Volume
9 -caixa
10-Classificação Documental
11-Condição
12-Caixa
13-Órgão/Entidade
14-Setor/Unidade
15-Situacao  da Etapa
16-Ultima Alteração;
17-Usuário de Alteração
18-Prazo de Guarda no Arquivo Intermediário
19-Destinação
20-Data Início da Guarda
21-CMD
22-MSG
</t>
        </r>
      </text>
    </comment>
    <comment ref="E181" authorId="1" shapeId="0" xr:uid="{F4E6E4EB-8540-472C-B9EF-B8B439F9AB3B}">
      <text>
        <r>
          <rPr>
            <sz val="9"/>
            <color indexed="81"/>
            <rFont val="Segoe UI"/>
            <family val="2"/>
          </rPr>
          <t>1 - Caixa
2 - Conjunto Documental da Demanda 
3 - Usuario
4 - Arquivos da Demanda
5- Etiqueta da Demanda
6-Exercicio</t>
        </r>
      </text>
    </comment>
    <comment ref="D182" authorId="1" shapeId="0" xr:uid="{1005EBE6-D82A-49FC-9C3C-98BFD3C1FF2C}">
      <text>
        <r>
          <rPr>
            <sz val="9"/>
            <color indexed="81"/>
            <rFont val="Segoe UI"/>
            <family val="2"/>
          </rPr>
          <t xml:space="preserve">1 -Identificado a Etiqueta do Documento
2 -Protocolo Nº
3 -Código de Barras
4 -Assunto
5 -Data
6 -Ano
7 -Interessado
8 -Volume
9 -caixa
10-Classificação Documental
11-Condição
12-Caixa
13-Órgão/Entidade
14-Setor/Unidade
15-Situacao  da Etapa
16-Ultima Alteração
17-Usuário de Alteração
18-Prazo de Guarda no Arquivo Intermediário
19-Destinação
20-Data Início da Guarda
21-CMD
22-MSG
</t>
        </r>
      </text>
    </comment>
    <comment ref="E182" authorId="1" shapeId="0" xr:uid="{B6CBFF11-5187-4F79-BC94-3ADBED70C513}">
      <text>
        <r>
          <rPr>
            <sz val="9"/>
            <color indexed="81"/>
            <rFont val="Segoe UI"/>
            <family val="2"/>
          </rPr>
          <t>1 - Caixa
2 - Conjunto Documental da Demanda 
3 - Usuario
4 - Arquivos da Demanda
5- Etiqueta da Demanda
6-Exercicio</t>
        </r>
      </text>
    </comment>
    <comment ref="D183" authorId="1" shapeId="0" xr:uid="{A9EA111A-1882-4868-A0E5-BAC197341533}">
      <text>
        <r>
          <rPr>
            <sz val="9"/>
            <color indexed="81"/>
            <rFont val="Segoe UI"/>
            <family val="2"/>
          </rPr>
          <t xml:space="preserve">1 -Identificado a Etiqueta do Documento
2 -Protocolo Nº
3 -Código de Barras
4 -Assunto
5 -Data
6 -Ano
7 -Interessado
8 -Volume
9 -caixa
10-Classificação Documental
11-Condição
12-Caixa
13-Órgão/Entidade
14-Setor/Unidade
15-Situacao  da Etapa
16-Ultima Alteração
17-Usuário de Alteração
18-Prazo de Guarda no Arquivo Intermediário
19-Destinação
20-Data Início da Guarda
21-CMD
22-MSG
</t>
        </r>
      </text>
    </comment>
    <comment ref="E183" authorId="1" shapeId="0" xr:uid="{987B9C80-3925-4489-AF1A-B966BC3943AC}">
      <text>
        <r>
          <rPr>
            <sz val="9"/>
            <color indexed="81"/>
            <rFont val="Segoe UI"/>
            <family val="2"/>
          </rPr>
          <t>1 - Caixa
2 - Conjunto Documental da Demanda 
3 - Usuario
4 - Arquivos da Demanda
5- Etiqueta da Demanda
6-Exercicio</t>
        </r>
      </text>
    </comment>
    <comment ref="D184" authorId="1" shapeId="0" xr:uid="{11D3E857-B860-484A-8A09-924494F450D9}">
      <text>
        <r>
          <rPr>
            <sz val="9"/>
            <color indexed="81"/>
            <rFont val="Segoe UI"/>
            <family val="2"/>
          </rPr>
          <t>1 -Identificado a Etiqueta do Documento
2 -Protocolo Nº
3 -Código de Barras
4 -Assunto
5 -Data
6 -Ano
7 -Interessado
8 -Volume
9 -caixa
10-Classificação Documental
11-Condição
12-Caixa
13-Órgão/Entidade
14-Setor/Unidade
15-Situacao  da Etapa
16-Ultima Alteração
17-Usuário de Alteração
18-Prazo de Guarda no Arquivo Intermediário
19-Destinação
20-Data Início da Guard</t>
        </r>
      </text>
    </comment>
    <comment ref="E184" authorId="1" shapeId="0" xr:uid="{BC7080D9-E17C-49FE-8FC3-98923C823216}">
      <text>
        <r>
          <rPr>
            <sz val="9"/>
            <color indexed="81"/>
            <rFont val="Segoe UI"/>
            <family val="2"/>
          </rPr>
          <t>1 - Caixa
2 - Conjunto Documental da Demanda 
3 - Usuario
4 - Arquivos da Demanda
5- Etiqueta da Demanda
6-Exercicio</t>
        </r>
      </text>
    </comment>
    <comment ref="D185" authorId="1" shapeId="0" xr:uid="{53B8FF87-694E-42A5-8F01-B4E59A00CF90}">
      <text>
        <r>
          <rPr>
            <sz val="9"/>
            <color indexed="81"/>
            <rFont val="Segoe UI"/>
            <family val="2"/>
          </rPr>
          <t>1. Código
2. Situacao
3. CMD
4. MSG</t>
        </r>
      </text>
    </comment>
    <comment ref="E185" authorId="1" shapeId="0" xr:uid="{63DE742F-84E9-49B4-8308-6F9F9EDC1532}">
      <text>
        <r>
          <rPr>
            <sz val="9"/>
            <color indexed="81"/>
            <rFont val="Segoe UI"/>
            <family val="2"/>
          </rPr>
          <t>1 -Arquivos da Demanda</t>
        </r>
      </text>
    </comment>
    <comment ref="D188" authorId="1" shapeId="0" xr:uid="{FCA41B12-B887-42A5-966C-9691059D5475}">
      <text>
        <r>
          <rPr>
            <sz val="9"/>
            <color indexed="81"/>
            <rFont val="Segoe UI"/>
            <family val="2"/>
          </rPr>
          <t xml:space="preserve">1 - Código
2 - A imagem digitalizada está legível
3 - Obs
4 - A imagem manteve a fidelidade do documento original
5 - Obs
6 - A quantidade de páginas digitalizadas confere com o documento original
7 - Obs
8 - Os parâmetros técnicos mínimos para digitalização foram respeitados
9 - Obs
10 - Observações Gerais
11 - CMD
12 - MSG
</t>
        </r>
      </text>
    </comment>
    <comment ref="E188" authorId="1" shapeId="0" xr:uid="{308E318F-DAFC-40A0-98A1-6A33BC364B73}">
      <text>
        <r>
          <rPr>
            <sz val="9"/>
            <color indexed="81"/>
            <rFont val="Segoe UI"/>
            <family val="2"/>
          </rPr>
          <t xml:space="preserve">1 -Arquivos da Demanda
2-Usuario
</t>
        </r>
      </text>
    </comment>
    <comment ref="D189" authorId="1" shapeId="0" xr:uid="{3D402F50-7E2E-4940-9997-96BB8886BEA4}">
      <text>
        <r>
          <rPr>
            <sz val="9"/>
            <color indexed="81"/>
            <rFont val="Segoe UI"/>
            <family val="2"/>
          </rPr>
          <t xml:space="preserve">1 - Código
2 - A imagem digitalizada está legível
3 - Obs
4 - A imagem manteve a fidelidade do documento original
5 - Obs
6 - A quantidade de páginas digitalizadas confere com o documento original
7 - Obs
8 - Os parâmetros técnicos mínimos para digitalização foram respeitados
9 - Obs
10 - Observações Gerais
11 - CMD
12 - MSG
</t>
        </r>
      </text>
    </comment>
    <comment ref="E189" authorId="1" shapeId="0" xr:uid="{FF15A431-02DF-4D3D-8FF8-3B9CB0E0C12E}">
      <text>
        <r>
          <rPr>
            <sz val="9"/>
            <color indexed="81"/>
            <rFont val="Segoe UI"/>
            <family val="2"/>
          </rPr>
          <t xml:space="preserve">1 -Arquivos da Demanda
2-Usuario
</t>
        </r>
      </text>
    </comment>
    <comment ref="D190" authorId="1" shapeId="0" xr:uid="{225A2F2B-04CD-4868-9AF1-76429DA194C2}">
      <text>
        <r>
          <rPr>
            <sz val="9"/>
            <color indexed="81"/>
            <rFont val="Segoe UI"/>
            <family val="2"/>
          </rPr>
          <t xml:space="preserve">1 - Código
2 - A imagem digitalizada está legível
3 - Obs
4 - A imagem manteve a fidelidade do documento original
5 - Obs
6 - A quantidade de páginas digitalizadas confere com o documento original
7 - Obs
8 - Os parâmetros técnicos mínimos para digitalização foram respeitados
9 - Obs
10 - Observações Gerais
11 - Situação da Etapa 02
12 - Ultima Alteração
13 - Usuário de Alteração
</t>
        </r>
      </text>
    </comment>
    <comment ref="E190" authorId="1" shapeId="0" xr:uid="{F324CDB5-CC8B-46FD-B680-ECF32F175F00}">
      <text>
        <r>
          <rPr>
            <sz val="9"/>
            <color indexed="81"/>
            <rFont val="Segoe UI"/>
            <family val="2"/>
          </rPr>
          <t xml:space="preserve">1 -Arquivos da Demanda
2-Usuario
</t>
        </r>
      </text>
    </comment>
    <comment ref="D191" authorId="1" shapeId="0" xr:uid="{68AF996D-16B2-4260-9C56-015CB99DFADA}">
      <text>
        <r>
          <rPr>
            <sz val="9"/>
            <color indexed="81"/>
            <rFont val="Segoe UI"/>
            <family val="2"/>
          </rPr>
          <t xml:space="preserve">1 - Código
2 - A imagem digitalizada está legível
3 - Obs
4 - A imagem manteve a fidelidade do documento original
5 - Obs
6 - A quantidade de páginas digitalizadas confere com o documento original
7 - Obs
8 - Os parâmetros técnicos mínimos para digitalização foram respeitados
9 - Obs
10 - Observações Gerais
11 - Situação da Etapa 02
12 - Ultima Alteração
13 - Usuário de Alteração
14 - CMD
15 - MSG
</t>
        </r>
      </text>
    </comment>
    <comment ref="E191" authorId="1" shapeId="0" xr:uid="{09A38E06-5C5F-4862-8A19-5FD343577208}">
      <text>
        <r>
          <rPr>
            <sz val="9"/>
            <color indexed="81"/>
            <rFont val="Segoe UI"/>
            <family val="2"/>
          </rPr>
          <t xml:space="preserve">1 -Arquivos da Demanda
2-Usuario
</t>
        </r>
      </text>
    </comment>
    <comment ref="D192" authorId="1" shapeId="0" xr:uid="{52792A92-BF04-4EEA-A1B3-ADC7D6AF6E5C}">
      <text>
        <r>
          <rPr>
            <sz val="9"/>
            <color indexed="81"/>
            <rFont val="Segoe UI"/>
            <family val="2"/>
          </rPr>
          <t>1. Código
2. Situacao
3. CMD
4. MSG</t>
        </r>
      </text>
    </comment>
    <comment ref="E192" authorId="1" shapeId="0" xr:uid="{B39C583D-EE2D-43AA-B6A7-6954314E585B}">
      <text>
        <r>
          <rPr>
            <sz val="9"/>
            <color indexed="81"/>
            <rFont val="Segoe UI"/>
            <family val="2"/>
          </rPr>
          <t>1 -Arquivos da Demanda</t>
        </r>
      </text>
    </comment>
    <comment ref="D193" authorId="1" shapeId="0" xr:uid="{52EC5009-7470-4C92-B8AC-04AAE260405F}">
      <text>
        <r>
          <rPr>
            <sz val="9"/>
            <color indexed="81"/>
            <rFont val="Segoe UI"/>
            <family val="2"/>
          </rPr>
          <t>1. Aprovado
2. Data Conferencia
3. Usuario
4.CMD</t>
        </r>
      </text>
    </comment>
    <comment ref="E193" authorId="1" shapeId="0" xr:uid="{AECDD692-5E2D-480E-A845-9391559554C7}">
      <text>
        <r>
          <rPr>
            <sz val="9"/>
            <color indexed="81"/>
            <rFont val="Segoe UI"/>
            <family val="2"/>
          </rPr>
          <t xml:space="preserve">1 -Arquivos da Demanda
2-Usuario
</t>
        </r>
      </text>
    </comment>
    <comment ref="D196" authorId="1" shapeId="0" xr:uid="{C2FCDABC-1665-494F-89D3-6C6D01D2D12E}">
      <text>
        <r>
          <rPr>
            <sz val="9"/>
            <color indexed="81"/>
            <rFont val="Segoe UI"/>
            <family val="2"/>
          </rPr>
          <t>1-Código Verificador
2-Código CRC
3-Captcha
4-Nome
5- Data 
6-CMD
7-MSG</t>
        </r>
      </text>
    </comment>
    <comment ref="E196" authorId="1" shapeId="0" xr:uid="{FEB1D4B7-9173-4797-8DBE-DDDA1B564750}">
      <text>
        <r>
          <rPr>
            <sz val="9"/>
            <color indexed="81"/>
            <rFont val="Segoe UI"/>
            <family val="2"/>
          </rPr>
          <t>1 -Arquivos da Demanda</t>
        </r>
      </text>
    </comment>
    <comment ref="D199" authorId="1" shapeId="0" xr:uid="{FEB2F73E-E5E3-4FCC-A18B-6603BFC59294}">
      <text>
        <r>
          <rPr>
            <sz val="9"/>
            <color indexed="81"/>
            <rFont val="Segoe UI"/>
            <family val="2"/>
          </rPr>
          <t>1. Código
2. Nome
3. Data
4. Codigo CRC
5. Codigo Verificador
6. Rodapé páginas documento
7. CMD
8. MSG</t>
        </r>
      </text>
    </comment>
    <comment ref="E199" authorId="1" shapeId="0" xr:uid="{0B018CB8-B897-432C-9111-A1667E168279}">
      <text>
        <r>
          <rPr>
            <sz val="9"/>
            <color indexed="81"/>
            <rFont val="Segoe UI"/>
            <family val="2"/>
          </rPr>
          <t>1 -Arquivos da Demanda
2- Usuario</t>
        </r>
      </text>
    </comment>
    <comment ref="D200" authorId="1" shapeId="0" xr:uid="{6B731426-E3A7-491D-ADC8-39FA2AA77FEE}">
      <text>
        <r>
          <rPr>
            <sz val="9"/>
            <color indexed="81"/>
            <rFont val="Segoe UI"/>
            <family val="2"/>
          </rPr>
          <t>1. Código
2. Nome 
3. Data
4. Codigo CRC
5. Codigo Verificador
6. Link
7. CMD
8. MSG</t>
        </r>
      </text>
    </comment>
    <comment ref="E200" authorId="1" shapeId="0" xr:uid="{7664A66F-3C30-4E7C-93B6-58BA07373215}">
      <text>
        <r>
          <rPr>
            <sz val="9"/>
            <color indexed="81"/>
            <rFont val="Segoe UI"/>
            <family val="2"/>
          </rPr>
          <t>1 -Arquivos da Demanda
2- Usuario</t>
        </r>
      </text>
    </comment>
    <comment ref="D203" authorId="1" shapeId="0" xr:uid="{10C51D3A-18FD-43D4-8ABC-C3636DD5E110}">
      <text>
        <r>
          <rPr>
            <sz val="9"/>
            <color indexed="81"/>
            <rFont val="Segoe UI"/>
            <family val="2"/>
          </rPr>
          <t xml:space="preserve">1 - Código
2 - Documento
3 - Volume
4 - Data do cadastro
5 - Usuario
6 - Ultima Alteração
7 - Usuario alteração
</t>
        </r>
      </text>
    </comment>
    <comment ref="E203" authorId="1" shapeId="0" xr:uid="{1038CA50-D051-4D2C-AD34-30CAF338628C}">
      <text>
        <r>
          <rPr>
            <sz val="9"/>
            <color indexed="81"/>
            <rFont val="Segoe UI"/>
            <family val="2"/>
          </rPr>
          <t>1 - Volume</t>
        </r>
      </text>
    </comment>
    <comment ref="D204" authorId="1" shapeId="0" xr:uid="{5FC927EB-0E91-4740-AB00-AE7BA7171F3D}">
      <text>
        <r>
          <rPr>
            <sz val="9"/>
            <color indexed="81"/>
            <rFont val="Segoe UI"/>
            <family val="2"/>
          </rPr>
          <t xml:space="preserve">1 - Código
2 - Documento
3 - Volume
4 - Data do cadastro
5 - Usuario
6 - Ultima Alteração
7 - Usuario alteração
8 - CMD 
9 - MSG
</t>
        </r>
      </text>
    </comment>
    <comment ref="E204" authorId="1" shapeId="0" xr:uid="{378DFB59-E6D8-4630-B9D8-4E8FC6611BA4}">
      <text>
        <r>
          <rPr>
            <sz val="9"/>
            <color indexed="81"/>
            <rFont val="Segoe UI"/>
            <family val="2"/>
          </rPr>
          <t>1 -Arquivos da Demanda
2 - Usuario
3 - Volume</t>
        </r>
      </text>
    </comment>
    <comment ref="D205" authorId="1" shapeId="0" xr:uid="{7673E357-A3B6-480A-B4CE-DCB313404738}">
      <text>
        <r>
          <rPr>
            <sz val="9"/>
            <color indexed="81"/>
            <rFont val="Segoe UI"/>
            <family val="2"/>
          </rPr>
          <t xml:space="preserve">1 - Código
2 - Documento
3 - Volume
4 - Data do cadastro
5 - Usuario
6 - Ultima Alteração
7 - Usuario alteração
8 - CMD 
9 - MSG
</t>
        </r>
      </text>
    </comment>
    <comment ref="E205" authorId="1" shapeId="0" xr:uid="{96935E64-D261-4C55-B270-B380F43EA1A9}">
      <text>
        <r>
          <rPr>
            <sz val="9"/>
            <color indexed="81"/>
            <rFont val="Segoe UI"/>
            <family val="2"/>
          </rPr>
          <t>1 -Arquivos da Demanda
2- Usuario
3 - Volume</t>
        </r>
      </text>
    </comment>
    <comment ref="D206" authorId="1" shapeId="0" xr:uid="{21842126-E9CA-4FB2-831E-A81DAC4F2C79}">
      <text>
        <r>
          <rPr>
            <sz val="9"/>
            <color indexed="81"/>
            <rFont val="Segoe UI"/>
            <family val="2"/>
          </rPr>
          <t>1. Codigo
2. CMD
3. MSG</t>
        </r>
      </text>
    </comment>
    <comment ref="E206" authorId="1" shapeId="0" xr:uid="{139BF7EF-E549-4D1B-8BA7-806D230B617A}">
      <text>
        <r>
          <rPr>
            <sz val="9"/>
            <color indexed="81"/>
            <rFont val="Segoe UI"/>
            <family val="2"/>
          </rPr>
          <t>1 - Volume</t>
        </r>
      </text>
    </comment>
    <comment ref="D207" authorId="1" shapeId="0" xr:uid="{926D0410-94B6-47C3-8BDD-76B139369087}">
      <text>
        <r>
          <rPr>
            <sz val="9"/>
            <color indexed="81"/>
            <rFont val="Segoe UI"/>
            <family val="2"/>
          </rPr>
          <t>1. ORdem
2. CMD
3. MSG</t>
        </r>
      </text>
    </comment>
    <comment ref="E207" authorId="1" shapeId="0" xr:uid="{F79CA05E-93B8-48FF-BB08-108CC1211B0B}">
      <text>
        <r>
          <rPr>
            <sz val="9"/>
            <color indexed="81"/>
            <rFont val="Segoe UI"/>
            <family val="2"/>
          </rPr>
          <t>1 - Volume</t>
        </r>
      </text>
    </comment>
    <comment ref="D208" authorId="1" shapeId="0" xr:uid="{898F583E-4376-4FE7-A2E6-532103D8E2D7}">
      <text>
        <r>
          <rPr>
            <sz val="9"/>
            <color indexed="81"/>
            <rFont val="Segoe UI"/>
            <family val="2"/>
          </rPr>
          <t xml:space="preserve">1 - Código
2 - Protocolo
3 - Hash
4 - Interessado
5 - Situação 
6 - Data ini
7 - Data fim 
8 - Data upload ini
9 - Data upload Fim
10 - Resp Captura
11 - Resp Digitalização
12 - Tipo
13 - Volume
14 - Arquivo
15 - Tamanho
16 - Numero de paginas
17 - Classificação
18 - Assunto
19 - CMD
20 - MSG
</t>
        </r>
      </text>
    </comment>
    <comment ref="E208" authorId="1" shapeId="0" xr:uid="{4B88D077-B2A9-486F-B183-79ABB04120E2}">
      <text>
        <r>
          <rPr>
            <sz val="9"/>
            <color indexed="81"/>
            <rFont val="Segoe UI"/>
            <family val="2"/>
          </rPr>
          <t>1 - Arquivos da Demanda
2 - Usuario
3 - Volume</t>
        </r>
      </text>
    </comment>
    <comment ref="D209" authorId="1" shapeId="0" xr:uid="{D39E81BE-3B90-4619-83EB-A29AF1F175CE}">
      <text>
        <r>
          <rPr>
            <sz val="9"/>
            <color indexed="81"/>
            <rFont val="Segoe UI"/>
            <family val="2"/>
          </rPr>
          <t>1. Código
2. Descrição
3. Comando</t>
        </r>
      </text>
    </comment>
    <comment ref="E209" authorId="1" shapeId="0" xr:uid="{4A73C779-D706-4FAA-BE9E-DEA4463D0725}">
      <text>
        <r>
          <rPr>
            <sz val="9"/>
            <color indexed="81"/>
            <rFont val="Segoe UI"/>
            <family val="2"/>
          </rPr>
          <t xml:space="preserve">1 -  Arquivo da Demanda
</t>
        </r>
      </text>
    </comment>
    <comment ref="D212" authorId="1" shapeId="0" xr:uid="{8E10560D-571D-4003-B286-C2CDCD778760}">
      <text>
        <r>
          <rPr>
            <sz val="9"/>
            <color indexed="81"/>
            <rFont val="Segoe UI"/>
            <family val="2"/>
          </rPr>
          <t xml:space="preserve">1 - Código
2 - Orgão 
3 - Setor
4 - Caixa
5 - Classificação documental
6 - Responsável 
7 - Arquivo
8 - CMD
9 - MSG
</t>
        </r>
      </text>
    </comment>
    <comment ref="E212" authorId="1" shapeId="0" xr:uid="{19C4DE15-AA1B-4559-8808-AC13A85C0D1D}">
      <text>
        <r>
          <rPr>
            <sz val="9"/>
            <color indexed="81"/>
            <rFont val="Segoe UI"/>
            <family val="2"/>
          </rPr>
          <t xml:space="preserve">1 - Caixa
2 - Conjunto Documental da Demanda 
3 - Usuario
4 - Arquivos da Demanda
5 -  Orgão
6 - Setor </t>
        </r>
      </text>
    </comment>
    <comment ref="D213" authorId="1" shapeId="0" xr:uid="{7C32CD7A-F4E1-46E0-B9AB-97776CB4F7BA}">
      <text>
        <r>
          <rPr>
            <sz val="9"/>
            <color indexed="81"/>
            <rFont val="Segoe UI"/>
            <family val="2"/>
          </rPr>
          <t>1. Código
2. Nome
3. CMD</t>
        </r>
      </text>
    </comment>
    <comment ref="E213" authorId="1" shapeId="0" xr:uid="{FE16730F-7C86-4873-B9CD-5C0FC98916F2}">
      <text>
        <r>
          <rPr>
            <sz val="9"/>
            <color indexed="81"/>
            <rFont val="Segoe UI"/>
            <family val="2"/>
          </rPr>
          <t>1 - Servidor</t>
        </r>
      </text>
    </comment>
    <comment ref="D214" authorId="1" shapeId="0" xr:uid="{6F531F33-E0B6-4AE9-A5E5-1E4CD6FE93A9}">
      <text>
        <r>
          <rPr>
            <sz val="9"/>
            <color indexed="81"/>
            <rFont val="Segoe UI"/>
            <family val="2"/>
          </rPr>
          <t>1-ID SIGED 
2-Caixa
3-Protocolo
4-HASH
5-Interessado
6-Data do documento
7-Resp Captura
8-Resp Digitalização
9-ANO
10-Situação
11-Data upload ini
12-Data upload Fim
13-Arquivo
14-Volume
15-Tamanho
16-Numero de paginas
17-Classificação
18-Prazo de Guarda no Arquivo Intermediário
19-Destinação
20-Data Início da Guarda
21-CMD
22-MSG</t>
        </r>
      </text>
    </comment>
    <comment ref="E214" authorId="1" shapeId="0" xr:uid="{F79DA4FE-0588-4D96-9E1B-9A120F916B3C}">
      <text>
        <r>
          <rPr>
            <sz val="9"/>
            <color indexed="81"/>
            <rFont val="Segoe UI"/>
            <family val="2"/>
          </rPr>
          <t xml:space="preserve">1 - Caixa
2 - Conjunto Documental da Demanda 
3 - Usuario
4 - Arquivos da Demanda
5-  Volume
</t>
        </r>
      </text>
    </comment>
    <comment ref="D215" authorId="1" shapeId="0" xr:uid="{BA91E313-6F95-459F-B307-E593D83EB2C1}">
      <text>
        <r>
          <rPr>
            <sz val="9"/>
            <color indexed="81"/>
            <rFont val="Segoe UI"/>
            <family val="2"/>
          </rPr>
          <t>1-ID SIGED 
2-Caixa
3-Protocolo
4-HASH
5-Interessado
6-Data do documento
7-Resp Captura
8-Resp Digitalização
9-ANO
10-Situação
11-Data upload ini
12-Data upload Fim
13-Arquivo
14-Volume
15-Tamanho
16-Numero de paginas
17-Classificação
18-Prazo de Guarda no Arquivo Intermediário
19-Destinação
20-Data Início da Guarda
21-CMD
22-MSG</t>
        </r>
      </text>
    </comment>
    <comment ref="E215" authorId="1" shapeId="0" xr:uid="{B90BFB1E-67BB-4602-AE1E-25F6F80E23F6}">
      <text>
        <r>
          <rPr>
            <sz val="9"/>
            <color indexed="81"/>
            <rFont val="Segoe UI"/>
            <family val="2"/>
          </rPr>
          <t xml:space="preserve">1 - Caixa
2 - Conjunto Documental da Demanda 
3 - Usuario
4 - Arquivos da Demanda
5-  Volume
</t>
        </r>
      </text>
    </comment>
    <comment ref="D216" authorId="1" shapeId="0" xr:uid="{C32C6B3F-BCE7-4FD8-8CA7-B014BB3D576E}">
      <text>
        <r>
          <rPr>
            <sz val="9"/>
            <color indexed="81"/>
            <rFont val="Segoe UI"/>
            <family val="2"/>
          </rPr>
          <t xml:space="preserve">1. Arquivo
2. Conjunto documental/Caixa
3. CMD
4. MSG
</t>
        </r>
      </text>
    </comment>
    <comment ref="E216" authorId="1" shapeId="0" xr:uid="{B7618B4F-70ED-4147-886B-AB5E5D36EFC0}">
      <text>
        <r>
          <rPr>
            <sz val="9"/>
            <color indexed="81"/>
            <rFont val="Segoe UI"/>
            <family val="2"/>
          </rPr>
          <t xml:space="preserve">1 - Caixa
2 - Conjunto Documental da Demanda 
3 - Arquivos da Demanda
</t>
        </r>
      </text>
    </comment>
    <comment ref="D217" authorId="1" shapeId="0" xr:uid="{F0B23921-61C5-4BE0-A5B5-61D4CB8856D5}">
      <text>
        <r>
          <rPr>
            <sz val="9"/>
            <color indexed="81"/>
            <rFont val="Segoe UI"/>
            <family val="2"/>
          </rPr>
          <t xml:space="preserve">1. Arquivo
2. Conjunto documental/Caixa
3. CMD
4. MSG
</t>
        </r>
      </text>
    </comment>
    <comment ref="E217" authorId="1" shapeId="0" xr:uid="{D7E32076-5995-4A25-A3E6-A17CEDD3BFB6}">
      <text>
        <r>
          <rPr>
            <sz val="9"/>
            <color indexed="81"/>
            <rFont val="Segoe UI"/>
            <family val="2"/>
          </rPr>
          <t xml:space="preserve">1 - Caixa
2 - Conjunto Documental da Demanda 
3 - Arquivos da Demanda
</t>
        </r>
      </text>
    </comment>
    <comment ref="D218" authorId="1" shapeId="0" xr:uid="{15223918-E5F5-4341-B04B-1096B4B8E012}">
      <text>
        <r>
          <rPr>
            <sz val="9"/>
            <color indexed="81"/>
            <rFont val="Segoe UI"/>
            <family val="2"/>
          </rPr>
          <t xml:space="preserve">1. Arquivo
2. Conjunto documental/Caixa
3. CMD
4. MSG
</t>
        </r>
      </text>
    </comment>
    <comment ref="E218" authorId="1" shapeId="0" xr:uid="{9FBD07D2-3638-4A8C-B882-AA5F317D41C6}">
      <text>
        <r>
          <rPr>
            <sz val="9"/>
            <color indexed="81"/>
            <rFont val="Segoe UI"/>
            <family val="2"/>
          </rPr>
          <t xml:space="preserve">1 - Caixa
2 - Conjunto Documental da Demanda 
3 - Arquivos da Demanda
</t>
        </r>
      </text>
    </comment>
    <comment ref="D219" authorId="1" shapeId="0" xr:uid="{DED3E2F8-EE24-4001-81BD-37802F6BCC1E}">
      <text>
        <r>
          <rPr>
            <sz val="9"/>
            <color indexed="81"/>
            <rFont val="Segoe UI"/>
            <family val="2"/>
          </rPr>
          <t xml:space="preserve">1. Arquivo
2. Responsável
3. CMD
4. MSG
</t>
        </r>
      </text>
    </comment>
    <comment ref="E219" authorId="1" shapeId="0" xr:uid="{8A60CB1B-E638-479B-8422-3D3EDB94A2BE}">
      <text>
        <r>
          <rPr>
            <sz val="9"/>
            <color indexed="81"/>
            <rFont val="Segoe UI"/>
            <family val="2"/>
          </rPr>
          <t xml:space="preserve">1 - Servidor
2 - Conjunto Documental da Demanda 
3 - Arquivos da Demanda
</t>
        </r>
      </text>
    </comment>
    <comment ref="D220" authorId="1" shapeId="0" xr:uid="{2F7B9BC2-4F3E-4570-BB68-03D01B68CFA8}">
      <text>
        <r>
          <rPr>
            <sz val="9"/>
            <color indexed="81"/>
            <rFont val="Segoe UI"/>
            <family val="2"/>
          </rPr>
          <t xml:space="preserve">1. Arquivo
2. Responsável
3. CMD
4. MSG
</t>
        </r>
      </text>
    </comment>
    <comment ref="E220" authorId="1" shapeId="0" xr:uid="{44692E86-B4F9-4304-9795-17DACB994989}">
      <text>
        <r>
          <rPr>
            <sz val="9"/>
            <color indexed="81"/>
            <rFont val="Segoe UI"/>
            <family val="2"/>
          </rPr>
          <t xml:space="preserve">1 - Servidor
2 - Conjunto Documental da Demanda 
3 - Arquivos da Demanda
</t>
        </r>
      </text>
    </comment>
    <comment ref="D221" authorId="1" shapeId="0" xr:uid="{18A1A758-97B0-4C99-B972-939E953372EB}">
      <text>
        <r>
          <rPr>
            <sz val="9"/>
            <color indexed="81"/>
            <rFont val="Segoe UI"/>
            <family val="2"/>
          </rPr>
          <t xml:space="preserve">1. Arquivo
2. Responsável
3. CMD
4. MSG
</t>
        </r>
      </text>
    </comment>
    <comment ref="E221" authorId="1" shapeId="0" xr:uid="{F4E4DC40-B4E2-4288-8A7B-61E62F272EB3}">
      <text>
        <r>
          <rPr>
            <sz val="9"/>
            <color indexed="81"/>
            <rFont val="Segoe UI"/>
            <family val="2"/>
          </rPr>
          <t xml:space="preserve">1 - Servidor
2 - Conjunto Documental da Demanda 
3 - Arquivos da Demanda
</t>
        </r>
      </text>
    </comment>
    <comment ref="D222" authorId="1" shapeId="0" xr:uid="{7E98A17B-56BE-4EBC-BC8E-57E24C0DFB56}">
      <text>
        <r>
          <rPr>
            <sz val="9"/>
            <color indexed="81"/>
            <rFont val="Segoe UI"/>
            <family val="2"/>
          </rPr>
          <t xml:space="preserve">1 - Arquivo
2 - Caixa 
3 - Deposito fisico
4 - Sala do deposito
5 - Fileira da sala
6 - Divisoria
7 - CMD
8 - MSG
</t>
        </r>
      </text>
    </comment>
    <comment ref="E222" authorId="1" shapeId="0" xr:uid="{DF9F6B99-36A4-40D9-B50D-FDDA08A5EC7C}">
      <text>
        <r>
          <rPr>
            <sz val="9"/>
            <color indexed="81"/>
            <rFont val="Segoe UI"/>
            <family val="2"/>
          </rPr>
          <t xml:space="preserve">1 - Caixa
2 - Conjunto Documental da Demanda 
3 - Arquivos da Demanda
</t>
        </r>
      </text>
    </comment>
    <comment ref="D223" authorId="1" shapeId="0" xr:uid="{3BAD2625-EC4B-477E-BA95-00C2E971957E}">
      <text>
        <r>
          <rPr>
            <sz val="9"/>
            <color indexed="81"/>
            <rFont val="Segoe UI"/>
            <family val="2"/>
          </rPr>
          <t>1 - Código
2 - Descrição
3 - CMD</t>
        </r>
      </text>
    </comment>
    <comment ref="E223" authorId="1" shapeId="0" xr:uid="{3B2D4DED-BEE4-4895-991B-C81BAB8ACB71}">
      <text>
        <r>
          <rPr>
            <sz val="9"/>
            <color indexed="81"/>
            <rFont val="Segoe UI"/>
            <family val="2"/>
          </rPr>
          <t>1 - Deposito Fisico</t>
        </r>
      </text>
    </comment>
    <comment ref="D224" authorId="1" shapeId="0" xr:uid="{D6AF4BE6-C320-4AC5-BC87-3ED99FAA3B2C}">
      <text>
        <r>
          <rPr>
            <sz val="9"/>
            <color indexed="81"/>
            <rFont val="Segoe UI"/>
            <family val="2"/>
          </rPr>
          <t>1 - Código
2 - Código pai
3 - Descrição
4 - CMD</t>
        </r>
      </text>
    </comment>
    <comment ref="E224" authorId="1" shapeId="0" xr:uid="{BE3A0E38-D782-4C8B-8889-E15A920C6D4C}">
      <text>
        <r>
          <rPr>
            <sz val="9"/>
            <color indexed="81"/>
            <rFont val="Segoe UI"/>
            <family val="2"/>
          </rPr>
          <t>1 - Deposito Fisico</t>
        </r>
      </text>
    </comment>
    <comment ref="D225" authorId="1" shapeId="0" xr:uid="{3DB4B50C-5993-42D7-9318-8AE574AFCAF8}">
      <text>
        <r>
          <rPr>
            <sz val="9"/>
            <color indexed="81"/>
            <rFont val="Segoe UI"/>
            <family val="2"/>
          </rPr>
          <t>1 - Código
2 - Código pai
3 - Descrição
4 - CMD</t>
        </r>
      </text>
    </comment>
    <comment ref="E225" authorId="1" shapeId="0" xr:uid="{6265633E-12CD-464A-8EDC-80025636D333}">
      <text>
        <r>
          <rPr>
            <sz val="9"/>
            <color indexed="81"/>
            <rFont val="Segoe UI"/>
            <family val="2"/>
          </rPr>
          <t>1 - Deposito Fisico</t>
        </r>
      </text>
    </comment>
    <comment ref="D226" authorId="1" shapeId="0" xr:uid="{0702426D-0478-48D6-8754-F6FE33676508}">
      <text>
        <r>
          <rPr>
            <sz val="9"/>
            <color indexed="81"/>
            <rFont val="Segoe UI"/>
            <family val="2"/>
          </rPr>
          <t>1 - Código
2 - Código pai
3 - Descrição
4 - CMD</t>
        </r>
      </text>
    </comment>
    <comment ref="E226" authorId="1" shapeId="0" xr:uid="{3DD105BD-DCC3-4B1A-8393-8DFF9FDFCC55}">
      <text>
        <r>
          <rPr>
            <sz val="9"/>
            <color indexed="81"/>
            <rFont val="Segoe UI"/>
            <family val="2"/>
          </rPr>
          <t>1 - Deposito Fisico</t>
        </r>
      </text>
    </comment>
    <comment ref="D227" authorId="1" shapeId="0" xr:uid="{DD702003-AA50-4061-B78A-A7C335AF351A}">
      <text>
        <r>
          <rPr>
            <sz val="9"/>
            <color indexed="81"/>
            <rFont val="Segoe UI"/>
            <family val="2"/>
          </rPr>
          <t xml:space="preserve">1 - Arquivo
2 - Caixa 
3 - Deposito fisico
4 - Sala do deposito
5 - Fileira da sala
6 - Divisoria
7 - CMD
8 - MSG
</t>
        </r>
      </text>
    </comment>
    <comment ref="E227" authorId="1" shapeId="0" xr:uid="{916F8FAE-290C-4E80-94A2-E7180DAE9C23}">
      <text>
        <r>
          <rPr>
            <sz val="9"/>
            <color indexed="81"/>
            <rFont val="Segoe UI"/>
            <family val="2"/>
          </rPr>
          <t xml:space="preserve">1 - Caixa
2 - Conjunto Documental da Demanda 
3 - Arquivos da Demanda
</t>
        </r>
      </text>
    </comment>
    <comment ref="D228" authorId="1" shapeId="0" xr:uid="{84F5ABC0-3949-4528-9A64-959FF1236893}">
      <text>
        <r>
          <rPr>
            <sz val="9"/>
            <color indexed="81"/>
            <rFont val="Segoe UI"/>
            <family val="2"/>
          </rPr>
          <t xml:space="preserve">1 - Arquivo
2 - Caixa 
3 - Deposito fisico
4 - Sala do deposito
5 - Fileira da sala
6 - Divisoria
</t>
        </r>
      </text>
    </comment>
    <comment ref="E228" authorId="1" shapeId="0" xr:uid="{6E36BA13-4261-4081-9268-6C42C923E1D2}">
      <text>
        <r>
          <rPr>
            <sz val="9"/>
            <color indexed="81"/>
            <rFont val="Segoe UI"/>
            <family val="2"/>
          </rPr>
          <t xml:space="preserve">1 - Caixa
2 - Conjunto Documental da Demanda 
3 - Arquivos da Demanda
</t>
        </r>
      </text>
    </comment>
    <comment ref="D231" authorId="1" shapeId="0" xr:uid="{6A2B9C85-1309-4B0C-B895-ADE6F82D536C}">
      <text>
        <r>
          <rPr>
            <sz val="10"/>
            <rFont val="Arial"/>
            <family val="2"/>
          </rPr>
          <t xml:space="preserve">
1 - Documento
2 - Código Documento
3 - Situação Documento
</t>
        </r>
      </text>
    </comment>
    <comment ref="E231" authorId="1" shapeId="0" xr:uid="{8AF6434E-31F3-4AC9-937D-FCBE77F989E9}">
      <text>
        <r>
          <rPr>
            <sz val="10"/>
            <rFont val="Arial"/>
            <family val="2"/>
          </rPr>
          <t xml:space="preserve">1 - Documento Digitalizado
</t>
        </r>
      </text>
    </comment>
    <comment ref="D232" authorId="1" shapeId="0" xr:uid="{6788FFA5-258E-490F-BFF7-53F0AEC333C7}">
      <text>
        <r>
          <rPr>
            <sz val="9"/>
            <color indexed="81"/>
            <rFont val="Segoe UI"/>
            <family val="2"/>
          </rPr>
          <t xml:space="preserve">
1 -Orgão 
2 -Setor 
3 -Caixa 
4 -Assunto
5 -Data inicio
6 -Data fim 
7 -Cod documento 
8 -Disponível para consulta 
9 -CMD
10-MSG</t>
        </r>
      </text>
    </comment>
    <comment ref="E232" authorId="1" shapeId="0" xr:uid="{617CE882-D109-4B0D-9B58-86E84B1A4A60}">
      <text>
        <r>
          <rPr>
            <sz val="9"/>
            <color indexed="81"/>
            <rFont val="Segoe UI"/>
            <family val="2"/>
          </rPr>
          <t>1 - Demanda de Captura
2 - Caixa 
3 - Orgão
4 - Setor/Unidade</t>
        </r>
      </text>
    </comment>
    <comment ref="D233" authorId="1" shapeId="0" xr:uid="{25F835AB-3455-4207-A40F-7958EB875ADE}">
      <text>
        <r>
          <rPr>
            <sz val="9"/>
            <color indexed="81"/>
            <rFont val="Segoe UI"/>
            <family val="2"/>
          </rPr>
          <t xml:space="preserve">
1 -Orgão 
2 -Setor 
3 -Caixa 
4 -Cod documento
5 -Assunto
6 -Hash
7 -Documento
8 -Justificativa
9- Data alteração 
10-Usuario
11-CMD
12-MSG</t>
        </r>
      </text>
    </comment>
    <comment ref="E233" authorId="1" shapeId="0" xr:uid="{C3CCCFDC-143F-486F-A69C-8F20202995E9}">
      <text>
        <r>
          <rPr>
            <sz val="9"/>
            <color indexed="81"/>
            <rFont val="Segoe UI"/>
            <family val="2"/>
          </rPr>
          <t>1 - Demanda de Captura
2 - Caixa 
3 - Orgão
4 - Setor/Unidade
5 - Usuario</t>
        </r>
      </text>
    </comment>
    <comment ref="D234" authorId="1" shapeId="0" xr:uid="{3715CE09-FEDC-449C-8FD2-0B7269E682CF}">
      <text>
        <r>
          <rPr>
            <sz val="9"/>
            <color indexed="81"/>
            <rFont val="Segoe UI"/>
            <family val="2"/>
          </rPr>
          <t xml:space="preserve">
1 -Identificação
2 -Protocolo
3 -Codigo de barras
4 -Assunto
5 -Data 
6 -Ano
7 -INteressado
8 -Volume
9 -Ciaxa
10-Classficação 
11-Orgão
12-Setor 
13-CMD
14-MSG</t>
        </r>
      </text>
    </comment>
    <comment ref="E234" authorId="1" shapeId="0" xr:uid="{494F5AE6-BD4E-4544-8F23-E79DD3F63EB1}">
      <text>
        <r>
          <rPr>
            <sz val="9"/>
            <color indexed="81"/>
            <rFont val="Segoe UI"/>
            <family val="2"/>
          </rPr>
          <t>1 - Demanda de Captura
2 - Caixa 
3 - Orgão
4 - Setor/Unidade
5 -  Etiqueta da Demanda</t>
        </r>
      </text>
    </comment>
    <comment ref="D235" authorId="1" shapeId="0" xr:uid="{C26ECDF0-BF8D-4AFB-8F3A-21DDBA6E07A8}">
      <text>
        <r>
          <rPr>
            <sz val="9"/>
            <color indexed="81"/>
            <rFont val="Segoe UI"/>
            <family val="2"/>
          </rPr>
          <t xml:space="preserve">
1-Sala
2-Modulo
3-Fileira
4-Estante 
5-Face
6-Bandeira
7-CMD
8-MSG</t>
        </r>
      </text>
    </comment>
    <comment ref="E235" authorId="1" shapeId="0" xr:uid="{C58CA17C-23EE-4A01-8388-CF8DC2EBF564}">
      <text>
        <r>
          <rPr>
            <sz val="9"/>
            <color indexed="81"/>
            <rFont val="Segoe UI"/>
            <family val="2"/>
          </rPr>
          <t xml:space="preserve">1 - Demanda de Captura
2 - Caixa 
</t>
        </r>
      </text>
    </comment>
    <comment ref="D236" authorId="1" shapeId="0" xr:uid="{C20AE7D7-02E9-4935-BC64-6F74AE5CD689}">
      <text>
        <r>
          <rPr>
            <sz val="9"/>
            <color indexed="81"/>
            <rFont val="Segoe UI"/>
            <family val="2"/>
          </rPr>
          <t xml:space="preserve">
1-Situação
2-CMD
3-MSG</t>
        </r>
      </text>
    </comment>
    <comment ref="E236" authorId="1" shapeId="0" xr:uid="{95391300-E3FF-4BB3-926A-B792DD3D4C7A}">
      <text>
        <r>
          <rPr>
            <sz val="9"/>
            <color indexed="81"/>
            <rFont val="Segoe UI"/>
            <family val="2"/>
          </rPr>
          <t xml:space="preserve">1 - Demanda de Captura
</t>
        </r>
      </text>
    </comment>
    <comment ref="D237" authorId="1" shapeId="0" xr:uid="{78E2C9F9-8A30-4A11-9DB6-C07A429083DA}">
      <text>
        <r>
          <rPr>
            <sz val="9"/>
            <color indexed="81"/>
            <rFont val="Segoe UI"/>
            <family val="2"/>
          </rPr>
          <t xml:space="preserve">
1-Situação
2-Justificativa
3-CMD
4-MSG</t>
        </r>
      </text>
    </comment>
    <comment ref="E237" authorId="1" shapeId="0" xr:uid="{7C1E664F-5C1B-425F-826C-C9FCF7C3881E}">
      <text>
        <r>
          <rPr>
            <sz val="9"/>
            <color indexed="81"/>
            <rFont val="Segoe UI"/>
            <family val="2"/>
          </rPr>
          <t xml:space="preserve">1 - Demanda de Captura
</t>
        </r>
      </text>
    </comment>
    <comment ref="D240" authorId="1" shapeId="0" xr:uid="{635DC6B9-DFCB-41B4-AC46-6685861AF4D1}">
      <text>
        <r>
          <rPr>
            <sz val="9"/>
            <color indexed="81"/>
            <rFont val="Segoe UI"/>
            <family val="2"/>
          </rPr>
          <t xml:space="preserve">
1 -Solicitar emprestimo documental 
2 -Orgão Requerente 
3 -Setor Requerente
4 -Orgao requerido
5 -Setor Requerido 
6 -OBS
7 -Dat inicial 
8 -Data Fim 
9 -Justifiativa
10-usuario responsável solicitação
11-data 
12- suario responsavel disponibilização 
13-data disponibilização 
14-Caixa 
15-Cod documento
16-Assunto
17-Classificação
18-ano 
19-Emprestar
20-ID
21-Situacao
22-Matricula
23-CPF
24-Nome
25-Email
26-Data cadastro
27-usuario cadastro 
28-Data alteração 
29-usuario alteração
30-Situação
31-Usuario assinatura
32-nome usuario 
33-data assinatura
34-tipo assinatura
35-codigo verificador
36-codigo crc
37-justificativa prorrogação
38-Justificativa indeferimento
39-prazo</t>
        </r>
      </text>
    </comment>
    <comment ref="E240" authorId="1" shapeId="0" xr:uid="{5D067D43-408E-40E7-86BC-05B3F73D6DC6}">
      <text>
        <r>
          <rPr>
            <sz val="9"/>
            <color indexed="81"/>
            <rFont val="Segoe UI"/>
            <family val="2"/>
          </rPr>
          <t>1 - Pedido de Emprestimo
2- Documentos Emprestados
3 - Tipo Documento
4 - Situação Empréstimo
5 - Responsável
6 - Assinatura</t>
        </r>
      </text>
    </comment>
    <comment ref="D241" authorId="1" shapeId="0" xr:uid="{761B0A7E-F361-425A-88D9-CF3FCCF4F7DD}">
      <text>
        <r>
          <rPr>
            <sz val="9"/>
            <color indexed="81"/>
            <rFont val="Segoe UI"/>
            <family val="2"/>
          </rPr>
          <t xml:space="preserve">
1 -Orgão 
2 -Setor
3 -Protocolo
4 -Assunto
5 -Situação 
6 -Data Inicio
7 -Data Fim 
8 -Situacao
9 - Prazo
10 -CMD
11-MSG</t>
        </r>
      </text>
    </comment>
    <comment ref="E241" authorId="1" shapeId="0" xr:uid="{8FFC7338-2821-4282-A0D0-962E17FBA618}">
      <text>
        <r>
          <rPr>
            <sz val="10"/>
            <rFont val="Arial"/>
            <family val="2"/>
          </rPr>
          <t>1 - Pedido de Emprestimo
2 - Setor/Unidade
3 - Orgão
4 - Documentos Digitalizados</t>
        </r>
      </text>
    </comment>
    <comment ref="D242" authorId="1" shapeId="0" xr:uid="{58AE5514-2092-46D1-8638-5ED802513967}">
      <text>
        <r>
          <rPr>
            <sz val="9"/>
            <color indexed="81"/>
            <rFont val="Segoe UI"/>
            <family val="2"/>
          </rPr>
          <t>1 - Código
2 - Descrição
3 - CMD</t>
        </r>
      </text>
    </comment>
    <comment ref="E242" authorId="1" shapeId="0" xr:uid="{423D2443-0CD4-45B5-85C9-A9258CC2F971}">
      <text>
        <r>
          <rPr>
            <sz val="9"/>
            <color indexed="81"/>
            <rFont val="Segoe UI"/>
            <family val="2"/>
          </rPr>
          <t>1 - Tipo Documento</t>
        </r>
      </text>
    </comment>
    <comment ref="D243" authorId="1" shapeId="0" xr:uid="{91FBC9DE-9B9B-4351-BC09-B3147D817216}">
      <text>
        <r>
          <rPr>
            <sz val="9"/>
            <color indexed="81"/>
            <rFont val="Segoe UI"/>
            <family val="2"/>
          </rPr>
          <t>1 - Código
2 - Descrição
3 - CMD</t>
        </r>
      </text>
    </comment>
    <comment ref="E243" authorId="1" shapeId="0" xr:uid="{AF84F3C7-C046-4482-BFFD-1A80B352A451}">
      <text>
        <r>
          <rPr>
            <sz val="9"/>
            <color indexed="81"/>
            <rFont val="Segoe UI"/>
            <family val="2"/>
          </rPr>
          <t>1 - Situação Empréstimo</t>
        </r>
      </text>
    </comment>
    <comment ref="D244" authorId="1" shapeId="0" xr:uid="{DFAD8B66-F37C-4AE6-977E-8854905CB58D}">
      <text>
        <r>
          <rPr>
            <sz val="9"/>
            <color indexed="81"/>
            <rFont val="Segoe UI"/>
            <family val="2"/>
          </rPr>
          <t xml:space="preserve">
1 -Solicitar emprestimo documental 
2 -Orgão Requerente 
3 -Setor Requerente
4 -Orgao requerido
5 -Setor Requerido 
6 -OBS
7 -Dat inicial 
8 -Data Fim 
9 -Justifiativa
10-CMD
11-MSG</t>
        </r>
      </text>
    </comment>
    <comment ref="E244" authorId="1" shapeId="0" xr:uid="{C58BB9DF-F767-4A62-9BE5-ABDABF0DA074}">
      <text>
        <r>
          <rPr>
            <sz val="10"/>
            <rFont val="Arial"/>
            <family val="2"/>
          </rPr>
          <t>1 - Pedido de Emprestimo
2 - Setor/Unidade
3 - Orgão
4 - Documentos Digitalizados</t>
        </r>
      </text>
    </comment>
    <comment ref="D245" authorId="1" shapeId="0" xr:uid="{8CBC7B83-FD6A-4372-8BCE-C53FE73E8F9C}">
      <text>
        <r>
          <rPr>
            <sz val="9"/>
            <color indexed="81"/>
            <rFont val="Segoe UI"/>
            <family val="2"/>
          </rPr>
          <t xml:space="preserve">
1 -Solicitar emprestimo documental 
2 -Orgão Requerente 
3 -Setor Requerente
4 -Orgao requerido
5 -Setor Requerido 
6 -OBS
7 -Data inicial 
8 -Data Fim 
9 -Justifiativa
10-CMD
11-MSG</t>
        </r>
      </text>
    </comment>
    <comment ref="E245" authorId="1" shapeId="0" xr:uid="{D8C586B5-F7A0-4EAA-8AEC-F085B04A033E}">
      <text>
        <r>
          <rPr>
            <sz val="10"/>
            <rFont val="Arial"/>
            <family val="2"/>
          </rPr>
          <t>1 - Pedido de Emprestimo
2 - Setor/Unidade
3 - Orgão
4 - Documentos Digitalizados</t>
        </r>
      </text>
    </comment>
    <comment ref="D246" authorId="1" shapeId="0" xr:uid="{F3344CC4-4E7B-48E6-9758-950F3CFAF909}">
      <text>
        <r>
          <rPr>
            <sz val="9"/>
            <color indexed="81"/>
            <rFont val="Segoe UI"/>
            <family val="2"/>
          </rPr>
          <t xml:space="preserve">
1 -Solicitar emprestimo documental 
2 -Orgão Requerente 
3 -Setor Requerente
4 -Orgao requerido
5 -Setor Requerido 
6 -OBS
7 -Data inicial 
8 -Data Fim 
9 -Justifiativa
10-usuario responsável solicitação
11-data 
12- usuario responsavel disponibilização 
13-data disponibilização 
14-Caixa 
15-Cod documento
16-Assunto
17-Classificação
18-ano 
19-Emprestar
</t>
        </r>
      </text>
    </comment>
    <comment ref="E246" authorId="1" shapeId="0" xr:uid="{49729D5F-A30B-4B97-A804-DAFFB69C3384}">
      <text>
        <r>
          <rPr>
            <sz val="10"/>
            <rFont val="Arial"/>
            <family val="2"/>
          </rPr>
          <t>1 - Pedido de Emprestimo
2 - Setor/Unidade
3 - Orgão
4 - Usuario
5 - Documento Digitalizado</t>
        </r>
      </text>
    </comment>
    <comment ref="D247" authorId="1" shapeId="0" xr:uid="{3A4FA0EB-CB04-4714-93A9-79CCA11191B6}">
      <text>
        <r>
          <rPr>
            <sz val="9"/>
            <color indexed="81"/>
            <rFont val="Segoe UI"/>
            <family val="2"/>
          </rPr>
          <t xml:space="preserve">
1-ID
2-CMD
3-MSG</t>
        </r>
      </text>
    </comment>
    <comment ref="E247" authorId="1" shapeId="0" xr:uid="{EB8BF317-6DC6-48CC-9FEB-33C557B974E4}">
      <text>
        <r>
          <rPr>
            <sz val="9"/>
            <color indexed="81"/>
            <rFont val="Segoe UI"/>
            <family val="2"/>
          </rPr>
          <t xml:space="preserve">1 - Pedido de Emprestimo
</t>
        </r>
      </text>
    </comment>
    <comment ref="D248" authorId="1" shapeId="0" xr:uid="{203B2778-1BB0-47BE-A79A-C1673EEA1B4D}">
      <text>
        <r>
          <rPr>
            <sz val="9"/>
            <color indexed="81"/>
            <rFont val="Segoe UI"/>
            <family val="2"/>
          </rPr>
          <t xml:space="preserve">
1 -Solicitar emprestimo documental 
2 -Orgão Requerente 
3 -Setor Requerente
4 -Orgao requerido
5 -Setor Requerido 
6 -OBS
7 -Dat inicial 
8 -Data Fim 
9 -Justifiativa
10-usuario responsável solicitação
11-data 
12- usuario responsavel disponibilização 
13-data disponibilização 
14-Caixa 
15-Cod documento
16-Assunto
17-Classificação
18-ano 
19-Emprestar
20-CMD
21-MSG</t>
        </r>
      </text>
    </comment>
    <comment ref="E248" authorId="1" shapeId="0" xr:uid="{A9291798-1C27-4799-B6BE-01237B37851B}">
      <text>
        <r>
          <rPr>
            <sz val="10"/>
            <rFont val="Arial"/>
            <family val="2"/>
          </rPr>
          <t>1 - Pedido de Emprestimo
2 - Setor/Unidade
3 - Orgão
4 - Usuario
5 - Documento Digitalizado</t>
        </r>
      </text>
    </comment>
    <comment ref="D249" authorId="1" shapeId="0" xr:uid="{71F9CD5D-7398-4CB7-B889-6C12AEA860ED}">
      <text>
        <r>
          <rPr>
            <sz val="9"/>
            <color indexed="81"/>
            <rFont val="Segoe UI"/>
            <family val="2"/>
          </rPr>
          <t xml:space="preserve">
1 -Situacao
2 - CMD
3- MSG</t>
        </r>
      </text>
    </comment>
    <comment ref="E249" authorId="1" shapeId="0" xr:uid="{7EBE4E94-7232-475C-9189-ED970ED18901}">
      <text>
        <r>
          <rPr>
            <sz val="9"/>
            <color indexed="81"/>
            <rFont val="Segoe UI"/>
            <family val="2"/>
          </rPr>
          <t xml:space="preserve">1 - Pedido de Emprestimo
</t>
        </r>
      </text>
    </comment>
    <comment ref="D252" authorId="1" shapeId="0" xr:uid="{EA90631C-6FBF-4CF9-A7A8-87E195633F0C}">
      <text>
        <r>
          <rPr>
            <sz val="9"/>
            <color indexed="81"/>
            <rFont val="Segoe UI"/>
            <family val="2"/>
          </rPr>
          <t xml:space="preserve">
1 -Orgão
2 -Setor  
3 -Assunto
4 -Data Ini 
5 -Data Fim  
6 -Cod documento
7 -caixa 
8 -Situacao
9 -Suporte
10-CMD
11-MSG</t>
        </r>
      </text>
    </comment>
    <comment ref="E252" authorId="1" shapeId="0" xr:uid="{7503B774-F205-4AAD-98A5-47F51E225ED6}">
      <text>
        <r>
          <rPr>
            <sz val="9"/>
            <color indexed="81"/>
            <rFont val="Segoe UI"/>
            <family val="2"/>
          </rPr>
          <t xml:space="preserve">1 - Demanda de Captura
2 - Caixa 
3 - Orgão
4 - Setor/Unidade
5 - Listagem de Eliminação </t>
        </r>
      </text>
    </comment>
    <comment ref="D255" authorId="1" shapeId="0" xr:uid="{DC26C04B-2719-4D45-BAFE-968F2D10E91A}">
      <text>
        <r>
          <rPr>
            <sz val="9"/>
            <color indexed="81"/>
            <rFont val="Segoe UI"/>
            <family val="2"/>
          </rPr>
          <t xml:space="preserve">
1 -Caixa
2 -Cod documento
3 -Assunto
4 -Classificação
5 -Ano
6 -CMD
7 -MSG</t>
        </r>
      </text>
    </comment>
    <comment ref="E255" authorId="1" shapeId="0" xr:uid="{8002F6C0-9C2D-4C88-9FCA-EB02E917C7EA}">
      <text>
        <r>
          <rPr>
            <sz val="10"/>
            <rFont val="Arial"/>
            <family val="2"/>
          </rPr>
          <t>1 - Documento Digitalizado
2 - Pedido de Empréstimo</t>
        </r>
      </text>
    </comment>
    <comment ref="D256" authorId="1" shapeId="0" xr:uid="{7C1878A0-FD6B-4BB3-9797-652A931FA08C}">
      <text>
        <r>
          <rPr>
            <sz val="9"/>
            <color indexed="81"/>
            <rFont val="Segoe UI"/>
            <family val="2"/>
          </rPr>
          <t xml:space="preserve">
1 -Orgão requerente
2 -Setor requerente 
3 -Orgão requerido
4 -Setor requerido
5 -Caixa 
6 -Cod documento
7 -Assunto
8 -Classificação
9 -Ano
10-CMD
11-MSG</t>
        </r>
      </text>
    </comment>
    <comment ref="E256" authorId="1" shapeId="0" xr:uid="{AA5DC61E-E813-4859-A967-FA8BBF203B71}">
      <text>
        <r>
          <rPr>
            <sz val="10"/>
            <rFont val="Arial"/>
            <family val="2"/>
          </rPr>
          <t>1 - Documento Digitalizado
2 - Caixa 
3 - Orgão
4 - Setor/Unidade
5 - Pedido de Empréstimo</t>
        </r>
      </text>
    </comment>
    <comment ref="D257" authorId="1" shapeId="0" xr:uid="{D942C12C-FBD3-4E81-9915-89892C617E27}">
      <text>
        <r>
          <rPr>
            <sz val="9"/>
            <color indexed="81"/>
            <rFont val="Segoe UI"/>
            <family val="2"/>
          </rPr>
          <t>1 - Código
2 - CMD</t>
        </r>
      </text>
    </comment>
    <comment ref="E257" authorId="1" shapeId="0" xr:uid="{DF11BD26-5C1C-44C9-B8DE-3A5A7073763A}">
      <text>
        <r>
          <rPr>
            <sz val="10"/>
            <rFont val="Arial"/>
            <family val="2"/>
          </rPr>
          <t>1 - Caixa
2 - Documento Digitalizado</t>
        </r>
      </text>
    </comment>
    <comment ref="D258" authorId="1" shapeId="0" xr:uid="{9B9E0300-6D13-4C40-9B65-1856B8F54F7D}">
      <text>
        <r>
          <rPr>
            <sz val="9"/>
            <color indexed="81"/>
            <rFont val="Segoe UI"/>
            <family val="2"/>
          </rPr>
          <t xml:space="preserve">
1 -Orgão requerente
2 -Setor requerente 
3 -Orgão requerido
4 -Setor requerido
5 -Caixa 
6 -Cod documento
7 -Assunto
8 -Classificação
9 -Ano
10-CMD
11-MSG</t>
        </r>
      </text>
    </comment>
    <comment ref="E258" authorId="1" shapeId="0" xr:uid="{0DEB1C9D-83A7-4599-83D5-46107E6A1466}">
      <text>
        <r>
          <rPr>
            <sz val="10"/>
            <rFont val="Arial"/>
            <family val="2"/>
          </rPr>
          <t>1 - Documento Digitalizado
2 - Caixa 
3 - Orgão
4 - Setor/Unidade
5 - Pedido de Empréstimo</t>
        </r>
      </text>
    </comment>
    <comment ref="D259" authorId="1" shapeId="0" xr:uid="{C8099F4B-FF65-48ED-BA83-065E2AED3279}">
      <text>
        <r>
          <rPr>
            <sz val="9"/>
            <color indexed="81"/>
            <rFont val="Segoe UI"/>
            <family val="2"/>
          </rPr>
          <t xml:space="preserve">
1 -Orgão requerente
2 -Setor requerente 
3 -Orgão requerido
4 -Setor requerido
5 -Caixa 
6 -Cod documento
7 -Assunto
8 -Classificação
9 -Ano</t>
        </r>
      </text>
    </comment>
    <comment ref="E259" authorId="1" shapeId="0" xr:uid="{DBB87287-D251-4050-8ACB-591B5BE66E3C}">
      <text>
        <r>
          <rPr>
            <sz val="10"/>
            <rFont val="Arial"/>
            <family val="2"/>
          </rPr>
          <t>1 - Documento Digitalizado
2 - Caixa 
3 - Orgão
4 - Setor/Unidade
5 - Pedido de Empréstimo</t>
        </r>
      </text>
    </comment>
    <comment ref="D260" authorId="1" shapeId="0" xr:uid="{B00190D6-ADBA-462C-9FD4-36556DDA11A7}">
      <text>
        <r>
          <rPr>
            <sz val="9"/>
            <color indexed="81"/>
            <rFont val="Segoe UI"/>
            <family val="2"/>
          </rPr>
          <t xml:space="preserve">
1 -Orgão requerente
2 -Setor requerente 
3 -Orgão requerido
4 -Setor requerido
5 -Caixa 
6 -Cod documento
7 -Assunto
8 -Classificação
9 -Ano
10-CMD
11-MSG</t>
        </r>
      </text>
    </comment>
    <comment ref="E260" authorId="1" shapeId="0" xr:uid="{CA743445-9F61-4C5D-91D0-99BDAF2EFF35}">
      <text>
        <r>
          <rPr>
            <sz val="10"/>
            <rFont val="Arial"/>
            <family val="2"/>
          </rPr>
          <t>1 - Documento Digitalizado
2 - Caixa 
3 - Orgão
4 - Setor/Unidade
5 - Pedido de Empréstimo</t>
        </r>
      </text>
    </comment>
    <comment ref="D261" authorId="1" shapeId="0" xr:uid="{006E4DFB-3B0B-469D-BD26-8C9BAAB18895}">
      <text>
        <r>
          <rPr>
            <sz val="9"/>
            <color indexed="81"/>
            <rFont val="Segoe UI"/>
            <family val="2"/>
          </rPr>
          <t xml:space="preserve">
1-ID
2-CMD
3-MSG</t>
        </r>
      </text>
    </comment>
    <comment ref="E261" authorId="1" shapeId="0" xr:uid="{FE728003-A51F-4A54-AC58-CC02745D83E7}">
      <text>
        <r>
          <rPr>
            <sz val="9"/>
            <color indexed="81"/>
            <rFont val="Segoe UI"/>
            <family val="2"/>
          </rPr>
          <t xml:space="preserve">1 - Pedido de Emprestimo
</t>
        </r>
      </text>
    </comment>
    <comment ref="D262" authorId="1" shapeId="0" xr:uid="{FF01F06D-2837-457E-ADBF-0C3066DE5FBE}">
      <text>
        <r>
          <rPr>
            <sz val="9"/>
            <color indexed="81"/>
            <rFont val="Segoe UI"/>
            <family val="2"/>
          </rPr>
          <t xml:space="preserve">
1 -Caixa
2 -Cod documento
3 -Assunto
4 -Classificação
5 -Ano
6 -CMD
7 -MSG</t>
        </r>
      </text>
    </comment>
    <comment ref="E262" authorId="1" shapeId="0" xr:uid="{57D842D1-98EA-436F-BCEE-08EB52345690}">
      <text>
        <r>
          <rPr>
            <sz val="10"/>
            <rFont val="Arial"/>
            <family val="2"/>
          </rPr>
          <t>1 - Documento Digitalizado
2 - Pedido de Empréstimo</t>
        </r>
      </text>
    </comment>
    <comment ref="D263" authorId="1" shapeId="0" xr:uid="{BB02946B-59BB-4531-885A-BBBD3DFCD5CC}">
      <text>
        <r>
          <rPr>
            <sz val="9"/>
            <color indexed="81"/>
            <rFont val="Segoe UI"/>
            <family val="2"/>
          </rPr>
          <t>1 -Orgão requerente
2 -Setor requerente 
3 -Orgão requerido
4 -Setor requerido
5 -Assunto 
6 -Descrição
7 -CMD
8 -MSG</t>
        </r>
      </text>
    </comment>
    <comment ref="E263" authorId="1" shapeId="0" xr:uid="{A9D1B1A6-3950-4A59-9D91-03624C945A9F}">
      <text>
        <r>
          <rPr>
            <sz val="10"/>
            <rFont val="Arial"/>
            <family val="2"/>
          </rPr>
          <t>1 - Documento Digitalizado
2 - Orgão
3 - Setor/Unidade
4 - Pedido de Empréstimo</t>
        </r>
      </text>
    </comment>
    <comment ref="D264" authorId="1" shapeId="0" xr:uid="{9C8D0328-C312-4B91-8A69-D867BB024E31}">
      <text>
        <r>
          <rPr>
            <sz val="9"/>
            <color indexed="81"/>
            <rFont val="Segoe UI"/>
            <family val="2"/>
          </rPr>
          <t>1 -Orgão requerente
2 -Setor requerente 
3 -Orgão requerido
4 -Setor requerido
5 -Assunto 
6 -Descrição
7 -CMD
8 -MSG</t>
        </r>
      </text>
    </comment>
    <comment ref="E264" authorId="1" shapeId="0" xr:uid="{35268432-C453-4980-9044-DC737E0A313C}">
      <text>
        <r>
          <rPr>
            <sz val="10"/>
            <rFont val="Arial"/>
            <family val="2"/>
          </rPr>
          <t>1 - Documento Digitalizado
2 - Orgão
3 - Setor/Unidade
4 - Pedido de Empréstimo</t>
        </r>
      </text>
    </comment>
    <comment ref="D265" authorId="1" shapeId="0" xr:uid="{5B4CD33D-3A21-40CF-970C-E54A9A488C2C}">
      <text>
        <r>
          <rPr>
            <sz val="9"/>
            <color indexed="81"/>
            <rFont val="Segoe UI"/>
            <family val="2"/>
          </rPr>
          <t>1 -Orgão requerente
2 -Setor requerente 
3 -Orgão requerido
4 -Setor requerido
5 -Assunto 
6 -Descrição</t>
        </r>
      </text>
    </comment>
    <comment ref="E265" authorId="1" shapeId="0" xr:uid="{1C20CEF8-24A3-4297-A90F-07CC1E08FDE5}">
      <text>
        <r>
          <rPr>
            <sz val="10"/>
            <rFont val="Arial"/>
            <family val="2"/>
          </rPr>
          <t>1 - Documento Digitalizado
2 - Orgão
3 - Setor/Unidade
4 - Pedido de Empréstimo</t>
        </r>
      </text>
    </comment>
    <comment ref="D266" authorId="1" shapeId="0" xr:uid="{63DA0866-4A28-47F6-93F3-D9753B31D984}">
      <text>
        <r>
          <rPr>
            <sz val="9"/>
            <color indexed="81"/>
            <rFont val="Segoe UI"/>
            <family val="2"/>
          </rPr>
          <t>1 -Orgão requerente
2 -Setor requerente 
3 -Orgão requerido
4 -Setor requerido
5 -Assunto 
6 -Descrição
7 -CMD
8 -MSG</t>
        </r>
      </text>
    </comment>
    <comment ref="E266" authorId="1" shapeId="0" xr:uid="{B10812F2-045C-4FA5-B3D7-E963D08C080E}">
      <text>
        <r>
          <rPr>
            <sz val="10"/>
            <rFont val="Arial"/>
            <family val="2"/>
          </rPr>
          <t>1 - Documento Digitalizado
2 - Orgão
3 - Setor/Unidade
4 - Pedido de Empréstimo</t>
        </r>
      </text>
    </comment>
    <comment ref="D267" authorId="1" shapeId="0" xr:uid="{D432E40E-4F74-489E-BD1A-E481CDFF90D7}">
      <text>
        <r>
          <rPr>
            <sz val="9"/>
            <color indexed="81"/>
            <rFont val="Segoe UI"/>
            <family val="2"/>
          </rPr>
          <t xml:space="preserve">
1-ID
2-CMD
3-MSG</t>
        </r>
      </text>
    </comment>
    <comment ref="E267" authorId="1" shapeId="0" xr:uid="{3D5EA47A-77E0-4E04-9FF1-EFBAB22D2222}">
      <text>
        <r>
          <rPr>
            <sz val="9"/>
            <color indexed="81"/>
            <rFont val="Segoe UI"/>
            <family val="2"/>
          </rPr>
          <t xml:space="preserve">1 - Pedido de Emprestimo
</t>
        </r>
      </text>
    </comment>
    <comment ref="D270" authorId="1" shapeId="0" xr:uid="{496B85E0-1E91-4B39-88A7-8B6E275934F7}">
      <text>
        <r>
          <rPr>
            <sz val="9"/>
            <color indexed="81"/>
            <rFont val="Segoe UI"/>
            <family val="2"/>
          </rPr>
          <t xml:space="preserve">
1 -Situacao
2- Emprestar
3- Obs analise 
4-CMD
5-MSG</t>
        </r>
      </text>
    </comment>
    <comment ref="E270" authorId="1" shapeId="0" xr:uid="{7CD0C9A4-2225-45B0-BB4E-5EA419755F61}">
      <text>
        <r>
          <rPr>
            <sz val="9"/>
            <color indexed="81"/>
            <rFont val="Segoe UI"/>
            <family val="2"/>
          </rPr>
          <t>1 - Pedido de Emprestimo
2 - Usuario</t>
        </r>
      </text>
    </comment>
    <comment ref="D271" authorId="1" shapeId="0" xr:uid="{D3A3C6A5-A0A0-485A-9FC4-A3D50C8F1747}">
      <text>
        <r>
          <rPr>
            <sz val="9"/>
            <color indexed="81"/>
            <rFont val="Segoe UI"/>
            <family val="2"/>
          </rPr>
          <t xml:space="preserve">
1 -Situacao
2- Emprestar
3- Obs analise 
4-Justiticativa
5-CMD
6-MSG</t>
        </r>
      </text>
    </comment>
    <comment ref="E271" authorId="1" shapeId="0" xr:uid="{E6074758-F1CD-47BC-B338-CE6263F91247}">
      <text>
        <r>
          <rPr>
            <sz val="9"/>
            <color indexed="81"/>
            <rFont val="Segoe UI"/>
            <family val="2"/>
          </rPr>
          <t>1 - Pedido de Emprestimo
2 - Usuario</t>
        </r>
      </text>
    </comment>
    <comment ref="D274" authorId="1" shapeId="0" xr:uid="{9A0BC101-1576-417D-B5D6-945BF9721F0C}">
      <text>
        <r>
          <rPr>
            <sz val="9"/>
            <color indexed="81"/>
            <rFont val="Segoe UI"/>
            <family val="2"/>
          </rPr>
          <t xml:space="preserve">
1 -Matricula
2- CPF
3- Nome
4-Email
5-CMD
6-MSG</t>
        </r>
      </text>
    </comment>
    <comment ref="E274" authorId="1" shapeId="0" xr:uid="{409E203A-9630-4D4A-897A-24E20B908941}">
      <text>
        <r>
          <rPr>
            <sz val="9"/>
            <color indexed="81"/>
            <rFont val="Segoe UI"/>
            <family val="2"/>
          </rPr>
          <t>1 - Servidor
2 - Pedido de Empréstimo</t>
        </r>
      </text>
    </comment>
    <comment ref="D275" authorId="1" shapeId="0" xr:uid="{B9BD0F6A-C8E4-43A4-A375-19C62855C2C6}">
      <text>
        <r>
          <rPr>
            <sz val="9"/>
            <color indexed="81"/>
            <rFont val="Segoe UI"/>
            <family val="2"/>
          </rPr>
          <t xml:space="preserve">
1 -Matricula
2- CPF
3- Nome
4-Email
5-CMD
6-MSG</t>
        </r>
      </text>
    </comment>
    <comment ref="E275" authorId="1" shapeId="0" xr:uid="{C77DA3BD-6B6F-4BC3-9474-B982A6C06665}">
      <text>
        <r>
          <rPr>
            <sz val="9"/>
            <color indexed="81"/>
            <rFont val="Segoe UI"/>
            <family val="2"/>
          </rPr>
          <t>1 - Servidor
2 - Pedido de Empréstimo</t>
        </r>
      </text>
    </comment>
    <comment ref="D276" authorId="1" shapeId="0" xr:uid="{4AD61E10-626F-41C5-9931-87E3C1F199A9}">
      <text>
        <r>
          <rPr>
            <sz val="9"/>
            <color indexed="81"/>
            <rFont val="Segoe UI"/>
            <family val="2"/>
          </rPr>
          <t xml:space="preserve">
1 -Matricula
2- CPF
3- Nome
4-Email
</t>
        </r>
      </text>
    </comment>
    <comment ref="E276" authorId="1" shapeId="0" xr:uid="{E1F1E3B0-92E1-4A73-9EEC-D69E8DFEEB08}">
      <text>
        <r>
          <rPr>
            <sz val="9"/>
            <color indexed="81"/>
            <rFont val="Segoe UI"/>
            <family val="2"/>
          </rPr>
          <t>1 - Servidor
2 - Pedido de Empréstimo</t>
        </r>
      </text>
    </comment>
    <comment ref="D277" authorId="1" shapeId="0" xr:uid="{63D29103-1994-4CC2-AF61-9BCBCA56D0CF}">
      <text>
        <r>
          <rPr>
            <sz val="9"/>
            <color indexed="81"/>
            <rFont val="Segoe UI"/>
            <family val="2"/>
          </rPr>
          <t xml:space="preserve">
1 -Matricula
2- CPF
3- Nome
4-Email
5-CMD
6-MSG</t>
        </r>
      </text>
    </comment>
    <comment ref="E277" authorId="1" shapeId="0" xr:uid="{BC5ECF6B-B644-4B69-9753-9EE184D505DA}">
      <text>
        <r>
          <rPr>
            <sz val="9"/>
            <color indexed="81"/>
            <rFont val="Segoe UI"/>
            <family val="2"/>
          </rPr>
          <t>1 - Servidor
2 - Pedido de Empréstimo</t>
        </r>
      </text>
    </comment>
    <comment ref="D280" authorId="1" shapeId="0" xr:uid="{EED0E9F2-DAAE-4C9E-BDAA-1A8D6810EFF3}">
      <text>
        <r>
          <rPr>
            <sz val="9"/>
            <color indexed="81"/>
            <rFont val="Segoe UI"/>
            <family val="2"/>
          </rPr>
          <t xml:space="preserve">
1 -Matricula
2- CPF
3- Nome
4-Orgão 
5-Email 
6-ID
7-usuario assinatura
8-data assinatura
9-codigo verificador
10-codigo crc
11-qrcode
12-texto
13-CMD
14-MSG</t>
        </r>
      </text>
    </comment>
    <comment ref="E280" authorId="1" shapeId="0" xr:uid="{EADF850A-D1A3-4270-BCA9-800FC87C6491}">
      <text>
        <r>
          <rPr>
            <sz val="9"/>
            <color indexed="81"/>
            <rFont val="Segoe UI"/>
            <family val="2"/>
          </rPr>
          <t>1 - Servidor
2 - Pedido de Empréstimo
3 - Orgão</t>
        </r>
      </text>
    </comment>
    <comment ref="D283" authorId="1" shapeId="0" xr:uid="{1D695363-1C3A-4B69-B1C2-A2FA527C4F2D}">
      <text>
        <r>
          <rPr>
            <sz val="9"/>
            <color indexed="81"/>
            <rFont val="Segoe UI"/>
            <family val="2"/>
          </rPr>
          <t xml:space="preserve">
1 usuario
2-senha
3-data assinatura
4-tipo assinatura
5-codigo verificador
6-codigo crc
7-CMD
8-MSG</t>
        </r>
      </text>
    </comment>
    <comment ref="E283" authorId="1" shapeId="0" xr:uid="{D71EFA9B-F825-491C-9FBD-5374B50079B4}">
      <text>
        <r>
          <rPr>
            <sz val="9"/>
            <color indexed="81"/>
            <rFont val="Segoe UI"/>
            <family val="2"/>
          </rPr>
          <t xml:space="preserve">1 - Servidor
2 - Pedido de Empréstimo
</t>
        </r>
      </text>
    </comment>
    <comment ref="D286" authorId="1" shapeId="0" xr:uid="{FA66E36C-DF74-41CE-ADB7-4E9DCC20925B}">
      <text>
        <r>
          <rPr>
            <sz val="9"/>
            <color indexed="81"/>
            <rFont val="Segoe UI"/>
            <family val="2"/>
          </rPr>
          <t xml:space="preserve">
1 -Matricula
2- CPF
3- Nome
4-Orgão 
5-Email 
6-ID
7-usuario assinatura
8-data assinatura
9-codigo verificador
10-codigo crc
11-qrcode
12-CMD
13-MSG</t>
        </r>
      </text>
    </comment>
    <comment ref="E286" authorId="1" shapeId="0" xr:uid="{76E1A921-9805-44A3-8721-E94C025C099B}">
      <text>
        <r>
          <rPr>
            <sz val="9"/>
            <color indexed="81"/>
            <rFont val="Segoe UI"/>
            <family val="2"/>
          </rPr>
          <t>1 - Servidor
2 - Pedido de Empréstimo
3 - Orgão</t>
        </r>
      </text>
    </comment>
    <comment ref="D289" authorId="1" shapeId="0" xr:uid="{1DC58585-2E57-4A21-BA4C-8551CC094784}">
      <text>
        <r>
          <rPr>
            <sz val="9"/>
            <color indexed="81"/>
            <rFont val="Segoe UI"/>
            <family val="2"/>
          </rPr>
          <t xml:space="preserve">
1-Data ini
2-Data fim
3-Justificativa
4-ID Empréstimo
5-CMD
6-MSG</t>
        </r>
      </text>
    </comment>
    <comment ref="E289" authorId="1" shapeId="0" xr:uid="{10598010-CDB6-4C05-87D7-A88AE2C4B8BC}">
      <text>
        <r>
          <rPr>
            <sz val="9"/>
            <color indexed="81"/>
            <rFont val="Segoe UI"/>
            <family val="2"/>
          </rPr>
          <t>1 - Servidor
2 - Pedido de Empréstimo
3 - Orgão
4 - Setor</t>
        </r>
      </text>
    </comment>
    <comment ref="D290" authorId="1" shapeId="0" xr:uid="{94EA6223-6FF5-4E2E-B6B0-2C1616EFA696}">
      <text>
        <r>
          <rPr>
            <sz val="9"/>
            <color indexed="81"/>
            <rFont val="Segoe UI"/>
            <family val="2"/>
          </rPr>
          <t xml:space="preserve">
1-Emprestimo documental
2-Orgão
3-setor
4-orgão requerido
5-setor requerido
6-data inicial
7-data final
8-caixa
9-cod doc 
10-assunto
11-classificação 
12-ano 
</t>
        </r>
      </text>
    </comment>
    <comment ref="E290" authorId="1" shapeId="0" xr:uid="{78BAEF8A-ED74-4A98-B1CC-6E10B3A9F807}">
      <text>
        <r>
          <rPr>
            <sz val="9"/>
            <color indexed="81"/>
            <rFont val="Segoe UI"/>
            <family val="2"/>
          </rPr>
          <t>1 - Servidor
2 - Pedido de Empréstimo
3 - Orgão
4 - Documento
5-  Caixa
6 - Setor</t>
        </r>
      </text>
    </comment>
    <comment ref="D293" authorId="1" shapeId="0" xr:uid="{82B0B180-D19B-49DF-8EA4-C25566009B40}">
      <text>
        <r>
          <rPr>
            <sz val="9"/>
            <color indexed="81"/>
            <rFont val="Segoe UI"/>
            <family val="2"/>
          </rPr>
          <t xml:space="preserve">
1-Emprestimo documental
2-Orgão
3-setor
4-orgão requerido
5-setor requerido
6-data inicial
7-data final
8-caixa
9-cod doc 
10-assunto
11-classificação 
12-ano 
13-justificativa prorrogação</t>
        </r>
      </text>
    </comment>
    <comment ref="E293" authorId="1" shapeId="0" xr:uid="{7793192F-B831-4866-9857-565CCB2A9B62}">
      <text>
        <r>
          <rPr>
            <sz val="9"/>
            <color indexed="81"/>
            <rFont val="Segoe UI"/>
            <family val="2"/>
          </rPr>
          <t>1 - Servidor
2 - Pedido de Empréstimo
3 - Orgão
4 - Documento
5-  Caixa
6 - Setor</t>
        </r>
      </text>
    </comment>
    <comment ref="D294" authorId="1" shapeId="0" xr:uid="{FFEA8DD3-B8A0-4C53-95BD-01B98C865189}">
      <text>
        <r>
          <rPr>
            <sz val="9"/>
            <color indexed="81"/>
            <rFont val="Segoe UI"/>
            <family val="2"/>
          </rPr>
          <t xml:space="preserve">
1-Situação
2-CMD
3-MSG</t>
        </r>
      </text>
    </comment>
    <comment ref="E294" authorId="1" shapeId="0" xr:uid="{49EAAC7B-1ED1-4F5C-A6BF-9C0D684CC8C0}">
      <text>
        <r>
          <rPr>
            <sz val="9"/>
            <color indexed="81"/>
            <rFont val="Segoe UI"/>
            <family val="2"/>
          </rPr>
          <t xml:space="preserve">1 - Servidor
2 - Pedido de Empréstimo
3 - Orgão
</t>
        </r>
      </text>
    </comment>
    <comment ref="D295" authorId="1" shapeId="0" xr:uid="{D6F93BDC-BDCB-4A5E-B50B-362D8731FA27}">
      <text>
        <r>
          <rPr>
            <sz val="9"/>
            <color indexed="81"/>
            <rFont val="Segoe UI"/>
            <family val="2"/>
          </rPr>
          <t xml:space="preserve">
1-Situação
2-Justificativa
3-CMD
4-MSG</t>
        </r>
      </text>
    </comment>
    <comment ref="E295" authorId="1" shapeId="0" xr:uid="{23A212F5-ADCC-4984-A530-3164DB17BE1E}">
      <text>
        <r>
          <rPr>
            <sz val="9"/>
            <color indexed="81"/>
            <rFont val="Segoe UI"/>
            <family val="2"/>
          </rPr>
          <t xml:space="preserve">1 - Servidor
2 - Pedido de Empréstimo
3 - Orgão
</t>
        </r>
      </text>
    </comment>
    <comment ref="D298" authorId="1" shapeId="0" xr:uid="{A9071344-7E64-41DE-B5AC-87300325BC0D}">
      <text>
        <r>
          <rPr>
            <sz val="9"/>
            <color indexed="81"/>
            <rFont val="Segoe UI"/>
            <family val="2"/>
          </rPr>
          <t xml:space="preserve">
1-Orgão 
2-Setor 
3-Orgão requerido
4-Setor requerido
5-OBS
6-Caixa
7-cod doc 
8-assunto
9-Classficação
10-ano
11-situação
12-justificativa
13-OBS da análise
14-data para retirada
15-responsável 
16-data 
17-responsável disponibilização
15-data disponibilização
16-usuário disponibilização
</t>
        </r>
      </text>
    </comment>
    <comment ref="E298" authorId="1" shapeId="0" xr:uid="{1AC5949F-EA09-4062-9F6C-81D59E277CC1}">
      <text>
        <r>
          <rPr>
            <sz val="9"/>
            <color indexed="81"/>
            <rFont val="Segoe UI"/>
            <family val="2"/>
          </rPr>
          <t xml:space="preserve">
1-Devolução de documentos
2-Checklist</t>
        </r>
      </text>
    </comment>
    <comment ref="D299" authorId="1" shapeId="0" xr:uid="{F64929E7-F499-47BB-A1BB-66D1BAE06A8F}">
      <text>
        <r>
          <rPr>
            <sz val="9"/>
            <color indexed="81"/>
            <rFont val="Segoe UI"/>
            <family val="2"/>
          </rPr>
          <t xml:space="preserve">
1-Orgão 
2-Setor 
3-Orgão requerido
4-Setor requerido
5-OBS
6-Caixa
7-cod doc 
8-assunto
9-Classficação
10-ano
11-situação
12-justificativa
13-OBS da análise
14-data para retirada
15-responsável 
16-data 
17-responsável disponibilização
15-data disponibilização
16-usuário disponibilização
17-CMD
18-MSG</t>
        </r>
      </text>
    </comment>
    <comment ref="E299" authorId="1" shapeId="0" xr:uid="{8AB29E16-12F6-46D7-B68A-18C2287F55A2}">
      <text>
        <r>
          <rPr>
            <sz val="9"/>
            <color indexed="81"/>
            <rFont val="Segoe UI"/>
            <family val="2"/>
          </rPr>
          <t xml:space="preserve">1 - Servidor
2 - Pedido de Empréstimo
3 - Devolução documentos
4 - Orgão
</t>
        </r>
      </text>
    </comment>
    <comment ref="D300" authorId="1" shapeId="0" xr:uid="{99E39E6E-5AF6-4A3B-87A6-10C78B3D07D1}">
      <text>
        <r>
          <rPr>
            <sz val="9"/>
            <color indexed="81"/>
            <rFont val="Segoe UI"/>
            <family val="2"/>
          </rPr>
          <t xml:space="preserve">
1-Data
2-Usuario
3-CMD
4-MSG</t>
        </r>
      </text>
    </comment>
    <comment ref="E300" authorId="1" shapeId="0" xr:uid="{7C374344-35E2-4C38-A84B-7EAFB4F35440}">
      <text>
        <r>
          <rPr>
            <sz val="9"/>
            <color indexed="81"/>
            <rFont val="Segoe UI"/>
            <family val="2"/>
          </rPr>
          <t xml:space="preserve">1 - Servidor
2 - Pedido de Empréstimo
3 - Devolução documentos
4 - Orgão
</t>
        </r>
      </text>
    </comment>
    <comment ref="D301" authorId="1" shapeId="0" xr:uid="{0859163A-4FBA-47D9-8C81-8608240635B9}">
      <text>
        <r>
          <rPr>
            <sz val="9"/>
            <color indexed="81"/>
            <rFont val="Segoe UI"/>
            <family val="2"/>
          </rPr>
          <t xml:space="preserve">
1-Situação
2-Justificativa
3-CMD
4-MSG</t>
        </r>
      </text>
    </comment>
    <comment ref="E301" authorId="1" shapeId="0" xr:uid="{6A6B30C8-2B8B-4E54-BB8C-5CE43DF518A0}">
      <text>
        <r>
          <rPr>
            <sz val="9"/>
            <color indexed="81"/>
            <rFont val="Segoe UI"/>
            <family val="2"/>
          </rPr>
          <t xml:space="preserve">1 - Servidor
2 - Pedido de Empréstimo
3 - Devolução documentos
4 - Orgão
</t>
        </r>
      </text>
    </comment>
    <comment ref="D304" authorId="1" shapeId="0" xr:uid="{A3E119CA-9B7C-4CCF-B88F-28521828129B}">
      <text>
        <r>
          <rPr>
            <sz val="9"/>
            <color indexed="81"/>
            <rFont val="Segoe UI"/>
            <family val="2"/>
          </rPr>
          <t xml:space="preserve">
1-Situação
2-Ressalva
3-Empréstico
4-CMD
5-MSG</t>
        </r>
      </text>
    </comment>
    <comment ref="E304" authorId="1" shapeId="0" xr:uid="{50F79AA2-3021-4E65-B0D8-84FA0E36F822}">
      <text>
        <r>
          <rPr>
            <sz val="9"/>
            <color indexed="81"/>
            <rFont val="Segoe UI"/>
            <family val="2"/>
          </rPr>
          <t xml:space="preserve">
1-Devolução de documentos</t>
        </r>
      </text>
    </comment>
    <comment ref="D305" authorId="1" shapeId="0" xr:uid="{9C584EAA-51A3-4AFC-967E-7BDF505A5771}">
      <text>
        <r>
          <rPr>
            <sz val="9"/>
            <color indexed="81"/>
            <rFont val="Segoe UI"/>
            <family val="2"/>
          </rPr>
          <t xml:space="preserve">
1-Situação
2-Ressalva
3-Empréstico</t>
        </r>
      </text>
    </comment>
    <comment ref="E305" authorId="1" shapeId="0" xr:uid="{D0352AD5-1934-416B-A7FE-428DF00A90C7}">
      <text>
        <r>
          <rPr>
            <sz val="9"/>
            <color indexed="81"/>
            <rFont val="Segoe UI"/>
            <family val="2"/>
          </rPr>
          <t xml:space="preserve">
1-Devolução de documentos</t>
        </r>
      </text>
    </comment>
    <comment ref="D308" authorId="1" shapeId="0" xr:uid="{32DA7B7A-AB84-4C70-A75D-64923BB3A2E7}">
      <text>
        <r>
          <rPr>
            <sz val="9"/>
            <color indexed="81"/>
            <rFont val="Segoe UI"/>
            <family val="2"/>
          </rPr>
          <t xml:space="preserve">
1-Nome 
2-Endereço Email
3-Documento
4-Data encerramento
5-Conteúdo Email
6-CMD
7-MSG</t>
        </r>
      </text>
    </comment>
    <comment ref="E308" authorId="1" shapeId="0" xr:uid="{9161B35A-C8E8-4E9E-B6C9-C4D3FC7350A8}">
      <text>
        <r>
          <rPr>
            <sz val="9"/>
            <color indexed="81"/>
            <rFont val="Segoe UI"/>
            <family val="2"/>
          </rPr>
          <t xml:space="preserve">1 - Servidor
2 - Pedido de Empréstimo
3 - Devolução documentos
</t>
        </r>
      </text>
    </comment>
    <comment ref="D309" authorId="1" shapeId="0" xr:uid="{B08295F2-F92D-4EF2-A97F-BB0A613911E6}">
      <text>
        <r>
          <rPr>
            <sz val="9"/>
            <color indexed="81"/>
            <rFont val="Segoe UI"/>
            <family val="2"/>
          </rPr>
          <t xml:space="preserve">
1-Nome 
2-Endereço Email
3-Documento
4-Data encerramento
5-Conteúdo Email
6-Tipo Documento
7-CMD
8-MSG</t>
        </r>
      </text>
    </comment>
    <comment ref="E309" authorId="1" shapeId="0" xr:uid="{B0FB6CA8-7D39-41AC-B72D-3E04E5D06FF9}">
      <text>
        <r>
          <rPr>
            <sz val="9"/>
            <color indexed="81"/>
            <rFont val="Segoe UI"/>
            <family val="2"/>
          </rPr>
          <t xml:space="preserve">1 - Servidor
2 - Pedido de Empréstimo
3 - Devolução documentos
</t>
        </r>
      </text>
    </comment>
    <comment ref="D312" authorId="1" shapeId="0" xr:uid="{C0CFCF35-E586-48EA-8198-037A73686902}">
      <text>
        <r>
          <rPr>
            <sz val="9"/>
            <color indexed="81"/>
            <rFont val="Segoe UI"/>
            <family val="2"/>
          </rPr>
          <t xml:space="preserve">
1-Orgão 
2-Setor 
3-situação
4-data início
5-data fim 
6-Codigo 
7-status
8-CMD
9-MSG
</t>
        </r>
      </text>
    </comment>
    <comment ref="E312" authorId="1" shapeId="0" xr:uid="{D86CFDDA-3604-4455-8915-D02C59759955}">
      <text>
        <r>
          <rPr>
            <sz val="9"/>
            <color indexed="81"/>
            <rFont val="Segoe UI"/>
            <family val="2"/>
          </rPr>
          <t xml:space="preserve">
1-Orgão
2-Setor
3-Solicitação de Transferencia Documental</t>
        </r>
      </text>
    </comment>
    <comment ref="D313" authorId="1" shapeId="0" xr:uid="{3509EE9F-44CE-4989-8AB0-86B980378004}">
      <text>
        <r>
          <rPr>
            <sz val="9"/>
            <color indexed="81"/>
            <rFont val="Segoe UI"/>
            <family val="2"/>
          </rPr>
          <t xml:space="preserve">
1-Código 
2-Descrição
3-CMD</t>
        </r>
      </text>
    </comment>
    <comment ref="E313" authorId="1" shapeId="0" xr:uid="{BF738EBD-315A-4673-8C67-C3F1616CDF09}">
      <text>
        <r>
          <rPr>
            <sz val="9"/>
            <color indexed="81"/>
            <rFont val="Segoe UI"/>
            <family val="2"/>
          </rPr>
          <t xml:space="preserve">
1-Situação Transferência</t>
        </r>
      </text>
    </comment>
    <comment ref="D314" authorId="1" shapeId="0" xr:uid="{3B5C292A-8A36-4652-AE4A-427A032B848D}">
      <text>
        <r>
          <rPr>
            <sz val="9"/>
            <color indexed="81"/>
            <rFont val="Segoe UI"/>
            <family val="2"/>
          </rPr>
          <t xml:space="preserve">
1-Código 
2-Descrição
3-CMD</t>
        </r>
      </text>
    </comment>
    <comment ref="E314" authorId="1" shapeId="0" xr:uid="{AAA03976-0025-47E7-A5C2-C01E0E6DE06F}">
      <text>
        <r>
          <rPr>
            <sz val="9"/>
            <color indexed="81"/>
            <rFont val="Segoe UI"/>
            <family val="2"/>
          </rPr>
          <t xml:space="preserve">
1-Solicitação Transferência</t>
        </r>
      </text>
    </comment>
    <comment ref="D315" authorId="1" shapeId="0" xr:uid="{D2369013-DD90-43D4-8D89-89F94C2DDF25}">
      <text>
        <r>
          <rPr>
            <sz val="9"/>
            <color indexed="81"/>
            <rFont val="Segoe UI"/>
            <family val="2"/>
          </rPr>
          <t xml:space="preserve">
1-Código 
2-Descrição
3-CMD</t>
        </r>
      </text>
    </comment>
    <comment ref="E315" authorId="1" shapeId="0" xr:uid="{285F8510-07D5-410D-96B3-D52CE2882A82}">
      <text>
        <r>
          <rPr>
            <sz val="9"/>
            <color indexed="81"/>
            <rFont val="Segoe UI"/>
            <family val="2"/>
          </rPr>
          <t xml:space="preserve">
1-Solicitação Transferência</t>
        </r>
      </text>
    </comment>
    <comment ref="D316" authorId="1" shapeId="0" xr:uid="{4757F743-9168-4DFB-B93C-E46956017E0B}">
      <text>
        <r>
          <rPr>
            <sz val="9"/>
            <color indexed="81"/>
            <rFont val="Segoe UI"/>
            <family val="2"/>
          </rPr>
          <t xml:space="preserve">
1-Codigo
2-CMD
3-MSG</t>
        </r>
      </text>
    </comment>
    <comment ref="E316" authorId="1" shapeId="0" xr:uid="{0CF6E449-71C2-4D2C-82B8-159A9CF21965}">
      <text>
        <r>
          <rPr>
            <sz val="9"/>
            <color indexed="81"/>
            <rFont val="Segoe UI"/>
            <family val="2"/>
          </rPr>
          <t xml:space="preserve">
1-Solicitação de Transferencia Documental</t>
        </r>
      </text>
    </comment>
    <comment ref="D317" authorId="1" shapeId="0" xr:uid="{D58013D1-C7B9-4794-8EB3-861F54FCE149}">
      <text>
        <r>
          <rPr>
            <sz val="9"/>
            <color indexed="81"/>
            <rFont val="Segoe UI"/>
            <family val="2"/>
          </rPr>
          <t xml:space="preserve">
1-Orgão 
2-Setor 
3-situação
4-data início
5-data fim 
6-Codigo 
7-status
8-CMD
9-MSG
</t>
        </r>
      </text>
    </comment>
    <comment ref="E317" authorId="1" shapeId="0" xr:uid="{66496038-6D71-453B-BA32-9267C38480FD}">
      <text>
        <r>
          <rPr>
            <sz val="9"/>
            <color indexed="81"/>
            <rFont val="Segoe UI"/>
            <family val="2"/>
          </rPr>
          <t xml:space="preserve">
1-Orgão
2-Setor
3-Solicitação de Transferencia Documental</t>
        </r>
      </text>
    </comment>
    <comment ref="D320" authorId="1" shapeId="0" xr:uid="{B6809FFD-AEFA-4E7D-B082-08B0CBEF5FEF}">
      <text>
        <r>
          <rPr>
            <sz val="9"/>
            <color indexed="81"/>
            <rFont val="Segoe UI"/>
            <charset val="1"/>
          </rPr>
          <t xml:space="preserve">
1 -Orgão origem
2 -setor origem
3 -Orgão destino 
4 -Setor Destino 
5 -Informação do tramite 
6 -Descrição 
7 -Classificação documental 
8 -Prazo de guarda
9 -Destinação
10-em lote 
11-caixa individual
12-Matricula 
13-CPF
14-Nome 
15-Email 
16-ID
17 -Descrição da Caixa
18 -Classificação Documental
19 -Interessado
20 -Descrição
21 -Número do Processo
22-Data
23-Ano
24-Volume
25-ID caixa
26-arquivo importado
27-Usuario assinatura
28-data assinatura
29-tipo assinatura
30-codigo verificador
31-codigo crc
32-link
33-Codigo QR
34-Aprovar em lote analise aprovação
35-Aprovar caixa analise aprovação
36-Considerações analise aprovação
37-Data inicio  analise aprovação
38-Data fim analise aprovação
39-Periodo analise aprovação
40-Idanaliseaprovação
41-Id Recebimento
42-Matricula resp recebimento
43-Orgão
44-Unidade
45-caixa
46-data inicio guarda
47-consideração analise
48-situação entregue
49-Consideração validação documento
50-id Consideração validação documento
51-id guarda 
52-Gênero Documental
53-Usuario assinante
54-data
55-tipo assinatura
56-Codigo verificador 
57-Codigo CRC</t>
        </r>
      </text>
    </comment>
    <comment ref="E320" authorId="1" shapeId="0" xr:uid="{47F800F5-D73C-4ECD-A64B-866059177B21}">
      <text>
        <r>
          <rPr>
            <sz val="9"/>
            <color indexed="81"/>
            <rFont val="Segoe UI"/>
            <charset val="1"/>
          </rPr>
          <t xml:space="preserve">
1-Solicitação de Transferencia Documental
2-Caixa
3-Documentos da caixa
4-Analise transferencia</t>
        </r>
      </text>
    </comment>
    <comment ref="D321" authorId="1" shapeId="0" xr:uid="{988E1B97-BDDA-4B1B-BB56-E432CF96CCA3}">
      <text>
        <r>
          <rPr>
            <sz val="9"/>
            <color indexed="81"/>
            <rFont val="Segoe UI"/>
            <family val="2"/>
          </rPr>
          <t xml:space="preserve">
1-Orgão origem
2-setor origem
3-Orgão destino 
4-Setor Destino 
5-Informação do tramite 
6-CMD
7-MSG
</t>
        </r>
      </text>
    </comment>
    <comment ref="E321" authorId="1" shapeId="0" xr:uid="{37C2A903-6154-4E4D-9222-A7DAF884D530}">
      <text>
        <r>
          <rPr>
            <sz val="9"/>
            <color indexed="81"/>
            <rFont val="Segoe UI"/>
            <family val="2"/>
          </rPr>
          <t xml:space="preserve">
1-Orgão
2-Setor
3-Solicitação de Transferencia Documental</t>
        </r>
      </text>
    </comment>
    <comment ref="D322" authorId="1" shapeId="0" xr:uid="{4450804C-BD77-45BC-B3BF-9C49E81AEE9F}">
      <text>
        <r>
          <rPr>
            <sz val="9"/>
            <color indexed="81"/>
            <rFont val="Segoe UI"/>
            <family val="2"/>
          </rPr>
          <t xml:space="preserve">
1-Descrição 
2-Classificação documental 
3-Prazo de guarda
4-Destinação
5-em lote 
6-caixa individual
7-Gênero Documental
8-CMD
9-MSG
</t>
        </r>
      </text>
    </comment>
    <comment ref="E322" authorId="1" shapeId="0" xr:uid="{521747A2-DC12-4ACE-8750-EC9FC230482A}">
      <text>
        <r>
          <rPr>
            <sz val="9"/>
            <color indexed="81"/>
            <rFont val="Segoe UI"/>
            <family val="2"/>
          </rPr>
          <t xml:space="preserve">
1-Servidor
2-Classificação documental
3-Solicitação de Transferencia Documental</t>
        </r>
      </text>
    </comment>
    <comment ref="D323" authorId="1" shapeId="0" xr:uid="{C49B2B53-3D54-4D0B-A6F6-4D5D5FCD21D6}">
      <text>
        <r>
          <rPr>
            <sz val="9"/>
            <color indexed="81"/>
            <rFont val="Segoe UI"/>
            <family val="2"/>
          </rPr>
          <t xml:space="preserve">
1-Matricula 
2-CPF
3-Nome 
4-Email 
5-CMD
6-MSG</t>
        </r>
      </text>
    </comment>
    <comment ref="E323" authorId="1" shapeId="0" xr:uid="{D283428D-FE47-4865-B837-6290EF817B1E}">
      <text>
        <r>
          <rPr>
            <sz val="9"/>
            <color indexed="81"/>
            <rFont val="Segoe UI"/>
            <family val="2"/>
          </rPr>
          <t xml:space="preserve">
1-Servidor
2-Solicitação de Transferencia Documental</t>
        </r>
      </text>
    </comment>
    <comment ref="D324" authorId="1" shapeId="0" xr:uid="{76EE1F0D-B2F2-43EC-AE05-D657AC791A5D}">
      <text>
        <r>
          <rPr>
            <sz val="9"/>
            <color indexed="81"/>
            <rFont val="Segoe UI"/>
            <family val="2"/>
          </rPr>
          <t xml:space="preserve">
1-Orgão origem
2-setor origem
3-Orgão destino 
4-Setor Destino 
5-Informação do tramite 
6-CMD
7-MSG
</t>
        </r>
      </text>
    </comment>
    <comment ref="E324" authorId="1" shapeId="0" xr:uid="{492919B1-51E9-4E49-B48E-99C8F9098EC4}">
      <text>
        <r>
          <rPr>
            <sz val="9"/>
            <color indexed="81"/>
            <rFont val="Segoe UI"/>
            <family val="2"/>
          </rPr>
          <t xml:space="preserve">
1-Orgão
2-Setor
3-Solicitação de Transferencia Documental</t>
        </r>
      </text>
    </comment>
    <comment ref="D325" authorId="1" shapeId="0" xr:uid="{DA141C77-35A6-4E55-BD81-84995D803CF8}">
      <text>
        <r>
          <rPr>
            <sz val="9"/>
            <color indexed="81"/>
            <rFont val="Segoe UI"/>
            <family val="2"/>
          </rPr>
          <t xml:space="preserve">
1-Orgão origem
2-setor origem
3-Orgão destino 
4-Setor Destino 
5-Informação do tramite 
6-Descrição 
7-Classificação documental 
8-Prazo de guarda
9-Destinação
10-em lote 
11-caixa individual
12-Sequencia
13-Interessado
14-Descrição Documento da Caixa
15-Número do Processo
16-Ano
17-Matricula 
18-CPF
19-Nome 
20-Email 
</t>
        </r>
      </text>
    </comment>
    <comment ref="E325" authorId="1" shapeId="0" xr:uid="{409CEE07-A732-44BB-A02A-CF4A82A6745D}">
      <text>
        <r>
          <rPr>
            <sz val="9"/>
            <color indexed="81"/>
            <rFont val="Segoe UI"/>
            <family val="2"/>
          </rPr>
          <t xml:space="preserve">
1-Servidor
2-Classificação documental
3-Solicitação de Transferencia Documental</t>
        </r>
      </text>
    </comment>
    <comment ref="D326" authorId="1" shapeId="0" xr:uid="{3DE030DD-40B1-49AB-A06F-8F95E6266812}">
      <text>
        <r>
          <rPr>
            <sz val="9"/>
            <color indexed="81"/>
            <rFont val="Segoe UI"/>
            <family val="2"/>
          </rPr>
          <t xml:space="preserve">
1-Descrição 
2-Classificação documental 
3-Prazo de guarda
4-Destinação
5-em lote 
6-caixa individual
7-Gênero Documental
8-CMD
9-MSG
</t>
        </r>
      </text>
    </comment>
    <comment ref="E326" authorId="1" shapeId="0" xr:uid="{6CD37BF1-C8BB-412B-8EEE-A6806F9EB851}">
      <text>
        <r>
          <rPr>
            <sz val="9"/>
            <color indexed="81"/>
            <rFont val="Segoe UI"/>
            <family val="2"/>
          </rPr>
          <t xml:space="preserve">
1-Servidor
2-Classificação documental
3-Solicitação de Transferencia Documental</t>
        </r>
      </text>
    </comment>
    <comment ref="D327" authorId="1" shapeId="0" xr:uid="{5F60ADF7-7D62-4D58-9CD9-E7C25F8EFE0A}">
      <text>
        <r>
          <rPr>
            <sz val="9"/>
            <color indexed="81"/>
            <rFont val="Segoe UI"/>
            <family val="2"/>
          </rPr>
          <t xml:space="preserve">
1-Matricula 
2-CPF
3-Nome 
4-Email 
5-CMD
6-MSG</t>
        </r>
      </text>
    </comment>
    <comment ref="E327" authorId="1" shapeId="0" xr:uid="{4FFBA182-00A5-4D36-B56E-B08771C5B996}">
      <text>
        <r>
          <rPr>
            <sz val="9"/>
            <color indexed="81"/>
            <rFont val="Segoe UI"/>
            <family val="2"/>
          </rPr>
          <t xml:space="preserve">
1-Servidor
2-Solicitação de Transferencia Documental</t>
        </r>
      </text>
    </comment>
    <comment ref="D328" authorId="1" shapeId="0" xr:uid="{634B0153-E746-48EB-9659-8E6AD505C179}">
      <text>
        <r>
          <rPr>
            <sz val="9"/>
            <color indexed="81"/>
            <rFont val="Segoe UI"/>
            <family val="2"/>
          </rPr>
          <t xml:space="preserve">
1-Orgão origem
2-setor origem
3-Orgão destino 
4-Setor Destino 
5-Informação do tramite 
6-Descrição 
7-Classificação documental 
8-Prazo de guarda
9-Destinação
10-em lote 
11-caixa individual
12-Sequencia
13-Interessado
14-Descrição Documento da Caixa
15-Número do Processo
16-Ano
17-Matricula 
18-CPF
19-Nome 
20-Email 
21-Gênero Documental
22-CMD
23-MSG
</t>
        </r>
      </text>
    </comment>
    <comment ref="E328" authorId="1" shapeId="0" xr:uid="{E6283C42-6040-495C-AB1B-C84A7C6E77B7}">
      <text>
        <r>
          <rPr>
            <sz val="9"/>
            <color indexed="81"/>
            <rFont val="Segoe UI"/>
            <family val="2"/>
          </rPr>
          <t xml:space="preserve">
1-Servidor
2-Classificação documental
3-Solicitação de Transferencia Documental</t>
        </r>
      </text>
    </comment>
    <comment ref="D329" authorId="1" shapeId="0" xr:uid="{E4CCF15F-A703-4B7A-9B66-BDA7387D4566}">
      <text>
        <r>
          <rPr>
            <sz val="9"/>
            <color indexed="81"/>
            <rFont val="Segoe UI"/>
            <family val="2"/>
          </rPr>
          <t xml:space="preserve">
1-Codigo
2-CMD
3-MSG</t>
        </r>
      </text>
    </comment>
    <comment ref="E329" authorId="1" shapeId="0" xr:uid="{2A59A962-DD4B-4581-9182-A75F23F2E08B}">
      <text>
        <r>
          <rPr>
            <sz val="9"/>
            <color indexed="81"/>
            <rFont val="Segoe UI"/>
            <family val="2"/>
          </rPr>
          <t xml:space="preserve">
1-Solicitação de Transferencia Documental</t>
        </r>
      </text>
    </comment>
    <comment ref="D330" authorId="1" shapeId="0" xr:uid="{F9AF1E61-AF54-4BCF-8FD2-F27EDEFAF070}">
      <text>
        <r>
          <rPr>
            <sz val="9"/>
            <color indexed="81"/>
            <rFont val="Segoe UI"/>
            <family val="2"/>
          </rPr>
          <t xml:space="preserve">
1-Código
2-Situação
3-CMD
4-MSG</t>
        </r>
      </text>
    </comment>
    <comment ref="E330" authorId="1" shapeId="0" xr:uid="{86C3BE34-CA40-4102-BCB5-4DBC4B8D2DD8}">
      <text>
        <r>
          <rPr>
            <sz val="9"/>
            <color indexed="81"/>
            <rFont val="Segoe UI"/>
            <family val="2"/>
          </rPr>
          <t xml:space="preserve">
1-Solicitação de Transferencia Documental</t>
        </r>
      </text>
    </comment>
    <comment ref="D331" authorId="1" shapeId="0" xr:uid="{7F1DB6F4-98CA-4EE3-8AC5-FA9E188DE5D2}">
      <text>
        <r>
          <rPr>
            <sz val="9"/>
            <color indexed="81"/>
            <rFont val="Segoe UI"/>
            <family val="2"/>
          </rPr>
          <t xml:space="preserve">
1 -Descrição 
2 -Classificação documental 
3 -Prazo de guarda
4 -Destinação
5 -Gênero Documental
6 -em lote 
7 -caixa individual
8 -Sequencia
9 -Interessado
10-Descrição Documento da Caixa
11-Número do Processo
12-CMD
13-MSG</t>
        </r>
      </text>
    </comment>
    <comment ref="E331" authorId="1" shapeId="0" xr:uid="{F7237505-FD00-4906-BBEB-D1A14D5626F4}">
      <text>
        <r>
          <rPr>
            <sz val="9"/>
            <color indexed="81"/>
            <rFont val="Segoe UI"/>
            <family val="2"/>
          </rPr>
          <t xml:space="preserve">
1-Servidor
2-Classificação documental
3-Solicitação de Transferencia Documental</t>
        </r>
      </text>
    </comment>
    <comment ref="D334" authorId="1" shapeId="0" xr:uid="{B0C79DDA-C984-48CE-8A8A-69A5101CAE87}">
      <text>
        <r>
          <rPr>
            <sz val="9"/>
            <color indexed="81"/>
            <rFont val="Segoe UI"/>
            <family val="2"/>
          </rPr>
          <t xml:space="preserve">
1 -Órgão/Entidade Origem
2 -Setor/Unidade Origem
3 -Órgão/Entidade Destino
4 -Setor/Unidade Origem
5 -Descrição da Caixa
6 -Classificação Documental
7 -Interessado
8 -Descrição
9 -Número do Processo
10-Data
11-Ano
12-Volume
13-Gênero Documental
14-CMD
15-MSG</t>
        </r>
      </text>
    </comment>
    <comment ref="E334" authorId="1" shapeId="0" xr:uid="{AA8501CF-54BA-46E8-A597-4F19E0620C8C}">
      <text>
        <r>
          <rPr>
            <sz val="9"/>
            <color indexed="81"/>
            <rFont val="Segoe UI"/>
            <family val="2"/>
          </rPr>
          <t xml:space="preserve">
1-Orgão
2-Setor
3-Solicitação de Transferencia Documental</t>
        </r>
      </text>
    </comment>
    <comment ref="D335" authorId="1" shapeId="0" xr:uid="{A00B14F4-8BA2-4473-8566-0096BAA3D1BE}">
      <text>
        <r>
          <rPr>
            <sz val="9"/>
            <color indexed="81"/>
            <rFont val="Segoe UI"/>
            <family val="2"/>
          </rPr>
          <t xml:space="preserve">
1 -Órgão/Entidade Origem
2 -Setor/Unidade Origem
3 -Órgão/Entidade Destino
4 -Setor/Unidade Origem
5 -Descrição da Caixa
6 -Classificação Documental
7 -Interessado
8 -Descrição
9 -Número do Processo
10-Data
11-Ano
12-Volume
13-Gênero Documental
14-CMD
15-MSG</t>
        </r>
      </text>
    </comment>
    <comment ref="E335" authorId="1" shapeId="0" xr:uid="{90D0490D-E2EE-4F33-9994-7C6F7F4842D8}">
      <text>
        <r>
          <rPr>
            <sz val="9"/>
            <color indexed="81"/>
            <rFont val="Segoe UI"/>
            <family val="2"/>
          </rPr>
          <t xml:space="preserve">
1-Orgão
2-Setor
3-Solicitação de Transferencia Documental</t>
        </r>
      </text>
    </comment>
    <comment ref="D336" authorId="1" shapeId="0" xr:uid="{8B0BD197-6B66-4599-8F9B-B320E626A009}">
      <text>
        <r>
          <rPr>
            <sz val="9"/>
            <color indexed="81"/>
            <rFont val="Segoe UI"/>
            <family val="2"/>
          </rPr>
          <t xml:space="preserve">
1 -Órgão/Entidade Origem
2 -Setor/Unidade Origem
3 -Órgão/Entidade Destino
4 -Setor/Unidade Origem
5 -Descrição da Caixa
6 -Classificação Documental
7 -Interessado
8 -Descrição
9 -Número do Processo
10-Data
11-Ano
12-Volume
13-Gênero Documental</t>
        </r>
      </text>
    </comment>
    <comment ref="E336" authorId="1" shapeId="0" xr:uid="{FBBDEBF9-821E-43F4-A8AF-3C7798D246FC}">
      <text>
        <r>
          <rPr>
            <sz val="9"/>
            <color indexed="81"/>
            <rFont val="Segoe UI"/>
            <family val="2"/>
          </rPr>
          <t xml:space="preserve">
1-Orgão
2-Setor
3-Solicitação de Transferencia Documental</t>
        </r>
      </text>
    </comment>
    <comment ref="D337" authorId="1" shapeId="0" xr:uid="{5C0474BF-4E2D-413B-89EF-D6852CFD8DA7}">
      <text>
        <r>
          <rPr>
            <sz val="9"/>
            <color indexed="81"/>
            <rFont val="Segoe UI"/>
            <family val="2"/>
          </rPr>
          <t xml:space="preserve">
1 -Órgão/Entidade Origem
2 -Setor/Unidade Origem
3 -Órgão/Entidade Destino
4 -Setor/Unidade Origem
5 -Descrição da Caixa
6 -Classificação Documental
7 -Interessado
8 -Descrição
9 -Número do Processo
10-Data
11-Ano
12-Volume
13-Gênero Documental
14-CMD
15-MSG</t>
        </r>
      </text>
    </comment>
    <comment ref="E337" authorId="1" shapeId="0" xr:uid="{E70DC2E2-4884-47CC-9549-789724EFAECC}">
      <text>
        <r>
          <rPr>
            <sz val="9"/>
            <color indexed="81"/>
            <rFont val="Segoe UI"/>
            <family val="2"/>
          </rPr>
          <t xml:space="preserve">
1-Orgão
2-Setor
3-Solicitação de Transferencia Documental</t>
        </r>
      </text>
    </comment>
    <comment ref="D338" authorId="1" shapeId="0" xr:uid="{5CF7C3ED-BB21-4DDE-BA49-759384AEBEBC}">
      <text>
        <r>
          <rPr>
            <sz val="9"/>
            <color indexed="81"/>
            <rFont val="Segoe UI"/>
            <family val="2"/>
          </rPr>
          <t xml:space="preserve">
1-Codigo
2-CMD
3-MSG</t>
        </r>
      </text>
    </comment>
    <comment ref="E338" authorId="1" shapeId="0" xr:uid="{C43F9072-5E8F-4C5C-8F26-B5D71A50B3CA}">
      <text>
        <r>
          <rPr>
            <sz val="9"/>
            <color indexed="81"/>
            <rFont val="Segoe UI"/>
            <family val="2"/>
          </rPr>
          <t xml:space="preserve">
1-Solicitação de Transferencia Documental</t>
        </r>
      </text>
    </comment>
    <comment ref="D339" authorId="1" shapeId="0" xr:uid="{49702961-A713-4768-9B7E-E0B6C169A8C7}">
      <text>
        <r>
          <rPr>
            <sz val="9"/>
            <color indexed="81"/>
            <rFont val="Segoe UI"/>
            <family val="2"/>
          </rPr>
          <t xml:space="preserve">
1-Sequencia 
2-interessado
3-descrição
4-numero processo
5-ano
6-CMD
7-MSG</t>
        </r>
      </text>
    </comment>
    <comment ref="E339" authorId="1" shapeId="0" xr:uid="{F599D151-C952-4768-A93D-FD727958F935}">
      <text>
        <r>
          <rPr>
            <sz val="9"/>
            <color indexed="81"/>
            <rFont val="Segoe UI"/>
            <family val="2"/>
          </rPr>
          <t xml:space="preserve">
1-Orgão
2-Setor
3-Solicitação de Transferencia Documental</t>
        </r>
      </text>
    </comment>
    <comment ref="D340" authorId="1" shapeId="0" xr:uid="{8F7DA805-2732-4463-A251-D88A43615BAC}">
      <text>
        <r>
          <rPr>
            <sz val="9"/>
            <color indexed="81"/>
            <rFont val="Segoe UI"/>
            <family val="2"/>
          </rPr>
          <t xml:space="preserve">
1-Arquivo
2-CMD
3-MSG</t>
        </r>
      </text>
    </comment>
    <comment ref="E340" authorId="1" shapeId="0" xr:uid="{E7D35D7E-6DA5-4FEB-A2E8-BDCA09F17E23}">
      <text>
        <r>
          <rPr>
            <sz val="9"/>
            <color indexed="81"/>
            <rFont val="Segoe UI"/>
            <family val="2"/>
          </rPr>
          <t xml:space="preserve">
1-Solicitação de Transferencia Documental</t>
        </r>
      </text>
    </comment>
    <comment ref="D343" authorId="1" shapeId="0" xr:uid="{44D8112C-F1E1-4816-A903-AA2B2F27F379}">
      <text>
        <r>
          <rPr>
            <sz val="9"/>
            <color indexed="81"/>
            <rFont val="Segoe UI"/>
            <family val="2"/>
          </rPr>
          <t xml:space="preserve">
1 -Orgão Origem 
2 -Unidade setor
3 -Codigo 
4 -Assunto 
5 -Amp omocoaç 
6 -Amp fomaç 
7 -Tipo Acondicionamento 
8 -QTD 
9 -Numero de caixas 
10-Orgão entidade 
11-caixa numero 
12-Codigo e assunto 
13-Data limite 
14-Interessado
15-Descrição
16-numero do processo
17-Ano 
18-Data 
19-Qtd de volumes 
20-CMD
21-MSG</t>
        </r>
      </text>
    </comment>
    <comment ref="E343" authorId="1" shapeId="0" xr:uid="{C489E296-741E-4344-9DF2-77F70CBEA5AD}">
      <text>
        <r>
          <rPr>
            <sz val="9"/>
            <color indexed="81"/>
            <rFont val="Segoe UI"/>
            <family val="2"/>
          </rPr>
          <t xml:space="preserve">
1-Solicitação de Transferencia Documental
2-Orgão
3-Unidade
4-Servidor</t>
        </r>
      </text>
    </comment>
    <comment ref="D346" authorId="1" shapeId="0" xr:uid="{C07A9475-4590-43D2-AB5F-2854D36C8431}">
      <text>
        <r>
          <rPr>
            <sz val="9"/>
            <color indexed="81"/>
            <rFont val="Segoe UI"/>
            <family val="2"/>
          </rPr>
          <t xml:space="preserve">
1-Usuario
2-Senha
3-Codigo verificador
4-Codigo CRC
5-CMD
6-MSG</t>
        </r>
      </text>
    </comment>
    <comment ref="E346" authorId="1" shapeId="0" xr:uid="{EA65A8E3-BC15-4533-92AF-5FB661385711}">
      <text>
        <r>
          <rPr>
            <sz val="9"/>
            <color indexed="81"/>
            <rFont val="Segoe UI"/>
            <family val="2"/>
          </rPr>
          <t xml:space="preserve">
1-Solicitação de Transferencia Documental</t>
        </r>
      </text>
    </comment>
    <comment ref="D349" authorId="1" shapeId="0" xr:uid="{15C14D12-82BD-4F20-A5DB-1110404392BC}">
      <text>
        <r>
          <rPr>
            <sz val="9"/>
            <color indexed="81"/>
            <rFont val="Segoe UI"/>
            <family val="2"/>
          </rPr>
          <t xml:space="preserve">
1 -Nome
2 -CPF
3 -Matricula
4 -Orgão requerente 
5 -Unidade 
6 -Email 
7 -IDs caixas
8 -descrições das caixas
9-Usuario
10-Codigo verificador
11-Codigo CRC
12-Data assinatura
13-CMD
14-MSG
</t>
        </r>
      </text>
    </comment>
    <comment ref="E349" authorId="1" shapeId="0" xr:uid="{03539A6A-BA92-4569-9A6D-DBA8B1A6C749}">
      <text>
        <r>
          <rPr>
            <sz val="9"/>
            <color indexed="81"/>
            <rFont val="Segoe UI"/>
            <family val="2"/>
          </rPr>
          <t xml:space="preserve">
1-Solicitação de Transferencia Documental
2-Orgão
3-Unidade
4-Servidor</t>
        </r>
      </text>
    </comment>
    <comment ref="D352" authorId="1" shapeId="0" xr:uid="{F223B8EA-9A58-4C6F-8C35-96BE6462413B}">
      <text>
        <r>
          <rPr>
            <sz val="9"/>
            <color indexed="81"/>
            <rFont val="Segoe UI"/>
            <family val="2"/>
          </rPr>
          <t xml:space="preserve">
1 -Orgão origem
2 -setor origem
3 -Orgão destino 
4 -Setor Destino 
5 -Informação do tramite 
6 -Descrição 
7 -Classificação documental 
8 -Prazo de guarda
9 -Destinação
10-Sequencia 
11-interessado
12-Descrição
13-Numero processo 
14-Ano 
15-Gênero Documental
16-CMD
17-MSG</t>
        </r>
      </text>
    </comment>
    <comment ref="E352" authorId="1" shapeId="0" xr:uid="{70804B6D-0D3B-4D7E-B91D-C5549D58F462}">
      <text>
        <r>
          <rPr>
            <sz val="9"/>
            <color indexed="81"/>
            <rFont val="Segoe UI"/>
            <family val="2"/>
          </rPr>
          <t xml:space="preserve">
1-Solicitação de Transferencia Documental
2-Caixa
3-Documentos da caixa</t>
        </r>
      </text>
    </comment>
    <comment ref="D353" authorId="1" shapeId="0" xr:uid="{2081D022-CF52-4FB3-A145-1E3B06832997}">
      <text>
        <r>
          <rPr>
            <sz val="9"/>
            <color indexed="81"/>
            <rFont val="Segoe UI"/>
            <family val="2"/>
          </rPr>
          <t xml:space="preserve">
1 -Aprovar em lote
2 -Aprovar caixa 
3 -Considerações
4 -Data inicio 
5 -Data fim 
6 -Periodo
7 -CMD
8-MSG</t>
        </r>
      </text>
    </comment>
    <comment ref="E353" authorId="1" shapeId="0" xr:uid="{A81951A4-4E7F-49EC-8AD4-F1765B3CB562}">
      <text>
        <r>
          <rPr>
            <sz val="9"/>
            <color indexed="81"/>
            <rFont val="Segoe UI"/>
            <family val="2"/>
          </rPr>
          <t xml:space="preserve">
1-Solicitação de Transferencia Documental
</t>
        </r>
      </text>
    </comment>
    <comment ref="D354" authorId="1" shapeId="0" xr:uid="{74B09B3A-80BD-469F-BF53-9507659C35F9}">
      <text>
        <r>
          <rPr>
            <sz val="9"/>
            <color indexed="81"/>
            <rFont val="Segoe UI"/>
            <family val="2"/>
          </rPr>
          <t xml:space="preserve">
1 -Aprovar em lote
2 -Aprovar caixa 
3 -Considerações
4 -Data inicio 
5 -Data fim 
6 -Periodo
7 -CMD
8-MSG</t>
        </r>
      </text>
    </comment>
    <comment ref="E354" authorId="1" shapeId="0" xr:uid="{AB39E915-ACCD-4AD4-8C45-01F55D28A39C}">
      <text>
        <r>
          <rPr>
            <sz val="9"/>
            <color indexed="81"/>
            <rFont val="Segoe UI"/>
            <family val="2"/>
          </rPr>
          <t xml:space="preserve">
1-Solicitação de Transferencia Documental
</t>
        </r>
      </text>
    </comment>
    <comment ref="D355" authorId="1" shapeId="0" xr:uid="{F9C0A053-AAA6-4BE0-8A1B-3E97E2BA1DEA}">
      <text>
        <r>
          <rPr>
            <sz val="9"/>
            <color indexed="81"/>
            <rFont val="Segoe UI"/>
            <family val="2"/>
          </rPr>
          <t xml:space="preserve">
1-Codigo Caixa 
2-descrição
3-classificação
4-Prazo
5-Destinação
6-Genero documental 
7-CMD
8-MSG</t>
        </r>
      </text>
    </comment>
    <comment ref="E355" authorId="1" shapeId="0" xr:uid="{4730F3C7-652B-41D7-9A38-0EED9D408360}">
      <text>
        <r>
          <rPr>
            <sz val="9"/>
            <color indexed="81"/>
            <rFont val="Segoe UI"/>
            <family val="2"/>
          </rPr>
          <t xml:space="preserve">
1-Solicitação de Transferencia Documental
</t>
        </r>
      </text>
    </comment>
    <comment ref="D358" authorId="1" shapeId="0" xr:uid="{B3C47AEE-36AD-41FF-9EDA-DF2EEA0FAEC7}">
      <text>
        <r>
          <rPr>
            <sz val="9"/>
            <color indexed="81"/>
            <rFont val="Segoe UI"/>
            <family val="2"/>
          </rPr>
          <t xml:space="preserve">
1 -Orgão origem
2 -setor origem
3 -Orgão destino 
4 -Setor Destino 
5 -Informação do tramite 
6 -Descrição 
7 -Classificação documental 
8 -Prazo de guarda
9 -Destinação
10-Sequencia 
11-interessado
12-Descrição
13-Numero processo 
14-Ano 
15-Situação analise
16-Considerações
17-Data inicio 
18-Data fim 
19-Periodo
20-Gênero Documental
21-CMD
22-MSG</t>
        </r>
      </text>
    </comment>
    <comment ref="E358" authorId="1" shapeId="0" xr:uid="{6E8ABEDC-49F3-4573-9A2A-F53B5CD02EDF}">
      <text>
        <r>
          <rPr>
            <sz val="9"/>
            <color indexed="81"/>
            <rFont val="Segoe UI"/>
            <family val="2"/>
          </rPr>
          <t xml:space="preserve">
1-Solicitação de Transferencia Documental
2-Caixa
3-Documentos da caixa</t>
        </r>
      </text>
    </comment>
    <comment ref="D361" authorId="1" shapeId="0" xr:uid="{CD8602A7-6612-4875-A542-B6C91E6939E2}">
      <text>
        <r>
          <rPr>
            <sz val="9"/>
            <color indexed="81"/>
            <rFont val="Segoe UI"/>
            <family val="2"/>
          </rPr>
          <t xml:space="preserve">
1 -Orgão origem
2 -setor origem
3 -Orgão destino 
4 -Setor Destino 
5 -Informação do tramite 
6 -Caixa 
7 -Classificação documental 
8 -Prazo de guarda
9 -Destinação
10-Sequencia 
11-interessado
12-Descrição
13-Numero processo 
14-Ano
15-Considerações da Análise
16-Data inicio para entrega
17-Data fim para entrega
18-Período para entrega
19-Genero documental
20-CMD
21-MSG</t>
        </r>
      </text>
    </comment>
    <comment ref="E361" authorId="1" shapeId="0" xr:uid="{D1ADE34C-4FD7-4CDE-B2E9-1BD877D5D76F}">
      <text>
        <r>
          <rPr>
            <sz val="9"/>
            <color indexed="81"/>
            <rFont val="Segoe UI"/>
            <family val="2"/>
          </rPr>
          <t xml:space="preserve">
1-Solicitação de Transferencia Documental
2-Orgão
3-Unidade</t>
        </r>
      </text>
    </comment>
    <comment ref="D362" authorId="1" shapeId="0" xr:uid="{53E70B8B-AC6E-41B1-B0FA-7CD580A2D71A}">
      <text>
        <r>
          <rPr>
            <sz val="9"/>
            <color indexed="81"/>
            <rFont val="Segoe UI"/>
            <family val="2"/>
          </rPr>
          <t xml:space="preserve">
1 -Caixa
2 -Data inicio guarda
3 -Considerações da analise
4 -CMD
5 -MSG</t>
        </r>
      </text>
    </comment>
    <comment ref="E362" authorId="1" shapeId="0" xr:uid="{6B907ADA-376F-4579-B773-BAD90C948D7A}">
      <text>
        <r>
          <rPr>
            <sz val="9"/>
            <color indexed="81"/>
            <rFont val="Segoe UI"/>
            <family val="2"/>
          </rPr>
          <t xml:space="preserve">
1-Solicitação de Transferencia Documental
</t>
        </r>
      </text>
    </comment>
    <comment ref="D363" authorId="1" shapeId="0" xr:uid="{7031706B-118F-4C6C-A090-CECF37816A5B}">
      <text>
        <r>
          <rPr>
            <sz val="9"/>
            <color indexed="81"/>
            <rFont val="Segoe UI"/>
            <family val="2"/>
          </rPr>
          <t xml:space="preserve">
1 -Caixa
2 -Sala
3-Modulo 
4-Fileira
5-Estante
6-Face
7-Bandeja
8-CMD</t>
        </r>
      </text>
    </comment>
    <comment ref="E363" authorId="1" shapeId="0" xr:uid="{F37F0EF7-69F3-4770-9DE6-D316F9B9DB1A}">
      <text>
        <r>
          <rPr>
            <sz val="9"/>
            <color indexed="81"/>
            <rFont val="Segoe UI"/>
            <family val="2"/>
          </rPr>
          <t xml:space="preserve">
1-Caixa</t>
        </r>
      </text>
    </comment>
    <comment ref="D364" authorId="1" shapeId="0" xr:uid="{E98C8878-9247-41E8-AB62-D157C7BFB82C}">
      <text>
        <r>
          <rPr>
            <sz val="9"/>
            <color indexed="81"/>
            <rFont val="Segoe UI"/>
            <family val="2"/>
          </rPr>
          <t xml:space="preserve">
1 -Classificação documental
2 -Prazo
3 -Destinação
4 -Caixa
5 -Sala
6-Modulo 
7-Fileira
8-Estante
9-Face
10-Bandeja
11-CMD</t>
        </r>
      </text>
    </comment>
    <comment ref="E364" authorId="1" shapeId="0" xr:uid="{240A0ABF-090F-4455-976C-C9C4A5C7E102}">
      <text>
        <r>
          <rPr>
            <sz val="9"/>
            <color indexed="81"/>
            <rFont val="Segoe UI"/>
            <family val="2"/>
          </rPr>
          <t xml:space="preserve">
1-Solicitação de Transferencia Documental
2-Caixa
3-Documentos da caixa</t>
        </r>
      </text>
    </comment>
    <comment ref="D365" authorId="1" shapeId="0" xr:uid="{B9457332-46DD-4DD6-A9E6-AE1D75F54B69}">
      <text>
        <r>
          <rPr>
            <sz val="9"/>
            <color indexed="81"/>
            <rFont val="Segoe UI"/>
            <family val="2"/>
          </rPr>
          <t xml:space="preserve">
1-Codigo
2-CMD
3-MSG</t>
        </r>
      </text>
    </comment>
    <comment ref="E365" authorId="1" shapeId="0" xr:uid="{C1E7AB55-1FAE-43D2-B48F-A7B27DC82F5E}">
      <text>
        <r>
          <rPr>
            <sz val="9"/>
            <color indexed="81"/>
            <rFont val="Segoe UI"/>
            <family val="2"/>
          </rPr>
          <t xml:space="preserve">
1-Solicitação de Transferencia Documental</t>
        </r>
      </text>
    </comment>
    <comment ref="D366" authorId="1" shapeId="0" xr:uid="{2D89B268-CAB0-4F3A-9054-8F01368CD450}">
      <text>
        <r>
          <rPr>
            <sz val="9"/>
            <color indexed="81"/>
            <rFont val="Segoe UI"/>
            <family val="2"/>
          </rPr>
          <t xml:space="preserve">
1-Còdigo
2-Situação
3-CMD
4-MSG</t>
        </r>
      </text>
    </comment>
    <comment ref="E366" authorId="1" shapeId="0" xr:uid="{03145F77-1EA8-474A-B6AE-20AA85F268C4}">
      <text>
        <r>
          <rPr>
            <sz val="9"/>
            <color indexed="81"/>
            <rFont val="Segoe UI"/>
            <family val="2"/>
          </rPr>
          <t xml:space="preserve">
1-Solicitação de Transferencia Documental</t>
        </r>
      </text>
    </comment>
    <comment ref="D367" authorId="1" shapeId="0" xr:uid="{98CB9C0A-FF47-4510-965C-BBB69D7B5BF4}">
      <text>
        <r>
          <rPr>
            <sz val="9"/>
            <color indexed="81"/>
            <rFont val="Segoe UI"/>
            <family val="2"/>
          </rPr>
          <t xml:space="preserve">
1-Matricula
2-CPF
3-Nome
4-Email
5-Orgão
6-Unidade
7-CMD
8-MSG</t>
        </r>
      </text>
    </comment>
    <comment ref="E367" authorId="1" shapeId="0" xr:uid="{75BB9A85-93F9-46AD-8A12-A11A5C64CB46}">
      <text>
        <r>
          <rPr>
            <sz val="9"/>
            <color indexed="81"/>
            <rFont val="Segoe UI"/>
            <family val="2"/>
          </rPr>
          <t xml:space="preserve">
1-Solicitação de Transferencia Documental
2-Servidor
3-Orgao
4-Unidade</t>
        </r>
      </text>
    </comment>
    <comment ref="D368" authorId="1" shapeId="0" xr:uid="{D89801A0-D9CC-4D73-899D-9DF83065424F}">
      <text>
        <r>
          <rPr>
            <sz val="9"/>
            <color indexed="81"/>
            <rFont val="Segoe UI"/>
            <family val="2"/>
          </rPr>
          <t xml:space="preserve">
1-Situação entregue
2-Consideração
3-CMD 
4-MSG</t>
        </r>
      </text>
    </comment>
    <comment ref="E368" authorId="1" shapeId="0" xr:uid="{0A133F54-3298-4598-9354-F18EF1ADB26F}">
      <text>
        <r>
          <rPr>
            <sz val="9"/>
            <color indexed="81"/>
            <rFont val="Segoe UI"/>
            <family val="2"/>
          </rPr>
          <t xml:space="preserve">
1-Solicitação de Transferencia Documental</t>
        </r>
      </text>
    </comment>
    <comment ref="D369" authorId="1" shapeId="0" xr:uid="{3A160A42-B7F7-46C7-A84B-A83BFF4FA272}">
      <text>
        <r>
          <rPr>
            <sz val="9"/>
            <color indexed="81"/>
            <rFont val="Segoe UI"/>
            <family val="2"/>
          </rPr>
          <t xml:space="preserve">
1 -Sequencia 
2 -interessado
3 -Descrição 
4 -Numero 
5 -Ano 
6 -Situação 
7 -CMD
8 -MSG</t>
        </r>
      </text>
    </comment>
    <comment ref="E369" authorId="1" shapeId="0" xr:uid="{399B9B93-E6CE-46D2-84FF-FDCBEA68B121}">
      <text>
        <r>
          <rPr>
            <sz val="9"/>
            <color indexed="81"/>
            <rFont val="Segoe UI"/>
            <family val="2"/>
          </rPr>
          <t xml:space="preserve">
1-Solicitação de Transferencia Documental
2-Caixa
3-Documentos da caixa</t>
        </r>
      </text>
    </comment>
    <comment ref="D370" authorId="1" shapeId="0" xr:uid="{8CA18FBE-994C-4B18-849A-F2EF988AB8C4}">
      <text>
        <r>
          <rPr>
            <sz val="9"/>
            <color indexed="81"/>
            <rFont val="Segoe UI"/>
            <family val="2"/>
          </rPr>
          <t xml:space="preserve">
1-Numero
2-CMD
3-MSG</t>
        </r>
      </text>
    </comment>
    <comment ref="E370" authorId="1" shapeId="0" xr:uid="{CCE94935-EDEB-4BA8-9D0A-328C8C2128FF}">
      <text>
        <r>
          <rPr>
            <sz val="9"/>
            <color indexed="81"/>
            <rFont val="Segoe UI"/>
            <family val="2"/>
          </rPr>
          <t xml:space="preserve">
1-Solicitação de Transferencia Documental</t>
        </r>
      </text>
    </comment>
    <comment ref="D371" authorId="1" shapeId="0" xr:uid="{56A7C077-5EDF-497F-8F79-0FF784A3B2B0}">
      <text>
        <r>
          <rPr>
            <sz val="9"/>
            <color indexed="81"/>
            <rFont val="Segoe UI"/>
            <family val="2"/>
          </rPr>
          <t xml:space="preserve">1. Código
2. Descrição
3. Situação
4. CMD
</t>
        </r>
      </text>
    </comment>
    <comment ref="E371" authorId="1" shapeId="0" xr:uid="{02330019-F713-4AAC-90F8-5924AF6CE2A4}">
      <text>
        <r>
          <rPr>
            <sz val="9"/>
            <color indexed="81"/>
            <rFont val="Segoe UI"/>
            <family val="2"/>
          </rPr>
          <t>1 - Caixa
2 - Órgão
3 - Setor</t>
        </r>
      </text>
    </comment>
    <comment ref="D374" authorId="1" shapeId="0" xr:uid="{0AC5929C-54B7-439E-9277-0A773FD1A717}">
      <text>
        <r>
          <rPr>
            <sz val="9"/>
            <color indexed="81"/>
            <rFont val="Segoe UI"/>
            <family val="2"/>
          </rPr>
          <t xml:space="preserve">
1 -Nome
2 -CPF
3 -Matricula
4 -Orgão requerente 
5 -Unidade 
6 -Email 
7 -IDs caixas
8 -descrições das caixas
9 -CMD
10-MSG
</t>
        </r>
      </text>
    </comment>
    <comment ref="E374" authorId="1" shapeId="0" xr:uid="{CC2078BB-AA88-426C-BD82-34B47F088895}">
      <text>
        <r>
          <rPr>
            <sz val="9"/>
            <color indexed="81"/>
            <rFont val="Segoe UI"/>
            <family val="2"/>
          </rPr>
          <t xml:space="preserve">
1-Solicitação de Transferencia Documental
2-Orgão
3-Unidade
4-Servidor</t>
        </r>
      </text>
    </comment>
    <comment ref="D375" authorId="1" shapeId="0" xr:uid="{A9317119-347F-4D02-812E-9972C4E9CAE2}">
      <text>
        <r>
          <rPr>
            <sz val="9"/>
            <color indexed="81"/>
            <rFont val="Segoe UI"/>
            <family val="2"/>
          </rPr>
          <t xml:space="preserve">
1-Còdigo
2-Situação
3-CMD
4-MSG</t>
        </r>
      </text>
    </comment>
    <comment ref="E375" authorId="1" shapeId="0" xr:uid="{794CDFAB-B7B7-4670-BF08-6AA1A557565F}">
      <text>
        <r>
          <rPr>
            <sz val="9"/>
            <color indexed="81"/>
            <rFont val="Segoe UI"/>
            <family val="2"/>
          </rPr>
          <t xml:space="preserve">
1-Solicitação de Transferencia Documental</t>
        </r>
      </text>
    </comment>
    <comment ref="D378" authorId="1" shapeId="0" xr:uid="{FB8DB973-4A06-4A4A-9F35-F0C2FC0453D2}">
      <text>
        <r>
          <rPr>
            <sz val="9"/>
            <color indexed="81"/>
            <rFont val="Segoe UI"/>
            <family val="2"/>
          </rPr>
          <t xml:space="preserve">
1 -Nome
2 -CPF
3 -Matricula
4 -Orgão requerente 
5 -Unidade 
6 -Email 
7 -IDs caixas
8 -descrições das caixas
9-Usuario
10-Codigo verificador
11-Codigo CRC
12-Data assinatura
13-CMD
14-MSG
</t>
        </r>
      </text>
    </comment>
    <comment ref="E378" authorId="1" shapeId="0" xr:uid="{26080316-C695-4976-BAC1-3CA9651A6C0E}">
      <text>
        <r>
          <rPr>
            <sz val="9"/>
            <color indexed="81"/>
            <rFont val="Segoe UI"/>
            <family val="2"/>
          </rPr>
          <t xml:space="preserve">
1-Solicitação de Transferencia Documental
2-Orgão
3-Unidade
4-Servidor</t>
        </r>
      </text>
    </comment>
    <comment ref="D381" authorId="1" shapeId="0" xr:uid="{80BECEB0-661F-4410-90D1-1A94FE2F1306}">
      <text>
        <r>
          <rPr>
            <sz val="9"/>
            <color indexed="81"/>
            <rFont val="Segoe UI"/>
            <family val="2"/>
          </rPr>
          <t xml:space="preserve">
1-nome do servidor (a) responsável
2-Descrição das Caixas
3-data expiração
4-CMD
5-MSG</t>
        </r>
      </text>
    </comment>
    <comment ref="E381" authorId="1" shapeId="0" xr:uid="{CC3F6DB7-232B-4DF5-99E5-B0F78390A3F6}">
      <text>
        <r>
          <rPr>
            <sz val="9"/>
            <color indexed="81"/>
            <rFont val="Segoe UI"/>
            <family val="2"/>
          </rPr>
          <t xml:space="preserve">
1-Solicitação de Transferencia Documental
2-Servidor</t>
        </r>
      </text>
    </comment>
    <comment ref="D382" authorId="1" shapeId="0" xr:uid="{4CB03E57-1165-4414-8C09-57C51B51C50F}">
      <text>
        <r>
          <rPr>
            <sz val="9"/>
            <color indexed="81"/>
            <rFont val="Segoe UI"/>
            <family val="2"/>
          </rPr>
          <t xml:space="preserve">
1-nome do servidor (a) responsável
2-Descrição das Caixas
3-data expiração
4-CMD
5-MSG</t>
        </r>
      </text>
    </comment>
    <comment ref="E382" authorId="1" shapeId="0" xr:uid="{A4C82B8A-B914-4307-B905-C859E4B7F44D}">
      <text>
        <r>
          <rPr>
            <sz val="9"/>
            <color indexed="81"/>
            <rFont val="Segoe UI"/>
            <family val="2"/>
          </rPr>
          <t xml:space="preserve">
1-Solicitação de Transferencia Documental
2-Servidor</t>
        </r>
      </text>
    </comment>
    <comment ref="D385" authorId="1" shapeId="0" xr:uid="{836D08ED-7E82-41A4-A2EF-21B34E0C1449}">
      <text>
        <r>
          <rPr>
            <sz val="9"/>
            <color indexed="81"/>
            <rFont val="Segoe UI"/>
            <family val="2"/>
          </rPr>
          <t xml:space="preserve">
1 -Orgão
2 -Setor
3 -Caixa
4 -Classificação 
5 -destinação
6 -interesado
7 -data inicio
8 -data fim 
9 -situação
10-Prazo 
11-destinação 
12-CMD
13-MSG</t>
        </r>
      </text>
    </comment>
    <comment ref="E385" authorId="1" shapeId="0" xr:uid="{03A6ED9B-03A1-4959-B358-71B350283368}">
      <text>
        <r>
          <rPr>
            <sz val="9"/>
            <color indexed="81"/>
            <rFont val="Segoe UI"/>
            <family val="2"/>
          </rPr>
          <t xml:space="preserve">
1-Solicitação de Transferencia Documental
2-Orgão
3-Unidade
4-Captura Avulsa
5-Arquivos de Demanda</t>
        </r>
      </text>
    </comment>
    <comment ref="D386" authorId="1" shapeId="0" xr:uid="{33CD44A6-0A76-48C8-ABFC-125E6229ABED}">
      <text>
        <r>
          <rPr>
            <sz val="9"/>
            <color indexed="81"/>
            <rFont val="Segoe UI"/>
            <family val="2"/>
          </rPr>
          <t xml:space="preserve">
1-Código 
2-Descrição
3-CMD</t>
        </r>
      </text>
    </comment>
    <comment ref="E386" authorId="1" shapeId="0" xr:uid="{1AB65C90-3B71-42AC-9A12-43380A54CEFD}">
      <text>
        <r>
          <rPr>
            <sz val="9"/>
            <color indexed="81"/>
            <rFont val="Segoe UI"/>
            <family val="2"/>
          </rPr>
          <t xml:space="preserve">
1-Situação Eliminação Documento</t>
        </r>
      </text>
    </comment>
    <comment ref="D387" authorId="1" shapeId="0" xr:uid="{80837A45-23C9-4C03-9496-70621E6CC080}">
      <text>
        <r>
          <rPr>
            <sz val="9"/>
            <color indexed="81"/>
            <rFont val="Segoe UI"/>
            <family val="2"/>
          </rPr>
          <t xml:space="preserve">
1-Código 
2-Descrição
3-CMD</t>
        </r>
      </text>
    </comment>
    <comment ref="E387" authorId="1" shapeId="0" xr:uid="{826E71D2-95FC-4E79-BEC8-5025EDACCED1}">
      <text>
        <r>
          <rPr>
            <sz val="9"/>
            <color indexed="81"/>
            <rFont val="Segoe UI"/>
            <family val="2"/>
          </rPr>
          <t xml:space="preserve">
1-Classificação Documental</t>
        </r>
      </text>
    </comment>
    <comment ref="D388" authorId="1" shapeId="0" xr:uid="{C0CC6DA8-EC9A-46F0-881F-3EE38CC4A4B7}">
      <text>
        <r>
          <rPr>
            <sz val="9"/>
            <color indexed="81"/>
            <rFont val="Segoe UI"/>
            <family val="2"/>
          </rPr>
          <t xml:space="preserve">
1-Código 
2-Descrição
3-CMD</t>
        </r>
      </text>
    </comment>
    <comment ref="E388" authorId="1" shapeId="0" xr:uid="{332F6DA4-6BDB-4DA4-9EB5-665A4AEF3AB7}">
      <text>
        <r>
          <rPr>
            <sz val="9"/>
            <color indexed="81"/>
            <rFont val="Segoe UI"/>
            <family val="2"/>
          </rPr>
          <t xml:space="preserve">
1-Etiqueta de Identificação
</t>
        </r>
      </text>
    </comment>
    <comment ref="D391" authorId="1" shapeId="0" xr:uid="{D060EA30-32C0-4F65-AA32-21388FAC0CAF}">
      <text>
        <r>
          <rPr>
            <sz val="9"/>
            <color indexed="81"/>
            <rFont val="Segoe UI"/>
            <family val="2"/>
          </rPr>
          <t xml:space="preserve">
1-Orgão
2-Unidade 
3-Conta do exercicio
4-conta aprovada 
5-decisão 
6-listagem 
7-Considerações 
8-Documento
9-ID
10-Usuario assinatura
11-Codigo verificador
12-Codigo CRC
13-Consideração
14-Situação</t>
        </r>
      </text>
    </comment>
    <comment ref="E391" authorId="1" shapeId="0" xr:uid="{ED2A2220-F4A3-49F4-8B1A-136FE25BA949}">
      <text>
        <r>
          <rPr>
            <sz val="9"/>
            <color indexed="81"/>
            <rFont val="Segoe UI"/>
            <family val="2"/>
          </rPr>
          <t xml:space="preserve">
1-Listagem de eliminação
2-Análise
3-Situação Eliminação Documento
4-Situação Processo Eliminação Documento</t>
        </r>
      </text>
    </comment>
    <comment ref="D392" authorId="1" shapeId="0" xr:uid="{F0293703-39A0-4255-B231-69620A24B7DD}">
      <text>
        <r>
          <rPr>
            <sz val="9"/>
            <color indexed="81"/>
            <rFont val="Segoe UI"/>
            <family val="2"/>
          </rPr>
          <t xml:space="preserve">
1-Orgão
2-Unidade 
3-Conta do exercicio
4-conta aprovada 
5-decisão 
6-listagem 
7-Considerações 
8-CMD 
9-MSG</t>
        </r>
      </text>
    </comment>
    <comment ref="E392" authorId="1" shapeId="0" xr:uid="{CF77F348-A109-4631-A125-B3244D7F121B}">
      <text>
        <r>
          <rPr>
            <sz val="9"/>
            <color indexed="81"/>
            <rFont val="Segoe UI"/>
            <family val="2"/>
          </rPr>
          <t xml:space="preserve">
1-Solicitação de Transferencia Documental
2-Etiqueta da Demanda
3-Arquivos da Demanda
4-Caixa
5-Listagem de eliminação</t>
        </r>
      </text>
    </comment>
    <comment ref="D393" authorId="1" shapeId="0" xr:uid="{95CEAE1F-670A-46BA-8209-AA2250B21B35}">
      <text>
        <r>
          <rPr>
            <b/>
            <sz val="9"/>
            <color indexed="81"/>
            <rFont val="Segoe UI"/>
            <family val="2"/>
          </rPr>
          <t xml:space="preserve">
</t>
        </r>
        <r>
          <rPr>
            <sz val="9"/>
            <color indexed="81"/>
            <rFont val="Segoe UI"/>
            <family val="2"/>
          </rPr>
          <t>1- Código
2 - Situação
2-CMD
3-MSG</t>
        </r>
      </text>
    </comment>
    <comment ref="E393" authorId="1" shapeId="0" xr:uid="{166F33A1-BCB8-4715-8E5E-D89492C6D3C0}">
      <text>
        <r>
          <rPr>
            <sz val="9"/>
            <color indexed="81"/>
            <rFont val="Segoe UI"/>
            <family val="2"/>
          </rPr>
          <t xml:space="preserve">
1-Listagem de eliminação</t>
        </r>
      </text>
    </comment>
    <comment ref="D396" authorId="1" shapeId="0" xr:uid="{C5234473-62DE-4D7E-98DA-4F5DC4C8242C}">
      <text>
        <r>
          <rPr>
            <sz val="9"/>
            <color indexed="81"/>
            <rFont val="Segoe UI"/>
            <family val="2"/>
          </rPr>
          <t xml:space="preserve">
1 -Orgão 
2 -unidade 
3 -listagem 
4 -Código
5 -Assunto
6 -Ano inicial
7 -ano final 
8 -quantificações 
9 -especificação 
10-datas limites 
11-mensuração total 
12-OBS
13-Conta do exercicio 
14-conta aprovada 
15-decisão 
16-CMD
17-MSG</t>
        </r>
      </text>
    </comment>
    <comment ref="E396" authorId="1" shapeId="0" xr:uid="{CD77E0FB-1F18-455B-B8D2-AC37A2E4C91B}">
      <text>
        <r>
          <rPr>
            <sz val="9"/>
            <color indexed="81"/>
            <rFont val="Segoe UI"/>
            <family val="2"/>
          </rPr>
          <t xml:space="preserve">
1-Listagem de eliminação
2-Orgão
3-Unidade 
4-Arquivos da Demanda</t>
        </r>
      </text>
    </comment>
    <comment ref="D399" authorId="1" shapeId="0" xr:uid="{793BA35C-1395-4983-A420-0C57EA5C103A}">
      <text>
        <r>
          <rPr>
            <sz val="9"/>
            <color indexed="81"/>
            <rFont val="Segoe UI"/>
            <family val="2"/>
          </rPr>
          <t xml:space="preserve">
1-Usuario
2-Senha
3-Codigo verificador
4-Codigo CRC
5-CMD
6-MSG</t>
        </r>
      </text>
    </comment>
    <comment ref="E399" authorId="1" shapeId="0" xr:uid="{93D97B6F-6F4A-4A23-A50F-02B72C016142}">
      <text>
        <r>
          <rPr>
            <sz val="9"/>
            <color indexed="81"/>
            <rFont val="Segoe UI"/>
            <family val="2"/>
          </rPr>
          <t xml:space="preserve">
1-Listagem de eliminação</t>
        </r>
      </text>
    </comment>
    <comment ref="D402" authorId="1" shapeId="0" xr:uid="{73586F74-509C-42D4-9EAA-88E0877A82CD}">
      <text>
        <r>
          <rPr>
            <sz val="9"/>
            <color indexed="81"/>
            <rFont val="Segoe UI"/>
            <family val="2"/>
          </rPr>
          <t xml:space="preserve">
1 -Orgão 
2 -unidade 
3 -listagem 
4 -Código
5 -Assunto
6 -Ano inicial
7 -ano final 
8 -quantificações 
9 -especificação 
10-datas limites 
11-mensuração total 
12-OBS
13-Conta do exercicio 
14-conta aprovada 
15-decisão 
16-Usuario
17-Codigo verificador
18-Codigo CRC
19-CMD
20-MSG</t>
        </r>
      </text>
    </comment>
    <comment ref="E402" authorId="1" shapeId="0" xr:uid="{D9731F81-DDE1-4F39-931D-73CF132CF6E0}">
      <text>
        <r>
          <rPr>
            <sz val="9"/>
            <color indexed="81"/>
            <rFont val="Segoe UI"/>
            <family val="2"/>
          </rPr>
          <t xml:space="preserve">
1-Listagem de eliminação
2-Orgão
3-Unidade 
4-Arquivos da Demanda
5-Servidor</t>
        </r>
      </text>
    </comment>
    <comment ref="D405" authorId="1" shapeId="0" xr:uid="{87F3AC84-DB28-49AE-B8D1-DEA46103735E}">
      <text>
        <r>
          <rPr>
            <sz val="9"/>
            <color indexed="81"/>
            <rFont val="Segoe UI"/>
            <family val="2"/>
          </rPr>
          <t xml:space="preserve">
1-Orgão 
2-setor 
3-situação 
4-data inicio
5-data fim 
6-codigo
7-listagem 
8-CMD
9-MSG</t>
        </r>
      </text>
    </comment>
    <comment ref="E405" authorId="1" shapeId="0" xr:uid="{4F84439B-D19F-4F51-92DA-33D77D893F43}">
      <text>
        <r>
          <rPr>
            <sz val="9"/>
            <color indexed="81"/>
            <rFont val="Segoe UI"/>
            <family val="2"/>
          </rPr>
          <t xml:space="preserve">
1-Listagem de eliminação
2-Orgão
3-Unidade 
</t>
        </r>
      </text>
    </comment>
    <comment ref="D406" authorId="1" shapeId="0" xr:uid="{6D3E30A6-9F06-4F55-9850-998CD078E02E}">
      <text>
        <r>
          <rPr>
            <sz val="9"/>
            <color indexed="81"/>
            <rFont val="Segoe UI"/>
            <family val="2"/>
          </rPr>
          <t xml:space="preserve">
1-Código 
2-Descrição
3-CMD</t>
        </r>
      </text>
    </comment>
    <comment ref="E406" authorId="1" shapeId="0" xr:uid="{44DBE6F1-DCC8-47F0-B95C-FC6298E10AEB}">
      <text>
        <r>
          <rPr>
            <sz val="9"/>
            <color indexed="81"/>
            <rFont val="Segoe UI"/>
            <family val="2"/>
          </rPr>
          <t xml:space="preserve">
1-Situação Processo Eliminação Documento</t>
        </r>
      </text>
    </comment>
    <comment ref="D409" authorId="1" shapeId="0" xr:uid="{D602BF68-7C20-497F-9528-56A60AF1B343}">
      <text>
        <r>
          <rPr>
            <sz val="9"/>
            <color indexed="81"/>
            <rFont val="Segoe UI"/>
            <family val="2"/>
          </rPr>
          <t xml:space="preserve">
1 -Orgão 
2 -setor
3 -conta do exercicio
4 -conta aprovada
5 -decisão 
6 -data publicação 
7 -listagem 
8 -codigo
9 -assunto
10-ano 
11-ano final
12-quantificações 
13-especificação
14-CMD
15-MSG</t>
        </r>
      </text>
    </comment>
    <comment ref="E409" authorId="1" shapeId="0" xr:uid="{7B5DE3A8-6B17-4E8F-B1F0-A3E7640BE5F6}">
      <text>
        <r>
          <rPr>
            <sz val="9"/>
            <color indexed="81"/>
            <rFont val="Segoe UI"/>
            <family val="2"/>
          </rPr>
          <t xml:space="preserve">
1-Listagem de eliminação
2-Orgão
3-Unidade 
4-Arquivos da Demanda
</t>
        </r>
      </text>
    </comment>
    <comment ref="D410" authorId="1" shapeId="0" xr:uid="{610C5FED-4196-4CFD-8BD1-8F8C99D91CF2}">
      <text>
        <r>
          <rPr>
            <sz val="9"/>
            <color indexed="81"/>
            <rFont val="Segoe UI"/>
            <family val="2"/>
          </rPr>
          <t xml:space="preserve">
1-Consideração
2-Situação
3-CMD
4-MSG</t>
        </r>
      </text>
    </comment>
    <comment ref="E410" authorId="1" shapeId="0" xr:uid="{5558A847-7198-4516-B46E-EE892251242A}">
      <text>
        <r>
          <rPr>
            <sz val="9"/>
            <color indexed="81"/>
            <rFont val="Segoe UI"/>
            <family val="2"/>
          </rPr>
          <t xml:space="preserve">
1-Listagem de eliminação</t>
        </r>
      </text>
    </comment>
    <comment ref="D411" authorId="1" shapeId="0" xr:uid="{B4ADF553-8540-46A3-9C12-801276FCB738}">
      <text>
        <r>
          <rPr>
            <sz val="9"/>
            <color indexed="81"/>
            <rFont val="Segoe UI"/>
            <family val="2"/>
          </rPr>
          <t xml:space="preserve">
1-Consideração
2-Situação
3-CMD
4-MSG</t>
        </r>
      </text>
    </comment>
    <comment ref="E411" authorId="1" shapeId="0" xr:uid="{908F74D0-A4E3-41C9-B181-3483BB2ED2D2}">
      <text>
        <r>
          <rPr>
            <sz val="9"/>
            <color indexed="81"/>
            <rFont val="Segoe UI"/>
            <family val="2"/>
          </rPr>
          <t xml:space="preserve">
1-Listagem de eliminação</t>
        </r>
      </text>
    </comment>
    <comment ref="D412" authorId="1" shapeId="0" xr:uid="{1E0CAAAE-5BC2-4653-ADAF-F7D79A04C3DE}">
      <text>
        <r>
          <rPr>
            <sz val="9"/>
            <color indexed="81"/>
            <rFont val="Segoe UI"/>
            <family val="2"/>
          </rPr>
          <t xml:space="preserve">
1-Consideração
2-Situação
3-CMD
4-MSG</t>
        </r>
      </text>
    </comment>
    <comment ref="E412" authorId="1" shapeId="0" xr:uid="{2F3F101E-8B18-4EF7-80E0-FC2161F7F4D7}">
      <text>
        <r>
          <rPr>
            <sz val="9"/>
            <color indexed="81"/>
            <rFont val="Segoe UI"/>
            <family val="2"/>
          </rPr>
          <t xml:space="preserve">
1-Listagem de eliminação</t>
        </r>
      </text>
    </comment>
    <comment ref="D415" authorId="1" shapeId="0" xr:uid="{B7010FAD-2752-4135-A255-F5992BA53DC8}">
      <text>
        <r>
          <rPr>
            <sz val="9"/>
            <color indexed="81"/>
            <rFont val="Segoe UI"/>
            <family val="2"/>
          </rPr>
          <t xml:space="preserve">
1 -Orgão 
2 -setor
3 -conta do exercicio
4 -conta aprovada
5 -decisão 
6 -data publicação 
7 -listagem 
8 -codigo
9 -assunto
10-ano 
11-ano final
12-quantificações 
13-especificação
14-Consideraçãoda validação 
15-CMD
16-MSG</t>
        </r>
      </text>
    </comment>
    <comment ref="E415" authorId="1" shapeId="0" xr:uid="{ECCC9729-6ECE-44A9-825A-B4079BFF2242}">
      <text>
        <r>
          <rPr>
            <sz val="9"/>
            <color indexed="81"/>
            <rFont val="Segoe UI"/>
            <family val="2"/>
          </rPr>
          <t xml:space="preserve">
1-Listagem de eliminação
2-Orgão
3-Unidade 
4-Arquivos da Demanda
</t>
        </r>
      </text>
    </comment>
    <comment ref="D416" authorId="1" shapeId="0" xr:uid="{0E016915-7A7E-4CCC-8708-136E8DD3578C}">
      <text>
        <r>
          <rPr>
            <sz val="9"/>
            <color indexed="81"/>
            <rFont val="Segoe UI"/>
            <family val="2"/>
          </rPr>
          <t xml:space="preserve">
1-Código
2-Situação
3-CMD
4-MSG</t>
        </r>
      </text>
    </comment>
    <comment ref="E416" authorId="1" shapeId="0" xr:uid="{0442B5F8-61B5-456A-AB1B-D43F8F38942F}">
      <text>
        <r>
          <rPr>
            <sz val="9"/>
            <color indexed="81"/>
            <rFont val="Segoe UI"/>
            <family val="2"/>
          </rPr>
          <t xml:space="preserve">
1-Listagem de eliminação</t>
        </r>
      </text>
    </comment>
    <comment ref="D419" authorId="1" shapeId="0" xr:uid="{473ACA9F-B11C-4EE4-86EC-4A12F50186B9}">
      <text>
        <r>
          <rPr>
            <sz val="9"/>
            <color indexed="81"/>
            <rFont val="Segoe UI"/>
            <family val="2"/>
          </rPr>
          <t xml:space="preserve">
1 - Depósito
2 - Mapa - Sala
3 - Mapa - Módulo
4 - Mapa - Fileira
5 - Mapa - Estante
6 - Mapa - Face
7 - Mapa - Bandeja
8-CMD
9-MSG</t>
        </r>
      </text>
    </comment>
    <comment ref="E419" authorId="1" shapeId="0" xr:uid="{BEBBCCF7-531A-449D-BC90-DF0BEE513EBE}">
      <text>
        <r>
          <rPr>
            <sz val="9"/>
            <color indexed="81"/>
            <rFont val="Segoe UI"/>
            <family val="2"/>
          </rPr>
          <t>1 - Depósito Físico</t>
        </r>
      </text>
    </comment>
    <comment ref="D420" authorId="1" shapeId="0" xr:uid="{C3409850-C6DB-4C22-B046-43794E9AD2A6}">
      <text>
        <r>
          <rPr>
            <sz val="9"/>
            <color indexed="81"/>
            <rFont val="Segoe UI"/>
            <family val="2"/>
          </rPr>
          <t xml:space="preserve">
1 - Depósito
2 - Mapa - Sala
3 - Mapa - Módulo
4 - Mapa - Fileira
5 - Mapa - Estante
6 - Mapa - Face
7 - Mapa - Bandeja
8-CMD
9-MSG</t>
        </r>
      </text>
    </comment>
    <comment ref="E420" authorId="1" shapeId="0" xr:uid="{76D665BC-D1FE-47DC-8681-3D31166FF660}">
      <text>
        <r>
          <rPr>
            <sz val="9"/>
            <color indexed="81"/>
            <rFont val="Segoe UI"/>
            <family val="2"/>
          </rPr>
          <t>1 - Depósito Físico</t>
        </r>
      </text>
    </comment>
    <comment ref="D421" authorId="1" shapeId="0" xr:uid="{0620CA5A-2AC3-4C6C-A10D-86E6E27550B9}">
      <text>
        <r>
          <rPr>
            <sz val="9"/>
            <color indexed="81"/>
            <rFont val="Segoe UI"/>
            <family val="2"/>
          </rPr>
          <t xml:space="preserve">
1 - Depósito
2 - Órgão
3 - Unidade
4 - Mapa - Sala
5 - Mapa - Módulo
6 - Mapa - Fileira
7 - Mapa - Estante
8 - Mapa - Face
9 - Mapa - Bandeja
</t>
        </r>
      </text>
    </comment>
    <comment ref="E421" authorId="1" shapeId="0" xr:uid="{1F707206-71C5-4D34-981D-C478916DA7BA}">
      <text>
        <r>
          <rPr>
            <sz val="9"/>
            <color indexed="81"/>
            <rFont val="Segoe UI"/>
            <family val="2"/>
          </rPr>
          <t>1 - Depósito Físico
2 - Órgão
3 - Unidade</t>
        </r>
      </text>
    </comment>
    <comment ref="D422" authorId="1" shapeId="0" xr:uid="{D3D25528-0664-4905-A279-AE0A11BB4C28}">
      <text>
        <r>
          <rPr>
            <sz val="9"/>
            <color indexed="81"/>
            <rFont val="Segoe UI"/>
            <family val="2"/>
          </rPr>
          <t xml:space="preserve">
1 - Depósito
2 - Órgão
3 - Unidade
4 - Mapa - Sala
5 - Mapa - Módulo
6 - Mapa - Fileira
7 - Mapa - Estante
8 - Mapa - Face
9 - Mapa - Bandeja
10 - CMD
11 - MSG</t>
        </r>
      </text>
    </comment>
    <comment ref="E422" authorId="1" shapeId="0" xr:uid="{E82350DE-77A5-46EA-9987-0F071FB30AA0}">
      <text>
        <r>
          <rPr>
            <sz val="9"/>
            <color indexed="81"/>
            <rFont val="Segoe UI"/>
            <family val="2"/>
          </rPr>
          <t>1 - Depósito Físico
2 - Órgão
3 - Unidade</t>
        </r>
      </text>
    </comment>
    <comment ref="D425" authorId="1" shapeId="0" xr:uid="{4D25385B-B109-4686-9C8B-5855A81E0357}">
      <text>
        <r>
          <rPr>
            <sz val="9"/>
            <color indexed="81"/>
            <rFont val="Segoe UI"/>
            <family val="2"/>
          </rPr>
          <t xml:space="preserve">
1-Usuario
2-Senha
3-CMD
4-MSG</t>
        </r>
      </text>
    </comment>
    <comment ref="E425" authorId="1" shapeId="0" xr:uid="{B03F8B9F-EEAB-437A-B780-ABC5E8383731}">
      <text>
        <r>
          <rPr>
            <sz val="9"/>
            <color indexed="81"/>
            <rFont val="Segoe UI"/>
            <family val="2"/>
          </rPr>
          <t xml:space="preserve">
1-Servidor
2-Solicitação de Transferencia Documental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46" authorId="0" shapeId="0" xr:uid="{00000000-0006-0000-0300-000001000000}">
      <text>
        <r>
          <rPr>
            <b/>
            <sz val="8"/>
            <color indexed="8"/>
            <rFont val="Tahoma"/>
            <family val="2"/>
          </rPr>
          <t xml:space="preserve">Técnica de estimativa do tamanho desenvolvida pela NESMA. Assume que os arquivos lógicos são de complexidade baixa e as transações são de complexidade média. 
</t>
        </r>
      </text>
    </comment>
    <comment ref="B47" authorId="0" shapeId="0" xr:uid="{00000000-0006-0000-0300-000002000000}">
      <text>
        <r>
          <rPr>
            <b/>
            <sz val="8"/>
            <color indexed="8"/>
            <rFont val="Tahoma"/>
            <family val="2"/>
          </rPr>
          <t xml:space="preserve">Técnica de estimativa do tamanho desenvolvida pela NESMA. É baseada apenas nos arquivos lógicos. Assume que cada ALI tem um peso de 35 PF e cada AIE um peso de 15 PF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H9" authorId="0" shapeId="0" xr:uid="{00000000-0006-0000-0400-000001000000}">
      <text>
        <r>
          <rPr>
            <b/>
            <sz val="8"/>
            <color indexed="8"/>
            <rFont val="Tahoma"/>
            <family val="2"/>
          </rPr>
          <t xml:space="preserve">Contribuição fixa em PF independentemente do tipo da funcionalidade
</t>
        </r>
      </text>
    </comment>
    <comment ref="H46" authorId="0" shapeId="0" xr:uid="{00000000-0006-0000-0400-000002000000}">
      <text>
        <r>
          <rPr>
            <b/>
            <sz val="8"/>
            <color indexed="8"/>
            <rFont val="Tahoma"/>
            <family val="2"/>
          </rPr>
          <t xml:space="preserve">Contribuição fixa em PF para o item não funcional
</t>
        </r>
      </text>
    </comment>
  </commentList>
</comments>
</file>

<file path=xl/sharedStrings.xml><?xml version="1.0" encoding="utf-8"?>
<sst xmlns="http://schemas.openxmlformats.org/spreadsheetml/2006/main" count="1272" uniqueCount="547">
  <si>
    <t>Identificação da Contagem</t>
  </si>
  <si>
    <t>Empresa</t>
  </si>
  <si>
    <t>Secretaria de Estado de Planejamento e Gestão de Mato Grosso</t>
  </si>
  <si>
    <t>PF IFPUG</t>
  </si>
  <si>
    <t>Aplicação</t>
  </si>
  <si>
    <t>PF Local do EM</t>
  </si>
  <si>
    <t>Tipo de Contagem</t>
  </si>
  <si>
    <t>Projeto de Desenvolvimento</t>
  </si>
  <si>
    <t>PF Local da FS</t>
  </si>
  <si>
    <t>Nível de Detalhe</t>
  </si>
  <si>
    <t>Detalhada (IFPUG)</t>
  </si>
  <si>
    <t>Tecnologia</t>
  </si>
  <si>
    <t>Java</t>
  </si>
  <si>
    <t>Projeto</t>
  </si>
  <si>
    <t>SEI</t>
  </si>
  <si>
    <t>Versão do Guia</t>
  </si>
  <si>
    <t>4.3.1</t>
  </si>
  <si>
    <t>Responsável</t>
  </si>
  <si>
    <t>Ana Karyna da Silva Teixeira</t>
  </si>
  <si>
    <t>Criação</t>
  </si>
  <si>
    <t>Revisor</t>
  </si>
  <si>
    <t>Luana Alves de Araújo Passos Aguiar</t>
  </si>
  <si>
    <t>Revisão</t>
  </si>
  <si>
    <t>Propósito da Contagem</t>
  </si>
  <si>
    <t>Contagem de Pontos de Função para subsidiar o planejamento, execução e monitoramento do projeto SIGED - Sistema de Gestão Eletrônica de Documentos e atender os requisitos do CONTRATO Nº 014/2022/SEPLAG e seus anexos. Com destaque:
- Dar suporte à análise de qualidade e produtividade;
- Estimar o custo e recursos requeridos para o desenvolvimento, melhoria e manutenção do software;
- Fornecer um fator de normalização para a comparação de software;
- Determinar o tamanho de um pacote de aplicação adquirido, por meio do dimensionamento funcional de todas as funções incluídas no mesmo;
- Ajudar os usuários a determinar o benefício provido por um pacote de aplicação para a sua organização, por meio do dimensionamento funcional das funções que correspondam especificamente aos seus requisitos.</t>
  </si>
  <si>
    <t>Escopo da Contagem</t>
  </si>
  <si>
    <t>Essa contagem contempla as histórias de usuários especificadas do projeto SIGED - Sistema de Gestão Eletrônica de Documentos</t>
  </si>
  <si>
    <t>Documentação Utilizada na Análise</t>
  </si>
  <si>
    <t>Planilha de contagem de ponto de função - Versão 2.4</t>
  </si>
  <si>
    <t>Nome da Função</t>
  </si>
  <si>
    <t>Tipo</t>
  </si>
  <si>
    <t>Manutenção</t>
  </si>
  <si>
    <t>TD</t>
  </si>
  <si>
    <t>AR/TR</t>
  </si>
  <si>
    <t>Complex.</t>
  </si>
  <si>
    <t>ctl</t>
  </si>
  <si>
    <t>C</t>
  </si>
  <si>
    <t>ctl2</t>
  </si>
  <si>
    <t>Pacote</t>
  </si>
  <si>
    <t>Referência</t>
  </si>
  <si>
    <t>Observações</t>
  </si>
  <si>
    <t>Retorno</t>
  </si>
  <si>
    <t>[US_28] Menu de Acesso</t>
  </si>
  <si>
    <t>Organizar menu</t>
  </si>
  <si>
    <t>CE</t>
  </si>
  <si>
    <t>COS</t>
  </si>
  <si>
    <t xml:space="preserve">[US_01] Depósito Físico </t>
  </si>
  <si>
    <t>Órgão</t>
  </si>
  <si>
    <t>AIE</t>
  </si>
  <si>
    <t>I</t>
  </si>
  <si>
    <t>CEP</t>
  </si>
  <si>
    <t xml:space="preserve">Setor/unidade </t>
  </si>
  <si>
    <t>Municipio</t>
  </si>
  <si>
    <t>Tipo de Logradouro</t>
  </si>
  <si>
    <t>Deposito Fisico</t>
  </si>
  <si>
    <t>ALI</t>
  </si>
  <si>
    <t>A50</t>
  </si>
  <si>
    <t>Deposito Fisico - Listar</t>
  </si>
  <si>
    <t>SE</t>
  </si>
  <si>
    <t>Calculo total de salas</t>
  </si>
  <si>
    <t>Deposito Fisico - Exportar</t>
  </si>
  <si>
    <t>Calculo total de salas, é CE pois somente exporta o que está na tela de listagem que já faz o cálculo.</t>
  </si>
  <si>
    <t>Deposito Fisico - Cadastrar</t>
  </si>
  <si>
    <t>EE</t>
  </si>
  <si>
    <t>Combobox Órgão</t>
  </si>
  <si>
    <t>Combobox Unidade</t>
  </si>
  <si>
    <t>Combobox Municipio</t>
  </si>
  <si>
    <t>Combobox Tipo de Logradouro</t>
  </si>
  <si>
    <t>Deposito Fisico - Alterar</t>
  </si>
  <si>
    <t>Deposito Fisico - Consulta Implícita</t>
  </si>
  <si>
    <t>Deposito Fisico - Visualizar</t>
  </si>
  <si>
    <t>Deposito Fisico - Excluir</t>
  </si>
  <si>
    <t>[US_02] Sala(s) do Depósito Físico</t>
  </si>
  <si>
    <t>Sala do Depósito Físico - Cadastrar Sala</t>
  </si>
  <si>
    <t>Sala do Depósito Físico - Alterar Sala</t>
  </si>
  <si>
    <t>Sala do Depósito Físico - Consulta Implícita</t>
  </si>
  <si>
    <t>Sala do Depósito Físico - Visualizar Sala</t>
  </si>
  <si>
    <t>Sala do Depósito Físico - Excluir Sala</t>
  </si>
  <si>
    <t>Sala do Depósito Físico - Listar Salas</t>
  </si>
  <si>
    <t>Calculo total de caixas</t>
  </si>
  <si>
    <t>Sala do Depósito Físico - Listar Salas - Expandir Accordion de Sala</t>
  </si>
  <si>
    <t>Loading de uso das fileiras</t>
  </si>
  <si>
    <t>Sala do Depósito Físico - Adicionar Fileira</t>
  </si>
  <si>
    <t>Sala do Depósito Físico - Adicionar Fileira - Listagem endreço fisico</t>
  </si>
  <si>
    <t>Sala do Depósito Físico - Alterar Fileira</t>
  </si>
  <si>
    <t>Sala do Depósito Físico - Alterar Fileira - Consulta Implícita</t>
  </si>
  <si>
    <t>Sala do Depósito Físico - Alterar Fileira - Visualizar</t>
  </si>
  <si>
    <t>Sala do Depósito Físico - Fileira - Excluir</t>
  </si>
  <si>
    <t xml:space="preserve">Sala do Depósito Físico - Classificação/Divisórias - Cadastrar </t>
  </si>
  <si>
    <t>Sala do Depósito Físico - Classificação/Divisórias - Alterar</t>
  </si>
  <si>
    <t>Sala do Depósito Físico - Classificação/Divisórias - Consulta Implicita</t>
  </si>
  <si>
    <t>Calculo caixas disponiveis e em uso</t>
  </si>
  <si>
    <t>Sala do Depósito Físico - Classificação/Divisórias - Visualizar</t>
  </si>
  <si>
    <t>Sala do Depósito Físico - Classificação/Divisórias - Excluir</t>
  </si>
  <si>
    <t xml:space="preserve">Sala do Depósito Físico - Módulo - Cadastrar </t>
  </si>
  <si>
    <t>Sala do Depósito Físico - Módulo - Alterar</t>
  </si>
  <si>
    <t>Sala do Depósito Físico - Módulo - Consulta Implicita</t>
  </si>
  <si>
    <t>Sala do Depósito Físico - Módulo - Visualizar</t>
  </si>
  <si>
    <t>Sala do Depósito Físico - Módulo - Excluir</t>
  </si>
  <si>
    <t xml:space="preserve">Sala do Depósito Físico - Estante - Cadastrar </t>
  </si>
  <si>
    <t>Sala do Depósito Físico - Estante - Alterar</t>
  </si>
  <si>
    <t>Sala do Depósito Físico - Estante - Consulta Implicita</t>
  </si>
  <si>
    <t>Sala do Depósito Físico - Estante - Visualizar</t>
  </si>
  <si>
    <t>Sala do Depósito Físico - Estante - Excluir</t>
  </si>
  <si>
    <t xml:space="preserve">Sala do Depósito Físico - Face/Prateleira - Cadastrar </t>
  </si>
  <si>
    <t>Sala do Depósito Físico - Face/Prateleira - Alterar</t>
  </si>
  <si>
    <t>Sala do Depósito Físico - Face/Prateleira - Consulta Implicita</t>
  </si>
  <si>
    <t>Sala do Depósito Físico - Face/Prateleira - Visualizar</t>
  </si>
  <si>
    <t>Sala do Depósito Físico - Face/Prateleira - Excluir</t>
  </si>
  <si>
    <t xml:space="preserve">Sala do Depósito Físico - Bandeja - Cadastrar </t>
  </si>
  <si>
    <t>Sala do Depósito Físico - Bandeja - Alterar</t>
  </si>
  <si>
    <t>Sala do Depósito Físico - Bandeja - Consulta Implicita</t>
  </si>
  <si>
    <t>Sala do Depósito Físico - Bandeja - Visualizar</t>
  </si>
  <si>
    <t>Sala do Depósito Físico - Bandeja - Excluir</t>
  </si>
  <si>
    <t>Combobox Módulo</t>
  </si>
  <si>
    <t>Combobox Estante</t>
  </si>
  <si>
    <t>Combobox Face</t>
  </si>
  <si>
    <t>[US_03] Cadastro de Caixas</t>
  </si>
  <si>
    <t>Caixas</t>
  </si>
  <si>
    <t>Caixas - Pesquisar</t>
  </si>
  <si>
    <t>Combobox Código Endereçamento</t>
  </si>
  <si>
    <t xml:space="preserve">Caixas - Cadastrar </t>
  </si>
  <si>
    <t>Combobox Situação</t>
  </si>
  <si>
    <t xml:space="preserve">Caixas - Alterar </t>
  </si>
  <si>
    <t>Caixas - Consulta Implícita</t>
  </si>
  <si>
    <t xml:space="preserve">Caixas - Visualizar </t>
  </si>
  <si>
    <t xml:space="preserve">Caixas - Excluir </t>
  </si>
  <si>
    <t>Caixas - Exportar</t>
  </si>
  <si>
    <t>[US_06] Estrutura de Tela_ Demanda de Captura</t>
  </si>
  <si>
    <t>Demanda de Captura  - Consultar</t>
  </si>
  <si>
    <t>[US_07] Demandar Captura/Digitalização</t>
  </si>
  <si>
    <t>Servidor</t>
  </si>
  <si>
    <t xml:space="preserve">Demanda de Captura </t>
  </si>
  <si>
    <t>Demanda de Captura  - Pesquisar</t>
  </si>
  <si>
    <t>Servidor autocomplete</t>
  </si>
  <si>
    <t xml:space="preserve">Demanda de Captura  - Cadastrar </t>
  </si>
  <si>
    <t>Combobox Tipo de Demanda</t>
  </si>
  <si>
    <t>Combobox Prioridade</t>
  </si>
  <si>
    <t>Combobox Requisitos Mínimos</t>
  </si>
  <si>
    <t xml:space="preserve">Demanda de Captura  - Alterar </t>
  </si>
  <si>
    <t>Demanda de Captura  - Consulta Implícita</t>
  </si>
  <si>
    <t xml:space="preserve">Demanda de Captura  - Visualizar </t>
  </si>
  <si>
    <t xml:space="preserve">Demanda de Captura  - Excluir </t>
  </si>
  <si>
    <t>Demanda de Captura  - Exportar</t>
  </si>
  <si>
    <t>Demanda de Captura  - Cancelar demanda</t>
  </si>
  <si>
    <t xml:space="preserve">[US_08] Conjunto Documental da Demanda </t>
  </si>
  <si>
    <t xml:space="preserve">Classificação Documental </t>
  </si>
  <si>
    <t>Exercício</t>
  </si>
  <si>
    <t xml:space="preserve">Conjunto Documental da Demanda </t>
  </si>
  <si>
    <t>Conjunto Documental da Demanda  - Listar</t>
  </si>
  <si>
    <t xml:space="preserve">Conjunto Documental da Demanda  - Cadastrar </t>
  </si>
  <si>
    <t>Combobox Caixa</t>
  </si>
  <si>
    <t>Combobox Classificação</t>
  </si>
  <si>
    <t xml:space="preserve">Conjunto Documental da Demanda  - Alterar </t>
  </si>
  <si>
    <t>Conjunto Documental da Demanda  - Consulta Implícita</t>
  </si>
  <si>
    <t xml:space="preserve">Conjunto Documental da Demanda  - Visualizar </t>
  </si>
  <si>
    <t xml:space="preserve">Conjunto Documental da Demanda  - Excluir </t>
  </si>
  <si>
    <t>Conjunto Documental da Demanda  - Exportar</t>
  </si>
  <si>
    <t>Conjunto Documental da Demanda  - Atribuir Responsável</t>
  </si>
  <si>
    <t>Conjunto Documental da Demanda  - Finalizar Demanda</t>
  </si>
  <si>
    <t>[US_09] Requisitos Mínimos da Digitalização</t>
  </si>
  <si>
    <t>Requisitos Mínimos da Digitalização</t>
  </si>
  <si>
    <t>Requisitos Mínimos da Digitalização - Listar</t>
  </si>
  <si>
    <t xml:space="preserve">Requisitos Mínimos da Digitalização - Cadastrar </t>
  </si>
  <si>
    <t>Combobox Cor</t>
  </si>
  <si>
    <t>Combobox Tipo Original</t>
  </si>
  <si>
    <t>Combobox Formato Arquivo</t>
  </si>
  <si>
    <t xml:space="preserve">Requisitos Mínimos da Digitalização - Alterar </t>
  </si>
  <si>
    <t>Requisitos Mínimos da Digitalização - Consulta Implicita</t>
  </si>
  <si>
    <t xml:space="preserve">Requisitos Mínimos da Digitalização - Visualizar </t>
  </si>
  <si>
    <t xml:space="preserve">Requisitos Mínimos da Digitalização - Excluir </t>
  </si>
  <si>
    <t>Requisitos Mínimos da Digitalização - Exportar</t>
  </si>
  <si>
    <t>Requisitos Mínimos da Digitalização - Ativar/Inativar</t>
  </si>
  <si>
    <t xml:space="preserve">[US_10] Responsáveis pela Digitalização </t>
  </si>
  <si>
    <t>Entidade Empresas</t>
  </si>
  <si>
    <t>Responsáveis pela Digitalização</t>
  </si>
  <si>
    <t xml:space="preserve">Responsáveis pela Digitalização - Cadastrar </t>
  </si>
  <si>
    <t>Combobox Empresa</t>
  </si>
  <si>
    <t xml:space="preserve">Responsáveis pela Digitalização - Alterar </t>
  </si>
  <si>
    <t>Responsáveis pela Digitalização - Consulta Implícita</t>
  </si>
  <si>
    <t xml:space="preserve">Responsáveis pela Digitalização - Visualizar </t>
  </si>
  <si>
    <t>Responsáveis pela Digitalização -  Equipe de digitalização - Listar</t>
  </si>
  <si>
    <t>Responsáveis pela Digitalização -  Equipe de digitalização - Cadastrar</t>
  </si>
  <si>
    <t>Responsáveis pela Digitalização -  Equipe de digitalização - Alterar</t>
  </si>
  <si>
    <t>Responsáveis pela Digitalização -  Equipe de digitalização - Consulta Implícita</t>
  </si>
  <si>
    <t>Responsáveis pela Digitalização -  Equipe de digitalização - Visualizar</t>
  </si>
  <si>
    <t xml:space="preserve">Responsáveis pela Digitalização - Equipe de digitalização - Excluir </t>
  </si>
  <si>
    <t>Responsáveis pela Digitalização - Equipe de digitalização - Exportar</t>
  </si>
  <si>
    <t>Responsáveis pela Digitalização - Equipe de digitalização - Ativar/Inativar</t>
  </si>
  <si>
    <t xml:space="preserve">[US_14] Notificar Responsáveis </t>
  </si>
  <si>
    <t>Notificação Responsáveis</t>
  </si>
  <si>
    <t xml:space="preserve">Notificar Responsáveis </t>
  </si>
  <si>
    <t xml:space="preserve">Notificar Responsáveis - Visualizar </t>
  </si>
  <si>
    <t>[US_11] Capturar Arquivos da Demanda [v1.00]</t>
  </si>
  <si>
    <t>Arquivos da Demanda</t>
  </si>
  <si>
    <t>Etiqueta de Identificação</t>
  </si>
  <si>
    <t>Capturar Arquivos da Demanda - Pesquisar</t>
  </si>
  <si>
    <t>SE pelo controle de cores da linha</t>
  </si>
  <si>
    <t>Combobox Ano</t>
  </si>
  <si>
    <t>Capturar Arquivos da Demanda - Pesquisar - Expandir</t>
  </si>
  <si>
    <t>E</t>
  </si>
  <si>
    <t>Capturar Arquivos da Demanda - Exportar</t>
  </si>
  <si>
    <t>Capturar Arquivos da Demanda - Pesquisar - Expandir - Exportar</t>
  </si>
  <si>
    <t>Capturar (sincronizar automático pela pasta)</t>
  </si>
  <si>
    <t>Excluir</t>
  </si>
  <si>
    <t>Envio de documentos - Listar</t>
  </si>
  <si>
    <t>Capturar Manual</t>
  </si>
  <si>
    <t>Seleção Arquivos e preparação upload</t>
  </si>
  <si>
    <t>Remover Arquivos da seleção</t>
  </si>
  <si>
    <t>Alterar Conjunto/Caixa</t>
  </si>
  <si>
    <t>Atribuir Responsável Pela digitalização</t>
  </si>
  <si>
    <t>Guarda/Arquivamento - Incluir</t>
  </si>
  <si>
    <t>AKST: Ess transação não estava contada na baseline mas teve alteração por isso estou considerando inclusão</t>
  </si>
  <si>
    <t>Guarda/Arquivamento - Alterar</t>
  </si>
  <si>
    <t>Guarda/Arquivamento - Alterar - Consulta Implicita</t>
  </si>
  <si>
    <t>[US_12] Visualiza Conferir Representante Digital [v1.00]</t>
  </si>
  <si>
    <t>Visualizador Documento</t>
  </si>
  <si>
    <t>[US_13] Etiqueta de Identificação_ Conferência [v1.00]</t>
  </si>
  <si>
    <t>Etiqueta de identificação - Incluir</t>
  </si>
  <si>
    <t>Etiqueta de identificação - Alterar</t>
  </si>
  <si>
    <t>Etiqueta de identificação - Visualizar</t>
  </si>
  <si>
    <t>Etiqueta de identificação - Consulta Implícita</t>
  </si>
  <si>
    <t>Finalizar Etapa 01</t>
  </si>
  <si>
    <t>[US_16] Conferência de Qualidade [v1.00]</t>
  </si>
  <si>
    <t>Conferência de Qualidade - Incluir</t>
  </si>
  <si>
    <t>Conferência de Qualidade - Alterar</t>
  </si>
  <si>
    <t>Conferência de Qualidade - Consulta Implícita</t>
  </si>
  <si>
    <t>Conferência de Qualidade - Visualizar</t>
  </si>
  <si>
    <t>Finalizar Etapa 02</t>
  </si>
  <si>
    <t>Visualizar Historico de Conferencia de qualidade</t>
  </si>
  <si>
    <t>[US_17] Consultar Autenticidade de Assinatura [v1.00]</t>
  </si>
  <si>
    <t>Consultar Autenticidade de Assinatura</t>
  </si>
  <si>
    <t>[US_18] Assinatura Eletrônica [v1.00]</t>
  </si>
  <si>
    <t>Assinar documento</t>
  </si>
  <si>
    <t>Assinatura do documento - Visualizar</t>
  </si>
  <si>
    <t>[US_19] Gestão de Volume [v1.00]</t>
  </si>
  <si>
    <t>Volume</t>
  </si>
  <si>
    <t>Gestão do Volume - Visualizar</t>
  </si>
  <si>
    <t>Volume - Agrupar</t>
  </si>
  <si>
    <t>Volume - Excluir</t>
  </si>
  <si>
    <t>Volume - Ordenar</t>
  </si>
  <si>
    <t>Arquivos Capturados - Listar</t>
  </si>
  <si>
    <t>Combobox Situação Arquivo</t>
  </si>
  <si>
    <t>[US_26] Capturar Avulsa [v1.00]</t>
  </si>
  <si>
    <t>Captura Avulsa</t>
  </si>
  <si>
    <t>Combo Responsável  (servidor)</t>
  </si>
  <si>
    <t>Arquivos Capturados - Exportar</t>
  </si>
  <si>
    <t>Alterar Caixa - Incluir</t>
  </si>
  <si>
    <t>Alterar Caixa - Alterar</t>
  </si>
  <si>
    <t>Alterar Caixa - Consulta Implicita</t>
  </si>
  <si>
    <t>Atribuir Responsável Pela digitalização - Incluir</t>
  </si>
  <si>
    <t>Atribuir Responsável Pela digitalização - Alterar</t>
  </si>
  <si>
    <t>Atribuir Responsável Pela digitalização - Alterar - Consulta Implicita</t>
  </si>
  <si>
    <t xml:space="preserve">Combo Deposito Fisico </t>
  </si>
  <si>
    <t>Combo Sala do Deposito</t>
  </si>
  <si>
    <t>Combo Fileira</t>
  </si>
  <si>
    <t>Combo Divisoria</t>
  </si>
  <si>
    <t>[US_17] Gerenciar Documento Digitalizado</t>
  </si>
  <si>
    <t>Documentos Digitalizados</t>
  </si>
  <si>
    <t xml:space="preserve">Gerenciar doumento digitalizado - Pesquisar </t>
  </si>
  <si>
    <t>Gerenciar doumento digitalizado - Visualizar Documento Digitalizado</t>
  </si>
  <si>
    <t>Visualizar Documento Digitalizado - Visualizar Etiqueta de Identificação</t>
  </si>
  <si>
    <t>Visualizar Documento Digitalizado - Visualizar Endereçamento da Caixa</t>
  </si>
  <si>
    <t xml:space="preserve">Gerenciar doumento digitalizado - Disponibilizar Documento Digitalizado </t>
  </si>
  <si>
    <t xml:space="preserve">Gerenciar doumento digitalizado - Restringir Documento Digitalizado </t>
  </si>
  <si>
    <t xml:space="preserve">[US_18] Empréstimo de Documentos </t>
  </si>
  <si>
    <t>Pedido de Empréstimo</t>
  </si>
  <si>
    <t>Pedido de Empréstimo - Pesquisar</t>
  </si>
  <si>
    <t>Combo Tipo Documento</t>
  </si>
  <si>
    <t>Combo Situação Empréstimo</t>
  </si>
  <si>
    <t>Pedido de Empréstimo - Incluir</t>
  </si>
  <si>
    <t>Pedido de Empréstimo - Alterar</t>
  </si>
  <si>
    <t>Pedido de Empréstimo - Consulta Implícita</t>
  </si>
  <si>
    <t>Pedido de Empréstimo - Excluir</t>
  </si>
  <si>
    <t>Pedido de Empréstimo - Visualizar</t>
  </si>
  <si>
    <t>Pedido de Empréstimo - Enviar</t>
  </si>
  <si>
    <t>[US_21] Consultar Pesquisar Documentos Digitalizados</t>
  </si>
  <si>
    <t>Documentos Digitalizados - Pesquisar</t>
  </si>
  <si>
    <t>[US_29] Especificar Empréstimo Documental</t>
  </si>
  <si>
    <t>Empréstimo Documental identificado na consulta - Pesquisar</t>
  </si>
  <si>
    <t>Empréstimo Documental identificado na consulta - Incluir</t>
  </si>
  <si>
    <t>Combo Cód. Documento da Caixa</t>
  </si>
  <si>
    <t>Empréstimo Documental identificado na consulta - Alterar</t>
  </si>
  <si>
    <t>Empréstimo Documental identificado na consulta - Consulta Implícita</t>
  </si>
  <si>
    <t>Empréstimo Documental identificado na consulta - Visualizar</t>
  </si>
  <si>
    <t>Empréstimo Documental identificado na consulta - Excluir</t>
  </si>
  <si>
    <t>Empréstimo Documental Não identificado na consulta - Pesquisar</t>
  </si>
  <si>
    <t>Empréstimo Documental Não identificado na consulta - Incluir</t>
  </si>
  <si>
    <t>Empréstimo Documental Não identificado na consulta - Alterar</t>
  </si>
  <si>
    <t>Empréstimo Documental Não identificado na consulta - Consulta Implícita</t>
  </si>
  <si>
    <t>Empréstimo Documental Não identificado na consulta - Visualizar</t>
  </si>
  <si>
    <t>Empréstimo Documental Não identificado na consulta - Excluir</t>
  </si>
  <si>
    <t>[US_30] Analisar Solicitação de Empréstimo Documental</t>
  </si>
  <si>
    <t>Analisar Solicitação de Empréstimo Documental - Deferir</t>
  </si>
  <si>
    <t>Analisar Solicitação de Empréstimo Documental  - Indeferir</t>
  </si>
  <si>
    <t xml:space="preserve">[US_32] Responsável pela Solicitação </t>
  </si>
  <si>
    <t>AKST: O acionamento das ações dessa US ocorre via US24 que possui Incluir, Alterar o Visualizar</t>
  </si>
  <si>
    <t>Responsável pela solicitação - Incluir</t>
  </si>
  <si>
    <t>Responsável pela solicitação - Alterar</t>
  </si>
  <si>
    <t>Responsável pela solicitação - Consulta Implícita</t>
  </si>
  <si>
    <t>Responsável pela solicitação - Visualizar</t>
  </si>
  <si>
    <t>[US_33] Gerar Termo de Responsabilidade</t>
  </si>
  <si>
    <t>Gerar termo de resposabilidade</t>
  </si>
  <si>
    <t>[US_34] Assinar Termo de Responsabilidade</t>
  </si>
  <si>
    <t>Assinar termo de responsabilidade</t>
  </si>
  <si>
    <t>[US_35] Imprimir Termo de Responsabilidade</t>
  </si>
  <si>
    <t>Imprimir termo de resposabilidade</t>
  </si>
  <si>
    <t>[US_36] Solicitar Prorrogação do Empréstimo</t>
  </si>
  <si>
    <t>Prorrogar Empréstimo - Solicitar</t>
  </si>
  <si>
    <t>Prorrogar Empréstimo - Consulta Implicita</t>
  </si>
  <si>
    <t>[US_37] Analisar Prorrogação</t>
  </si>
  <si>
    <t>Analisar Empréstimo - Consulta Implicita</t>
  </si>
  <si>
    <t>Analisar prorrogação - Defeir</t>
  </si>
  <si>
    <t>Analisar prorrogação - Indeferir</t>
  </si>
  <si>
    <t>[US_38] Devolver Documento Físico</t>
  </si>
  <si>
    <t>Devolução de documentos</t>
  </si>
  <si>
    <t>Devolver documento físico - Consulta Implicita</t>
  </si>
  <si>
    <t>Devolver documento físico - Salvar</t>
  </si>
  <si>
    <t>Devolver documento físico - Finalziar</t>
  </si>
  <si>
    <t>[US_39] Checklist da Devolução Documental Física</t>
  </si>
  <si>
    <t>Preencher Checklist da devolução</t>
  </si>
  <si>
    <t>Checklist da devolução - consulta implícita</t>
  </si>
  <si>
    <t>[US_40] Notificar Responsável pela Empréstimo Documental</t>
  </si>
  <si>
    <t>Notificar Responsável pela Empréstimo Documental</t>
  </si>
  <si>
    <t>SE pela calculo de dias</t>
  </si>
  <si>
    <t>Notificar Responsável pela Empréstimo Documental - Atrasado</t>
  </si>
  <si>
    <t>[US_41] Consultar Transferência Documental</t>
  </si>
  <si>
    <t>Consultar Transferência Documental</t>
  </si>
  <si>
    <t>Combo Situação Transferência</t>
  </si>
  <si>
    <t>Combo Órgãos da Transferência</t>
  </si>
  <si>
    <t>Combo Setor/Unidade da Transferência</t>
  </si>
  <si>
    <t>Excluir Transferência Documental</t>
  </si>
  <si>
    <t>Consultar Transferência Documental - Exportar</t>
  </si>
  <si>
    <t>[US_42] Solicitar Transferência Documental</t>
  </si>
  <si>
    <t>Solicitação de Transferencia Documental</t>
  </si>
  <si>
    <t>Solicitar Transferência Documental - Incluir  Transferência</t>
  </si>
  <si>
    <t>Solicitar Transferência Documental - Incluir Caixa</t>
  </si>
  <si>
    <t>Solicitar Transferência Documental - Incluir Responsável</t>
  </si>
  <si>
    <t>Alterar Transferência Documental - Órgão</t>
  </si>
  <si>
    <t>Consulta Implícita</t>
  </si>
  <si>
    <t>Alterar Transferência Documental - Caixa</t>
  </si>
  <si>
    <t>Alterar Transferência Documental - Responsável</t>
  </si>
  <si>
    <t>Visualizar Transferência Documental</t>
  </si>
  <si>
    <t>Solicitar Transferência Documental - Caixa - Excluir</t>
  </si>
  <si>
    <t>Solicitar Transferência Documental - Enviar</t>
  </si>
  <si>
    <t>Visualizar Transferência Documental - Exportar</t>
  </si>
  <si>
    <t>[US_43] Adicionar Documentos à Caixa</t>
  </si>
  <si>
    <t>Adicionar documentos a caixa</t>
  </si>
  <si>
    <t>Alterar documentos a caixa</t>
  </si>
  <si>
    <t>Visualizar documentos a caixa</t>
  </si>
  <si>
    <t>Excluir documentos da caixa</t>
  </si>
  <si>
    <t>Importar Planilha</t>
  </si>
  <si>
    <t>Visualizar arquivo</t>
  </si>
  <si>
    <t>[US_44] Gerar Termo de Responsabilidade de Transferência de Documento</t>
  </si>
  <si>
    <t>Gerar Termo de Responsabilidade de Transferência de Documento</t>
  </si>
  <si>
    <t>[US_45] Assinar Termo de Responsabilidade de Transferência de Documentos</t>
  </si>
  <si>
    <t>Assinar Termo de Responsabilidade de Transferência de Documentos</t>
  </si>
  <si>
    <t>[US_46] Imprimir Termo de Responsabilidade de Transferência de Documentos</t>
  </si>
  <si>
    <t>Imprimir Termo de Responsabilidade de Transferência de Documentos</t>
  </si>
  <si>
    <t>[US_47] Analisar Transferência Documental</t>
  </si>
  <si>
    <t>Analisar Transferência Documental</t>
  </si>
  <si>
    <t>Analisar Transferência Documental - Deferir</t>
  </si>
  <si>
    <t>Analisar Transferência Documental - Indeferir</t>
  </si>
  <si>
    <t>Analisar Transferência Documental - Exportar</t>
  </si>
  <si>
    <t>[US_48] Visualizar Parecer da Análise Transferência Documental</t>
  </si>
  <si>
    <t>Visualizar Parecer da Análise Transferência Documental</t>
  </si>
  <si>
    <t>[US_49] Recebimento Guarda dos Documentos</t>
  </si>
  <si>
    <t>Recebimento Guarda dos Documentos - Consulta Implícita</t>
  </si>
  <si>
    <t xml:space="preserve">Recebimento Guarda dos Documentos - Guarda/Arquivamento </t>
  </si>
  <si>
    <t>Recebimento Guarda dos Documentos - Guarda/Arquivamento  - Consulta Estrutura Física conforme caixa</t>
  </si>
  <si>
    <t>Recebimento Guarda dos Documentos - Guarda/Arquivamento  - Consultar</t>
  </si>
  <si>
    <t xml:space="preserve">Recebimento Guarda dos Documentos - Excluir </t>
  </si>
  <si>
    <t xml:space="preserve">Recebimento Guarda dos Documentos - Finalizar </t>
  </si>
  <si>
    <t xml:space="preserve">Recebimento Guarda dos Documentos - Informar Responsável </t>
  </si>
  <si>
    <t>Recebimento Guarda dos Documentos - Validar documento</t>
  </si>
  <si>
    <t>Recebimento Guarda dos Documentos - Guarda/Arquivamento  - Exportar</t>
  </si>
  <si>
    <t>Gerar Etiquetas CELAD</t>
  </si>
  <si>
    <t>Combobox Caixa Disponível do Órgão e Setor</t>
  </si>
  <si>
    <t>[US_50] Gerar Termo de Responsabilidade para Recebimento e Guarda de Documentos Transferidos</t>
  </si>
  <si>
    <t>Gerar Termo de Responsabilidade para Recebimento e Guarda de Documentos Transferidos</t>
  </si>
  <si>
    <t>Gerar Termo de Responsabilidade para Recebimento e Guarda de Documentos Transferidos - Finalizar</t>
  </si>
  <si>
    <t>[US_51] Imprimir Termo de Responsabilidade para Recebimento e Guarda de Documentos Transferidos</t>
  </si>
  <si>
    <t>Imprimir Termo de Responsabilidade para Recebimento e Guarda de Documentos Transferidos</t>
  </si>
  <si>
    <t>[US_52] Notificar Responsável pela Transferência Documental</t>
  </si>
  <si>
    <t>Notificar Responsável pela Transferência Documental - Antes de expirar o prazo</t>
  </si>
  <si>
    <t>Notificar Responsável pela Transferência Documental - Quando encerrar o prazo</t>
  </si>
  <si>
    <t xml:space="preserve">[US_53] Consultar Prazo de Guarda no Arquivo Intermediário </t>
  </si>
  <si>
    <t xml:space="preserve">Consultar Prazo de Guarda no Arquivo Intermediário </t>
  </si>
  <si>
    <t>Combo Situação Eliminação Documento</t>
  </si>
  <si>
    <t>Combo Destinação conforme Classificação</t>
  </si>
  <si>
    <t>Combo Interessado na Etiqueta</t>
  </si>
  <si>
    <t>[US_54]  Listagem de Eliminação de Documentos</t>
  </si>
  <si>
    <t xml:space="preserve">Listagem de Eliminação </t>
  </si>
  <si>
    <t>Listagem de Eliminação de Documentos - Incluir</t>
  </si>
  <si>
    <t>Listagem de Eliminação de Documentos - Excluir</t>
  </si>
  <si>
    <t>[US_55] Gerar Listagem de Eliminação</t>
  </si>
  <si>
    <t>Gerar Listagem de Eliminação</t>
  </si>
  <si>
    <t>AKST: SE pelo cálculo da mensuração total</t>
  </si>
  <si>
    <t xml:space="preserve">[US_56] Assinar Listagem </t>
  </si>
  <si>
    <t>Assinar listagem</t>
  </si>
  <si>
    <t xml:space="preserve">[US_57] Imprimir Listagem de Eliminação </t>
  </si>
  <si>
    <t xml:space="preserve">Imprimir Listagem de Eliminação </t>
  </si>
  <si>
    <t>AKST: É o mesmo cálculo da US55 por isso não é um SE</t>
  </si>
  <si>
    <t>[US_58] Consultar Listagem de Eliminação</t>
  </si>
  <si>
    <t>Consultar Listagem de Eliminação</t>
  </si>
  <si>
    <t>Combo Situação Processo Eliminação Documento</t>
  </si>
  <si>
    <t xml:space="preserve">[US_59] Validar Listagem de Eliminação de Documentos </t>
  </si>
  <si>
    <t>Validar Listagem de Eliminação de Documentos - Consulta</t>
  </si>
  <si>
    <t>Validar Listagem de Eliminação de Documentos - Deferir</t>
  </si>
  <si>
    <t>Validar Listagem de Eliminação de Documentos - Indeferir</t>
  </si>
  <si>
    <t>Validar Listagem de Eliminação de Documentos - Corrigir</t>
  </si>
  <si>
    <t>[US_60] Eliminação de Documentos_ Listagem Aprovada</t>
  </si>
  <si>
    <t xml:space="preserve"> Eliminação de Documentos_ Listagem Aprovada - Consulta</t>
  </si>
  <si>
    <t xml:space="preserve"> Eliminação de Documentos_ Listagem Aprovada - Eliminar</t>
  </si>
  <si>
    <t>[US_31] Mapa Topográfico do Deposito Físico</t>
  </si>
  <si>
    <t>[US_61] Assinar Termo de Responsabilidade para Recebimento e Guarda de Documentos Transferidos [v1.00]</t>
  </si>
  <si>
    <t xml:space="preserve">Assinar Termo de Responsabilidade para Recebimento e Guarda de Documentos Transferidos </t>
  </si>
  <si>
    <t>Itens Não Mensuráveis</t>
  </si>
  <si>
    <t>Tipo de Manutenção na Função</t>
  </si>
  <si>
    <t>Sigla</t>
  </si>
  <si>
    <t>Contribuição em PF Local</t>
  </si>
  <si>
    <t>PF Local FS</t>
  </si>
  <si>
    <t>Contrato</t>
  </si>
  <si>
    <t>Descrição</t>
  </si>
  <si>
    <t>Origem</t>
  </si>
  <si>
    <t>Percentual (%)</t>
  </si>
  <si>
    <t>Fixa (PF)</t>
  </si>
  <si>
    <t>Adicionada</t>
  </si>
  <si>
    <t>Inclusão</t>
  </si>
  <si>
    <t>Alterada</t>
  </si>
  <si>
    <t>Alteração (sem conhecimento do Fator de Impacto)</t>
  </si>
  <si>
    <t>SISP – 4.2 Projeto de Melhoria</t>
  </si>
  <si>
    <t>A</t>
  </si>
  <si>
    <t>Excluída</t>
  </si>
  <si>
    <t>Exclusão</t>
  </si>
  <si>
    <t>Alteração (50%) de função desenvolvida ou já alterada pela empresa atual</t>
  </si>
  <si>
    <t>Alteração (75%) de função não desenv. e ainda não alterada pela empresa atual</t>
  </si>
  <si>
    <t>A75</t>
  </si>
  <si>
    <t>Alteração (75%+15%): o mesmo acima + redocumentar a função</t>
  </si>
  <si>
    <t>A90</t>
  </si>
  <si>
    <t>Migração de Dados</t>
  </si>
  <si>
    <t>SISP – 4.3 Projetos de Migração de Dados</t>
  </si>
  <si>
    <t>PMD</t>
  </si>
  <si>
    <t>Corretiva (sem conhecimento do Fator de Impacto)</t>
  </si>
  <si>
    <t>SISP – 4.4 Manutenção Corretiva</t>
  </si>
  <si>
    <t>COR</t>
  </si>
  <si>
    <t>Corretiva (50%) - Fora da garantia (mesma empresa)</t>
  </si>
  <si>
    <t>COR50</t>
  </si>
  <si>
    <t>Corretiva (75%) - Fora da garantia (outra empresa)</t>
  </si>
  <si>
    <t>COR75</t>
  </si>
  <si>
    <t>Corretiva (75%+15%) - Fora da garantia (outra empresa) + Redocumentação</t>
  </si>
  <si>
    <t>COR90</t>
  </si>
  <si>
    <t>Corretiva em Garantia</t>
  </si>
  <si>
    <t>GAR</t>
  </si>
  <si>
    <t>Mudança de Plataforma - Linguagem de Programação</t>
  </si>
  <si>
    <t>SISP – 4.5.1 Mudança de Plataforma – Linguagem de Programação</t>
  </si>
  <si>
    <t>MLP</t>
  </si>
  <si>
    <t>Mudança de Plataforma - Banco de Dados (outro paradigma)</t>
  </si>
  <si>
    <t>SISP – 4.5.2 Mudança de Plataforma – Banco de Dados</t>
  </si>
  <si>
    <t>MBO</t>
  </si>
  <si>
    <t>Mudança de Plataforma - Banco de Dados (mesmo paradigma com alterações)</t>
  </si>
  <si>
    <t>MBM</t>
  </si>
  <si>
    <t>Atualização de Versão – Linguagem de Programação</t>
  </si>
  <si>
    <t>SISP – 4.6.1 Atualização de Versão – Linguagem de Programação</t>
  </si>
  <si>
    <t>ALP</t>
  </si>
  <si>
    <t>Atualização de Versão – Browser</t>
  </si>
  <si>
    <t>SISP – 4.6.2 Atualização de Versão – Browser</t>
  </si>
  <si>
    <t>AVB</t>
  </si>
  <si>
    <t>Atualização de Versão – Banco de Dados</t>
  </si>
  <si>
    <t>SISP – 4.6.3 Atualização de Versão – Banco de Dados</t>
  </si>
  <si>
    <t>ABD</t>
  </si>
  <si>
    <t>Manutenção Cosmética</t>
  </si>
  <si>
    <t>SISP – 4.7 Manutenção Cosmética</t>
  </si>
  <si>
    <t>Adaptação em Funcionalidades sem Alteração de Requisitos Funcionais
(sem conhecimento do Fator de Impacto)</t>
  </si>
  <si>
    <t>SISP – 4.8 Adaptação em Funcionalidades sem Alteração de Requisitos Funcionais</t>
  </si>
  <si>
    <t>ARN</t>
  </si>
  <si>
    <t>Adaptação em Funcionalidades sem Alteração de Requisitos Funcionais (50%)
(em função desenvolvida ou já alterada pela empresa atual)</t>
  </si>
  <si>
    <t>ARN50</t>
  </si>
  <si>
    <t>Adaptação em Funcionalidades sem Alteração de Requisitos Funcionais (75%)
(em função não desenvolvida e ainda não alterada pela empresa atual)</t>
  </si>
  <si>
    <t>ARN75</t>
  </si>
  <si>
    <t>Atualização de Dados sem Consulta Prévia</t>
  </si>
  <si>
    <t>SISP – 4.9.1 Apuração Especial – Base de Dados</t>
  </si>
  <si>
    <t>ADS</t>
  </si>
  <si>
    <t>Consulta Prévia sem Atualização</t>
  </si>
  <si>
    <t>CPA</t>
  </si>
  <si>
    <t>Atualização de Dados com Consulta Prévia</t>
  </si>
  <si>
    <t>ADC</t>
  </si>
  <si>
    <t>Apuração Especial – Geração de Relatórios</t>
  </si>
  <si>
    <t>SISP – 4.9.2 Apuração Especial – Geração de Relatórios</t>
  </si>
  <si>
    <t>AGR</t>
  </si>
  <si>
    <t>Apuração Especial – Reexecução</t>
  </si>
  <si>
    <t>SISP – 4.9.3 Apuração Especial – Reexecução</t>
  </si>
  <si>
    <t>AER</t>
  </si>
  <si>
    <t>Atualização de Dados</t>
  </si>
  <si>
    <t>SISP – 4.10 Atualização de Dados</t>
  </si>
  <si>
    <t>ATD</t>
  </si>
  <si>
    <t>Manutenção de Documentação de Sistemas Legados</t>
  </si>
  <si>
    <t>SISP – 4.12 Manutenção de Documentação de Sistemas Legados</t>
  </si>
  <si>
    <t>MSL</t>
  </si>
  <si>
    <t>Verificação de Erros (Sem Documentação de Teste existente)</t>
  </si>
  <si>
    <t>SISP – 4.13 Verificação de Erros</t>
  </si>
  <si>
    <t>VES</t>
  </si>
  <si>
    <t>Verificação de Erros (Com Documentação de Teste existente)</t>
  </si>
  <si>
    <t>VEC</t>
  </si>
  <si>
    <t>Pontos de Função de Teste</t>
  </si>
  <si>
    <t>SISP – 4.14 Pontos de Função de Teste</t>
  </si>
  <si>
    <t>PFT</t>
  </si>
  <si>
    <t>Componente Interno Reusável</t>
  </si>
  <si>
    <t>SISP – 4.15 Componente Interno Reusável</t>
  </si>
  <si>
    <t>CIR</t>
  </si>
  <si>
    <t xml:space="preserve">           .</t>
  </si>
  <si>
    <t>Quantidade</t>
  </si>
  <si>
    <t>Páginas Estáticas</t>
  </si>
  <si>
    <t>SISP – 4.11 Desenvolvimento, Manutenção e Publicação de Paginas Estáticas de Intranet, Internet ou Portal</t>
  </si>
  <si>
    <t>PAG</t>
  </si>
  <si>
    <t>Manutenção Cosmética (atrelada a algo não funcional)</t>
  </si>
  <si>
    <t>COSNF</t>
  </si>
  <si>
    <t>Dados de Código</t>
  </si>
  <si>
    <t>DC</t>
  </si>
  <si>
    <t>Sumário da Contagem</t>
  </si>
  <si>
    <t>Tipo de Função</t>
  </si>
  <si>
    <t>Complexidade Funcional</t>
  </si>
  <si>
    <t>Total PF IFPUG por Complexidade</t>
  </si>
  <si>
    <t>%</t>
  </si>
  <si>
    <t>Total PF Local FS por tipo de manutenção básica</t>
  </si>
  <si>
    <t>Baixa</t>
  </si>
  <si>
    <t>x 3</t>
  </si>
  <si>
    <t>Média</t>
  </si>
  <si>
    <t>x 4</t>
  </si>
  <si>
    <t>Alta</t>
  </si>
  <si>
    <t>x 6</t>
  </si>
  <si>
    <t>Qtd Total</t>
  </si>
  <si>
    <t>Total</t>
  </si>
  <si>
    <t>x 5</t>
  </si>
  <si>
    <t>x 7</t>
  </si>
  <si>
    <t>x 10</t>
  </si>
  <si>
    <t>x 15</t>
  </si>
  <si>
    <t>Total PF não ajustados (contagem detalhada)</t>
  </si>
  <si>
    <t>Total PF não ajustados (contagem estimativa)</t>
  </si>
  <si>
    <t>Total PF não ajustados (contagem indicativa)</t>
  </si>
  <si>
    <t>Sumário por Deflatores e Itens não mensuráveis</t>
  </si>
  <si>
    <t>Deflatores aplicados a Itens Funcionais</t>
  </si>
  <si>
    <t>Deflator</t>
  </si>
  <si>
    <t>Contrib. Fixa</t>
  </si>
  <si>
    <t>% LOCAL</t>
  </si>
  <si>
    <t>Total IFPUG</t>
  </si>
  <si>
    <t>Itens não Funcionais (Tipo de Função)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</si>
</sst>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0.00\ ;* \(#,##0.00\);* \-#\ ;@\ "/>
    <numFmt numFmtId="165" formatCode="dd/mm/yy"/>
    <numFmt numFmtId="166" formatCode="0.0000"/>
    <numFmt numFmtId="167" formatCode="0.0%"/>
  </numFmts>
  <fonts count="27">
    <font>
      <sz val="10"/>
      <name val="Arial"/>
      <family val="2"/>
    </font>
    <font>
      <b/>
      <sz val="15"/>
      <color indexed="56"/>
      <name val="Calibri"/>
      <family val="2"/>
    </font>
    <font>
      <sz val="10"/>
      <name val="Franklin Gothic Medium"/>
      <family val="2"/>
    </font>
    <font>
      <b/>
      <sz val="12"/>
      <name val="Franklin Gothic Medium"/>
      <family val="2"/>
    </font>
    <font>
      <sz val="9"/>
      <color indexed="12"/>
      <name val="Franklin Gothic Medium"/>
      <family val="2"/>
    </font>
    <font>
      <sz val="9"/>
      <name val="Franklin Gothic Medium"/>
      <family val="2"/>
    </font>
    <font>
      <b/>
      <sz val="10"/>
      <name val="Franklin Gothic Medium"/>
      <family val="2"/>
    </font>
    <font>
      <b/>
      <sz val="8.5"/>
      <color indexed="63"/>
      <name val="Times New Roman"/>
      <family val="1"/>
    </font>
    <font>
      <sz val="8.5"/>
      <color indexed="63"/>
      <name val="Times New Roman"/>
      <family val="1"/>
    </font>
    <font>
      <b/>
      <sz val="8.5"/>
      <name val="Times New Roman"/>
      <family val="1"/>
    </font>
    <font>
      <sz val="8"/>
      <name val="Franklin Gothic Medium"/>
      <family val="2"/>
    </font>
    <font>
      <b/>
      <sz val="8"/>
      <color indexed="8"/>
      <name val="Tahoma"/>
      <family val="2"/>
    </font>
    <font>
      <sz val="8"/>
      <color indexed="8"/>
      <name val="Tahoma"/>
      <family val="2"/>
    </font>
    <font>
      <sz val="9"/>
      <color indexed="63"/>
      <name val="Franklin Gothic Medium"/>
      <family val="2"/>
    </font>
    <font>
      <b/>
      <sz val="9"/>
      <name val="Franklin Gothic Medium"/>
      <family val="2"/>
    </font>
    <font>
      <sz val="10"/>
      <name val="Arial"/>
      <family val="2"/>
    </font>
    <font>
      <sz val="8.5"/>
      <color indexed="81"/>
      <name val="Times New Roman"/>
      <family val="1"/>
    </font>
    <font>
      <sz val="9"/>
      <color theme="0"/>
      <name val="Franklin Gothic Medium"/>
      <family val="2"/>
    </font>
    <font>
      <sz val="8"/>
      <color theme="0"/>
      <name val="Franklin Gothic Medium"/>
      <family val="2"/>
    </font>
    <font>
      <b/>
      <sz val="8"/>
      <name val="Franklin Gothic Medium"/>
      <family val="2"/>
    </font>
    <font>
      <b/>
      <u/>
      <sz val="8"/>
      <name val="Franklin Gothic Medium"/>
      <family val="2"/>
    </font>
    <font>
      <sz val="8"/>
      <color theme="1"/>
      <name val="Franklin Gothic Medium"/>
      <family val="2"/>
    </font>
    <font>
      <sz val="9"/>
      <color indexed="81"/>
      <name val="Segoe UI"/>
      <family val="2"/>
    </font>
    <font>
      <sz val="8"/>
      <color rgb="FFFF0000"/>
      <name val="Franklin Gothic Medium"/>
      <family val="2"/>
    </font>
    <font>
      <b/>
      <sz val="9"/>
      <color indexed="81"/>
      <name val="Segoe UI"/>
      <family val="2"/>
    </font>
    <font>
      <sz val="8"/>
      <color rgb="FFFF0066"/>
      <name val="Franklin Gothic Medium"/>
      <family val="2"/>
    </font>
    <font>
      <sz val="9"/>
      <color indexed="81"/>
      <name val="Segoe UI"/>
      <charset val="1"/>
    </font>
  </fonts>
  <fills count="5">
    <fill>
      <patternFill patternType="none"/>
    </fill>
    <fill>
      <patternFill patternType="gray125"/>
    </fill>
    <fill>
      <patternFill patternType="solid">
        <fgColor indexed="22"/>
        <bgColor indexed="31"/>
      </patternFill>
    </fill>
    <fill>
      <patternFill patternType="solid">
        <fgColor indexed="13"/>
        <bgColor indexed="34"/>
      </patternFill>
    </fill>
    <fill>
      <patternFill patternType="solid">
        <fgColor indexed="23"/>
        <bgColor indexed="55"/>
      </patternFill>
    </fill>
  </fills>
  <borders count="49">
    <border>
      <left/>
      <right/>
      <top/>
      <bottom/>
      <diagonal/>
    </border>
    <border>
      <left/>
      <right/>
      <top/>
      <bottom style="thick">
        <color indexed="62"/>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medium">
        <color indexed="8"/>
      </right>
      <top/>
      <bottom style="hair">
        <color indexed="8"/>
      </bottom>
      <diagonal/>
    </border>
    <border>
      <left style="hair">
        <color indexed="8"/>
      </left>
      <right style="hair">
        <color indexed="8"/>
      </right>
      <top/>
      <bottom style="medium">
        <color indexed="8"/>
      </bottom>
      <diagonal/>
    </border>
    <border>
      <left style="hair">
        <color indexed="8"/>
      </left>
      <right style="hair">
        <color indexed="8"/>
      </right>
      <top style="hair">
        <color indexed="8"/>
      </top>
      <bottom style="medium">
        <color indexed="8"/>
      </bottom>
      <diagonal/>
    </border>
    <border>
      <left style="hair">
        <color indexed="8"/>
      </left>
      <right style="medium">
        <color indexed="8"/>
      </right>
      <top style="hair">
        <color indexed="8"/>
      </top>
      <bottom style="medium">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right style="medium">
        <color indexed="8"/>
      </right>
      <top/>
      <bottom/>
      <diagonal/>
    </border>
    <border>
      <left style="thin">
        <color indexed="8"/>
      </left>
      <right style="thin">
        <color indexed="8"/>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top/>
      <bottom/>
      <diagonal/>
    </border>
    <border>
      <left style="medium">
        <color indexed="8"/>
      </left>
      <right/>
      <top/>
      <bottom style="thin">
        <color indexed="8"/>
      </bottom>
      <diagonal/>
    </border>
    <border>
      <left/>
      <right style="medium">
        <color indexed="8"/>
      </right>
      <top/>
      <bottom style="thin">
        <color indexed="8"/>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8"/>
      </left>
      <right style="thin">
        <color indexed="8"/>
      </right>
      <top style="thin">
        <color indexed="8"/>
      </top>
      <bottom style="hair">
        <color indexed="8"/>
      </bottom>
      <diagonal/>
    </border>
    <border>
      <left style="thin">
        <color indexed="8"/>
      </left>
      <right/>
      <top style="thin">
        <color indexed="8"/>
      </top>
      <bottom style="hair">
        <color indexed="8"/>
      </bottom>
      <diagonal/>
    </border>
    <border>
      <left style="thin">
        <color indexed="8"/>
      </left>
      <right style="hair">
        <color indexed="8"/>
      </right>
      <top style="thin">
        <color indexed="8"/>
      </top>
      <bottom style="hair">
        <color indexed="8"/>
      </bottom>
      <diagonal/>
    </border>
    <border>
      <left style="thin">
        <color indexed="8"/>
      </left>
      <right style="medium">
        <color indexed="8"/>
      </right>
      <top style="thin">
        <color indexed="8"/>
      </top>
      <bottom style="hair">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style="hair">
        <color indexed="8"/>
      </bottom>
      <diagonal/>
    </border>
    <border>
      <left style="medium">
        <color indexed="8"/>
      </left>
      <right/>
      <top style="hair">
        <color indexed="8"/>
      </top>
      <bottom style="hair">
        <color indexed="8"/>
      </bottom>
      <diagonal/>
    </border>
    <border>
      <left style="medium">
        <color indexed="8"/>
      </left>
      <right/>
      <top style="hair">
        <color indexed="8"/>
      </top>
      <bottom style="medium">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medium">
        <color indexed="8"/>
      </left>
      <right style="medium">
        <color indexed="8"/>
      </right>
      <top style="medium">
        <color indexed="8"/>
      </top>
      <bottom style="hair">
        <color indexed="8"/>
      </bottom>
      <diagonal/>
    </border>
    <border>
      <left style="medium">
        <color indexed="8"/>
      </left>
      <right/>
      <top style="thin">
        <color indexed="8"/>
      </top>
      <bottom style="thin">
        <color indexed="8"/>
      </bottom>
      <diagonal/>
    </border>
    <border>
      <left/>
      <right style="medium">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style="medium">
        <color indexed="64"/>
      </left>
      <right/>
      <top style="hair">
        <color indexed="8"/>
      </top>
      <bottom style="hair">
        <color indexed="8"/>
      </bottom>
      <diagonal/>
    </border>
    <border>
      <left style="hair">
        <color indexed="8"/>
      </left>
      <right style="hair">
        <color indexed="8"/>
      </right>
      <top/>
      <bottom/>
      <diagonal/>
    </border>
  </borders>
  <cellStyleXfs count="4">
    <xf numFmtId="0" fontId="0" fillId="0" borderId="0"/>
    <xf numFmtId="9" fontId="15" fillId="0" borderId="0" applyBorder="0" applyAlignment="0" applyProtection="0"/>
    <xf numFmtId="0" fontId="1" fillId="0" borderId="1" applyAlignment="0" applyProtection="0"/>
    <xf numFmtId="164" fontId="15" fillId="0" borderId="0" applyBorder="0" applyAlignment="0" applyProtection="0"/>
  </cellStyleXfs>
  <cellXfs count="189">
    <xf numFmtId="0" fontId="0" fillId="0" borderId="0" xfId="0"/>
    <xf numFmtId="0" fontId="2" fillId="0" borderId="0" xfId="0" applyFont="1"/>
    <xf numFmtId="0" fontId="4" fillId="0" borderId="2" xfId="0" applyFont="1" applyBorder="1" applyAlignment="1">
      <alignment horizontal="left" vertical="center"/>
    </xf>
    <xf numFmtId="0" fontId="5" fillId="2" borderId="3" xfId="0" applyFont="1" applyFill="1" applyBorder="1" applyAlignment="1">
      <alignment horizontal="left" vertical="center"/>
    </xf>
    <xf numFmtId="0" fontId="10" fillId="0" borderId="4" xfId="0" applyFont="1" applyBorder="1" applyAlignment="1">
      <alignment horizontal="center" vertical="center"/>
    </xf>
    <xf numFmtId="0" fontId="10" fillId="2" borderId="5" xfId="0" applyFont="1" applyFill="1" applyBorder="1" applyAlignment="1">
      <alignment horizontal="center" vertical="center"/>
    </xf>
    <xf numFmtId="0" fontId="10" fillId="0" borderId="6" xfId="0" applyFont="1" applyBorder="1" applyAlignment="1">
      <alignment horizontal="left" vertical="center" wrapText="1"/>
    </xf>
    <xf numFmtId="0" fontId="10" fillId="0" borderId="5" xfId="0" applyFont="1" applyBorder="1" applyAlignment="1">
      <alignment horizontal="center" vertical="center"/>
    </xf>
    <xf numFmtId="0" fontId="10" fillId="2" borderId="5" xfId="0" applyFont="1" applyFill="1" applyBorder="1" applyAlignment="1">
      <alignment horizontal="center" vertical="center" wrapText="1"/>
    </xf>
    <xf numFmtId="4" fontId="10" fillId="2" borderId="5" xfId="0" applyNumberFormat="1" applyFont="1" applyFill="1" applyBorder="1" applyAlignment="1">
      <alignment horizontal="center" vertical="center"/>
    </xf>
    <xf numFmtId="0" fontId="10" fillId="0" borderId="5" xfId="0" applyFont="1" applyBorder="1" applyAlignment="1">
      <alignment horizontal="left" vertical="center" wrapText="1"/>
    </xf>
    <xf numFmtId="0" fontId="10" fillId="0" borderId="7" xfId="0" applyFont="1" applyBorder="1" applyAlignment="1">
      <alignment horizontal="center" vertical="center"/>
    </xf>
    <xf numFmtId="0" fontId="10" fillId="0" borderId="8" xfId="0" applyFont="1" applyBorder="1" applyAlignment="1">
      <alignment horizontal="center" vertical="center"/>
    </xf>
    <xf numFmtId="0" fontId="10" fillId="2" borderId="8" xfId="0" applyFont="1" applyFill="1" applyBorder="1" applyAlignment="1">
      <alignment horizontal="center" vertical="center" wrapText="1"/>
    </xf>
    <xf numFmtId="0" fontId="10" fillId="3" borderId="8" xfId="0" applyFont="1" applyFill="1" applyBorder="1" applyAlignment="1">
      <alignment horizontal="center" vertical="center"/>
    </xf>
    <xf numFmtId="0" fontId="10" fillId="2" borderId="8" xfId="0" applyFont="1" applyFill="1" applyBorder="1" applyAlignment="1">
      <alignment horizontal="center" vertical="center"/>
    </xf>
    <xf numFmtId="4" fontId="10" fillId="2" borderId="8" xfId="0" applyNumberFormat="1" applyFont="1" applyFill="1" applyBorder="1" applyAlignment="1">
      <alignment horizontal="center" vertical="center"/>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applyAlignment="1">
      <alignment horizontal="center"/>
    </xf>
    <xf numFmtId="0" fontId="0" fillId="0" borderId="0" xfId="0" applyAlignment="1">
      <alignment horizontal="right"/>
    </xf>
    <xf numFmtId="0" fontId="2" fillId="0" borderId="0" xfId="0" applyFont="1" applyAlignment="1">
      <alignment horizontal="center"/>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0" borderId="2" xfId="0" applyFont="1" applyBorder="1" applyAlignment="1">
      <alignment horizontal="center" vertical="center"/>
    </xf>
    <xf numFmtId="4" fontId="5" fillId="2" borderId="10" xfId="3" applyNumberFormat="1" applyFont="1" applyFill="1" applyBorder="1" applyAlignment="1" applyProtection="1">
      <alignment horizontal="center"/>
    </xf>
    <xf numFmtId="0" fontId="13" fillId="2" borderId="3" xfId="0" applyFont="1" applyFill="1" applyBorder="1" applyAlignment="1">
      <alignment horizontal="left" vertical="center"/>
    </xf>
    <xf numFmtId="3" fontId="5" fillId="2" borderId="2" xfId="3" applyNumberFormat="1" applyFont="1" applyFill="1" applyBorder="1" applyAlignment="1" applyProtection="1">
      <alignment horizontal="center"/>
    </xf>
    <xf numFmtId="0" fontId="13" fillId="2" borderId="11" xfId="0" applyFont="1" applyFill="1" applyBorder="1" applyAlignment="1">
      <alignment horizontal="center"/>
    </xf>
    <xf numFmtId="0" fontId="4" fillId="0" borderId="12" xfId="0" applyFont="1" applyBorder="1" applyAlignment="1">
      <alignment horizontal="left" vertical="center"/>
    </xf>
    <xf numFmtId="0" fontId="4" fillId="0" borderId="12" xfId="0" applyFont="1" applyBorder="1" applyAlignment="1">
      <alignment horizontal="center" vertical="center"/>
    </xf>
    <xf numFmtId="3" fontId="5" fillId="2" borderId="12" xfId="3" applyNumberFormat="1" applyFont="1" applyFill="1" applyBorder="1" applyAlignment="1" applyProtection="1">
      <alignment horizontal="center"/>
    </xf>
    <xf numFmtId="4" fontId="5" fillId="2" borderId="13" xfId="3" applyNumberFormat="1" applyFont="1" applyFill="1" applyBorder="1" applyAlignment="1" applyProtection="1">
      <alignment horizontal="center"/>
    </xf>
    <xf numFmtId="167" fontId="5" fillId="0" borderId="0" xfId="1" applyNumberFormat="1" applyFont="1" applyBorder="1" applyAlignment="1" applyProtection="1"/>
    <xf numFmtId="167" fontId="5" fillId="0" borderId="14" xfId="1" applyNumberFormat="1" applyFont="1" applyBorder="1" applyAlignment="1" applyProtection="1"/>
    <xf numFmtId="0" fontId="5" fillId="0" borderId="15" xfId="0" applyFont="1" applyBorder="1" applyAlignment="1">
      <alignment horizontal="center"/>
    </xf>
    <xf numFmtId="0" fontId="4" fillId="0" borderId="2" xfId="0" applyFont="1" applyBorder="1" applyAlignment="1">
      <alignment horizontal="center"/>
    </xf>
    <xf numFmtId="1" fontId="5" fillId="2" borderId="2" xfId="0" applyNumberFormat="1" applyFont="1" applyFill="1" applyBorder="1" applyAlignment="1">
      <alignment horizontal="center"/>
    </xf>
    <xf numFmtId="2" fontId="5" fillId="2" borderId="2" xfId="0" applyNumberFormat="1" applyFont="1" applyFill="1" applyBorder="1" applyAlignment="1">
      <alignment horizontal="center"/>
    </xf>
    <xf numFmtId="10" fontId="5" fillId="2" borderId="2" xfId="1" applyNumberFormat="1" applyFont="1" applyFill="1" applyBorder="1" applyAlignment="1" applyProtection="1">
      <alignment horizontal="center"/>
    </xf>
    <xf numFmtId="2" fontId="5" fillId="0" borderId="2" xfId="1" applyNumberFormat="1" applyFont="1" applyBorder="1" applyAlignment="1" applyProtection="1">
      <alignment horizontal="center"/>
    </xf>
    <xf numFmtId="2" fontId="14" fillId="3" borderId="2" xfId="1" applyNumberFormat="1" applyFont="1" applyFill="1" applyBorder="1" applyAlignment="1" applyProtection="1">
      <alignment horizontal="center"/>
    </xf>
    <xf numFmtId="0" fontId="0" fillId="0" borderId="16" xfId="0" applyBorder="1"/>
    <xf numFmtId="0" fontId="5" fillId="0" borderId="2" xfId="0" applyFont="1" applyBorder="1" applyAlignment="1">
      <alignment horizontal="center"/>
    </xf>
    <xf numFmtId="0" fontId="0" fillId="0" borderId="17" xfId="0" applyBorder="1"/>
    <xf numFmtId="0" fontId="5" fillId="0" borderId="18" xfId="0" applyFont="1" applyBorder="1"/>
    <xf numFmtId="0" fontId="5" fillId="0" borderId="19" xfId="0" applyFont="1" applyBorder="1"/>
    <xf numFmtId="0" fontId="5" fillId="0" borderId="20" xfId="0" applyFont="1" applyBorder="1"/>
    <xf numFmtId="0" fontId="14" fillId="0" borderId="21" xfId="0" applyFont="1" applyBorder="1" applyAlignment="1">
      <alignment horizontal="center"/>
    </xf>
    <xf numFmtId="0" fontId="5" fillId="0" borderId="0" xfId="0" applyFont="1"/>
    <xf numFmtId="0" fontId="5" fillId="0" borderId="16" xfId="0" applyFont="1" applyBorder="1" applyAlignment="1">
      <alignment vertical="center"/>
    </xf>
    <xf numFmtId="0" fontId="5" fillId="0" borderId="0" xfId="0" applyFont="1" applyAlignment="1">
      <alignment vertical="center"/>
    </xf>
    <xf numFmtId="0" fontId="5" fillId="0" borderId="16" xfId="0" applyFont="1" applyBorder="1"/>
    <xf numFmtId="2" fontId="5" fillId="0" borderId="16" xfId="0" applyNumberFormat="1" applyFont="1" applyBorder="1" applyAlignment="1">
      <alignment vertical="center"/>
    </xf>
    <xf numFmtId="0" fontId="5" fillId="0" borderId="14" xfId="0" applyFont="1" applyBorder="1"/>
    <xf numFmtId="0" fontId="5" fillId="0" borderId="21" xfId="0" applyFont="1" applyBorder="1"/>
    <xf numFmtId="10" fontId="5" fillId="0" borderId="14" xfId="0" applyNumberFormat="1" applyFont="1" applyBorder="1"/>
    <xf numFmtId="2" fontId="5" fillId="0" borderId="0" xfId="0" applyNumberFormat="1" applyFont="1"/>
    <xf numFmtId="0" fontId="14" fillId="0" borderId="0" xfId="0" applyFont="1"/>
    <xf numFmtId="0" fontId="5" fillId="0" borderId="22" xfId="0" applyFont="1" applyBorder="1"/>
    <xf numFmtId="0" fontId="5" fillId="0" borderId="23" xfId="0" applyFont="1" applyBorder="1"/>
    <xf numFmtId="2" fontId="5" fillId="0" borderId="16" xfId="0" applyNumberFormat="1" applyFont="1" applyBorder="1"/>
    <xf numFmtId="0" fontId="5" fillId="0" borderId="24" xfId="0" applyFont="1" applyBorder="1"/>
    <xf numFmtId="0" fontId="5" fillId="0" borderId="25" xfId="0" applyFont="1" applyBorder="1"/>
    <xf numFmtId="0" fontId="5" fillId="0" borderId="26" xfId="0" applyFont="1" applyBorder="1"/>
    <xf numFmtId="0" fontId="17" fillId="4" borderId="19" xfId="0" applyFont="1" applyFill="1" applyBorder="1" applyAlignment="1">
      <alignment horizontal="left" vertical="center" wrapText="1"/>
    </xf>
    <xf numFmtId="0" fontId="17" fillId="4" borderId="16" xfId="0" applyFont="1" applyFill="1" applyBorder="1" applyAlignment="1">
      <alignment horizontal="left" vertical="center" wrapText="1"/>
    </xf>
    <xf numFmtId="0" fontId="18" fillId="4" borderId="27" xfId="0" applyFont="1" applyFill="1" applyBorder="1" applyAlignment="1">
      <alignment horizontal="left" vertical="center"/>
    </xf>
    <xf numFmtId="0" fontId="18" fillId="4" borderId="28" xfId="0" applyFont="1" applyFill="1" applyBorder="1" applyAlignment="1">
      <alignment horizontal="left" vertical="center"/>
    </xf>
    <xf numFmtId="0" fontId="18" fillId="4" borderId="27" xfId="0" applyFont="1" applyFill="1" applyBorder="1" applyAlignment="1">
      <alignment horizontal="left"/>
    </xf>
    <xf numFmtId="0" fontId="18" fillId="4" borderId="27" xfId="0" applyFont="1" applyFill="1" applyBorder="1" applyAlignment="1">
      <alignment horizontal="center"/>
    </xf>
    <xf numFmtId="0" fontId="18" fillId="4" borderId="29" xfId="0" applyFont="1" applyFill="1" applyBorder="1" applyAlignment="1">
      <alignment horizontal="center"/>
    </xf>
    <xf numFmtId="0" fontId="18" fillId="4" borderId="28" xfId="0" applyFont="1" applyFill="1" applyBorder="1" applyAlignment="1">
      <alignment horizontal="center"/>
    </xf>
    <xf numFmtId="0" fontId="18" fillId="4" borderId="30" xfId="0" applyFont="1" applyFill="1" applyBorder="1" applyAlignment="1">
      <alignment horizontal="center"/>
    </xf>
    <xf numFmtId="0" fontId="5" fillId="0" borderId="21" xfId="0" applyFont="1" applyBorder="1" applyAlignment="1">
      <alignment horizontal="left" vertical="center"/>
    </xf>
    <xf numFmtId="0" fontId="4" fillId="0" borderId="0" xfId="0" applyFont="1" applyAlignment="1">
      <alignment horizontal="left" vertical="center"/>
    </xf>
    <xf numFmtId="0" fontId="4" fillId="0" borderId="0" xfId="0" applyFont="1" applyAlignment="1">
      <alignment horizontal="center"/>
    </xf>
    <xf numFmtId="164" fontId="5" fillId="0" borderId="0" xfId="3" applyFont="1" applyBorder="1" applyAlignment="1" applyProtection="1">
      <alignment horizontal="right"/>
    </xf>
    <xf numFmtId="2" fontId="5" fillId="0" borderId="0" xfId="0" applyNumberFormat="1" applyFont="1" applyAlignment="1">
      <alignment horizontal="center"/>
    </xf>
    <xf numFmtId="2" fontId="5" fillId="0" borderId="14" xfId="0" applyNumberFormat="1" applyFont="1" applyBorder="1"/>
    <xf numFmtId="0" fontId="0" fillId="0" borderId="21" xfId="0" applyBorder="1"/>
    <xf numFmtId="0" fontId="0" fillId="0" borderId="14" xfId="0" applyBorder="1"/>
    <xf numFmtId="0" fontId="14" fillId="0" borderId="0" xfId="0" applyFont="1" applyAlignment="1">
      <alignment horizontal="center"/>
    </xf>
    <xf numFmtId="0" fontId="0" fillId="0" borderId="24" xfId="0" applyBorder="1"/>
    <xf numFmtId="0" fontId="4" fillId="0" borderId="25" xfId="0" applyFont="1" applyBorder="1" applyAlignment="1">
      <alignment horizontal="center" vertical="center"/>
    </xf>
    <xf numFmtId="0" fontId="0" fillId="0" borderId="25" xfId="0" applyBorder="1"/>
    <xf numFmtId="0" fontId="4" fillId="0" borderId="25" xfId="0" applyFont="1" applyBorder="1" applyAlignment="1">
      <alignment horizontal="center"/>
    </xf>
    <xf numFmtId="1" fontId="5" fillId="0" borderId="25" xfId="0" applyNumberFormat="1" applyFont="1" applyBorder="1" applyAlignment="1">
      <alignment horizontal="center"/>
    </xf>
    <xf numFmtId="2" fontId="5" fillId="0" borderId="25" xfId="0" applyNumberFormat="1" applyFont="1" applyBorder="1" applyAlignment="1">
      <alignment horizontal="center"/>
    </xf>
    <xf numFmtId="2" fontId="5" fillId="0" borderId="25" xfId="1" applyNumberFormat="1" applyFont="1" applyBorder="1" applyAlignment="1" applyProtection="1">
      <alignment horizontal="center"/>
    </xf>
    <xf numFmtId="10" fontId="5" fillId="0" borderId="25" xfId="1" applyNumberFormat="1" applyFont="1" applyBorder="1" applyAlignment="1" applyProtection="1"/>
    <xf numFmtId="0" fontId="0" fillId="0" borderId="26" xfId="0" applyBorder="1"/>
    <xf numFmtId="10" fontId="0" fillId="0" borderId="0" xfId="0" applyNumberFormat="1"/>
    <xf numFmtId="2" fontId="5" fillId="0" borderId="0" xfId="1" applyNumberFormat="1" applyFont="1" applyBorder="1" applyAlignment="1" applyProtection="1"/>
    <xf numFmtId="0" fontId="5" fillId="0" borderId="0" xfId="0" applyFont="1" applyAlignment="1">
      <alignment horizontal="center" vertical="center"/>
    </xf>
    <xf numFmtId="2" fontId="5" fillId="0" borderId="0" xfId="1" applyNumberFormat="1" applyFont="1" applyBorder="1" applyAlignment="1" applyProtection="1">
      <alignment horizontal="center"/>
    </xf>
    <xf numFmtId="10" fontId="5" fillId="0" borderId="0" xfId="1" applyNumberFormat="1" applyFont="1" applyBorder="1" applyAlignment="1" applyProtection="1"/>
    <xf numFmtId="0" fontId="4" fillId="0" borderId="2" xfId="0" applyFont="1" applyBorder="1" applyAlignment="1">
      <alignment horizontal="left" vertical="center" wrapText="1"/>
    </xf>
    <xf numFmtId="167" fontId="5" fillId="0" borderId="2" xfId="0" applyNumberFormat="1" applyFont="1" applyBorder="1" applyAlignment="1">
      <alignment horizontal="center" vertical="center"/>
    </xf>
    <xf numFmtId="2" fontId="5" fillId="0" borderId="2" xfId="0" applyNumberFormat="1" applyFont="1" applyBorder="1" applyAlignment="1">
      <alignment horizontal="center" vertical="center"/>
    </xf>
    <xf numFmtId="4" fontId="5" fillId="2" borderId="2" xfId="3" applyNumberFormat="1" applyFont="1" applyFill="1" applyBorder="1" applyAlignment="1" applyProtection="1">
      <alignment horizontal="center" vertical="center"/>
    </xf>
    <xf numFmtId="4" fontId="5" fillId="2" borderId="10" xfId="3" applyNumberFormat="1" applyFont="1" applyFill="1" applyBorder="1" applyAlignment="1" applyProtection="1">
      <alignment horizontal="center" vertical="center"/>
    </xf>
    <xf numFmtId="1" fontId="5" fillId="2" borderId="2" xfId="0" applyNumberFormat="1" applyFont="1" applyFill="1" applyBorder="1" applyAlignment="1">
      <alignment horizontal="center" vertical="center"/>
    </xf>
    <xf numFmtId="2" fontId="5" fillId="2" borderId="2" xfId="0" applyNumberFormat="1" applyFont="1" applyFill="1" applyBorder="1" applyAlignment="1">
      <alignment horizontal="center" vertical="center"/>
    </xf>
    <xf numFmtId="167" fontId="5" fillId="2" borderId="2" xfId="0" applyNumberFormat="1" applyFont="1" applyFill="1" applyBorder="1" applyAlignment="1">
      <alignment horizontal="center" vertical="center"/>
    </xf>
    <xf numFmtId="2" fontId="5" fillId="2" borderId="2" xfId="1" applyNumberFormat="1" applyFont="1" applyFill="1" applyBorder="1" applyAlignment="1" applyProtection="1">
      <alignment horizontal="center" vertical="center"/>
    </xf>
    <xf numFmtId="10" fontId="5" fillId="2" borderId="2" xfId="1" applyNumberFormat="1" applyFont="1" applyFill="1" applyBorder="1" applyAlignment="1" applyProtection="1">
      <alignment horizontal="center" vertical="center"/>
    </xf>
    <xf numFmtId="0" fontId="5" fillId="2" borderId="31" xfId="0" applyFont="1" applyFill="1" applyBorder="1" applyAlignment="1">
      <alignment vertical="center"/>
    </xf>
    <xf numFmtId="166" fontId="5" fillId="2" borderId="31" xfId="0" applyNumberFormat="1" applyFont="1" applyFill="1" applyBorder="1" applyAlignment="1">
      <alignment vertical="center"/>
    </xf>
    <xf numFmtId="2" fontId="5" fillId="2" borderId="31" xfId="0" applyNumberFormat="1" applyFont="1" applyFill="1" applyBorder="1" applyAlignment="1">
      <alignment vertical="center"/>
    </xf>
    <xf numFmtId="2" fontId="5" fillId="2" borderId="32" xfId="0" applyNumberFormat="1" applyFont="1" applyFill="1" applyBorder="1" applyAlignment="1">
      <alignment vertical="center"/>
    </xf>
    <xf numFmtId="0" fontId="4" fillId="0" borderId="31" xfId="0" applyFont="1" applyBorder="1" applyAlignment="1">
      <alignment horizontal="left" vertical="center"/>
    </xf>
    <xf numFmtId="0" fontId="4" fillId="0" borderId="17" xfId="0" applyFont="1" applyBorder="1" applyAlignment="1">
      <alignment horizontal="left" vertical="center"/>
    </xf>
    <xf numFmtId="0" fontId="4" fillId="0" borderId="32" xfId="0" applyFont="1" applyBorder="1" applyAlignment="1">
      <alignment horizontal="left" vertical="center"/>
    </xf>
    <xf numFmtId="0" fontId="18" fillId="4" borderId="33" xfId="0" applyFont="1" applyFill="1" applyBorder="1" applyAlignment="1">
      <alignment horizontal="center" vertical="center" wrapText="1"/>
    </xf>
    <xf numFmtId="0" fontId="5" fillId="2" borderId="3" xfId="0" applyFont="1" applyFill="1" applyBorder="1" applyAlignment="1">
      <alignment vertical="center"/>
    </xf>
    <xf numFmtId="0" fontId="10" fillId="0" borderId="5" xfId="0" applyFont="1" applyBorder="1" applyAlignment="1">
      <alignment horizontal="center" vertical="center" wrapText="1"/>
    </xf>
    <xf numFmtId="0" fontId="10" fillId="0" borderId="8" xfId="0" applyFont="1" applyBorder="1" applyAlignment="1">
      <alignment horizontal="center" vertical="center" wrapText="1"/>
    </xf>
    <xf numFmtId="0" fontId="18" fillId="4" borderId="2" xfId="0" applyFont="1" applyFill="1" applyBorder="1" applyAlignment="1">
      <alignment horizontal="center"/>
    </xf>
    <xf numFmtId="0" fontId="10" fillId="0" borderId="34" xfId="0" applyFont="1" applyBorder="1" applyAlignment="1">
      <alignment horizontal="left" vertical="center" wrapText="1"/>
    </xf>
    <xf numFmtId="0" fontId="10" fillId="0" borderId="35" xfId="0" applyFont="1" applyBorder="1" applyAlignment="1">
      <alignment horizontal="left" vertical="center" wrapText="1"/>
    </xf>
    <xf numFmtId="0" fontId="18" fillId="4" borderId="28" xfId="0" applyFont="1" applyFill="1" applyBorder="1" applyAlignment="1">
      <alignment horizontal="center" vertical="center"/>
    </xf>
    <xf numFmtId="0" fontId="0" fillId="0" borderId="0" xfId="0" applyAlignment="1">
      <alignment vertical="center"/>
    </xf>
    <xf numFmtId="0" fontId="21" fillId="0" borderId="4" xfId="0" applyFont="1" applyBorder="1" applyAlignment="1">
      <alignment horizontal="center" vertical="center"/>
    </xf>
    <xf numFmtId="0" fontId="18" fillId="4" borderId="46" xfId="0" applyFont="1" applyFill="1" applyBorder="1" applyAlignment="1">
      <alignment horizontal="center"/>
    </xf>
    <xf numFmtId="4" fontId="10" fillId="0" borderId="5" xfId="0" applyNumberFormat="1" applyFont="1" applyBorder="1" applyAlignment="1">
      <alignment horizontal="center" vertical="center"/>
    </xf>
    <xf numFmtId="0" fontId="10" fillId="0" borderId="5" xfId="0" applyFont="1" applyBorder="1" applyAlignment="1">
      <alignment horizontal="left" vertical="center" wrapText="1" indent="1"/>
    </xf>
    <xf numFmtId="0" fontId="0" fillId="0" borderId="0" xfId="0" applyAlignment="1">
      <alignment horizontal="left" indent="1"/>
    </xf>
    <xf numFmtId="0" fontId="10" fillId="0" borderId="48" xfId="0" applyFont="1" applyBorder="1" applyAlignment="1">
      <alignment horizontal="center" vertical="center"/>
    </xf>
    <xf numFmtId="0" fontId="21" fillId="0" borderId="5" xfId="0" applyFont="1" applyBorder="1" applyAlignment="1">
      <alignment horizontal="center" vertical="center"/>
    </xf>
    <xf numFmtId="4" fontId="10" fillId="0" borderId="5" xfId="0" applyNumberFormat="1" applyFont="1" applyBorder="1" applyAlignment="1">
      <alignment horizontal="left" vertical="center"/>
    </xf>
    <xf numFmtId="4" fontId="10" fillId="0" borderId="5" xfId="0" applyNumberFormat="1" applyFont="1" applyBorder="1" applyAlignment="1">
      <alignment horizontal="left" vertical="center" wrapText="1"/>
    </xf>
    <xf numFmtId="4" fontId="23" fillId="0" borderId="5" xfId="0" applyNumberFormat="1" applyFont="1" applyBorder="1" applyAlignment="1">
      <alignment horizontal="left" vertical="center" wrapText="1"/>
    </xf>
    <xf numFmtId="4" fontId="25" fillId="0" borderId="5" xfId="0" applyNumberFormat="1" applyFont="1" applyBorder="1" applyAlignment="1">
      <alignment horizontal="center" vertical="center"/>
    </xf>
    <xf numFmtId="4" fontId="10" fillId="0" borderId="5" xfId="0" applyNumberFormat="1" applyFont="1" applyBorder="1" applyAlignment="1">
      <alignment horizontal="left" vertical="center" indent="1"/>
    </xf>
    <xf numFmtId="0" fontId="23" fillId="0" borderId="6" xfId="0" applyFont="1" applyBorder="1" applyAlignment="1">
      <alignment horizontal="left" vertical="center" wrapText="1"/>
    </xf>
    <xf numFmtId="4" fontId="10" fillId="0" borderId="5" xfId="0" applyNumberFormat="1" applyFont="1" applyBorder="1" applyAlignment="1">
      <alignment horizontal="center" vertical="center" wrapText="1"/>
    </xf>
    <xf numFmtId="0" fontId="19" fillId="0" borderId="47" xfId="0" applyFont="1" applyBorder="1" applyAlignment="1">
      <alignment horizontal="left" vertical="center" wrapText="1"/>
    </xf>
    <xf numFmtId="0" fontId="10" fillId="0" borderId="47" xfId="0" applyFont="1" applyBorder="1" applyAlignment="1">
      <alignment horizontal="left" vertical="center" wrapText="1" indent="1"/>
    </xf>
    <xf numFmtId="0" fontId="10" fillId="0" borderId="47" xfId="0" applyFont="1" applyBorder="1" applyAlignment="1">
      <alignment horizontal="left" vertical="center" wrapText="1" indent="2"/>
    </xf>
    <xf numFmtId="0" fontId="21" fillId="0" borderId="47" xfId="0" applyFont="1" applyBorder="1" applyAlignment="1">
      <alignment horizontal="left" vertical="center" wrapText="1" indent="1"/>
    </xf>
    <xf numFmtId="0" fontId="19" fillId="0" borderId="34" xfId="0" applyFont="1" applyBorder="1" applyAlignment="1">
      <alignment horizontal="left" vertical="center" wrapText="1"/>
    </xf>
    <xf numFmtId="0" fontId="10" fillId="0" borderId="34" xfId="0" applyFont="1" applyBorder="1" applyAlignment="1">
      <alignment horizontal="left" vertical="center" wrapText="1" indent="1"/>
    </xf>
    <xf numFmtId="0" fontId="10" fillId="0" borderId="34" xfId="0" applyFont="1" applyBorder="1" applyAlignment="1">
      <alignment horizontal="left" vertical="center" wrapText="1" indent="2"/>
    </xf>
    <xf numFmtId="0" fontId="20" fillId="0" borderId="34" xfId="0" applyFont="1" applyBorder="1" applyAlignment="1">
      <alignment horizontal="left" vertical="center" wrapText="1"/>
    </xf>
    <xf numFmtId="0" fontId="4" fillId="0" borderId="3" xfId="0" applyFont="1" applyBorder="1" applyAlignment="1">
      <alignment horizontal="left" vertical="center"/>
    </xf>
    <xf numFmtId="0" fontId="5" fillId="0" borderId="31" xfId="0" applyFont="1" applyBorder="1" applyAlignment="1" applyProtection="1">
      <alignment horizontal="left" vertical="center"/>
      <protection locked="0"/>
    </xf>
    <xf numFmtId="0" fontId="4" fillId="0" borderId="2" xfId="0" applyFont="1" applyBorder="1" applyAlignment="1">
      <alignment horizontal="left" vertical="center"/>
    </xf>
    <xf numFmtId="164" fontId="5" fillId="2" borderId="10" xfId="3" applyFont="1" applyFill="1" applyBorder="1" applyAlignment="1" applyProtection="1">
      <alignment horizontal="right" indent="1"/>
    </xf>
    <xf numFmtId="0" fontId="3" fillId="0" borderId="39" xfId="0" applyFont="1" applyBorder="1" applyAlignment="1">
      <alignment horizontal="center" vertical="center"/>
    </xf>
    <xf numFmtId="0" fontId="4" fillId="0" borderId="31" xfId="0" applyFont="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10" xfId="0" applyFont="1" applyBorder="1" applyAlignment="1" applyProtection="1">
      <alignment horizontal="left" vertical="center"/>
      <protection locked="0"/>
    </xf>
    <xf numFmtId="0" fontId="4" fillId="0" borderId="2" xfId="0" applyFont="1" applyBorder="1" applyAlignment="1">
      <alignment horizontal="left"/>
    </xf>
    <xf numFmtId="165" fontId="5" fillId="0" borderId="10" xfId="0" applyNumberFormat="1" applyFont="1" applyBorder="1" applyAlignment="1" applyProtection="1">
      <alignment horizontal="center"/>
      <protection locked="0"/>
    </xf>
    <xf numFmtId="0" fontId="6" fillId="2" borderId="36" xfId="0" applyFont="1" applyFill="1" applyBorder="1" applyAlignment="1">
      <alignment horizontal="center" vertical="center"/>
    </xf>
    <xf numFmtId="0" fontId="2" fillId="0" borderId="37" xfId="0" quotePrefix="1" applyFont="1" applyBorder="1" applyAlignment="1" applyProtection="1">
      <alignment horizontal="justify" vertical="top" wrapText="1"/>
      <protection locked="0"/>
    </xf>
    <xf numFmtId="0" fontId="2" fillId="0" borderId="37" xfId="0" applyFont="1" applyBorder="1" applyAlignment="1" applyProtection="1">
      <alignment horizontal="justify" vertical="top" wrapText="1"/>
      <protection locked="0"/>
    </xf>
    <xf numFmtId="0" fontId="2" fillId="0" borderId="38" xfId="0" quotePrefix="1" applyFont="1" applyBorder="1" applyAlignment="1" applyProtection="1">
      <alignment horizontal="justify" vertical="top" wrapText="1"/>
      <protection locked="0"/>
    </xf>
    <xf numFmtId="0" fontId="2" fillId="0" borderId="38" xfId="0" applyFont="1" applyBorder="1" applyAlignment="1" applyProtection="1">
      <alignment horizontal="justify" vertical="top" wrapText="1"/>
      <protection locked="0"/>
    </xf>
    <xf numFmtId="0" fontId="5" fillId="2" borderId="40" xfId="0" applyFont="1" applyFill="1" applyBorder="1" applyAlignment="1">
      <alignment horizontal="left" vertical="center"/>
    </xf>
    <xf numFmtId="0" fontId="5" fillId="2" borderId="19" xfId="0" applyFont="1" applyFill="1" applyBorder="1" applyAlignment="1">
      <alignment horizontal="left" vertical="center"/>
    </xf>
    <xf numFmtId="0" fontId="5" fillId="2" borderId="41" xfId="0" applyFont="1" applyFill="1" applyBorder="1" applyAlignment="1">
      <alignment horizontal="left" vertical="center"/>
    </xf>
    <xf numFmtId="0" fontId="5" fillId="2" borderId="10" xfId="0" applyFont="1" applyFill="1" applyBorder="1" applyAlignment="1">
      <alignment horizontal="left" vertical="center"/>
    </xf>
    <xf numFmtId="0" fontId="3" fillId="0" borderId="42" xfId="0" applyFont="1" applyBorder="1" applyAlignment="1">
      <alignment horizontal="center" vertical="center"/>
    </xf>
    <xf numFmtId="2" fontId="5" fillId="2" borderId="10" xfId="0" applyNumberFormat="1" applyFont="1" applyFill="1" applyBorder="1" applyAlignment="1">
      <alignment horizontal="left" vertical="center"/>
    </xf>
    <xf numFmtId="0" fontId="5" fillId="2" borderId="31" xfId="0" applyFont="1" applyFill="1" applyBorder="1" applyAlignment="1">
      <alignment horizontal="left" vertical="center"/>
    </xf>
    <xf numFmtId="0" fontId="5" fillId="2" borderId="17" xfId="0" applyFont="1" applyFill="1" applyBorder="1" applyAlignment="1">
      <alignment horizontal="left" vertical="center"/>
    </xf>
    <xf numFmtId="0" fontId="5" fillId="2" borderId="32" xfId="0" applyFont="1" applyFill="1" applyBorder="1" applyAlignment="1">
      <alignment horizontal="left" vertical="center"/>
    </xf>
    <xf numFmtId="0" fontId="4" fillId="2" borderId="3"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10" xfId="0" applyFont="1" applyFill="1" applyBorder="1" applyAlignment="1">
      <alignment horizontal="center" vertical="center" wrapText="1"/>
    </xf>
    <xf numFmtId="0" fontId="4" fillId="0" borderId="31" xfId="0" applyFont="1" applyBorder="1" applyAlignment="1">
      <alignment horizontal="left" vertical="center" wrapText="1"/>
    </xf>
    <xf numFmtId="0" fontId="4" fillId="0" borderId="17" xfId="0" applyFont="1" applyBorder="1" applyAlignment="1">
      <alignment horizontal="left" vertical="center" wrapText="1"/>
    </xf>
    <xf numFmtId="0" fontId="4" fillId="0" borderId="32" xfId="0" applyFont="1" applyBorder="1" applyAlignment="1">
      <alignment horizontal="left" vertical="center" wrapText="1"/>
    </xf>
    <xf numFmtId="0" fontId="4" fillId="0" borderId="2" xfId="0" applyFont="1" applyBorder="1" applyAlignment="1">
      <alignment horizontal="left" vertical="center" wrapText="1"/>
    </xf>
    <xf numFmtId="2" fontId="13" fillId="0" borderId="2" xfId="0" applyNumberFormat="1" applyFont="1" applyBorder="1" applyAlignment="1">
      <alignment horizontal="center" vertical="center"/>
    </xf>
    <xf numFmtId="0" fontId="4" fillId="0" borderId="12" xfId="0" applyFont="1" applyBorder="1" applyAlignment="1">
      <alignment horizontal="left" vertical="center"/>
    </xf>
    <xf numFmtId="2" fontId="13" fillId="0" borderId="12" xfId="0" applyNumberFormat="1" applyFont="1" applyBorder="1" applyAlignment="1">
      <alignment horizontal="center" vertical="center"/>
    </xf>
    <xf numFmtId="0" fontId="17" fillId="4" borderId="17" xfId="0" applyFont="1" applyFill="1" applyBorder="1" applyAlignment="1">
      <alignment horizontal="center" vertical="center" wrapText="1"/>
    </xf>
    <xf numFmtId="0" fontId="17" fillId="4" borderId="44" xfId="0" applyFont="1" applyFill="1" applyBorder="1" applyAlignment="1">
      <alignment horizontal="center" vertical="center" wrapText="1"/>
    </xf>
    <xf numFmtId="0" fontId="5" fillId="2" borderId="3" xfId="0" applyFont="1" applyFill="1" applyBorder="1" applyAlignment="1">
      <alignment horizontal="left" vertical="center"/>
    </xf>
    <xf numFmtId="0" fontId="5" fillId="0" borderId="0" xfId="0" applyFont="1" applyAlignment="1">
      <alignment horizontal="left"/>
    </xf>
    <xf numFmtId="0" fontId="17" fillId="4" borderId="43" xfId="0" applyFont="1" applyFill="1" applyBorder="1" applyAlignment="1">
      <alignment horizontal="center" vertical="center" wrapText="1"/>
    </xf>
    <xf numFmtId="0" fontId="17" fillId="4" borderId="17" xfId="0" applyFont="1" applyFill="1" applyBorder="1" applyAlignment="1">
      <alignment horizontal="center" vertical="center"/>
    </xf>
    <xf numFmtId="0" fontId="5" fillId="2" borderId="43" xfId="0" applyFont="1" applyFill="1" applyBorder="1" applyAlignment="1">
      <alignment horizontal="left" vertical="center"/>
    </xf>
    <xf numFmtId="0" fontId="14" fillId="0" borderId="0" xfId="0" applyFont="1" applyAlignment="1">
      <alignment horizontal="center"/>
    </xf>
    <xf numFmtId="0" fontId="14" fillId="0" borderId="0" xfId="0" applyFont="1" applyAlignment="1">
      <alignment horizontal="center" vertical="center"/>
    </xf>
    <xf numFmtId="0" fontId="14" fillId="0" borderId="45" xfId="0" applyFont="1" applyBorder="1" applyAlignment="1">
      <alignment horizontal="center"/>
    </xf>
  </cellXfs>
  <cellStyles count="4">
    <cellStyle name="Normal" xfId="0" builtinId="0"/>
    <cellStyle name="Porcentagem" xfId="1" builtinId="5"/>
    <cellStyle name="TableStyleLight1" xfId="2" xr:uid="{00000000-0005-0000-0000-000002000000}"/>
    <cellStyle name="Vírgula" xfId="3" builtinId="3"/>
  </cellStyles>
  <dxfs count="21">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
      <font>
        <b val="0"/>
        <condense val="0"/>
        <extend val="0"/>
        <sz val="10"/>
        <color indexed="53"/>
      </font>
      <fill>
        <patternFill patternType="solid">
          <fgColor indexed="22"/>
          <bgColor indexed="47"/>
        </patternFill>
      </fill>
    </dxf>
    <dxf>
      <font>
        <b val="0"/>
        <condense val="0"/>
        <extend val="0"/>
        <sz val="10"/>
        <color indexed="53"/>
      </font>
      <fill>
        <patternFill patternType="solid">
          <fgColor indexed="26"/>
          <bgColor indexed="43"/>
        </patternFill>
      </fill>
    </dxf>
    <dxf>
      <font>
        <b val="0"/>
        <i/>
        <condense val="0"/>
        <extend val="0"/>
        <sz val="10"/>
        <color indexed="17"/>
      </font>
      <fill>
        <patternFill patternType="solid">
          <fgColor indexed="41"/>
          <bgColor indexed="2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C0504D"/>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4F81BD"/>
      <rgbColor rgb="004BACC6"/>
      <rgbColor rgb="009BBB59"/>
      <rgbColor rgb="00FFCC00"/>
      <rgbColor rgb="00FF9900"/>
      <rgbColor rgb="00FF6600"/>
      <rgbColor rgb="008064A2"/>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1" i="0" u="none" strike="noStrike" baseline="0">
                <a:solidFill>
                  <a:srgbClr val="333333"/>
                </a:solidFill>
                <a:latin typeface="Arial"/>
                <a:ea typeface="Arial"/>
                <a:cs typeface="Arial"/>
              </a:defRPr>
            </a:pPr>
            <a:r>
              <a:rPr lang="pt-BR"/>
              <a:t>% por Tipo de Função</a:t>
            </a:r>
          </a:p>
        </c:rich>
      </c:tx>
      <c:layout>
        <c:manualLayout>
          <c:xMode val="edge"/>
          <c:yMode val="edge"/>
          <c:x val="0.25274802188188017"/>
          <c:y val="0.7734375"/>
        </c:manualLayout>
      </c:layout>
      <c:overlay val="0"/>
      <c:spPr>
        <a:noFill/>
        <a:ln w="25400">
          <a:noFill/>
        </a:ln>
      </c:spPr>
    </c:title>
    <c:autoTitleDeleted val="0"/>
    <c:view3D>
      <c:rotX val="80"/>
      <c:rotY val="0"/>
      <c:rAngAx val="0"/>
      <c:perspective val="0"/>
    </c:view3D>
    <c:floor>
      <c:thickness val="0"/>
    </c:floor>
    <c:sideWall>
      <c:thickness val="0"/>
    </c:sideWall>
    <c:backWall>
      <c:thickness val="0"/>
    </c:backWall>
    <c:plotArea>
      <c:layout>
        <c:manualLayout>
          <c:layoutTarget val="inner"/>
          <c:xMode val="edge"/>
          <c:yMode val="edge"/>
          <c:x val="0.31868245865691769"/>
          <c:y val="0.125"/>
          <c:w val="0.27472625746286011"/>
          <c:h val="0.59375"/>
        </c:manualLayout>
      </c:layout>
      <c:pie3DChart>
        <c:varyColors val="1"/>
        <c:ser>
          <c:idx val="0"/>
          <c:order val="0"/>
          <c:spPr>
            <a:solidFill>
              <a:srgbClr val="4F81BD"/>
            </a:solidFill>
            <a:ln w="3175">
              <a:solidFill>
                <a:srgbClr val="333333"/>
              </a:solidFill>
              <a:prstDash val="solid"/>
            </a:ln>
          </c:spPr>
          <c:dPt>
            <c:idx val="0"/>
            <c:bubble3D val="0"/>
            <c:extLst>
              <c:ext xmlns:c16="http://schemas.microsoft.com/office/drawing/2014/chart" uri="{C3380CC4-5D6E-409C-BE32-E72D297353CC}">
                <c16:uniqueId val="{00000000-548B-44C7-BB9C-9A4018A68789}"/>
              </c:ext>
            </c:extLst>
          </c:dPt>
          <c:dPt>
            <c:idx val="1"/>
            <c:bubble3D val="0"/>
            <c:spPr>
              <a:solidFill>
                <a:srgbClr val="C0504D"/>
              </a:solidFill>
              <a:ln w="3175">
                <a:solidFill>
                  <a:srgbClr val="333333"/>
                </a:solidFill>
                <a:prstDash val="solid"/>
              </a:ln>
            </c:spPr>
            <c:extLst>
              <c:ext xmlns:c16="http://schemas.microsoft.com/office/drawing/2014/chart" uri="{C3380CC4-5D6E-409C-BE32-E72D297353CC}">
                <c16:uniqueId val="{00000002-548B-44C7-BB9C-9A4018A68789}"/>
              </c:ext>
            </c:extLst>
          </c:dPt>
          <c:dPt>
            <c:idx val="2"/>
            <c:bubble3D val="0"/>
            <c:spPr>
              <a:solidFill>
                <a:srgbClr val="9BBB59"/>
              </a:solidFill>
              <a:ln w="3175">
                <a:solidFill>
                  <a:srgbClr val="333333"/>
                </a:solidFill>
                <a:prstDash val="solid"/>
              </a:ln>
            </c:spPr>
            <c:extLst>
              <c:ext xmlns:c16="http://schemas.microsoft.com/office/drawing/2014/chart" uri="{C3380CC4-5D6E-409C-BE32-E72D297353CC}">
                <c16:uniqueId val="{00000004-548B-44C7-BB9C-9A4018A68789}"/>
              </c:ext>
            </c:extLst>
          </c:dPt>
          <c:dPt>
            <c:idx val="3"/>
            <c:bubble3D val="0"/>
            <c:spPr>
              <a:solidFill>
                <a:srgbClr val="8064A2"/>
              </a:solidFill>
              <a:ln w="3175">
                <a:solidFill>
                  <a:srgbClr val="333333"/>
                </a:solidFill>
                <a:prstDash val="solid"/>
              </a:ln>
            </c:spPr>
            <c:extLst>
              <c:ext xmlns:c16="http://schemas.microsoft.com/office/drawing/2014/chart" uri="{C3380CC4-5D6E-409C-BE32-E72D297353CC}">
                <c16:uniqueId val="{00000006-548B-44C7-BB9C-9A4018A68789}"/>
              </c:ext>
            </c:extLst>
          </c:dPt>
          <c:dPt>
            <c:idx val="4"/>
            <c:bubble3D val="0"/>
            <c:spPr>
              <a:solidFill>
                <a:srgbClr val="4BACC6"/>
              </a:solidFill>
              <a:ln w="3175">
                <a:solidFill>
                  <a:srgbClr val="333333"/>
                </a:solidFill>
                <a:prstDash val="solid"/>
              </a:ln>
            </c:spPr>
            <c:extLst>
              <c:ext xmlns:c16="http://schemas.microsoft.com/office/drawing/2014/chart" uri="{C3380CC4-5D6E-409C-BE32-E72D297353CC}">
                <c16:uniqueId val="{00000008-548B-44C7-BB9C-9A4018A68789}"/>
              </c:ext>
            </c:extLst>
          </c:dPt>
          <c:dLbls>
            <c:dLbl>
              <c:idx val="0"/>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0-548B-44C7-BB9C-9A4018A68789}"/>
                </c:ext>
              </c:extLst>
            </c:dLbl>
            <c:dLbl>
              <c:idx val="1"/>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2-548B-44C7-BB9C-9A4018A68789}"/>
                </c:ext>
              </c:extLst>
            </c:dLbl>
            <c:dLbl>
              <c:idx val="2"/>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4-548B-44C7-BB9C-9A4018A68789}"/>
                </c:ext>
              </c:extLst>
            </c:dLbl>
            <c:dLbl>
              <c:idx val="3"/>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6-548B-44C7-BB9C-9A4018A68789}"/>
                </c:ext>
              </c:extLst>
            </c:dLbl>
            <c:dLbl>
              <c:idx val="4"/>
              <c:spPr>
                <a:noFill/>
                <a:ln w="25400">
                  <a:noFill/>
                </a:ln>
              </c:spPr>
              <c:txPr>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extLst>
                <c:ext xmlns:c16="http://schemas.microsoft.com/office/drawing/2014/chart" uri="{C3380CC4-5D6E-409C-BE32-E72D297353CC}">
                  <c16:uniqueId val="{00000008-548B-44C7-BB9C-9A4018A68789}"/>
                </c:ext>
              </c:extLst>
            </c:dLbl>
            <c:spPr>
              <a:noFill/>
              <a:ln w="25400">
                <a:noFill/>
              </a:ln>
            </c:spPr>
            <c:txPr>
              <a:bodyPr wrap="square" lIns="38100" tIns="19050" rIns="38100" bIns="19050" anchor="ctr">
                <a:spAutoFit/>
              </a:bodyPr>
              <a:lstStyle/>
              <a:p>
                <a:pPr>
                  <a:defRPr sz="1000" b="0" i="0" u="none" strike="noStrike" baseline="0">
                    <a:solidFill>
                      <a:srgbClr val="333333"/>
                    </a:solidFill>
                    <a:latin typeface="Calibri"/>
                    <a:ea typeface="Calibri"/>
                    <a:cs typeface="Calibri"/>
                  </a:defRPr>
                </a:pPr>
                <a:endParaRPr lang="pt-BR"/>
              </a:p>
            </c:txPr>
            <c:showLegendKey val="0"/>
            <c:showVal val="1"/>
            <c:showCatName val="0"/>
            <c:showSerName val="0"/>
            <c:showPercent val="0"/>
            <c:showBubbleSize val="0"/>
            <c:showLeaderLines val="0"/>
            <c:extLst>
              <c:ext xmlns:c15="http://schemas.microsoft.com/office/drawing/2012/chart" uri="{CE6537A1-D6FC-4f65-9D91-7224C49458BB}"/>
            </c:extLst>
          </c:dLbls>
          <c:cat>
            <c:strRef>
              <c:f>('Sumário 1'!$B$10,'Sumário 1'!$B$17,'Sumário 1'!$B$24,'Sumário 1'!$B$31,'Sumário 1'!$B$38)</c:f>
              <c:strCache>
                <c:ptCount val="5"/>
                <c:pt idx="0">
                  <c:v>EE</c:v>
                </c:pt>
                <c:pt idx="1">
                  <c:v>SE</c:v>
                </c:pt>
                <c:pt idx="2">
                  <c:v>CE</c:v>
                </c:pt>
                <c:pt idx="3">
                  <c:v>ALI</c:v>
                </c:pt>
                <c:pt idx="4">
                  <c:v>AIE</c:v>
                </c:pt>
              </c:strCache>
            </c:strRef>
          </c:cat>
          <c:val>
            <c:numRef>
              <c:f>('Sumário 1'!$H$14,'Sumário 1'!$H$21,'Sumário 1'!$H$28,'Sumário 1'!$H$35,'Sumário 1'!$H$42)</c:f>
              <c:numCache>
                <c:formatCode>0.0%</c:formatCode>
                <c:ptCount val="5"/>
                <c:pt idx="0">
                  <c:v>0.37859195402298851</c:v>
                </c:pt>
                <c:pt idx="1">
                  <c:v>4.5977011494252873E-2</c:v>
                </c:pt>
                <c:pt idx="2">
                  <c:v>0.44612068965517243</c:v>
                </c:pt>
                <c:pt idx="3">
                  <c:v>9.6982758620689655E-2</c:v>
                </c:pt>
                <c:pt idx="4">
                  <c:v>3.2327586206896554E-2</c:v>
                </c:pt>
              </c:numCache>
            </c:numRef>
          </c:val>
          <c:extLst>
            <c:ext xmlns:c16="http://schemas.microsoft.com/office/drawing/2014/chart" uri="{C3380CC4-5D6E-409C-BE32-E72D297353CC}">
              <c16:uniqueId val="{00000009-548B-44C7-BB9C-9A4018A68789}"/>
            </c:ext>
          </c:extLst>
        </c:ser>
        <c:dLbls>
          <c:showLegendKey val="0"/>
          <c:showVal val="0"/>
          <c:showCatName val="0"/>
          <c:showSerName val="0"/>
          <c:showPercent val="0"/>
          <c:showBubbleSize val="0"/>
          <c:showLeaderLines val="0"/>
        </c:dLbls>
      </c:pie3DChart>
      <c:spPr>
        <a:noFill/>
        <a:ln w="25400">
          <a:noFill/>
        </a:ln>
      </c:spPr>
    </c:plotArea>
    <c:legend>
      <c:legendPos val="r"/>
      <c:layout>
        <c:manualLayout>
          <c:xMode val="edge"/>
          <c:yMode val="edge"/>
          <c:x val="0.67399498139655623"/>
          <c:y val="6.25E-2"/>
          <c:w val="0.14652053108746022"/>
          <c:h val="0.9140625"/>
        </c:manualLayout>
      </c:layout>
      <c:overlay val="0"/>
      <c:spPr>
        <a:solidFill>
          <a:srgbClr val="FFFFFF"/>
        </a:solidFill>
        <a:ln w="3175">
          <a:solidFill>
            <a:srgbClr val="333333"/>
          </a:solidFill>
          <a:prstDash val="solid"/>
        </a:ln>
      </c:spPr>
      <c:txPr>
        <a:bodyPr/>
        <a:lstStyle/>
        <a:p>
          <a:pPr>
            <a:defRPr sz="845" b="0" i="0" u="none" strike="noStrike" baseline="0">
              <a:solidFill>
                <a:srgbClr val="333333"/>
              </a:solidFill>
              <a:latin typeface="Calibri"/>
              <a:ea typeface="Calibri"/>
              <a:cs typeface="Calibri"/>
            </a:defRPr>
          </a:pPr>
          <a:endParaRPr lang="pt-BR"/>
        </a:p>
      </c:txPr>
    </c:legend>
    <c:plotVisOnly val="1"/>
    <c:dispBlanksAs val="zero"/>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pt-BR"/>
    </a:p>
  </c:txPr>
  <c:printSettings>
    <c:headerFooter alignWithMargins="0"/>
    <c:pageMargins b="0.984251969" l="0.78740157499999996" r="0.78740157499999996" t="0.984251969" header="0.51180555555555551" footer="0.51180555555555551"/>
    <c:pageSetup firstPageNumber="0"/>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25400</xdr:colOff>
      <xdr:row>0</xdr:row>
      <xdr:rowOff>133935</xdr:rowOff>
    </xdr:from>
    <xdr:to>
      <xdr:col>2</xdr:col>
      <xdr:colOff>324763</xdr:colOff>
      <xdr:row>2</xdr:row>
      <xdr:rowOff>107949</xdr:rowOff>
    </xdr:to>
    <xdr:pic>
      <xdr:nvPicPr>
        <xdr:cNvPr id="1296" name="Figura 1">
          <a:extLst>
            <a:ext uri="{FF2B5EF4-FFF2-40B4-BE49-F238E27FC236}">
              <a16:creationId xmlns:a16="http://schemas.microsoft.com/office/drawing/2014/main" id="{00000000-0008-0000-0000-00001005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13393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0</xdr:col>
      <xdr:colOff>0</xdr:colOff>
      <xdr:row>0</xdr:row>
      <xdr:rowOff>0</xdr:rowOff>
    </xdr:from>
    <xdr:to>
      <xdr:col>22</xdr:col>
      <xdr:colOff>0</xdr:colOff>
      <xdr:row>44</xdr:row>
      <xdr:rowOff>161925</xdr:rowOff>
    </xdr:to>
    <xdr:sp macro="" textlink="">
      <xdr:nvSpPr>
        <xdr:cNvPr id="1297" name="shapetype_202" hidden="1">
          <a:extLst>
            <a:ext uri="{FF2B5EF4-FFF2-40B4-BE49-F238E27FC236}">
              <a16:creationId xmlns:a16="http://schemas.microsoft.com/office/drawing/2014/main" id="{00000000-0008-0000-0000-000011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22</xdr:col>
      <xdr:colOff>0</xdr:colOff>
      <xdr:row>44</xdr:row>
      <xdr:rowOff>161925</xdr:rowOff>
    </xdr:to>
    <xdr:sp macro="" textlink="">
      <xdr:nvSpPr>
        <xdr:cNvPr id="1298" name="shapetype_202" hidden="1">
          <a:extLst>
            <a:ext uri="{FF2B5EF4-FFF2-40B4-BE49-F238E27FC236}">
              <a16:creationId xmlns:a16="http://schemas.microsoft.com/office/drawing/2014/main" id="{00000000-0008-0000-0000-000012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0</xdr:colOff>
      <xdr:row>0</xdr:row>
      <xdr:rowOff>0</xdr:rowOff>
    </xdr:from>
    <xdr:to>
      <xdr:col>22</xdr:col>
      <xdr:colOff>0</xdr:colOff>
      <xdr:row>44</xdr:row>
      <xdr:rowOff>161925</xdr:rowOff>
    </xdr:to>
    <xdr:sp macro="" textlink="">
      <xdr:nvSpPr>
        <xdr:cNvPr id="1299" name="shapetype_202" hidden="1">
          <a:extLst>
            <a:ext uri="{FF2B5EF4-FFF2-40B4-BE49-F238E27FC236}">
              <a16:creationId xmlns:a16="http://schemas.microsoft.com/office/drawing/2014/main" id="{00000000-0008-0000-0000-000013050000}"/>
            </a:ext>
          </a:extLst>
        </xdr:cNvPr>
        <xdr:cNvSpPr txBox="1">
          <a:spLocks noChangeArrowheads="1"/>
        </xdr:cNvSpPr>
      </xdr:nvSpPr>
      <xdr:spPr bwMode="auto">
        <a:xfrm>
          <a:off x="0" y="0"/>
          <a:ext cx="9105900" cy="7362825"/>
        </a:xfrm>
        <a:prstGeom prst="rect">
          <a:avLst/>
        </a:prstGeom>
        <a:solidFill>
          <a:srgbClr val="FFFFFF"/>
        </a:solidFill>
        <a:ln w="9360" cap="sq">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29845</xdr:colOff>
      <xdr:row>0</xdr:row>
      <xdr:rowOff>126950</xdr:rowOff>
    </xdr:from>
    <xdr:to>
      <xdr:col>0</xdr:col>
      <xdr:colOff>1197253</xdr:colOff>
      <xdr:row>2</xdr:row>
      <xdr:rowOff>84454</xdr:rowOff>
    </xdr:to>
    <xdr:pic>
      <xdr:nvPicPr>
        <xdr:cNvPr id="66585" name="Figura 1">
          <a:extLst>
            <a:ext uri="{FF2B5EF4-FFF2-40B4-BE49-F238E27FC236}">
              <a16:creationId xmlns:a16="http://schemas.microsoft.com/office/drawing/2014/main" id="{00000000-0008-0000-0100-00001904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13393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28575</xdr:colOff>
      <xdr:row>0</xdr:row>
      <xdr:rowOff>85725</xdr:rowOff>
    </xdr:from>
    <xdr:to>
      <xdr:col>1</xdr:col>
      <xdr:colOff>429538</xdr:colOff>
      <xdr:row>0</xdr:row>
      <xdr:rowOff>380414</xdr:rowOff>
    </xdr:to>
    <xdr:pic>
      <xdr:nvPicPr>
        <xdr:cNvPr id="3" name="Figura 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28575" y="8572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28575</xdr:colOff>
      <xdr:row>43</xdr:row>
      <xdr:rowOff>28575</xdr:rowOff>
    </xdr:from>
    <xdr:to>
      <xdr:col>11</xdr:col>
      <xdr:colOff>342900</xdr:colOff>
      <xdr:row>50</xdr:row>
      <xdr:rowOff>142875</xdr:rowOff>
    </xdr:to>
    <xdr:graphicFrame macro="">
      <xdr:nvGraphicFramePr>
        <xdr:cNvPr id="4233" name="Gráfico 3">
          <a:extLst>
            <a:ext uri="{FF2B5EF4-FFF2-40B4-BE49-F238E27FC236}">
              <a16:creationId xmlns:a16="http://schemas.microsoft.com/office/drawing/2014/main" id="{00000000-0008-0000-0300-000089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76200</xdr:colOff>
      <xdr:row>0</xdr:row>
      <xdr:rowOff>123825</xdr:rowOff>
    </xdr:from>
    <xdr:to>
      <xdr:col>2</xdr:col>
      <xdr:colOff>505738</xdr:colOff>
      <xdr:row>2</xdr:row>
      <xdr:rowOff>94664</xdr:rowOff>
    </xdr:to>
    <xdr:pic>
      <xdr:nvPicPr>
        <xdr:cNvPr id="4" name="Figura 1">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76200" y="123825"/>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152400</xdr:colOff>
      <xdr:row>0</xdr:row>
      <xdr:rowOff>114300</xdr:rowOff>
    </xdr:from>
    <xdr:to>
      <xdr:col>1</xdr:col>
      <xdr:colOff>1115338</xdr:colOff>
      <xdr:row>2</xdr:row>
      <xdr:rowOff>85139</xdr:rowOff>
    </xdr:to>
    <xdr:pic>
      <xdr:nvPicPr>
        <xdr:cNvPr id="3" name="Figura 1">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52400" y="114300"/>
          <a:ext cx="1172488" cy="294689"/>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V45"/>
  <sheetViews>
    <sheetView showGridLines="0" zoomScale="120" zoomScaleNormal="120" zoomScaleSheetLayoutView="100" workbookViewId="0">
      <pane ySplit="3" topLeftCell="A22" activePane="bottomLeft" state="frozen"/>
      <selection pane="bottomLeft" activeCell="A22" sqref="A22:V45"/>
      <selection activeCell="B11" sqref="B11"/>
    </sheetView>
  </sheetViews>
  <sheetFormatPr defaultRowHeight="13.5"/>
  <cols>
    <col min="1" max="1" width="10.42578125" style="1" customWidth="1"/>
    <col min="2" max="2" width="2.85546875" style="1" customWidth="1"/>
    <col min="3" max="3" width="8.5703125" style="1" customWidth="1"/>
    <col min="4" max="4" width="4.5703125" style="1" customWidth="1"/>
    <col min="5" max="5" width="4" style="1" customWidth="1"/>
    <col min="6" max="6" width="4.5703125" style="1" customWidth="1"/>
    <col min="7" max="12" width="6" style="1" customWidth="1"/>
    <col min="13" max="13" width="18.42578125" style="1" customWidth="1"/>
    <col min="14" max="14" width="8.140625" style="1" customWidth="1"/>
    <col min="15" max="15" width="11.5703125" style="1" customWidth="1"/>
    <col min="16" max="16" width="5.85546875" style="1" customWidth="1"/>
    <col min="17" max="18" width="2.85546875" style="1" customWidth="1"/>
    <col min="19" max="19" width="8" style="1" customWidth="1"/>
    <col min="20" max="22" width="2.85546875" style="1" customWidth="1"/>
  </cols>
  <sheetData>
    <row r="1" spans="1:22" ht="12.6">
      <c r="A1" s="149" t="s">
        <v>0</v>
      </c>
      <c r="B1" s="149"/>
      <c r="C1" s="149"/>
      <c r="D1" s="149"/>
      <c r="E1" s="149"/>
      <c r="F1" s="149"/>
      <c r="G1" s="149"/>
      <c r="H1" s="149"/>
      <c r="I1" s="149"/>
      <c r="J1" s="149"/>
      <c r="K1" s="149"/>
      <c r="L1" s="149"/>
      <c r="M1" s="149"/>
      <c r="N1" s="149"/>
      <c r="O1" s="149"/>
      <c r="P1" s="149"/>
      <c r="Q1" s="149"/>
      <c r="R1" s="149"/>
      <c r="S1" s="149"/>
      <c r="T1" s="149"/>
      <c r="U1" s="149"/>
      <c r="V1" s="149"/>
    </row>
    <row r="2" spans="1:22" ht="12.6">
      <c r="A2" s="149"/>
      <c r="B2" s="149"/>
      <c r="C2" s="149"/>
      <c r="D2" s="149"/>
      <c r="E2" s="149"/>
      <c r="F2" s="149"/>
      <c r="G2" s="149"/>
      <c r="H2" s="149"/>
      <c r="I2" s="149"/>
      <c r="J2" s="149"/>
      <c r="K2" s="149"/>
      <c r="L2" s="149"/>
      <c r="M2" s="149"/>
      <c r="N2" s="149"/>
      <c r="O2" s="149"/>
      <c r="P2" s="149"/>
      <c r="Q2" s="149"/>
      <c r="R2" s="149"/>
      <c r="S2" s="149"/>
      <c r="T2" s="149"/>
      <c r="U2" s="149"/>
      <c r="V2" s="149"/>
    </row>
    <row r="3" spans="1:22" ht="12.6">
      <c r="A3" s="149"/>
      <c r="B3" s="149"/>
      <c r="C3" s="149"/>
      <c r="D3" s="149"/>
      <c r="E3" s="149"/>
      <c r="F3" s="149"/>
      <c r="G3" s="149"/>
      <c r="H3" s="149"/>
      <c r="I3" s="149"/>
      <c r="J3" s="149"/>
      <c r="K3" s="149"/>
      <c r="L3" s="149"/>
      <c r="M3" s="149"/>
      <c r="N3" s="149"/>
      <c r="O3" s="149"/>
      <c r="P3" s="149"/>
      <c r="Q3" s="149"/>
      <c r="R3" s="149"/>
      <c r="S3" s="149"/>
      <c r="T3" s="149"/>
      <c r="U3" s="149"/>
      <c r="V3" s="149"/>
    </row>
    <row r="4" spans="1:22">
      <c r="A4" s="145" t="s">
        <v>1</v>
      </c>
      <c r="B4" s="145"/>
      <c r="C4" s="145"/>
      <c r="D4" s="145"/>
      <c r="E4" s="145"/>
      <c r="F4" s="146" t="s">
        <v>2</v>
      </c>
      <c r="G4" s="146"/>
      <c r="H4" s="146"/>
      <c r="I4" s="146"/>
      <c r="J4" s="146"/>
      <c r="K4" s="146"/>
      <c r="L4" s="146"/>
      <c r="M4" s="146"/>
      <c r="N4" s="146"/>
      <c r="O4" s="150" t="s">
        <v>3</v>
      </c>
      <c r="P4" s="150"/>
      <c r="Q4" s="148">
        <f>Funções!L4</f>
        <v>1392</v>
      </c>
      <c r="R4" s="148"/>
      <c r="S4" s="148"/>
      <c r="T4" s="148"/>
      <c r="U4" s="148"/>
      <c r="V4" s="148"/>
    </row>
    <row r="5" spans="1:22">
      <c r="A5" s="145" t="s">
        <v>4</v>
      </c>
      <c r="B5" s="145"/>
      <c r="C5" s="145"/>
      <c r="D5" s="145"/>
      <c r="E5" s="145"/>
      <c r="F5" s="146"/>
      <c r="G5" s="146"/>
      <c r="H5" s="146"/>
      <c r="I5" s="146"/>
      <c r="J5" s="146"/>
      <c r="K5" s="146"/>
      <c r="L5" s="146"/>
      <c r="M5" s="146"/>
      <c r="N5" s="146"/>
      <c r="O5" s="147" t="s">
        <v>5</v>
      </c>
      <c r="P5" s="147"/>
      <c r="Q5" s="148">
        <f>Funções!L5</f>
        <v>1392</v>
      </c>
      <c r="R5" s="148"/>
      <c r="S5" s="148"/>
      <c r="T5" s="148"/>
      <c r="U5" s="148"/>
      <c r="V5" s="148"/>
    </row>
    <row r="6" spans="1:22">
      <c r="A6" s="145" t="s">
        <v>6</v>
      </c>
      <c r="B6" s="145"/>
      <c r="C6" s="145"/>
      <c r="D6" s="145"/>
      <c r="E6" s="145"/>
      <c r="F6" s="151" t="s">
        <v>7</v>
      </c>
      <c r="G6" s="151"/>
      <c r="H6" s="151"/>
      <c r="I6" s="151"/>
      <c r="J6" s="151"/>
      <c r="K6" s="151"/>
      <c r="L6" s="151"/>
      <c r="M6" s="151"/>
      <c r="N6" s="151"/>
      <c r="O6" s="147" t="s">
        <v>8</v>
      </c>
      <c r="P6" s="147"/>
      <c r="Q6" s="148">
        <f>Funções!L6</f>
        <v>1296.8</v>
      </c>
      <c r="R6" s="148"/>
      <c r="S6" s="148"/>
      <c r="T6" s="148"/>
      <c r="U6" s="148"/>
      <c r="V6" s="148"/>
    </row>
    <row r="7" spans="1:22" ht="12.6">
      <c r="A7" s="145" t="s">
        <v>9</v>
      </c>
      <c r="B7" s="145"/>
      <c r="C7" s="145"/>
      <c r="D7" s="145"/>
      <c r="E7" s="145"/>
      <c r="F7" s="146" t="s">
        <v>10</v>
      </c>
      <c r="G7" s="146"/>
      <c r="H7" s="146"/>
      <c r="I7" s="146"/>
      <c r="J7" s="146"/>
      <c r="K7" s="146"/>
      <c r="L7" s="146"/>
      <c r="M7" s="146"/>
      <c r="N7" s="146"/>
      <c r="O7" s="147" t="s">
        <v>11</v>
      </c>
      <c r="P7" s="147"/>
      <c r="Q7" s="147"/>
      <c r="R7" s="152" t="s">
        <v>12</v>
      </c>
      <c r="S7" s="152"/>
      <c r="T7" s="152"/>
      <c r="U7" s="152"/>
      <c r="V7" s="152"/>
    </row>
    <row r="8" spans="1:22" ht="12.6">
      <c r="A8" s="145" t="s">
        <v>13</v>
      </c>
      <c r="B8" s="145"/>
      <c r="C8" s="145"/>
      <c r="D8" s="145"/>
      <c r="E8" s="145"/>
      <c r="F8" s="146" t="s">
        <v>14</v>
      </c>
      <c r="G8" s="146"/>
      <c r="H8" s="146"/>
      <c r="I8" s="146"/>
      <c r="J8" s="146"/>
      <c r="K8" s="146"/>
      <c r="L8" s="146"/>
      <c r="M8" s="146"/>
      <c r="N8" s="146"/>
      <c r="O8" s="147" t="s">
        <v>15</v>
      </c>
      <c r="P8" s="147"/>
      <c r="Q8" s="147"/>
      <c r="R8" s="152" t="s">
        <v>16</v>
      </c>
      <c r="S8" s="152"/>
      <c r="T8" s="152"/>
      <c r="U8" s="152"/>
      <c r="V8" s="152"/>
    </row>
    <row r="9" spans="1:22">
      <c r="A9" s="145" t="s">
        <v>17</v>
      </c>
      <c r="B9" s="145"/>
      <c r="C9" s="145"/>
      <c r="D9" s="145"/>
      <c r="E9" s="145"/>
      <c r="F9" s="151" t="s">
        <v>18</v>
      </c>
      <c r="G9" s="151"/>
      <c r="H9" s="151"/>
      <c r="I9" s="151"/>
      <c r="J9" s="151"/>
      <c r="K9" s="151"/>
      <c r="L9" s="151"/>
      <c r="M9" s="151"/>
      <c r="N9" s="151"/>
      <c r="O9" s="153" t="s">
        <v>19</v>
      </c>
      <c r="P9" s="153"/>
      <c r="Q9" s="153"/>
      <c r="R9" s="154">
        <v>45210</v>
      </c>
      <c r="S9" s="154"/>
      <c r="T9" s="154"/>
      <c r="U9" s="154"/>
      <c r="V9" s="154"/>
    </row>
    <row r="10" spans="1:22">
      <c r="A10" s="145" t="s">
        <v>20</v>
      </c>
      <c r="B10" s="145"/>
      <c r="C10" s="145"/>
      <c r="D10" s="145"/>
      <c r="E10" s="145"/>
      <c r="F10" s="151" t="s">
        <v>21</v>
      </c>
      <c r="G10" s="151"/>
      <c r="H10" s="151"/>
      <c r="I10" s="151"/>
      <c r="J10" s="151"/>
      <c r="K10" s="151"/>
      <c r="L10" s="151"/>
      <c r="M10" s="151"/>
      <c r="N10" s="151"/>
      <c r="O10" s="153" t="s">
        <v>22</v>
      </c>
      <c r="P10" s="153"/>
      <c r="Q10" s="153"/>
      <c r="R10" s="154"/>
      <c r="S10" s="154"/>
      <c r="T10" s="154"/>
      <c r="U10" s="154"/>
      <c r="V10" s="154"/>
    </row>
    <row r="11" spans="1:22">
      <c r="A11" s="155" t="s">
        <v>23</v>
      </c>
      <c r="B11" s="155"/>
      <c r="C11" s="155"/>
      <c r="D11" s="155"/>
      <c r="E11" s="155"/>
      <c r="F11" s="155"/>
      <c r="G11" s="155"/>
      <c r="H11" s="155"/>
      <c r="I11" s="155"/>
      <c r="J11" s="155"/>
      <c r="K11" s="155"/>
      <c r="L11" s="155"/>
      <c r="M11" s="155"/>
      <c r="N11" s="155"/>
      <c r="O11" s="155"/>
      <c r="P11" s="155"/>
      <c r="Q11" s="155"/>
      <c r="R11" s="155"/>
      <c r="S11" s="155"/>
      <c r="T11" s="155"/>
      <c r="U11" s="155"/>
      <c r="V11" s="155"/>
    </row>
    <row r="12" spans="1:22" ht="12.6">
      <c r="A12" s="157" t="s">
        <v>24</v>
      </c>
      <c r="B12" s="157"/>
      <c r="C12" s="157"/>
      <c r="D12" s="157"/>
      <c r="E12" s="157"/>
      <c r="F12" s="157"/>
      <c r="G12" s="157"/>
      <c r="H12" s="157"/>
      <c r="I12" s="157"/>
      <c r="J12" s="157"/>
      <c r="K12" s="157"/>
      <c r="L12" s="157"/>
      <c r="M12" s="157"/>
      <c r="N12" s="157"/>
      <c r="O12" s="157"/>
      <c r="P12" s="157"/>
      <c r="Q12" s="157"/>
      <c r="R12" s="157"/>
      <c r="S12" s="157"/>
      <c r="T12" s="157"/>
      <c r="U12" s="157"/>
      <c r="V12" s="157"/>
    </row>
    <row r="13" spans="1:22" ht="12.6">
      <c r="A13" s="157"/>
      <c r="B13" s="157"/>
      <c r="C13" s="157"/>
      <c r="D13" s="157"/>
      <c r="E13" s="157"/>
      <c r="F13" s="157"/>
      <c r="G13" s="157"/>
      <c r="H13" s="157"/>
      <c r="I13" s="157"/>
      <c r="J13" s="157"/>
      <c r="K13" s="157"/>
      <c r="L13" s="157"/>
      <c r="M13" s="157"/>
      <c r="N13" s="157"/>
      <c r="O13" s="157"/>
      <c r="P13" s="157"/>
      <c r="Q13" s="157"/>
      <c r="R13" s="157"/>
      <c r="S13" s="157"/>
      <c r="T13" s="157"/>
      <c r="U13" s="157"/>
      <c r="V13" s="157"/>
    </row>
    <row r="14" spans="1:22" ht="12.6">
      <c r="A14" s="157"/>
      <c r="B14" s="157"/>
      <c r="C14" s="157"/>
      <c r="D14" s="157"/>
      <c r="E14" s="157"/>
      <c r="F14" s="157"/>
      <c r="G14" s="157"/>
      <c r="H14" s="157"/>
      <c r="I14" s="157"/>
      <c r="J14" s="157"/>
      <c r="K14" s="157"/>
      <c r="L14" s="157"/>
      <c r="M14" s="157"/>
      <c r="N14" s="157"/>
      <c r="O14" s="157"/>
      <c r="P14" s="157"/>
      <c r="Q14" s="157"/>
      <c r="R14" s="157"/>
      <c r="S14" s="157"/>
      <c r="T14" s="157"/>
      <c r="U14" s="157"/>
      <c r="V14" s="157"/>
    </row>
    <row r="15" spans="1:22" ht="90.75" customHeight="1">
      <c r="A15" s="157"/>
      <c r="B15" s="157"/>
      <c r="C15" s="157"/>
      <c r="D15" s="157"/>
      <c r="E15" s="157"/>
      <c r="F15" s="157"/>
      <c r="G15" s="157"/>
      <c r="H15" s="157"/>
      <c r="I15" s="157"/>
      <c r="J15" s="157"/>
      <c r="K15" s="157"/>
      <c r="L15" s="157"/>
      <c r="M15" s="157"/>
      <c r="N15" s="157"/>
      <c r="O15" s="157"/>
      <c r="P15" s="157"/>
      <c r="Q15" s="157"/>
      <c r="R15" s="157"/>
      <c r="S15" s="157"/>
      <c r="T15" s="157"/>
      <c r="U15" s="157"/>
      <c r="V15" s="157"/>
    </row>
    <row r="16" spans="1:22">
      <c r="A16" s="155" t="s">
        <v>25</v>
      </c>
      <c r="B16" s="155"/>
      <c r="C16" s="155"/>
      <c r="D16" s="155"/>
      <c r="E16" s="155"/>
      <c r="F16" s="155"/>
      <c r="G16" s="155"/>
      <c r="H16" s="155"/>
      <c r="I16" s="155"/>
      <c r="J16" s="155"/>
      <c r="K16" s="155"/>
      <c r="L16" s="155"/>
      <c r="M16" s="155"/>
      <c r="N16" s="155"/>
      <c r="O16" s="155"/>
      <c r="P16" s="155"/>
      <c r="Q16" s="155"/>
      <c r="R16" s="155"/>
      <c r="S16" s="155"/>
      <c r="T16" s="155"/>
      <c r="U16" s="155"/>
      <c r="V16" s="155"/>
    </row>
    <row r="17" spans="1:22" ht="12.6">
      <c r="A17" s="156" t="s">
        <v>26</v>
      </c>
      <c r="B17" s="157"/>
      <c r="C17" s="157"/>
      <c r="D17" s="157"/>
      <c r="E17" s="157"/>
      <c r="F17" s="157"/>
      <c r="G17" s="157"/>
      <c r="H17" s="157"/>
      <c r="I17" s="157"/>
      <c r="J17" s="157"/>
      <c r="K17" s="157"/>
      <c r="L17" s="157"/>
      <c r="M17" s="157"/>
      <c r="N17" s="157"/>
      <c r="O17" s="157"/>
      <c r="P17" s="157"/>
      <c r="Q17" s="157"/>
      <c r="R17" s="157"/>
      <c r="S17" s="157"/>
      <c r="T17" s="157"/>
      <c r="U17" s="157"/>
      <c r="V17" s="157"/>
    </row>
    <row r="18" spans="1:22" ht="12.6">
      <c r="A18" s="157"/>
      <c r="B18" s="157"/>
      <c r="C18" s="157"/>
      <c r="D18" s="157"/>
      <c r="E18" s="157"/>
      <c r="F18" s="157"/>
      <c r="G18" s="157"/>
      <c r="H18" s="157"/>
      <c r="I18" s="157"/>
      <c r="J18" s="157"/>
      <c r="K18" s="157"/>
      <c r="L18" s="157"/>
      <c r="M18" s="157"/>
      <c r="N18" s="157"/>
      <c r="O18" s="157"/>
      <c r="P18" s="157"/>
      <c r="Q18" s="157"/>
      <c r="R18" s="157"/>
      <c r="S18" s="157"/>
      <c r="T18" s="157"/>
      <c r="U18" s="157"/>
      <c r="V18" s="157"/>
    </row>
    <row r="19" spans="1:22" ht="13.5" customHeight="1">
      <c r="A19" s="157"/>
      <c r="B19" s="157"/>
      <c r="C19" s="157"/>
      <c r="D19" s="157"/>
      <c r="E19" s="157"/>
      <c r="F19" s="157"/>
      <c r="G19" s="157"/>
      <c r="H19" s="157"/>
      <c r="I19" s="157"/>
      <c r="J19" s="157"/>
      <c r="K19" s="157"/>
      <c r="L19" s="157"/>
      <c r="M19" s="157"/>
      <c r="N19" s="157"/>
      <c r="O19" s="157"/>
      <c r="P19" s="157"/>
      <c r="Q19" s="157"/>
      <c r="R19" s="157"/>
      <c r="S19" s="157"/>
      <c r="T19" s="157"/>
      <c r="U19" s="157"/>
      <c r="V19" s="157"/>
    </row>
    <row r="20" spans="1:22" ht="19.5" customHeight="1">
      <c r="A20" s="157"/>
      <c r="B20" s="157"/>
      <c r="C20" s="157"/>
      <c r="D20" s="157"/>
      <c r="E20" s="157"/>
      <c r="F20" s="157"/>
      <c r="G20" s="157"/>
      <c r="H20" s="157"/>
      <c r="I20" s="157"/>
      <c r="J20" s="157"/>
      <c r="K20" s="157"/>
      <c r="L20" s="157"/>
      <c r="M20" s="157"/>
      <c r="N20" s="157"/>
      <c r="O20" s="157"/>
      <c r="P20" s="157"/>
      <c r="Q20" s="157"/>
      <c r="R20" s="157"/>
      <c r="S20" s="157"/>
      <c r="T20" s="157"/>
      <c r="U20" s="157"/>
      <c r="V20" s="157"/>
    </row>
    <row r="21" spans="1:22">
      <c r="A21" s="155" t="s">
        <v>27</v>
      </c>
      <c r="B21" s="155"/>
      <c r="C21" s="155"/>
      <c r="D21" s="155"/>
      <c r="E21" s="155"/>
      <c r="F21" s="155"/>
      <c r="G21" s="155"/>
      <c r="H21" s="155"/>
      <c r="I21" s="155"/>
      <c r="J21" s="155"/>
      <c r="K21" s="155"/>
      <c r="L21" s="155"/>
      <c r="M21" s="155"/>
      <c r="N21" s="155"/>
      <c r="O21" s="155"/>
      <c r="P21" s="155"/>
      <c r="Q21" s="155"/>
      <c r="R21" s="155"/>
      <c r="S21" s="155"/>
      <c r="T21" s="155"/>
      <c r="U21" s="155"/>
      <c r="V21" s="155"/>
    </row>
    <row r="22" spans="1:22" ht="12.6">
      <c r="A22" s="158"/>
      <c r="B22" s="159"/>
      <c r="C22" s="159"/>
      <c r="D22" s="159"/>
      <c r="E22" s="159"/>
      <c r="F22" s="159"/>
      <c r="G22" s="159"/>
      <c r="H22" s="159"/>
      <c r="I22" s="159"/>
      <c r="J22" s="159"/>
      <c r="K22" s="159"/>
      <c r="L22" s="159"/>
      <c r="M22" s="159"/>
      <c r="N22" s="159"/>
      <c r="O22" s="159"/>
      <c r="P22" s="159"/>
      <c r="Q22" s="159"/>
      <c r="R22" s="159"/>
      <c r="S22" s="159"/>
      <c r="T22" s="159"/>
      <c r="U22" s="159"/>
      <c r="V22" s="159"/>
    </row>
    <row r="23" spans="1:22" ht="12.6">
      <c r="A23" s="159"/>
      <c r="B23" s="159"/>
      <c r="C23" s="159"/>
      <c r="D23" s="159"/>
      <c r="E23" s="159"/>
      <c r="F23" s="159"/>
      <c r="G23" s="159"/>
      <c r="H23" s="159"/>
      <c r="I23" s="159"/>
      <c r="J23" s="159"/>
      <c r="K23" s="159"/>
      <c r="L23" s="159"/>
      <c r="M23" s="159"/>
      <c r="N23" s="159"/>
      <c r="O23" s="159"/>
      <c r="P23" s="159"/>
      <c r="Q23" s="159"/>
      <c r="R23" s="159"/>
      <c r="S23" s="159"/>
      <c r="T23" s="159"/>
      <c r="U23" s="159"/>
      <c r="V23" s="159"/>
    </row>
    <row r="24" spans="1:22" ht="12.6">
      <c r="A24" s="159"/>
      <c r="B24" s="159"/>
      <c r="C24" s="159"/>
      <c r="D24" s="159"/>
      <c r="E24" s="159"/>
      <c r="F24" s="159"/>
      <c r="G24" s="159"/>
      <c r="H24" s="159"/>
      <c r="I24" s="159"/>
      <c r="J24" s="159"/>
      <c r="K24" s="159"/>
      <c r="L24" s="159"/>
      <c r="M24" s="159"/>
      <c r="N24" s="159"/>
      <c r="O24" s="159"/>
      <c r="P24" s="159"/>
      <c r="Q24" s="159"/>
      <c r="R24" s="159"/>
      <c r="S24" s="159"/>
      <c r="T24" s="159"/>
      <c r="U24" s="159"/>
      <c r="V24" s="159"/>
    </row>
    <row r="25" spans="1:22" ht="12.6">
      <c r="A25" s="159"/>
      <c r="B25" s="159"/>
      <c r="C25" s="159"/>
      <c r="D25" s="159"/>
      <c r="E25" s="159"/>
      <c r="F25" s="159"/>
      <c r="G25" s="159"/>
      <c r="H25" s="159"/>
      <c r="I25" s="159"/>
      <c r="J25" s="159"/>
      <c r="K25" s="159"/>
      <c r="L25" s="159"/>
      <c r="M25" s="159"/>
      <c r="N25" s="159"/>
      <c r="O25" s="159"/>
      <c r="P25" s="159"/>
      <c r="Q25" s="159"/>
      <c r="R25" s="159"/>
      <c r="S25" s="159"/>
      <c r="T25" s="159"/>
      <c r="U25" s="159"/>
      <c r="V25" s="159"/>
    </row>
    <row r="26" spans="1:22" ht="12.6">
      <c r="A26" s="159"/>
      <c r="B26" s="159"/>
      <c r="C26" s="159"/>
      <c r="D26" s="159"/>
      <c r="E26" s="159"/>
      <c r="F26" s="159"/>
      <c r="G26" s="159"/>
      <c r="H26" s="159"/>
      <c r="I26" s="159"/>
      <c r="J26" s="159"/>
      <c r="K26" s="159"/>
      <c r="L26" s="159"/>
      <c r="M26" s="159"/>
      <c r="N26" s="159"/>
      <c r="O26" s="159"/>
      <c r="P26" s="159"/>
      <c r="Q26" s="159"/>
      <c r="R26" s="159"/>
      <c r="S26" s="159"/>
      <c r="T26" s="159"/>
      <c r="U26" s="159"/>
      <c r="V26" s="159"/>
    </row>
    <row r="27" spans="1:22" ht="12.6">
      <c r="A27" s="159"/>
      <c r="B27" s="159"/>
      <c r="C27" s="159"/>
      <c r="D27" s="159"/>
      <c r="E27" s="159"/>
      <c r="F27" s="159"/>
      <c r="G27" s="159"/>
      <c r="H27" s="159"/>
      <c r="I27" s="159"/>
      <c r="J27" s="159"/>
      <c r="K27" s="159"/>
      <c r="L27" s="159"/>
      <c r="M27" s="159"/>
      <c r="N27" s="159"/>
      <c r="O27" s="159"/>
      <c r="P27" s="159"/>
      <c r="Q27" s="159"/>
      <c r="R27" s="159"/>
      <c r="S27" s="159"/>
      <c r="T27" s="159"/>
      <c r="U27" s="159"/>
      <c r="V27" s="159"/>
    </row>
    <row r="28" spans="1:22" ht="12.6">
      <c r="A28" s="159"/>
      <c r="B28" s="159"/>
      <c r="C28" s="159"/>
      <c r="D28" s="159"/>
      <c r="E28" s="159"/>
      <c r="F28" s="159"/>
      <c r="G28" s="159"/>
      <c r="H28" s="159"/>
      <c r="I28" s="159"/>
      <c r="J28" s="159"/>
      <c r="K28" s="159"/>
      <c r="L28" s="159"/>
      <c r="M28" s="159"/>
      <c r="N28" s="159"/>
      <c r="O28" s="159"/>
      <c r="P28" s="159"/>
      <c r="Q28" s="159"/>
      <c r="R28" s="159"/>
      <c r="S28" s="159"/>
      <c r="T28" s="159"/>
      <c r="U28" s="159"/>
      <c r="V28" s="159"/>
    </row>
    <row r="29" spans="1:22" ht="12.6">
      <c r="A29" s="159"/>
      <c r="B29" s="159"/>
      <c r="C29" s="159"/>
      <c r="D29" s="159"/>
      <c r="E29" s="159"/>
      <c r="F29" s="159"/>
      <c r="G29" s="159"/>
      <c r="H29" s="159"/>
      <c r="I29" s="159"/>
      <c r="J29" s="159"/>
      <c r="K29" s="159"/>
      <c r="L29" s="159"/>
      <c r="M29" s="159"/>
      <c r="N29" s="159"/>
      <c r="O29" s="159"/>
      <c r="P29" s="159"/>
      <c r="Q29" s="159"/>
      <c r="R29" s="159"/>
      <c r="S29" s="159"/>
      <c r="T29" s="159"/>
      <c r="U29" s="159"/>
      <c r="V29" s="159"/>
    </row>
    <row r="30" spans="1:22" ht="12.6">
      <c r="A30" s="159"/>
      <c r="B30" s="159"/>
      <c r="C30" s="159"/>
      <c r="D30" s="159"/>
      <c r="E30" s="159"/>
      <c r="F30" s="159"/>
      <c r="G30" s="159"/>
      <c r="H30" s="159"/>
      <c r="I30" s="159"/>
      <c r="J30" s="159"/>
      <c r="K30" s="159"/>
      <c r="L30" s="159"/>
      <c r="M30" s="159"/>
      <c r="N30" s="159"/>
      <c r="O30" s="159"/>
      <c r="P30" s="159"/>
      <c r="Q30" s="159"/>
      <c r="R30" s="159"/>
      <c r="S30" s="159"/>
      <c r="T30" s="159"/>
      <c r="U30" s="159"/>
      <c r="V30" s="159"/>
    </row>
    <row r="31" spans="1:22" ht="12.6">
      <c r="A31" s="159"/>
      <c r="B31" s="159"/>
      <c r="C31" s="159"/>
      <c r="D31" s="159"/>
      <c r="E31" s="159"/>
      <c r="F31" s="159"/>
      <c r="G31" s="159"/>
      <c r="H31" s="159"/>
      <c r="I31" s="159"/>
      <c r="J31" s="159"/>
      <c r="K31" s="159"/>
      <c r="L31" s="159"/>
      <c r="M31" s="159"/>
      <c r="N31" s="159"/>
      <c r="O31" s="159"/>
      <c r="P31" s="159"/>
      <c r="Q31" s="159"/>
      <c r="R31" s="159"/>
      <c r="S31" s="159"/>
      <c r="T31" s="159"/>
      <c r="U31" s="159"/>
      <c r="V31" s="159"/>
    </row>
    <row r="32" spans="1:22" ht="12.6">
      <c r="A32" s="159"/>
      <c r="B32" s="159"/>
      <c r="C32" s="159"/>
      <c r="D32" s="159"/>
      <c r="E32" s="159"/>
      <c r="F32" s="159"/>
      <c r="G32" s="159"/>
      <c r="H32" s="159"/>
      <c r="I32" s="159"/>
      <c r="J32" s="159"/>
      <c r="K32" s="159"/>
      <c r="L32" s="159"/>
      <c r="M32" s="159"/>
      <c r="N32" s="159"/>
      <c r="O32" s="159"/>
      <c r="P32" s="159"/>
      <c r="Q32" s="159"/>
      <c r="R32" s="159"/>
      <c r="S32" s="159"/>
      <c r="T32" s="159"/>
      <c r="U32" s="159"/>
      <c r="V32" s="159"/>
    </row>
    <row r="33" spans="1:22" ht="12.6">
      <c r="A33" s="159"/>
      <c r="B33" s="159"/>
      <c r="C33" s="159"/>
      <c r="D33" s="159"/>
      <c r="E33" s="159"/>
      <c r="F33" s="159"/>
      <c r="G33" s="159"/>
      <c r="H33" s="159"/>
      <c r="I33" s="159"/>
      <c r="J33" s="159"/>
      <c r="K33" s="159"/>
      <c r="L33" s="159"/>
      <c r="M33" s="159"/>
      <c r="N33" s="159"/>
      <c r="O33" s="159"/>
      <c r="P33" s="159"/>
      <c r="Q33" s="159"/>
      <c r="R33" s="159"/>
      <c r="S33" s="159"/>
      <c r="T33" s="159"/>
      <c r="U33" s="159"/>
      <c r="V33" s="159"/>
    </row>
    <row r="34" spans="1:22" ht="12.6">
      <c r="A34" s="159"/>
      <c r="B34" s="159"/>
      <c r="C34" s="159"/>
      <c r="D34" s="159"/>
      <c r="E34" s="159"/>
      <c r="F34" s="159"/>
      <c r="G34" s="159"/>
      <c r="H34" s="159"/>
      <c r="I34" s="159"/>
      <c r="J34" s="159"/>
      <c r="K34" s="159"/>
      <c r="L34" s="159"/>
      <c r="M34" s="159"/>
      <c r="N34" s="159"/>
      <c r="O34" s="159"/>
      <c r="P34" s="159"/>
      <c r="Q34" s="159"/>
      <c r="R34" s="159"/>
      <c r="S34" s="159"/>
      <c r="T34" s="159"/>
      <c r="U34" s="159"/>
      <c r="V34" s="159"/>
    </row>
    <row r="35" spans="1:22" ht="12.6">
      <c r="A35" s="159"/>
      <c r="B35" s="159"/>
      <c r="C35" s="159"/>
      <c r="D35" s="159"/>
      <c r="E35" s="159"/>
      <c r="F35" s="159"/>
      <c r="G35" s="159"/>
      <c r="H35" s="159"/>
      <c r="I35" s="159"/>
      <c r="J35" s="159"/>
      <c r="K35" s="159"/>
      <c r="L35" s="159"/>
      <c r="M35" s="159"/>
      <c r="N35" s="159"/>
      <c r="O35" s="159"/>
      <c r="P35" s="159"/>
      <c r="Q35" s="159"/>
      <c r="R35" s="159"/>
      <c r="S35" s="159"/>
      <c r="T35" s="159"/>
      <c r="U35" s="159"/>
      <c r="V35" s="159"/>
    </row>
    <row r="36" spans="1:22" ht="12.6">
      <c r="A36" s="159"/>
      <c r="B36" s="159"/>
      <c r="C36" s="159"/>
      <c r="D36" s="159"/>
      <c r="E36" s="159"/>
      <c r="F36" s="159"/>
      <c r="G36" s="159"/>
      <c r="H36" s="159"/>
      <c r="I36" s="159"/>
      <c r="J36" s="159"/>
      <c r="K36" s="159"/>
      <c r="L36" s="159"/>
      <c r="M36" s="159"/>
      <c r="N36" s="159"/>
      <c r="O36" s="159"/>
      <c r="P36" s="159"/>
      <c r="Q36" s="159"/>
      <c r="R36" s="159"/>
      <c r="S36" s="159"/>
      <c r="T36" s="159"/>
      <c r="U36" s="159"/>
      <c r="V36" s="159"/>
    </row>
    <row r="37" spans="1:22" ht="12.6">
      <c r="A37" s="159"/>
      <c r="B37" s="159"/>
      <c r="C37" s="159"/>
      <c r="D37" s="159"/>
      <c r="E37" s="159"/>
      <c r="F37" s="159"/>
      <c r="G37" s="159"/>
      <c r="H37" s="159"/>
      <c r="I37" s="159"/>
      <c r="J37" s="159"/>
      <c r="K37" s="159"/>
      <c r="L37" s="159"/>
      <c r="M37" s="159"/>
      <c r="N37" s="159"/>
      <c r="O37" s="159"/>
      <c r="P37" s="159"/>
      <c r="Q37" s="159"/>
      <c r="R37" s="159"/>
      <c r="S37" s="159"/>
      <c r="T37" s="159"/>
      <c r="U37" s="159"/>
      <c r="V37" s="159"/>
    </row>
    <row r="38" spans="1:22" ht="12.6">
      <c r="A38" s="159"/>
      <c r="B38" s="159"/>
      <c r="C38" s="159"/>
      <c r="D38" s="159"/>
      <c r="E38" s="159"/>
      <c r="F38" s="159"/>
      <c r="G38" s="159"/>
      <c r="H38" s="159"/>
      <c r="I38" s="159"/>
      <c r="J38" s="159"/>
      <c r="K38" s="159"/>
      <c r="L38" s="159"/>
      <c r="M38" s="159"/>
      <c r="N38" s="159"/>
      <c r="O38" s="159"/>
      <c r="P38" s="159"/>
      <c r="Q38" s="159"/>
      <c r="R38" s="159"/>
      <c r="S38" s="159"/>
      <c r="T38" s="159"/>
      <c r="U38" s="159"/>
      <c r="V38" s="159"/>
    </row>
    <row r="39" spans="1:22" ht="12.6">
      <c r="A39" s="159"/>
      <c r="B39" s="159"/>
      <c r="C39" s="159"/>
      <c r="D39" s="159"/>
      <c r="E39" s="159"/>
      <c r="F39" s="159"/>
      <c r="G39" s="159"/>
      <c r="H39" s="159"/>
      <c r="I39" s="159"/>
      <c r="J39" s="159"/>
      <c r="K39" s="159"/>
      <c r="L39" s="159"/>
      <c r="M39" s="159"/>
      <c r="N39" s="159"/>
      <c r="O39" s="159"/>
      <c r="P39" s="159"/>
      <c r="Q39" s="159"/>
      <c r="R39" s="159"/>
      <c r="S39" s="159"/>
      <c r="T39" s="159"/>
      <c r="U39" s="159"/>
      <c r="V39" s="159"/>
    </row>
    <row r="40" spans="1:22" ht="12.6">
      <c r="A40" s="159"/>
      <c r="B40" s="159"/>
      <c r="C40" s="159"/>
      <c r="D40" s="159"/>
      <c r="E40" s="159"/>
      <c r="F40" s="159"/>
      <c r="G40" s="159"/>
      <c r="H40" s="159"/>
      <c r="I40" s="159"/>
      <c r="J40" s="159"/>
      <c r="K40" s="159"/>
      <c r="L40" s="159"/>
      <c r="M40" s="159"/>
      <c r="N40" s="159"/>
      <c r="O40" s="159"/>
      <c r="P40" s="159"/>
      <c r="Q40" s="159"/>
      <c r="R40" s="159"/>
      <c r="S40" s="159"/>
      <c r="T40" s="159"/>
      <c r="U40" s="159"/>
      <c r="V40" s="159"/>
    </row>
    <row r="41" spans="1:22" ht="12.6">
      <c r="A41" s="159"/>
      <c r="B41" s="159"/>
      <c r="C41" s="159"/>
      <c r="D41" s="159"/>
      <c r="E41" s="159"/>
      <c r="F41" s="159"/>
      <c r="G41" s="159"/>
      <c r="H41" s="159"/>
      <c r="I41" s="159"/>
      <c r="J41" s="159"/>
      <c r="K41" s="159"/>
      <c r="L41" s="159"/>
      <c r="M41" s="159"/>
      <c r="N41" s="159"/>
      <c r="O41" s="159"/>
      <c r="P41" s="159"/>
      <c r="Q41" s="159"/>
      <c r="R41" s="159"/>
      <c r="S41" s="159"/>
      <c r="T41" s="159"/>
      <c r="U41" s="159"/>
      <c r="V41" s="159"/>
    </row>
    <row r="42" spans="1:22" ht="12.6">
      <c r="A42" s="159"/>
      <c r="B42" s="159"/>
      <c r="C42" s="159"/>
      <c r="D42" s="159"/>
      <c r="E42" s="159"/>
      <c r="F42" s="159"/>
      <c r="G42" s="159"/>
      <c r="H42" s="159"/>
      <c r="I42" s="159"/>
      <c r="J42" s="159"/>
      <c r="K42" s="159"/>
      <c r="L42" s="159"/>
      <c r="M42" s="159"/>
      <c r="N42" s="159"/>
      <c r="O42" s="159"/>
      <c r="P42" s="159"/>
      <c r="Q42" s="159"/>
      <c r="R42" s="159"/>
      <c r="S42" s="159"/>
      <c r="T42" s="159"/>
      <c r="U42" s="159"/>
      <c r="V42" s="159"/>
    </row>
    <row r="43" spans="1:22" ht="12.6">
      <c r="A43" s="159"/>
      <c r="B43" s="159"/>
      <c r="C43" s="159"/>
      <c r="D43" s="159"/>
      <c r="E43" s="159"/>
      <c r="F43" s="159"/>
      <c r="G43" s="159"/>
      <c r="H43" s="159"/>
      <c r="I43" s="159"/>
      <c r="J43" s="159"/>
      <c r="K43" s="159"/>
      <c r="L43" s="159"/>
      <c r="M43" s="159"/>
      <c r="N43" s="159"/>
      <c r="O43" s="159"/>
      <c r="P43" s="159"/>
      <c r="Q43" s="159"/>
      <c r="R43" s="159"/>
      <c r="S43" s="159"/>
      <c r="T43" s="159"/>
      <c r="U43" s="159"/>
      <c r="V43" s="159"/>
    </row>
    <row r="44" spans="1:22" ht="12.6">
      <c r="A44" s="159"/>
      <c r="B44" s="159"/>
      <c r="C44" s="159"/>
      <c r="D44" s="159"/>
      <c r="E44" s="159"/>
      <c r="F44" s="159"/>
      <c r="G44" s="159"/>
      <c r="H44" s="159"/>
      <c r="I44" s="159"/>
      <c r="J44" s="159"/>
      <c r="K44" s="159"/>
      <c r="L44" s="159"/>
      <c r="M44" s="159"/>
      <c r="N44" s="159"/>
      <c r="O44" s="159"/>
      <c r="P44" s="159"/>
      <c r="Q44" s="159"/>
      <c r="R44" s="159"/>
      <c r="S44" s="159"/>
      <c r="T44" s="159"/>
      <c r="U44" s="159"/>
      <c r="V44" s="159"/>
    </row>
    <row r="45" spans="1:22" ht="18" customHeight="1">
      <c r="A45" s="159"/>
      <c r="B45" s="159"/>
      <c r="C45" s="159"/>
      <c r="D45" s="159"/>
      <c r="E45" s="159"/>
      <c r="F45" s="159"/>
      <c r="G45" s="159"/>
      <c r="H45" s="159"/>
      <c r="I45" s="159"/>
      <c r="J45" s="159"/>
      <c r="K45" s="159"/>
      <c r="L45" s="159"/>
      <c r="M45" s="159"/>
      <c r="N45" s="159"/>
      <c r="O45" s="159"/>
      <c r="P45" s="159"/>
      <c r="Q45" s="159"/>
      <c r="R45" s="159"/>
      <c r="S45" s="159"/>
      <c r="T45" s="159"/>
      <c r="U45" s="159"/>
      <c r="V45" s="159"/>
    </row>
  </sheetData>
  <sheetProtection selectLockedCells="1" selectUnlockedCells="1"/>
  <mergeCells count="35">
    <mergeCell ref="A16:V16"/>
    <mergeCell ref="A17:V20"/>
    <mergeCell ref="A21:V21"/>
    <mergeCell ref="A22:V45"/>
    <mergeCell ref="A10:E10"/>
    <mergeCell ref="F10:N10"/>
    <mergeCell ref="O10:Q10"/>
    <mergeCell ref="R10:V10"/>
    <mergeCell ref="A11:V11"/>
    <mergeCell ref="A12:V15"/>
    <mergeCell ref="A8:E8"/>
    <mergeCell ref="F8:N8"/>
    <mergeCell ref="O8:Q8"/>
    <mergeCell ref="R8:V8"/>
    <mergeCell ref="A9:E9"/>
    <mergeCell ref="F9:N9"/>
    <mergeCell ref="O9:Q9"/>
    <mergeCell ref="R9:V9"/>
    <mergeCell ref="A6:E6"/>
    <mergeCell ref="F6:N6"/>
    <mergeCell ref="O6:P6"/>
    <mergeCell ref="Q6:V6"/>
    <mergeCell ref="A7:E7"/>
    <mergeCell ref="F7:N7"/>
    <mergeCell ref="O7:Q7"/>
    <mergeCell ref="R7:V7"/>
    <mergeCell ref="A5:E5"/>
    <mergeCell ref="F5:N5"/>
    <mergeCell ref="O5:P5"/>
    <mergeCell ref="Q5:V5"/>
    <mergeCell ref="A1:V3"/>
    <mergeCell ref="A4:E4"/>
    <mergeCell ref="F4:N4"/>
    <mergeCell ref="O4:P4"/>
    <mergeCell ref="Q4:V4"/>
  </mergeCells>
  <dataValidations count="3">
    <dataValidation type="list" operator="equal" allowBlank="1" showErrorMessage="1" sqref="F6" xr:uid="{0ECCEE88-1667-4FB7-AC54-B1FF399DBCC1}">
      <formula1>"Aplicação,Projeto de Desenvolvimento,Projeto de Melhoria"</formula1>
      <formula2>0</formula2>
    </dataValidation>
    <dataValidation type="list" operator="equal" allowBlank="1" showErrorMessage="1" sqref="G6:N7" xr:uid="{B380FD6D-48DA-45EC-BB2D-FF008E38B616}">
      <formula1>"Aplicação,Estimativa,Projeto de Desenvolvimento,Projeto de Melhoria"</formula1>
      <formula2>0</formula2>
    </dataValidation>
    <dataValidation type="list" operator="equal" allowBlank="1" showErrorMessage="1" promptTitle="Método de COntagem" prompt="Detalhada (IFPUG)_x000a_Estimativa (NESMA)_x000a_Indicativa (NESMA)" sqref="F7" xr:uid="{BE736387-D350-42D1-A176-510E61D64EF1}">
      <formula1>"Detalhada (IFPUG),Estimativa (NESMA),Indicativa (NESMA)"</formula1>
      <formula2>0</formula2>
    </dataValidation>
  </dataValidations>
  <pageMargins left="0.78749999999999998" right="0.78749999999999998" top="0.78749999999999998" bottom="0.78749999999999998" header="0.51180555555555551" footer="0.51180555555555551"/>
  <pageSetup paperSize="9" scale="59" firstPageNumber="0" orientation="portrait" horizontalDpi="300" verticalDpi="300" r:id="rId1"/>
  <headerFooter alignWithMargins="0">
    <oddFooter>&amp;R&amp;"Tahoma,Normal"&amp;8&amp;F - &amp;A</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pageSetUpPr fitToPage="1"/>
  </sheetPr>
  <dimension ref="A1:P778"/>
  <sheetViews>
    <sheetView showGridLines="0" tabSelected="1" zoomScale="115" zoomScaleNormal="115" zoomScaleSheetLayoutView="100" workbookViewId="0">
      <pane ySplit="7" topLeftCell="A377" activePane="bottomLeft" state="frozen"/>
      <selection pane="bottomLeft" activeCell="L385" activeCellId="5" sqref="L254:L267 L274:L286 L270:L272 L289:L296 L298:L310 L385:L393"/>
      <selection activeCell="B11" sqref="B11"/>
    </sheetView>
  </sheetViews>
  <sheetFormatPr defaultRowHeight="12.6"/>
  <cols>
    <col min="1" max="1" width="58.5703125" customWidth="1"/>
    <col min="2" max="2" width="5" customWidth="1"/>
    <col min="3" max="3" width="10.42578125" customWidth="1"/>
    <col min="4" max="4" width="3.85546875" customWidth="1"/>
    <col min="5" max="5" width="6.140625" customWidth="1"/>
    <col min="6" max="6" width="8" customWidth="1"/>
    <col min="7" max="7" width="3.85546875" hidden="1" customWidth="1"/>
    <col min="8" max="8" width="12" customWidth="1"/>
    <col min="9" max="9" width="4" hidden="1" customWidth="1"/>
    <col min="10" max="10" width="4.42578125" hidden="1" customWidth="1"/>
    <col min="11" max="11" width="12.5703125" customWidth="1"/>
    <col min="12" max="12" width="12" customWidth="1"/>
    <col min="13" max="13" width="6.85546875" customWidth="1"/>
    <col min="14" max="14" width="7.42578125" style="122" customWidth="1"/>
    <col min="15" max="15" width="37.42578125" customWidth="1"/>
    <col min="16" max="16" width="12.140625" bestFit="1" customWidth="1"/>
  </cols>
  <sheetData>
    <row r="1" spans="1:16" ht="12.95" thickBot="1">
      <c r="A1" s="164" t="s">
        <v>28</v>
      </c>
      <c r="B1" s="164"/>
      <c r="C1" s="164"/>
      <c r="D1" s="164"/>
      <c r="E1" s="164"/>
      <c r="F1" s="164"/>
      <c r="G1" s="164"/>
      <c r="H1" s="164"/>
      <c r="I1" s="164"/>
      <c r="J1" s="164"/>
      <c r="K1" s="164"/>
      <c r="L1" s="164"/>
      <c r="M1" s="164"/>
      <c r="N1" s="164"/>
      <c r="O1" s="164"/>
    </row>
    <row r="2" spans="1:16" ht="12.95" thickBot="1">
      <c r="A2" s="164"/>
      <c r="B2" s="164"/>
      <c r="C2" s="164"/>
      <c r="D2" s="164"/>
      <c r="E2" s="164"/>
      <c r="F2" s="164"/>
      <c r="G2" s="164"/>
      <c r="H2" s="164"/>
      <c r="I2" s="164"/>
      <c r="J2" s="164"/>
      <c r="K2" s="164"/>
      <c r="L2" s="164"/>
      <c r="M2" s="164"/>
      <c r="N2" s="164"/>
      <c r="O2" s="164"/>
    </row>
    <row r="3" spans="1:16">
      <c r="A3" s="164"/>
      <c r="B3" s="164"/>
      <c r="C3" s="164"/>
      <c r="D3" s="164"/>
      <c r="E3" s="164"/>
      <c r="F3" s="164"/>
      <c r="G3" s="164"/>
      <c r="H3" s="164"/>
      <c r="I3" s="164"/>
      <c r="J3" s="164"/>
      <c r="K3" s="164"/>
      <c r="L3" s="164"/>
      <c r="M3" s="164"/>
      <c r="N3" s="164"/>
      <c r="O3" s="164"/>
    </row>
    <row r="4" spans="1:16">
      <c r="A4" s="3" t="str">
        <f>Contagem!A5&amp;" : "&amp;Contagem!F5</f>
        <v xml:space="preserve">Aplicação : </v>
      </c>
      <c r="B4" s="166" t="str">
        <f>Contagem!A8&amp;" : "&amp;Contagem!F8</f>
        <v>Projeto : SEI</v>
      </c>
      <c r="C4" s="167"/>
      <c r="D4" s="167"/>
      <c r="E4" s="167"/>
      <c r="F4" s="167"/>
      <c r="G4" s="167"/>
      <c r="H4" s="167"/>
      <c r="I4" s="167"/>
      <c r="J4" s="168"/>
      <c r="K4" s="107" t="s">
        <v>3</v>
      </c>
      <c r="L4" s="110">
        <f>SUM(H11:H778)</f>
        <v>1392</v>
      </c>
      <c r="M4" s="163"/>
      <c r="N4" s="163"/>
      <c r="O4" s="163"/>
    </row>
    <row r="5" spans="1:16">
      <c r="A5" s="3" t="str">
        <f>Contagem!A9&amp;" : "&amp;Contagem!F9</f>
        <v>Responsável : Ana Karyna da Silva Teixeira</v>
      </c>
      <c r="B5" s="166" t="str">
        <f>Contagem!A10&amp;" : "&amp;Contagem!F10</f>
        <v>Revisor : Luana Alves de Araújo Passos Aguiar</v>
      </c>
      <c r="C5" s="167"/>
      <c r="D5" s="167"/>
      <c r="E5" s="167"/>
      <c r="F5" s="167"/>
      <c r="G5" s="167"/>
      <c r="H5" s="167"/>
      <c r="I5" s="167"/>
      <c r="J5" s="168"/>
      <c r="K5" s="109" t="s">
        <v>5</v>
      </c>
      <c r="L5" s="110">
        <f>SUM(K11:K778)</f>
        <v>1392</v>
      </c>
      <c r="M5" s="165"/>
      <c r="N5" s="165"/>
      <c r="O5" s="165"/>
    </row>
    <row r="6" spans="1:16">
      <c r="A6" s="115" t="str">
        <f>Contagem!A4&amp;" : "&amp;Contagem!F4</f>
        <v>Empresa : Secretaria de Estado de Planejamento e Gestão de Mato Grosso</v>
      </c>
      <c r="B6" s="160" t="str">
        <f>"Tipo da Contagem : "&amp;Contagem!F6</f>
        <v>Tipo da Contagem : Projeto de Desenvolvimento</v>
      </c>
      <c r="C6" s="161"/>
      <c r="D6" s="161"/>
      <c r="E6" s="161"/>
      <c r="F6" s="161"/>
      <c r="G6" s="161"/>
      <c r="H6" s="161"/>
      <c r="I6" s="161"/>
      <c r="J6" s="162"/>
      <c r="K6" s="108" t="s">
        <v>8</v>
      </c>
      <c r="L6" s="110">
        <f>SUM(L11:L778)</f>
        <v>1296.8</v>
      </c>
      <c r="M6" s="163"/>
      <c r="N6" s="163"/>
      <c r="O6" s="163"/>
    </row>
    <row r="7" spans="1:16" ht="13.5" customHeight="1">
      <c r="A7" s="114" t="s">
        <v>29</v>
      </c>
      <c r="B7" s="67" t="s">
        <v>30</v>
      </c>
      <c r="C7" s="68" t="s">
        <v>31</v>
      </c>
      <c r="D7" s="69" t="s">
        <v>32</v>
      </c>
      <c r="E7" s="69" t="s">
        <v>33</v>
      </c>
      <c r="F7" s="69" t="s">
        <v>34</v>
      </c>
      <c r="G7" s="70" t="s">
        <v>35</v>
      </c>
      <c r="H7" s="70" t="s">
        <v>3</v>
      </c>
      <c r="I7" s="118" t="s">
        <v>36</v>
      </c>
      <c r="J7" s="118" t="s">
        <v>37</v>
      </c>
      <c r="K7" s="70" t="s">
        <v>5</v>
      </c>
      <c r="L7" s="71" t="s">
        <v>8</v>
      </c>
      <c r="M7" s="72" t="s">
        <v>38</v>
      </c>
      <c r="N7" s="121" t="s">
        <v>39</v>
      </c>
      <c r="O7" s="73" t="s">
        <v>40</v>
      </c>
      <c r="P7" s="124" t="s">
        <v>41</v>
      </c>
    </row>
    <row r="8" spans="1:16">
      <c r="A8" s="137" t="s">
        <v>42</v>
      </c>
      <c r="B8" s="4"/>
      <c r="C8" s="4"/>
      <c r="D8" s="7"/>
      <c r="E8" s="7"/>
      <c r="F8" s="116" t="str">
        <f t="shared" ref="F8" si="0">IF(ISBLANK(B8),"",IF(I8="L","Baixa",IF(I8="A","Média",IF(I8="","","Alta"))))</f>
        <v/>
      </c>
      <c r="G8" s="7" t="str">
        <f t="shared" ref="G8" si="1">CONCATENATE(B8,I8)</f>
        <v/>
      </c>
      <c r="H8" s="7" t="str">
        <f t="shared" ref="H8" si="2">IF(ISBLANK(B8),"",IF(B8="ALI",IF(I8="L",7,IF(I8="A",10,15)),IF(B8="AIE",IF(I8="L",5,IF(I8="A",7,10)),IF(B8="SE",IF(I8="L",4,IF(I8="A",5,7)),IF(OR(B8="EE",B8="CE"),IF(I8="L",3,IF(I8="A",4,6)),0)))))</f>
        <v/>
      </c>
      <c r="I8" s="116" t="str">
        <f t="shared" ref="I8" si="3">IF(OR(ISBLANK(D8),ISBLANK(E8)),IF(OR(B8="ALI",B8="AIE"),"L",IF(OR(B8="EE",B8="SE",B8="CE"),"A","")),IF(B8="EE",IF(E8&gt;=3,IF(D8&gt;=5,"H","A"),IF(E8&gt;=2,IF(D8&gt;=16,"H",IF(D8&lt;=4,"L","A")),IF(D8&lt;=15,"L","A"))),IF(OR(B8="SE",B8="CE"),IF(E8&gt;=4,IF(D8&gt;=6,"H","A"),IF(E8&gt;=2,IF(D8&gt;=20,"H",IF(D8&lt;=5,"L","A")),IF(D8&lt;=19,"L","A"))),IF(OR(B8="ALI",B8="AIE"),IF(E8&gt;=6,IF(D8&gt;=20,"H","A"),IF(E8&gt;=2,IF(D8&gt;=51,"H",IF(D8&lt;=19,"L","A")),IF(D8&lt;=50,"L","A"))),""))))</f>
        <v/>
      </c>
      <c r="J8" s="7" t="str">
        <f t="shared" ref="J8" si="4">CONCATENATE(B8,C8)</f>
        <v/>
      </c>
      <c r="K8" s="125" t="str">
        <f t="shared" ref="K8" si="5">IF(OR(H8="",H8=0),L8,H8)</f>
        <v/>
      </c>
      <c r="L8" s="125" t="str">
        <f>IF(NOT(ISERROR(VLOOKUP(B8,Deflatores!G$42:H$64,2,FALSE))),VLOOKUP(B8,Deflatores!G$42:H$64,2,FALSE),IF(OR(ISBLANK(C8),ISBLANK(B8)),"",VLOOKUP(C8,Deflatores!G$4:H$38,2,FALSE)*H8+VLOOKUP(C8,Deflatores!G$4:I$38,3,FALSE)))</f>
        <v/>
      </c>
      <c r="M8" s="10"/>
      <c r="N8" s="10"/>
      <c r="O8" s="125"/>
    </row>
    <row r="9" spans="1:16">
      <c r="A9" s="138" t="s">
        <v>43</v>
      </c>
      <c r="B9" s="4" t="s">
        <v>44</v>
      </c>
      <c r="C9" s="4" t="s">
        <v>45</v>
      </c>
      <c r="D9" s="7"/>
      <c r="E9" s="7"/>
      <c r="F9" s="116" t="str">
        <f>IF(ISBLANK(B9),"",IF(I9="L","Baixa",IF(I9="A","Média",IF(I9="","","Alta"))))</f>
        <v>Média</v>
      </c>
      <c r="G9" s="7" t="str">
        <f>CONCATENATE(B9,I9)</f>
        <v>CEA</v>
      </c>
      <c r="H9" s="7">
        <f>IF(ISBLANK(B9),"",IF(B9="ALI",IF(I9="L",7,IF(I9="A",10,15)),IF(B9="AIE",IF(I9="L",5,IF(I9="A",7,10)),IF(B9="SE",IF(I9="L",4,IF(I9="A",5,7)),IF(OR(B9="EE",B9="CE"),IF(I9="L",3,IF(I9="A",4,6)),0)))))</f>
        <v>4</v>
      </c>
      <c r="I9" s="116" t="str">
        <f>IF(OR(ISBLANK(D9),ISBLANK(E9)),IF(OR(B9="ALI",B9="AIE"),"L",IF(OR(B9="EE",B9="SE",B9="CE"),"A","")),IF(B9="EE",IF(E9&gt;=3,IF(D9&gt;=5,"H","A"),IF(E9&gt;=2,IF(D9&gt;=16,"H",IF(D9&lt;=4,"L","A")),IF(D9&lt;=15,"L","A"))),IF(OR(B9="SE",B9="CE"),IF(E9&gt;=4,IF(D9&gt;=6,"H","A"),IF(E9&gt;=2,IF(D9&gt;=20,"H",IF(D9&lt;=5,"L","A")),IF(D9&lt;=19,"L","A"))),IF(OR(B9="ALI",B9="AIE"),IF(E9&gt;=6,IF(D9&gt;=20,"H","A"),IF(E9&gt;=2,IF(D9&gt;=51,"H",IF(D9&lt;=19,"L","A")),IF(D9&lt;=50,"L","A"))),""))))</f>
        <v>A</v>
      </c>
      <c r="J9" s="7" t="str">
        <f>CONCATENATE(B9,C9)</f>
        <v>CECOS</v>
      </c>
      <c r="K9" s="125">
        <f>IF(OR(H9="",H9=0),L9,H9)</f>
        <v>4</v>
      </c>
      <c r="L9" s="125">
        <f>IF(NOT(ISERROR(VLOOKUP(B9,Deflatores!G$42:H$64,2,FALSE))),VLOOKUP(B9,Deflatores!G$42:H$64,2,FALSE),IF(OR(ISBLANK(C9),ISBLANK(B9)),"",VLOOKUP(C9,Deflatores!G$4:H$38,2,FALSE)*H9+VLOOKUP(C9,Deflatores!G$4:I$38,3,FALSE)))</f>
        <v>0.6</v>
      </c>
      <c r="M9" s="10"/>
      <c r="N9" s="10"/>
      <c r="O9" s="125"/>
    </row>
    <row r="10" spans="1:16">
      <c r="A10" s="138"/>
      <c r="B10" s="4"/>
      <c r="C10" s="4"/>
      <c r="D10" s="7"/>
      <c r="E10" s="7"/>
      <c r="F10" s="116" t="str">
        <f t="shared" ref="F10" si="6">IF(ISBLANK(B10),"",IF(I10="L","Baixa",IF(I10="A","Média",IF(I10="","","Alta"))))</f>
        <v/>
      </c>
      <c r="G10" s="7" t="str">
        <f t="shared" ref="G10" si="7">CONCATENATE(B10,I10)</f>
        <v/>
      </c>
      <c r="H10" s="7" t="str">
        <f t="shared" ref="H10" si="8">IF(ISBLANK(B10),"",IF(B10="ALI",IF(I10="L",7,IF(I10="A",10,15)),IF(B10="AIE",IF(I10="L",5,IF(I10="A",7,10)),IF(B10="SE",IF(I10="L",4,IF(I10="A",5,7)),IF(OR(B10="EE",B10="CE"),IF(I10="L",3,IF(I10="A",4,6)),0)))))</f>
        <v/>
      </c>
      <c r="I10" s="116" t="str">
        <f t="shared" ref="I10" si="9">IF(OR(ISBLANK(D10),ISBLANK(E10)),IF(OR(B10="ALI",B10="AIE"),"L",IF(OR(B10="EE",B10="SE",B10="CE"),"A","")),IF(B10="EE",IF(E10&gt;=3,IF(D10&gt;=5,"H","A"),IF(E10&gt;=2,IF(D10&gt;=16,"H",IF(D10&lt;=4,"L","A")),IF(D10&lt;=15,"L","A"))),IF(OR(B10="SE",B10="CE"),IF(E10&gt;=4,IF(D10&gt;=6,"H","A"),IF(E10&gt;=2,IF(D10&gt;=20,"H",IF(D10&lt;=5,"L","A")),IF(D10&lt;=19,"L","A"))),IF(OR(B10="ALI",B10="AIE"),IF(E10&gt;=6,IF(D10&gt;=20,"H","A"),IF(E10&gt;=2,IF(D10&gt;=51,"H",IF(D10&lt;=19,"L","A")),IF(D10&lt;=50,"L","A"))),""))))</f>
        <v/>
      </c>
      <c r="J10" s="7" t="str">
        <f t="shared" ref="J10" si="10">CONCATENATE(B10,C10)</f>
        <v/>
      </c>
      <c r="K10" s="125" t="str">
        <f t="shared" ref="K10" si="11">IF(OR(H10="",H10=0),L10,H10)</f>
        <v/>
      </c>
      <c r="L10" s="125" t="str">
        <f>IF(NOT(ISERROR(VLOOKUP(B10,Deflatores!G$42:H$64,2,FALSE))),VLOOKUP(B10,Deflatores!G$42:H$64,2,FALSE),IF(OR(ISBLANK(C10),ISBLANK(B10)),"",VLOOKUP(C10,Deflatores!G$4:H$38,2,FALSE)*H10+VLOOKUP(C10,Deflatores!G$4:I$38,3,FALSE)))</f>
        <v/>
      </c>
      <c r="M10" s="10"/>
      <c r="N10" s="10"/>
      <c r="O10" s="125"/>
    </row>
    <row r="11" spans="1:16">
      <c r="A11" s="137" t="s">
        <v>46</v>
      </c>
      <c r="B11" s="4"/>
      <c r="C11" s="4"/>
      <c r="D11" s="7"/>
      <c r="E11" s="7"/>
      <c r="F11" s="116" t="str">
        <f t="shared" ref="F11:F16" si="12">IF(ISBLANK(B11),"",IF(I11="L","Baixa",IF(I11="A","Média",IF(I11="","","Alta"))))</f>
        <v/>
      </c>
      <c r="G11" s="7" t="str">
        <f t="shared" ref="G11:G16" si="13">CONCATENATE(B11,I11)</f>
        <v/>
      </c>
      <c r="H11" s="7" t="str">
        <f t="shared" ref="H11:H16" si="14">IF(ISBLANK(B11),"",IF(B11="ALI",IF(I11="L",7,IF(I11="A",10,15)),IF(B11="AIE",IF(I11="L",5,IF(I11="A",7,10)),IF(B11="SE",IF(I11="L",4,IF(I11="A",5,7)),IF(OR(B11="EE",B11="CE"),IF(I11="L",3,IF(I11="A",4,6)),0)))))</f>
        <v/>
      </c>
      <c r="I11" s="116" t="str">
        <f t="shared" ref="I11:I16" si="15">IF(OR(ISBLANK(D11),ISBLANK(E11)),IF(OR(B11="ALI",B11="AIE"),"L",IF(OR(B11="EE",B11="SE",B11="CE"),"A","")),IF(B11="EE",IF(E11&gt;=3,IF(D11&gt;=5,"H","A"),IF(E11&gt;=2,IF(D11&gt;=16,"H",IF(D11&lt;=4,"L","A")),IF(D11&lt;=15,"L","A"))),IF(OR(B11="SE",B11="CE"),IF(E11&gt;=4,IF(D11&gt;=6,"H","A"),IF(E11&gt;=2,IF(D11&gt;=20,"H",IF(D11&lt;=5,"L","A")),IF(D11&lt;=19,"L","A"))),IF(OR(B11="ALI",B11="AIE"),IF(E11&gt;=6,IF(D11&gt;=20,"H","A"),IF(E11&gt;=2,IF(D11&gt;=51,"H",IF(D11&lt;=19,"L","A")),IF(D11&lt;=50,"L","A"))),""))))</f>
        <v/>
      </c>
      <c r="J11" s="7" t="str">
        <f t="shared" ref="J11:J16" si="16">CONCATENATE(B11,C11)</f>
        <v/>
      </c>
      <c r="K11" s="125" t="str">
        <f t="shared" ref="K11:K16" si="17">IF(OR(H11="",H11=0),L11,H11)</f>
        <v/>
      </c>
      <c r="L11" s="125" t="str">
        <f>IF(NOT(ISERROR(VLOOKUP(B11,Deflatores!G$42:H$64,2,FALSE))),VLOOKUP(B11,Deflatores!G$42:H$64,2,FALSE),IF(OR(ISBLANK(C11),ISBLANK(B11)),"",VLOOKUP(C11,Deflatores!G$4:H$38,2,FALSE)*H11+VLOOKUP(C11,Deflatores!G$4:I$38,3,FALSE)))</f>
        <v/>
      </c>
      <c r="M11" s="10"/>
      <c r="N11" s="10"/>
      <c r="O11" s="130"/>
    </row>
    <row r="12" spans="1:16">
      <c r="A12" s="138" t="s">
        <v>47</v>
      </c>
      <c r="B12" s="4" t="s">
        <v>48</v>
      </c>
      <c r="C12" s="4" t="s">
        <v>49</v>
      </c>
      <c r="D12" s="7">
        <v>3</v>
      </c>
      <c r="E12" s="7"/>
      <c r="F12" s="116" t="str">
        <f>IF(ISBLANK(B12),"",IF(I12="L","Baixa",IF(I12="A","Média",IF(I12="","","Alta"))))</f>
        <v>Baixa</v>
      </c>
      <c r="G12" s="7" t="str">
        <f>CONCATENATE(B12,I12)</f>
        <v>AIEL</v>
      </c>
      <c r="H12" s="7">
        <f>IF(ISBLANK(B12),"",IF(B12="ALI",IF(I12="L",7,IF(I12="A",10,15)),IF(B12="AIE",IF(I12="L",5,IF(I12="A",7,10)),IF(B12="SE",IF(I12="L",4,IF(I12="A",5,7)),IF(OR(B12="EE",B12="CE"),IF(I12="L",3,IF(I12="A",4,6)),0)))))</f>
        <v>5</v>
      </c>
      <c r="I12" s="116" t="str">
        <f>IF(OR(ISBLANK(D12),ISBLANK(E12)),IF(OR(B12="ALI",B12="AIE"),"L",IF(OR(B12="EE",B12="SE",B12="CE"),"A","")),IF(B12="EE",IF(E12&gt;=3,IF(D12&gt;=5,"H","A"),IF(E12&gt;=2,IF(D12&gt;=16,"H",IF(D12&lt;=4,"L","A")),IF(D12&lt;=15,"L","A"))),IF(OR(B12="SE",B12="CE"),IF(E12&gt;=4,IF(D12&gt;=6,"H","A"),IF(E12&gt;=2,IF(D12&gt;=20,"H",IF(D12&lt;=5,"L","A")),IF(D12&lt;=19,"L","A"))),IF(OR(B12="ALI",B12="AIE"),IF(E12&gt;=6,IF(D12&gt;=20,"H","A"),IF(E12&gt;=2,IF(D12&gt;=51,"H",IF(D12&lt;=19,"L","A")),IF(D12&lt;=50,"L","A"))),""))))</f>
        <v>L</v>
      </c>
      <c r="J12" s="7" t="str">
        <f>CONCATENATE(B12,C12)</f>
        <v>AIEI</v>
      </c>
      <c r="K12" s="125">
        <f>IF(OR(H12="",H12=0),L12,H12)</f>
        <v>5</v>
      </c>
      <c r="L12" s="125">
        <f>IF(NOT(ISERROR(VLOOKUP(B12,Deflatores!G$42:H$64,2,FALSE))),VLOOKUP(B12,Deflatores!G$42:H$64,2,FALSE),IF(OR(ISBLANK(C12),ISBLANK(B12)),"",VLOOKUP(C12,Deflatores!G$4:H$38,2,FALSE)*H12+VLOOKUP(C12,Deflatores!G$4:I$38,3,FALSE)))</f>
        <v>5</v>
      </c>
      <c r="M12" s="10"/>
      <c r="N12" s="10"/>
      <c r="O12" s="125"/>
    </row>
    <row r="13" spans="1:16">
      <c r="A13" s="138" t="s">
        <v>50</v>
      </c>
      <c r="B13" s="4" t="s">
        <v>48</v>
      </c>
      <c r="C13" s="4" t="s">
        <v>49</v>
      </c>
      <c r="D13" s="7">
        <v>8</v>
      </c>
      <c r="E13" s="7">
        <v>1</v>
      </c>
      <c r="F13" s="116" t="str">
        <f t="shared" si="12"/>
        <v>Baixa</v>
      </c>
      <c r="G13" s="7" t="str">
        <f t="shared" si="13"/>
        <v>AIEL</v>
      </c>
      <c r="H13" s="7">
        <f t="shared" si="14"/>
        <v>5</v>
      </c>
      <c r="I13" s="116" t="str">
        <f t="shared" si="15"/>
        <v>L</v>
      </c>
      <c r="J13" s="7" t="str">
        <f t="shared" si="16"/>
        <v>AIEI</v>
      </c>
      <c r="K13" s="125">
        <f t="shared" si="17"/>
        <v>5</v>
      </c>
      <c r="L13" s="125">
        <f>IF(NOT(ISERROR(VLOOKUP(B13,Deflatores!G$42:H$64,2,FALSE))),VLOOKUP(B13,Deflatores!G$42:H$64,2,FALSE),IF(OR(ISBLANK(C13),ISBLANK(B13)),"",VLOOKUP(C13,Deflatores!G$4:H$38,2,FALSE)*H13+VLOOKUP(C13,Deflatores!G$4:I$38,3,FALSE)))</f>
        <v>5</v>
      </c>
      <c r="M13" s="10"/>
      <c r="N13" s="10"/>
      <c r="O13" s="125"/>
    </row>
    <row r="14" spans="1:16">
      <c r="A14" s="138" t="s">
        <v>51</v>
      </c>
      <c r="B14" s="4" t="s">
        <v>48</v>
      </c>
      <c r="C14" s="4" t="s">
        <v>49</v>
      </c>
      <c r="D14" s="7">
        <v>2</v>
      </c>
      <c r="E14" s="7">
        <v>1</v>
      </c>
      <c r="F14" s="116" t="str">
        <f t="shared" si="12"/>
        <v>Baixa</v>
      </c>
      <c r="G14" s="7" t="str">
        <f t="shared" si="13"/>
        <v>AIEL</v>
      </c>
      <c r="H14" s="7">
        <f t="shared" si="14"/>
        <v>5</v>
      </c>
      <c r="I14" s="116" t="str">
        <f t="shared" si="15"/>
        <v>L</v>
      </c>
      <c r="J14" s="7" t="str">
        <f t="shared" si="16"/>
        <v>AIEI</v>
      </c>
      <c r="K14" s="125">
        <f t="shared" si="17"/>
        <v>5</v>
      </c>
      <c r="L14" s="125">
        <f>IF(NOT(ISERROR(VLOOKUP(B14,Deflatores!G$42:H$64,2,FALSE))),VLOOKUP(B14,Deflatores!G$42:H$64,2,FALSE),IF(OR(ISBLANK(C14),ISBLANK(B14)),"",VLOOKUP(C14,Deflatores!G$4:H$38,2,FALSE)*H14+VLOOKUP(C14,Deflatores!G$4:I$38,3,FALSE)))</f>
        <v>5</v>
      </c>
      <c r="M14" s="10"/>
      <c r="N14" s="10"/>
      <c r="O14" s="125"/>
    </row>
    <row r="15" spans="1:16">
      <c r="A15" s="138" t="s">
        <v>52</v>
      </c>
      <c r="B15" s="4" t="s">
        <v>48</v>
      </c>
      <c r="C15" s="4" t="s">
        <v>49</v>
      </c>
      <c r="D15" s="7">
        <v>2</v>
      </c>
      <c r="E15" s="7">
        <v>1</v>
      </c>
      <c r="F15" s="116" t="str">
        <f t="shared" si="12"/>
        <v>Baixa</v>
      </c>
      <c r="G15" s="7" t="str">
        <f t="shared" si="13"/>
        <v>AIEL</v>
      </c>
      <c r="H15" s="7">
        <f t="shared" si="14"/>
        <v>5</v>
      </c>
      <c r="I15" s="116" t="str">
        <f t="shared" si="15"/>
        <v>L</v>
      </c>
      <c r="J15" s="7" t="str">
        <f t="shared" si="16"/>
        <v>AIEI</v>
      </c>
      <c r="K15" s="125">
        <f t="shared" si="17"/>
        <v>5</v>
      </c>
      <c r="L15" s="125">
        <f>IF(NOT(ISERROR(VLOOKUP(B15,Deflatores!G$42:H$64,2,FALSE))),VLOOKUP(B15,Deflatores!G$42:H$64,2,FALSE),IF(OR(ISBLANK(C15),ISBLANK(B15)),"",VLOOKUP(C15,Deflatores!G$4:H$38,2,FALSE)*H15+VLOOKUP(C15,Deflatores!G$4:I$38,3,FALSE)))</f>
        <v>5</v>
      </c>
      <c r="M15" s="10"/>
      <c r="N15" s="10"/>
      <c r="O15" s="125"/>
    </row>
    <row r="16" spans="1:16">
      <c r="A16" s="138" t="s">
        <v>53</v>
      </c>
      <c r="B16" s="4" t="s">
        <v>48</v>
      </c>
      <c r="C16" s="4" t="s">
        <v>49</v>
      </c>
      <c r="D16" s="7">
        <v>2</v>
      </c>
      <c r="E16" s="7">
        <v>1</v>
      </c>
      <c r="F16" s="116" t="str">
        <f t="shared" si="12"/>
        <v>Baixa</v>
      </c>
      <c r="G16" s="7" t="str">
        <f t="shared" si="13"/>
        <v>AIEL</v>
      </c>
      <c r="H16" s="7">
        <f t="shared" si="14"/>
        <v>5</v>
      </c>
      <c r="I16" s="116" t="str">
        <f t="shared" si="15"/>
        <v>L</v>
      </c>
      <c r="J16" s="7" t="str">
        <f t="shared" si="16"/>
        <v>AIEI</v>
      </c>
      <c r="K16" s="125">
        <f t="shared" si="17"/>
        <v>5</v>
      </c>
      <c r="L16" s="125">
        <f>IF(NOT(ISERROR(VLOOKUP(B16,Deflatores!G$42:H$64,2,FALSE))),VLOOKUP(B16,Deflatores!G$42:H$64,2,FALSE),IF(OR(ISBLANK(C16),ISBLANK(B16)),"",VLOOKUP(C16,Deflatores!G$4:H$38,2,FALSE)*H16+VLOOKUP(C16,Deflatores!G$4:I$38,3,FALSE)))</f>
        <v>5</v>
      </c>
      <c r="M16" s="10"/>
      <c r="N16" s="10"/>
      <c r="O16" s="125"/>
    </row>
    <row r="17" spans="1:15">
      <c r="A17" s="138" t="s">
        <v>54</v>
      </c>
      <c r="B17" s="4" t="s">
        <v>55</v>
      </c>
      <c r="C17" s="4" t="s">
        <v>56</v>
      </c>
      <c r="D17" s="7">
        <v>89</v>
      </c>
      <c r="E17" s="7">
        <v>8</v>
      </c>
      <c r="F17" s="116" t="str">
        <f t="shared" ref="F17:F39" si="18">IF(ISBLANK(B17),"",IF(I17="L","Baixa",IF(I17="A","Média",IF(I17="","","Alta"))))</f>
        <v>Alta</v>
      </c>
      <c r="G17" s="7" t="str">
        <f t="shared" ref="G17:G39" si="19">CONCATENATE(B17,I17)</f>
        <v>ALIH</v>
      </c>
      <c r="H17" s="7">
        <f t="shared" ref="H17:H39" si="20">IF(ISBLANK(B17),"",IF(B17="ALI",IF(I17="L",7,IF(I17="A",10,15)),IF(B17="AIE",IF(I17="L",5,IF(I17="A",7,10)),IF(B17="SE",IF(I17="L",4,IF(I17="A",5,7)),IF(OR(B17="EE",B17="CE"),IF(I17="L",3,IF(I17="A",4,6)),0)))))</f>
        <v>15</v>
      </c>
      <c r="I17" s="116" t="str">
        <f t="shared" ref="I17:I39" si="21">IF(OR(ISBLANK(D17),ISBLANK(E17)),IF(OR(B17="ALI",B17="AIE"),"L",IF(OR(B17="EE",B17="SE",B17="CE"),"A","")),IF(B17="EE",IF(E17&gt;=3,IF(D17&gt;=5,"H","A"),IF(E17&gt;=2,IF(D17&gt;=16,"H",IF(D17&lt;=4,"L","A")),IF(D17&lt;=15,"L","A"))),IF(OR(B17="SE",B17="CE"),IF(E17&gt;=4,IF(D17&gt;=6,"H","A"),IF(E17&gt;=2,IF(D17&gt;=20,"H",IF(D17&lt;=5,"L","A")),IF(D17&lt;=19,"L","A"))),IF(OR(B17="ALI",B17="AIE"),IF(E17&gt;=6,IF(D17&gt;=20,"H","A"),IF(E17&gt;=2,IF(D17&gt;=51,"H",IF(D17&lt;=19,"L","A")),IF(D17&lt;=50,"L","A"))),""))))</f>
        <v>H</v>
      </c>
      <c r="J17" s="7" t="str">
        <f t="shared" ref="J17:J39" si="22">CONCATENATE(B17,C17)</f>
        <v>ALIA50</v>
      </c>
      <c r="K17" s="125">
        <f t="shared" ref="K17:K39" si="23">IF(OR(H17="",H17=0),L17,H17)</f>
        <v>15</v>
      </c>
      <c r="L17" s="125">
        <f>IF(NOT(ISERROR(VLOOKUP(B17,Deflatores!G$42:H$64,2,FALSE))),VLOOKUP(B17,Deflatores!G$42:H$64,2,FALSE),IF(OR(ISBLANK(C17),ISBLANK(B17)),"",VLOOKUP(C17,Deflatores!G$4:H$38,2,FALSE)*H17+VLOOKUP(C17,Deflatores!G$4:I$38,3,FALSE)))</f>
        <v>7.5</v>
      </c>
      <c r="M17" s="10"/>
      <c r="N17" s="10"/>
      <c r="O17" s="125"/>
    </row>
    <row r="18" spans="1:15">
      <c r="A18" s="138" t="s">
        <v>57</v>
      </c>
      <c r="B18" s="4" t="s">
        <v>58</v>
      </c>
      <c r="C18" s="4" t="s">
        <v>45</v>
      </c>
      <c r="D18" s="7">
        <v>9</v>
      </c>
      <c r="E18" s="7">
        <v>4</v>
      </c>
      <c r="F18" s="116" t="str">
        <f t="shared" si="18"/>
        <v>Alta</v>
      </c>
      <c r="G18" s="7" t="str">
        <f t="shared" si="19"/>
        <v>SEH</v>
      </c>
      <c r="H18" s="7">
        <f t="shared" si="20"/>
        <v>7</v>
      </c>
      <c r="I18" s="116" t="str">
        <f t="shared" si="21"/>
        <v>H</v>
      </c>
      <c r="J18" s="7" t="str">
        <f t="shared" si="22"/>
        <v>SECOS</v>
      </c>
      <c r="K18" s="125">
        <f t="shared" si="23"/>
        <v>7</v>
      </c>
      <c r="L18" s="125">
        <f>IF(NOT(ISERROR(VLOOKUP(B18,Deflatores!G$42:H$64,2,FALSE))),VLOOKUP(B18,Deflatores!G$42:H$64,2,FALSE),IF(OR(ISBLANK(C18),ISBLANK(B18)),"",VLOOKUP(C18,Deflatores!G$4:H$38,2,FALSE)*H18+VLOOKUP(C18,Deflatores!G$4:I$38,3,FALSE)))</f>
        <v>0.6</v>
      </c>
      <c r="M18" s="10"/>
      <c r="N18" s="10"/>
      <c r="O18" s="130" t="s">
        <v>59</v>
      </c>
    </row>
    <row r="19" spans="1:15" ht="21.95">
      <c r="A19" s="138" t="s">
        <v>60</v>
      </c>
      <c r="B19" s="4" t="s">
        <v>44</v>
      </c>
      <c r="C19" s="4" t="s">
        <v>49</v>
      </c>
      <c r="D19" s="7">
        <v>13</v>
      </c>
      <c r="E19" s="7">
        <v>4</v>
      </c>
      <c r="F19" s="116" t="str">
        <f t="shared" si="18"/>
        <v>Alta</v>
      </c>
      <c r="G19" s="7" t="str">
        <f t="shared" si="19"/>
        <v>CEH</v>
      </c>
      <c r="H19" s="7">
        <f t="shared" si="20"/>
        <v>6</v>
      </c>
      <c r="I19" s="116" t="str">
        <f t="shared" si="21"/>
        <v>H</v>
      </c>
      <c r="J19" s="7" t="str">
        <f t="shared" si="22"/>
        <v>CEI</v>
      </c>
      <c r="K19" s="125">
        <f t="shared" si="23"/>
        <v>6</v>
      </c>
      <c r="L19" s="125">
        <f>IF(NOT(ISERROR(VLOOKUP(B19,Deflatores!G$42:H$64,2,FALSE))),VLOOKUP(B19,Deflatores!G$42:H$64,2,FALSE),IF(OR(ISBLANK(C19),ISBLANK(B19)),"",VLOOKUP(C19,Deflatores!G$4:H$38,2,FALSE)*H19+VLOOKUP(C19,Deflatores!G$4:I$38,3,FALSE)))</f>
        <v>6</v>
      </c>
      <c r="M19" s="10"/>
      <c r="N19" s="10"/>
      <c r="O19" s="131" t="s">
        <v>61</v>
      </c>
    </row>
    <row r="20" spans="1:15">
      <c r="A20" s="138" t="s">
        <v>62</v>
      </c>
      <c r="B20" s="4" t="s">
        <v>63</v>
      </c>
      <c r="C20" s="4" t="s">
        <v>49</v>
      </c>
      <c r="D20" s="7">
        <v>15</v>
      </c>
      <c r="E20" s="7">
        <v>7</v>
      </c>
      <c r="F20" s="116" t="str">
        <f t="shared" si="18"/>
        <v>Alta</v>
      </c>
      <c r="G20" s="7" t="str">
        <f t="shared" si="19"/>
        <v>EEH</v>
      </c>
      <c r="H20" s="7">
        <f t="shared" si="20"/>
        <v>6</v>
      </c>
      <c r="I20" s="116" t="str">
        <f t="shared" si="21"/>
        <v>H</v>
      </c>
      <c r="J20" s="7" t="str">
        <f t="shared" si="22"/>
        <v>EEI</v>
      </c>
      <c r="K20" s="125">
        <f t="shared" si="23"/>
        <v>6</v>
      </c>
      <c r="L20" s="125">
        <f>IF(NOT(ISERROR(VLOOKUP(B20,Deflatores!G$42:H$64,2,FALSE))),VLOOKUP(B20,Deflatores!G$42:H$64,2,FALSE),IF(OR(ISBLANK(C20),ISBLANK(B20)),"",VLOOKUP(C20,Deflatores!G$4:H$38,2,FALSE)*H20+VLOOKUP(C20,Deflatores!G$4:I$38,3,FALSE)))</f>
        <v>6</v>
      </c>
      <c r="M20" s="10"/>
      <c r="N20" s="10"/>
      <c r="O20" s="125"/>
    </row>
    <row r="21" spans="1:15">
      <c r="A21" s="139" t="s">
        <v>64</v>
      </c>
      <c r="B21" s="128" t="s">
        <v>44</v>
      </c>
      <c r="C21" s="4" t="s">
        <v>49</v>
      </c>
      <c r="D21" s="7">
        <v>3</v>
      </c>
      <c r="E21" s="7">
        <v>1</v>
      </c>
      <c r="F21" s="116" t="str">
        <f t="shared" si="18"/>
        <v>Baixa</v>
      </c>
      <c r="G21" s="7" t="str">
        <f t="shared" si="19"/>
        <v>CEL</v>
      </c>
      <c r="H21" s="7">
        <f t="shared" si="20"/>
        <v>3</v>
      </c>
      <c r="I21" s="116" t="str">
        <f t="shared" si="21"/>
        <v>L</v>
      </c>
      <c r="J21" s="7" t="str">
        <f t="shared" si="22"/>
        <v>CEI</v>
      </c>
      <c r="K21" s="125">
        <f t="shared" si="23"/>
        <v>3</v>
      </c>
      <c r="L21" s="125">
        <f>IF(NOT(ISERROR(VLOOKUP(B21,Deflatores!G$42:H$64,2,FALSE))),VLOOKUP(B21,Deflatores!G$42:H$64,2,FALSE),IF(OR(ISBLANK(C21),ISBLANK(B21)),"",VLOOKUP(C21,Deflatores!G$4:H$38,2,FALSE)*H21+VLOOKUP(C21,Deflatores!G$4:I$38,3,FALSE)))</f>
        <v>3</v>
      </c>
      <c r="M21" s="10"/>
      <c r="N21" s="10"/>
      <c r="O21" s="125"/>
    </row>
    <row r="22" spans="1:15">
      <c r="A22" s="139" t="s">
        <v>65</v>
      </c>
      <c r="B22" s="128" t="s">
        <v>44</v>
      </c>
      <c r="C22" s="4" t="s">
        <v>49</v>
      </c>
      <c r="D22" s="7">
        <v>3</v>
      </c>
      <c r="E22" s="7">
        <v>1</v>
      </c>
      <c r="F22" s="116" t="str">
        <f t="shared" si="18"/>
        <v>Baixa</v>
      </c>
      <c r="G22" s="7" t="str">
        <f t="shared" si="19"/>
        <v>CEL</v>
      </c>
      <c r="H22" s="7">
        <f t="shared" si="20"/>
        <v>3</v>
      </c>
      <c r="I22" s="116" t="str">
        <f t="shared" si="21"/>
        <v>L</v>
      </c>
      <c r="J22" s="7" t="str">
        <f t="shared" si="22"/>
        <v>CEI</v>
      </c>
      <c r="K22" s="125">
        <f t="shared" si="23"/>
        <v>3</v>
      </c>
      <c r="L22" s="125">
        <f>IF(NOT(ISERROR(VLOOKUP(B22,Deflatores!G$42:H$64,2,FALSE))),VLOOKUP(B22,Deflatores!G$42:H$64,2,FALSE),IF(OR(ISBLANK(C22),ISBLANK(B22)),"",VLOOKUP(C22,Deflatores!G$4:H$38,2,FALSE)*H22+VLOOKUP(C22,Deflatores!G$4:I$38,3,FALSE)))</f>
        <v>3</v>
      </c>
      <c r="M22" s="10"/>
      <c r="N22" s="10"/>
      <c r="O22" s="125"/>
    </row>
    <row r="23" spans="1:15">
      <c r="A23" s="139" t="s">
        <v>66</v>
      </c>
      <c r="B23" s="128" t="s">
        <v>44</v>
      </c>
      <c r="C23" s="4" t="s">
        <v>49</v>
      </c>
      <c r="D23" s="7">
        <v>3</v>
      </c>
      <c r="E23" s="7">
        <v>1</v>
      </c>
      <c r="F23" s="116" t="str">
        <f t="shared" si="18"/>
        <v>Baixa</v>
      </c>
      <c r="G23" s="7" t="str">
        <f t="shared" si="19"/>
        <v>CEL</v>
      </c>
      <c r="H23" s="7">
        <f t="shared" si="20"/>
        <v>3</v>
      </c>
      <c r="I23" s="116" t="str">
        <f t="shared" si="21"/>
        <v>L</v>
      </c>
      <c r="J23" s="7" t="str">
        <f t="shared" si="22"/>
        <v>CEI</v>
      </c>
      <c r="K23" s="125">
        <f t="shared" si="23"/>
        <v>3</v>
      </c>
      <c r="L23" s="125">
        <f>IF(NOT(ISERROR(VLOOKUP(B23,Deflatores!G$42:H$64,2,FALSE))),VLOOKUP(B23,Deflatores!G$42:H$64,2,FALSE),IF(OR(ISBLANK(C23),ISBLANK(B23)),"",VLOOKUP(C23,Deflatores!G$4:H$38,2,FALSE)*H23+VLOOKUP(C23,Deflatores!G$4:I$38,3,FALSE)))</f>
        <v>3</v>
      </c>
      <c r="M23" s="10"/>
      <c r="N23" s="10"/>
      <c r="O23" s="125"/>
    </row>
    <row r="24" spans="1:15">
      <c r="A24" s="139" t="s">
        <v>67</v>
      </c>
      <c r="B24" s="128" t="s">
        <v>44</v>
      </c>
      <c r="C24" s="4" t="s">
        <v>49</v>
      </c>
      <c r="D24" s="7">
        <v>3</v>
      </c>
      <c r="E24" s="7">
        <v>1</v>
      </c>
      <c r="F24" s="116" t="str">
        <f t="shared" si="18"/>
        <v>Baixa</v>
      </c>
      <c r="G24" s="7" t="str">
        <f t="shared" si="19"/>
        <v>CEL</v>
      </c>
      <c r="H24" s="7">
        <f t="shared" si="20"/>
        <v>3</v>
      </c>
      <c r="I24" s="116" t="str">
        <f t="shared" si="21"/>
        <v>L</v>
      </c>
      <c r="J24" s="7" t="str">
        <f t="shared" si="22"/>
        <v>CEI</v>
      </c>
      <c r="K24" s="125">
        <f t="shared" si="23"/>
        <v>3</v>
      </c>
      <c r="L24" s="125">
        <f>IF(NOT(ISERROR(VLOOKUP(B24,Deflatores!G$42:H$64,2,FALSE))),VLOOKUP(B24,Deflatores!G$42:H$64,2,FALSE),IF(OR(ISBLANK(C24),ISBLANK(B24)),"",VLOOKUP(C24,Deflatores!G$4:H$38,2,FALSE)*H24+VLOOKUP(C24,Deflatores!G$4:I$38,3,FALSE)))</f>
        <v>3</v>
      </c>
      <c r="M24" s="10"/>
      <c r="N24" s="10"/>
      <c r="O24" s="125"/>
    </row>
    <row r="25" spans="1:15">
      <c r="A25" s="138" t="s">
        <v>68</v>
      </c>
      <c r="B25" s="4" t="s">
        <v>63</v>
      </c>
      <c r="C25" s="4" t="s">
        <v>49</v>
      </c>
      <c r="D25" s="7">
        <v>15</v>
      </c>
      <c r="E25" s="7">
        <v>7</v>
      </c>
      <c r="F25" s="116" t="str">
        <f t="shared" si="18"/>
        <v>Alta</v>
      </c>
      <c r="G25" s="7" t="str">
        <f t="shared" si="19"/>
        <v>EEH</v>
      </c>
      <c r="H25" s="7">
        <f t="shared" si="20"/>
        <v>6</v>
      </c>
      <c r="I25" s="116" t="str">
        <f t="shared" si="21"/>
        <v>H</v>
      </c>
      <c r="J25" s="7" t="str">
        <f t="shared" si="22"/>
        <v>EEI</v>
      </c>
      <c r="K25" s="125">
        <f t="shared" si="23"/>
        <v>6</v>
      </c>
      <c r="L25" s="125">
        <f>IF(NOT(ISERROR(VLOOKUP(B25,Deflatores!G$42:H$64,2,FALSE))),VLOOKUP(B25,Deflatores!G$42:H$64,2,FALSE),IF(OR(ISBLANK(C25),ISBLANK(B25)),"",VLOOKUP(C25,Deflatores!G$4:H$38,2,FALSE)*H25+VLOOKUP(C25,Deflatores!G$4:I$38,3,FALSE)))</f>
        <v>6</v>
      </c>
      <c r="M25" s="10"/>
      <c r="N25" s="10"/>
      <c r="O25" s="125"/>
    </row>
    <row r="26" spans="1:15">
      <c r="A26" s="139" t="s">
        <v>69</v>
      </c>
      <c r="B26" s="128" t="s">
        <v>44</v>
      </c>
      <c r="C26" s="4" t="s">
        <v>49</v>
      </c>
      <c r="D26" s="7">
        <v>13</v>
      </c>
      <c r="E26" s="7">
        <v>7</v>
      </c>
      <c r="F26" s="116" t="str">
        <f t="shared" si="18"/>
        <v>Alta</v>
      </c>
      <c r="G26" s="7" t="str">
        <f t="shared" si="19"/>
        <v>CEH</v>
      </c>
      <c r="H26" s="7">
        <f t="shared" si="20"/>
        <v>6</v>
      </c>
      <c r="I26" s="116" t="str">
        <f t="shared" si="21"/>
        <v>H</v>
      </c>
      <c r="J26" s="7" t="str">
        <f t="shared" si="22"/>
        <v>CEI</v>
      </c>
      <c r="K26" s="125">
        <f t="shared" si="23"/>
        <v>6</v>
      </c>
      <c r="L26" s="125">
        <f>IF(NOT(ISERROR(VLOOKUP(B26,Deflatores!G$42:H$64,2,FALSE))),VLOOKUP(B26,Deflatores!G$42:H$64,2,FALSE),IF(OR(ISBLANK(C26),ISBLANK(B26)),"",VLOOKUP(C26,Deflatores!G$4:H$38,2,FALSE)*H26+VLOOKUP(C26,Deflatores!G$4:I$38,3,FALSE)))</f>
        <v>6</v>
      </c>
      <c r="M26" s="10"/>
      <c r="N26" s="10"/>
      <c r="O26" s="125"/>
    </row>
    <row r="27" spans="1:15">
      <c r="A27" s="138" t="s">
        <v>70</v>
      </c>
      <c r="B27" s="128" t="s">
        <v>44</v>
      </c>
      <c r="C27" s="4" t="s">
        <v>49</v>
      </c>
      <c r="D27" s="7">
        <v>15</v>
      </c>
      <c r="E27" s="7">
        <v>7</v>
      </c>
      <c r="F27" s="116" t="str">
        <f t="shared" si="18"/>
        <v>Alta</v>
      </c>
      <c r="G27" s="7" t="str">
        <f t="shared" si="19"/>
        <v>CEH</v>
      </c>
      <c r="H27" s="7">
        <f t="shared" si="20"/>
        <v>6</v>
      </c>
      <c r="I27" s="116" t="str">
        <f t="shared" si="21"/>
        <v>H</v>
      </c>
      <c r="J27" s="7" t="str">
        <f t="shared" si="22"/>
        <v>CEI</v>
      </c>
      <c r="K27" s="125">
        <f t="shared" si="23"/>
        <v>6</v>
      </c>
      <c r="L27" s="125">
        <f>IF(NOT(ISERROR(VLOOKUP(B27,Deflatores!G$42:H$64,2,FALSE))),VLOOKUP(B27,Deflatores!G$42:H$64,2,FALSE),IF(OR(ISBLANK(C27),ISBLANK(B27)),"",VLOOKUP(C27,Deflatores!G$4:H$38,2,FALSE)*H27+VLOOKUP(C27,Deflatores!G$4:I$38,3,FALSE)))</f>
        <v>6</v>
      </c>
      <c r="M27" s="10"/>
      <c r="N27" s="10"/>
      <c r="O27" s="125"/>
    </row>
    <row r="28" spans="1:15">
      <c r="A28" s="138" t="s">
        <v>71</v>
      </c>
      <c r="B28" s="4" t="s">
        <v>63</v>
      </c>
      <c r="C28" s="4" t="s">
        <v>49</v>
      </c>
      <c r="D28" s="7">
        <v>3</v>
      </c>
      <c r="E28" s="7">
        <v>2</v>
      </c>
      <c r="F28" s="116" t="str">
        <f t="shared" si="18"/>
        <v>Baixa</v>
      </c>
      <c r="G28" s="7" t="str">
        <f t="shared" si="19"/>
        <v>EEL</v>
      </c>
      <c r="H28" s="7">
        <f t="shared" si="20"/>
        <v>3</v>
      </c>
      <c r="I28" s="116" t="str">
        <f t="shared" si="21"/>
        <v>L</v>
      </c>
      <c r="J28" s="7" t="str">
        <f t="shared" si="22"/>
        <v>EEI</v>
      </c>
      <c r="K28" s="125">
        <f t="shared" si="23"/>
        <v>3</v>
      </c>
      <c r="L28" s="125">
        <f>IF(NOT(ISERROR(VLOOKUP(B28,Deflatores!G$42:H$64,2,FALSE))),VLOOKUP(B28,Deflatores!G$42:H$64,2,FALSE),IF(OR(ISBLANK(C28),ISBLANK(B28)),"",VLOOKUP(C28,Deflatores!G$4:H$38,2,FALSE)*H28+VLOOKUP(C28,Deflatores!G$4:I$38,3,FALSE)))</f>
        <v>3</v>
      </c>
      <c r="M28" s="10"/>
      <c r="N28" s="10"/>
      <c r="O28" s="125"/>
    </row>
    <row r="29" spans="1:15">
      <c r="A29" s="138"/>
      <c r="B29" s="4"/>
      <c r="C29" s="4"/>
      <c r="D29" s="7"/>
      <c r="E29" s="7"/>
      <c r="F29" s="116" t="str">
        <f t="shared" si="18"/>
        <v/>
      </c>
      <c r="G29" s="7" t="str">
        <f t="shared" si="19"/>
        <v/>
      </c>
      <c r="H29" s="7" t="str">
        <f t="shared" si="20"/>
        <v/>
      </c>
      <c r="I29" s="116" t="str">
        <f t="shared" si="21"/>
        <v/>
      </c>
      <c r="J29" s="7" t="str">
        <f t="shared" si="22"/>
        <v/>
      </c>
      <c r="K29" s="125" t="str">
        <f t="shared" si="23"/>
        <v/>
      </c>
      <c r="L29" s="125" t="str">
        <f>IF(NOT(ISERROR(VLOOKUP(B29,Deflatores!G$42:H$64,2,FALSE))),VLOOKUP(B29,Deflatores!G$42:H$64,2,FALSE),IF(OR(ISBLANK(C29),ISBLANK(B29)),"",VLOOKUP(C29,Deflatores!G$4:H$38,2,FALSE)*H29+VLOOKUP(C29,Deflatores!G$4:I$38,3,FALSE)))</f>
        <v/>
      </c>
      <c r="M29" s="10"/>
      <c r="N29" s="10"/>
      <c r="O29" s="125"/>
    </row>
    <row r="30" spans="1:15">
      <c r="A30" s="137" t="s">
        <v>72</v>
      </c>
      <c r="B30" s="4"/>
      <c r="C30" s="4"/>
      <c r="D30" s="7"/>
      <c r="E30" s="7"/>
      <c r="F30" s="116" t="str">
        <f t="shared" si="18"/>
        <v/>
      </c>
      <c r="G30" s="7" t="str">
        <f t="shared" si="19"/>
        <v/>
      </c>
      <c r="H30" s="7" t="str">
        <f t="shared" si="20"/>
        <v/>
      </c>
      <c r="I30" s="116" t="str">
        <f t="shared" si="21"/>
        <v/>
      </c>
      <c r="J30" s="7" t="str">
        <f t="shared" si="22"/>
        <v/>
      </c>
      <c r="K30" s="125" t="str">
        <f t="shared" si="23"/>
        <v/>
      </c>
      <c r="L30" s="125" t="str">
        <f>IF(NOT(ISERROR(VLOOKUP(B30,Deflatores!G$42:H$64,2,FALSE))),VLOOKUP(B30,Deflatores!G$42:H$64,2,FALSE),IF(OR(ISBLANK(C30),ISBLANK(B30)),"",VLOOKUP(C30,Deflatores!G$4:H$38,2,FALSE)*H30+VLOOKUP(C30,Deflatores!G$4:I$38,3,FALSE)))</f>
        <v/>
      </c>
      <c r="M30" s="10"/>
      <c r="N30" s="10"/>
      <c r="O30" s="130"/>
    </row>
    <row r="31" spans="1:15" ht="24.6" customHeight="1">
      <c r="A31" s="138" t="s">
        <v>73</v>
      </c>
      <c r="B31" s="4" t="s">
        <v>63</v>
      </c>
      <c r="C31" s="4" t="s">
        <v>56</v>
      </c>
      <c r="D31" s="7">
        <v>12</v>
      </c>
      <c r="E31" s="7">
        <v>2</v>
      </c>
      <c r="F31" s="116" t="str">
        <f t="shared" si="18"/>
        <v>Média</v>
      </c>
      <c r="G31" s="7" t="str">
        <f t="shared" si="19"/>
        <v>EEA</v>
      </c>
      <c r="H31" s="7">
        <f t="shared" si="20"/>
        <v>4</v>
      </c>
      <c r="I31" s="116" t="str">
        <f t="shared" si="21"/>
        <v>A</v>
      </c>
      <c r="J31" s="7" t="str">
        <f t="shared" si="22"/>
        <v>EEA50</v>
      </c>
      <c r="K31" s="125">
        <f t="shared" si="23"/>
        <v>4</v>
      </c>
      <c r="L31" s="125">
        <f>IF(NOT(ISERROR(VLOOKUP(B31,Deflatores!G$42:H$64,2,FALSE))),VLOOKUP(B31,Deflatores!G$42:H$64,2,FALSE),IF(OR(ISBLANK(C31),ISBLANK(B31)),"",VLOOKUP(C31,Deflatores!G$4:H$38,2,FALSE)*H31+VLOOKUP(C31,Deflatores!G$4:I$38,3,FALSE)))</f>
        <v>2</v>
      </c>
      <c r="M31" s="10"/>
      <c r="N31" s="10"/>
      <c r="O31" s="125"/>
    </row>
    <row r="32" spans="1:15">
      <c r="A32" s="138" t="s">
        <v>74</v>
      </c>
      <c r="B32" s="4" t="s">
        <v>63</v>
      </c>
      <c r="C32" s="4" t="s">
        <v>56</v>
      </c>
      <c r="D32" s="7">
        <v>12</v>
      </c>
      <c r="E32" s="7">
        <v>2</v>
      </c>
      <c r="F32" s="116" t="str">
        <f t="shared" si="18"/>
        <v>Média</v>
      </c>
      <c r="G32" s="7" t="str">
        <f t="shared" si="19"/>
        <v>EEA</v>
      </c>
      <c r="H32" s="7">
        <f t="shared" si="20"/>
        <v>4</v>
      </c>
      <c r="I32" s="116" t="str">
        <f t="shared" si="21"/>
        <v>A</v>
      </c>
      <c r="J32" s="7" t="str">
        <f t="shared" si="22"/>
        <v>EEA50</v>
      </c>
      <c r="K32" s="125">
        <f t="shared" si="23"/>
        <v>4</v>
      </c>
      <c r="L32" s="125">
        <f>IF(NOT(ISERROR(VLOOKUP(B32,Deflatores!G$42:H$64,2,FALSE))),VLOOKUP(B32,Deflatores!G$42:H$64,2,FALSE),IF(OR(ISBLANK(C32),ISBLANK(B32)),"",VLOOKUP(C32,Deflatores!G$4:H$38,2,FALSE)*H32+VLOOKUP(C32,Deflatores!G$4:I$38,3,FALSE)))</f>
        <v>2</v>
      </c>
      <c r="M32" s="10"/>
      <c r="N32" s="10"/>
      <c r="O32" s="125"/>
    </row>
    <row r="33" spans="1:15">
      <c r="A33" s="139" t="s">
        <v>75</v>
      </c>
      <c r="B33" s="4" t="s">
        <v>44</v>
      </c>
      <c r="C33" s="4" t="s">
        <v>56</v>
      </c>
      <c r="D33" s="7">
        <v>10</v>
      </c>
      <c r="E33" s="7">
        <v>1</v>
      </c>
      <c r="F33" s="116" t="str">
        <f t="shared" si="18"/>
        <v>Baixa</v>
      </c>
      <c r="G33" s="7" t="str">
        <f t="shared" si="19"/>
        <v>CEL</v>
      </c>
      <c r="H33" s="7">
        <f t="shared" si="20"/>
        <v>3</v>
      </c>
      <c r="I33" s="116" t="str">
        <f t="shared" si="21"/>
        <v>L</v>
      </c>
      <c r="J33" s="7" t="str">
        <f t="shared" si="22"/>
        <v>CEA50</v>
      </c>
      <c r="K33" s="125">
        <f t="shared" si="23"/>
        <v>3</v>
      </c>
      <c r="L33" s="125">
        <f>IF(NOT(ISERROR(VLOOKUP(B33,Deflatores!G$42:H$64,2,FALSE))),VLOOKUP(B33,Deflatores!G$42:H$64,2,FALSE),IF(OR(ISBLANK(C33),ISBLANK(B33)),"",VLOOKUP(C33,Deflatores!G$4:H$38,2,FALSE)*H33+VLOOKUP(C33,Deflatores!G$4:I$38,3,FALSE)))</f>
        <v>1.5</v>
      </c>
      <c r="M33" s="10"/>
      <c r="N33" s="10"/>
      <c r="O33" s="125"/>
    </row>
    <row r="34" spans="1:15">
      <c r="A34" s="138" t="s">
        <v>76</v>
      </c>
      <c r="B34" s="4" t="s">
        <v>44</v>
      </c>
      <c r="C34" s="4" t="s">
        <v>56</v>
      </c>
      <c r="D34" s="7">
        <v>12</v>
      </c>
      <c r="E34" s="7">
        <v>1</v>
      </c>
      <c r="F34" s="116" t="str">
        <f t="shared" si="18"/>
        <v>Baixa</v>
      </c>
      <c r="G34" s="7" t="str">
        <f t="shared" si="19"/>
        <v>CEL</v>
      </c>
      <c r="H34" s="7">
        <f t="shared" si="20"/>
        <v>3</v>
      </c>
      <c r="I34" s="116" t="str">
        <f t="shared" si="21"/>
        <v>L</v>
      </c>
      <c r="J34" s="7" t="str">
        <f t="shared" si="22"/>
        <v>CEA50</v>
      </c>
      <c r="K34" s="125">
        <f t="shared" si="23"/>
        <v>3</v>
      </c>
      <c r="L34" s="125">
        <f>IF(NOT(ISERROR(VLOOKUP(B34,Deflatores!G$42:H$64,2,FALSE))),VLOOKUP(B34,Deflatores!G$42:H$64,2,FALSE),IF(OR(ISBLANK(C34),ISBLANK(B34)),"",VLOOKUP(C34,Deflatores!G$4:H$38,2,FALSE)*H34+VLOOKUP(C34,Deflatores!G$4:I$38,3,FALSE)))</f>
        <v>1.5</v>
      </c>
      <c r="M34" s="10"/>
      <c r="N34" s="10"/>
      <c r="O34" s="125"/>
    </row>
    <row r="35" spans="1:15">
      <c r="A35" s="138" t="s">
        <v>77</v>
      </c>
      <c r="B35" s="4" t="s">
        <v>44</v>
      </c>
      <c r="C35" s="4" t="s">
        <v>56</v>
      </c>
      <c r="D35" s="7">
        <v>3</v>
      </c>
      <c r="E35" s="7">
        <v>2</v>
      </c>
      <c r="F35" s="116" t="str">
        <f t="shared" si="18"/>
        <v>Baixa</v>
      </c>
      <c r="G35" s="7" t="str">
        <f t="shared" si="19"/>
        <v>CEL</v>
      </c>
      <c r="H35" s="7">
        <f t="shared" si="20"/>
        <v>3</v>
      </c>
      <c r="I35" s="116" t="str">
        <f t="shared" si="21"/>
        <v>L</v>
      </c>
      <c r="J35" s="7" t="str">
        <f t="shared" si="22"/>
        <v>CEA50</v>
      </c>
      <c r="K35" s="125">
        <f t="shared" si="23"/>
        <v>3</v>
      </c>
      <c r="L35" s="125">
        <f>IF(NOT(ISERROR(VLOOKUP(B35,Deflatores!G$42:H$64,2,FALSE))),VLOOKUP(B35,Deflatores!G$42:H$64,2,FALSE),IF(OR(ISBLANK(C35),ISBLANK(B35)),"",VLOOKUP(C35,Deflatores!G$4:H$38,2,FALSE)*H35+VLOOKUP(C35,Deflatores!G$4:I$38,3,FALSE)))</f>
        <v>1.5</v>
      </c>
      <c r="M35" s="10"/>
      <c r="N35" s="10"/>
      <c r="O35" s="125"/>
    </row>
    <row r="36" spans="1:15">
      <c r="A36" s="138" t="s">
        <v>78</v>
      </c>
      <c r="B36" s="4" t="s">
        <v>58</v>
      </c>
      <c r="C36" s="4" t="s">
        <v>49</v>
      </c>
      <c r="D36" s="7">
        <v>5</v>
      </c>
      <c r="E36" s="7">
        <v>1</v>
      </c>
      <c r="F36" s="116" t="str">
        <f t="shared" si="18"/>
        <v>Baixa</v>
      </c>
      <c r="G36" s="7" t="str">
        <f t="shared" si="19"/>
        <v>SEL</v>
      </c>
      <c r="H36" s="7">
        <f t="shared" si="20"/>
        <v>4</v>
      </c>
      <c r="I36" s="116" t="str">
        <f t="shared" si="21"/>
        <v>L</v>
      </c>
      <c r="J36" s="7" t="str">
        <f t="shared" si="22"/>
        <v>SEI</v>
      </c>
      <c r="K36" s="125">
        <f t="shared" si="23"/>
        <v>4</v>
      </c>
      <c r="L36" s="125">
        <f>IF(NOT(ISERROR(VLOOKUP(B36,Deflatores!G$42:H$64,2,FALSE))),VLOOKUP(B36,Deflatores!G$42:H$64,2,FALSE),IF(OR(ISBLANK(C36),ISBLANK(B36)),"",VLOOKUP(C36,Deflatores!G$4:H$38,2,FALSE)*H36+VLOOKUP(C36,Deflatores!G$4:I$38,3,FALSE)))</f>
        <v>4</v>
      </c>
      <c r="M36" s="10"/>
      <c r="N36" s="10"/>
      <c r="O36" s="130" t="s">
        <v>79</v>
      </c>
    </row>
    <row r="37" spans="1:15">
      <c r="A37" s="139" t="s">
        <v>80</v>
      </c>
      <c r="B37" s="4" t="s">
        <v>58</v>
      </c>
      <c r="C37" s="4" t="s">
        <v>56</v>
      </c>
      <c r="D37" s="7">
        <v>17</v>
      </c>
      <c r="E37" s="7">
        <v>1</v>
      </c>
      <c r="F37" s="116" t="str">
        <f t="shared" si="18"/>
        <v>Baixa</v>
      </c>
      <c r="G37" s="7" t="str">
        <f t="shared" si="19"/>
        <v>SEL</v>
      </c>
      <c r="H37" s="7">
        <f t="shared" si="20"/>
        <v>4</v>
      </c>
      <c r="I37" s="116" t="str">
        <f t="shared" si="21"/>
        <v>L</v>
      </c>
      <c r="J37" s="7" t="str">
        <f t="shared" si="22"/>
        <v>SEA50</v>
      </c>
      <c r="K37" s="125">
        <f t="shared" si="23"/>
        <v>4</v>
      </c>
      <c r="L37" s="125">
        <f>IF(NOT(ISERROR(VLOOKUP(B37,Deflatores!G$42:H$64,2,FALSE))),VLOOKUP(B37,Deflatores!G$42:H$64,2,FALSE),IF(OR(ISBLANK(C37),ISBLANK(B37)),"",VLOOKUP(C37,Deflatores!G$4:H$38,2,FALSE)*H37+VLOOKUP(C37,Deflatores!G$4:I$38,3,FALSE)))</f>
        <v>2</v>
      </c>
      <c r="M37" s="10"/>
      <c r="N37" s="10"/>
      <c r="O37" s="130" t="s">
        <v>81</v>
      </c>
    </row>
    <row r="38" spans="1:15" ht="13.5" customHeight="1">
      <c r="A38" s="138" t="s">
        <v>82</v>
      </c>
      <c r="B38" s="4" t="s">
        <v>63</v>
      </c>
      <c r="C38" s="4" t="s">
        <v>56</v>
      </c>
      <c r="D38" s="7">
        <v>8</v>
      </c>
      <c r="E38" s="7">
        <v>2</v>
      </c>
      <c r="F38" s="116" t="str">
        <f t="shared" si="18"/>
        <v>Média</v>
      </c>
      <c r="G38" s="7" t="str">
        <f t="shared" si="19"/>
        <v>EEA</v>
      </c>
      <c r="H38" s="7">
        <f t="shared" si="20"/>
        <v>4</v>
      </c>
      <c r="I38" s="116" t="str">
        <f t="shared" si="21"/>
        <v>A</v>
      </c>
      <c r="J38" s="7" t="str">
        <f t="shared" si="22"/>
        <v>EEA50</v>
      </c>
      <c r="K38" s="125">
        <f t="shared" si="23"/>
        <v>4</v>
      </c>
      <c r="L38" s="125">
        <f>IF(NOT(ISERROR(VLOOKUP(B38,Deflatores!G$42:H$64,2,FALSE))),VLOOKUP(B38,Deflatores!G$42:H$64,2,FALSE),IF(OR(ISBLANK(C38),ISBLANK(B38)),"",VLOOKUP(C38,Deflatores!G$4:H$38,2,FALSE)*H38+VLOOKUP(C38,Deflatores!G$4:I$38,3,FALSE)))</f>
        <v>2</v>
      </c>
      <c r="M38" s="10"/>
      <c r="N38" s="10"/>
      <c r="O38" s="125"/>
    </row>
    <row r="39" spans="1:15">
      <c r="A39" s="138" t="s">
        <v>83</v>
      </c>
      <c r="B39" s="128" t="s">
        <v>44</v>
      </c>
      <c r="C39" s="4" t="s">
        <v>56</v>
      </c>
      <c r="D39" s="7">
        <v>8</v>
      </c>
      <c r="E39" s="7">
        <v>1</v>
      </c>
      <c r="F39" s="116" t="str">
        <f t="shared" si="18"/>
        <v>Baixa</v>
      </c>
      <c r="G39" s="7" t="str">
        <f t="shared" si="19"/>
        <v>CEL</v>
      </c>
      <c r="H39" s="7">
        <f t="shared" si="20"/>
        <v>3</v>
      </c>
      <c r="I39" s="116" t="str">
        <f t="shared" si="21"/>
        <v>L</v>
      </c>
      <c r="J39" s="7" t="str">
        <f t="shared" si="22"/>
        <v>CEA50</v>
      </c>
      <c r="K39" s="125">
        <f t="shared" si="23"/>
        <v>3</v>
      </c>
      <c r="L39" s="125">
        <f>IF(NOT(ISERROR(VLOOKUP(B39,Deflatores!G$42:H$64,2,FALSE))),VLOOKUP(B39,Deflatores!G$42:H$64,2,FALSE),IF(OR(ISBLANK(C39),ISBLANK(B39)),"",VLOOKUP(C39,Deflatores!G$4:H$38,2,FALSE)*H39+VLOOKUP(C39,Deflatores!G$4:I$38,3,FALSE)))</f>
        <v>1.5</v>
      </c>
      <c r="M39" s="10"/>
      <c r="N39" s="10"/>
      <c r="O39" s="125"/>
    </row>
    <row r="40" spans="1:15">
      <c r="A40" s="138" t="s">
        <v>84</v>
      </c>
      <c r="B40" s="4" t="s">
        <v>63</v>
      </c>
      <c r="C40" s="4" t="s">
        <v>56</v>
      </c>
      <c r="D40" s="7">
        <v>8</v>
      </c>
      <c r="E40" s="7">
        <v>2</v>
      </c>
      <c r="F40" s="116" t="str">
        <f t="shared" ref="F40:F90" si="24">IF(ISBLANK(B40),"",IF(I40="L","Baixa",IF(I40="A","Média",IF(I40="","","Alta"))))</f>
        <v>Média</v>
      </c>
      <c r="G40" s="7" t="str">
        <f t="shared" ref="G40:G90" si="25">CONCATENATE(B40,I40)</f>
        <v>EEA</v>
      </c>
      <c r="H40" s="7">
        <f t="shared" ref="H40:H90" si="26">IF(ISBLANK(B40),"",IF(B40="ALI",IF(I40="L",7,IF(I40="A",10,15)),IF(B40="AIE",IF(I40="L",5,IF(I40="A",7,10)),IF(B40="SE",IF(I40="L",4,IF(I40="A",5,7)),IF(OR(B40="EE",B40="CE"),IF(I40="L",3,IF(I40="A",4,6)),0)))))</f>
        <v>4</v>
      </c>
      <c r="I40" s="116" t="str">
        <f t="shared" ref="I40:I90" si="27">IF(OR(ISBLANK(D40),ISBLANK(E40)),IF(OR(B40="ALI",B40="AIE"),"L",IF(OR(B40="EE",B40="SE",B40="CE"),"A","")),IF(B40="EE",IF(E40&gt;=3,IF(D40&gt;=5,"H","A"),IF(E40&gt;=2,IF(D40&gt;=16,"H",IF(D40&lt;=4,"L","A")),IF(D40&lt;=15,"L","A"))),IF(OR(B40="SE",B40="CE"),IF(E40&gt;=4,IF(D40&gt;=6,"H","A"),IF(E40&gt;=2,IF(D40&gt;=20,"H",IF(D40&lt;=5,"L","A")),IF(D40&lt;=19,"L","A"))),IF(OR(B40="ALI",B40="AIE"),IF(E40&gt;=6,IF(D40&gt;=20,"H","A"),IF(E40&gt;=2,IF(D40&gt;=51,"H",IF(D40&lt;=19,"L","A")),IF(D40&lt;=50,"L","A"))),""))))</f>
        <v>A</v>
      </c>
      <c r="J40" s="7" t="str">
        <f t="shared" ref="J40:J90" si="28">CONCATENATE(B40,C40)</f>
        <v>EEA50</v>
      </c>
      <c r="K40" s="125">
        <f t="shared" ref="K40:K90" si="29">IF(OR(H40="",H40=0),L40,H40)</f>
        <v>4</v>
      </c>
      <c r="L40" s="125">
        <f>IF(NOT(ISERROR(VLOOKUP(B40,Deflatores!G$42:H$64,2,FALSE))),VLOOKUP(B40,Deflatores!G$42:H$64,2,FALSE),IF(OR(ISBLANK(C40),ISBLANK(B40)),"",VLOOKUP(C40,Deflatores!G$4:H$38,2,FALSE)*H40+VLOOKUP(C40,Deflatores!G$4:I$38,3,FALSE)))</f>
        <v>2</v>
      </c>
      <c r="M40" s="10"/>
      <c r="N40" s="10"/>
      <c r="O40" s="125"/>
    </row>
    <row r="41" spans="1:15">
      <c r="A41" s="139" t="s">
        <v>85</v>
      </c>
      <c r="B41" s="4" t="s">
        <v>44</v>
      </c>
      <c r="C41" s="4" t="s">
        <v>56</v>
      </c>
      <c r="D41" s="7">
        <v>8</v>
      </c>
      <c r="E41" s="7">
        <v>3</v>
      </c>
      <c r="F41" s="116" t="str">
        <f t="shared" si="24"/>
        <v>Média</v>
      </c>
      <c r="G41" s="7" t="str">
        <f t="shared" si="25"/>
        <v>CEA</v>
      </c>
      <c r="H41" s="7">
        <f t="shared" si="26"/>
        <v>4</v>
      </c>
      <c r="I41" s="116" t="str">
        <f t="shared" si="27"/>
        <v>A</v>
      </c>
      <c r="J41" s="7" t="str">
        <f t="shared" si="28"/>
        <v>CEA50</v>
      </c>
      <c r="K41" s="125">
        <f t="shared" si="29"/>
        <v>4</v>
      </c>
      <c r="L41" s="125">
        <f>IF(NOT(ISERROR(VLOOKUP(B41,Deflatores!G$42:H$64,2,FALSE))),VLOOKUP(B41,Deflatores!G$42:H$64,2,FALSE),IF(OR(ISBLANK(C41),ISBLANK(B41)),"",VLOOKUP(C41,Deflatores!G$4:H$38,2,FALSE)*H41+VLOOKUP(C41,Deflatores!G$4:I$38,3,FALSE)))</f>
        <v>2</v>
      </c>
      <c r="M41" s="10"/>
      <c r="N41" s="10"/>
      <c r="O41" s="125"/>
    </row>
    <row r="42" spans="1:15">
      <c r="A42" s="138" t="s">
        <v>86</v>
      </c>
      <c r="B42" s="4" t="s">
        <v>44</v>
      </c>
      <c r="C42" s="4" t="s">
        <v>56</v>
      </c>
      <c r="D42" s="7">
        <v>10</v>
      </c>
      <c r="E42" s="7">
        <v>3</v>
      </c>
      <c r="F42" s="116" t="str">
        <f t="shared" si="24"/>
        <v>Média</v>
      </c>
      <c r="G42" s="7" t="str">
        <f t="shared" si="25"/>
        <v>CEA</v>
      </c>
      <c r="H42" s="7">
        <f t="shared" si="26"/>
        <v>4</v>
      </c>
      <c r="I42" s="116" t="str">
        <f t="shared" si="27"/>
        <v>A</v>
      </c>
      <c r="J42" s="7" t="str">
        <f t="shared" si="28"/>
        <v>CEA50</v>
      </c>
      <c r="K42" s="125">
        <f t="shared" si="29"/>
        <v>4</v>
      </c>
      <c r="L42" s="125">
        <f>IF(NOT(ISERROR(VLOOKUP(B42,Deflatores!G$42:H$64,2,FALSE))),VLOOKUP(B42,Deflatores!G$42:H$64,2,FALSE),IF(OR(ISBLANK(C42),ISBLANK(B42)),"",VLOOKUP(C42,Deflatores!G$4:H$38,2,FALSE)*H42+VLOOKUP(C42,Deflatores!G$4:I$38,3,FALSE)))</f>
        <v>2</v>
      </c>
      <c r="M42" s="10"/>
      <c r="N42" s="10"/>
      <c r="O42" s="125"/>
    </row>
    <row r="43" spans="1:15">
      <c r="A43" s="138" t="s">
        <v>87</v>
      </c>
      <c r="B43" s="4" t="s">
        <v>63</v>
      </c>
      <c r="C43" s="4" t="s">
        <v>56</v>
      </c>
      <c r="D43" s="7">
        <v>3</v>
      </c>
      <c r="E43" s="7">
        <v>2</v>
      </c>
      <c r="F43" s="116" t="str">
        <f t="shared" si="24"/>
        <v>Baixa</v>
      </c>
      <c r="G43" s="7" t="str">
        <f t="shared" si="25"/>
        <v>EEL</v>
      </c>
      <c r="H43" s="7">
        <f t="shared" si="26"/>
        <v>3</v>
      </c>
      <c r="I43" s="116" t="str">
        <f t="shared" si="27"/>
        <v>L</v>
      </c>
      <c r="J43" s="7" t="str">
        <f t="shared" si="28"/>
        <v>EEA50</v>
      </c>
      <c r="K43" s="125">
        <f t="shared" si="29"/>
        <v>3</v>
      </c>
      <c r="L43" s="125">
        <f>IF(NOT(ISERROR(VLOOKUP(B43,Deflatores!G$42:H$64,2,FALSE))),VLOOKUP(B43,Deflatores!G$42:H$64,2,FALSE),IF(OR(ISBLANK(C43),ISBLANK(B43)),"",VLOOKUP(C43,Deflatores!G$4:H$38,2,FALSE)*H43+VLOOKUP(C43,Deflatores!G$4:I$38,3,FALSE)))</f>
        <v>1.5</v>
      </c>
      <c r="M43" s="10"/>
      <c r="N43" s="10"/>
      <c r="O43" s="125"/>
    </row>
    <row r="44" spans="1:15">
      <c r="A44" s="138" t="s">
        <v>88</v>
      </c>
      <c r="B44" s="4" t="s">
        <v>63</v>
      </c>
      <c r="C44" s="4" t="s">
        <v>49</v>
      </c>
      <c r="D44" s="7">
        <v>8</v>
      </c>
      <c r="E44" s="7">
        <v>2</v>
      </c>
      <c r="F44" s="116" t="str">
        <f t="shared" si="24"/>
        <v>Média</v>
      </c>
      <c r="G44" s="7" t="str">
        <f t="shared" si="25"/>
        <v>EEA</v>
      </c>
      <c r="H44" s="7">
        <f t="shared" si="26"/>
        <v>4</v>
      </c>
      <c r="I44" s="116" t="str">
        <f t="shared" si="27"/>
        <v>A</v>
      </c>
      <c r="J44" s="7" t="str">
        <f t="shared" si="28"/>
        <v>EEI</v>
      </c>
      <c r="K44" s="125">
        <f t="shared" si="29"/>
        <v>4</v>
      </c>
      <c r="L44" s="125">
        <f>IF(NOT(ISERROR(VLOOKUP(B44,Deflatores!G$42:H$64,2,FALSE))),VLOOKUP(B44,Deflatores!G$42:H$64,2,FALSE),IF(OR(ISBLANK(C44),ISBLANK(B44)),"",VLOOKUP(C44,Deflatores!G$4:H$38,2,FALSE)*H44+VLOOKUP(C44,Deflatores!G$4:I$38,3,FALSE)))</f>
        <v>4</v>
      </c>
      <c r="M44" s="10"/>
      <c r="N44" s="10"/>
      <c r="O44" s="125"/>
    </row>
    <row r="45" spans="1:15">
      <c r="A45" s="138" t="s">
        <v>89</v>
      </c>
      <c r="B45" s="4" t="s">
        <v>63</v>
      </c>
      <c r="C45" s="4" t="s">
        <v>49</v>
      </c>
      <c r="D45" s="7">
        <v>8</v>
      </c>
      <c r="E45" s="7">
        <v>2</v>
      </c>
      <c r="F45" s="116" t="str">
        <f t="shared" si="24"/>
        <v>Média</v>
      </c>
      <c r="G45" s="7" t="str">
        <f t="shared" si="25"/>
        <v>EEA</v>
      </c>
      <c r="H45" s="7">
        <f t="shared" si="26"/>
        <v>4</v>
      </c>
      <c r="I45" s="116" t="str">
        <f t="shared" si="27"/>
        <v>A</v>
      </c>
      <c r="J45" s="7" t="str">
        <f t="shared" si="28"/>
        <v>EEI</v>
      </c>
      <c r="K45" s="125">
        <f t="shared" si="29"/>
        <v>4</v>
      </c>
      <c r="L45" s="125">
        <f>IF(NOT(ISERROR(VLOOKUP(B45,Deflatores!G$42:H$64,2,FALSE))),VLOOKUP(B45,Deflatores!G$42:H$64,2,FALSE),IF(OR(ISBLANK(C45),ISBLANK(B45)),"",VLOOKUP(C45,Deflatores!G$4:H$38,2,FALSE)*H45+VLOOKUP(C45,Deflatores!G$4:I$38,3,FALSE)))</f>
        <v>4</v>
      </c>
      <c r="M45" s="10"/>
      <c r="N45" s="10"/>
      <c r="O45" s="125"/>
    </row>
    <row r="46" spans="1:15">
      <c r="A46" s="139" t="s">
        <v>90</v>
      </c>
      <c r="B46" s="4" t="s">
        <v>58</v>
      </c>
      <c r="C46" s="4" t="s">
        <v>49</v>
      </c>
      <c r="D46" s="7">
        <v>6</v>
      </c>
      <c r="E46" s="7">
        <v>1</v>
      </c>
      <c r="F46" s="116" t="str">
        <f t="shared" si="24"/>
        <v>Baixa</v>
      </c>
      <c r="G46" s="7" t="str">
        <f t="shared" si="25"/>
        <v>SEL</v>
      </c>
      <c r="H46" s="7">
        <f t="shared" si="26"/>
        <v>4</v>
      </c>
      <c r="I46" s="116" t="str">
        <f t="shared" si="27"/>
        <v>L</v>
      </c>
      <c r="J46" s="7" t="str">
        <f t="shared" si="28"/>
        <v>SEI</v>
      </c>
      <c r="K46" s="125">
        <f t="shared" si="29"/>
        <v>4</v>
      </c>
      <c r="L46" s="125">
        <f>IF(NOT(ISERROR(VLOOKUP(B46,Deflatores!G$42:H$64,2,FALSE))),VLOOKUP(B46,Deflatores!G$42:H$64,2,FALSE),IF(OR(ISBLANK(C46),ISBLANK(B46)),"",VLOOKUP(C46,Deflatores!G$4:H$38,2,FALSE)*H46+VLOOKUP(C46,Deflatores!G$4:I$38,3,FALSE)))</f>
        <v>4</v>
      </c>
      <c r="M46" s="10"/>
      <c r="N46" s="10"/>
      <c r="O46" s="130" t="s">
        <v>91</v>
      </c>
    </row>
    <row r="47" spans="1:15">
      <c r="A47" s="138" t="s">
        <v>92</v>
      </c>
      <c r="B47" s="4" t="s">
        <v>58</v>
      </c>
      <c r="C47" s="4" t="s">
        <v>49</v>
      </c>
      <c r="D47" s="7">
        <v>8</v>
      </c>
      <c r="E47" s="7">
        <v>1</v>
      </c>
      <c r="F47" s="116" t="str">
        <f t="shared" si="24"/>
        <v>Baixa</v>
      </c>
      <c r="G47" s="7" t="str">
        <f t="shared" si="25"/>
        <v>SEL</v>
      </c>
      <c r="H47" s="7">
        <f t="shared" si="26"/>
        <v>4</v>
      </c>
      <c r="I47" s="116" t="str">
        <f t="shared" si="27"/>
        <v>L</v>
      </c>
      <c r="J47" s="7" t="str">
        <f t="shared" si="28"/>
        <v>SEI</v>
      </c>
      <c r="K47" s="125">
        <f t="shared" si="29"/>
        <v>4</v>
      </c>
      <c r="L47" s="125">
        <f>IF(NOT(ISERROR(VLOOKUP(B47,Deflatores!G$42:H$64,2,FALSE))),VLOOKUP(B47,Deflatores!G$42:H$64,2,FALSE),IF(OR(ISBLANK(C47),ISBLANK(B47)),"",VLOOKUP(C47,Deflatores!G$4:H$38,2,FALSE)*H47+VLOOKUP(C47,Deflatores!G$4:I$38,3,FALSE)))</f>
        <v>4</v>
      </c>
      <c r="M47" s="10"/>
      <c r="N47" s="10"/>
      <c r="O47" s="125"/>
    </row>
    <row r="48" spans="1:15">
      <c r="A48" s="138" t="s">
        <v>93</v>
      </c>
      <c r="B48" s="4" t="s">
        <v>63</v>
      </c>
      <c r="C48" s="4" t="s">
        <v>49</v>
      </c>
      <c r="D48" s="7">
        <v>3</v>
      </c>
      <c r="E48" s="7">
        <v>2</v>
      </c>
      <c r="F48" s="116" t="str">
        <f t="shared" si="24"/>
        <v>Baixa</v>
      </c>
      <c r="G48" s="7" t="str">
        <f t="shared" si="25"/>
        <v>EEL</v>
      </c>
      <c r="H48" s="7">
        <f t="shared" si="26"/>
        <v>3</v>
      </c>
      <c r="I48" s="116" t="str">
        <f t="shared" si="27"/>
        <v>L</v>
      </c>
      <c r="J48" s="7" t="str">
        <f t="shared" si="28"/>
        <v>EEI</v>
      </c>
      <c r="K48" s="125">
        <f t="shared" si="29"/>
        <v>3</v>
      </c>
      <c r="L48" s="125">
        <f>IF(NOT(ISERROR(VLOOKUP(B48,Deflatores!G$42:H$64,2,FALSE))),VLOOKUP(B48,Deflatores!G$42:H$64,2,FALSE),IF(OR(ISBLANK(C48),ISBLANK(B48)),"",VLOOKUP(C48,Deflatores!G$4:H$38,2,FALSE)*H48+VLOOKUP(C48,Deflatores!G$4:I$38,3,FALSE)))</f>
        <v>3</v>
      </c>
      <c r="M48" s="10"/>
      <c r="N48" s="10"/>
      <c r="O48" s="125"/>
    </row>
    <row r="49" spans="1:15">
      <c r="A49" s="138" t="s">
        <v>94</v>
      </c>
      <c r="B49" s="4" t="s">
        <v>63</v>
      </c>
      <c r="C49" s="4" t="s">
        <v>49</v>
      </c>
      <c r="D49" s="7">
        <v>9</v>
      </c>
      <c r="E49" s="7">
        <v>2</v>
      </c>
      <c r="F49" s="116" t="str">
        <f t="shared" si="24"/>
        <v>Média</v>
      </c>
      <c r="G49" s="7" t="str">
        <f t="shared" si="25"/>
        <v>EEA</v>
      </c>
      <c r="H49" s="7">
        <f t="shared" si="26"/>
        <v>4</v>
      </c>
      <c r="I49" s="116" t="str">
        <f t="shared" si="27"/>
        <v>A</v>
      </c>
      <c r="J49" s="7" t="str">
        <f t="shared" si="28"/>
        <v>EEI</v>
      </c>
      <c r="K49" s="125">
        <f t="shared" si="29"/>
        <v>4</v>
      </c>
      <c r="L49" s="125">
        <v>4</v>
      </c>
      <c r="M49" s="10"/>
      <c r="N49" s="10"/>
      <c r="O49" s="125"/>
    </row>
    <row r="50" spans="1:15">
      <c r="A50" s="138" t="s">
        <v>95</v>
      </c>
      <c r="B50" s="4" t="s">
        <v>63</v>
      </c>
      <c r="C50" s="4" t="s">
        <v>49</v>
      </c>
      <c r="D50" s="7">
        <v>9</v>
      </c>
      <c r="E50" s="7">
        <v>2</v>
      </c>
      <c r="F50" s="116" t="str">
        <f t="shared" si="24"/>
        <v>Média</v>
      </c>
      <c r="G50" s="7" t="str">
        <f t="shared" si="25"/>
        <v>EEA</v>
      </c>
      <c r="H50" s="7">
        <f t="shared" si="26"/>
        <v>4</v>
      </c>
      <c r="I50" s="116" t="str">
        <f t="shared" si="27"/>
        <v>A</v>
      </c>
      <c r="J50" s="7" t="str">
        <f t="shared" si="28"/>
        <v>EEI</v>
      </c>
      <c r="K50" s="125">
        <f t="shared" si="29"/>
        <v>4</v>
      </c>
      <c r="L50" s="125">
        <v>4</v>
      </c>
      <c r="M50" s="10"/>
      <c r="N50" s="10"/>
      <c r="O50" s="125"/>
    </row>
    <row r="51" spans="1:15">
      <c r="A51" s="139" t="s">
        <v>96</v>
      </c>
      <c r="B51" s="4" t="s">
        <v>44</v>
      </c>
      <c r="C51" s="4" t="s">
        <v>49</v>
      </c>
      <c r="D51" s="7">
        <v>7</v>
      </c>
      <c r="E51" s="7">
        <v>3</v>
      </c>
      <c r="F51" s="116" t="str">
        <f t="shared" si="24"/>
        <v>Média</v>
      </c>
      <c r="G51" s="7" t="str">
        <f t="shared" si="25"/>
        <v>CEA</v>
      </c>
      <c r="H51" s="7">
        <f t="shared" si="26"/>
        <v>4</v>
      </c>
      <c r="I51" s="116" t="str">
        <f t="shared" si="27"/>
        <v>A</v>
      </c>
      <c r="J51" s="7" t="str">
        <f t="shared" si="28"/>
        <v>CEI</v>
      </c>
      <c r="K51" s="125">
        <f t="shared" si="29"/>
        <v>4</v>
      </c>
      <c r="L51" s="125">
        <v>4</v>
      </c>
      <c r="M51" s="10"/>
      <c r="N51" s="10"/>
      <c r="O51" s="130"/>
    </row>
    <row r="52" spans="1:15">
      <c r="A52" s="138" t="s">
        <v>97</v>
      </c>
      <c r="B52" s="4" t="s">
        <v>44</v>
      </c>
      <c r="C52" s="4" t="s">
        <v>49</v>
      </c>
      <c r="D52" s="7">
        <v>9</v>
      </c>
      <c r="E52" s="7">
        <v>3</v>
      </c>
      <c r="F52" s="116" t="str">
        <f t="shared" si="24"/>
        <v>Média</v>
      </c>
      <c r="G52" s="7" t="str">
        <f t="shared" si="25"/>
        <v>CEA</v>
      </c>
      <c r="H52" s="7">
        <f t="shared" si="26"/>
        <v>4</v>
      </c>
      <c r="I52" s="116" t="str">
        <f t="shared" si="27"/>
        <v>A</v>
      </c>
      <c r="J52" s="7" t="str">
        <f t="shared" si="28"/>
        <v>CEI</v>
      </c>
      <c r="K52" s="125">
        <f t="shared" si="29"/>
        <v>4</v>
      </c>
      <c r="L52" s="125">
        <v>4</v>
      </c>
      <c r="M52" s="10"/>
      <c r="N52" s="10"/>
      <c r="O52" s="125"/>
    </row>
    <row r="53" spans="1:15">
      <c r="A53" s="138" t="s">
        <v>98</v>
      </c>
      <c r="B53" s="4" t="s">
        <v>63</v>
      </c>
      <c r="C53" s="4" t="s">
        <v>49</v>
      </c>
      <c r="D53" s="7">
        <v>3</v>
      </c>
      <c r="E53" s="7">
        <v>2</v>
      </c>
      <c r="F53" s="116" t="str">
        <f t="shared" si="24"/>
        <v>Baixa</v>
      </c>
      <c r="G53" s="7" t="str">
        <f t="shared" si="25"/>
        <v>EEL</v>
      </c>
      <c r="H53" s="7">
        <f t="shared" si="26"/>
        <v>3</v>
      </c>
      <c r="I53" s="116" t="str">
        <f t="shared" si="27"/>
        <v>L</v>
      </c>
      <c r="J53" s="7" t="str">
        <f t="shared" si="28"/>
        <v>EEI</v>
      </c>
      <c r="K53" s="125">
        <f t="shared" si="29"/>
        <v>3</v>
      </c>
      <c r="L53" s="125">
        <v>3</v>
      </c>
      <c r="M53" s="10"/>
      <c r="N53" s="10"/>
      <c r="O53" s="125"/>
    </row>
    <row r="54" spans="1:15">
      <c r="A54" s="138" t="s">
        <v>99</v>
      </c>
      <c r="B54" s="4" t="s">
        <v>63</v>
      </c>
      <c r="C54" s="4" t="s">
        <v>49</v>
      </c>
      <c r="D54" s="7">
        <v>9</v>
      </c>
      <c r="E54" s="7">
        <v>2</v>
      </c>
      <c r="F54" s="116" t="str">
        <f t="shared" si="24"/>
        <v>Média</v>
      </c>
      <c r="G54" s="7" t="str">
        <f t="shared" si="25"/>
        <v>EEA</v>
      </c>
      <c r="H54" s="7">
        <f t="shared" si="26"/>
        <v>4</v>
      </c>
      <c r="I54" s="116" t="str">
        <f t="shared" si="27"/>
        <v>A</v>
      </c>
      <c r="J54" s="7" t="str">
        <f t="shared" si="28"/>
        <v>EEI</v>
      </c>
      <c r="K54" s="125">
        <f t="shared" si="29"/>
        <v>4</v>
      </c>
      <c r="L54" s="125">
        <v>4</v>
      </c>
      <c r="M54" s="10"/>
      <c r="N54" s="10"/>
      <c r="O54" s="125"/>
    </row>
    <row r="55" spans="1:15">
      <c r="A55" s="138" t="s">
        <v>100</v>
      </c>
      <c r="B55" s="4" t="s">
        <v>63</v>
      </c>
      <c r="C55" s="4" t="s">
        <v>49</v>
      </c>
      <c r="D55" s="7">
        <v>9</v>
      </c>
      <c r="E55" s="7">
        <v>2</v>
      </c>
      <c r="F55" s="116" t="str">
        <f t="shared" si="24"/>
        <v>Média</v>
      </c>
      <c r="G55" s="7" t="str">
        <f t="shared" si="25"/>
        <v>EEA</v>
      </c>
      <c r="H55" s="7">
        <f t="shared" si="26"/>
        <v>4</v>
      </c>
      <c r="I55" s="116" t="str">
        <f t="shared" si="27"/>
        <v>A</v>
      </c>
      <c r="J55" s="7" t="str">
        <f t="shared" si="28"/>
        <v>EEI</v>
      </c>
      <c r="K55" s="125">
        <f t="shared" si="29"/>
        <v>4</v>
      </c>
      <c r="L55" s="125">
        <v>4</v>
      </c>
      <c r="M55" s="10"/>
      <c r="N55" s="10"/>
      <c r="O55" s="125"/>
    </row>
    <row r="56" spans="1:15">
      <c r="A56" s="139" t="s">
        <v>101</v>
      </c>
      <c r="B56" s="4" t="s">
        <v>44</v>
      </c>
      <c r="C56" s="4" t="s">
        <v>49</v>
      </c>
      <c r="D56" s="7">
        <v>7</v>
      </c>
      <c r="E56" s="7">
        <v>3</v>
      </c>
      <c r="F56" s="116" t="str">
        <f t="shared" si="24"/>
        <v>Média</v>
      </c>
      <c r="G56" s="7" t="str">
        <f t="shared" si="25"/>
        <v>CEA</v>
      </c>
      <c r="H56" s="7">
        <f t="shared" si="26"/>
        <v>4</v>
      </c>
      <c r="I56" s="116" t="str">
        <f t="shared" si="27"/>
        <v>A</v>
      </c>
      <c r="J56" s="7" t="str">
        <f t="shared" si="28"/>
        <v>CEI</v>
      </c>
      <c r="K56" s="125">
        <f t="shared" si="29"/>
        <v>4</v>
      </c>
      <c r="L56" s="125">
        <v>4</v>
      </c>
      <c r="M56" s="10"/>
      <c r="N56" s="10"/>
      <c r="O56" s="130"/>
    </row>
    <row r="57" spans="1:15">
      <c r="A57" s="138" t="s">
        <v>102</v>
      </c>
      <c r="B57" s="4" t="s">
        <v>44</v>
      </c>
      <c r="C57" s="4" t="s">
        <v>49</v>
      </c>
      <c r="D57" s="7">
        <v>9</v>
      </c>
      <c r="E57" s="7">
        <v>3</v>
      </c>
      <c r="F57" s="116" t="str">
        <f t="shared" si="24"/>
        <v>Média</v>
      </c>
      <c r="G57" s="7" t="str">
        <f t="shared" si="25"/>
        <v>CEA</v>
      </c>
      <c r="H57" s="7">
        <f t="shared" si="26"/>
        <v>4</v>
      </c>
      <c r="I57" s="116" t="str">
        <f t="shared" si="27"/>
        <v>A</v>
      </c>
      <c r="J57" s="7" t="str">
        <f t="shared" si="28"/>
        <v>CEI</v>
      </c>
      <c r="K57" s="125">
        <f t="shared" si="29"/>
        <v>4</v>
      </c>
      <c r="L57" s="125">
        <v>4</v>
      </c>
      <c r="M57" s="10"/>
      <c r="N57" s="10"/>
      <c r="O57" s="125"/>
    </row>
    <row r="58" spans="1:15">
      <c r="A58" s="138" t="s">
        <v>103</v>
      </c>
      <c r="B58" s="4" t="s">
        <v>63</v>
      </c>
      <c r="C58" s="4" t="s">
        <v>49</v>
      </c>
      <c r="D58" s="7">
        <v>3</v>
      </c>
      <c r="E58" s="7">
        <v>2</v>
      </c>
      <c r="F58" s="116" t="str">
        <f t="shared" si="24"/>
        <v>Baixa</v>
      </c>
      <c r="G58" s="7" t="str">
        <f t="shared" si="25"/>
        <v>EEL</v>
      </c>
      <c r="H58" s="7">
        <f t="shared" si="26"/>
        <v>3</v>
      </c>
      <c r="I58" s="116" t="str">
        <f t="shared" si="27"/>
        <v>L</v>
      </c>
      <c r="J58" s="7" t="str">
        <f t="shared" si="28"/>
        <v>EEI</v>
      </c>
      <c r="K58" s="125">
        <f t="shared" si="29"/>
        <v>3</v>
      </c>
      <c r="L58" s="125">
        <v>3</v>
      </c>
      <c r="M58" s="10"/>
      <c r="N58" s="10"/>
      <c r="O58" s="125"/>
    </row>
    <row r="59" spans="1:15">
      <c r="A59" s="138" t="s">
        <v>104</v>
      </c>
      <c r="B59" s="4" t="s">
        <v>63</v>
      </c>
      <c r="C59" s="4" t="s">
        <v>49</v>
      </c>
      <c r="D59" s="7">
        <v>9</v>
      </c>
      <c r="E59" s="7">
        <v>2</v>
      </c>
      <c r="F59" s="116" t="str">
        <f t="shared" si="24"/>
        <v>Média</v>
      </c>
      <c r="G59" s="7" t="str">
        <f t="shared" si="25"/>
        <v>EEA</v>
      </c>
      <c r="H59" s="7">
        <f t="shared" si="26"/>
        <v>4</v>
      </c>
      <c r="I59" s="116" t="str">
        <f t="shared" si="27"/>
        <v>A</v>
      </c>
      <c r="J59" s="7" t="str">
        <f t="shared" si="28"/>
        <v>EEI</v>
      </c>
      <c r="K59" s="125">
        <f t="shared" si="29"/>
        <v>4</v>
      </c>
      <c r="L59" s="125">
        <v>4</v>
      </c>
      <c r="M59" s="10"/>
      <c r="N59" s="10"/>
      <c r="O59" s="125"/>
    </row>
    <row r="60" spans="1:15">
      <c r="A60" s="138" t="s">
        <v>105</v>
      </c>
      <c r="B60" s="4" t="s">
        <v>63</v>
      </c>
      <c r="C60" s="4" t="s">
        <v>49</v>
      </c>
      <c r="D60" s="7">
        <v>9</v>
      </c>
      <c r="E60" s="7">
        <v>2</v>
      </c>
      <c r="F60" s="116" t="str">
        <f t="shared" si="24"/>
        <v>Média</v>
      </c>
      <c r="G60" s="7" t="str">
        <f t="shared" si="25"/>
        <v>EEA</v>
      </c>
      <c r="H60" s="7">
        <f t="shared" si="26"/>
        <v>4</v>
      </c>
      <c r="I60" s="116" t="str">
        <f t="shared" si="27"/>
        <v>A</v>
      </c>
      <c r="J60" s="7" t="str">
        <f t="shared" si="28"/>
        <v>EEI</v>
      </c>
      <c r="K60" s="125">
        <f t="shared" si="29"/>
        <v>4</v>
      </c>
      <c r="L60" s="125">
        <v>4</v>
      </c>
      <c r="M60" s="10"/>
      <c r="N60" s="10"/>
      <c r="O60" s="125"/>
    </row>
    <row r="61" spans="1:15">
      <c r="A61" s="139" t="s">
        <v>106</v>
      </c>
      <c r="B61" s="4" t="s">
        <v>44</v>
      </c>
      <c r="C61" s="4" t="s">
        <v>49</v>
      </c>
      <c r="D61" s="7">
        <v>7</v>
      </c>
      <c r="E61" s="7">
        <v>3</v>
      </c>
      <c r="F61" s="116" t="str">
        <f t="shared" si="24"/>
        <v>Média</v>
      </c>
      <c r="G61" s="7" t="str">
        <f t="shared" si="25"/>
        <v>CEA</v>
      </c>
      <c r="H61" s="7">
        <f t="shared" si="26"/>
        <v>4</v>
      </c>
      <c r="I61" s="116" t="str">
        <f t="shared" si="27"/>
        <v>A</v>
      </c>
      <c r="J61" s="7" t="str">
        <f t="shared" si="28"/>
        <v>CEI</v>
      </c>
      <c r="K61" s="125">
        <f t="shared" si="29"/>
        <v>4</v>
      </c>
      <c r="L61" s="125">
        <v>4</v>
      </c>
      <c r="M61" s="10"/>
      <c r="N61" s="10"/>
      <c r="O61" s="130"/>
    </row>
    <row r="62" spans="1:15">
      <c r="A62" s="138" t="s">
        <v>107</v>
      </c>
      <c r="B62" s="4" t="s">
        <v>44</v>
      </c>
      <c r="C62" s="4" t="s">
        <v>49</v>
      </c>
      <c r="D62" s="7">
        <v>9</v>
      </c>
      <c r="E62" s="7">
        <v>3</v>
      </c>
      <c r="F62" s="116" t="str">
        <f t="shared" si="24"/>
        <v>Média</v>
      </c>
      <c r="G62" s="7" t="str">
        <f t="shared" si="25"/>
        <v>CEA</v>
      </c>
      <c r="H62" s="7">
        <f t="shared" si="26"/>
        <v>4</v>
      </c>
      <c r="I62" s="116" t="str">
        <f t="shared" si="27"/>
        <v>A</v>
      </c>
      <c r="J62" s="7" t="str">
        <f t="shared" si="28"/>
        <v>CEI</v>
      </c>
      <c r="K62" s="125">
        <f t="shared" si="29"/>
        <v>4</v>
      </c>
      <c r="L62" s="125">
        <v>4</v>
      </c>
      <c r="M62" s="10"/>
      <c r="N62" s="10"/>
      <c r="O62" s="125"/>
    </row>
    <row r="63" spans="1:15">
      <c r="A63" s="138" t="s">
        <v>108</v>
      </c>
      <c r="B63" s="4" t="s">
        <v>63</v>
      </c>
      <c r="C63" s="4" t="s">
        <v>49</v>
      </c>
      <c r="D63" s="7">
        <v>3</v>
      </c>
      <c r="E63" s="7">
        <v>2</v>
      </c>
      <c r="F63" s="116" t="str">
        <f t="shared" si="24"/>
        <v>Baixa</v>
      </c>
      <c r="G63" s="7" t="str">
        <f t="shared" si="25"/>
        <v>EEL</v>
      </c>
      <c r="H63" s="7">
        <f t="shared" si="26"/>
        <v>3</v>
      </c>
      <c r="I63" s="116" t="str">
        <f t="shared" si="27"/>
        <v>L</v>
      </c>
      <c r="J63" s="7" t="str">
        <f t="shared" si="28"/>
        <v>EEI</v>
      </c>
      <c r="K63" s="125">
        <f t="shared" si="29"/>
        <v>3</v>
      </c>
      <c r="L63" s="125">
        <v>3</v>
      </c>
      <c r="M63" s="10"/>
      <c r="N63" s="10"/>
      <c r="O63" s="125"/>
    </row>
    <row r="64" spans="1:15">
      <c r="A64" s="138" t="s">
        <v>109</v>
      </c>
      <c r="B64" s="4" t="s">
        <v>63</v>
      </c>
      <c r="C64" s="4" t="s">
        <v>49</v>
      </c>
      <c r="D64" s="7">
        <v>9</v>
      </c>
      <c r="E64" s="7">
        <v>2</v>
      </c>
      <c r="F64" s="116" t="str">
        <f t="shared" si="24"/>
        <v>Média</v>
      </c>
      <c r="G64" s="7" t="str">
        <f t="shared" si="25"/>
        <v>EEA</v>
      </c>
      <c r="H64" s="7">
        <f t="shared" si="26"/>
        <v>4</v>
      </c>
      <c r="I64" s="116" t="str">
        <f t="shared" si="27"/>
        <v>A</v>
      </c>
      <c r="J64" s="7" t="str">
        <f t="shared" si="28"/>
        <v>EEI</v>
      </c>
      <c r="K64" s="125">
        <f t="shared" si="29"/>
        <v>4</v>
      </c>
      <c r="L64" s="125">
        <v>4</v>
      </c>
      <c r="M64" s="10"/>
      <c r="N64" s="10"/>
      <c r="O64" s="125"/>
    </row>
    <row r="65" spans="1:15">
      <c r="A65" s="138" t="s">
        <v>110</v>
      </c>
      <c r="B65" s="4" t="s">
        <v>63</v>
      </c>
      <c r="C65" s="4" t="s">
        <v>49</v>
      </c>
      <c r="D65" s="7">
        <v>9</v>
      </c>
      <c r="E65" s="7">
        <v>2</v>
      </c>
      <c r="F65" s="116" t="str">
        <f t="shared" si="24"/>
        <v>Média</v>
      </c>
      <c r="G65" s="7" t="str">
        <f t="shared" si="25"/>
        <v>EEA</v>
      </c>
      <c r="H65" s="7">
        <f t="shared" si="26"/>
        <v>4</v>
      </c>
      <c r="I65" s="116" t="str">
        <f t="shared" si="27"/>
        <v>A</v>
      </c>
      <c r="J65" s="7" t="str">
        <f t="shared" si="28"/>
        <v>EEI</v>
      </c>
      <c r="K65" s="125">
        <f t="shared" si="29"/>
        <v>4</v>
      </c>
      <c r="L65" s="125">
        <v>4</v>
      </c>
      <c r="M65" s="10"/>
      <c r="N65" s="10"/>
      <c r="O65" s="125"/>
    </row>
    <row r="66" spans="1:15">
      <c r="A66" s="139" t="s">
        <v>111</v>
      </c>
      <c r="B66" s="4" t="s">
        <v>44</v>
      </c>
      <c r="C66" s="4" t="s">
        <v>49</v>
      </c>
      <c r="D66" s="7">
        <v>7</v>
      </c>
      <c r="E66" s="7">
        <v>3</v>
      </c>
      <c r="F66" s="116" t="str">
        <f t="shared" si="24"/>
        <v>Média</v>
      </c>
      <c r="G66" s="7" t="str">
        <f t="shared" si="25"/>
        <v>CEA</v>
      </c>
      <c r="H66" s="7">
        <f t="shared" si="26"/>
        <v>4</v>
      </c>
      <c r="I66" s="116" t="str">
        <f t="shared" si="27"/>
        <v>A</v>
      </c>
      <c r="J66" s="7" t="str">
        <f t="shared" si="28"/>
        <v>CEI</v>
      </c>
      <c r="K66" s="125">
        <f t="shared" si="29"/>
        <v>4</v>
      </c>
      <c r="L66" s="125">
        <v>4</v>
      </c>
      <c r="M66" s="10"/>
      <c r="N66" s="10"/>
      <c r="O66" s="130"/>
    </row>
    <row r="67" spans="1:15">
      <c r="A67" s="138" t="s">
        <v>112</v>
      </c>
      <c r="B67" s="4" t="s">
        <v>44</v>
      </c>
      <c r="C67" s="4" t="s">
        <v>49</v>
      </c>
      <c r="D67" s="7">
        <v>9</v>
      </c>
      <c r="E67" s="7">
        <v>3</v>
      </c>
      <c r="F67" s="116" t="str">
        <f t="shared" si="24"/>
        <v>Média</v>
      </c>
      <c r="G67" s="7" t="str">
        <f t="shared" si="25"/>
        <v>CEA</v>
      </c>
      <c r="H67" s="7">
        <f t="shared" si="26"/>
        <v>4</v>
      </c>
      <c r="I67" s="116" t="str">
        <f t="shared" si="27"/>
        <v>A</v>
      </c>
      <c r="J67" s="7" t="str">
        <f t="shared" si="28"/>
        <v>CEI</v>
      </c>
      <c r="K67" s="125">
        <f t="shared" si="29"/>
        <v>4</v>
      </c>
      <c r="L67" s="125">
        <v>4</v>
      </c>
      <c r="M67" s="10"/>
      <c r="N67" s="10"/>
      <c r="O67" s="125"/>
    </row>
    <row r="68" spans="1:15">
      <c r="A68" s="138" t="s">
        <v>113</v>
      </c>
      <c r="B68" s="4" t="s">
        <v>63</v>
      </c>
      <c r="C68" s="4" t="s">
        <v>49</v>
      </c>
      <c r="D68" s="7">
        <v>3</v>
      </c>
      <c r="E68" s="7">
        <v>2</v>
      </c>
      <c r="F68" s="116" t="str">
        <f t="shared" si="24"/>
        <v>Baixa</v>
      </c>
      <c r="G68" s="7" t="str">
        <f t="shared" si="25"/>
        <v>EEL</v>
      </c>
      <c r="H68" s="7">
        <f t="shared" si="26"/>
        <v>3</v>
      </c>
      <c r="I68" s="116" t="str">
        <f t="shared" si="27"/>
        <v>L</v>
      </c>
      <c r="J68" s="7" t="str">
        <f t="shared" si="28"/>
        <v>EEI</v>
      </c>
      <c r="K68" s="125">
        <f t="shared" si="29"/>
        <v>3</v>
      </c>
      <c r="L68" s="125">
        <v>3</v>
      </c>
      <c r="M68" s="10"/>
      <c r="N68" s="10"/>
      <c r="O68" s="125"/>
    </row>
    <row r="69" spans="1:15">
      <c r="A69" s="139" t="s">
        <v>114</v>
      </c>
      <c r="B69" s="4" t="s">
        <v>44</v>
      </c>
      <c r="C69" s="4" t="s">
        <v>49</v>
      </c>
      <c r="D69" s="7">
        <v>3</v>
      </c>
      <c r="E69" s="7">
        <v>1</v>
      </c>
      <c r="F69" s="116" t="str">
        <f t="shared" si="24"/>
        <v>Baixa</v>
      </c>
      <c r="G69" s="7" t="str">
        <f t="shared" si="25"/>
        <v>CEL</v>
      </c>
      <c r="H69" s="7">
        <f t="shared" si="26"/>
        <v>3</v>
      </c>
      <c r="I69" s="116" t="str">
        <f t="shared" si="27"/>
        <v>L</v>
      </c>
      <c r="J69" s="7" t="str">
        <f t="shared" si="28"/>
        <v>CEI</v>
      </c>
      <c r="K69" s="125">
        <f t="shared" si="29"/>
        <v>3</v>
      </c>
      <c r="L69" s="125">
        <f>IF(NOT(ISERROR(VLOOKUP(B69,Deflatores!G$42:H$64,2,FALSE))),VLOOKUP(B69,Deflatores!G$42:H$64,2,FALSE),IF(OR(ISBLANK(C69),ISBLANK(B69)),"",VLOOKUP(C69,Deflatores!G$4:H$38,2,FALSE)*H69+VLOOKUP(C69,Deflatores!G$4:I$38,3,FALSE)))</f>
        <v>3</v>
      </c>
      <c r="M69" s="10"/>
      <c r="N69" s="10"/>
      <c r="O69" s="125"/>
    </row>
    <row r="70" spans="1:15">
      <c r="A70" s="139" t="s">
        <v>115</v>
      </c>
      <c r="B70" s="4" t="s">
        <v>44</v>
      </c>
      <c r="C70" s="4" t="s">
        <v>49</v>
      </c>
      <c r="D70" s="7">
        <v>3</v>
      </c>
      <c r="E70" s="7">
        <v>1</v>
      </c>
      <c r="F70" s="116" t="str">
        <f t="shared" si="24"/>
        <v>Baixa</v>
      </c>
      <c r="G70" s="7" t="str">
        <f t="shared" si="25"/>
        <v>CEL</v>
      </c>
      <c r="H70" s="7">
        <f t="shared" si="26"/>
        <v>3</v>
      </c>
      <c r="I70" s="116" t="str">
        <f t="shared" si="27"/>
        <v>L</v>
      </c>
      <c r="J70" s="7" t="str">
        <f t="shared" si="28"/>
        <v>CEI</v>
      </c>
      <c r="K70" s="125">
        <f t="shared" si="29"/>
        <v>3</v>
      </c>
      <c r="L70" s="125">
        <f>IF(NOT(ISERROR(VLOOKUP(B70,Deflatores!G$42:H$64,2,FALSE))),VLOOKUP(B70,Deflatores!G$42:H$64,2,FALSE),IF(OR(ISBLANK(C70),ISBLANK(B70)),"",VLOOKUP(C70,Deflatores!G$4:H$38,2,FALSE)*H70+VLOOKUP(C70,Deflatores!G$4:I$38,3,FALSE)))</f>
        <v>3</v>
      </c>
      <c r="M70" s="10"/>
      <c r="N70" s="10"/>
      <c r="O70" s="125"/>
    </row>
    <row r="71" spans="1:15">
      <c r="A71" s="139" t="s">
        <v>116</v>
      </c>
      <c r="B71" s="4" t="s">
        <v>44</v>
      </c>
      <c r="C71" s="4" t="s">
        <v>49</v>
      </c>
      <c r="D71" s="7">
        <v>3</v>
      </c>
      <c r="E71" s="7">
        <v>1</v>
      </c>
      <c r="F71" s="116" t="str">
        <f t="shared" si="24"/>
        <v>Baixa</v>
      </c>
      <c r="G71" s="7" t="str">
        <f t="shared" si="25"/>
        <v>CEL</v>
      </c>
      <c r="H71" s="7">
        <f t="shared" si="26"/>
        <v>3</v>
      </c>
      <c r="I71" s="116" t="str">
        <f t="shared" si="27"/>
        <v>L</v>
      </c>
      <c r="J71" s="7" t="str">
        <f t="shared" si="28"/>
        <v>CEI</v>
      </c>
      <c r="K71" s="125">
        <f t="shared" si="29"/>
        <v>3</v>
      </c>
      <c r="L71" s="125">
        <f>IF(NOT(ISERROR(VLOOKUP(B71,Deflatores!G$42:H$64,2,FALSE))),VLOOKUP(B71,Deflatores!G$42:H$64,2,FALSE),IF(OR(ISBLANK(C71),ISBLANK(B71)),"",VLOOKUP(C71,Deflatores!G$4:H$38,2,FALSE)*H71+VLOOKUP(C71,Deflatores!G$4:I$38,3,FALSE)))</f>
        <v>3</v>
      </c>
      <c r="M71" s="10"/>
      <c r="N71" s="10"/>
      <c r="O71" s="125"/>
    </row>
    <row r="72" spans="1:15">
      <c r="A72" s="138"/>
      <c r="B72" s="4"/>
      <c r="C72" s="4"/>
      <c r="D72" s="7"/>
      <c r="E72" s="7"/>
      <c r="F72" s="116" t="str">
        <f t="shared" si="24"/>
        <v/>
      </c>
      <c r="G72" s="7" t="str">
        <f t="shared" si="25"/>
        <v/>
      </c>
      <c r="H72" s="7" t="str">
        <f t="shared" si="26"/>
        <v/>
      </c>
      <c r="I72" s="116" t="str">
        <f t="shared" si="27"/>
        <v/>
      </c>
      <c r="J72" s="7" t="str">
        <f t="shared" si="28"/>
        <v/>
      </c>
      <c r="K72" s="125" t="str">
        <f t="shared" si="29"/>
        <v/>
      </c>
      <c r="L72" s="125" t="str">
        <f>IF(NOT(ISERROR(VLOOKUP(B72,Deflatores!G$42:H$64,2,FALSE))),VLOOKUP(B72,Deflatores!G$42:H$64,2,FALSE),IF(OR(ISBLANK(C72),ISBLANK(B72)),"",VLOOKUP(C72,Deflatores!G$4:H$38,2,FALSE)*H72+VLOOKUP(C72,Deflatores!G$4:I$38,3,FALSE)))</f>
        <v/>
      </c>
      <c r="M72" s="10"/>
      <c r="N72" s="10"/>
      <c r="O72" s="125"/>
    </row>
    <row r="73" spans="1:15">
      <c r="A73" s="137" t="s">
        <v>117</v>
      </c>
      <c r="B73" s="4"/>
      <c r="C73" s="4"/>
      <c r="D73" s="7"/>
      <c r="E73" s="7"/>
      <c r="F73" s="116" t="str">
        <f t="shared" si="24"/>
        <v/>
      </c>
      <c r="G73" s="7" t="str">
        <f t="shared" si="25"/>
        <v/>
      </c>
      <c r="H73" s="7" t="str">
        <f t="shared" si="26"/>
        <v/>
      </c>
      <c r="I73" s="116" t="str">
        <f t="shared" si="27"/>
        <v/>
      </c>
      <c r="J73" s="7" t="str">
        <f t="shared" si="28"/>
        <v/>
      </c>
      <c r="K73" s="125" t="str">
        <f t="shared" si="29"/>
        <v/>
      </c>
      <c r="L73" s="125" t="str">
        <f>IF(NOT(ISERROR(VLOOKUP(B73,Deflatores!G$42:H$64,2,FALSE))),VLOOKUP(B73,Deflatores!G$42:H$64,2,FALSE),IF(OR(ISBLANK(C73),ISBLANK(B73)),"",VLOOKUP(C73,Deflatores!G$4:H$38,2,FALSE)*H73+VLOOKUP(C73,Deflatores!G$4:I$38,3,FALSE)))</f>
        <v/>
      </c>
      <c r="M73" s="10"/>
      <c r="N73" s="10"/>
      <c r="O73" s="130"/>
    </row>
    <row r="74" spans="1:15">
      <c r="A74" s="138" t="s">
        <v>118</v>
      </c>
      <c r="B74" s="4" t="s">
        <v>55</v>
      </c>
      <c r="C74" s="4" t="s">
        <v>56</v>
      </c>
      <c r="D74" s="7">
        <v>17</v>
      </c>
      <c r="E74" s="7">
        <v>3</v>
      </c>
      <c r="F74" s="116" t="str">
        <f t="shared" si="24"/>
        <v>Baixa</v>
      </c>
      <c r="G74" s="7" t="str">
        <f t="shared" si="25"/>
        <v>ALIL</v>
      </c>
      <c r="H74" s="7">
        <f t="shared" si="26"/>
        <v>7</v>
      </c>
      <c r="I74" s="116" t="str">
        <f t="shared" si="27"/>
        <v>L</v>
      </c>
      <c r="J74" s="7" t="str">
        <f t="shared" si="28"/>
        <v>ALIA50</v>
      </c>
      <c r="K74" s="125">
        <f t="shared" si="29"/>
        <v>7</v>
      </c>
      <c r="L74" s="125">
        <f>IF(NOT(ISERROR(VLOOKUP(B74,Deflatores!G$42:H$64,2,FALSE))),VLOOKUP(B74,Deflatores!G$42:H$64,2,FALSE),IF(OR(ISBLANK(C74),ISBLANK(B74)),"",VLOOKUP(C74,Deflatores!G$4:H$38,2,FALSE)*H74+VLOOKUP(C74,Deflatores!G$4:I$38,3,FALSE)))</f>
        <v>3.5</v>
      </c>
      <c r="M74" s="10"/>
      <c r="N74" s="10"/>
      <c r="O74" s="125"/>
    </row>
    <row r="75" spans="1:15">
      <c r="A75" s="138" t="s">
        <v>119</v>
      </c>
      <c r="B75" s="4" t="s">
        <v>44</v>
      </c>
      <c r="C75" s="4" t="s">
        <v>45</v>
      </c>
      <c r="D75" s="7">
        <v>9</v>
      </c>
      <c r="E75" s="7">
        <v>3</v>
      </c>
      <c r="F75" s="116" t="str">
        <f t="shared" si="24"/>
        <v>Média</v>
      </c>
      <c r="G75" s="7" t="str">
        <f t="shared" si="25"/>
        <v>CEA</v>
      </c>
      <c r="H75" s="7">
        <f t="shared" si="26"/>
        <v>4</v>
      </c>
      <c r="I75" s="116" t="str">
        <f t="shared" si="27"/>
        <v>A</v>
      </c>
      <c r="J75" s="7" t="str">
        <f t="shared" si="28"/>
        <v>CECOS</v>
      </c>
      <c r="K75" s="125">
        <f t="shared" si="29"/>
        <v>4</v>
      </c>
      <c r="L75" s="125">
        <f>IF(NOT(ISERROR(VLOOKUP(B75,Deflatores!G$42:H$64,2,FALSE))),VLOOKUP(B75,Deflatores!G$42:H$64,2,FALSE),IF(OR(ISBLANK(C75),ISBLANK(B75)),"",VLOOKUP(C75,Deflatores!G$4:H$38,2,FALSE)*H75+VLOOKUP(C75,Deflatores!G$4:I$38,3,FALSE)))</f>
        <v>0.6</v>
      </c>
      <c r="M75" s="10"/>
      <c r="N75" s="10"/>
      <c r="O75" s="125"/>
    </row>
    <row r="76" spans="1:15">
      <c r="A76" s="139" t="s">
        <v>120</v>
      </c>
      <c r="B76" s="128" t="s">
        <v>44</v>
      </c>
      <c r="C76" s="4" t="s">
        <v>49</v>
      </c>
      <c r="D76" s="7">
        <v>3</v>
      </c>
      <c r="E76" s="7">
        <v>1</v>
      </c>
      <c r="F76" s="116" t="str">
        <f t="shared" si="24"/>
        <v>Baixa</v>
      </c>
      <c r="G76" s="7" t="str">
        <f t="shared" si="25"/>
        <v>CEL</v>
      </c>
      <c r="H76" s="7">
        <f t="shared" si="26"/>
        <v>3</v>
      </c>
      <c r="I76" s="116" t="str">
        <f t="shared" si="27"/>
        <v>L</v>
      </c>
      <c r="J76" s="7" t="str">
        <f t="shared" si="28"/>
        <v>CEI</v>
      </c>
      <c r="K76" s="125">
        <f t="shared" si="29"/>
        <v>3</v>
      </c>
      <c r="L76" s="125">
        <f>IF(NOT(ISERROR(VLOOKUP(B76,Deflatores!G$42:H$64,2,FALSE))),VLOOKUP(B76,Deflatores!G$42:H$64,2,FALSE),IF(OR(ISBLANK(C76),ISBLANK(B76)),"",VLOOKUP(C76,Deflatores!G$4:H$38,2,FALSE)*H76+VLOOKUP(C76,Deflatores!G$4:I$38,3,FALSE)))</f>
        <v>3</v>
      </c>
      <c r="M76" s="10"/>
      <c r="N76" s="10"/>
      <c r="O76" s="125"/>
    </row>
    <row r="77" spans="1:15">
      <c r="A77" s="138" t="s">
        <v>121</v>
      </c>
      <c r="B77" s="4" t="s">
        <v>63</v>
      </c>
      <c r="C77" s="4" t="s">
        <v>56</v>
      </c>
      <c r="D77" s="7">
        <v>16</v>
      </c>
      <c r="E77" s="7">
        <v>4</v>
      </c>
      <c r="F77" s="116" t="str">
        <f t="shared" ref="F77" si="30">IF(ISBLANK(B77),"",IF(I77="L","Baixa",IF(I77="A","Média",IF(I77="","","Alta"))))</f>
        <v>Alta</v>
      </c>
      <c r="G77" s="7" t="str">
        <f t="shared" ref="G77" si="31">CONCATENATE(B77,I77)</f>
        <v>EEH</v>
      </c>
      <c r="H77" s="7">
        <f t="shared" ref="H77" si="32">IF(ISBLANK(B77),"",IF(B77="ALI",IF(I77="L",7,IF(I77="A",10,15)),IF(B77="AIE",IF(I77="L",5,IF(I77="A",7,10)),IF(B77="SE",IF(I77="L",4,IF(I77="A",5,7)),IF(OR(B77="EE",B77="CE"),IF(I77="L",3,IF(I77="A",4,6)),0)))))</f>
        <v>6</v>
      </c>
      <c r="I77" s="116" t="str">
        <f t="shared" ref="I77" si="33">IF(OR(ISBLANK(D77),ISBLANK(E77)),IF(OR(B77="ALI",B77="AIE"),"L",IF(OR(B77="EE",B77="SE",B77="CE"),"A","")),IF(B77="EE",IF(E77&gt;=3,IF(D77&gt;=5,"H","A"),IF(E77&gt;=2,IF(D77&gt;=16,"H",IF(D77&lt;=4,"L","A")),IF(D77&lt;=15,"L","A"))),IF(OR(B77="SE",B77="CE"),IF(E77&gt;=4,IF(D77&gt;=6,"H","A"),IF(E77&gt;=2,IF(D77&gt;=20,"H",IF(D77&lt;=5,"L","A")),IF(D77&lt;=19,"L","A"))),IF(OR(B77="ALI",B77="AIE"),IF(E77&gt;=6,IF(D77&gt;=20,"H","A"),IF(E77&gt;=2,IF(D77&gt;=51,"H",IF(D77&lt;=19,"L","A")),IF(D77&lt;=50,"L","A"))),""))))</f>
        <v>H</v>
      </c>
      <c r="J77" s="7" t="str">
        <f t="shared" ref="J77" si="34">CONCATENATE(B77,C77)</f>
        <v>EEA50</v>
      </c>
      <c r="K77" s="125">
        <f t="shared" ref="K77" si="35">IF(OR(H77="",H77=0),L77,H77)</f>
        <v>6</v>
      </c>
      <c r="L77" s="125">
        <f>IF(NOT(ISERROR(VLOOKUP(B77,Deflatores!G$42:H$64,2,FALSE))),VLOOKUP(B77,Deflatores!G$42:H$64,2,FALSE),IF(OR(ISBLANK(C77),ISBLANK(B77)),"",VLOOKUP(C77,Deflatores!G$4:H$38,2,FALSE)*H77+VLOOKUP(C77,Deflatores!G$4:I$38,3,FALSE)))</f>
        <v>3</v>
      </c>
      <c r="M77" s="10"/>
      <c r="N77" s="10"/>
      <c r="O77" s="125"/>
    </row>
    <row r="78" spans="1:15">
      <c r="A78" s="139" t="s">
        <v>122</v>
      </c>
      <c r="B78" s="128" t="s">
        <v>44</v>
      </c>
      <c r="C78" s="4" t="s">
        <v>49</v>
      </c>
      <c r="D78" s="7">
        <v>3</v>
      </c>
      <c r="E78" s="7">
        <v>1</v>
      </c>
      <c r="F78" s="116" t="str">
        <f t="shared" ref="F78:F80" si="36">IF(ISBLANK(B78),"",IF(I78="L","Baixa",IF(I78="A","Média",IF(I78="","","Alta"))))</f>
        <v>Baixa</v>
      </c>
      <c r="G78" s="7" t="str">
        <f t="shared" ref="G78:G80" si="37">CONCATENATE(B78,I78)</f>
        <v>CEL</v>
      </c>
      <c r="H78" s="7">
        <f t="shared" ref="H78:H80" si="38">IF(ISBLANK(B78),"",IF(B78="ALI",IF(I78="L",7,IF(I78="A",10,15)),IF(B78="AIE",IF(I78="L",5,IF(I78="A",7,10)),IF(B78="SE",IF(I78="L",4,IF(I78="A",5,7)),IF(OR(B78="EE",B78="CE"),IF(I78="L",3,IF(I78="A",4,6)),0)))))</f>
        <v>3</v>
      </c>
      <c r="I78" s="116" t="str">
        <f t="shared" ref="I78:I80" si="39">IF(OR(ISBLANK(D78),ISBLANK(E78)),IF(OR(B78="ALI",B78="AIE"),"L",IF(OR(B78="EE",B78="SE",B78="CE"),"A","")),IF(B78="EE",IF(E78&gt;=3,IF(D78&gt;=5,"H","A"),IF(E78&gt;=2,IF(D78&gt;=16,"H",IF(D78&lt;=4,"L","A")),IF(D78&lt;=15,"L","A"))),IF(OR(B78="SE",B78="CE"),IF(E78&gt;=4,IF(D78&gt;=6,"H","A"),IF(E78&gt;=2,IF(D78&gt;=20,"H",IF(D78&lt;=5,"L","A")),IF(D78&lt;=19,"L","A"))),IF(OR(B78="ALI",B78="AIE"),IF(E78&gt;=6,IF(D78&gt;=20,"H","A"),IF(E78&gt;=2,IF(D78&gt;=51,"H",IF(D78&lt;=19,"L","A")),IF(D78&lt;=50,"L","A"))),""))))</f>
        <v>L</v>
      </c>
      <c r="J78" s="7" t="str">
        <f t="shared" ref="J78:J80" si="40">CONCATENATE(B78,C78)</f>
        <v>CEI</v>
      </c>
      <c r="K78" s="125">
        <f t="shared" ref="K78:K80" si="41">IF(OR(H78="",H78=0),L78,H78)</f>
        <v>3</v>
      </c>
      <c r="L78" s="125">
        <f>IF(NOT(ISERROR(VLOOKUP(B78,Deflatores!G$42:H$64,2,FALSE))),VLOOKUP(B78,Deflatores!G$42:H$64,2,FALSE),IF(OR(ISBLANK(C78),ISBLANK(B78)),"",VLOOKUP(C78,Deflatores!G$4:H$38,2,FALSE)*H78+VLOOKUP(C78,Deflatores!G$4:I$38,3,FALSE)))</f>
        <v>3</v>
      </c>
      <c r="M78" s="10"/>
      <c r="N78" s="10"/>
      <c r="O78" s="125"/>
    </row>
    <row r="79" spans="1:15">
      <c r="A79" s="138" t="s">
        <v>123</v>
      </c>
      <c r="B79" s="4" t="s">
        <v>63</v>
      </c>
      <c r="C79" s="4" t="s">
        <v>56</v>
      </c>
      <c r="D79" s="7">
        <v>16</v>
      </c>
      <c r="E79" s="7">
        <v>4</v>
      </c>
      <c r="F79" s="116" t="str">
        <f t="shared" si="36"/>
        <v>Alta</v>
      </c>
      <c r="G79" s="7" t="str">
        <f t="shared" si="37"/>
        <v>EEH</v>
      </c>
      <c r="H79" s="7">
        <f t="shared" si="38"/>
        <v>6</v>
      </c>
      <c r="I79" s="116" t="str">
        <f t="shared" si="39"/>
        <v>H</v>
      </c>
      <c r="J79" s="7" t="str">
        <f t="shared" si="40"/>
        <v>EEA50</v>
      </c>
      <c r="K79" s="125">
        <f t="shared" si="41"/>
        <v>6</v>
      </c>
      <c r="L79" s="125">
        <f>IF(NOT(ISERROR(VLOOKUP(B79,Deflatores!G$42:H$64,2,FALSE))),VLOOKUP(B79,Deflatores!G$42:H$64,2,FALSE),IF(OR(ISBLANK(C79),ISBLANK(B79)),"",VLOOKUP(C79,Deflatores!G$4:H$38,2,FALSE)*H79+VLOOKUP(C79,Deflatores!G$4:I$38,3,FALSE)))</f>
        <v>3</v>
      </c>
      <c r="M79" s="10"/>
      <c r="N79" s="10"/>
      <c r="O79" s="125"/>
    </row>
    <row r="80" spans="1:15">
      <c r="A80" s="139" t="s">
        <v>124</v>
      </c>
      <c r="B80" s="4" t="s">
        <v>44</v>
      </c>
      <c r="C80" s="4" t="s">
        <v>56</v>
      </c>
      <c r="D80" s="7">
        <v>14</v>
      </c>
      <c r="E80" s="7">
        <v>3</v>
      </c>
      <c r="F80" s="116" t="str">
        <f t="shared" si="36"/>
        <v>Média</v>
      </c>
      <c r="G80" s="7" t="str">
        <f t="shared" si="37"/>
        <v>CEA</v>
      </c>
      <c r="H80" s="7">
        <f t="shared" si="38"/>
        <v>4</v>
      </c>
      <c r="I80" s="116" t="str">
        <f t="shared" si="39"/>
        <v>A</v>
      </c>
      <c r="J80" s="7" t="str">
        <f t="shared" si="40"/>
        <v>CEA50</v>
      </c>
      <c r="K80" s="125">
        <f t="shared" si="41"/>
        <v>4</v>
      </c>
      <c r="L80" s="125">
        <f>IF(NOT(ISERROR(VLOOKUP(B80,Deflatores!G$42:H$64,2,FALSE))),VLOOKUP(B80,Deflatores!G$42:H$64,2,FALSE),IF(OR(ISBLANK(C80),ISBLANK(B80)),"",VLOOKUP(C80,Deflatores!G$4:H$38,2,FALSE)*H80+VLOOKUP(C80,Deflatores!G$4:I$38,3,FALSE)))</f>
        <v>2</v>
      </c>
      <c r="M80" s="10"/>
      <c r="N80" s="10"/>
      <c r="O80" s="125"/>
    </row>
    <row r="81" spans="1:15">
      <c r="A81" s="138" t="s">
        <v>125</v>
      </c>
      <c r="B81" s="4" t="s">
        <v>44</v>
      </c>
      <c r="C81" s="4" t="s">
        <v>56</v>
      </c>
      <c r="D81" s="7">
        <v>16</v>
      </c>
      <c r="E81" s="7">
        <v>3</v>
      </c>
      <c r="F81" s="116" t="str">
        <f t="shared" ref="F81" si="42">IF(ISBLANK(B81),"",IF(I81="L","Baixa",IF(I81="A","Média",IF(I81="","","Alta"))))</f>
        <v>Média</v>
      </c>
      <c r="G81" s="7" t="str">
        <f t="shared" ref="G81" si="43">CONCATENATE(B81,I81)</f>
        <v>CEA</v>
      </c>
      <c r="H81" s="7">
        <f t="shared" ref="H81" si="44">IF(ISBLANK(B81),"",IF(B81="ALI",IF(I81="L",7,IF(I81="A",10,15)),IF(B81="AIE",IF(I81="L",5,IF(I81="A",7,10)),IF(B81="SE",IF(I81="L",4,IF(I81="A",5,7)),IF(OR(B81="EE",B81="CE"),IF(I81="L",3,IF(I81="A",4,6)),0)))))</f>
        <v>4</v>
      </c>
      <c r="I81" s="116" t="str">
        <f t="shared" ref="I81" si="45">IF(OR(ISBLANK(D81),ISBLANK(E81)),IF(OR(B81="ALI",B81="AIE"),"L",IF(OR(B81="EE",B81="SE",B81="CE"),"A","")),IF(B81="EE",IF(E81&gt;=3,IF(D81&gt;=5,"H","A"),IF(E81&gt;=2,IF(D81&gt;=16,"H",IF(D81&lt;=4,"L","A")),IF(D81&lt;=15,"L","A"))),IF(OR(B81="SE",B81="CE"),IF(E81&gt;=4,IF(D81&gt;=6,"H","A"),IF(E81&gt;=2,IF(D81&gt;=20,"H",IF(D81&lt;=5,"L","A")),IF(D81&lt;=19,"L","A"))),IF(OR(B81="ALI",B81="AIE"),IF(E81&gt;=6,IF(D81&gt;=20,"H","A"),IF(E81&gt;=2,IF(D81&gt;=51,"H",IF(D81&lt;=19,"L","A")),IF(D81&lt;=50,"L","A"))),""))))</f>
        <v>A</v>
      </c>
      <c r="J81" s="7" t="str">
        <f t="shared" ref="J81" si="46">CONCATENATE(B81,C81)</f>
        <v>CEA50</v>
      </c>
      <c r="K81" s="125">
        <f t="shared" ref="K81" si="47">IF(OR(H81="",H81=0),L81,H81)</f>
        <v>4</v>
      </c>
      <c r="L81" s="125">
        <f>IF(NOT(ISERROR(VLOOKUP(B81,Deflatores!G$42:H$64,2,FALSE))),VLOOKUP(B81,Deflatores!G$42:H$64,2,FALSE),IF(OR(ISBLANK(C81),ISBLANK(B81)),"",VLOOKUP(C81,Deflatores!G$4:H$38,2,FALSE)*H81+VLOOKUP(C81,Deflatores!G$4:I$38,3,FALSE)))</f>
        <v>2</v>
      </c>
      <c r="M81" s="10"/>
      <c r="N81" s="10"/>
      <c r="O81" s="125"/>
    </row>
    <row r="82" spans="1:15">
      <c r="A82" s="138" t="s">
        <v>126</v>
      </c>
      <c r="B82" s="4" t="s">
        <v>63</v>
      </c>
      <c r="C82" s="4" t="s">
        <v>49</v>
      </c>
      <c r="D82" s="7">
        <v>3</v>
      </c>
      <c r="E82" s="7">
        <v>2</v>
      </c>
      <c r="F82" s="116" t="str">
        <f t="shared" ref="F82:F84" si="48">IF(ISBLANK(B82),"",IF(I82="L","Baixa",IF(I82="A","Média",IF(I82="","","Alta"))))</f>
        <v>Baixa</v>
      </c>
      <c r="G82" s="7" t="str">
        <f t="shared" ref="G82:G84" si="49">CONCATENATE(B82,I82)</f>
        <v>EEL</v>
      </c>
      <c r="H82" s="7">
        <f t="shared" ref="H82:H84" si="50">IF(ISBLANK(B82),"",IF(B82="ALI",IF(I82="L",7,IF(I82="A",10,15)),IF(B82="AIE",IF(I82="L",5,IF(I82="A",7,10)),IF(B82="SE",IF(I82="L",4,IF(I82="A",5,7)),IF(OR(B82="EE",B82="CE"),IF(I82="L",3,IF(I82="A",4,6)),0)))))</f>
        <v>3</v>
      </c>
      <c r="I82" s="116" t="str">
        <f t="shared" ref="I82:I84" si="51">IF(OR(ISBLANK(D82),ISBLANK(E82)),IF(OR(B82="ALI",B82="AIE"),"L",IF(OR(B82="EE",B82="SE",B82="CE"),"A","")),IF(B82="EE",IF(E82&gt;=3,IF(D82&gt;=5,"H","A"),IF(E82&gt;=2,IF(D82&gt;=16,"H",IF(D82&lt;=4,"L","A")),IF(D82&lt;=15,"L","A"))),IF(OR(B82="SE",B82="CE"),IF(E82&gt;=4,IF(D82&gt;=6,"H","A"),IF(E82&gt;=2,IF(D82&gt;=20,"H",IF(D82&lt;=5,"L","A")),IF(D82&lt;=19,"L","A"))),IF(OR(B82="ALI",B82="AIE"),IF(E82&gt;=6,IF(D82&gt;=20,"H","A"),IF(E82&gt;=2,IF(D82&gt;=51,"H",IF(D82&lt;=19,"L","A")),IF(D82&lt;=50,"L","A"))),""))))</f>
        <v>L</v>
      </c>
      <c r="J82" s="7" t="str">
        <f t="shared" ref="J82:J84" si="52">CONCATENATE(B82,C82)</f>
        <v>EEI</v>
      </c>
      <c r="K82" s="125">
        <f t="shared" ref="K82:K84" si="53">IF(OR(H82="",H82=0),L82,H82)</f>
        <v>3</v>
      </c>
      <c r="L82" s="125">
        <f>IF(NOT(ISERROR(VLOOKUP(B82,Deflatores!G$42:H$64,2,FALSE))),VLOOKUP(B82,Deflatores!G$42:H$64,2,FALSE),IF(OR(ISBLANK(C82),ISBLANK(B82)),"",VLOOKUP(C82,Deflatores!G$4:H$38,2,FALSE)*H82+VLOOKUP(C82,Deflatores!G$4:I$38,3,FALSE)))</f>
        <v>3</v>
      </c>
      <c r="M82" s="10"/>
      <c r="N82" s="10"/>
      <c r="O82" s="125"/>
    </row>
    <row r="83" spans="1:15">
      <c r="A83" s="138" t="s">
        <v>127</v>
      </c>
      <c r="B83" s="4" t="s">
        <v>44</v>
      </c>
      <c r="C83" s="4" t="s">
        <v>49</v>
      </c>
      <c r="D83" s="7">
        <v>13</v>
      </c>
      <c r="E83" s="7">
        <v>3</v>
      </c>
      <c r="F83" s="116" t="str">
        <f t="shared" si="48"/>
        <v>Média</v>
      </c>
      <c r="G83" s="7" t="str">
        <f t="shared" si="49"/>
        <v>CEA</v>
      </c>
      <c r="H83" s="7">
        <f t="shared" si="50"/>
        <v>4</v>
      </c>
      <c r="I83" s="116" t="str">
        <f t="shared" si="51"/>
        <v>A</v>
      </c>
      <c r="J83" s="7" t="str">
        <f t="shared" si="52"/>
        <v>CEI</v>
      </c>
      <c r="K83" s="125">
        <f t="shared" si="53"/>
        <v>4</v>
      </c>
      <c r="L83" s="125">
        <f>IF(NOT(ISERROR(VLOOKUP(B83,Deflatores!G$42:H$64,2,FALSE))),VLOOKUP(B83,Deflatores!G$42:H$64,2,FALSE),IF(OR(ISBLANK(C83),ISBLANK(B83)),"",VLOOKUP(C83,Deflatores!G$4:H$38,2,FALSE)*H83+VLOOKUP(C83,Deflatores!G$4:I$38,3,FALSE)))</f>
        <v>4</v>
      </c>
      <c r="M83" s="10"/>
      <c r="N83" s="10"/>
      <c r="O83" s="125"/>
    </row>
    <row r="84" spans="1:15">
      <c r="A84" s="138"/>
      <c r="B84" s="4"/>
      <c r="C84" s="4"/>
      <c r="D84" s="7"/>
      <c r="E84" s="7"/>
      <c r="F84" s="116" t="str">
        <f t="shared" si="48"/>
        <v/>
      </c>
      <c r="G84" s="7" t="str">
        <f t="shared" si="49"/>
        <v/>
      </c>
      <c r="H84" s="7" t="str">
        <f t="shared" si="50"/>
        <v/>
      </c>
      <c r="I84" s="116" t="str">
        <f t="shared" si="51"/>
        <v/>
      </c>
      <c r="J84" s="7" t="str">
        <f t="shared" si="52"/>
        <v/>
      </c>
      <c r="K84" s="125" t="str">
        <f t="shared" si="53"/>
        <v/>
      </c>
      <c r="L84" s="125" t="str">
        <f>IF(NOT(ISERROR(VLOOKUP(B84,Deflatores!G$42:H$64,2,FALSE))),VLOOKUP(B84,Deflatores!G$42:H$64,2,FALSE),IF(OR(ISBLANK(C84),ISBLANK(B84)),"",VLOOKUP(C84,Deflatores!G$4:H$38,2,FALSE)*H84+VLOOKUP(C84,Deflatores!G$4:I$38,3,FALSE)))</f>
        <v/>
      </c>
      <c r="M84" s="10"/>
      <c r="N84" s="10"/>
      <c r="O84" s="125"/>
    </row>
    <row r="85" spans="1:15">
      <c r="A85" s="137" t="s">
        <v>128</v>
      </c>
      <c r="B85" s="4"/>
      <c r="C85" s="4"/>
      <c r="D85" s="7"/>
      <c r="E85" s="7"/>
      <c r="F85" s="116"/>
      <c r="G85" s="7"/>
      <c r="H85" s="7"/>
      <c r="I85" s="116"/>
      <c r="J85" s="7"/>
      <c r="K85" s="125"/>
      <c r="L85" s="125" t="str">
        <f>IF(NOT(ISERROR(VLOOKUP(B85,Deflatores!G$42:H$64,2,FALSE))),VLOOKUP(B85,Deflatores!G$42:H$64,2,FALSE),IF(OR(ISBLANK(C85),ISBLANK(B85)),"",VLOOKUP(C85,Deflatores!G$4:H$38,2,FALSE)*H85+VLOOKUP(C85,Deflatores!G$4:I$38,3,FALSE)))</f>
        <v/>
      </c>
      <c r="M85" s="10"/>
      <c r="N85" s="10"/>
      <c r="O85" s="125"/>
    </row>
    <row r="86" spans="1:15">
      <c r="A86" s="138" t="s">
        <v>129</v>
      </c>
      <c r="B86" s="4" t="s">
        <v>44</v>
      </c>
      <c r="C86" s="4" t="s">
        <v>49</v>
      </c>
      <c r="D86" s="7">
        <v>11</v>
      </c>
      <c r="E86" s="7">
        <v>4</v>
      </c>
      <c r="F86" s="116" t="str">
        <f t="shared" ref="F86:F89" si="54">IF(ISBLANK(B86),"",IF(I86="L","Baixa",IF(I86="A","Média",IF(I86="","","Alta"))))</f>
        <v>Alta</v>
      </c>
      <c r="G86" s="7" t="str">
        <f t="shared" ref="G86:G89" si="55">CONCATENATE(B86,I86)</f>
        <v>CEH</v>
      </c>
      <c r="H86" s="7">
        <f t="shared" ref="H86:H89" si="56">IF(ISBLANK(B86),"",IF(B86="ALI",IF(I86="L",7,IF(I86="A",10,15)),IF(B86="AIE",IF(I86="L",5,IF(I86="A",7,10)),IF(B86="SE",IF(I86="L",4,IF(I86="A",5,7)),IF(OR(B86="EE",B86="CE"),IF(I86="L",3,IF(I86="A",4,6)),0)))))</f>
        <v>6</v>
      </c>
      <c r="I86" s="116" t="str">
        <f t="shared" ref="I86:I89" si="57">IF(OR(ISBLANK(D86),ISBLANK(E86)),IF(OR(B86="ALI",B86="AIE"),"L",IF(OR(B86="EE",B86="SE",B86="CE"),"A","")),IF(B86="EE",IF(E86&gt;=3,IF(D86&gt;=5,"H","A"),IF(E86&gt;=2,IF(D86&gt;=16,"H",IF(D86&lt;=4,"L","A")),IF(D86&lt;=15,"L","A"))),IF(OR(B86="SE",B86="CE"),IF(E86&gt;=4,IF(D86&gt;=6,"H","A"),IF(E86&gt;=2,IF(D86&gt;=20,"H",IF(D86&lt;=5,"L","A")),IF(D86&lt;=19,"L","A"))),IF(OR(B86="ALI",B86="AIE"),IF(E86&gt;=6,IF(D86&gt;=20,"H","A"),IF(E86&gt;=2,IF(D86&gt;=51,"H",IF(D86&lt;=19,"L","A")),IF(D86&lt;=50,"L","A"))),""))))</f>
        <v>H</v>
      </c>
      <c r="J86" s="7" t="str">
        <f t="shared" ref="J86:J89" si="58">CONCATENATE(B86,C86)</f>
        <v>CEI</v>
      </c>
      <c r="K86" s="125">
        <f t="shared" ref="K86:K89" si="59">IF(OR(H86="",H86=0),L86,H86)</f>
        <v>6</v>
      </c>
      <c r="L86" s="125">
        <f>IF(NOT(ISERROR(VLOOKUP(B86,Deflatores!G$42:H$64,2,FALSE))),VLOOKUP(B86,Deflatores!G$42:H$64,2,FALSE),IF(OR(ISBLANK(C86),ISBLANK(B86)),"",VLOOKUP(C86,Deflatores!G$4:H$38,2,FALSE)*H86+VLOOKUP(C86,Deflatores!G$4:I$38,3,FALSE)))</f>
        <v>6</v>
      </c>
      <c r="M86" s="10"/>
      <c r="N86" s="10"/>
      <c r="O86" s="125"/>
    </row>
    <row r="87" spans="1:15">
      <c r="A87" s="138"/>
      <c r="B87" s="4"/>
      <c r="C87" s="4"/>
      <c r="D87" s="7"/>
      <c r="E87" s="7"/>
      <c r="F87" s="116" t="str">
        <f t="shared" si="54"/>
        <v/>
      </c>
      <c r="G87" s="7" t="str">
        <f t="shared" si="55"/>
        <v/>
      </c>
      <c r="H87" s="7" t="str">
        <f t="shared" si="56"/>
        <v/>
      </c>
      <c r="I87" s="116" t="str">
        <f t="shared" si="57"/>
        <v/>
      </c>
      <c r="J87" s="7" t="str">
        <f t="shared" si="58"/>
        <v/>
      </c>
      <c r="K87" s="125" t="str">
        <f t="shared" si="59"/>
        <v/>
      </c>
      <c r="L87" s="125" t="str">
        <f>IF(NOT(ISERROR(VLOOKUP(B87,Deflatores!G$42:H$64,2,FALSE))),VLOOKUP(B87,Deflatores!G$42:H$64,2,FALSE),IF(OR(ISBLANK(C87),ISBLANK(B87)),"",VLOOKUP(C87,Deflatores!G$4:H$38,2,FALSE)*H87+VLOOKUP(C87,Deflatores!G$4:I$38,3,FALSE)))</f>
        <v/>
      </c>
      <c r="M87" s="10"/>
      <c r="N87" s="10"/>
      <c r="O87" s="125"/>
    </row>
    <row r="88" spans="1:15">
      <c r="A88" s="137" t="s">
        <v>130</v>
      </c>
      <c r="B88" s="4"/>
      <c r="C88" s="4"/>
      <c r="D88" s="7"/>
      <c r="E88" s="7"/>
      <c r="F88" s="116" t="str">
        <f t="shared" si="54"/>
        <v/>
      </c>
      <c r="G88" s="7" t="str">
        <f t="shared" si="55"/>
        <v/>
      </c>
      <c r="H88" s="7" t="str">
        <f t="shared" si="56"/>
        <v/>
      </c>
      <c r="I88" s="116" t="str">
        <f t="shared" si="57"/>
        <v/>
      </c>
      <c r="J88" s="7" t="str">
        <f t="shared" si="58"/>
        <v/>
      </c>
      <c r="K88" s="125" t="str">
        <f t="shared" si="59"/>
        <v/>
      </c>
      <c r="L88" s="125" t="str">
        <f>IF(NOT(ISERROR(VLOOKUP(B88,Deflatores!G$42:H$64,2,FALSE))),VLOOKUP(B88,Deflatores!G$42:H$64,2,FALSE),IF(OR(ISBLANK(C88),ISBLANK(B88)),"",VLOOKUP(C88,Deflatores!G$4:H$38,2,FALSE)*H88+VLOOKUP(C88,Deflatores!G$4:I$38,3,FALSE)))</f>
        <v/>
      </c>
      <c r="M88" s="10"/>
      <c r="N88" s="10"/>
      <c r="O88" s="125"/>
    </row>
    <row r="89" spans="1:15">
      <c r="A89" s="138" t="s">
        <v>131</v>
      </c>
      <c r="B89" s="4" t="s">
        <v>48</v>
      </c>
      <c r="C89" s="4" t="s">
        <v>49</v>
      </c>
      <c r="D89" s="7">
        <v>4</v>
      </c>
      <c r="E89" s="7">
        <v>1</v>
      </c>
      <c r="F89" s="116" t="str">
        <f t="shared" si="54"/>
        <v>Baixa</v>
      </c>
      <c r="G89" s="7" t="str">
        <f t="shared" si="55"/>
        <v>AIEL</v>
      </c>
      <c r="H89" s="7">
        <f t="shared" si="56"/>
        <v>5</v>
      </c>
      <c r="I89" s="116" t="str">
        <f t="shared" si="57"/>
        <v>L</v>
      </c>
      <c r="J89" s="7" t="str">
        <f t="shared" si="58"/>
        <v>AIEI</v>
      </c>
      <c r="K89" s="125">
        <f t="shared" si="59"/>
        <v>5</v>
      </c>
      <c r="L89" s="125">
        <f>IF(NOT(ISERROR(VLOOKUP(B89,Deflatores!G$42:H$64,2,FALSE))),VLOOKUP(B89,Deflatores!G$42:H$64,2,FALSE),IF(OR(ISBLANK(C89),ISBLANK(B89)),"",VLOOKUP(C89,Deflatores!G$4:H$38,2,FALSE)*H89+VLOOKUP(C89,Deflatores!G$4:I$38,3,FALSE)))</f>
        <v>5</v>
      </c>
      <c r="M89" s="10"/>
      <c r="N89" s="10"/>
      <c r="O89" s="125"/>
    </row>
    <row r="90" spans="1:15">
      <c r="A90" s="138" t="s">
        <v>132</v>
      </c>
      <c r="B90" s="4" t="s">
        <v>55</v>
      </c>
      <c r="C90" s="4" t="s">
        <v>49</v>
      </c>
      <c r="D90" s="7">
        <v>14</v>
      </c>
      <c r="E90" s="7">
        <v>3</v>
      </c>
      <c r="F90" s="116" t="str">
        <f t="shared" si="24"/>
        <v>Baixa</v>
      </c>
      <c r="G90" s="7" t="str">
        <f t="shared" si="25"/>
        <v>ALIL</v>
      </c>
      <c r="H90" s="7">
        <f t="shared" si="26"/>
        <v>7</v>
      </c>
      <c r="I90" s="116" t="str">
        <f t="shared" si="27"/>
        <v>L</v>
      </c>
      <c r="J90" s="7" t="str">
        <f t="shared" si="28"/>
        <v>ALII</v>
      </c>
      <c r="K90" s="125">
        <f t="shared" si="29"/>
        <v>7</v>
      </c>
      <c r="L90" s="125">
        <f>IF(NOT(ISERROR(VLOOKUP(B90,Deflatores!G$42:H$64,2,FALSE))),VLOOKUP(B90,Deflatores!G$42:H$64,2,FALSE),IF(OR(ISBLANK(C90),ISBLANK(B90)),"",VLOOKUP(C90,Deflatores!G$4:H$38,2,FALSE)*H90+VLOOKUP(C90,Deflatores!G$4:I$38,3,FALSE)))</f>
        <v>7</v>
      </c>
      <c r="M90" s="10"/>
      <c r="N90" s="10"/>
      <c r="O90" s="125"/>
    </row>
    <row r="91" spans="1:15">
      <c r="A91" s="138" t="s">
        <v>133</v>
      </c>
      <c r="B91" s="4" t="s">
        <v>44</v>
      </c>
      <c r="C91" s="4" t="s">
        <v>45</v>
      </c>
      <c r="D91" s="7">
        <v>10</v>
      </c>
      <c r="E91" s="7">
        <v>4</v>
      </c>
      <c r="F91" s="116" t="str">
        <f t="shared" ref="F91:F121" si="60">IF(ISBLANK(B91),"",IF(I91="L","Baixa",IF(I91="A","Média",IF(I91="","","Alta"))))</f>
        <v>Alta</v>
      </c>
      <c r="G91" s="7" t="str">
        <f t="shared" ref="G91:G121" si="61">CONCATENATE(B91,I91)</f>
        <v>CEH</v>
      </c>
      <c r="H91" s="7">
        <f t="shared" ref="H91:H121" si="62">IF(ISBLANK(B91),"",IF(B91="ALI",IF(I91="L",7,IF(I91="A",10,15)),IF(B91="AIE",IF(I91="L",5,IF(I91="A",7,10)),IF(B91="SE",IF(I91="L",4,IF(I91="A",5,7)),IF(OR(B91="EE",B91="CE"),IF(I91="L",3,IF(I91="A",4,6)),0)))))</f>
        <v>6</v>
      </c>
      <c r="I91" s="116" t="str">
        <f t="shared" ref="I91:I121" si="63">IF(OR(ISBLANK(D91),ISBLANK(E91)),IF(OR(B91="ALI",B91="AIE"),"L",IF(OR(B91="EE",B91="SE",B91="CE"),"A","")),IF(B91="EE",IF(E91&gt;=3,IF(D91&gt;=5,"H","A"),IF(E91&gt;=2,IF(D91&gt;=16,"H",IF(D91&lt;=4,"L","A")),IF(D91&lt;=15,"L","A"))),IF(OR(B91="SE",B91="CE"),IF(E91&gt;=4,IF(D91&gt;=6,"H","A"),IF(E91&gt;=2,IF(D91&gt;=20,"H",IF(D91&lt;=5,"L","A")),IF(D91&lt;=19,"L","A"))),IF(OR(B91="ALI",B91="AIE"),IF(E91&gt;=6,IF(D91&gt;=20,"H","A"),IF(E91&gt;=2,IF(D91&gt;=51,"H",IF(D91&lt;=19,"L","A")),IF(D91&lt;=50,"L","A"))),""))))</f>
        <v>H</v>
      </c>
      <c r="J91" s="7" t="str">
        <f t="shared" ref="J91:J121" si="64">CONCATENATE(B91,C91)</f>
        <v>CECOS</v>
      </c>
      <c r="K91" s="125">
        <f t="shared" ref="K91:K121" si="65">IF(OR(H91="",H91=0),L91,H91)</f>
        <v>6</v>
      </c>
      <c r="L91" s="125">
        <f>IF(NOT(ISERROR(VLOOKUP(B91,Deflatores!G$42:H$64,2,FALSE))),VLOOKUP(B91,Deflatores!G$42:H$64,2,FALSE),IF(OR(ISBLANK(C91),ISBLANK(B91)),"",VLOOKUP(C91,Deflatores!G$4:H$38,2,FALSE)*H91+VLOOKUP(C91,Deflatores!G$4:I$38,3,FALSE)))</f>
        <v>0.6</v>
      </c>
      <c r="M91" s="10"/>
      <c r="N91" s="10"/>
      <c r="O91" s="125"/>
    </row>
    <row r="92" spans="1:15">
      <c r="A92" s="138" t="s">
        <v>134</v>
      </c>
      <c r="B92" s="4" t="s">
        <v>44</v>
      </c>
      <c r="C92" s="4" t="s">
        <v>49</v>
      </c>
      <c r="D92" s="7">
        <v>3</v>
      </c>
      <c r="E92" s="7">
        <v>1</v>
      </c>
      <c r="F92" s="116" t="str">
        <f t="shared" si="60"/>
        <v>Baixa</v>
      </c>
      <c r="G92" s="7" t="str">
        <f t="shared" si="61"/>
        <v>CEL</v>
      </c>
      <c r="H92" s="7">
        <f t="shared" si="62"/>
        <v>3</v>
      </c>
      <c r="I92" s="116" t="str">
        <f t="shared" si="63"/>
        <v>L</v>
      </c>
      <c r="J92" s="7" t="str">
        <f t="shared" si="64"/>
        <v>CEI</v>
      </c>
      <c r="K92" s="125">
        <f t="shared" si="65"/>
        <v>3</v>
      </c>
      <c r="L92" s="125">
        <f>IF(NOT(ISERROR(VLOOKUP(B92,Deflatores!G$42:H$64,2,FALSE))),VLOOKUP(B92,Deflatores!G$42:H$64,2,FALSE),IF(OR(ISBLANK(C92),ISBLANK(B92)),"",VLOOKUP(C92,Deflatores!G$4:H$38,2,FALSE)*H92+VLOOKUP(C92,Deflatores!G$4:I$38,3,FALSE)))</f>
        <v>3</v>
      </c>
      <c r="M92" s="10"/>
      <c r="N92" s="10"/>
      <c r="O92" s="125"/>
    </row>
    <row r="93" spans="1:15">
      <c r="A93" s="138" t="s">
        <v>135</v>
      </c>
      <c r="B93" s="4" t="s">
        <v>63</v>
      </c>
      <c r="C93" s="4" t="s">
        <v>49</v>
      </c>
      <c r="D93" s="7">
        <v>16</v>
      </c>
      <c r="E93" s="7">
        <v>5</v>
      </c>
      <c r="F93" s="116" t="str">
        <f t="shared" si="60"/>
        <v>Alta</v>
      </c>
      <c r="G93" s="7" t="str">
        <f t="shared" si="61"/>
        <v>EEH</v>
      </c>
      <c r="H93" s="7">
        <f t="shared" si="62"/>
        <v>6</v>
      </c>
      <c r="I93" s="116" t="str">
        <f t="shared" si="63"/>
        <v>H</v>
      </c>
      <c r="J93" s="7" t="str">
        <f t="shared" si="64"/>
        <v>EEI</v>
      </c>
      <c r="K93" s="125">
        <f t="shared" si="65"/>
        <v>6</v>
      </c>
      <c r="L93" s="125">
        <f>IF(NOT(ISERROR(VLOOKUP(B93,Deflatores!G$42:H$64,2,FALSE))),VLOOKUP(B93,Deflatores!G$42:H$64,2,FALSE),IF(OR(ISBLANK(C93),ISBLANK(B93)),"",VLOOKUP(C93,Deflatores!G$4:H$38,2,FALSE)*H93+VLOOKUP(C93,Deflatores!G$4:I$38,3,FALSE)))</f>
        <v>6</v>
      </c>
      <c r="M93" s="10"/>
      <c r="N93" s="10"/>
      <c r="O93" s="125"/>
    </row>
    <row r="94" spans="1:15">
      <c r="A94" s="139" t="s">
        <v>136</v>
      </c>
      <c r="B94" s="128" t="s">
        <v>44</v>
      </c>
      <c r="C94" s="4" t="s">
        <v>49</v>
      </c>
      <c r="D94" s="7">
        <v>3</v>
      </c>
      <c r="E94" s="7">
        <v>1</v>
      </c>
      <c r="F94" s="116" t="str">
        <f t="shared" si="60"/>
        <v>Baixa</v>
      </c>
      <c r="G94" s="7" t="str">
        <f t="shared" si="61"/>
        <v>CEL</v>
      </c>
      <c r="H94" s="7">
        <f t="shared" si="62"/>
        <v>3</v>
      </c>
      <c r="I94" s="116" t="str">
        <f t="shared" si="63"/>
        <v>L</v>
      </c>
      <c r="J94" s="7" t="str">
        <f t="shared" si="64"/>
        <v>CEI</v>
      </c>
      <c r="K94" s="125">
        <f t="shared" si="65"/>
        <v>3</v>
      </c>
      <c r="L94" s="125">
        <f>IF(NOT(ISERROR(VLOOKUP(B94,Deflatores!G$42:H$64,2,FALSE))),VLOOKUP(B94,Deflatores!G$42:H$64,2,FALSE),IF(OR(ISBLANK(C94),ISBLANK(B94)),"",VLOOKUP(C94,Deflatores!G$4:H$38,2,FALSE)*H94+VLOOKUP(C94,Deflatores!G$4:I$38,3,FALSE)))</f>
        <v>3</v>
      </c>
      <c r="M94" s="10"/>
      <c r="N94" s="10"/>
      <c r="O94" s="125"/>
    </row>
    <row r="95" spans="1:15">
      <c r="A95" s="139" t="s">
        <v>137</v>
      </c>
      <c r="B95" s="128" t="s">
        <v>44</v>
      </c>
      <c r="C95" s="4" t="s">
        <v>49</v>
      </c>
      <c r="D95" s="7">
        <v>3</v>
      </c>
      <c r="E95" s="7">
        <v>1</v>
      </c>
      <c r="F95" s="116" t="str">
        <f t="shared" si="60"/>
        <v>Baixa</v>
      </c>
      <c r="G95" s="7" t="str">
        <f t="shared" si="61"/>
        <v>CEL</v>
      </c>
      <c r="H95" s="7">
        <f t="shared" si="62"/>
        <v>3</v>
      </c>
      <c r="I95" s="116" t="str">
        <f t="shared" si="63"/>
        <v>L</v>
      </c>
      <c r="J95" s="7" t="str">
        <f t="shared" si="64"/>
        <v>CEI</v>
      </c>
      <c r="K95" s="125">
        <f t="shared" si="65"/>
        <v>3</v>
      </c>
      <c r="L95" s="125">
        <f>IF(NOT(ISERROR(VLOOKUP(B95,Deflatores!G$42:H$64,2,FALSE))),VLOOKUP(B95,Deflatores!G$42:H$64,2,FALSE),IF(OR(ISBLANK(C95),ISBLANK(B95)),"",VLOOKUP(C95,Deflatores!G$4:H$38,2,FALSE)*H95+VLOOKUP(C95,Deflatores!G$4:I$38,3,FALSE)))</f>
        <v>3</v>
      </c>
      <c r="M95" s="10"/>
      <c r="N95" s="10"/>
      <c r="O95" s="125"/>
    </row>
    <row r="96" spans="1:15">
      <c r="A96" s="139" t="s">
        <v>138</v>
      </c>
      <c r="B96" s="128" t="s">
        <v>44</v>
      </c>
      <c r="C96" s="4" t="s">
        <v>49</v>
      </c>
      <c r="D96" s="7">
        <v>3</v>
      </c>
      <c r="E96" s="7">
        <v>1</v>
      </c>
      <c r="F96" s="116" t="str">
        <f t="shared" si="60"/>
        <v>Baixa</v>
      </c>
      <c r="G96" s="7" t="str">
        <f t="shared" si="61"/>
        <v>CEL</v>
      </c>
      <c r="H96" s="7">
        <f t="shared" si="62"/>
        <v>3</v>
      </c>
      <c r="I96" s="116" t="str">
        <f t="shared" si="63"/>
        <v>L</v>
      </c>
      <c r="J96" s="7" t="str">
        <f t="shared" si="64"/>
        <v>CEI</v>
      </c>
      <c r="K96" s="125">
        <f t="shared" si="65"/>
        <v>3</v>
      </c>
      <c r="L96" s="125">
        <f>IF(NOT(ISERROR(VLOOKUP(B96,Deflatores!G$42:H$64,2,FALSE))),VLOOKUP(B96,Deflatores!G$42:H$64,2,FALSE),IF(OR(ISBLANK(C96),ISBLANK(B96)),"",VLOOKUP(C96,Deflatores!G$4:H$38,2,FALSE)*H96+VLOOKUP(C96,Deflatores!G$4:I$38,3,FALSE)))</f>
        <v>3</v>
      </c>
      <c r="M96" s="10"/>
      <c r="N96" s="10"/>
      <c r="O96" s="130"/>
    </row>
    <row r="97" spans="1:15">
      <c r="A97" s="138" t="s">
        <v>139</v>
      </c>
      <c r="B97" s="4" t="s">
        <v>63</v>
      </c>
      <c r="C97" s="4" t="s">
        <v>49</v>
      </c>
      <c r="D97" s="7">
        <v>10</v>
      </c>
      <c r="E97" s="7">
        <v>4</v>
      </c>
      <c r="F97" s="116" t="str">
        <f t="shared" si="60"/>
        <v>Alta</v>
      </c>
      <c r="G97" s="7" t="str">
        <f t="shared" si="61"/>
        <v>EEH</v>
      </c>
      <c r="H97" s="7">
        <f t="shared" si="62"/>
        <v>6</v>
      </c>
      <c r="I97" s="116" t="str">
        <f t="shared" si="63"/>
        <v>H</v>
      </c>
      <c r="J97" s="7" t="str">
        <f t="shared" si="64"/>
        <v>EEI</v>
      </c>
      <c r="K97" s="125">
        <f t="shared" si="65"/>
        <v>6</v>
      </c>
      <c r="L97" s="125">
        <f>IF(NOT(ISERROR(VLOOKUP(B97,Deflatores!G$42:H$64,2,FALSE))),VLOOKUP(B97,Deflatores!G$42:H$64,2,FALSE),IF(OR(ISBLANK(C97),ISBLANK(B97)),"",VLOOKUP(C97,Deflatores!G$4:H$38,2,FALSE)*H97+VLOOKUP(C97,Deflatores!G$4:I$38,3,FALSE)))</f>
        <v>6</v>
      </c>
      <c r="M97" s="10"/>
      <c r="N97" s="10"/>
      <c r="O97" s="125"/>
    </row>
    <row r="98" spans="1:15">
      <c r="A98" s="139" t="s">
        <v>140</v>
      </c>
      <c r="B98" s="4" t="s">
        <v>44</v>
      </c>
      <c r="C98" s="4" t="s">
        <v>49</v>
      </c>
      <c r="D98" s="7">
        <v>10</v>
      </c>
      <c r="E98" s="7">
        <v>3</v>
      </c>
      <c r="F98" s="116" t="str">
        <f t="shared" si="60"/>
        <v>Média</v>
      </c>
      <c r="G98" s="7" t="str">
        <f t="shared" si="61"/>
        <v>CEA</v>
      </c>
      <c r="H98" s="7">
        <f t="shared" si="62"/>
        <v>4</v>
      </c>
      <c r="I98" s="116" t="str">
        <f t="shared" si="63"/>
        <v>A</v>
      </c>
      <c r="J98" s="7" t="str">
        <f t="shared" si="64"/>
        <v>CEI</v>
      </c>
      <c r="K98" s="125">
        <f t="shared" si="65"/>
        <v>4</v>
      </c>
      <c r="L98" s="125">
        <f>IF(NOT(ISERROR(VLOOKUP(B98,Deflatores!G$42:H$64,2,FALSE))),VLOOKUP(B98,Deflatores!G$42:H$64,2,FALSE),IF(OR(ISBLANK(C98),ISBLANK(B98)),"",VLOOKUP(C98,Deflatores!G$4:H$38,2,FALSE)*H98+VLOOKUP(C98,Deflatores!G$4:I$38,3,FALSE)))</f>
        <v>4</v>
      </c>
      <c r="M98" s="10"/>
      <c r="N98" s="10"/>
      <c r="O98" s="132"/>
    </row>
    <row r="99" spans="1:15">
      <c r="A99" s="138" t="s">
        <v>141</v>
      </c>
      <c r="B99" s="4" t="s">
        <v>44</v>
      </c>
      <c r="C99" s="4" t="s">
        <v>49</v>
      </c>
      <c r="D99" s="7">
        <v>12</v>
      </c>
      <c r="E99" s="7">
        <v>3</v>
      </c>
      <c r="F99" s="116" t="str">
        <f t="shared" si="60"/>
        <v>Média</v>
      </c>
      <c r="G99" s="7" t="str">
        <f t="shared" si="61"/>
        <v>CEA</v>
      </c>
      <c r="H99" s="7">
        <f t="shared" si="62"/>
        <v>4</v>
      </c>
      <c r="I99" s="116" t="str">
        <f t="shared" si="63"/>
        <v>A</v>
      </c>
      <c r="J99" s="7" t="str">
        <f t="shared" si="64"/>
        <v>CEI</v>
      </c>
      <c r="K99" s="125">
        <f t="shared" si="65"/>
        <v>4</v>
      </c>
      <c r="L99" s="125">
        <f>IF(NOT(ISERROR(VLOOKUP(B99,Deflatores!G$42:H$64,2,FALSE))),VLOOKUP(B99,Deflatores!G$42:H$64,2,FALSE),IF(OR(ISBLANK(C99),ISBLANK(B99)),"",VLOOKUP(C99,Deflatores!G$4:H$38,2,FALSE)*H99+VLOOKUP(C99,Deflatores!G$4:I$38,3,FALSE)))</f>
        <v>4</v>
      </c>
      <c r="M99" s="10"/>
      <c r="N99" s="10"/>
      <c r="O99" s="125"/>
    </row>
    <row r="100" spans="1:15">
      <c r="A100" s="138" t="s">
        <v>142</v>
      </c>
      <c r="B100" s="4" t="s">
        <v>63</v>
      </c>
      <c r="C100" s="4" t="s">
        <v>49</v>
      </c>
      <c r="D100" s="7">
        <v>3</v>
      </c>
      <c r="E100" s="7">
        <v>2</v>
      </c>
      <c r="F100" s="116" t="str">
        <f t="shared" si="60"/>
        <v>Baixa</v>
      </c>
      <c r="G100" s="7" t="str">
        <f t="shared" si="61"/>
        <v>EEL</v>
      </c>
      <c r="H100" s="7">
        <f t="shared" si="62"/>
        <v>3</v>
      </c>
      <c r="I100" s="116" t="str">
        <f t="shared" si="63"/>
        <v>L</v>
      </c>
      <c r="J100" s="7" t="str">
        <f t="shared" si="64"/>
        <v>EEI</v>
      </c>
      <c r="K100" s="125">
        <f t="shared" si="65"/>
        <v>3</v>
      </c>
      <c r="L100" s="125">
        <f>IF(NOT(ISERROR(VLOOKUP(B100,Deflatores!G$42:H$64,2,FALSE))),VLOOKUP(B100,Deflatores!G$42:H$64,2,FALSE),IF(OR(ISBLANK(C100),ISBLANK(B100)),"",VLOOKUP(C100,Deflatores!G$4:H$38,2,FALSE)*H100+VLOOKUP(C100,Deflatores!G$4:I$38,3,FALSE)))</f>
        <v>3</v>
      </c>
      <c r="M100" s="10"/>
      <c r="N100" s="10"/>
      <c r="O100" s="125"/>
    </row>
    <row r="101" spans="1:15">
      <c r="A101" s="138" t="s">
        <v>143</v>
      </c>
      <c r="B101" s="4" t="s">
        <v>44</v>
      </c>
      <c r="C101" s="4" t="s">
        <v>49</v>
      </c>
      <c r="D101" s="7">
        <v>12</v>
      </c>
      <c r="E101" s="7">
        <v>3</v>
      </c>
      <c r="F101" s="116" t="str">
        <f t="shared" si="60"/>
        <v>Média</v>
      </c>
      <c r="G101" s="7" t="str">
        <f t="shared" si="61"/>
        <v>CEA</v>
      </c>
      <c r="H101" s="7">
        <f t="shared" si="62"/>
        <v>4</v>
      </c>
      <c r="I101" s="116" t="str">
        <f t="shared" si="63"/>
        <v>A</v>
      </c>
      <c r="J101" s="7" t="str">
        <f t="shared" si="64"/>
        <v>CEI</v>
      </c>
      <c r="K101" s="125">
        <f t="shared" si="65"/>
        <v>4</v>
      </c>
      <c r="L101" s="125">
        <f>IF(NOT(ISERROR(VLOOKUP(B101,Deflatores!G$42:H$64,2,FALSE))),VLOOKUP(B101,Deflatores!G$42:H$64,2,FALSE),IF(OR(ISBLANK(C101),ISBLANK(B101)),"",VLOOKUP(C101,Deflatores!G$4:H$38,2,FALSE)*H101+VLOOKUP(C101,Deflatores!G$4:I$38,3,FALSE)))</f>
        <v>4</v>
      </c>
      <c r="M101" s="10"/>
      <c r="N101" s="10"/>
      <c r="O101" s="125"/>
    </row>
    <row r="102" spans="1:15">
      <c r="A102" s="138" t="s">
        <v>144</v>
      </c>
      <c r="B102" s="4" t="s">
        <v>63</v>
      </c>
      <c r="C102" s="4" t="s">
        <v>49</v>
      </c>
      <c r="D102" s="7">
        <v>6</v>
      </c>
      <c r="E102" s="7">
        <v>2</v>
      </c>
      <c r="F102" s="116" t="str">
        <f t="shared" si="60"/>
        <v>Média</v>
      </c>
      <c r="G102" s="7" t="str">
        <f t="shared" si="61"/>
        <v>EEA</v>
      </c>
      <c r="H102" s="7">
        <f t="shared" si="62"/>
        <v>4</v>
      </c>
      <c r="I102" s="116" t="str">
        <f t="shared" si="63"/>
        <v>A</v>
      </c>
      <c r="J102" s="7" t="str">
        <f t="shared" si="64"/>
        <v>EEI</v>
      </c>
      <c r="K102" s="125">
        <f t="shared" si="65"/>
        <v>4</v>
      </c>
      <c r="L102" s="125">
        <f>IF(NOT(ISERROR(VLOOKUP(B102,Deflatores!G$42:H$64,2,FALSE))),VLOOKUP(B102,Deflatores!G$42:H$64,2,FALSE),IF(OR(ISBLANK(C102),ISBLANK(B102)),"",VLOOKUP(C102,Deflatores!G$4:H$38,2,FALSE)*H102+VLOOKUP(C102,Deflatores!G$4:I$38,3,FALSE)))</f>
        <v>4</v>
      </c>
      <c r="M102" s="10"/>
      <c r="N102" s="10"/>
      <c r="O102" s="125"/>
    </row>
    <row r="103" spans="1:15">
      <c r="A103" s="138"/>
      <c r="B103" s="4"/>
      <c r="C103" s="4"/>
      <c r="D103" s="7"/>
      <c r="E103" s="7"/>
      <c r="F103" s="116" t="str">
        <f t="shared" si="60"/>
        <v/>
      </c>
      <c r="G103" s="7" t="str">
        <f t="shared" si="61"/>
        <v/>
      </c>
      <c r="H103" s="7" t="str">
        <f t="shared" si="62"/>
        <v/>
      </c>
      <c r="I103" s="116" t="str">
        <f t="shared" si="63"/>
        <v/>
      </c>
      <c r="J103" s="7" t="str">
        <f t="shared" si="64"/>
        <v/>
      </c>
      <c r="K103" s="125" t="str">
        <f t="shared" si="65"/>
        <v/>
      </c>
      <c r="L103" s="125" t="str">
        <f>IF(NOT(ISERROR(VLOOKUP(B103,Deflatores!G$42:H$64,2,FALSE))),VLOOKUP(B103,Deflatores!G$42:H$64,2,FALSE),IF(OR(ISBLANK(C103),ISBLANK(B103)),"",VLOOKUP(C103,Deflatores!G$4:H$38,2,FALSE)*H103+VLOOKUP(C103,Deflatores!G$4:I$38,3,FALSE)))</f>
        <v/>
      </c>
      <c r="M103" s="10"/>
      <c r="N103" s="10"/>
      <c r="O103" s="125"/>
    </row>
    <row r="104" spans="1:15">
      <c r="A104" s="137" t="s">
        <v>145</v>
      </c>
      <c r="B104" s="4"/>
      <c r="C104" s="4"/>
      <c r="D104" s="7"/>
      <c r="E104" s="7"/>
      <c r="F104" s="116" t="str">
        <f t="shared" si="60"/>
        <v/>
      </c>
      <c r="G104" s="7" t="str">
        <f t="shared" si="61"/>
        <v/>
      </c>
      <c r="H104" s="7" t="str">
        <f t="shared" si="62"/>
        <v/>
      </c>
      <c r="I104" s="116" t="str">
        <f t="shared" si="63"/>
        <v/>
      </c>
      <c r="J104" s="7" t="str">
        <f t="shared" si="64"/>
        <v/>
      </c>
      <c r="K104" s="125" t="str">
        <f t="shared" si="65"/>
        <v/>
      </c>
      <c r="L104" s="125" t="str">
        <f>IF(NOT(ISERROR(VLOOKUP(B104,Deflatores!G$42:H$64,2,FALSE))),VLOOKUP(B104,Deflatores!G$42:H$64,2,FALSE),IF(OR(ISBLANK(C104),ISBLANK(B104)),"",VLOOKUP(C104,Deflatores!G$4:H$38,2,FALSE)*H104+VLOOKUP(C104,Deflatores!G$4:I$38,3,FALSE)))</f>
        <v/>
      </c>
      <c r="M104" s="10"/>
      <c r="N104" s="10"/>
      <c r="O104" s="125"/>
    </row>
    <row r="105" spans="1:15">
      <c r="A105" s="138" t="s">
        <v>146</v>
      </c>
      <c r="B105" s="4" t="s">
        <v>48</v>
      </c>
      <c r="C105" s="4" t="s">
        <v>49</v>
      </c>
      <c r="D105" s="7">
        <v>2</v>
      </c>
      <c r="E105" s="7">
        <v>1</v>
      </c>
      <c r="F105" s="116" t="str">
        <f t="shared" si="60"/>
        <v>Baixa</v>
      </c>
      <c r="G105" s="7" t="str">
        <f t="shared" si="61"/>
        <v>AIEL</v>
      </c>
      <c r="H105" s="7">
        <f t="shared" si="62"/>
        <v>5</v>
      </c>
      <c r="I105" s="116" t="str">
        <f t="shared" si="63"/>
        <v>L</v>
      </c>
      <c r="J105" s="7" t="str">
        <f t="shared" si="64"/>
        <v>AIEI</v>
      </c>
      <c r="K105" s="125">
        <f t="shared" si="65"/>
        <v>5</v>
      </c>
      <c r="L105" s="125">
        <f>IF(NOT(ISERROR(VLOOKUP(B105,Deflatores!G$42:H$64,2,FALSE))),VLOOKUP(B105,Deflatores!G$42:H$64,2,FALSE),IF(OR(ISBLANK(C105),ISBLANK(B105)),"",VLOOKUP(C105,Deflatores!G$4:H$38,2,FALSE)*H105+VLOOKUP(C105,Deflatores!G$4:I$38,3,FALSE)))</f>
        <v>5</v>
      </c>
      <c r="M105" s="10"/>
      <c r="N105" s="10"/>
      <c r="O105" s="125"/>
    </row>
    <row r="106" spans="1:15">
      <c r="A106" s="138" t="s">
        <v>147</v>
      </c>
      <c r="B106" s="4" t="s">
        <v>48</v>
      </c>
      <c r="C106" s="4" t="s">
        <v>49</v>
      </c>
      <c r="D106" s="7">
        <v>2</v>
      </c>
      <c r="E106" s="7">
        <v>1</v>
      </c>
      <c r="F106" s="116" t="str">
        <f t="shared" si="60"/>
        <v>Baixa</v>
      </c>
      <c r="G106" s="7" t="str">
        <f t="shared" si="61"/>
        <v>AIEL</v>
      </c>
      <c r="H106" s="7">
        <f t="shared" si="62"/>
        <v>5</v>
      </c>
      <c r="I106" s="116" t="str">
        <f t="shared" si="63"/>
        <v>L</v>
      </c>
      <c r="J106" s="7" t="str">
        <f t="shared" si="64"/>
        <v>AIEI</v>
      </c>
      <c r="K106" s="125">
        <f t="shared" si="65"/>
        <v>5</v>
      </c>
      <c r="L106" s="125">
        <f>IF(NOT(ISERROR(VLOOKUP(B106,Deflatores!G$42:H$64,2,FALSE))),VLOOKUP(B106,Deflatores!G$42:H$64,2,FALSE),IF(OR(ISBLANK(C106),ISBLANK(B106)),"",VLOOKUP(C106,Deflatores!G$4:H$38,2,FALSE)*H106+VLOOKUP(C106,Deflatores!G$4:I$38,3,FALSE)))</f>
        <v>5</v>
      </c>
      <c r="M106" s="10"/>
      <c r="N106" s="10"/>
      <c r="O106" s="125"/>
    </row>
    <row r="107" spans="1:15">
      <c r="A107" s="138" t="s">
        <v>148</v>
      </c>
      <c r="B107" s="4" t="s">
        <v>55</v>
      </c>
      <c r="C107" s="4" t="s">
        <v>49</v>
      </c>
      <c r="D107" s="7">
        <v>13</v>
      </c>
      <c r="E107" s="7">
        <v>1</v>
      </c>
      <c r="F107" s="116" t="str">
        <f t="shared" si="60"/>
        <v>Baixa</v>
      </c>
      <c r="G107" s="7" t="str">
        <f t="shared" si="61"/>
        <v>ALIL</v>
      </c>
      <c r="H107" s="7">
        <f t="shared" si="62"/>
        <v>7</v>
      </c>
      <c r="I107" s="116" t="str">
        <f t="shared" si="63"/>
        <v>L</v>
      </c>
      <c r="J107" s="7" t="str">
        <f t="shared" si="64"/>
        <v>ALII</v>
      </c>
      <c r="K107" s="125">
        <f t="shared" si="65"/>
        <v>7</v>
      </c>
      <c r="L107" s="125">
        <f>IF(NOT(ISERROR(VLOOKUP(B107,Deflatores!G$42:H$64,2,FALSE))),VLOOKUP(B107,Deflatores!G$42:H$64,2,FALSE),IF(OR(ISBLANK(C107),ISBLANK(B107)),"",VLOOKUP(C107,Deflatores!G$4:H$38,2,FALSE)*H107+VLOOKUP(C107,Deflatores!G$4:I$38,3,FALSE)))</f>
        <v>7</v>
      </c>
      <c r="M107" s="10"/>
      <c r="N107" s="10"/>
      <c r="O107" s="125"/>
    </row>
    <row r="108" spans="1:15">
      <c r="A108" s="138" t="s">
        <v>149</v>
      </c>
      <c r="B108" s="4" t="s">
        <v>58</v>
      </c>
      <c r="C108" s="4" t="s">
        <v>49</v>
      </c>
      <c r="D108" s="7">
        <v>21</v>
      </c>
      <c r="E108" s="7">
        <v>3</v>
      </c>
      <c r="F108" s="116" t="str">
        <f t="shared" si="60"/>
        <v>Alta</v>
      </c>
      <c r="G108" s="7" t="str">
        <f t="shared" si="61"/>
        <v>SEH</v>
      </c>
      <c r="H108" s="7">
        <f t="shared" si="62"/>
        <v>7</v>
      </c>
      <c r="I108" s="116" t="str">
        <f t="shared" si="63"/>
        <v>H</v>
      </c>
      <c r="J108" s="7" t="str">
        <f t="shared" si="64"/>
        <v>SEI</v>
      </c>
      <c r="K108" s="125">
        <f t="shared" si="65"/>
        <v>7</v>
      </c>
      <c r="L108" s="125">
        <f>IF(NOT(ISERROR(VLOOKUP(B108,Deflatores!G$42:H$64,2,FALSE))),VLOOKUP(B108,Deflatores!G$42:H$64,2,FALSE),IF(OR(ISBLANK(C108),ISBLANK(B108)),"",VLOOKUP(C108,Deflatores!G$4:H$38,2,FALSE)*H108+VLOOKUP(C108,Deflatores!G$4:I$38,3,FALSE)))</f>
        <v>7</v>
      </c>
      <c r="M108" s="10"/>
      <c r="N108" s="10"/>
      <c r="O108" s="125"/>
    </row>
    <row r="109" spans="1:15">
      <c r="A109" s="138" t="s">
        <v>150</v>
      </c>
      <c r="B109" s="4" t="s">
        <v>63</v>
      </c>
      <c r="C109" s="4" t="s">
        <v>49</v>
      </c>
      <c r="D109" s="7">
        <v>13</v>
      </c>
      <c r="E109" s="7">
        <v>6</v>
      </c>
      <c r="F109" s="116" t="str">
        <f t="shared" si="60"/>
        <v>Alta</v>
      </c>
      <c r="G109" s="7" t="str">
        <f t="shared" si="61"/>
        <v>EEH</v>
      </c>
      <c r="H109" s="7">
        <f t="shared" si="62"/>
        <v>6</v>
      </c>
      <c r="I109" s="116" t="str">
        <f t="shared" si="63"/>
        <v>H</v>
      </c>
      <c r="J109" s="7" t="str">
        <f t="shared" si="64"/>
        <v>EEI</v>
      </c>
      <c r="K109" s="125">
        <f t="shared" si="65"/>
        <v>6</v>
      </c>
      <c r="L109" s="125">
        <f>IF(NOT(ISERROR(VLOOKUP(B109,Deflatores!G$42:H$64,2,FALSE))),VLOOKUP(B109,Deflatores!G$42:H$64,2,FALSE),IF(OR(ISBLANK(C109),ISBLANK(B109)),"",VLOOKUP(C109,Deflatores!G$4:H$38,2,FALSE)*H109+VLOOKUP(C109,Deflatores!G$4:I$38,3,FALSE)))</f>
        <v>6</v>
      </c>
      <c r="M109" s="10"/>
      <c r="N109" s="10"/>
      <c r="O109" s="125"/>
    </row>
    <row r="110" spans="1:15">
      <c r="A110" s="139" t="s">
        <v>151</v>
      </c>
      <c r="B110" s="4" t="s">
        <v>44</v>
      </c>
      <c r="C110" s="4" t="s">
        <v>49</v>
      </c>
      <c r="D110" s="7">
        <v>3</v>
      </c>
      <c r="E110" s="7">
        <v>1</v>
      </c>
      <c r="F110" s="116" t="str">
        <f t="shared" si="60"/>
        <v>Baixa</v>
      </c>
      <c r="G110" s="7" t="str">
        <f t="shared" si="61"/>
        <v>CEL</v>
      </c>
      <c r="H110" s="7">
        <f t="shared" si="62"/>
        <v>3</v>
      </c>
      <c r="I110" s="116" t="str">
        <f t="shared" si="63"/>
        <v>L</v>
      </c>
      <c r="J110" s="7" t="str">
        <f t="shared" si="64"/>
        <v>CEI</v>
      </c>
      <c r="K110" s="125">
        <f t="shared" si="65"/>
        <v>3</v>
      </c>
      <c r="L110" s="125">
        <f>IF(NOT(ISERROR(VLOOKUP(B110,Deflatores!G$42:H$64,2,FALSE))),VLOOKUP(B110,Deflatores!G$42:H$64,2,FALSE),IF(OR(ISBLANK(C110),ISBLANK(B110)),"",VLOOKUP(C110,Deflatores!G$4:H$38,2,FALSE)*H110+VLOOKUP(C110,Deflatores!G$4:I$38,3,FALSE)))</f>
        <v>3</v>
      </c>
      <c r="M110" s="10"/>
      <c r="N110" s="10"/>
      <c r="O110" s="125"/>
    </row>
    <row r="111" spans="1:15">
      <c r="A111" s="139" t="s">
        <v>152</v>
      </c>
      <c r="B111" s="4" t="s">
        <v>44</v>
      </c>
      <c r="C111" s="4" t="s">
        <v>49</v>
      </c>
      <c r="D111" s="7">
        <v>3</v>
      </c>
      <c r="E111" s="7">
        <v>1</v>
      </c>
      <c r="F111" s="116" t="str">
        <f t="shared" si="60"/>
        <v>Baixa</v>
      </c>
      <c r="G111" s="7" t="str">
        <f t="shared" si="61"/>
        <v>CEL</v>
      </c>
      <c r="H111" s="7">
        <f t="shared" si="62"/>
        <v>3</v>
      </c>
      <c r="I111" s="116" t="str">
        <f t="shared" si="63"/>
        <v>L</v>
      </c>
      <c r="J111" s="7" t="str">
        <f t="shared" si="64"/>
        <v>CEI</v>
      </c>
      <c r="K111" s="125">
        <f t="shared" si="65"/>
        <v>3</v>
      </c>
      <c r="L111" s="125">
        <f>IF(NOT(ISERROR(VLOOKUP(B111,Deflatores!G$42:H$64,2,FALSE))),VLOOKUP(B111,Deflatores!G$42:H$64,2,FALSE),IF(OR(ISBLANK(C111),ISBLANK(B111)),"",VLOOKUP(C111,Deflatores!G$4:H$38,2,FALSE)*H111+VLOOKUP(C111,Deflatores!G$4:I$38,3,FALSE)))</f>
        <v>3</v>
      </c>
      <c r="M111" s="10"/>
      <c r="N111" s="10"/>
      <c r="O111" s="125"/>
    </row>
    <row r="112" spans="1:15">
      <c r="A112" s="138" t="s">
        <v>153</v>
      </c>
      <c r="B112" s="4" t="s">
        <v>63</v>
      </c>
      <c r="C112" s="4" t="s">
        <v>49</v>
      </c>
      <c r="D112" s="7">
        <v>13</v>
      </c>
      <c r="E112" s="7">
        <v>6</v>
      </c>
      <c r="F112" s="116" t="str">
        <f t="shared" si="60"/>
        <v>Alta</v>
      </c>
      <c r="G112" s="7" t="str">
        <f t="shared" si="61"/>
        <v>EEH</v>
      </c>
      <c r="H112" s="7">
        <f t="shared" si="62"/>
        <v>6</v>
      </c>
      <c r="I112" s="116" t="str">
        <f t="shared" si="63"/>
        <v>H</v>
      </c>
      <c r="J112" s="7" t="str">
        <f t="shared" si="64"/>
        <v>EEI</v>
      </c>
      <c r="K112" s="125">
        <f t="shared" si="65"/>
        <v>6</v>
      </c>
      <c r="L112" s="125">
        <f>IF(NOT(ISERROR(VLOOKUP(B112,Deflatores!G$42:H$64,2,FALSE))),VLOOKUP(B112,Deflatores!G$42:H$64,2,FALSE),IF(OR(ISBLANK(C112),ISBLANK(B112)),"",VLOOKUP(C112,Deflatores!G$4:H$38,2,FALSE)*H112+VLOOKUP(C112,Deflatores!G$4:I$38,3,FALSE)))</f>
        <v>6</v>
      </c>
      <c r="M112" s="10"/>
      <c r="N112" s="10"/>
      <c r="O112" s="125"/>
    </row>
    <row r="113" spans="1:15">
      <c r="A113" s="139" t="s">
        <v>154</v>
      </c>
      <c r="B113" s="4" t="s">
        <v>44</v>
      </c>
      <c r="C113" s="4" t="s">
        <v>49</v>
      </c>
      <c r="D113" s="7">
        <v>11</v>
      </c>
      <c r="E113" s="7">
        <v>6</v>
      </c>
      <c r="F113" s="116" t="str">
        <f t="shared" si="60"/>
        <v>Alta</v>
      </c>
      <c r="G113" s="7" t="str">
        <f t="shared" si="61"/>
        <v>CEH</v>
      </c>
      <c r="H113" s="7">
        <f t="shared" si="62"/>
        <v>6</v>
      </c>
      <c r="I113" s="116" t="str">
        <f t="shared" si="63"/>
        <v>H</v>
      </c>
      <c r="J113" s="7" t="str">
        <f t="shared" si="64"/>
        <v>CEI</v>
      </c>
      <c r="K113" s="125">
        <f t="shared" si="65"/>
        <v>6</v>
      </c>
      <c r="L113" s="125">
        <f>IF(NOT(ISERROR(VLOOKUP(B113,Deflatores!G$42:H$64,2,FALSE))),VLOOKUP(B113,Deflatores!G$42:H$64,2,FALSE),IF(OR(ISBLANK(C113),ISBLANK(B113)),"",VLOOKUP(C113,Deflatores!G$4:H$38,2,FALSE)*H113+VLOOKUP(C113,Deflatores!G$4:I$38,3,FALSE)))</f>
        <v>6</v>
      </c>
      <c r="M113" s="10"/>
      <c r="N113" s="10"/>
      <c r="O113" s="125"/>
    </row>
    <row r="114" spans="1:15">
      <c r="A114" s="138" t="s">
        <v>155</v>
      </c>
      <c r="B114" s="4" t="s">
        <v>44</v>
      </c>
      <c r="C114" s="4" t="s">
        <v>49</v>
      </c>
      <c r="D114" s="7">
        <v>13</v>
      </c>
      <c r="E114" s="7">
        <v>6</v>
      </c>
      <c r="F114" s="116" t="str">
        <f t="shared" si="60"/>
        <v>Alta</v>
      </c>
      <c r="G114" s="7" t="str">
        <f t="shared" si="61"/>
        <v>CEH</v>
      </c>
      <c r="H114" s="7">
        <f t="shared" si="62"/>
        <v>6</v>
      </c>
      <c r="I114" s="116" t="str">
        <f t="shared" si="63"/>
        <v>H</v>
      </c>
      <c r="J114" s="7" t="str">
        <f t="shared" si="64"/>
        <v>CEI</v>
      </c>
      <c r="K114" s="125">
        <f t="shared" si="65"/>
        <v>6</v>
      </c>
      <c r="L114" s="125">
        <f>IF(NOT(ISERROR(VLOOKUP(B114,Deflatores!G$42:H$64,2,FALSE))),VLOOKUP(B114,Deflatores!G$42:H$64,2,FALSE),IF(OR(ISBLANK(C114),ISBLANK(B114)),"",VLOOKUP(C114,Deflatores!G$4:H$38,2,FALSE)*H114+VLOOKUP(C114,Deflatores!G$4:I$38,3,FALSE)))</f>
        <v>6</v>
      </c>
      <c r="M114" s="10"/>
      <c r="N114" s="10"/>
      <c r="O114" s="125"/>
    </row>
    <row r="115" spans="1:15">
      <c r="A115" s="138" t="s">
        <v>156</v>
      </c>
      <c r="B115" s="4" t="s">
        <v>63</v>
      </c>
      <c r="C115" s="4" t="s">
        <v>49</v>
      </c>
      <c r="D115" s="7">
        <v>3</v>
      </c>
      <c r="E115" s="7">
        <v>2</v>
      </c>
      <c r="F115" s="116" t="str">
        <f t="shared" si="60"/>
        <v>Baixa</v>
      </c>
      <c r="G115" s="7" t="str">
        <f t="shared" si="61"/>
        <v>EEL</v>
      </c>
      <c r="H115" s="7">
        <f t="shared" si="62"/>
        <v>3</v>
      </c>
      <c r="I115" s="116" t="str">
        <f t="shared" si="63"/>
        <v>L</v>
      </c>
      <c r="J115" s="7" t="str">
        <f t="shared" si="64"/>
        <v>EEI</v>
      </c>
      <c r="K115" s="125">
        <f t="shared" si="65"/>
        <v>3</v>
      </c>
      <c r="L115" s="125">
        <f>IF(NOT(ISERROR(VLOOKUP(B115,Deflatores!G$42:H$64,2,FALSE))),VLOOKUP(B115,Deflatores!G$42:H$64,2,FALSE),IF(OR(ISBLANK(C115),ISBLANK(B115)),"",VLOOKUP(C115,Deflatores!G$4:H$38,2,FALSE)*H115+VLOOKUP(C115,Deflatores!G$4:I$38,3,FALSE)))</f>
        <v>3</v>
      </c>
      <c r="M115" s="10"/>
      <c r="N115" s="10"/>
      <c r="O115" s="125"/>
    </row>
    <row r="116" spans="1:15">
      <c r="A116" s="138" t="s">
        <v>157</v>
      </c>
      <c r="B116" s="4" t="s">
        <v>58</v>
      </c>
      <c r="C116" s="4" t="s">
        <v>49</v>
      </c>
      <c r="D116" s="7">
        <v>11</v>
      </c>
      <c r="E116" s="7">
        <v>2</v>
      </c>
      <c r="F116" s="116" t="str">
        <f t="shared" si="60"/>
        <v>Média</v>
      </c>
      <c r="G116" s="7" t="str">
        <f t="shared" si="61"/>
        <v>SEA</v>
      </c>
      <c r="H116" s="7">
        <f t="shared" si="62"/>
        <v>5</v>
      </c>
      <c r="I116" s="116" t="str">
        <f t="shared" si="63"/>
        <v>A</v>
      </c>
      <c r="J116" s="7" t="str">
        <f t="shared" si="64"/>
        <v>SEI</v>
      </c>
      <c r="K116" s="125">
        <f t="shared" si="65"/>
        <v>5</v>
      </c>
      <c r="L116" s="125">
        <f>IF(NOT(ISERROR(VLOOKUP(B116,Deflatores!G$42:H$64,2,FALSE))),VLOOKUP(B116,Deflatores!G$42:H$64,2,FALSE),IF(OR(ISBLANK(C116),ISBLANK(B116)),"",VLOOKUP(C116,Deflatores!G$4:H$38,2,FALSE)*H116+VLOOKUP(C116,Deflatores!G$4:I$38,3,FALSE)))</f>
        <v>5</v>
      </c>
      <c r="M116" s="10"/>
      <c r="N116" s="10"/>
      <c r="O116" s="125"/>
    </row>
    <row r="117" spans="1:15">
      <c r="A117" s="138" t="s">
        <v>158</v>
      </c>
      <c r="B117" s="4" t="s">
        <v>63</v>
      </c>
      <c r="C117" s="4" t="s">
        <v>49</v>
      </c>
      <c r="D117" s="7">
        <v>5</v>
      </c>
      <c r="E117" s="7">
        <v>2</v>
      </c>
      <c r="F117" s="116" t="str">
        <f t="shared" si="60"/>
        <v>Média</v>
      </c>
      <c r="G117" s="7" t="str">
        <f t="shared" si="61"/>
        <v>EEA</v>
      </c>
      <c r="H117" s="7">
        <f t="shared" si="62"/>
        <v>4</v>
      </c>
      <c r="I117" s="116" t="str">
        <f t="shared" si="63"/>
        <v>A</v>
      </c>
      <c r="J117" s="7" t="str">
        <f t="shared" si="64"/>
        <v>EEI</v>
      </c>
      <c r="K117" s="125">
        <f t="shared" si="65"/>
        <v>4</v>
      </c>
      <c r="L117" s="125">
        <f>IF(NOT(ISERROR(VLOOKUP(B117,Deflatores!G$42:H$64,2,FALSE))),VLOOKUP(B117,Deflatores!G$42:H$64,2,FALSE),IF(OR(ISBLANK(C117),ISBLANK(B117)),"",VLOOKUP(C117,Deflatores!G$4:H$38,2,FALSE)*H117+VLOOKUP(C117,Deflatores!G$4:I$38,3,FALSE)))</f>
        <v>4</v>
      </c>
      <c r="M117" s="10"/>
      <c r="N117" s="10"/>
      <c r="O117" s="133"/>
    </row>
    <row r="118" spans="1:15">
      <c r="A118" s="138" t="s">
        <v>159</v>
      </c>
      <c r="B118" s="4" t="s">
        <v>63</v>
      </c>
      <c r="C118" s="4" t="s">
        <v>49</v>
      </c>
      <c r="D118" s="7">
        <v>4</v>
      </c>
      <c r="E118" s="7">
        <v>1</v>
      </c>
      <c r="F118" s="116" t="str">
        <f t="shared" si="60"/>
        <v>Baixa</v>
      </c>
      <c r="G118" s="7" t="str">
        <f t="shared" si="61"/>
        <v>EEL</v>
      </c>
      <c r="H118" s="7">
        <f t="shared" si="62"/>
        <v>3</v>
      </c>
      <c r="I118" s="116" t="str">
        <f t="shared" si="63"/>
        <v>L</v>
      </c>
      <c r="J118" s="7" t="str">
        <f t="shared" si="64"/>
        <v>EEI</v>
      </c>
      <c r="K118" s="125">
        <f t="shared" si="65"/>
        <v>3</v>
      </c>
      <c r="L118" s="125">
        <f>IF(NOT(ISERROR(VLOOKUP(B118,Deflatores!G$42:H$64,2,FALSE))),VLOOKUP(B118,Deflatores!G$42:H$64,2,FALSE),IF(OR(ISBLANK(C118),ISBLANK(B118)),"",VLOOKUP(C118,Deflatores!G$4:H$38,2,FALSE)*H118+VLOOKUP(C118,Deflatores!G$4:I$38,3,FALSE)))</f>
        <v>3</v>
      </c>
      <c r="M118" s="10"/>
      <c r="N118" s="10"/>
      <c r="O118" s="133"/>
    </row>
    <row r="119" spans="1:15">
      <c r="A119" s="138"/>
      <c r="B119" s="4"/>
      <c r="C119" s="4"/>
      <c r="D119" s="7"/>
      <c r="E119" s="7"/>
      <c r="F119" s="116" t="str">
        <f t="shared" si="60"/>
        <v/>
      </c>
      <c r="G119" s="7" t="str">
        <f t="shared" si="61"/>
        <v/>
      </c>
      <c r="H119" s="7" t="str">
        <f t="shared" si="62"/>
        <v/>
      </c>
      <c r="I119" s="116" t="str">
        <f t="shared" si="63"/>
        <v/>
      </c>
      <c r="J119" s="7" t="str">
        <f t="shared" si="64"/>
        <v/>
      </c>
      <c r="K119" s="125" t="str">
        <f t="shared" si="65"/>
        <v/>
      </c>
      <c r="L119" s="125" t="str">
        <f>IF(NOT(ISERROR(VLOOKUP(B119,Deflatores!G$42:H$64,2,FALSE))),VLOOKUP(B119,Deflatores!G$42:H$64,2,FALSE),IF(OR(ISBLANK(C119),ISBLANK(B119)),"",VLOOKUP(C119,Deflatores!G$4:H$38,2,FALSE)*H119+VLOOKUP(C119,Deflatores!G$4:I$38,3,FALSE)))</f>
        <v/>
      </c>
      <c r="M119" s="10"/>
      <c r="N119" s="10"/>
      <c r="O119" s="125"/>
    </row>
    <row r="120" spans="1:15">
      <c r="A120" s="137" t="s">
        <v>160</v>
      </c>
      <c r="B120" s="4"/>
      <c r="C120" s="4"/>
      <c r="D120" s="7"/>
      <c r="E120" s="7"/>
      <c r="F120" s="116" t="str">
        <f t="shared" si="60"/>
        <v/>
      </c>
      <c r="G120" s="7" t="str">
        <f t="shared" si="61"/>
        <v/>
      </c>
      <c r="H120" s="7" t="str">
        <f t="shared" si="62"/>
        <v/>
      </c>
      <c r="I120" s="116" t="str">
        <f t="shared" si="63"/>
        <v/>
      </c>
      <c r="J120" s="7" t="str">
        <f t="shared" si="64"/>
        <v/>
      </c>
      <c r="K120" s="125" t="str">
        <f t="shared" si="65"/>
        <v/>
      </c>
      <c r="L120" s="125" t="str">
        <f>IF(NOT(ISERROR(VLOOKUP(B120,Deflatores!G$42:H$64,2,FALSE))),VLOOKUP(B120,Deflatores!G$42:H$64,2,FALSE),IF(OR(ISBLANK(C120),ISBLANK(B120)),"",VLOOKUP(C120,Deflatores!G$4:H$38,2,FALSE)*H120+VLOOKUP(C120,Deflatores!G$4:I$38,3,FALSE)))</f>
        <v/>
      </c>
      <c r="M120" s="10"/>
      <c r="N120" s="10"/>
      <c r="O120" s="125"/>
    </row>
    <row r="121" spans="1:15">
      <c r="A121" s="138" t="s">
        <v>161</v>
      </c>
      <c r="B121" s="4" t="s">
        <v>55</v>
      </c>
      <c r="C121" s="4" t="s">
        <v>49</v>
      </c>
      <c r="D121" s="7">
        <v>13</v>
      </c>
      <c r="E121" s="7">
        <v>4</v>
      </c>
      <c r="F121" s="116" t="str">
        <f t="shared" si="60"/>
        <v>Baixa</v>
      </c>
      <c r="G121" s="7" t="str">
        <f t="shared" si="61"/>
        <v>ALIL</v>
      </c>
      <c r="H121" s="7">
        <f t="shared" si="62"/>
        <v>7</v>
      </c>
      <c r="I121" s="116" t="str">
        <f t="shared" si="63"/>
        <v>L</v>
      </c>
      <c r="J121" s="7" t="str">
        <f t="shared" si="64"/>
        <v>ALII</v>
      </c>
      <c r="K121" s="125">
        <f t="shared" si="65"/>
        <v>7</v>
      </c>
      <c r="L121" s="125">
        <f>IF(NOT(ISERROR(VLOOKUP(B121,Deflatores!G$42:H$64,2,FALSE))),VLOOKUP(B121,Deflatores!G$42:H$64,2,FALSE),IF(OR(ISBLANK(C121),ISBLANK(B121)),"",VLOOKUP(C121,Deflatores!G$4:H$38,2,FALSE)*H121+VLOOKUP(C121,Deflatores!G$4:I$38,3,FALSE)))</f>
        <v>7</v>
      </c>
      <c r="M121" s="10"/>
      <c r="N121" s="10"/>
      <c r="O121" s="125"/>
    </row>
    <row r="122" spans="1:15">
      <c r="A122" s="138" t="s">
        <v>162</v>
      </c>
      <c r="B122" s="4" t="s">
        <v>44</v>
      </c>
      <c r="C122" s="4" t="s">
        <v>45</v>
      </c>
      <c r="D122" s="7">
        <v>10</v>
      </c>
      <c r="E122" s="7">
        <v>1</v>
      </c>
      <c r="F122" s="116" t="str">
        <f t="shared" ref="F122:F163" si="66">IF(ISBLANK(B122),"",IF(I122="L","Baixa",IF(I122="A","Média",IF(I122="","","Alta"))))</f>
        <v>Baixa</v>
      </c>
      <c r="G122" s="7" t="str">
        <f t="shared" ref="G122:G163" si="67">CONCATENATE(B122,I122)</f>
        <v>CEL</v>
      </c>
      <c r="H122" s="7">
        <f t="shared" ref="H122:H163" si="68">IF(ISBLANK(B122),"",IF(B122="ALI",IF(I122="L",7,IF(I122="A",10,15)),IF(B122="AIE",IF(I122="L",5,IF(I122="A",7,10)),IF(B122="SE",IF(I122="L",4,IF(I122="A",5,7)),IF(OR(B122="EE",B122="CE"),IF(I122="L",3,IF(I122="A",4,6)),0)))))</f>
        <v>3</v>
      </c>
      <c r="I122" s="116" t="str">
        <f t="shared" ref="I122:I163" si="69">IF(OR(ISBLANK(D122),ISBLANK(E122)),IF(OR(B122="ALI",B122="AIE"),"L",IF(OR(B122="EE",B122="SE",B122="CE"),"A","")),IF(B122="EE",IF(E122&gt;=3,IF(D122&gt;=5,"H","A"),IF(E122&gt;=2,IF(D122&gt;=16,"H",IF(D122&lt;=4,"L","A")),IF(D122&lt;=15,"L","A"))),IF(OR(B122="SE",B122="CE"),IF(E122&gt;=4,IF(D122&gt;=6,"H","A"),IF(E122&gt;=2,IF(D122&gt;=20,"H",IF(D122&lt;=5,"L","A")),IF(D122&lt;=19,"L","A"))),IF(OR(B122="ALI",B122="AIE"),IF(E122&gt;=6,IF(D122&gt;=20,"H","A"),IF(E122&gt;=2,IF(D122&gt;=51,"H",IF(D122&lt;=19,"L","A")),IF(D122&lt;=50,"L","A"))),""))))</f>
        <v>L</v>
      </c>
      <c r="J122" s="7" t="str">
        <f t="shared" ref="J122:J163" si="70">CONCATENATE(B122,C122)</f>
        <v>CECOS</v>
      </c>
      <c r="K122" s="125">
        <f t="shared" ref="K122:K163" si="71">IF(OR(H122="",H122=0),L122,H122)</f>
        <v>3</v>
      </c>
      <c r="L122" s="125">
        <f>IF(NOT(ISERROR(VLOOKUP(B122,Deflatores!G$42:H$64,2,FALSE))),VLOOKUP(B122,Deflatores!G$42:H$64,2,FALSE),IF(OR(ISBLANK(C122),ISBLANK(B122)),"",VLOOKUP(C122,Deflatores!G$4:H$38,2,FALSE)*H122+VLOOKUP(C122,Deflatores!G$4:I$38,3,FALSE)))</f>
        <v>0.6</v>
      </c>
      <c r="M122" s="10"/>
      <c r="N122" s="10"/>
      <c r="O122" s="125"/>
    </row>
    <row r="123" spans="1:15">
      <c r="A123" s="138" t="s">
        <v>163</v>
      </c>
      <c r="B123" s="4" t="s">
        <v>63</v>
      </c>
      <c r="C123" s="4" t="s">
        <v>45</v>
      </c>
      <c r="D123" s="7">
        <v>7</v>
      </c>
      <c r="E123" s="7">
        <v>2</v>
      </c>
      <c r="F123" s="116" t="str">
        <f t="shared" si="66"/>
        <v>Média</v>
      </c>
      <c r="G123" s="7" t="str">
        <f t="shared" si="67"/>
        <v>EEA</v>
      </c>
      <c r="H123" s="7">
        <f t="shared" si="68"/>
        <v>4</v>
      </c>
      <c r="I123" s="116" t="str">
        <f t="shared" si="69"/>
        <v>A</v>
      </c>
      <c r="J123" s="7" t="str">
        <f t="shared" si="70"/>
        <v>EECOS</v>
      </c>
      <c r="K123" s="125">
        <f t="shared" si="71"/>
        <v>4</v>
      </c>
      <c r="L123" s="125">
        <f>IF(NOT(ISERROR(VLOOKUP(B123,Deflatores!G$42:H$64,2,FALSE))),VLOOKUP(B123,Deflatores!G$42:H$64,2,FALSE),IF(OR(ISBLANK(C123),ISBLANK(B123)),"",VLOOKUP(C123,Deflatores!G$4:H$38,2,FALSE)*H123+VLOOKUP(C123,Deflatores!G$4:I$38,3,FALSE)))</f>
        <v>0.6</v>
      </c>
      <c r="M123" s="10"/>
      <c r="N123" s="10"/>
      <c r="O123" s="125"/>
    </row>
    <row r="124" spans="1:15">
      <c r="A124" s="139" t="s">
        <v>164</v>
      </c>
      <c r="B124" s="128" t="s">
        <v>44</v>
      </c>
      <c r="C124" s="4" t="s">
        <v>49</v>
      </c>
      <c r="D124" s="7">
        <v>3</v>
      </c>
      <c r="E124" s="7">
        <v>1</v>
      </c>
      <c r="F124" s="116" t="str">
        <f t="shared" si="66"/>
        <v>Baixa</v>
      </c>
      <c r="G124" s="7" t="str">
        <f t="shared" si="67"/>
        <v>CEL</v>
      </c>
      <c r="H124" s="7">
        <f t="shared" si="68"/>
        <v>3</v>
      </c>
      <c r="I124" s="116" t="str">
        <f t="shared" si="69"/>
        <v>L</v>
      </c>
      <c r="J124" s="7" t="str">
        <f t="shared" si="70"/>
        <v>CEI</v>
      </c>
      <c r="K124" s="125">
        <f t="shared" si="71"/>
        <v>3</v>
      </c>
      <c r="L124" s="125">
        <f>IF(NOT(ISERROR(VLOOKUP(B124,Deflatores!G$42:H$64,2,FALSE))),VLOOKUP(B124,Deflatores!G$42:H$64,2,FALSE),IF(OR(ISBLANK(C124),ISBLANK(B124)),"",VLOOKUP(C124,Deflatores!G$4:H$38,2,FALSE)*H124+VLOOKUP(C124,Deflatores!G$4:I$38,3,FALSE)))</f>
        <v>3</v>
      </c>
      <c r="M124" s="10"/>
      <c r="N124" s="10"/>
      <c r="O124" s="125"/>
    </row>
    <row r="125" spans="1:15">
      <c r="A125" s="139" t="s">
        <v>165</v>
      </c>
      <c r="B125" s="128" t="s">
        <v>44</v>
      </c>
      <c r="C125" s="4" t="s">
        <v>49</v>
      </c>
      <c r="D125" s="7">
        <v>3</v>
      </c>
      <c r="E125" s="7">
        <v>1</v>
      </c>
      <c r="F125" s="116" t="str">
        <f t="shared" si="66"/>
        <v>Baixa</v>
      </c>
      <c r="G125" s="7" t="str">
        <f t="shared" si="67"/>
        <v>CEL</v>
      </c>
      <c r="H125" s="7">
        <f t="shared" si="68"/>
        <v>3</v>
      </c>
      <c r="I125" s="116" t="str">
        <f t="shared" si="69"/>
        <v>L</v>
      </c>
      <c r="J125" s="7" t="str">
        <f t="shared" si="70"/>
        <v>CEI</v>
      </c>
      <c r="K125" s="125">
        <f t="shared" si="71"/>
        <v>3</v>
      </c>
      <c r="L125" s="125">
        <f>IF(NOT(ISERROR(VLOOKUP(B125,Deflatores!G$42:H$64,2,FALSE))),VLOOKUP(B125,Deflatores!G$42:H$64,2,FALSE),IF(OR(ISBLANK(C125),ISBLANK(B125)),"",VLOOKUP(C125,Deflatores!G$4:H$38,2,FALSE)*H125+VLOOKUP(C125,Deflatores!G$4:I$38,3,FALSE)))</f>
        <v>3</v>
      </c>
      <c r="M125" s="10"/>
      <c r="N125" s="10"/>
      <c r="O125" s="125"/>
    </row>
    <row r="126" spans="1:15">
      <c r="A126" s="139" t="s">
        <v>166</v>
      </c>
      <c r="B126" s="128" t="s">
        <v>44</v>
      </c>
      <c r="C126" s="4" t="s">
        <v>49</v>
      </c>
      <c r="D126" s="7">
        <v>3</v>
      </c>
      <c r="E126" s="7">
        <v>1</v>
      </c>
      <c r="F126" s="116" t="str">
        <f t="shared" si="66"/>
        <v>Baixa</v>
      </c>
      <c r="G126" s="7" t="str">
        <f t="shared" si="67"/>
        <v>CEL</v>
      </c>
      <c r="H126" s="7">
        <f t="shared" si="68"/>
        <v>3</v>
      </c>
      <c r="I126" s="116" t="str">
        <f t="shared" si="69"/>
        <v>L</v>
      </c>
      <c r="J126" s="7" t="str">
        <f t="shared" si="70"/>
        <v>CEI</v>
      </c>
      <c r="K126" s="125">
        <f t="shared" si="71"/>
        <v>3</v>
      </c>
      <c r="L126" s="125">
        <f>IF(NOT(ISERROR(VLOOKUP(B126,Deflatores!G$42:H$64,2,FALSE))),VLOOKUP(B126,Deflatores!G$42:H$64,2,FALSE),IF(OR(ISBLANK(C126),ISBLANK(B126)),"",VLOOKUP(C126,Deflatores!G$4:H$38,2,FALSE)*H126+VLOOKUP(C126,Deflatores!G$4:I$38,3,FALSE)))</f>
        <v>3</v>
      </c>
      <c r="M126" s="10"/>
      <c r="N126" s="10"/>
      <c r="O126" s="125"/>
    </row>
    <row r="127" spans="1:15">
      <c r="A127" s="138" t="s">
        <v>167</v>
      </c>
      <c r="B127" s="4" t="s">
        <v>63</v>
      </c>
      <c r="C127" s="4" t="s">
        <v>45</v>
      </c>
      <c r="D127" s="7">
        <v>7</v>
      </c>
      <c r="E127" s="7">
        <v>2</v>
      </c>
      <c r="F127" s="116" t="str">
        <f t="shared" si="66"/>
        <v>Média</v>
      </c>
      <c r="G127" s="7" t="str">
        <f t="shared" si="67"/>
        <v>EEA</v>
      </c>
      <c r="H127" s="7">
        <f t="shared" si="68"/>
        <v>4</v>
      </c>
      <c r="I127" s="116" t="str">
        <f t="shared" si="69"/>
        <v>A</v>
      </c>
      <c r="J127" s="7" t="str">
        <f t="shared" si="70"/>
        <v>EECOS</v>
      </c>
      <c r="K127" s="125">
        <f t="shared" si="71"/>
        <v>4</v>
      </c>
      <c r="L127" s="125">
        <f>IF(NOT(ISERROR(VLOOKUP(B127,Deflatores!G$42:H$64,2,FALSE))),VLOOKUP(B127,Deflatores!G$42:H$64,2,FALSE),IF(OR(ISBLANK(C127),ISBLANK(B127)),"",VLOOKUP(C127,Deflatores!G$4:H$38,2,FALSE)*H127+VLOOKUP(C127,Deflatores!G$4:I$38,3,FALSE)))</f>
        <v>0.6</v>
      </c>
      <c r="M127" s="10"/>
      <c r="N127" s="10"/>
      <c r="O127" s="125"/>
    </row>
    <row r="128" spans="1:15">
      <c r="A128" s="139" t="s">
        <v>168</v>
      </c>
      <c r="B128" s="4" t="s">
        <v>44</v>
      </c>
      <c r="C128" s="4" t="s">
        <v>49</v>
      </c>
      <c r="D128" s="7">
        <v>5</v>
      </c>
      <c r="E128" s="7">
        <v>1</v>
      </c>
      <c r="F128" s="116" t="str">
        <f t="shared" si="66"/>
        <v>Baixa</v>
      </c>
      <c r="G128" s="7" t="str">
        <f t="shared" si="67"/>
        <v>CEL</v>
      </c>
      <c r="H128" s="7">
        <f t="shared" si="68"/>
        <v>3</v>
      </c>
      <c r="I128" s="116" t="str">
        <f t="shared" si="69"/>
        <v>L</v>
      </c>
      <c r="J128" s="7" t="str">
        <f t="shared" si="70"/>
        <v>CEI</v>
      </c>
      <c r="K128" s="125">
        <f t="shared" si="71"/>
        <v>3</v>
      </c>
      <c r="L128" s="125">
        <f>IF(NOT(ISERROR(VLOOKUP(B128,Deflatores!G$42:H$64,2,FALSE))),VLOOKUP(B128,Deflatores!G$42:H$64,2,FALSE),IF(OR(ISBLANK(C128),ISBLANK(B128)),"",VLOOKUP(C128,Deflatores!G$4:H$38,2,FALSE)*H128+VLOOKUP(C128,Deflatores!G$4:I$38,3,FALSE)))</f>
        <v>3</v>
      </c>
      <c r="M128" s="10"/>
      <c r="N128" s="10"/>
      <c r="O128" s="125"/>
    </row>
    <row r="129" spans="1:15">
      <c r="A129" s="138" t="s">
        <v>169</v>
      </c>
      <c r="B129" s="4" t="s">
        <v>44</v>
      </c>
      <c r="C129" s="4" t="s">
        <v>49</v>
      </c>
      <c r="D129" s="7">
        <v>7</v>
      </c>
      <c r="E129" s="7">
        <v>1</v>
      </c>
      <c r="F129" s="116" t="str">
        <f t="shared" si="66"/>
        <v>Baixa</v>
      </c>
      <c r="G129" s="7" t="str">
        <f t="shared" si="67"/>
        <v>CEL</v>
      </c>
      <c r="H129" s="7">
        <f t="shared" si="68"/>
        <v>3</v>
      </c>
      <c r="I129" s="116" t="str">
        <f t="shared" si="69"/>
        <v>L</v>
      </c>
      <c r="J129" s="7" t="str">
        <f t="shared" si="70"/>
        <v>CEI</v>
      </c>
      <c r="K129" s="125">
        <f t="shared" si="71"/>
        <v>3</v>
      </c>
      <c r="L129" s="125">
        <f>IF(NOT(ISERROR(VLOOKUP(B129,Deflatores!G$42:H$64,2,FALSE))),VLOOKUP(B129,Deflatores!G$42:H$64,2,FALSE),IF(OR(ISBLANK(C129),ISBLANK(B129)),"",VLOOKUP(C129,Deflatores!G$4:H$38,2,FALSE)*H129+VLOOKUP(C129,Deflatores!G$4:I$38,3,FALSE)))</f>
        <v>3</v>
      </c>
      <c r="M129" s="10"/>
      <c r="N129" s="10"/>
      <c r="O129" s="125"/>
    </row>
    <row r="130" spans="1:15">
      <c r="A130" s="138" t="s">
        <v>170</v>
      </c>
      <c r="B130" s="4" t="s">
        <v>63</v>
      </c>
      <c r="C130" s="4" t="s">
        <v>49</v>
      </c>
      <c r="D130" s="7">
        <v>3</v>
      </c>
      <c r="E130" s="7">
        <v>2</v>
      </c>
      <c r="F130" s="116" t="str">
        <f t="shared" si="66"/>
        <v>Baixa</v>
      </c>
      <c r="G130" s="7" t="str">
        <f t="shared" si="67"/>
        <v>EEL</v>
      </c>
      <c r="H130" s="7">
        <f t="shared" si="68"/>
        <v>3</v>
      </c>
      <c r="I130" s="116" t="str">
        <f t="shared" si="69"/>
        <v>L</v>
      </c>
      <c r="J130" s="7" t="str">
        <f t="shared" si="70"/>
        <v>EEI</v>
      </c>
      <c r="K130" s="125">
        <f t="shared" si="71"/>
        <v>3</v>
      </c>
      <c r="L130" s="125">
        <f>IF(NOT(ISERROR(VLOOKUP(B130,Deflatores!G$42:H$64,2,FALSE))),VLOOKUP(B130,Deflatores!G$42:H$64,2,FALSE),IF(OR(ISBLANK(C130),ISBLANK(B130)),"",VLOOKUP(C130,Deflatores!G$4:H$38,2,FALSE)*H130+VLOOKUP(C130,Deflatores!G$4:I$38,3,FALSE)))</f>
        <v>3</v>
      </c>
      <c r="M130" s="10"/>
      <c r="N130" s="10"/>
      <c r="O130" s="125"/>
    </row>
    <row r="131" spans="1:15">
      <c r="A131" s="138" t="s">
        <v>171</v>
      </c>
      <c r="B131" s="4" t="s">
        <v>44</v>
      </c>
      <c r="C131" s="4" t="s">
        <v>49</v>
      </c>
      <c r="D131" s="7">
        <v>14</v>
      </c>
      <c r="E131" s="7">
        <v>1</v>
      </c>
      <c r="F131" s="116" t="str">
        <f t="shared" si="66"/>
        <v>Baixa</v>
      </c>
      <c r="G131" s="7" t="str">
        <f t="shared" si="67"/>
        <v>CEL</v>
      </c>
      <c r="H131" s="7">
        <f t="shared" si="68"/>
        <v>3</v>
      </c>
      <c r="I131" s="116" t="str">
        <f t="shared" si="69"/>
        <v>L</v>
      </c>
      <c r="J131" s="7" t="str">
        <f t="shared" si="70"/>
        <v>CEI</v>
      </c>
      <c r="K131" s="125">
        <f t="shared" si="71"/>
        <v>3</v>
      </c>
      <c r="L131" s="125">
        <f>IF(NOT(ISERROR(VLOOKUP(B131,Deflatores!G$42:H$64,2,FALSE))),VLOOKUP(B131,Deflatores!G$42:H$64,2,FALSE),IF(OR(ISBLANK(C131),ISBLANK(B131)),"",VLOOKUP(C131,Deflatores!G$4:H$38,2,FALSE)*H131+VLOOKUP(C131,Deflatores!G$4:I$38,3,FALSE)))</f>
        <v>3</v>
      </c>
      <c r="M131" s="10"/>
      <c r="N131" s="10"/>
      <c r="O131" s="125"/>
    </row>
    <row r="132" spans="1:15">
      <c r="A132" s="138" t="s">
        <v>172</v>
      </c>
      <c r="B132" s="4" t="s">
        <v>44</v>
      </c>
      <c r="C132" s="4" t="s">
        <v>49</v>
      </c>
      <c r="D132" s="7">
        <v>3</v>
      </c>
      <c r="E132" s="7">
        <v>2</v>
      </c>
      <c r="F132" s="116" t="str">
        <f t="shared" si="66"/>
        <v>Baixa</v>
      </c>
      <c r="G132" s="7" t="str">
        <f t="shared" si="67"/>
        <v>CEL</v>
      </c>
      <c r="H132" s="7">
        <f t="shared" si="68"/>
        <v>3</v>
      </c>
      <c r="I132" s="116" t="str">
        <f t="shared" si="69"/>
        <v>L</v>
      </c>
      <c r="J132" s="7" t="str">
        <f t="shared" si="70"/>
        <v>CEI</v>
      </c>
      <c r="K132" s="125">
        <f t="shared" si="71"/>
        <v>3</v>
      </c>
      <c r="L132" s="125">
        <f>IF(NOT(ISERROR(VLOOKUP(B132,Deflatores!G$42:H$64,2,FALSE))),VLOOKUP(B132,Deflatores!G$42:H$64,2,FALSE),IF(OR(ISBLANK(C132),ISBLANK(B132)),"",VLOOKUP(C132,Deflatores!G$4:H$38,2,FALSE)*H132+VLOOKUP(C132,Deflatores!G$4:I$38,3,FALSE)))</f>
        <v>3</v>
      </c>
      <c r="M132" s="10"/>
      <c r="N132" s="10"/>
      <c r="O132" s="125"/>
    </row>
    <row r="133" spans="1:15">
      <c r="A133" s="138"/>
      <c r="B133" s="4"/>
      <c r="C133" s="4"/>
      <c r="D133" s="7"/>
      <c r="E133" s="7"/>
      <c r="F133" s="116" t="str">
        <f t="shared" si="66"/>
        <v/>
      </c>
      <c r="G133" s="7" t="str">
        <f t="shared" si="67"/>
        <v/>
      </c>
      <c r="H133" s="7" t="str">
        <f t="shared" si="68"/>
        <v/>
      </c>
      <c r="I133" s="116" t="str">
        <f t="shared" si="69"/>
        <v/>
      </c>
      <c r="J133" s="7" t="str">
        <f t="shared" si="70"/>
        <v/>
      </c>
      <c r="K133" s="125" t="str">
        <f t="shared" si="71"/>
        <v/>
      </c>
      <c r="L133" s="125" t="str">
        <f>IF(NOT(ISERROR(VLOOKUP(B133,Deflatores!G$42:H$64,2,FALSE))),VLOOKUP(B133,Deflatores!G$42:H$64,2,FALSE),IF(OR(ISBLANK(C133),ISBLANK(B133)),"",VLOOKUP(C133,Deflatores!G$4:H$38,2,FALSE)*H133+VLOOKUP(C133,Deflatores!G$4:I$38,3,FALSE)))</f>
        <v/>
      </c>
      <c r="M133" s="10"/>
      <c r="N133" s="10"/>
      <c r="O133" s="125"/>
    </row>
    <row r="134" spans="1:15">
      <c r="A134" s="137" t="s">
        <v>173</v>
      </c>
      <c r="B134" s="4"/>
      <c r="C134" s="4"/>
      <c r="D134" s="7"/>
      <c r="E134" s="7"/>
      <c r="F134" s="116" t="str">
        <f t="shared" si="66"/>
        <v/>
      </c>
      <c r="G134" s="7" t="str">
        <f t="shared" si="67"/>
        <v/>
      </c>
      <c r="H134" s="7" t="str">
        <f t="shared" si="68"/>
        <v/>
      </c>
      <c r="I134" s="116" t="str">
        <f t="shared" si="69"/>
        <v/>
      </c>
      <c r="J134" s="7" t="str">
        <f t="shared" si="70"/>
        <v/>
      </c>
      <c r="K134" s="125" t="str">
        <f t="shared" si="71"/>
        <v/>
      </c>
      <c r="L134" s="125" t="str">
        <f>IF(NOT(ISERROR(VLOOKUP(B134,Deflatores!G$42:H$64,2,FALSE))),VLOOKUP(B134,Deflatores!G$42:H$64,2,FALSE),IF(OR(ISBLANK(C134),ISBLANK(B134)),"",VLOOKUP(C134,Deflatores!G$4:H$38,2,FALSE)*H134+VLOOKUP(C134,Deflatores!G$4:I$38,3,FALSE)))</f>
        <v/>
      </c>
      <c r="M134" s="10"/>
      <c r="N134" s="10"/>
      <c r="O134" s="125"/>
    </row>
    <row r="135" spans="1:15">
      <c r="A135" s="138" t="s">
        <v>174</v>
      </c>
      <c r="B135" s="4" t="s">
        <v>48</v>
      </c>
      <c r="C135" s="4" t="s">
        <v>49</v>
      </c>
      <c r="D135" s="7">
        <v>3</v>
      </c>
      <c r="E135" s="7">
        <v>1</v>
      </c>
      <c r="F135" s="116" t="str">
        <f t="shared" si="66"/>
        <v>Baixa</v>
      </c>
      <c r="G135" s="7" t="str">
        <f t="shared" si="67"/>
        <v>AIEL</v>
      </c>
      <c r="H135" s="7">
        <f t="shared" si="68"/>
        <v>5</v>
      </c>
      <c r="I135" s="116" t="str">
        <f t="shared" si="69"/>
        <v>L</v>
      </c>
      <c r="J135" s="7" t="str">
        <f t="shared" si="70"/>
        <v>AIEI</v>
      </c>
      <c r="K135" s="125">
        <f t="shared" si="71"/>
        <v>5</v>
      </c>
      <c r="L135" s="125">
        <f>IF(NOT(ISERROR(VLOOKUP(B135,Deflatores!G$42:H$64,2,FALSE))),VLOOKUP(B135,Deflatores!G$42:H$64,2,FALSE),IF(OR(ISBLANK(C135),ISBLANK(B135)),"",VLOOKUP(C135,Deflatores!G$4:H$38,2,FALSE)*H135+VLOOKUP(C135,Deflatores!G$4:I$38,3,FALSE)))</f>
        <v>5</v>
      </c>
      <c r="M135" s="10"/>
      <c r="N135" s="10"/>
      <c r="O135" s="125"/>
    </row>
    <row r="136" spans="1:15">
      <c r="A136" s="138" t="s">
        <v>175</v>
      </c>
      <c r="B136" s="4" t="s">
        <v>55</v>
      </c>
      <c r="C136" s="4" t="s">
        <v>49</v>
      </c>
      <c r="D136" s="7">
        <v>21</v>
      </c>
      <c r="E136" s="7">
        <v>2</v>
      </c>
      <c r="F136" s="116" t="str">
        <f t="shared" si="66"/>
        <v>Média</v>
      </c>
      <c r="G136" s="7" t="str">
        <f t="shared" si="67"/>
        <v>ALIA</v>
      </c>
      <c r="H136" s="7">
        <f t="shared" si="68"/>
        <v>10</v>
      </c>
      <c r="I136" s="116" t="str">
        <f t="shared" si="69"/>
        <v>A</v>
      </c>
      <c r="J136" s="7" t="str">
        <f t="shared" si="70"/>
        <v>ALII</v>
      </c>
      <c r="K136" s="125">
        <f t="shared" si="71"/>
        <v>10</v>
      </c>
      <c r="L136" s="125">
        <f>IF(NOT(ISERROR(VLOOKUP(B136,Deflatores!G$42:H$64,2,FALSE))),VLOOKUP(B136,Deflatores!G$42:H$64,2,FALSE),IF(OR(ISBLANK(C136),ISBLANK(B136)),"",VLOOKUP(C136,Deflatores!G$4:H$38,2,FALSE)*H136+VLOOKUP(C136,Deflatores!G$4:I$38,3,FALSE)))</f>
        <v>10</v>
      </c>
      <c r="M136" s="10"/>
      <c r="N136" s="10"/>
      <c r="O136" s="125"/>
    </row>
    <row r="137" spans="1:15">
      <c r="A137" s="138" t="s">
        <v>176</v>
      </c>
      <c r="B137" s="4" t="s">
        <v>63</v>
      </c>
      <c r="C137" s="4" t="s">
        <v>49</v>
      </c>
      <c r="D137" s="7">
        <v>9</v>
      </c>
      <c r="E137" s="7">
        <v>4</v>
      </c>
      <c r="F137" s="116" t="str">
        <f t="shared" si="66"/>
        <v>Alta</v>
      </c>
      <c r="G137" s="7" t="str">
        <f t="shared" si="67"/>
        <v>EEH</v>
      </c>
      <c r="H137" s="7">
        <f t="shared" si="68"/>
        <v>6</v>
      </c>
      <c r="I137" s="116" t="str">
        <f t="shared" si="69"/>
        <v>H</v>
      </c>
      <c r="J137" s="7" t="str">
        <f t="shared" si="70"/>
        <v>EEI</v>
      </c>
      <c r="K137" s="125">
        <f t="shared" si="71"/>
        <v>6</v>
      </c>
      <c r="L137" s="125">
        <f>IF(NOT(ISERROR(VLOOKUP(B137,Deflatores!G$42:H$64,2,FALSE))),VLOOKUP(B137,Deflatores!G$42:H$64,2,FALSE),IF(OR(ISBLANK(C137),ISBLANK(B137)),"",VLOOKUP(C137,Deflatores!G$4:H$38,2,FALSE)*H137+VLOOKUP(C137,Deflatores!G$4:I$38,3,FALSE)))</f>
        <v>6</v>
      </c>
      <c r="M137" s="10"/>
      <c r="N137" s="10"/>
      <c r="O137" s="125"/>
    </row>
    <row r="138" spans="1:15">
      <c r="A138" s="139" t="s">
        <v>177</v>
      </c>
      <c r="B138" s="4" t="s">
        <v>44</v>
      </c>
      <c r="C138" s="4" t="s">
        <v>49</v>
      </c>
      <c r="D138" s="7">
        <v>2</v>
      </c>
      <c r="E138" s="7">
        <v>1</v>
      </c>
      <c r="F138" s="116" t="str">
        <f t="shared" si="66"/>
        <v>Baixa</v>
      </c>
      <c r="G138" s="7" t="str">
        <f t="shared" si="67"/>
        <v>CEL</v>
      </c>
      <c r="H138" s="7">
        <f t="shared" si="68"/>
        <v>3</v>
      </c>
      <c r="I138" s="116" t="str">
        <f t="shared" si="69"/>
        <v>L</v>
      </c>
      <c r="J138" s="7" t="str">
        <f t="shared" si="70"/>
        <v>CEI</v>
      </c>
      <c r="K138" s="125">
        <f t="shared" si="71"/>
        <v>3</v>
      </c>
      <c r="L138" s="125">
        <f>IF(NOT(ISERROR(VLOOKUP(B138,Deflatores!G$42:H$64,2,FALSE))),VLOOKUP(B138,Deflatores!G$42:H$64,2,FALSE),IF(OR(ISBLANK(C138),ISBLANK(B138)),"",VLOOKUP(C138,Deflatores!G$4:H$38,2,FALSE)*H138+VLOOKUP(C138,Deflatores!G$4:I$38,3,FALSE)))</f>
        <v>3</v>
      </c>
      <c r="M138" s="10"/>
      <c r="N138" s="10"/>
      <c r="O138" s="134"/>
    </row>
    <row r="139" spans="1:15">
      <c r="A139" s="138" t="s">
        <v>178</v>
      </c>
      <c r="B139" s="4" t="s">
        <v>63</v>
      </c>
      <c r="C139" s="4" t="s">
        <v>49</v>
      </c>
      <c r="D139" s="7">
        <v>9</v>
      </c>
      <c r="E139" s="7">
        <v>4</v>
      </c>
      <c r="F139" s="116" t="str">
        <f t="shared" si="66"/>
        <v>Alta</v>
      </c>
      <c r="G139" s="7" t="str">
        <f t="shared" si="67"/>
        <v>EEH</v>
      </c>
      <c r="H139" s="7">
        <f t="shared" si="68"/>
        <v>6</v>
      </c>
      <c r="I139" s="116" t="str">
        <f t="shared" si="69"/>
        <v>H</v>
      </c>
      <c r="J139" s="7" t="str">
        <f t="shared" si="70"/>
        <v>EEI</v>
      </c>
      <c r="K139" s="125">
        <f t="shared" si="71"/>
        <v>6</v>
      </c>
      <c r="L139" s="125">
        <f>IF(NOT(ISERROR(VLOOKUP(B139,Deflatores!G$42:H$64,2,FALSE))),VLOOKUP(B139,Deflatores!G$42:H$64,2,FALSE),IF(OR(ISBLANK(C139),ISBLANK(B139)),"",VLOOKUP(C139,Deflatores!G$4:H$38,2,FALSE)*H139+VLOOKUP(C139,Deflatores!G$4:I$38,3,FALSE)))</f>
        <v>6</v>
      </c>
      <c r="M139" s="10"/>
      <c r="N139" s="10"/>
      <c r="O139" s="125"/>
    </row>
    <row r="140" spans="1:15">
      <c r="A140" s="139" t="s">
        <v>179</v>
      </c>
      <c r="B140" s="4" t="s">
        <v>44</v>
      </c>
      <c r="C140" s="4" t="s">
        <v>49</v>
      </c>
      <c r="D140" s="7">
        <v>15</v>
      </c>
      <c r="E140" s="7">
        <v>3</v>
      </c>
      <c r="F140" s="116" t="str">
        <f t="shared" si="66"/>
        <v>Média</v>
      </c>
      <c r="G140" s="7" t="str">
        <f t="shared" si="67"/>
        <v>CEA</v>
      </c>
      <c r="H140" s="7">
        <f t="shared" si="68"/>
        <v>4</v>
      </c>
      <c r="I140" s="116" t="str">
        <f t="shared" si="69"/>
        <v>A</v>
      </c>
      <c r="J140" s="7" t="str">
        <f t="shared" si="70"/>
        <v>CEI</v>
      </c>
      <c r="K140" s="125">
        <f t="shared" si="71"/>
        <v>4</v>
      </c>
      <c r="L140" s="125">
        <f>IF(NOT(ISERROR(VLOOKUP(B140,Deflatores!G$42:H$64,2,FALSE))),VLOOKUP(B140,Deflatores!G$42:H$64,2,FALSE),IF(OR(ISBLANK(C140),ISBLANK(B140)),"",VLOOKUP(C140,Deflatores!G$4:H$38,2,FALSE)*H140+VLOOKUP(C140,Deflatores!G$4:I$38,3,FALSE)))</f>
        <v>4</v>
      </c>
      <c r="M140" s="10"/>
      <c r="N140" s="10"/>
      <c r="O140" s="132"/>
    </row>
    <row r="141" spans="1:15">
      <c r="A141" s="138" t="s">
        <v>180</v>
      </c>
      <c r="B141" s="4" t="s">
        <v>44</v>
      </c>
      <c r="C141" s="4" t="s">
        <v>49</v>
      </c>
      <c r="D141" s="7">
        <v>17</v>
      </c>
      <c r="E141" s="7">
        <v>3</v>
      </c>
      <c r="F141" s="116" t="str">
        <f t="shared" si="66"/>
        <v>Média</v>
      </c>
      <c r="G141" s="7" t="str">
        <f t="shared" si="67"/>
        <v>CEA</v>
      </c>
      <c r="H141" s="7">
        <f t="shared" si="68"/>
        <v>4</v>
      </c>
      <c r="I141" s="116" t="str">
        <f t="shared" si="69"/>
        <v>A</v>
      </c>
      <c r="J141" s="7" t="str">
        <f t="shared" si="70"/>
        <v>CEI</v>
      </c>
      <c r="K141" s="125">
        <f t="shared" si="71"/>
        <v>4</v>
      </c>
      <c r="L141" s="125">
        <f>IF(NOT(ISERROR(VLOOKUP(B141,Deflatores!G$42:H$64,2,FALSE))),VLOOKUP(B141,Deflatores!G$42:H$64,2,FALSE),IF(OR(ISBLANK(C141),ISBLANK(B141)),"",VLOOKUP(C141,Deflatores!G$4:H$38,2,FALSE)*H141+VLOOKUP(C141,Deflatores!G$4:I$38,3,FALSE)))</f>
        <v>4</v>
      </c>
      <c r="M141" s="10"/>
      <c r="N141" s="10"/>
      <c r="O141" s="125"/>
    </row>
    <row r="142" spans="1:15">
      <c r="A142" s="138" t="s">
        <v>181</v>
      </c>
      <c r="B142" s="4" t="s">
        <v>44</v>
      </c>
      <c r="C142" s="4" t="s">
        <v>49</v>
      </c>
      <c r="D142" s="7">
        <v>12</v>
      </c>
      <c r="E142" s="7">
        <v>3</v>
      </c>
      <c r="F142" s="116" t="str">
        <f t="shared" si="66"/>
        <v>Média</v>
      </c>
      <c r="G142" s="7" t="str">
        <f t="shared" si="67"/>
        <v>CEA</v>
      </c>
      <c r="H142" s="7">
        <f t="shared" si="68"/>
        <v>4</v>
      </c>
      <c r="I142" s="116" t="str">
        <f t="shared" si="69"/>
        <v>A</v>
      </c>
      <c r="J142" s="7" t="str">
        <f t="shared" si="70"/>
        <v>CEI</v>
      </c>
      <c r="K142" s="125">
        <f t="shared" si="71"/>
        <v>4</v>
      </c>
      <c r="L142" s="125">
        <f>IF(NOT(ISERROR(VLOOKUP(B142,Deflatores!G$42:H$64,2,FALSE))),VLOOKUP(B142,Deflatores!G$42:H$64,2,FALSE),IF(OR(ISBLANK(C142),ISBLANK(B142)),"",VLOOKUP(C142,Deflatores!G$4:H$38,2,FALSE)*H142+VLOOKUP(C142,Deflatores!G$4:I$38,3,FALSE)))</f>
        <v>4</v>
      </c>
      <c r="M142" s="10"/>
      <c r="N142" s="10"/>
      <c r="O142" s="125"/>
    </row>
    <row r="143" spans="1:15">
      <c r="A143" s="138" t="s">
        <v>182</v>
      </c>
      <c r="B143" s="4" t="s">
        <v>63</v>
      </c>
      <c r="C143" s="4" t="s">
        <v>49</v>
      </c>
      <c r="D143" s="7">
        <v>9</v>
      </c>
      <c r="E143" s="7">
        <v>3</v>
      </c>
      <c r="F143" s="116" t="str">
        <f t="shared" si="66"/>
        <v>Alta</v>
      </c>
      <c r="G143" s="7" t="str">
        <f t="shared" si="67"/>
        <v>EEH</v>
      </c>
      <c r="H143" s="7">
        <f t="shared" si="68"/>
        <v>6</v>
      </c>
      <c r="I143" s="116" t="str">
        <f t="shared" si="69"/>
        <v>H</v>
      </c>
      <c r="J143" s="7" t="str">
        <f t="shared" si="70"/>
        <v>EEI</v>
      </c>
      <c r="K143" s="125">
        <f t="shared" si="71"/>
        <v>6</v>
      </c>
      <c r="L143" s="125">
        <f>IF(NOT(ISERROR(VLOOKUP(B143,Deflatores!G$42:H$64,2,FALSE))),VLOOKUP(B143,Deflatores!G$42:H$64,2,FALSE),IF(OR(ISBLANK(C143),ISBLANK(B143)),"",VLOOKUP(C143,Deflatores!G$4:H$38,2,FALSE)*H143+VLOOKUP(C143,Deflatores!G$4:I$38,3,FALSE)))</f>
        <v>6</v>
      </c>
      <c r="M143" s="10"/>
      <c r="N143" s="10"/>
      <c r="O143" s="125"/>
    </row>
    <row r="144" spans="1:15">
      <c r="A144" s="138" t="s">
        <v>183</v>
      </c>
      <c r="B144" s="4" t="s">
        <v>63</v>
      </c>
      <c r="C144" s="4" t="s">
        <v>49</v>
      </c>
      <c r="D144" s="7">
        <v>10</v>
      </c>
      <c r="E144" s="7">
        <v>3</v>
      </c>
      <c r="F144" s="116" t="str">
        <f t="shared" si="66"/>
        <v>Alta</v>
      </c>
      <c r="G144" s="7" t="str">
        <f t="shared" si="67"/>
        <v>EEH</v>
      </c>
      <c r="H144" s="7">
        <f t="shared" si="68"/>
        <v>6</v>
      </c>
      <c r="I144" s="116" t="str">
        <f t="shared" si="69"/>
        <v>H</v>
      </c>
      <c r="J144" s="7" t="str">
        <f t="shared" si="70"/>
        <v>EEI</v>
      </c>
      <c r="K144" s="125">
        <f t="shared" si="71"/>
        <v>6</v>
      </c>
      <c r="L144" s="125">
        <f>IF(NOT(ISERROR(VLOOKUP(B144,Deflatores!G$42:H$64,2,FALSE))),VLOOKUP(B144,Deflatores!G$42:H$64,2,FALSE),IF(OR(ISBLANK(C144),ISBLANK(B144)),"",VLOOKUP(C144,Deflatores!G$4:H$38,2,FALSE)*H144+VLOOKUP(C144,Deflatores!G$4:I$38,3,FALSE)))</f>
        <v>6</v>
      </c>
      <c r="M144" s="10"/>
      <c r="N144" s="10"/>
      <c r="O144" s="125"/>
    </row>
    <row r="145" spans="1:15">
      <c r="A145" s="139" t="s">
        <v>184</v>
      </c>
      <c r="B145" s="4" t="s">
        <v>44</v>
      </c>
      <c r="C145" s="4" t="s">
        <v>49</v>
      </c>
      <c r="D145" s="7">
        <v>8</v>
      </c>
      <c r="E145" s="7">
        <v>2</v>
      </c>
      <c r="F145" s="116" t="str">
        <f t="shared" si="66"/>
        <v>Média</v>
      </c>
      <c r="G145" s="7" t="str">
        <f t="shared" si="67"/>
        <v>CEA</v>
      </c>
      <c r="H145" s="7">
        <f t="shared" si="68"/>
        <v>4</v>
      </c>
      <c r="I145" s="116" t="str">
        <f t="shared" si="69"/>
        <v>A</v>
      </c>
      <c r="J145" s="7" t="str">
        <f t="shared" si="70"/>
        <v>CEI</v>
      </c>
      <c r="K145" s="125">
        <f t="shared" si="71"/>
        <v>4</v>
      </c>
      <c r="L145" s="125">
        <f>IF(NOT(ISERROR(VLOOKUP(B145,Deflatores!G$42:H$64,2,FALSE))),VLOOKUP(B145,Deflatores!G$42:H$64,2,FALSE),IF(OR(ISBLANK(C145),ISBLANK(B145)),"",VLOOKUP(C145,Deflatores!G$4:H$38,2,FALSE)*H145+VLOOKUP(C145,Deflatores!G$4:I$38,3,FALSE)))</f>
        <v>4</v>
      </c>
      <c r="M145" s="10"/>
      <c r="N145" s="10"/>
      <c r="O145" s="125"/>
    </row>
    <row r="146" spans="1:15">
      <c r="A146" s="138" t="s">
        <v>185</v>
      </c>
      <c r="B146" s="4" t="s">
        <v>44</v>
      </c>
      <c r="C146" s="4" t="s">
        <v>49</v>
      </c>
      <c r="D146" s="7">
        <v>10</v>
      </c>
      <c r="E146" s="7">
        <v>2</v>
      </c>
      <c r="F146" s="116" t="str">
        <f t="shared" si="66"/>
        <v>Média</v>
      </c>
      <c r="G146" s="7" t="str">
        <f t="shared" si="67"/>
        <v>CEA</v>
      </c>
      <c r="H146" s="7">
        <f t="shared" si="68"/>
        <v>4</v>
      </c>
      <c r="I146" s="116" t="str">
        <f t="shared" si="69"/>
        <v>A</v>
      </c>
      <c r="J146" s="7" t="str">
        <f t="shared" si="70"/>
        <v>CEI</v>
      </c>
      <c r="K146" s="125">
        <f t="shared" si="71"/>
        <v>4</v>
      </c>
      <c r="L146" s="125">
        <f>IF(NOT(ISERROR(VLOOKUP(B146,Deflatores!G$42:H$64,2,FALSE))),VLOOKUP(B146,Deflatores!G$42:H$64,2,FALSE),IF(OR(ISBLANK(C146),ISBLANK(B146)),"",VLOOKUP(C146,Deflatores!G$4:H$38,2,FALSE)*H146+VLOOKUP(C146,Deflatores!G$4:I$38,3,FALSE)))</f>
        <v>4</v>
      </c>
      <c r="M146" s="10"/>
      <c r="N146" s="10"/>
      <c r="O146" s="125"/>
    </row>
    <row r="147" spans="1:15" ht="15" customHeight="1">
      <c r="A147" s="138" t="s">
        <v>186</v>
      </c>
      <c r="B147" s="4" t="s">
        <v>63</v>
      </c>
      <c r="C147" s="4" t="s">
        <v>49</v>
      </c>
      <c r="D147" s="7">
        <v>3</v>
      </c>
      <c r="E147" s="7">
        <v>2</v>
      </c>
      <c r="F147" s="116" t="str">
        <f t="shared" si="66"/>
        <v>Baixa</v>
      </c>
      <c r="G147" s="7" t="str">
        <f t="shared" si="67"/>
        <v>EEL</v>
      </c>
      <c r="H147" s="7">
        <f t="shared" si="68"/>
        <v>3</v>
      </c>
      <c r="I147" s="116" t="str">
        <f t="shared" si="69"/>
        <v>L</v>
      </c>
      <c r="J147" s="7" t="str">
        <f t="shared" si="70"/>
        <v>EEI</v>
      </c>
      <c r="K147" s="125">
        <f t="shared" si="71"/>
        <v>3</v>
      </c>
      <c r="L147" s="125">
        <f>IF(NOT(ISERROR(VLOOKUP(B147,Deflatores!G$42:H$64,2,FALSE))),VLOOKUP(B147,Deflatores!G$42:H$64,2,FALSE),IF(OR(ISBLANK(C147),ISBLANK(B147)),"",VLOOKUP(C147,Deflatores!G$4:H$38,2,FALSE)*H147+VLOOKUP(C147,Deflatores!G$4:I$38,3,FALSE)))</f>
        <v>3</v>
      </c>
      <c r="M147" s="10"/>
      <c r="N147" s="10"/>
      <c r="O147" s="125"/>
    </row>
    <row r="148" spans="1:15" ht="15.75" customHeight="1">
      <c r="A148" s="138" t="s">
        <v>187</v>
      </c>
      <c r="B148" s="4" t="s">
        <v>44</v>
      </c>
      <c r="C148" s="4" t="s">
        <v>49</v>
      </c>
      <c r="D148" s="7">
        <v>12</v>
      </c>
      <c r="E148" s="7">
        <v>3</v>
      </c>
      <c r="F148" s="116" t="str">
        <f t="shared" si="66"/>
        <v>Média</v>
      </c>
      <c r="G148" s="7" t="str">
        <f t="shared" si="67"/>
        <v>CEA</v>
      </c>
      <c r="H148" s="7">
        <f t="shared" si="68"/>
        <v>4</v>
      </c>
      <c r="I148" s="116" t="str">
        <f t="shared" si="69"/>
        <v>A</v>
      </c>
      <c r="J148" s="7" t="str">
        <f t="shared" si="70"/>
        <v>CEI</v>
      </c>
      <c r="K148" s="125">
        <f t="shared" si="71"/>
        <v>4</v>
      </c>
      <c r="L148" s="125">
        <f>IF(NOT(ISERROR(VLOOKUP(B148,Deflatores!G$42:H$64,2,FALSE))),VLOOKUP(B148,Deflatores!G$42:H$64,2,FALSE),IF(OR(ISBLANK(C148),ISBLANK(B148)),"",VLOOKUP(C148,Deflatores!G$4:H$38,2,FALSE)*H148+VLOOKUP(C148,Deflatores!G$4:I$38,3,FALSE)))</f>
        <v>4</v>
      </c>
      <c r="M148" s="10"/>
      <c r="N148" s="10"/>
      <c r="O148" s="125"/>
    </row>
    <row r="149" spans="1:15" ht="13.5" customHeight="1">
      <c r="A149" s="138" t="s">
        <v>188</v>
      </c>
      <c r="B149" s="4" t="s">
        <v>44</v>
      </c>
      <c r="C149" s="4" t="s">
        <v>49</v>
      </c>
      <c r="D149" s="7">
        <v>3</v>
      </c>
      <c r="E149" s="7">
        <v>2</v>
      </c>
      <c r="F149" s="116" t="str">
        <f>IF(ISBLANK(B149),"",IF(I149="L","Baixa",IF(I149="A","Média",IF(I149="","","Alta"))))</f>
        <v>Baixa</v>
      </c>
      <c r="G149" s="7" t="str">
        <f>CONCATENATE(B149,I149)</f>
        <v>CEL</v>
      </c>
      <c r="H149" s="7">
        <f>IF(ISBLANK(B149),"",IF(B149="ALI",IF(I149="L",7,IF(I149="A",10,15)),IF(B149="AIE",IF(I149="L",5,IF(I149="A",7,10)),IF(B149="SE",IF(I149="L",4,IF(I149="A",5,7)),IF(OR(B149="EE",B149="CE"),IF(I149="L",3,IF(I149="A",4,6)),0)))))</f>
        <v>3</v>
      </c>
      <c r="I149" s="116" t="str">
        <f>IF(OR(ISBLANK(D149),ISBLANK(E149)),IF(OR(B149="ALI",B149="AIE"),"L",IF(OR(B149="EE",B149="SE",B149="CE"),"A","")),IF(B149="EE",IF(E149&gt;=3,IF(D149&gt;=5,"H","A"),IF(E149&gt;=2,IF(D149&gt;=16,"H",IF(D149&lt;=4,"L","A")),IF(D149&lt;=15,"L","A"))),IF(OR(B149="SE",B149="CE"),IF(E149&gt;=4,IF(D149&gt;=6,"H","A"),IF(E149&gt;=2,IF(D149&gt;=20,"H",IF(D149&lt;=5,"L","A")),IF(D149&lt;=19,"L","A"))),IF(OR(B149="ALI",B149="AIE"),IF(E149&gt;=6,IF(D149&gt;=20,"H","A"),IF(E149&gt;=2,IF(D149&gt;=51,"H",IF(D149&lt;=19,"L","A")),IF(D149&lt;=50,"L","A"))),""))))</f>
        <v>L</v>
      </c>
      <c r="J149" s="7" t="str">
        <f>CONCATENATE(B149,C149)</f>
        <v>CEI</v>
      </c>
      <c r="K149" s="125">
        <f t="shared" si="71"/>
        <v>3</v>
      </c>
      <c r="L149" s="125">
        <f>IF(NOT(ISERROR(VLOOKUP(B149,Deflatores!G$42:H$64,2,FALSE))),VLOOKUP(B149,Deflatores!G$42:H$64,2,FALSE),IF(OR(ISBLANK(C149),ISBLANK(B149)),"",VLOOKUP(C149,Deflatores!G$4:H$38,2,FALSE)*H149+VLOOKUP(C149,Deflatores!G$4:I$38,3,FALSE)))</f>
        <v>3</v>
      </c>
      <c r="M149" s="10"/>
      <c r="N149" s="10"/>
      <c r="O149" s="125"/>
    </row>
    <row r="150" spans="1:15" ht="15.75" customHeight="1">
      <c r="A150" s="138"/>
      <c r="B150" s="4"/>
      <c r="C150" s="4"/>
      <c r="D150" s="7"/>
      <c r="E150" s="7"/>
      <c r="F150" s="116" t="str">
        <f t="shared" si="66"/>
        <v/>
      </c>
      <c r="G150" s="7" t="str">
        <f t="shared" si="67"/>
        <v/>
      </c>
      <c r="H150" s="7" t="str">
        <f t="shared" si="68"/>
        <v/>
      </c>
      <c r="I150" s="116" t="str">
        <f t="shared" si="69"/>
        <v/>
      </c>
      <c r="J150" s="7" t="str">
        <f t="shared" si="70"/>
        <v/>
      </c>
      <c r="K150" s="125" t="str">
        <f t="shared" si="71"/>
        <v/>
      </c>
      <c r="L150" s="125" t="str">
        <f>IF(NOT(ISERROR(VLOOKUP(B150,Deflatores!G$42:H$64,2,FALSE))),VLOOKUP(B150,Deflatores!G$42:H$64,2,FALSE),IF(OR(ISBLANK(C150),ISBLANK(B150)),"",VLOOKUP(C150,Deflatores!G$4:H$38,2,FALSE)*H150+VLOOKUP(C150,Deflatores!G$4:I$38,3,FALSE)))</f>
        <v/>
      </c>
      <c r="M150" s="10"/>
      <c r="N150" s="10"/>
      <c r="O150" s="125"/>
    </row>
    <row r="151" spans="1:15" ht="15.75" customHeight="1">
      <c r="A151" s="137" t="s">
        <v>189</v>
      </c>
      <c r="B151" s="4"/>
      <c r="C151" s="4"/>
      <c r="D151" s="7"/>
      <c r="E151" s="7"/>
      <c r="F151" s="116" t="str">
        <f t="shared" si="66"/>
        <v/>
      </c>
      <c r="G151" s="7" t="str">
        <f t="shared" si="67"/>
        <v/>
      </c>
      <c r="H151" s="7" t="str">
        <f t="shared" si="68"/>
        <v/>
      </c>
      <c r="I151" s="116" t="str">
        <f t="shared" si="69"/>
        <v/>
      </c>
      <c r="J151" s="7" t="str">
        <f t="shared" si="70"/>
        <v/>
      </c>
      <c r="K151" s="125" t="str">
        <f t="shared" si="71"/>
        <v/>
      </c>
      <c r="L151" s="125" t="str">
        <f>IF(NOT(ISERROR(VLOOKUP(B151,Deflatores!G$42:H$64,2,FALSE))),VLOOKUP(B151,Deflatores!G$42:H$64,2,FALSE),IF(OR(ISBLANK(C151),ISBLANK(B151)),"",VLOOKUP(C151,Deflatores!G$4:H$38,2,FALSE)*H151+VLOOKUP(C151,Deflatores!G$4:I$38,3,FALSE)))</f>
        <v/>
      </c>
      <c r="M151" s="10"/>
      <c r="N151" s="10"/>
      <c r="O151" s="125"/>
    </row>
    <row r="152" spans="1:15" ht="13.5" customHeight="1">
      <c r="A152" s="138" t="s">
        <v>190</v>
      </c>
      <c r="B152" s="4" t="s">
        <v>55</v>
      </c>
      <c r="C152" s="4" t="s">
        <v>49</v>
      </c>
      <c r="D152" s="7">
        <v>4</v>
      </c>
      <c r="E152" s="7">
        <v>1</v>
      </c>
      <c r="F152" s="116" t="str">
        <f t="shared" si="66"/>
        <v>Baixa</v>
      </c>
      <c r="G152" s="7" t="str">
        <f t="shared" si="67"/>
        <v>ALIL</v>
      </c>
      <c r="H152" s="7">
        <f t="shared" si="68"/>
        <v>7</v>
      </c>
      <c r="I152" s="116" t="str">
        <f t="shared" si="69"/>
        <v>L</v>
      </c>
      <c r="J152" s="7" t="str">
        <f t="shared" si="70"/>
        <v>ALII</v>
      </c>
      <c r="K152" s="125">
        <f t="shared" si="71"/>
        <v>7</v>
      </c>
      <c r="L152" s="125">
        <f>IF(NOT(ISERROR(VLOOKUP(B152,Deflatores!G$42:H$64,2,FALSE))),VLOOKUP(B152,Deflatores!G$42:H$64,2,FALSE),IF(OR(ISBLANK(C152),ISBLANK(B152)),"",VLOOKUP(C152,Deflatores!G$4:H$38,2,FALSE)*H152+VLOOKUP(C152,Deflatores!G$4:I$38,3,FALSE)))</f>
        <v>7</v>
      </c>
      <c r="M152" s="10"/>
      <c r="N152" s="10"/>
      <c r="O152" s="125"/>
    </row>
    <row r="153" spans="1:15" ht="13.5" customHeight="1">
      <c r="A153" s="138" t="s">
        <v>191</v>
      </c>
      <c r="B153" s="4" t="s">
        <v>44</v>
      </c>
      <c r="C153" s="4" t="s">
        <v>49</v>
      </c>
      <c r="D153" s="7">
        <v>18</v>
      </c>
      <c r="E153" s="7">
        <v>4</v>
      </c>
      <c r="F153" s="116" t="str">
        <f>IF(ISBLANK(B153),"",IF(I153="L","Baixa",IF(I153="A","Média",IF(I153="","","Alta"))))</f>
        <v>Alta</v>
      </c>
      <c r="G153" s="7" t="str">
        <f>CONCATENATE(B153,I153)</f>
        <v>CEH</v>
      </c>
      <c r="H153" s="7">
        <f>IF(ISBLANK(B153),"",IF(B153="ALI",IF(I153="L",7,IF(I153="A",10,15)),IF(B153="AIE",IF(I153="L",5,IF(I153="A",7,10)),IF(B153="SE",IF(I153="L",4,IF(I153="A",5,7)),IF(OR(B153="EE",B153="CE"),IF(I153="L",3,IF(I153="A",4,6)),0)))))</f>
        <v>6</v>
      </c>
      <c r="I153" s="116" t="str">
        <f>IF(OR(ISBLANK(D153),ISBLANK(E153)),IF(OR(B153="ALI",B153="AIE"),"L",IF(OR(B153="EE",B153="SE",B153="CE"),"A","")),IF(B153="EE",IF(E153&gt;=3,IF(D153&gt;=5,"H","A"),IF(E153&gt;=2,IF(D153&gt;=16,"H",IF(D153&lt;=4,"L","A")),IF(D153&lt;=15,"L","A"))),IF(OR(B153="SE",B153="CE"),IF(E153&gt;=4,IF(D153&gt;=6,"H","A"),IF(E153&gt;=2,IF(D153&gt;=20,"H",IF(D153&lt;=5,"L","A")),IF(D153&lt;=19,"L","A"))),IF(OR(B153="ALI",B153="AIE"),IF(E153&gt;=6,IF(D153&gt;=20,"H","A"),IF(E153&gt;=2,IF(D153&gt;=51,"H",IF(D153&lt;=19,"L","A")),IF(D153&lt;=50,"L","A"))),""))))</f>
        <v>H</v>
      </c>
      <c r="J153" s="7" t="str">
        <f>CONCATENATE(B153,C153)</f>
        <v>CEI</v>
      </c>
      <c r="K153" s="125">
        <f t="shared" si="71"/>
        <v>6</v>
      </c>
      <c r="L153" s="125">
        <f>IF(NOT(ISERROR(VLOOKUP(B153,Deflatores!G$42:H$64,2,FALSE))),VLOOKUP(B153,Deflatores!G$42:H$64,2,FALSE),IF(OR(ISBLANK(C153),ISBLANK(B153)),"",VLOOKUP(C153,Deflatores!G$4:H$38,2,FALSE)*H153+VLOOKUP(C153,Deflatores!G$4:I$38,3,FALSE)))</f>
        <v>6</v>
      </c>
      <c r="M153" s="10"/>
      <c r="N153" s="10"/>
      <c r="O153" s="125"/>
    </row>
    <row r="154" spans="1:15" ht="13.5" customHeight="1">
      <c r="A154" s="138" t="s">
        <v>192</v>
      </c>
      <c r="B154" s="4" t="s">
        <v>44</v>
      </c>
      <c r="C154" s="4" t="s">
        <v>49</v>
      </c>
      <c r="D154" s="7">
        <v>18</v>
      </c>
      <c r="E154" s="7">
        <v>4</v>
      </c>
      <c r="F154" s="116" t="str">
        <f>IF(ISBLANK(B154),"",IF(I154="L","Baixa",IF(I154="A","Média",IF(I154="","","Alta"))))</f>
        <v>Alta</v>
      </c>
      <c r="G154" s="7" t="str">
        <f>CONCATENATE(B154,I154)</f>
        <v>CEH</v>
      </c>
      <c r="H154" s="7">
        <f>IF(ISBLANK(B154),"",IF(B154="ALI",IF(I154="L",7,IF(I154="A",10,15)),IF(B154="AIE",IF(I154="L",5,IF(I154="A",7,10)),IF(B154="SE",IF(I154="L",4,IF(I154="A",5,7)),IF(OR(B154="EE",B154="CE"),IF(I154="L",3,IF(I154="A",4,6)),0)))))</f>
        <v>6</v>
      </c>
      <c r="I154" s="116" t="str">
        <f>IF(OR(ISBLANK(D154),ISBLANK(E154)),IF(OR(B154="ALI",B154="AIE"),"L",IF(OR(B154="EE",B154="SE",B154="CE"),"A","")),IF(B154="EE",IF(E154&gt;=3,IF(D154&gt;=5,"H","A"),IF(E154&gt;=2,IF(D154&gt;=16,"H",IF(D154&lt;=4,"L","A")),IF(D154&lt;=15,"L","A"))),IF(OR(B154="SE",B154="CE"),IF(E154&gt;=4,IF(D154&gt;=6,"H","A"),IF(E154&gt;=2,IF(D154&gt;=20,"H",IF(D154&lt;=5,"L","A")),IF(D154&lt;=19,"L","A"))),IF(OR(B154="ALI",B154="AIE"),IF(E154&gt;=6,IF(D154&gt;=20,"H","A"),IF(E154&gt;=2,IF(D154&gt;=51,"H",IF(D154&lt;=19,"L","A")),IF(D154&lt;=50,"L","A"))),""))))</f>
        <v>H</v>
      </c>
      <c r="J154" s="7" t="str">
        <f>CONCATENATE(B154,C154)</f>
        <v>CEI</v>
      </c>
      <c r="K154" s="125">
        <f t="shared" si="71"/>
        <v>6</v>
      </c>
      <c r="L154" s="125">
        <f>IF(NOT(ISERROR(VLOOKUP(B154,Deflatores!G$42:H$64,2,FALSE))),VLOOKUP(B154,Deflatores!G$42:H$64,2,FALSE),IF(OR(ISBLANK(C154),ISBLANK(B154)),"",VLOOKUP(C154,Deflatores!G$4:H$38,2,FALSE)*H154+VLOOKUP(C154,Deflatores!G$4:I$38,3,FALSE)))</f>
        <v>6</v>
      </c>
      <c r="M154" s="10"/>
      <c r="N154" s="10"/>
      <c r="O154" s="125"/>
    </row>
    <row r="155" spans="1:15">
      <c r="A155" s="138"/>
      <c r="B155" s="4"/>
      <c r="C155" s="4"/>
      <c r="D155" s="7"/>
      <c r="E155" s="7"/>
      <c r="F155" s="116" t="str">
        <f t="shared" si="66"/>
        <v/>
      </c>
      <c r="G155" s="7" t="str">
        <f t="shared" si="67"/>
        <v/>
      </c>
      <c r="H155" s="7" t="str">
        <f t="shared" si="68"/>
        <v/>
      </c>
      <c r="I155" s="116" t="str">
        <f t="shared" si="69"/>
        <v/>
      </c>
      <c r="J155" s="7" t="str">
        <f t="shared" si="70"/>
        <v/>
      </c>
      <c r="K155" s="125" t="str">
        <f t="shared" si="71"/>
        <v/>
      </c>
      <c r="L155" s="125" t="str">
        <f>IF(NOT(ISERROR(VLOOKUP(B155,Deflatores!G$42:H$64,2,FALSE))),VLOOKUP(B155,Deflatores!G$42:H$64,2,FALSE),IF(OR(ISBLANK(C155),ISBLANK(B155)),"",VLOOKUP(C155,Deflatores!G$4:H$38,2,FALSE)*H155+VLOOKUP(C155,Deflatores!G$4:I$38,3,FALSE)))</f>
        <v/>
      </c>
      <c r="M155" s="10"/>
      <c r="N155" s="10"/>
      <c r="O155" s="125"/>
    </row>
    <row r="156" spans="1:15">
      <c r="A156" s="137" t="s">
        <v>193</v>
      </c>
      <c r="B156" s="4"/>
      <c r="C156" s="4"/>
      <c r="D156" s="7"/>
      <c r="E156" s="7"/>
      <c r="F156" s="116" t="str">
        <f t="shared" si="66"/>
        <v/>
      </c>
      <c r="G156" s="7" t="str">
        <f t="shared" si="67"/>
        <v/>
      </c>
      <c r="H156" s="7" t="str">
        <f t="shared" si="68"/>
        <v/>
      </c>
      <c r="I156" s="116" t="str">
        <f t="shared" si="69"/>
        <v/>
      </c>
      <c r="J156" s="7" t="str">
        <f t="shared" si="70"/>
        <v/>
      </c>
      <c r="K156" s="125" t="str">
        <f t="shared" si="71"/>
        <v/>
      </c>
      <c r="L156" s="125" t="str">
        <f>IF(NOT(ISERROR(VLOOKUP(B156,Deflatores!G$42:H$64,2,FALSE))),VLOOKUP(B156,Deflatores!G$42:H$64,2,FALSE),IF(OR(ISBLANK(C156),ISBLANK(B156)),"",VLOOKUP(C156,Deflatores!G$4:H$38,2,FALSE)*H156+VLOOKUP(C156,Deflatores!G$4:I$38,3,FALSE)))</f>
        <v/>
      </c>
      <c r="M156" s="10"/>
      <c r="N156" s="10"/>
      <c r="O156" s="130"/>
    </row>
    <row r="157" spans="1:15">
      <c r="A157" s="138" t="s">
        <v>194</v>
      </c>
      <c r="B157" s="4" t="s">
        <v>55</v>
      </c>
      <c r="C157" s="4" t="s">
        <v>56</v>
      </c>
      <c r="D157" s="7">
        <v>29</v>
      </c>
      <c r="E157" s="7">
        <v>4</v>
      </c>
      <c r="F157" s="116" t="str">
        <f>IF(ISBLANK(B157),"",IF(I157="L","Baixa",IF(I157="A","Média",IF(I157="","","Alta"))))</f>
        <v>Média</v>
      </c>
      <c r="G157" s="7" t="str">
        <f>CONCATENATE(B157,I157)</f>
        <v>ALIA</v>
      </c>
      <c r="H157" s="7">
        <f>IF(ISBLANK(B157),"",IF(B157="ALI",IF(I157="L",7,IF(I157="A",10,15)),IF(B157="AIE",IF(I157="L",5,IF(I157="A",7,10)),IF(B157="SE",IF(I157="L",4,IF(I157="A",5,7)),IF(OR(B157="EE",B157="CE"),IF(I157="L",3,IF(I157="A",4,6)),0)))))</f>
        <v>10</v>
      </c>
      <c r="I157" s="116" t="str">
        <f>IF(OR(ISBLANK(D157),ISBLANK(E157)),IF(OR(B157="ALI",B157="AIE"),"L",IF(OR(B157="EE",B157="SE",B157="CE"),"A","")),IF(B157="EE",IF(E157&gt;=3,IF(D157&gt;=5,"H","A"),IF(E157&gt;=2,IF(D157&gt;=16,"H",IF(D157&lt;=4,"L","A")),IF(D157&lt;=15,"L","A"))),IF(OR(B157="SE",B157="CE"),IF(E157&gt;=4,IF(D157&gt;=6,"H","A"),IF(E157&gt;=2,IF(D157&gt;=20,"H",IF(D157&lt;=5,"L","A")),IF(D157&lt;=19,"L","A"))),IF(OR(B157="ALI",B157="AIE"),IF(E157&gt;=6,IF(D157&gt;=20,"H","A"),IF(E157&gt;=2,IF(D157&gt;=51,"H",IF(D157&lt;=19,"L","A")),IF(D157&lt;=50,"L","A"))),""))))</f>
        <v>A</v>
      </c>
      <c r="J157" s="7" t="str">
        <f>CONCATENATE(B157,C157)</f>
        <v>ALIA50</v>
      </c>
      <c r="K157" s="125">
        <f>IF(OR(H157="",H157=0),L157,H157)</f>
        <v>10</v>
      </c>
      <c r="L157" s="125">
        <f>IF(NOT(ISERROR(VLOOKUP(B157,Deflatores!G$42:H$64,2,FALSE))),VLOOKUP(B157,Deflatores!G$42:H$64,2,FALSE),IF(OR(ISBLANK(C157),ISBLANK(B157)),"",VLOOKUP(C157,Deflatores!G$4:H$38,2,FALSE)*H157+VLOOKUP(C157,Deflatores!G$4:I$38,3,FALSE)))</f>
        <v>5</v>
      </c>
      <c r="M157" s="10"/>
      <c r="N157" s="10"/>
      <c r="O157" s="125"/>
    </row>
    <row r="158" spans="1:15">
      <c r="A158" s="138" t="s">
        <v>195</v>
      </c>
      <c r="B158" s="4" t="s">
        <v>55</v>
      </c>
      <c r="C158" s="4" t="s">
        <v>56</v>
      </c>
      <c r="D158" s="7">
        <v>15</v>
      </c>
      <c r="E158" s="7">
        <v>1</v>
      </c>
      <c r="F158" s="116" t="str">
        <f>IF(ISBLANK(B158),"",IF(I158="L","Baixa",IF(I158="A","Média",IF(I158="","","Alta"))))</f>
        <v>Baixa</v>
      </c>
      <c r="G158" s="7" t="str">
        <f>CONCATENATE(B158,I158)</f>
        <v>ALIL</v>
      </c>
      <c r="H158" s="7">
        <f>IF(ISBLANK(B158),"",IF(B158="ALI",IF(I158="L",7,IF(I158="A",10,15)),IF(B158="AIE",IF(I158="L",5,IF(I158="A",7,10)),IF(B158="SE",IF(I158="L",4,IF(I158="A",5,7)),IF(OR(B158="EE",B158="CE"),IF(I158="L",3,IF(I158="A",4,6)),0)))))</f>
        <v>7</v>
      </c>
      <c r="I158" s="116" t="str">
        <f>IF(OR(ISBLANK(D158),ISBLANK(E158)),IF(OR(B158="ALI",B158="AIE"),"L",IF(OR(B158="EE",B158="SE",B158="CE"),"A","")),IF(B158="EE",IF(E158&gt;=3,IF(D158&gt;=5,"H","A"),IF(E158&gt;=2,IF(D158&gt;=16,"H",IF(D158&lt;=4,"L","A")),IF(D158&lt;=15,"L","A"))),IF(OR(B158="SE",B158="CE"),IF(E158&gt;=4,IF(D158&gt;=6,"H","A"),IF(E158&gt;=2,IF(D158&gt;=20,"H",IF(D158&lt;=5,"L","A")),IF(D158&lt;=19,"L","A"))),IF(OR(B158="ALI",B158="AIE"),IF(E158&gt;=6,IF(D158&gt;=20,"H","A"),IF(E158&gt;=2,IF(D158&gt;=51,"H",IF(D158&lt;=19,"L","A")),IF(D158&lt;=50,"L","A"))),""))))</f>
        <v>L</v>
      </c>
      <c r="J158" s="7" t="str">
        <f>CONCATENATE(B158,C158)</f>
        <v>ALIA50</v>
      </c>
      <c r="K158" s="125">
        <f>IF(OR(H158="",H158=0),L158,H158)</f>
        <v>7</v>
      </c>
      <c r="L158" s="125">
        <f>IF(NOT(ISERROR(VLOOKUP(B158,Deflatores!G$42:H$64,2,FALSE))),VLOOKUP(B158,Deflatores!G$42:H$64,2,FALSE),IF(OR(ISBLANK(C158),ISBLANK(B158)),"",VLOOKUP(C158,Deflatores!G$4:H$38,2,FALSE)*H158+VLOOKUP(C158,Deflatores!G$4:I$38,3,FALSE)))</f>
        <v>3.5</v>
      </c>
      <c r="M158" s="10"/>
      <c r="N158" s="10"/>
      <c r="O158" s="125"/>
    </row>
    <row r="159" spans="1:15">
      <c r="A159" s="138" t="s">
        <v>196</v>
      </c>
      <c r="B159" s="4" t="s">
        <v>44</v>
      </c>
      <c r="C159" s="4" t="s">
        <v>56</v>
      </c>
      <c r="D159" s="7">
        <v>24</v>
      </c>
      <c r="E159" s="7">
        <v>4</v>
      </c>
      <c r="F159" s="116" t="str">
        <f t="shared" si="66"/>
        <v>Alta</v>
      </c>
      <c r="G159" s="7" t="str">
        <f t="shared" si="67"/>
        <v>CEH</v>
      </c>
      <c r="H159" s="7">
        <f t="shared" si="68"/>
        <v>6</v>
      </c>
      <c r="I159" s="116" t="str">
        <f t="shared" si="69"/>
        <v>H</v>
      </c>
      <c r="J159" s="7" t="str">
        <f t="shared" si="70"/>
        <v>CEA50</v>
      </c>
      <c r="K159" s="125">
        <f t="shared" si="71"/>
        <v>6</v>
      </c>
      <c r="L159" s="125">
        <f>IF(NOT(ISERROR(VLOOKUP(B159,Deflatores!G$42:H$64,2,FALSE))),VLOOKUP(B159,Deflatores!G$42:H$64,2,FALSE),IF(OR(ISBLANK(C159),ISBLANK(B159)),"",VLOOKUP(C159,Deflatores!G$4:H$38,2,FALSE)*H159+VLOOKUP(C159,Deflatores!G$4:I$38,3,FALSE)))</f>
        <v>3</v>
      </c>
      <c r="M159" s="10"/>
      <c r="N159" s="10"/>
      <c r="O159" s="131" t="s">
        <v>197</v>
      </c>
    </row>
    <row r="160" spans="1:15">
      <c r="A160" s="139" t="s">
        <v>198</v>
      </c>
      <c r="B160" s="128" t="s">
        <v>44</v>
      </c>
      <c r="C160" s="4" t="s">
        <v>49</v>
      </c>
      <c r="D160" s="7">
        <v>3</v>
      </c>
      <c r="E160" s="7">
        <v>1</v>
      </c>
      <c r="F160" s="116" t="str">
        <f t="shared" si="66"/>
        <v>Baixa</v>
      </c>
      <c r="G160" s="7" t="str">
        <f t="shared" si="67"/>
        <v>CEL</v>
      </c>
      <c r="H160" s="7">
        <f t="shared" si="68"/>
        <v>3</v>
      </c>
      <c r="I160" s="116" t="str">
        <f t="shared" si="69"/>
        <v>L</v>
      </c>
      <c r="J160" s="7" t="str">
        <f t="shared" si="70"/>
        <v>CEI</v>
      </c>
      <c r="K160" s="125">
        <f t="shared" si="71"/>
        <v>3</v>
      </c>
      <c r="L160" s="125">
        <f>IF(NOT(ISERROR(VLOOKUP(B160,Deflatores!G$42:H$64,2,FALSE))),VLOOKUP(B160,Deflatores!G$42:H$64,2,FALSE),IF(OR(ISBLANK(C160),ISBLANK(B160)),"",VLOOKUP(C160,Deflatores!G$4:H$38,2,FALSE)*H160+VLOOKUP(C160,Deflatores!G$4:I$38,3,FALSE)))</f>
        <v>3</v>
      </c>
      <c r="M160" s="10"/>
      <c r="N160" s="10"/>
      <c r="O160" s="125"/>
    </row>
    <row r="161" spans="1:15">
      <c r="A161" s="138" t="s">
        <v>199</v>
      </c>
      <c r="B161" s="4" t="s">
        <v>44</v>
      </c>
      <c r="C161" s="4" t="s">
        <v>200</v>
      </c>
      <c r="D161" s="7">
        <v>13</v>
      </c>
      <c r="E161" s="7">
        <v>4</v>
      </c>
      <c r="F161" s="116" t="str">
        <f t="shared" si="66"/>
        <v>Alta</v>
      </c>
      <c r="G161" s="7" t="str">
        <f t="shared" si="67"/>
        <v>CEH</v>
      </c>
      <c r="H161" s="7">
        <f t="shared" si="68"/>
        <v>6</v>
      </c>
      <c r="I161" s="116" t="str">
        <f t="shared" si="69"/>
        <v>H</v>
      </c>
      <c r="J161" s="7" t="str">
        <f t="shared" si="70"/>
        <v>CEE</v>
      </c>
      <c r="K161" s="125">
        <f t="shared" si="71"/>
        <v>6</v>
      </c>
      <c r="L161" s="125">
        <f>IF(NOT(ISERROR(VLOOKUP(B161,Deflatores!G$42:H$64,2,FALSE))),VLOOKUP(B161,Deflatores!G$42:H$64,2,FALSE),IF(OR(ISBLANK(C161),ISBLANK(B161)),"",VLOOKUP(C161,Deflatores!G$4:H$38,2,FALSE)*H161+VLOOKUP(C161,Deflatores!G$4:I$38,3,FALSE)))</f>
        <v>2.4000000000000004</v>
      </c>
      <c r="M161" s="10"/>
      <c r="N161" s="10"/>
      <c r="O161" s="125"/>
    </row>
    <row r="162" spans="1:15">
      <c r="A162" s="138" t="s">
        <v>201</v>
      </c>
      <c r="B162" s="4" t="s">
        <v>44</v>
      </c>
      <c r="C162" s="4" t="s">
        <v>49</v>
      </c>
      <c r="D162" s="7">
        <v>16</v>
      </c>
      <c r="E162" s="7">
        <v>4</v>
      </c>
      <c r="F162" s="116" t="str">
        <f t="shared" si="66"/>
        <v>Alta</v>
      </c>
      <c r="G162" s="7" t="str">
        <f t="shared" si="67"/>
        <v>CEH</v>
      </c>
      <c r="H162" s="7">
        <f t="shared" si="68"/>
        <v>6</v>
      </c>
      <c r="I162" s="116" t="str">
        <f t="shared" si="69"/>
        <v>H</v>
      </c>
      <c r="J162" s="7" t="str">
        <f t="shared" si="70"/>
        <v>CEI</v>
      </c>
      <c r="K162" s="125">
        <f t="shared" si="71"/>
        <v>6</v>
      </c>
      <c r="L162" s="125">
        <f>IF(NOT(ISERROR(VLOOKUP(B162,Deflatores!G$42:H$64,2,FALSE))),VLOOKUP(B162,Deflatores!G$42:H$64,2,FALSE),IF(OR(ISBLANK(C162),ISBLANK(B162)),"",VLOOKUP(C162,Deflatores!G$4:H$38,2,FALSE)*H162+VLOOKUP(C162,Deflatores!G$4:I$38,3,FALSE)))</f>
        <v>6</v>
      </c>
      <c r="M162" s="10"/>
      <c r="N162" s="10"/>
      <c r="O162" s="132"/>
    </row>
    <row r="163" spans="1:15">
      <c r="A163" s="138" t="s">
        <v>202</v>
      </c>
      <c r="B163" s="4" t="s">
        <v>44</v>
      </c>
      <c r="C163" s="4" t="s">
        <v>200</v>
      </c>
      <c r="D163" s="7">
        <v>13</v>
      </c>
      <c r="E163" s="7">
        <v>4</v>
      </c>
      <c r="F163" s="116" t="str">
        <f t="shared" si="66"/>
        <v>Alta</v>
      </c>
      <c r="G163" s="7" t="str">
        <f t="shared" si="67"/>
        <v>CEH</v>
      </c>
      <c r="H163" s="7">
        <f t="shared" si="68"/>
        <v>6</v>
      </c>
      <c r="I163" s="116" t="str">
        <f t="shared" si="69"/>
        <v>H</v>
      </c>
      <c r="J163" s="7" t="str">
        <f t="shared" si="70"/>
        <v>CEE</v>
      </c>
      <c r="K163" s="125">
        <f t="shared" si="71"/>
        <v>6</v>
      </c>
      <c r="L163" s="125">
        <f>IF(NOT(ISERROR(VLOOKUP(B163,Deflatores!G$42:H$64,2,FALSE))),VLOOKUP(B163,Deflatores!G$42:H$64,2,FALSE),IF(OR(ISBLANK(C163),ISBLANK(B163)),"",VLOOKUP(C163,Deflatores!G$4:H$38,2,FALSE)*H163+VLOOKUP(C163,Deflatores!G$4:I$38,3,FALSE)))</f>
        <v>2.4000000000000004</v>
      </c>
      <c r="M163" s="10"/>
      <c r="N163" s="10"/>
      <c r="O163" s="134"/>
    </row>
    <row r="164" spans="1:15">
      <c r="A164" s="138" t="s">
        <v>203</v>
      </c>
      <c r="B164" s="4" t="s">
        <v>63</v>
      </c>
      <c r="C164" s="4" t="s">
        <v>200</v>
      </c>
      <c r="D164" s="7">
        <v>11</v>
      </c>
      <c r="E164" s="7">
        <v>5</v>
      </c>
      <c r="F164" s="116" t="str">
        <f t="shared" ref="F164:F230" si="72">IF(ISBLANK(B164),"",IF(I164="L","Baixa",IF(I164="A","Média",IF(I164="","","Alta"))))</f>
        <v>Alta</v>
      </c>
      <c r="G164" s="7" t="str">
        <f t="shared" ref="G164:G230" si="73">CONCATENATE(B164,I164)</f>
        <v>EEH</v>
      </c>
      <c r="H164" s="7">
        <f t="shared" ref="H164:H230" si="74">IF(ISBLANK(B164),"",IF(B164="ALI",IF(I164="L",7,IF(I164="A",10,15)),IF(B164="AIE",IF(I164="L",5,IF(I164="A",7,10)),IF(B164="SE",IF(I164="L",4,IF(I164="A",5,7)),IF(OR(B164="EE",B164="CE"),IF(I164="L",3,IF(I164="A",4,6)),0)))))</f>
        <v>6</v>
      </c>
      <c r="I164" s="116" t="str">
        <f t="shared" ref="I164:I230" si="75">IF(OR(ISBLANK(D164),ISBLANK(E164)),IF(OR(B164="ALI",B164="AIE"),"L",IF(OR(B164="EE",B164="SE",B164="CE"),"A","")),IF(B164="EE",IF(E164&gt;=3,IF(D164&gt;=5,"H","A"),IF(E164&gt;=2,IF(D164&gt;=16,"H",IF(D164&lt;=4,"L","A")),IF(D164&lt;=15,"L","A"))),IF(OR(B164="SE",B164="CE"),IF(E164&gt;=4,IF(D164&gt;=6,"H","A"),IF(E164&gt;=2,IF(D164&gt;=20,"H",IF(D164&lt;=5,"L","A")),IF(D164&lt;=19,"L","A"))),IF(OR(B164="ALI",B164="AIE"),IF(E164&gt;=6,IF(D164&gt;=20,"H","A"),IF(E164&gt;=2,IF(D164&gt;=51,"H",IF(D164&lt;=19,"L","A")),IF(D164&lt;=50,"L","A"))),""))))</f>
        <v>H</v>
      </c>
      <c r="J164" s="7" t="str">
        <f t="shared" ref="J164:J230" si="76">CONCATENATE(B164,C164)</f>
        <v>EEE</v>
      </c>
      <c r="K164" s="125">
        <f t="shared" ref="K164:K230" si="77">IF(OR(H164="",H164=0),L164,H164)</f>
        <v>6</v>
      </c>
      <c r="L164" s="125">
        <f>IF(NOT(ISERROR(VLOOKUP(B164,Deflatores!G$42:H$64,2,FALSE))),VLOOKUP(B164,Deflatores!G$42:H$64,2,FALSE),IF(OR(ISBLANK(C164),ISBLANK(B164)),"",VLOOKUP(C164,Deflatores!G$4:H$38,2,FALSE)*H164+VLOOKUP(C164,Deflatores!G$4:I$38,3,FALSE)))</f>
        <v>2.4000000000000004</v>
      </c>
      <c r="M164" s="10"/>
      <c r="N164" s="10"/>
      <c r="O164" s="125"/>
    </row>
    <row r="165" spans="1:15">
      <c r="A165" s="138" t="s">
        <v>204</v>
      </c>
      <c r="B165" s="4" t="s">
        <v>63</v>
      </c>
      <c r="C165" s="4" t="s">
        <v>49</v>
      </c>
      <c r="D165" s="7">
        <v>3</v>
      </c>
      <c r="E165" s="7">
        <v>1</v>
      </c>
      <c r="F165" s="116" t="str">
        <f>IF(ISBLANK(B165),"",IF(I165="L","Baixa",IF(I165="A","Média",IF(I165="","","Alta"))))</f>
        <v>Baixa</v>
      </c>
      <c r="G165" s="7" t="str">
        <f>CONCATENATE(B165,I165)</f>
        <v>EEL</v>
      </c>
      <c r="H165" s="7">
        <f>IF(ISBLANK(B165),"",IF(B165="ALI",IF(I165="L",7,IF(I165="A",10,15)),IF(B165="AIE",IF(I165="L",5,IF(I165="A",7,10)),IF(B165="SE",IF(I165="L",4,IF(I165="A",5,7)),IF(OR(B165="EE",B165="CE"),IF(I165="L",3,IF(I165="A",4,6)),0)))))</f>
        <v>3</v>
      </c>
      <c r="I165" s="116" t="str">
        <f>IF(OR(ISBLANK(D165),ISBLANK(E165)),IF(OR(B165="ALI",B165="AIE"),"L",IF(OR(B165="EE",B165="SE",B165="CE"),"A","")),IF(B165="EE",IF(E165&gt;=3,IF(D165&gt;=5,"H","A"),IF(E165&gt;=2,IF(D165&gt;=16,"H",IF(D165&lt;=4,"L","A")),IF(D165&lt;=15,"L","A"))),IF(OR(B165="SE",B165="CE"),IF(E165&gt;=4,IF(D165&gt;=6,"H","A"),IF(E165&gt;=2,IF(D165&gt;=20,"H",IF(D165&lt;=5,"L","A")),IF(D165&lt;=19,"L","A"))),IF(OR(B165="ALI",B165="AIE"),IF(E165&gt;=6,IF(D165&gt;=20,"H","A"),IF(E165&gt;=2,IF(D165&gt;=51,"H",IF(D165&lt;=19,"L","A")),IF(D165&lt;=50,"L","A"))),""))))</f>
        <v>L</v>
      </c>
      <c r="J165" s="7" t="str">
        <f>CONCATENATE(B165,C165)</f>
        <v>EEI</v>
      </c>
      <c r="K165" s="125">
        <f>IF(OR(H165="",H165=0),L165,H165)</f>
        <v>3</v>
      </c>
      <c r="L165" s="125">
        <f>IF(NOT(ISERROR(VLOOKUP(B165,Deflatores!G$42:H$64,2,FALSE))),VLOOKUP(B165,Deflatores!G$42:H$64,2,FALSE),IF(OR(ISBLANK(C165),ISBLANK(B165)),"",VLOOKUP(C165,Deflatores!G$4:H$38,2,FALSE)*H165+VLOOKUP(C165,Deflatores!G$4:I$38,3,FALSE)))</f>
        <v>3</v>
      </c>
      <c r="M165" s="10"/>
      <c r="N165" s="10"/>
      <c r="O165" s="132"/>
    </row>
    <row r="166" spans="1:15">
      <c r="A166" s="140" t="s">
        <v>205</v>
      </c>
      <c r="B166" s="123" t="s">
        <v>44</v>
      </c>
      <c r="C166" s="123" t="s">
        <v>49</v>
      </c>
      <c r="D166" s="129">
        <v>4</v>
      </c>
      <c r="E166" s="129">
        <v>1</v>
      </c>
      <c r="F166" s="116" t="str">
        <f>IF(ISBLANK(B166),"",IF(I166="L","Baixa",IF(I166="A","Média",IF(I166="","","Alta"))))</f>
        <v>Baixa</v>
      </c>
      <c r="G166" s="7" t="str">
        <f>CONCATENATE(B166,I166)</f>
        <v>CEL</v>
      </c>
      <c r="H166" s="7">
        <f>IF(ISBLANK(B166),"",IF(B166="ALI",IF(I166="L",7,IF(I166="A",10,15)),IF(B166="AIE",IF(I166="L",5,IF(I166="A",7,10)),IF(B166="SE",IF(I166="L",4,IF(I166="A",5,7)),IF(OR(B166="EE",B166="CE"),IF(I166="L",3,IF(I166="A",4,6)),0)))))</f>
        <v>3</v>
      </c>
      <c r="I166" s="116" t="str">
        <f>IF(OR(ISBLANK(D166),ISBLANK(E166)),IF(OR(B166="ALI",B166="AIE"),"L",IF(OR(B166="EE",B166="SE",B166="CE"),"A","")),IF(B166="EE",IF(E166&gt;=3,IF(D166&gt;=5,"H","A"),IF(E166&gt;=2,IF(D166&gt;=16,"H",IF(D166&lt;=4,"L","A")),IF(D166&lt;=15,"L","A"))),IF(OR(B166="SE",B166="CE"),IF(E166&gt;=4,IF(D166&gt;=6,"H","A"),IF(E166&gt;=2,IF(D166&gt;=20,"H",IF(D166&lt;=5,"L","A")),IF(D166&lt;=19,"L","A"))),IF(OR(B166="ALI",B166="AIE"),IF(E166&gt;=6,IF(D166&gt;=20,"H","A"),IF(E166&gt;=2,IF(D166&gt;=51,"H",IF(D166&lt;=19,"L","A")),IF(D166&lt;=50,"L","A"))),""))))</f>
        <v>L</v>
      </c>
      <c r="J166" s="7" t="str">
        <f>CONCATENATE(B166,C166)</f>
        <v>CEI</v>
      </c>
      <c r="K166" s="125">
        <f>IF(OR(H166="",H166=0),L166,H166)</f>
        <v>3</v>
      </c>
      <c r="L166" s="125">
        <f>IF(NOT(ISERROR(VLOOKUP(B166,Deflatores!G$42:H$64,2,FALSE))),VLOOKUP(B166,Deflatores!G$42:H$64,2,FALSE),IF(OR(ISBLANK(C166),ISBLANK(B166)),"",VLOOKUP(C166,Deflatores!G$4:H$38,2,FALSE)*H166+VLOOKUP(C166,Deflatores!G$4:I$38,3,FALSE)))</f>
        <v>3</v>
      </c>
      <c r="M166" s="10"/>
      <c r="N166" s="10"/>
      <c r="O166" s="132"/>
    </row>
    <row r="167" spans="1:15">
      <c r="A167" s="138" t="s">
        <v>206</v>
      </c>
      <c r="B167" s="4" t="s">
        <v>63</v>
      </c>
      <c r="C167" s="4" t="s">
        <v>49</v>
      </c>
      <c r="D167" s="7">
        <v>11</v>
      </c>
      <c r="E167" s="7">
        <v>5</v>
      </c>
      <c r="F167" s="116" t="str">
        <f>IF(ISBLANK(B167),"",IF(I167="L","Baixa",IF(I167="A","Média",IF(I167="","","Alta"))))</f>
        <v>Alta</v>
      </c>
      <c r="G167" s="7" t="str">
        <f>CONCATENATE(B167,I167)</f>
        <v>EEH</v>
      </c>
      <c r="H167" s="7">
        <f>IF(ISBLANK(B167),"",IF(B167="ALI",IF(I167="L",7,IF(I167="A",10,15)),IF(B167="AIE",IF(I167="L",5,IF(I167="A",7,10)),IF(B167="SE",IF(I167="L",4,IF(I167="A",5,7)),IF(OR(B167="EE",B167="CE"),IF(I167="L",3,IF(I167="A",4,6)),0)))))</f>
        <v>6</v>
      </c>
      <c r="I167" s="116" t="str">
        <f>IF(OR(ISBLANK(D167),ISBLANK(E167)),IF(OR(B167="ALI",B167="AIE"),"L",IF(OR(B167="EE",B167="SE",B167="CE"),"A","")),IF(B167="EE",IF(E167&gt;=3,IF(D167&gt;=5,"H","A"),IF(E167&gt;=2,IF(D167&gt;=16,"H",IF(D167&lt;=4,"L","A")),IF(D167&lt;=15,"L","A"))),IF(OR(B167="SE",B167="CE"),IF(E167&gt;=4,IF(D167&gt;=6,"H","A"),IF(E167&gt;=2,IF(D167&gt;=20,"H",IF(D167&lt;=5,"L","A")),IF(D167&lt;=19,"L","A"))),IF(OR(B167="ALI",B167="AIE"),IF(E167&gt;=6,IF(D167&gt;=20,"H","A"),IF(E167&gt;=2,IF(D167&gt;=51,"H",IF(D167&lt;=19,"L","A")),IF(D167&lt;=50,"L","A"))),""))))</f>
        <v>H</v>
      </c>
      <c r="J167" s="7" t="str">
        <f>CONCATENATE(B167,C167)</f>
        <v>EEI</v>
      </c>
      <c r="K167" s="125">
        <f>IF(OR(H167="",H167=0),L167,H167)</f>
        <v>6</v>
      </c>
      <c r="L167" s="125">
        <f>IF(NOT(ISERROR(VLOOKUP(B167,Deflatores!G$42:H$64,2,FALSE))),VLOOKUP(B167,Deflatores!G$42:H$64,2,FALSE),IF(OR(ISBLANK(C167),ISBLANK(B167)),"",VLOOKUP(C167,Deflatores!G$4:H$38,2,FALSE)*H167+VLOOKUP(C167,Deflatores!G$4:I$38,3,FALSE)))</f>
        <v>6</v>
      </c>
      <c r="M167" s="10"/>
      <c r="N167" s="10"/>
      <c r="O167" s="125"/>
    </row>
    <row r="168" spans="1:15">
      <c r="A168" s="138" t="s">
        <v>207</v>
      </c>
      <c r="B168" s="4" t="s">
        <v>63</v>
      </c>
      <c r="C168" s="4" t="s">
        <v>49</v>
      </c>
      <c r="D168" s="7">
        <v>11</v>
      </c>
      <c r="E168" s="7">
        <v>2</v>
      </c>
      <c r="F168" s="116" t="str">
        <f t="shared" si="72"/>
        <v>Média</v>
      </c>
      <c r="G168" s="7" t="str">
        <f t="shared" si="73"/>
        <v>EEA</v>
      </c>
      <c r="H168" s="7">
        <f t="shared" si="74"/>
        <v>4</v>
      </c>
      <c r="I168" s="116" t="str">
        <f t="shared" si="75"/>
        <v>A</v>
      </c>
      <c r="J168" s="7" t="str">
        <f t="shared" si="76"/>
        <v>EEI</v>
      </c>
      <c r="K168" s="125">
        <f t="shared" si="77"/>
        <v>4</v>
      </c>
      <c r="L168" s="125">
        <f>IF(NOT(ISERROR(VLOOKUP(B168,Deflatores!G$42:H$64,2,FALSE))),VLOOKUP(B168,Deflatores!G$42:H$64,2,FALSE),IF(OR(ISBLANK(C168),ISBLANK(B168)),"",VLOOKUP(C168,Deflatores!G$4:H$38,2,FALSE)*H168+VLOOKUP(C168,Deflatores!G$4:I$38,3,FALSE)))</f>
        <v>4</v>
      </c>
      <c r="M168" s="10"/>
      <c r="N168" s="10"/>
      <c r="O168" s="130"/>
    </row>
    <row r="169" spans="1:15">
      <c r="A169" s="138" t="s">
        <v>208</v>
      </c>
      <c r="B169" s="4" t="s">
        <v>63</v>
      </c>
      <c r="C169" s="4" t="s">
        <v>49</v>
      </c>
      <c r="D169" s="7">
        <v>3</v>
      </c>
      <c r="E169" s="7">
        <v>1</v>
      </c>
      <c r="F169" s="116" t="str">
        <f>IF(ISBLANK(B169),"",IF(I169="L","Baixa",IF(I169="A","Média",IF(I169="","","Alta"))))</f>
        <v>Baixa</v>
      </c>
      <c r="G169" s="7" t="str">
        <f>CONCATENATE(B169,I169)</f>
        <v>EEL</v>
      </c>
      <c r="H169" s="7">
        <f>IF(ISBLANK(B169),"",IF(B169="ALI",IF(I169="L",7,IF(I169="A",10,15)),IF(B169="AIE",IF(I169="L",5,IF(I169="A",7,10)),IF(B169="SE",IF(I169="L",4,IF(I169="A",5,7)),IF(OR(B169="EE",B169="CE"),IF(I169="L",3,IF(I169="A",4,6)),0)))))</f>
        <v>3</v>
      </c>
      <c r="I169" s="116" t="str">
        <f>IF(OR(ISBLANK(D169),ISBLANK(E169)),IF(OR(B169="ALI",B169="AIE"),"L",IF(OR(B169="EE",B169="SE",B169="CE"),"A","")),IF(B169="EE",IF(E169&gt;=3,IF(D169&gt;=5,"H","A"),IF(E169&gt;=2,IF(D169&gt;=16,"H",IF(D169&lt;=4,"L","A")),IF(D169&lt;=15,"L","A"))),IF(OR(B169="SE",B169="CE"),IF(E169&gt;=4,IF(D169&gt;=6,"H","A"),IF(E169&gt;=2,IF(D169&gt;=20,"H",IF(D169&lt;=5,"L","A")),IF(D169&lt;=19,"L","A"))),IF(OR(B169="ALI",B169="AIE"),IF(E169&gt;=6,IF(D169&gt;=20,"H","A"),IF(E169&gt;=2,IF(D169&gt;=51,"H",IF(D169&lt;=19,"L","A")),IF(D169&lt;=50,"L","A"))),""))))</f>
        <v>L</v>
      </c>
      <c r="J169" s="7" t="str">
        <f>CONCATENATE(B169,C169)</f>
        <v>EEI</v>
      </c>
      <c r="K169" s="125">
        <f>IF(OR(H169="",H169=0),L169,H169)</f>
        <v>3</v>
      </c>
      <c r="L169" s="125">
        <f>IF(NOT(ISERROR(VLOOKUP(B169,Deflatores!G$42:H$64,2,FALSE))),VLOOKUP(B169,Deflatores!G$42:H$64,2,FALSE),IF(OR(ISBLANK(C169),ISBLANK(B169)),"",VLOOKUP(C169,Deflatores!G$4:H$38,2,FALSE)*H169+VLOOKUP(C169,Deflatores!G$4:I$38,3,FALSE)))</f>
        <v>3</v>
      </c>
      <c r="M169" s="10"/>
      <c r="N169" s="10"/>
      <c r="O169" s="130"/>
    </row>
    <row r="170" spans="1:15">
      <c r="A170" s="138" t="s">
        <v>209</v>
      </c>
      <c r="B170" s="4" t="s">
        <v>63</v>
      </c>
      <c r="C170" s="4" t="s">
        <v>49</v>
      </c>
      <c r="D170" s="7">
        <v>4</v>
      </c>
      <c r="E170" s="7">
        <v>3</v>
      </c>
      <c r="F170" s="116" t="str">
        <f>IF(ISBLANK(B170),"",IF(I170="L","Baixa",IF(I170="A","Média",IF(I170="","","Alta"))))</f>
        <v>Média</v>
      </c>
      <c r="G170" s="7" t="str">
        <f>CONCATENATE(B170,I170)</f>
        <v>EEA</v>
      </c>
      <c r="H170" s="7">
        <f>IF(ISBLANK(B170),"",IF(B170="ALI",IF(I170="L",7,IF(I170="A",10,15)),IF(B170="AIE",IF(I170="L",5,IF(I170="A",7,10)),IF(B170="SE",IF(I170="L",4,IF(I170="A",5,7)),IF(OR(B170="EE",B170="CE"),IF(I170="L",3,IF(I170="A",4,6)),0)))))</f>
        <v>4</v>
      </c>
      <c r="I170" s="116" t="str">
        <f>IF(OR(ISBLANK(D170),ISBLANK(E170)),IF(OR(B170="ALI",B170="AIE"),"L",IF(OR(B170="EE",B170="SE",B170="CE"),"A","")),IF(B170="EE",IF(E170&gt;=3,IF(D170&gt;=5,"H","A"),IF(E170&gt;=2,IF(D170&gt;=16,"H",IF(D170&lt;=4,"L","A")),IF(D170&lt;=15,"L","A"))),IF(OR(B170="SE",B170="CE"),IF(E170&gt;=4,IF(D170&gt;=6,"H","A"),IF(E170&gt;=2,IF(D170&gt;=20,"H",IF(D170&lt;=5,"L","A")),IF(D170&lt;=19,"L","A"))),IF(OR(B170="ALI",B170="AIE"),IF(E170&gt;=6,IF(D170&gt;=20,"H","A"),IF(E170&gt;=2,IF(D170&gt;=51,"H",IF(D170&lt;=19,"L","A")),IF(D170&lt;=50,"L","A"))),""))))</f>
        <v>A</v>
      </c>
      <c r="J170" s="7" t="str">
        <f>CONCATENATE(B170,C170)</f>
        <v>EEI</v>
      </c>
      <c r="K170" s="125">
        <f>IF(OR(H170="",H170=0),L170,H170)</f>
        <v>4</v>
      </c>
      <c r="L170" s="125">
        <f>IF(NOT(ISERROR(VLOOKUP(B170,Deflatores!G$42:H$64,2,FALSE))),VLOOKUP(B170,Deflatores!G$42:H$64,2,FALSE),IF(OR(ISBLANK(C170),ISBLANK(B170)),"",VLOOKUP(C170,Deflatores!G$4:H$38,2,FALSE)*H170+VLOOKUP(C170,Deflatores!G$4:I$38,3,FALSE)))</f>
        <v>4</v>
      </c>
      <c r="M170" s="10"/>
      <c r="N170" s="10"/>
      <c r="O170" s="131"/>
    </row>
    <row r="171" spans="1:15">
      <c r="A171" s="138" t="s">
        <v>210</v>
      </c>
      <c r="B171" s="4" t="s">
        <v>63</v>
      </c>
      <c r="C171" s="4" t="s">
        <v>49</v>
      </c>
      <c r="D171" s="7">
        <v>4</v>
      </c>
      <c r="E171" s="7">
        <v>3</v>
      </c>
      <c r="F171" s="116" t="str">
        <f>IF(ISBLANK(B171),"",IF(I171="L","Baixa",IF(I171="A","Média",IF(I171="","","Alta"))))</f>
        <v>Média</v>
      </c>
      <c r="G171" s="7" t="str">
        <f>CONCATENATE(B171,I171)</f>
        <v>EEA</v>
      </c>
      <c r="H171" s="7">
        <f>IF(ISBLANK(B171),"",IF(B171="ALI",IF(I171="L",7,IF(I171="A",10,15)),IF(B171="AIE",IF(I171="L",5,IF(I171="A",7,10)),IF(B171="SE",IF(I171="L",4,IF(I171="A",5,7)),IF(OR(B171="EE",B171="CE"),IF(I171="L",3,IF(I171="A",4,6)),0)))))</f>
        <v>4</v>
      </c>
      <c r="I171" s="116" t="str">
        <f>IF(OR(ISBLANK(D171),ISBLANK(E171)),IF(OR(B171="ALI",B171="AIE"),"L",IF(OR(B171="EE",B171="SE",B171="CE"),"A","")),IF(B171="EE",IF(E171&gt;=3,IF(D171&gt;=5,"H","A"),IF(E171&gt;=2,IF(D171&gt;=16,"H",IF(D171&lt;=4,"L","A")),IF(D171&lt;=15,"L","A"))),IF(OR(B171="SE",B171="CE"),IF(E171&gt;=4,IF(D171&gt;=6,"H","A"),IF(E171&gt;=2,IF(D171&gt;=20,"H",IF(D171&lt;=5,"L","A")),IF(D171&lt;=19,"L","A"))),IF(OR(B171="ALI",B171="AIE"),IF(E171&gt;=6,IF(D171&gt;=20,"H","A"),IF(E171&gt;=2,IF(D171&gt;=51,"H",IF(D171&lt;=19,"L","A")),IF(D171&lt;=50,"L","A"))),""))))</f>
        <v>A</v>
      </c>
      <c r="J171" s="7" t="str">
        <f>CONCATENATE(B171,C171)</f>
        <v>EEI</v>
      </c>
      <c r="K171" s="125">
        <f>IF(OR(H171="",H171=0),L171,H171)</f>
        <v>4</v>
      </c>
      <c r="L171" s="125">
        <f>IF(NOT(ISERROR(VLOOKUP(B171,Deflatores!G$42:H$64,2,FALSE))),VLOOKUP(B171,Deflatores!G$42:H$64,2,FALSE),IF(OR(ISBLANK(C171),ISBLANK(B171)),"",VLOOKUP(C171,Deflatores!G$4:H$38,2,FALSE)*H171+VLOOKUP(C171,Deflatores!G$4:I$38,3,FALSE)))</f>
        <v>4</v>
      </c>
      <c r="M171" s="10"/>
      <c r="N171" s="10"/>
      <c r="O171" s="131"/>
    </row>
    <row r="172" spans="1:15" ht="21.95">
      <c r="A172" s="138" t="s">
        <v>211</v>
      </c>
      <c r="B172" s="4" t="s">
        <v>63</v>
      </c>
      <c r="C172" s="4" t="s">
        <v>56</v>
      </c>
      <c r="D172" s="7">
        <v>8</v>
      </c>
      <c r="E172" s="7">
        <v>4</v>
      </c>
      <c r="F172" s="116" t="str">
        <f t="shared" ref="F172" si="78">IF(ISBLANK(B172),"",IF(I172="L","Baixa",IF(I172="A","Média",IF(I172="","","Alta"))))</f>
        <v>Alta</v>
      </c>
      <c r="G172" s="7" t="str">
        <f t="shared" ref="G172" si="79">CONCATENATE(B172,I172)</f>
        <v>EEH</v>
      </c>
      <c r="H172" s="7">
        <f t="shared" ref="H172" si="80">IF(ISBLANK(B172),"",IF(B172="ALI",IF(I172="L",7,IF(I172="A",10,15)),IF(B172="AIE",IF(I172="L",5,IF(I172="A",7,10)),IF(B172="SE",IF(I172="L",4,IF(I172="A",5,7)),IF(OR(B172="EE",B172="CE"),IF(I172="L",3,IF(I172="A",4,6)),0)))))</f>
        <v>6</v>
      </c>
      <c r="I172" s="116" t="str">
        <f t="shared" ref="I172" si="81">IF(OR(ISBLANK(D172),ISBLANK(E172)),IF(OR(B172="ALI",B172="AIE"),"L",IF(OR(B172="EE",B172="SE",B172="CE"),"A","")),IF(B172="EE",IF(E172&gt;=3,IF(D172&gt;=5,"H","A"),IF(E172&gt;=2,IF(D172&gt;=16,"H",IF(D172&lt;=4,"L","A")),IF(D172&lt;=15,"L","A"))),IF(OR(B172="SE",B172="CE"),IF(E172&gt;=4,IF(D172&gt;=6,"H","A"),IF(E172&gt;=2,IF(D172&gt;=20,"H",IF(D172&lt;=5,"L","A")),IF(D172&lt;=19,"L","A"))),IF(OR(B172="ALI",B172="AIE"),IF(E172&gt;=6,IF(D172&gt;=20,"H","A"),IF(E172&gt;=2,IF(D172&gt;=51,"H",IF(D172&lt;=19,"L","A")),IF(D172&lt;=50,"L","A"))),""))))</f>
        <v>H</v>
      </c>
      <c r="J172" s="7" t="str">
        <f t="shared" ref="J172" si="82">CONCATENATE(B172,C172)</f>
        <v>EEA50</v>
      </c>
      <c r="K172" s="125">
        <f t="shared" ref="K172" si="83">IF(OR(H172="",H172=0),L172,H172)</f>
        <v>6</v>
      </c>
      <c r="L172" s="125">
        <f>IF(NOT(ISERROR(VLOOKUP(B172,Deflatores!G$42:H$64,2,FALSE))),VLOOKUP(B172,Deflatores!G$42:H$64,2,FALSE),IF(OR(ISBLANK(C172),ISBLANK(B172)),"",VLOOKUP(C172,Deflatores!G$4:H$38,2,FALSE)*H172+VLOOKUP(C172,Deflatores!G$4:I$38,3,FALSE)))</f>
        <v>3</v>
      </c>
      <c r="M172" s="10"/>
      <c r="N172" s="10"/>
      <c r="O172" s="136" t="s">
        <v>212</v>
      </c>
    </row>
    <row r="173" spans="1:15">
      <c r="A173" s="138" t="s">
        <v>213</v>
      </c>
      <c r="B173" s="4" t="s">
        <v>63</v>
      </c>
      <c r="C173" s="4" t="s">
        <v>56</v>
      </c>
      <c r="D173" s="7">
        <v>8</v>
      </c>
      <c r="E173" s="7">
        <v>4</v>
      </c>
      <c r="F173" s="116" t="str">
        <f t="shared" si="72"/>
        <v>Alta</v>
      </c>
      <c r="G173" s="7" t="str">
        <f t="shared" si="73"/>
        <v>EEH</v>
      </c>
      <c r="H173" s="7">
        <f t="shared" si="74"/>
        <v>6</v>
      </c>
      <c r="I173" s="116" t="str">
        <f t="shared" si="75"/>
        <v>H</v>
      </c>
      <c r="J173" s="7" t="str">
        <f t="shared" si="76"/>
        <v>EEA50</v>
      </c>
      <c r="K173" s="125">
        <f t="shared" si="77"/>
        <v>6</v>
      </c>
      <c r="L173" s="125">
        <f>IF(NOT(ISERROR(VLOOKUP(B173,Deflatores!G$42:H$64,2,FALSE))),VLOOKUP(B173,Deflatores!G$42:H$64,2,FALSE),IF(OR(ISBLANK(C173),ISBLANK(B173)),"",VLOOKUP(C173,Deflatores!G$4:H$38,2,FALSE)*H173+VLOOKUP(C173,Deflatores!G$4:I$38,3,FALSE)))</f>
        <v>3</v>
      </c>
      <c r="M173" s="10"/>
      <c r="N173" s="10"/>
      <c r="O173" s="131"/>
    </row>
    <row r="174" spans="1:15">
      <c r="A174" s="139" t="s">
        <v>214</v>
      </c>
      <c r="B174" s="4" t="s">
        <v>44</v>
      </c>
      <c r="C174" s="4" t="s">
        <v>49</v>
      </c>
      <c r="D174" s="7">
        <v>6</v>
      </c>
      <c r="E174" s="7">
        <v>3</v>
      </c>
      <c r="F174" s="116" t="str">
        <f t="shared" si="72"/>
        <v>Média</v>
      </c>
      <c r="G174" s="7" t="str">
        <f t="shared" si="73"/>
        <v>CEA</v>
      </c>
      <c r="H174" s="7">
        <f t="shared" si="74"/>
        <v>4</v>
      </c>
      <c r="I174" s="116" t="str">
        <f t="shared" si="75"/>
        <v>A</v>
      </c>
      <c r="J174" s="7" t="str">
        <f t="shared" si="76"/>
        <v>CEI</v>
      </c>
      <c r="K174" s="125">
        <f t="shared" si="77"/>
        <v>4</v>
      </c>
      <c r="L174" s="125">
        <f>IF(NOT(ISERROR(VLOOKUP(B174,Deflatores!G$42:H$64,2,FALSE))),VLOOKUP(B174,Deflatores!G$42:H$64,2,FALSE),IF(OR(ISBLANK(C174),ISBLANK(B174)),"",VLOOKUP(C174,Deflatores!G$4:H$38,2,FALSE)*H174+VLOOKUP(C174,Deflatores!G$4:I$38,3,FALSE)))</f>
        <v>4</v>
      </c>
      <c r="M174" s="10"/>
      <c r="N174" s="10"/>
      <c r="O174" s="131"/>
    </row>
    <row r="175" spans="1:15">
      <c r="A175" s="138"/>
      <c r="B175" s="4"/>
      <c r="C175" s="4"/>
      <c r="D175" s="7"/>
      <c r="E175" s="7"/>
      <c r="F175" s="116" t="str">
        <f>IF(ISBLANK(B175),"",IF(I175="L","Baixa",IF(I175="A","Média",IF(I175="","","Alta"))))</f>
        <v/>
      </c>
      <c r="G175" s="7" t="str">
        <f>CONCATENATE(B175,I175)</f>
        <v/>
      </c>
      <c r="H175" s="7" t="str">
        <f>IF(ISBLANK(B175),"",IF(B175="ALI",IF(I175="L",7,IF(I175="A",10,15)),IF(B175="AIE",IF(I175="L",5,IF(I175="A",7,10)),IF(B175="SE",IF(I175="L",4,IF(I175="A",5,7)),IF(OR(B175="EE",B175="CE"),IF(I175="L",3,IF(I175="A",4,6)),0)))))</f>
        <v/>
      </c>
      <c r="I175" s="116" t="str">
        <f>IF(OR(ISBLANK(D175),ISBLANK(E175)),IF(OR(B175="ALI",B175="AIE"),"L",IF(OR(B175="EE",B175="SE",B175="CE"),"A","")),IF(B175="EE",IF(E175&gt;=3,IF(D175&gt;=5,"H","A"),IF(E175&gt;=2,IF(D175&gt;=16,"H",IF(D175&lt;=4,"L","A")),IF(D175&lt;=15,"L","A"))),IF(OR(B175="SE",B175="CE"),IF(E175&gt;=4,IF(D175&gt;=6,"H","A"),IF(E175&gt;=2,IF(D175&gt;=20,"H",IF(D175&lt;=5,"L","A")),IF(D175&lt;=19,"L","A"))),IF(OR(B175="ALI",B175="AIE"),IF(E175&gt;=6,IF(D175&gt;=20,"H","A"),IF(E175&gt;=2,IF(D175&gt;=51,"H",IF(D175&lt;=19,"L","A")),IF(D175&lt;=50,"L","A"))),""))))</f>
        <v/>
      </c>
      <c r="J175" s="7" t="str">
        <f>CONCATENATE(B175,C175)</f>
        <v/>
      </c>
      <c r="K175" s="125" t="str">
        <f>IF(OR(H175="",H175=0),L175,H175)</f>
        <v/>
      </c>
      <c r="L175" s="125" t="str">
        <f>IF(NOT(ISERROR(VLOOKUP(B175,Deflatores!G$42:H$64,2,FALSE))),VLOOKUP(B175,Deflatores!G$42:H$64,2,FALSE),IF(OR(ISBLANK(C175),ISBLANK(B175)),"",VLOOKUP(C175,Deflatores!G$4:H$38,2,FALSE)*H175+VLOOKUP(C175,Deflatores!G$4:I$38,3,FALSE)))</f>
        <v/>
      </c>
      <c r="M175" s="10"/>
      <c r="N175" s="10"/>
      <c r="O175" s="125"/>
    </row>
    <row r="176" spans="1:15">
      <c r="A176" s="137" t="s">
        <v>215</v>
      </c>
      <c r="B176" s="4"/>
      <c r="C176" s="4"/>
      <c r="D176" s="7"/>
      <c r="E176" s="7"/>
      <c r="F176" s="116" t="str">
        <f>IF(ISBLANK(B176),"",IF(I176="L","Baixa",IF(I176="A","Média",IF(I176="","","Alta"))))</f>
        <v/>
      </c>
      <c r="G176" s="7" t="str">
        <f>CONCATENATE(B176,I176)</f>
        <v/>
      </c>
      <c r="H176" s="7" t="str">
        <f>IF(ISBLANK(B176),"",IF(B176="ALI",IF(I176="L",7,IF(I176="A",10,15)),IF(B176="AIE",IF(I176="L",5,IF(I176="A",7,10)),IF(B176="SE",IF(I176="L",4,IF(I176="A",5,7)),IF(OR(B176="EE",B176="CE"),IF(I176="L",3,IF(I176="A",4,6)),0)))))</f>
        <v/>
      </c>
      <c r="I176" s="116" t="str">
        <f>IF(OR(ISBLANK(D176),ISBLANK(E176)),IF(OR(B176="ALI",B176="AIE"),"L",IF(OR(B176="EE",B176="SE",B176="CE"),"A","")),IF(B176="EE",IF(E176&gt;=3,IF(D176&gt;=5,"H","A"),IF(E176&gt;=2,IF(D176&gt;=16,"H",IF(D176&lt;=4,"L","A")),IF(D176&lt;=15,"L","A"))),IF(OR(B176="SE",B176="CE"),IF(E176&gt;=4,IF(D176&gt;=6,"H","A"),IF(E176&gt;=2,IF(D176&gt;=20,"H",IF(D176&lt;=5,"L","A")),IF(D176&lt;=19,"L","A"))),IF(OR(B176="ALI",B176="AIE"),IF(E176&gt;=6,IF(D176&gt;=20,"H","A"),IF(E176&gt;=2,IF(D176&gt;=51,"H",IF(D176&lt;=19,"L","A")),IF(D176&lt;=50,"L","A"))),""))))</f>
        <v/>
      </c>
      <c r="J176" s="7" t="str">
        <f>CONCATENATE(B176,C176)</f>
        <v/>
      </c>
      <c r="K176" s="125" t="str">
        <f>IF(OR(H176="",H176=0),L176,H176)</f>
        <v/>
      </c>
      <c r="L176" s="125" t="str">
        <f>IF(NOT(ISERROR(VLOOKUP(B176,Deflatores!G$42:H$64,2,FALSE))),VLOOKUP(B176,Deflatores!G$42:H$64,2,FALSE),IF(OR(ISBLANK(C176),ISBLANK(B176)),"",VLOOKUP(C176,Deflatores!G$4:H$38,2,FALSE)*H176+VLOOKUP(C176,Deflatores!G$4:I$38,3,FALSE)))</f>
        <v/>
      </c>
      <c r="M176" s="10"/>
      <c r="N176" s="10"/>
      <c r="O176" s="125"/>
    </row>
    <row r="177" spans="1:15">
      <c r="A177" s="138" t="s">
        <v>216</v>
      </c>
      <c r="B177" s="4" t="s">
        <v>44</v>
      </c>
      <c r="C177" s="4" t="s">
        <v>49</v>
      </c>
      <c r="D177" s="7">
        <v>11</v>
      </c>
      <c r="E177" s="7">
        <v>2</v>
      </c>
      <c r="F177" s="116" t="str">
        <f t="shared" ref="F177:F185" si="84">IF(ISBLANK(B177),"",IF(I177="L","Baixa",IF(I177="A","Média",IF(I177="","","Alta"))))</f>
        <v>Média</v>
      </c>
      <c r="G177" s="7" t="str">
        <f t="shared" ref="G177:G185" si="85">CONCATENATE(B177,I177)</f>
        <v>CEA</v>
      </c>
      <c r="H177" s="7">
        <f t="shared" ref="H177:H185" si="86">IF(ISBLANK(B177),"",IF(B177="ALI",IF(I177="L",7,IF(I177="A",10,15)),IF(B177="AIE",IF(I177="L",5,IF(I177="A",7,10)),IF(B177="SE",IF(I177="L",4,IF(I177="A",5,7)),IF(OR(B177="EE",B177="CE"),IF(I177="L",3,IF(I177="A",4,6)),0)))))</f>
        <v>4</v>
      </c>
      <c r="I177" s="116" t="str">
        <f t="shared" ref="I177:I185" si="87">IF(OR(ISBLANK(D177),ISBLANK(E177)),IF(OR(B177="ALI",B177="AIE"),"L",IF(OR(B177="EE",B177="SE",B177="CE"),"A","")),IF(B177="EE",IF(E177&gt;=3,IF(D177&gt;=5,"H","A"),IF(E177&gt;=2,IF(D177&gt;=16,"H",IF(D177&lt;=4,"L","A")),IF(D177&lt;=15,"L","A"))),IF(OR(B177="SE",B177="CE"),IF(E177&gt;=4,IF(D177&gt;=6,"H","A"),IF(E177&gt;=2,IF(D177&gt;=20,"H",IF(D177&lt;=5,"L","A")),IF(D177&lt;=19,"L","A"))),IF(OR(B177="ALI",B177="AIE"),IF(E177&gt;=6,IF(D177&gt;=20,"H","A"),IF(E177&gt;=2,IF(D177&gt;=51,"H",IF(D177&lt;=19,"L","A")),IF(D177&lt;=50,"L","A"))),""))))</f>
        <v>A</v>
      </c>
      <c r="J177" s="7" t="str">
        <f t="shared" ref="J177:J185" si="88">CONCATENATE(B177,C177)</f>
        <v>CEI</v>
      </c>
      <c r="K177" s="125">
        <f t="shared" ref="K177:K185" si="89">IF(OR(H177="",H177=0),L177,H177)</f>
        <v>4</v>
      </c>
      <c r="L177" s="125">
        <f>IF(NOT(ISERROR(VLOOKUP(B177,Deflatores!G$42:H$64,2,FALSE))),VLOOKUP(B177,Deflatores!G$42:H$64,2,FALSE),IF(OR(ISBLANK(C177),ISBLANK(B177)),"",VLOOKUP(C177,Deflatores!G$4:H$38,2,FALSE)*H177+VLOOKUP(C177,Deflatores!G$4:I$38,3,FALSE)))</f>
        <v>4</v>
      </c>
      <c r="M177" s="10"/>
      <c r="N177" s="10"/>
      <c r="O177" s="125"/>
    </row>
    <row r="178" spans="1:15">
      <c r="A178" s="138" t="s">
        <v>204</v>
      </c>
      <c r="B178" s="4" t="s">
        <v>63</v>
      </c>
      <c r="C178" s="4" t="s">
        <v>49</v>
      </c>
      <c r="D178" s="7">
        <v>3</v>
      </c>
      <c r="E178" s="7">
        <v>1</v>
      </c>
      <c r="F178" s="116" t="str">
        <f t="shared" si="84"/>
        <v>Baixa</v>
      </c>
      <c r="G178" s="7" t="str">
        <f t="shared" si="85"/>
        <v>EEL</v>
      </c>
      <c r="H178" s="7">
        <f t="shared" si="86"/>
        <v>3</v>
      </c>
      <c r="I178" s="116" t="str">
        <f t="shared" si="87"/>
        <v>L</v>
      </c>
      <c r="J178" s="7" t="str">
        <f t="shared" si="88"/>
        <v>EEI</v>
      </c>
      <c r="K178" s="125">
        <f t="shared" si="89"/>
        <v>3</v>
      </c>
      <c r="L178" s="125">
        <f>IF(NOT(ISERROR(VLOOKUP(B178,Deflatores!G$42:H$64,2,FALSE))),VLOOKUP(B178,Deflatores!G$42:H$64,2,FALSE),IF(OR(ISBLANK(C178),ISBLANK(B178)),"",VLOOKUP(C178,Deflatores!G$4:H$38,2,FALSE)*H178+VLOOKUP(C178,Deflatores!G$4:I$38,3,FALSE)))</f>
        <v>3</v>
      </c>
      <c r="M178" s="10"/>
      <c r="N178" s="10"/>
      <c r="O178" s="125"/>
    </row>
    <row r="179" spans="1:15">
      <c r="A179" s="138"/>
      <c r="B179" s="4"/>
      <c r="C179" s="4"/>
      <c r="D179" s="7"/>
      <c r="E179" s="7"/>
      <c r="F179" s="116" t="str">
        <f t="shared" si="84"/>
        <v/>
      </c>
      <c r="G179" s="7" t="str">
        <f t="shared" si="85"/>
        <v/>
      </c>
      <c r="H179" s="7" t="str">
        <f t="shared" si="86"/>
        <v/>
      </c>
      <c r="I179" s="116" t="str">
        <f t="shared" si="87"/>
        <v/>
      </c>
      <c r="J179" s="7" t="str">
        <f t="shared" si="88"/>
        <v/>
      </c>
      <c r="K179" s="125" t="str">
        <f t="shared" si="89"/>
        <v/>
      </c>
      <c r="L179" s="125" t="str">
        <f>IF(NOT(ISERROR(VLOOKUP(B179,Deflatores!G$42:H$64,2,FALSE))),VLOOKUP(B179,Deflatores!G$42:H$64,2,FALSE),IF(OR(ISBLANK(C179),ISBLANK(B179)),"",VLOOKUP(C179,Deflatores!G$4:H$38,2,FALSE)*H179+VLOOKUP(C179,Deflatores!G$4:I$38,3,FALSE)))</f>
        <v/>
      </c>
      <c r="M179" s="10"/>
      <c r="N179" s="10"/>
      <c r="O179" s="125"/>
    </row>
    <row r="180" spans="1:15">
      <c r="A180" s="137" t="s">
        <v>217</v>
      </c>
      <c r="B180" s="4"/>
      <c r="C180" s="4"/>
      <c r="D180" s="7"/>
      <c r="E180" s="7"/>
      <c r="F180" s="116" t="str">
        <f t="shared" si="84"/>
        <v/>
      </c>
      <c r="G180" s="7" t="str">
        <f t="shared" si="85"/>
        <v/>
      </c>
      <c r="H180" s="7" t="str">
        <f t="shared" si="86"/>
        <v/>
      </c>
      <c r="I180" s="116" t="str">
        <f t="shared" si="87"/>
        <v/>
      </c>
      <c r="J180" s="7" t="str">
        <f t="shared" si="88"/>
        <v/>
      </c>
      <c r="K180" s="125" t="str">
        <f t="shared" si="89"/>
        <v/>
      </c>
      <c r="L180" s="125" t="str">
        <f>IF(NOT(ISERROR(VLOOKUP(B180,Deflatores!G$42:H$64,2,FALSE))),VLOOKUP(B180,Deflatores!G$42:H$64,2,FALSE),IF(OR(ISBLANK(C180),ISBLANK(B180)),"",VLOOKUP(C180,Deflatores!G$4:H$38,2,FALSE)*H180+VLOOKUP(C180,Deflatores!G$4:I$38,3,FALSE)))</f>
        <v/>
      </c>
      <c r="M180" s="10"/>
      <c r="N180" s="10"/>
      <c r="O180" s="125"/>
    </row>
    <row r="181" spans="1:15">
      <c r="A181" s="138" t="s">
        <v>218</v>
      </c>
      <c r="B181" s="4" t="s">
        <v>63</v>
      </c>
      <c r="C181" s="4" t="s">
        <v>49</v>
      </c>
      <c r="D181" s="7">
        <v>22</v>
      </c>
      <c r="E181" s="7">
        <v>6</v>
      </c>
      <c r="F181" s="116" t="str">
        <f t="shared" si="84"/>
        <v>Alta</v>
      </c>
      <c r="G181" s="7" t="str">
        <f t="shared" si="85"/>
        <v>EEH</v>
      </c>
      <c r="H181" s="7">
        <f t="shared" si="86"/>
        <v>6</v>
      </c>
      <c r="I181" s="116" t="str">
        <f t="shared" si="87"/>
        <v>H</v>
      </c>
      <c r="J181" s="7" t="str">
        <f t="shared" si="88"/>
        <v>EEI</v>
      </c>
      <c r="K181" s="125">
        <f t="shared" si="89"/>
        <v>6</v>
      </c>
      <c r="L181" s="125">
        <f>IF(NOT(ISERROR(VLOOKUP(B181,Deflatores!G$42:H$64,2,FALSE))),VLOOKUP(B181,Deflatores!G$42:H$64,2,FALSE),IF(OR(ISBLANK(C181),ISBLANK(B181)),"",VLOOKUP(C181,Deflatores!G$4:H$38,2,FALSE)*H181+VLOOKUP(C181,Deflatores!G$4:I$38,3,FALSE)))</f>
        <v>6</v>
      </c>
      <c r="M181" s="10"/>
      <c r="N181" s="10"/>
      <c r="O181" s="125"/>
    </row>
    <row r="182" spans="1:15">
      <c r="A182" s="138" t="s">
        <v>219</v>
      </c>
      <c r="B182" s="4" t="s">
        <v>63</v>
      </c>
      <c r="C182" s="4" t="s">
        <v>49</v>
      </c>
      <c r="D182" s="7">
        <v>22</v>
      </c>
      <c r="E182" s="7">
        <v>6</v>
      </c>
      <c r="F182" s="116" t="str">
        <f t="shared" si="84"/>
        <v>Alta</v>
      </c>
      <c r="G182" s="7" t="str">
        <f t="shared" si="85"/>
        <v>EEH</v>
      </c>
      <c r="H182" s="7">
        <f t="shared" si="86"/>
        <v>6</v>
      </c>
      <c r="I182" s="116" t="str">
        <f t="shared" si="87"/>
        <v>H</v>
      </c>
      <c r="J182" s="7" t="str">
        <f t="shared" si="88"/>
        <v>EEI</v>
      </c>
      <c r="K182" s="125">
        <f t="shared" si="89"/>
        <v>6</v>
      </c>
      <c r="L182" s="125">
        <f>IF(NOT(ISERROR(VLOOKUP(B182,Deflatores!G$42:H$64,2,FALSE))),VLOOKUP(B182,Deflatores!G$42:H$64,2,FALSE),IF(OR(ISBLANK(C182),ISBLANK(B182)),"",VLOOKUP(C182,Deflatores!G$4:H$38,2,FALSE)*H182+VLOOKUP(C182,Deflatores!G$4:I$38,3,FALSE)))</f>
        <v>6</v>
      </c>
      <c r="M182" s="10"/>
      <c r="N182" s="10"/>
      <c r="O182" s="125"/>
    </row>
    <row r="183" spans="1:15">
      <c r="A183" s="138" t="s">
        <v>220</v>
      </c>
      <c r="B183" s="4" t="s">
        <v>44</v>
      </c>
      <c r="C183" s="4" t="s">
        <v>49</v>
      </c>
      <c r="D183" s="7">
        <v>22</v>
      </c>
      <c r="E183" s="7">
        <v>6</v>
      </c>
      <c r="F183" s="116" t="str">
        <f t="shared" si="84"/>
        <v>Alta</v>
      </c>
      <c r="G183" s="7" t="str">
        <f t="shared" si="85"/>
        <v>CEH</v>
      </c>
      <c r="H183" s="7">
        <f t="shared" si="86"/>
        <v>6</v>
      </c>
      <c r="I183" s="116" t="str">
        <f t="shared" si="87"/>
        <v>H</v>
      </c>
      <c r="J183" s="7" t="str">
        <f t="shared" si="88"/>
        <v>CEI</v>
      </c>
      <c r="K183" s="125">
        <f t="shared" si="89"/>
        <v>6</v>
      </c>
      <c r="L183" s="125">
        <f>IF(NOT(ISERROR(VLOOKUP(B183,Deflatores!G$42:H$64,2,FALSE))),VLOOKUP(B183,Deflatores!G$42:H$64,2,FALSE),IF(OR(ISBLANK(C183),ISBLANK(B183)),"",VLOOKUP(C183,Deflatores!G$4:H$38,2,FALSE)*H183+VLOOKUP(C183,Deflatores!G$4:I$38,3,FALSE)))</f>
        <v>6</v>
      </c>
      <c r="M183" s="10"/>
      <c r="N183" s="10"/>
      <c r="O183" s="125"/>
    </row>
    <row r="184" spans="1:15">
      <c r="A184" s="139" t="s">
        <v>221</v>
      </c>
      <c r="B184" s="4" t="s">
        <v>44</v>
      </c>
      <c r="C184" s="4" t="s">
        <v>49</v>
      </c>
      <c r="D184" s="7">
        <v>20</v>
      </c>
      <c r="E184" s="7">
        <v>6</v>
      </c>
      <c r="F184" s="116" t="str">
        <f t="shared" si="84"/>
        <v>Alta</v>
      </c>
      <c r="G184" s="7" t="str">
        <f t="shared" si="85"/>
        <v>CEH</v>
      </c>
      <c r="H184" s="7">
        <f t="shared" si="86"/>
        <v>6</v>
      </c>
      <c r="I184" s="116" t="str">
        <f t="shared" si="87"/>
        <v>H</v>
      </c>
      <c r="J184" s="7" t="str">
        <f t="shared" si="88"/>
        <v>CEI</v>
      </c>
      <c r="K184" s="125">
        <f t="shared" si="89"/>
        <v>6</v>
      </c>
      <c r="L184" s="125">
        <f>IF(NOT(ISERROR(VLOOKUP(B184,Deflatores!G$42:H$64,2,FALSE))),VLOOKUP(B184,Deflatores!G$42:H$64,2,FALSE),IF(OR(ISBLANK(C184),ISBLANK(B184)),"",VLOOKUP(C184,Deflatores!G$4:H$38,2,FALSE)*H184+VLOOKUP(C184,Deflatores!G$4:I$38,3,FALSE)))</f>
        <v>6</v>
      </c>
      <c r="M184" s="10"/>
      <c r="N184" s="10"/>
      <c r="O184" s="125"/>
    </row>
    <row r="185" spans="1:15">
      <c r="A185" s="138" t="s">
        <v>222</v>
      </c>
      <c r="B185" s="4" t="s">
        <v>63</v>
      </c>
      <c r="C185" s="4" t="s">
        <v>49</v>
      </c>
      <c r="D185" s="7">
        <v>4</v>
      </c>
      <c r="E185" s="7">
        <v>1</v>
      </c>
      <c r="F185" s="116" t="str">
        <f t="shared" si="84"/>
        <v>Baixa</v>
      </c>
      <c r="G185" s="7" t="str">
        <f t="shared" si="85"/>
        <v>EEL</v>
      </c>
      <c r="H185" s="7">
        <f t="shared" si="86"/>
        <v>3</v>
      </c>
      <c r="I185" s="116" t="str">
        <f t="shared" si="87"/>
        <v>L</v>
      </c>
      <c r="J185" s="7" t="str">
        <f t="shared" si="88"/>
        <v>EEI</v>
      </c>
      <c r="K185" s="125">
        <f t="shared" si="89"/>
        <v>3</v>
      </c>
      <c r="L185" s="125">
        <f>IF(NOT(ISERROR(VLOOKUP(B185,Deflatores!G$42:H$64,2,FALSE))),VLOOKUP(B185,Deflatores!G$42:H$64,2,FALSE),IF(OR(ISBLANK(C185),ISBLANK(B185)),"",VLOOKUP(C185,Deflatores!G$4:H$38,2,FALSE)*H185+VLOOKUP(C185,Deflatores!G$4:I$38,3,FALSE)))</f>
        <v>3</v>
      </c>
      <c r="M185" s="10"/>
      <c r="N185" s="10"/>
      <c r="O185" s="125"/>
    </row>
    <row r="186" spans="1:15">
      <c r="A186" s="138"/>
      <c r="B186" s="4"/>
      <c r="C186" s="4"/>
      <c r="D186" s="7"/>
      <c r="E186" s="7"/>
      <c r="F186" s="116" t="str">
        <f>IF(ISBLANK(B186),"",IF(I186="L","Baixa",IF(I186="A","Média",IF(I186="","","Alta"))))</f>
        <v/>
      </c>
      <c r="G186" s="7" t="str">
        <f>CONCATENATE(B186,I186)</f>
        <v/>
      </c>
      <c r="H186" s="7" t="str">
        <f>IF(ISBLANK(B186),"",IF(B186="ALI",IF(I186="L",7,IF(I186="A",10,15)),IF(B186="AIE",IF(I186="L",5,IF(I186="A",7,10)),IF(B186="SE",IF(I186="L",4,IF(I186="A",5,7)),IF(OR(B186="EE",B186="CE"),IF(I186="L",3,IF(I186="A",4,6)),0)))))</f>
        <v/>
      </c>
      <c r="I186" s="116" t="str">
        <f>IF(OR(ISBLANK(D186),ISBLANK(E186)),IF(OR(B186="ALI",B186="AIE"),"L",IF(OR(B186="EE",B186="SE",B186="CE"),"A","")),IF(B186="EE",IF(E186&gt;=3,IF(D186&gt;=5,"H","A"),IF(E186&gt;=2,IF(D186&gt;=16,"H",IF(D186&lt;=4,"L","A")),IF(D186&lt;=15,"L","A"))),IF(OR(B186="SE",B186="CE"),IF(E186&gt;=4,IF(D186&gt;=6,"H","A"),IF(E186&gt;=2,IF(D186&gt;=20,"H",IF(D186&lt;=5,"L","A")),IF(D186&lt;=19,"L","A"))),IF(OR(B186="ALI",B186="AIE"),IF(E186&gt;=6,IF(D186&gt;=20,"H","A"),IF(E186&gt;=2,IF(D186&gt;=51,"H",IF(D186&lt;=19,"L","A")),IF(D186&lt;=50,"L","A"))),""))))</f>
        <v/>
      </c>
      <c r="J186" s="7" t="str">
        <f>CONCATENATE(B186,C186)</f>
        <v/>
      </c>
      <c r="K186" s="125" t="str">
        <f>IF(OR(H186="",H186=0),L186,H186)</f>
        <v/>
      </c>
      <c r="L186" s="125" t="str">
        <f>IF(NOT(ISERROR(VLOOKUP(B186,Deflatores!G$42:H$64,2,FALSE))),VLOOKUP(B186,Deflatores!G$42:H$64,2,FALSE),IF(OR(ISBLANK(C186),ISBLANK(B186)),"",VLOOKUP(C186,Deflatores!G$4:H$38,2,FALSE)*H186+VLOOKUP(C186,Deflatores!G$4:I$38,3,FALSE)))</f>
        <v/>
      </c>
      <c r="M186" s="10"/>
      <c r="N186" s="10"/>
      <c r="O186" s="125"/>
    </row>
    <row r="187" spans="1:15">
      <c r="A187" s="137" t="s">
        <v>223</v>
      </c>
      <c r="B187" s="4"/>
      <c r="C187" s="4"/>
      <c r="D187" s="7"/>
      <c r="E187" s="7"/>
      <c r="F187" s="116" t="str">
        <f>IF(ISBLANK(B187),"",IF(I187="L","Baixa",IF(I187="A","Média",IF(I187="","","Alta"))))</f>
        <v/>
      </c>
      <c r="G187" s="7" t="str">
        <f>CONCATENATE(B187,I187)</f>
        <v/>
      </c>
      <c r="H187" s="7" t="str">
        <f>IF(ISBLANK(B187),"",IF(B187="ALI",IF(I187="L",7,IF(I187="A",10,15)),IF(B187="AIE",IF(I187="L",5,IF(I187="A",7,10)),IF(B187="SE",IF(I187="L",4,IF(I187="A",5,7)),IF(OR(B187="EE",B187="CE"),IF(I187="L",3,IF(I187="A",4,6)),0)))))</f>
        <v/>
      </c>
      <c r="I187" s="116" t="str">
        <f>IF(OR(ISBLANK(D187),ISBLANK(E187)),IF(OR(B187="ALI",B187="AIE"),"L",IF(OR(B187="EE",B187="SE",B187="CE"),"A","")),IF(B187="EE",IF(E187&gt;=3,IF(D187&gt;=5,"H","A"),IF(E187&gt;=2,IF(D187&gt;=16,"H",IF(D187&lt;=4,"L","A")),IF(D187&lt;=15,"L","A"))),IF(OR(B187="SE",B187="CE"),IF(E187&gt;=4,IF(D187&gt;=6,"H","A"),IF(E187&gt;=2,IF(D187&gt;=20,"H",IF(D187&lt;=5,"L","A")),IF(D187&lt;=19,"L","A"))),IF(OR(B187="ALI",B187="AIE"),IF(E187&gt;=6,IF(D187&gt;=20,"H","A"),IF(E187&gt;=2,IF(D187&gt;=51,"H",IF(D187&lt;=19,"L","A")),IF(D187&lt;=50,"L","A"))),""))))</f>
        <v/>
      </c>
      <c r="J187" s="7" t="str">
        <f>CONCATENATE(B187,C187)</f>
        <v/>
      </c>
      <c r="K187" s="125" t="str">
        <f>IF(OR(H187="",H187=0),L187,H187)</f>
        <v/>
      </c>
      <c r="L187" s="125" t="str">
        <f>IF(NOT(ISERROR(VLOOKUP(B187,Deflatores!G$42:H$64,2,FALSE))),VLOOKUP(B187,Deflatores!G$42:H$64,2,FALSE),IF(OR(ISBLANK(C187),ISBLANK(B187)),"",VLOOKUP(C187,Deflatores!G$4:H$38,2,FALSE)*H187+VLOOKUP(C187,Deflatores!G$4:I$38,3,FALSE)))</f>
        <v/>
      </c>
      <c r="M187" s="10"/>
      <c r="N187" s="10"/>
      <c r="O187" s="125"/>
    </row>
    <row r="188" spans="1:15">
      <c r="A188" s="138" t="s">
        <v>224</v>
      </c>
      <c r="B188" s="4" t="s">
        <v>63</v>
      </c>
      <c r="C188" s="4" t="s">
        <v>49</v>
      </c>
      <c r="D188" s="7">
        <v>12</v>
      </c>
      <c r="E188" s="7">
        <v>2</v>
      </c>
      <c r="F188" s="116" t="str">
        <f>IF(ISBLANK(B188),"",IF(I188="L","Baixa",IF(I188="A","Média",IF(I188="","","Alta"))))</f>
        <v>Média</v>
      </c>
      <c r="G188" s="7" t="str">
        <f>CONCATENATE(B188,I188)</f>
        <v>EEA</v>
      </c>
      <c r="H188" s="7">
        <f>IF(ISBLANK(B188),"",IF(B188="ALI",IF(I188="L",7,IF(I188="A",10,15)),IF(B188="AIE",IF(I188="L",5,IF(I188="A",7,10)),IF(B188="SE",IF(I188="L",4,IF(I188="A",5,7)),IF(OR(B188="EE",B188="CE"),IF(I188="L",3,IF(I188="A",4,6)),0)))))</f>
        <v>4</v>
      </c>
      <c r="I188" s="116" t="str">
        <f>IF(OR(ISBLANK(D188),ISBLANK(E188)),IF(OR(B188="ALI",B188="AIE"),"L",IF(OR(B188="EE",B188="SE",B188="CE"),"A","")),IF(B188="EE",IF(E188&gt;=3,IF(D188&gt;=5,"H","A"),IF(E188&gt;=2,IF(D188&gt;=16,"H",IF(D188&lt;=4,"L","A")),IF(D188&lt;=15,"L","A"))),IF(OR(B188="SE",B188="CE"),IF(E188&gt;=4,IF(D188&gt;=6,"H","A"),IF(E188&gt;=2,IF(D188&gt;=20,"H",IF(D188&lt;=5,"L","A")),IF(D188&lt;=19,"L","A"))),IF(OR(B188="ALI",B188="AIE"),IF(E188&gt;=6,IF(D188&gt;=20,"H","A"),IF(E188&gt;=2,IF(D188&gt;=51,"H",IF(D188&lt;=19,"L","A")),IF(D188&lt;=50,"L","A"))),""))))</f>
        <v>A</v>
      </c>
      <c r="J188" s="7" t="str">
        <f>CONCATENATE(B188,C188)</f>
        <v>EEI</v>
      </c>
      <c r="K188" s="125">
        <f>IF(OR(H188="",H188=0),L188,H188)</f>
        <v>4</v>
      </c>
      <c r="L188" s="125">
        <f>IF(NOT(ISERROR(VLOOKUP(B188,Deflatores!G$42:H$64,2,FALSE))),VLOOKUP(B188,Deflatores!G$42:H$64,2,FALSE),IF(OR(ISBLANK(C188),ISBLANK(B188)),"",VLOOKUP(C188,Deflatores!G$4:H$38,2,FALSE)*H188+VLOOKUP(C188,Deflatores!G$4:I$38,3,FALSE)))</f>
        <v>4</v>
      </c>
      <c r="M188" s="10"/>
      <c r="N188" s="10"/>
      <c r="O188" s="125"/>
    </row>
    <row r="189" spans="1:15">
      <c r="A189" s="138" t="s">
        <v>225</v>
      </c>
      <c r="B189" s="4" t="s">
        <v>63</v>
      </c>
      <c r="C189" s="4" t="s">
        <v>49</v>
      </c>
      <c r="D189" s="7">
        <v>12</v>
      </c>
      <c r="E189" s="7">
        <v>2</v>
      </c>
      <c r="F189" s="116" t="str">
        <f>IF(ISBLANK(B189),"",IF(I189="L","Baixa",IF(I189="A","Média",IF(I189="","","Alta"))))</f>
        <v>Média</v>
      </c>
      <c r="G189" s="7" t="str">
        <f>CONCATENATE(B189,I189)</f>
        <v>EEA</v>
      </c>
      <c r="H189" s="7">
        <f>IF(ISBLANK(B189),"",IF(B189="ALI",IF(I189="L",7,IF(I189="A",10,15)),IF(B189="AIE",IF(I189="L",5,IF(I189="A",7,10)),IF(B189="SE",IF(I189="L",4,IF(I189="A",5,7)),IF(OR(B189="EE",B189="CE"),IF(I189="L",3,IF(I189="A",4,6)),0)))))</f>
        <v>4</v>
      </c>
      <c r="I189" s="116" t="str">
        <f>IF(OR(ISBLANK(D189),ISBLANK(E189)),IF(OR(B189="ALI",B189="AIE"),"L",IF(OR(B189="EE",B189="SE",B189="CE"),"A","")),IF(B189="EE",IF(E189&gt;=3,IF(D189&gt;=5,"H","A"),IF(E189&gt;=2,IF(D189&gt;=16,"H",IF(D189&lt;=4,"L","A")),IF(D189&lt;=15,"L","A"))),IF(OR(B189="SE",B189="CE"),IF(E189&gt;=4,IF(D189&gt;=6,"H","A"),IF(E189&gt;=2,IF(D189&gt;=20,"H",IF(D189&lt;=5,"L","A")),IF(D189&lt;=19,"L","A"))),IF(OR(B189="ALI",B189="AIE"),IF(E189&gt;=6,IF(D189&gt;=20,"H","A"),IF(E189&gt;=2,IF(D189&gt;=51,"H",IF(D189&lt;=19,"L","A")),IF(D189&lt;=50,"L","A"))),""))))</f>
        <v>A</v>
      </c>
      <c r="J189" s="7" t="str">
        <f>CONCATENATE(B189,C189)</f>
        <v>EEI</v>
      </c>
      <c r="K189" s="125">
        <f>IF(OR(H189="",H189=0),L189,H189)</f>
        <v>4</v>
      </c>
      <c r="L189" s="125">
        <f>IF(NOT(ISERROR(VLOOKUP(B189,Deflatores!G$42:H$64,2,FALSE))),VLOOKUP(B189,Deflatores!G$42:H$64,2,FALSE),IF(OR(ISBLANK(C189),ISBLANK(B189)),"",VLOOKUP(C189,Deflatores!G$4:H$38,2,FALSE)*H189+VLOOKUP(C189,Deflatores!G$4:I$38,3,FALSE)))</f>
        <v>4</v>
      </c>
      <c r="M189" s="10"/>
      <c r="N189" s="10"/>
      <c r="O189" s="125"/>
    </row>
    <row r="190" spans="1:15">
      <c r="A190" s="139" t="s">
        <v>226</v>
      </c>
      <c r="B190" s="4" t="s">
        <v>44</v>
      </c>
      <c r="C190" s="4" t="s">
        <v>49</v>
      </c>
      <c r="D190" s="7">
        <v>13</v>
      </c>
      <c r="E190" s="7">
        <v>2</v>
      </c>
      <c r="F190" s="116" t="str">
        <f t="shared" si="72"/>
        <v>Média</v>
      </c>
      <c r="G190" s="7" t="str">
        <f t="shared" si="73"/>
        <v>CEA</v>
      </c>
      <c r="H190" s="7">
        <f t="shared" si="74"/>
        <v>4</v>
      </c>
      <c r="I190" s="116" t="str">
        <f t="shared" si="75"/>
        <v>A</v>
      </c>
      <c r="J190" s="7" t="str">
        <f t="shared" si="76"/>
        <v>CEI</v>
      </c>
      <c r="K190" s="125">
        <f t="shared" si="77"/>
        <v>4</v>
      </c>
      <c r="L190" s="125">
        <f>IF(NOT(ISERROR(VLOOKUP(B190,Deflatores!G$42:H$64,2,FALSE))),VLOOKUP(B190,Deflatores!G$42:H$64,2,FALSE),IF(OR(ISBLANK(C190),ISBLANK(B190)),"",VLOOKUP(C190,Deflatores!G$4:H$38,2,FALSE)*H190+VLOOKUP(C190,Deflatores!G$4:I$38,3,FALSE)))</f>
        <v>4</v>
      </c>
      <c r="M190" s="10"/>
      <c r="N190" s="10"/>
      <c r="O190" s="125"/>
    </row>
    <row r="191" spans="1:15">
      <c r="A191" s="138" t="s">
        <v>227</v>
      </c>
      <c r="B191" s="4" t="s">
        <v>44</v>
      </c>
      <c r="C191" s="4" t="s">
        <v>49</v>
      </c>
      <c r="D191" s="7">
        <v>15</v>
      </c>
      <c r="E191" s="7">
        <v>2</v>
      </c>
      <c r="F191" s="116" t="str">
        <f t="shared" ref="F191:F197" si="90">IF(ISBLANK(B191),"",IF(I191="L","Baixa",IF(I191="A","Média",IF(I191="","","Alta"))))</f>
        <v>Média</v>
      </c>
      <c r="G191" s="7" t="str">
        <f t="shared" ref="G191:G197" si="91">CONCATENATE(B191,I191)</f>
        <v>CEA</v>
      </c>
      <c r="H191" s="7">
        <f t="shared" ref="H191:H197" si="92">IF(ISBLANK(B191),"",IF(B191="ALI",IF(I191="L",7,IF(I191="A",10,15)),IF(B191="AIE",IF(I191="L",5,IF(I191="A",7,10)),IF(B191="SE",IF(I191="L",4,IF(I191="A",5,7)),IF(OR(B191="EE",B191="CE"),IF(I191="L",3,IF(I191="A",4,6)),0)))))</f>
        <v>4</v>
      </c>
      <c r="I191" s="116" t="str">
        <f t="shared" ref="I191:I197" si="93">IF(OR(ISBLANK(D191),ISBLANK(E191)),IF(OR(B191="ALI",B191="AIE"),"L",IF(OR(B191="EE",B191="SE",B191="CE"),"A","")),IF(B191="EE",IF(E191&gt;=3,IF(D191&gt;=5,"H","A"),IF(E191&gt;=2,IF(D191&gt;=16,"H",IF(D191&lt;=4,"L","A")),IF(D191&lt;=15,"L","A"))),IF(OR(B191="SE",B191="CE"),IF(E191&gt;=4,IF(D191&gt;=6,"H","A"),IF(E191&gt;=2,IF(D191&gt;=20,"H",IF(D191&lt;=5,"L","A")),IF(D191&lt;=19,"L","A"))),IF(OR(B191="ALI",B191="AIE"),IF(E191&gt;=6,IF(D191&gt;=20,"H","A"),IF(E191&gt;=2,IF(D191&gt;=51,"H",IF(D191&lt;=19,"L","A")),IF(D191&lt;=50,"L","A"))),""))))</f>
        <v>A</v>
      </c>
      <c r="J191" s="7" t="str">
        <f t="shared" ref="J191:J197" si="94">CONCATENATE(B191,C191)</f>
        <v>CEI</v>
      </c>
      <c r="K191" s="125">
        <f t="shared" ref="K191:K197" si="95">IF(OR(H191="",H191=0),L191,H191)</f>
        <v>4</v>
      </c>
      <c r="L191" s="125">
        <f>IF(NOT(ISERROR(VLOOKUP(B191,Deflatores!G$42:H$64,2,FALSE))),VLOOKUP(B191,Deflatores!G$42:H$64,2,FALSE),IF(OR(ISBLANK(C191),ISBLANK(B191)),"",VLOOKUP(C191,Deflatores!G$4:H$38,2,FALSE)*H191+VLOOKUP(C191,Deflatores!G$4:I$38,3,FALSE)))</f>
        <v>4</v>
      </c>
      <c r="M191" s="10"/>
      <c r="N191" s="10"/>
      <c r="O191" s="125"/>
    </row>
    <row r="192" spans="1:15">
      <c r="A192" s="138" t="s">
        <v>228</v>
      </c>
      <c r="B192" s="4" t="s">
        <v>63</v>
      </c>
      <c r="C192" s="4" t="s">
        <v>49</v>
      </c>
      <c r="D192" s="7">
        <v>4</v>
      </c>
      <c r="E192" s="7">
        <v>1</v>
      </c>
      <c r="F192" s="116" t="str">
        <f t="shared" si="90"/>
        <v>Baixa</v>
      </c>
      <c r="G192" s="7" t="str">
        <f t="shared" si="91"/>
        <v>EEL</v>
      </c>
      <c r="H192" s="7">
        <f t="shared" si="92"/>
        <v>3</v>
      </c>
      <c r="I192" s="116" t="str">
        <f t="shared" si="93"/>
        <v>L</v>
      </c>
      <c r="J192" s="7" t="str">
        <f t="shared" si="94"/>
        <v>EEI</v>
      </c>
      <c r="K192" s="125">
        <f t="shared" si="95"/>
        <v>3</v>
      </c>
      <c r="L192" s="125">
        <f>IF(NOT(ISERROR(VLOOKUP(B192,Deflatores!G$42:H$64,2,FALSE))),VLOOKUP(B192,Deflatores!G$42:H$64,2,FALSE),IF(OR(ISBLANK(C192),ISBLANK(B192)),"",VLOOKUP(C192,Deflatores!G$4:H$38,2,FALSE)*H192+VLOOKUP(C192,Deflatores!G$4:I$38,3,FALSE)))</f>
        <v>3</v>
      </c>
      <c r="M192" s="10"/>
      <c r="N192" s="10"/>
      <c r="O192" s="125"/>
    </row>
    <row r="193" spans="1:15">
      <c r="A193" s="138" t="s">
        <v>229</v>
      </c>
      <c r="B193" s="4" t="s">
        <v>44</v>
      </c>
      <c r="C193" s="4" t="s">
        <v>49</v>
      </c>
      <c r="D193" s="7">
        <v>4</v>
      </c>
      <c r="E193" s="7">
        <v>2</v>
      </c>
      <c r="F193" s="116" t="str">
        <f t="shared" si="90"/>
        <v>Baixa</v>
      </c>
      <c r="G193" s="7" t="str">
        <f t="shared" si="91"/>
        <v>CEL</v>
      </c>
      <c r="H193" s="7">
        <f t="shared" si="92"/>
        <v>3</v>
      </c>
      <c r="I193" s="116" t="str">
        <f t="shared" si="93"/>
        <v>L</v>
      </c>
      <c r="J193" s="7" t="str">
        <f t="shared" si="94"/>
        <v>CEI</v>
      </c>
      <c r="K193" s="125">
        <f t="shared" si="95"/>
        <v>3</v>
      </c>
      <c r="L193" s="125">
        <f>IF(NOT(ISERROR(VLOOKUP(B193,Deflatores!G$42:H$64,2,FALSE))),VLOOKUP(B193,Deflatores!G$42:H$64,2,FALSE),IF(OR(ISBLANK(C193),ISBLANK(B193)),"",VLOOKUP(C193,Deflatores!G$4:H$38,2,FALSE)*H193+VLOOKUP(C193,Deflatores!G$4:I$38,3,FALSE)))</f>
        <v>3</v>
      </c>
      <c r="M193" s="10"/>
      <c r="N193" s="10"/>
      <c r="O193" s="125"/>
    </row>
    <row r="194" spans="1:15">
      <c r="A194" s="138"/>
      <c r="B194" s="4"/>
      <c r="C194" s="4"/>
      <c r="D194" s="7"/>
      <c r="E194" s="7"/>
      <c r="F194" s="116" t="str">
        <f t="shared" si="90"/>
        <v/>
      </c>
      <c r="G194" s="7" t="str">
        <f t="shared" si="91"/>
        <v/>
      </c>
      <c r="H194" s="7" t="str">
        <f t="shared" si="92"/>
        <v/>
      </c>
      <c r="I194" s="116" t="str">
        <f t="shared" si="93"/>
        <v/>
      </c>
      <c r="J194" s="7" t="str">
        <f t="shared" si="94"/>
        <v/>
      </c>
      <c r="K194" s="125" t="str">
        <f t="shared" si="95"/>
        <v/>
      </c>
      <c r="L194" s="125" t="str">
        <f>IF(NOT(ISERROR(VLOOKUP(B194,Deflatores!G$42:H$64,2,FALSE))),VLOOKUP(B194,Deflatores!G$42:H$64,2,FALSE),IF(OR(ISBLANK(C194),ISBLANK(B194)),"",VLOOKUP(C194,Deflatores!G$4:H$38,2,FALSE)*H194+VLOOKUP(C194,Deflatores!G$4:I$38,3,FALSE)))</f>
        <v/>
      </c>
      <c r="M194" s="10"/>
      <c r="N194" s="10"/>
      <c r="O194" s="125"/>
    </row>
    <row r="195" spans="1:15" s="127" customFormat="1">
      <c r="A195" s="137" t="s">
        <v>230</v>
      </c>
      <c r="B195" s="4"/>
      <c r="C195" s="4"/>
      <c r="D195" s="7"/>
      <c r="E195" s="7"/>
      <c r="F195" s="116" t="str">
        <f t="shared" si="90"/>
        <v/>
      </c>
      <c r="G195" s="7" t="str">
        <f t="shared" si="91"/>
        <v/>
      </c>
      <c r="H195" s="7" t="str">
        <f t="shared" si="92"/>
        <v/>
      </c>
      <c r="I195" s="116" t="str">
        <f t="shared" si="93"/>
        <v/>
      </c>
      <c r="J195" s="7" t="str">
        <f t="shared" si="94"/>
        <v/>
      </c>
      <c r="K195" s="125" t="str">
        <f t="shared" si="95"/>
        <v/>
      </c>
      <c r="L195" s="125" t="str">
        <f>IF(NOT(ISERROR(VLOOKUP(B195,Deflatores!G$42:H$64,2,FALSE))),VLOOKUP(B195,Deflatores!G$42:H$64,2,FALSE),IF(OR(ISBLANK(C195),ISBLANK(B195)),"",VLOOKUP(C195,Deflatores!G$4:H$38,2,FALSE)*H195+VLOOKUP(C195,Deflatores!G$4:I$38,3,FALSE)))</f>
        <v/>
      </c>
      <c r="M195" s="126"/>
      <c r="N195" s="126"/>
      <c r="O195" s="125"/>
    </row>
    <row r="196" spans="1:15">
      <c r="A196" s="138" t="s">
        <v>231</v>
      </c>
      <c r="B196" s="4" t="s">
        <v>44</v>
      </c>
      <c r="C196" s="4" t="s">
        <v>49</v>
      </c>
      <c r="D196" s="7">
        <v>7</v>
      </c>
      <c r="E196" s="7">
        <v>1</v>
      </c>
      <c r="F196" s="116" t="str">
        <f t="shared" si="90"/>
        <v>Baixa</v>
      </c>
      <c r="G196" s="7" t="str">
        <f t="shared" si="91"/>
        <v>CEL</v>
      </c>
      <c r="H196" s="7">
        <f t="shared" si="92"/>
        <v>3</v>
      </c>
      <c r="I196" s="116" t="str">
        <f t="shared" si="93"/>
        <v>L</v>
      </c>
      <c r="J196" s="7" t="str">
        <f t="shared" si="94"/>
        <v>CEI</v>
      </c>
      <c r="K196" s="125">
        <f t="shared" si="95"/>
        <v>3</v>
      </c>
      <c r="L196" s="125">
        <f>IF(NOT(ISERROR(VLOOKUP(B196,Deflatores!G$42:H$64,2,FALSE))),VLOOKUP(B196,Deflatores!G$42:H$64,2,FALSE),IF(OR(ISBLANK(C196),ISBLANK(B196)),"",VLOOKUP(C196,Deflatores!G$4:H$38,2,FALSE)*H196+VLOOKUP(C196,Deflatores!G$4:I$38,3,FALSE)))</f>
        <v>3</v>
      </c>
      <c r="M196" s="10"/>
      <c r="N196" s="10"/>
      <c r="O196" s="125"/>
    </row>
    <row r="197" spans="1:15">
      <c r="A197" s="138"/>
      <c r="B197" s="4"/>
      <c r="C197" s="4"/>
      <c r="D197" s="7"/>
      <c r="E197" s="7"/>
      <c r="F197" s="116" t="str">
        <f t="shared" si="90"/>
        <v/>
      </c>
      <c r="G197" s="7" t="str">
        <f t="shared" si="91"/>
        <v/>
      </c>
      <c r="H197" s="7" t="str">
        <f t="shared" si="92"/>
        <v/>
      </c>
      <c r="I197" s="116" t="str">
        <f t="shared" si="93"/>
        <v/>
      </c>
      <c r="J197" s="7" t="str">
        <f t="shared" si="94"/>
        <v/>
      </c>
      <c r="K197" s="125" t="str">
        <f t="shared" si="95"/>
        <v/>
      </c>
      <c r="L197" s="125" t="str">
        <f>IF(NOT(ISERROR(VLOOKUP(B197,Deflatores!G$42:H$64,2,FALSE))),VLOOKUP(B197,Deflatores!G$42:H$64,2,FALSE),IF(OR(ISBLANK(C197),ISBLANK(B197)),"",VLOOKUP(C197,Deflatores!G$4:H$38,2,FALSE)*H197+VLOOKUP(C197,Deflatores!G$4:I$38,3,FALSE)))</f>
        <v/>
      </c>
      <c r="M197" s="10"/>
      <c r="N197" s="10"/>
      <c r="O197" s="125"/>
    </row>
    <row r="198" spans="1:15">
      <c r="A198" s="137" t="s">
        <v>232</v>
      </c>
      <c r="B198" s="4"/>
      <c r="C198" s="4"/>
      <c r="D198" s="7"/>
      <c r="E198" s="7"/>
      <c r="F198" s="116" t="str">
        <f t="shared" si="72"/>
        <v/>
      </c>
      <c r="G198" s="7" t="str">
        <f t="shared" si="73"/>
        <v/>
      </c>
      <c r="H198" s="7" t="str">
        <f t="shared" si="74"/>
        <v/>
      </c>
      <c r="I198" s="116" t="str">
        <f t="shared" si="75"/>
        <v/>
      </c>
      <c r="J198" s="7" t="str">
        <f t="shared" si="76"/>
        <v/>
      </c>
      <c r="K198" s="125" t="str">
        <f t="shared" si="77"/>
        <v/>
      </c>
      <c r="L198" s="125" t="str">
        <f>IF(NOT(ISERROR(VLOOKUP(B198,Deflatores!G$42:H$64,2,FALSE))),VLOOKUP(B198,Deflatores!G$42:H$64,2,FALSE),IF(OR(ISBLANK(C198),ISBLANK(B198)),"",VLOOKUP(C198,Deflatores!G$4:H$38,2,FALSE)*H198+VLOOKUP(C198,Deflatores!G$4:I$38,3,FALSE)))</f>
        <v/>
      </c>
      <c r="M198" s="10"/>
      <c r="N198" s="10"/>
      <c r="O198" s="125"/>
    </row>
    <row r="199" spans="1:15">
      <c r="A199" s="138" t="s">
        <v>233</v>
      </c>
      <c r="B199" s="4" t="s">
        <v>58</v>
      </c>
      <c r="C199" s="4" t="s">
        <v>49</v>
      </c>
      <c r="D199" s="7">
        <v>8</v>
      </c>
      <c r="E199" s="7">
        <v>2</v>
      </c>
      <c r="F199" s="116" t="str">
        <f t="shared" si="72"/>
        <v>Média</v>
      </c>
      <c r="G199" s="7" t="str">
        <f t="shared" si="73"/>
        <v>SEA</v>
      </c>
      <c r="H199" s="7">
        <f t="shared" si="74"/>
        <v>5</v>
      </c>
      <c r="I199" s="116" t="str">
        <f t="shared" si="75"/>
        <v>A</v>
      </c>
      <c r="J199" s="7" t="str">
        <f t="shared" si="76"/>
        <v>SEI</v>
      </c>
      <c r="K199" s="125">
        <f t="shared" si="77"/>
        <v>5</v>
      </c>
      <c r="L199" s="125">
        <f>IF(NOT(ISERROR(VLOOKUP(B199,Deflatores!G$42:H$64,2,FALSE))),VLOOKUP(B199,Deflatores!G$42:H$64,2,FALSE),IF(OR(ISBLANK(C199),ISBLANK(B199)),"",VLOOKUP(C199,Deflatores!G$4:H$38,2,FALSE)*H199+VLOOKUP(C199,Deflatores!G$4:I$38,3,FALSE)))</f>
        <v>5</v>
      </c>
      <c r="M199" s="10"/>
      <c r="N199" s="10"/>
      <c r="O199" s="125"/>
    </row>
    <row r="200" spans="1:15">
      <c r="A200" s="138" t="s">
        <v>234</v>
      </c>
      <c r="B200" s="4" t="s">
        <v>44</v>
      </c>
      <c r="C200" s="4" t="s">
        <v>49</v>
      </c>
      <c r="D200" s="7">
        <v>8</v>
      </c>
      <c r="E200" s="7">
        <v>2</v>
      </c>
      <c r="F200" s="116" t="str">
        <f t="shared" si="72"/>
        <v>Média</v>
      </c>
      <c r="G200" s="7" t="str">
        <f t="shared" si="73"/>
        <v>CEA</v>
      </c>
      <c r="H200" s="7">
        <f t="shared" si="74"/>
        <v>4</v>
      </c>
      <c r="I200" s="116" t="str">
        <f t="shared" si="75"/>
        <v>A</v>
      </c>
      <c r="J200" s="7" t="str">
        <f t="shared" si="76"/>
        <v>CEI</v>
      </c>
      <c r="K200" s="125">
        <f t="shared" si="77"/>
        <v>4</v>
      </c>
      <c r="L200" s="125">
        <f>IF(NOT(ISERROR(VLOOKUP(B200,Deflatores!G$42:H$64,2,FALSE))),VLOOKUP(B200,Deflatores!G$42:H$64,2,FALSE),IF(OR(ISBLANK(C200),ISBLANK(B200)),"",VLOOKUP(C200,Deflatores!G$4:H$38,2,FALSE)*H200+VLOOKUP(C200,Deflatores!G$4:I$38,3,FALSE)))</f>
        <v>4</v>
      </c>
      <c r="M200" s="10"/>
      <c r="N200" s="10"/>
      <c r="O200" s="125"/>
    </row>
    <row r="201" spans="1:15">
      <c r="A201" s="138"/>
      <c r="B201" s="4"/>
      <c r="C201" s="4"/>
      <c r="D201" s="7"/>
      <c r="E201" s="7"/>
      <c r="F201" s="116" t="str">
        <f t="shared" si="72"/>
        <v/>
      </c>
      <c r="G201" s="7" t="str">
        <f t="shared" si="73"/>
        <v/>
      </c>
      <c r="H201" s="7" t="str">
        <f t="shared" si="74"/>
        <v/>
      </c>
      <c r="I201" s="116" t="str">
        <f t="shared" si="75"/>
        <v/>
      </c>
      <c r="J201" s="7" t="str">
        <f t="shared" si="76"/>
        <v/>
      </c>
      <c r="K201" s="125" t="str">
        <f t="shared" si="77"/>
        <v/>
      </c>
      <c r="L201" s="125" t="str">
        <f>IF(NOT(ISERROR(VLOOKUP(B201,Deflatores!G$42:H$64,2,FALSE))),VLOOKUP(B201,Deflatores!G$42:H$64,2,FALSE),IF(OR(ISBLANK(C201),ISBLANK(B201)),"",VLOOKUP(C201,Deflatores!G$4:H$38,2,FALSE)*H201+VLOOKUP(C201,Deflatores!G$4:I$38,3,FALSE)))</f>
        <v/>
      </c>
      <c r="M201" s="10"/>
      <c r="N201" s="10"/>
      <c r="O201" s="125"/>
    </row>
    <row r="202" spans="1:15">
      <c r="A202" s="137" t="s">
        <v>235</v>
      </c>
      <c r="B202" s="4"/>
      <c r="C202" s="4"/>
      <c r="D202" s="7"/>
      <c r="E202" s="7"/>
      <c r="F202" s="116" t="str">
        <f t="shared" si="72"/>
        <v/>
      </c>
      <c r="G202" s="7" t="str">
        <f t="shared" si="73"/>
        <v/>
      </c>
      <c r="H202" s="7" t="str">
        <f t="shared" si="74"/>
        <v/>
      </c>
      <c r="I202" s="116" t="str">
        <f t="shared" si="75"/>
        <v/>
      </c>
      <c r="J202" s="7" t="str">
        <f t="shared" si="76"/>
        <v/>
      </c>
      <c r="K202" s="125" t="str">
        <f t="shared" si="77"/>
        <v/>
      </c>
      <c r="L202" s="125" t="str">
        <f>IF(NOT(ISERROR(VLOOKUP(B202,Deflatores!G$42:H$64,2,FALSE))),VLOOKUP(B202,Deflatores!G$42:H$64,2,FALSE),IF(OR(ISBLANK(C202),ISBLANK(B202)),"",VLOOKUP(C202,Deflatores!G$4:H$38,2,FALSE)*H202+VLOOKUP(C202,Deflatores!G$4:I$38,3,FALSE)))</f>
        <v/>
      </c>
      <c r="M202" s="10"/>
      <c r="N202" s="10"/>
      <c r="O202" s="125"/>
    </row>
    <row r="203" spans="1:15">
      <c r="A203" s="138" t="s">
        <v>236</v>
      </c>
      <c r="B203" s="4" t="s">
        <v>55</v>
      </c>
      <c r="C203" s="4" t="s">
        <v>49</v>
      </c>
      <c r="D203" s="7">
        <v>7</v>
      </c>
      <c r="E203" s="7">
        <v>1</v>
      </c>
      <c r="F203" s="116" t="str">
        <f t="shared" si="72"/>
        <v>Baixa</v>
      </c>
      <c r="G203" s="7" t="str">
        <f t="shared" si="73"/>
        <v>ALIL</v>
      </c>
      <c r="H203" s="7">
        <f t="shared" si="74"/>
        <v>7</v>
      </c>
      <c r="I203" s="116" t="str">
        <f t="shared" si="75"/>
        <v>L</v>
      </c>
      <c r="J203" s="7" t="str">
        <f t="shared" si="76"/>
        <v>ALII</v>
      </c>
      <c r="K203" s="125">
        <f t="shared" si="77"/>
        <v>7</v>
      </c>
      <c r="L203" s="125">
        <f>IF(NOT(ISERROR(VLOOKUP(B203,Deflatores!G$42:H$64,2,FALSE))),VLOOKUP(B203,Deflatores!G$42:H$64,2,FALSE),IF(OR(ISBLANK(C203),ISBLANK(B203)),"",VLOOKUP(C203,Deflatores!G$4:H$38,2,FALSE)*H203+VLOOKUP(C203,Deflatores!G$4:I$38,3,FALSE)))</f>
        <v>7</v>
      </c>
      <c r="M203" s="10"/>
      <c r="N203" s="10"/>
      <c r="O203" s="125"/>
    </row>
    <row r="204" spans="1:15">
      <c r="A204" s="138" t="s">
        <v>237</v>
      </c>
      <c r="B204" s="4" t="s">
        <v>44</v>
      </c>
      <c r="C204" s="4" t="s">
        <v>49</v>
      </c>
      <c r="D204" s="7">
        <v>9</v>
      </c>
      <c r="E204" s="7">
        <v>3</v>
      </c>
      <c r="F204" s="116" t="str">
        <f t="shared" si="72"/>
        <v>Média</v>
      </c>
      <c r="G204" s="7" t="str">
        <f t="shared" si="73"/>
        <v>CEA</v>
      </c>
      <c r="H204" s="7">
        <f t="shared" si="74"/>
        <v>4</v>
      </c>
      <c r="I204" s="116" t="str">
        <f t="shared" si="75"/>
        <v>A</v>
      </c>
      <c r="J204" s="7" t="str">
        <f t="shared" si="76"/>
        <v>CEI</v>
      </c>
      <c r="K204" s="125">
        <f t="shared" si="77"/>
        <v>4</v>
      </c>
      <c r="L204" s="125">
        <f>IF(NOT(ISERROR(VLOOKUP(B204,Deflatores!G$42:H$64,2,FALSE))),VLOOKUP(B204,Deflatores!G$42:H$64,2,FALSE),IF(OR(ISBLANK(C204),ISBLANK(B204)),"",VLOOKUP(C204,Deflatores!G$4:H$38,2,FALSE)*H204+VLOOKUP(C204,Deflatores!G$4:I$38,3,FALSE)))</f>
        <v>4</v>
      </c>
      <c r="M204" s="10"/>
      <c r="N204" s="10"/>
      <c r="O204" s="125"/>
    </row>
    <row r="205" spans="1:15">
      <c r="A205" s="138" t="s">
        <v>238</v>
      </c>
      <c r="B205" s="4" t="s">
        <v>63</v>
      </c>
      <c r="C205" s="4" t="s">
        <v>49</v>
      </c>
      <c r="D205" s="7">
        <v>9</v>
      </c>
      <c r="E205" s="7">
        <v>3</v>
      </c>
      <c r="F205" s="116" t="str">
        <f t="shared" si="72"/>
        <v>Alta</v>
      </c>
      <c r="G205" s="7" t="str">
        <f t="shared" si="73"/>
        <v>EEH</v>
      </c>
      <c r="H205" s="7">
        <f t="shared" si="74"/>
        <v>6</v>
      </c>
      <c r="I205" s="116" t="str">
        <f t="shared" si="75"/>
        <v>H</v>
      </c>
      <c r="J205" s="7" t="str">
        <f t="shared" si="76"/>
        <v>EEI</v>
      </c>
      <c r="K205" s="125">
        <f t="shared" si="77"/>
        <v>6</v>
      </c>
      <c r="L205" s="125">
        <f>IF(NOT(ISERROR(VLOOKUP(B205,Deflatores!G$42:H$64,2,FALSE))),VLOOKUP(B205,Deflatores!G$42:H$64,2,FALSE),IF(OR(ISBLANK(C205),ISBLANK(B205)),"",VLOOKUP(C205,Deflatores!G$4:H$38,2,FALSE)*H205+VLOOKUP(C205,Deflatores!G$4:I$38,3,FALSE)))</f>
        <v>6</v>
      </c>
      <c r="M205" s="10"/>
      <c r="N205" s="10"/>
      <c r="O205" s="125"/>
    </row>
    <row r="206" spans="1:15">
      <c r="A206" s="138" t="s">
        <v>239</v>
      </c>
      <c r="B206" s="4" t="s">
        <v>63</v>
      </c>
      <c r="C206" s="4" t="s">
        <v>49</v>
      </c>
      <c r="D206" s="7">
        <v>3</v>
      </c>
      <c r="E206" s="7">
        <v>1</v>
      </c>
      <c r="F206" s="116" t="str">
        <f t="shared" si="72"/>
        <v>Baixa</v>
      </c>
      <c r="G206" s="7" t="str">
        <f t="shared" si="73"/>
        <v>EEL</v>
      </c>
      <c r="H206" s="7">
        <f t="shared" si="74"/>
        <v>3</v>
      </c>
      <c r="I206" s="116" t="str">
        <f t="shared" si="75"/>
        <v>L</v>
      </c>
      <c r="J206" s="7" t="str">
        <f t="shared" si="76"/>
        <v>EEI</v>
      </c>
      <c r="K206" s="125">
        <f t="shared" si="77"/>
        <v>3</v>
      </c>
      <c r="L206" s="125">
        <f>IF(NOT(ISERROR(VLOOKUP(B206,Deflatores!G$42:H$64,2,FALSE))),VLOOKUP(B206,Deflatores!G$42:H$64,2,FALSE),IF(OR(ISBLANK(C206),ISBLANK(B206)),"",VLOOKUP(C206,Deflatores!G$4:H$38,2,FALSE)*H206+VLOOKUP(C206,Deflatores!G$4:I$38,3,FALSE)))</f>
        <v>3</v>
      </c>
      <c r="M206" s="10"/>
      <c r="N206" s="10"/>
      <c r="O206" s="125"/>
    </row>
    <row r="207" spans="1:15">
      <c r="A207" s="138" t="s">
        <v>240</v>
      </c>
      <c r="B207" s="4" t="s">
        <v>63</v>
      </c>
      <c r="C207" s="4" t="s">
        <v>49</v>
      </c>
      <c r="D207" s="7">
        <v>3</v>
      </c>
      <c r="E207" s="7">
        <v>1</v>
      </c>
      <c r="F207" s="116" t="str">
        <f t="shared" si="72"/>
        <v>Baixa</v>
      </c>
      <c r="G207" s="7" t="str">
        <f t="shared" si="73"/>
        <v>EEL</v>
      </c>
      <c r="H207" s="7">
        <f t="shared" si="74"/>
        <v>3</v>
      </c>
      <c r="I207" s="116" t="str">
        <f t="shared" si="75"/>
        <v>L</v>
      </c>
      <c r="J207" s="7" t="str">
        <f t="shared" si="76"/>
        <v>EEI</v>
      </c>
      <c r="K207" s="125">
        <f t="shared" si="77"/>
        <v>3</v>
      </c>
      <c r="L207" s="125">
        <f>IF(NOT(ISERROR(VLOOKUP(B207,Deflatores!G$42:H$64,2,FALSE))),VLOOKUP(B207,Deflatores!G$42:H$64,2,FALSE),IF(OR(ISBLANK(C207),ISBLANK(B207)),"",VLOOKUP(C207,Deflatores!G$4:H$38,2,FALSE)*H207+VLOOKUP(C207,Deflatores!G$4:I$38,3,FALSE)))</f>
        <v>3</v>
      </c>
      <c r="M207" s="10"/>
      <c r="N207" s="10"/>
      <c r="O207" s="125"/>
    </row>
    <row r="208" spans="1:15">
      <c r="A208" s="138" t="s">
        <v>241</v>
      </c>
      <c r="B208" s="4" t="s">
        <v>44</v>
      </c>
      <c r="C208" s="4" t="s">
        <v>49</v>
      </c>
      <c r="D208" s="7">
        <v>20</v>
      </c>
      <c r="E208" s="7">
        <v>3</v>
      </c>
      <c r="F208" s="116" t="str">
        <f t="shared" si="72"/>
        <v>Alta</v>
      </c>
      <c r="G208" s="7" t="str">
        <f t="shared" si="73"/>
        <v>CEH</v>
      </c>
      <c r="H208" s="7">
        <f t="shared" si="74"/>
        <v>6</v>
      </c>
      <c r="I208" s="116" t="str">
        <f t="shared" si="75"/>
        <v>H</v>
      </c>
      <c r="J208" s="7" t="str">
        <f t="shared" si="76"/>
        <v>CEI</v>
      </c>
      <c r="K208" s="125">
        <f t="shared" si="77"/>
        <v>6</v>
      </c>
      <c r="L208" s="125">
        <f>IF(NOT(ISERROR(VLOOKUP(B208,Deflatores!G$42:H$64,2,FALSE))),VLOOKUP(B208,Deflatores!G$42:H$64,2,FALSE),IF(OR(ISBLANK(C208),ISBLANK(B208)),"",VLOOKUP(C208,Deflatores!G$4:H$38,2,FALSE)*H208+VLOOKUP(C208,Deflatores!G$4:I$38,3,FALSE)))</f>
        <v>6</v>
      </c>
      <c r="M208" s="10"/>
      <c r="N208" s="10"/>
      <c r="O208" s="125"/>
    </row>
    <row r="209" spans="1:15">
      <c r="A209" s="139" t="s">
        <v>242</v>
      </c>
      <c r="B209" s="128" t="s">
        <v>44</v>
      </c>
      <c r="C209" s="4" t="s">
        <v>49</v>
      </c>
      <c r="D209" s="7">
        <v>3</v>
      </c>
      <c r="E209" s="7">
        <v>1</v>
      </c>
      <c r="F209" s="116" t="str">
        <f t="shared" si="72"/>
        <v>Baixa</v>
      </c>
      <c r="G209" s="7" t="str">
        <f t="shared" si="73"/>
        <v>CEL</v>
      </c>
      <c r="H209" s="7">
        <f t="shared" si="74"/>
        <v>3</v>
      </c>
      <c r="I209" s="116" t="str">
        <f t="shared" si="75"/>
        <v>L</v>
      </c>
      <c r="J209" s="7" t="str">
        <f t="shared" si="76"/>
        <v>CEI</v>
      </c>
      <c r="K209" s="125">
        <f t="shared" si="77"/>
        <v>3</v>
      </c>
      <c r="L209" s="125">
        <f>IF(NOT(ISERROR(VLOOKUP(B209,Deflatores!G$42:H$64,2,FALSE))),VLOOKUP(B209,Deflatores!G$42:H$64,2,FALSE),IF(OR(ISBLANK(C209),ISBLANK(B209)),"",VLOOKUP(C209,Deflatores!G$4:H$38,2,FALSE)*H209+VLOOKUP(C209,Deflatores!G$4:I$38,3,FALSE)))</f>
        <v>3</v>
      </c>
      <c r="M209" s="10"/>
      <c r="N209" s="10"/>
      <c r="O209" s="125"/>
    </row>
    <row r="210" spans="1:15">
      <c r="A210" s="137"/>
      <c r="B210" s="4"/>
      <c r="C210" s="4"/>
      <c r="D210" s="7"/>
      <c r="E210" s="7"/>
      <c r="F210" s="116" t="str">
        <f t="shared" si="72"/>
        <v/>
      </c>
      <c r="G210" s="7" t="str">
        <f t="shared" si="73"/>
        <v/>
      </c>
      <c r="H210" s="7" t="str">
        <f t="shared" si="74"/>
        <v/>
      </c>
      <c r="I210" s="116" t="str">
        <f t="shared" si="75"/>
        <v/>
      </c>
      <c r="J210" s="7" t="str">
        <f t="shared" si="76"/>
        <v/>
      </c>
      <c r="K210" s="125" t="str">
        <f t="shared" si="77"/>
        <v/>
      </c>
      <c r="L210" s="125" t="str">
        <f>IF(NOT(ISERROR(VLOOKUP(B210,Deflatores!G$42:H$64,2,FALSE))),VLOOKUP(B210,Deflatores!G$42:H$64,2,FALSE),IF(OR(ISBLANK(C210),ISBLANK(B210)),"",VLOOKUP(C210,Deflatores!G$4:H$38,2,FALSE)*H210+VLOOKUP(C210,Deflatores!G$4:I$38,3,FALSE)))</f>
        <v/>
      </c>
      <c r="M210" s="10"/>
      <c r="N210" s="10"/>
      <c r="O210" s="125"/>
    </row>
    <row r="211" spans="1:15">
      <c r="A211" s="137" t="s">
        <v>243</v>
      </c>
      <c r="B211" s="4"/>
      <c r="C211" s="4"/>
      <c r="D211" s="7"/>
      <c r="E211" s="7"/>
      <c r="F211" s="116" t="str">
        <f t="shared" si="72"/>
        <v/>
      </c>
      <c r="G211" s="7" t="str">
        <f t="shared" si="73"/>
        <v/>
      </c>
      <c r="H211" s="7" t="str">
        <f t="shared" si="74"/>
        <v/>
      </c>
      <c r="I211" s="116" t="str">
        <f t="shared" si="75"/>
        <v/>
      </c>
      <c r="J211" s="7" t="str">
        <f t="shared" si="76"/>
        <v/>
      </c>
      <c r="K211" s="125" t="str">
        <f t="shared" si="77"/>
        <v/>
      </c>
      <c r="L211" s="125" t="str">
        <f>IF(NOT(ISERROR(VLOOKUP(B211,Deflatores!G$42:H$64,2,FALSE))),VLOOKUP(B211,Deflatores!G$42:H$64,2,FALSE),IF(OR(ISBLANK(C211),ISBLANK(B211)),"",VLOOKUP(C211,Deflatores!G$4:H$38,2,FALSE)*H211+VLOOKUP(C211,Deflatores!G$4:I$38,3,FALSE)))</f>
        <v/>
      </c>
      <c r="M211" s="10"/>
      <c r="N211" s="10"/>
      <c r="O211" s="130"/>
    </row>
    <row r="212" spans="1:15">
      <c r="A212" s="138" t="s">
        <v>244</v>
      </c>
      <c r="B212" s="4" t="s">
        <v>63</v>
      </c>
      <c r="C212" s="4" t="s">
        <v>49</v>
      </c>
      <c r="D212" s="7">
        <v>9</v>
      </c>
      <c r="E212" s="7">
        <v>5</v>
      </c>
      <c r="F212" s="116" t="str">
        <f t="shared" si="72"/>
        <v>Alta</v>
      </c>
      <c r="G212" s="7" t="str">
        <f t="shared" si="73"/>
        <v>EEH</v>
      </c>
      <c r="H212" s="7">
        <f t="shared" si="74"/>
        <v>6</v>
      </c>
      <c r="I212" s="116" t="str">
        <f t="shared" si="75"/>
        <v>H</v>
      </c>
      <c r="J212" s="7" t="str">
        <f t="shared" si="76"/>
        <v>EEI</v>
      </c>
      <c r="K212" s="125">
        <f t="shared" si="77"/>
        <v>6</v>
      </c>
      <c r="L212" s="125">
        <f>IF(NOT(ISERROR(VLOOKUP(B212,Deflatores!G$42:H$64,2,FALSE))),VLOOKUP(B212,Deflatores!G$42:H$64,2,FALSE),IF(OR(ISBLANK(C212),ISBLANK(B212)),"",VLOOKUP(C212,Deflatores!G$4:H$38,2,FALSE)*H212+VLOOKUP(C212,Deflatores!G$4:I$38,3,FALSE)))</f>
        <v>6</v>
      </c>
      <c r="M212" s="10"/>
      <c r="N212" s="10"/>
      <c r="O212" s="125"/>
    </row>
    <row r="213" spans="1:15">
      <c r="A213" s="139" t="s">
        <v>245</v>
      </c>
      <c r="B213" s="4" t="s">
        <v>44</v>
      </c>
      <c r="C213" s="4" t="s">
        <v>49</v>
      </c>
      <c r="D213" s="7">
        <v>3</v>
      </c>
      <c r="E213" s="7">
        <v>1</v>
      </c>
      <c r="F213" s="116" t="str">
        <f t="shared" si="72"/>
        <v>Baixa</v>
      </c>
      <c r="G213" s="7" t="str">
        <f t="shared" si="73"/>
        <v>CEL</v>
      </c>
      <c r="H213" s="7">
        <f t="shared" si="74"/>
        <v>3</v>
      </c>
      <c r="I213" s="116" t="str">
        <f t="shared" si="75"/>
        <v>L</v>
      </c>
      <c r="J213" s="7" t="str">
        <f t="shared" si="76"/>
        <v>CEI</v>
      </c>
      <c r="K213" s="125">
        <f t="shared" si="77"/>
        <v>3</v>
      </c>
      <c r="L213" s="125">
        <f>IF(NOT(ISERROR(VLOOKUP(B213,Deflatores!G$42:H$64,2,FALSE))),VLOOKUP(B213,Deflatores!G$42:H$64,2,FALSE),IF(OR(ISBLANK(C213),ISBLANK(B213)),"",VLOOKUP(C213,Deflatores!G$4:H$38,2,FALSE)*H213+VLOOKUP(C213,Deflatores!G$4:I$38,3,FALSE)))</f>
        <v>3</v>
      </c>
      <c r="M213" s="10"/>
      <c r="N213" s="10"/>
      <c r="O213" s="125"/>
    </row>
    <row r="214" spans="1:15">
      <c r="A214" s="138" t="s">
        <v>241</v>
      </c>
      <c r="B214" s="4" t="s">
        <v>44</v>
      </c>
      <c r="C214" s="4" t="s">
        <v>49</v>
      </c>
      <c r="D214" s="7">
        <v>22</v>
      </c>
      <c r="E214" s="7">
        <v>5</v>
      </c>
      <c r="F214" s="116" t="str">
        <f t="shared" si="72"/>
        <v>Alta</v>
      </c>
      <c r="G214" s="7" t="str">
        <f t="shared" si="73"/>
        <v>CEH</v>
      </c>
      <c r="H214" s="7">
        <f t="shared" si="74"/>
        <v>6</v>
      </c>
      <c r="I214" s="116" t="str">
        <f t="shared" si="75"/>
        <v>H</v>
      </c>
      <c r="J214" s="7" t="str">
        <f t="shared" si="76"/>
        <v>CEI</v>
      </c>
      <c r="K214" s="125">
        <f t="shared" si="77"/>
        <v>6</v>
      </c>
      <c r="L214" s="125">
        <f>IF(NOT(ISERROR(VLOOKUP(B214,Deflatores!G$42:H$64,2,FALSE))),VLOOKUP(B214,Deflatores!G$42:H$64,2,FALSE),IF(OR(ISBLANK(C214),ISBLANK(B214)),"",VLOOKUP(C214,Deflatores!G$4:H$38,2,FALSE)*H214+VLOOKUP(C214,Deflatores!G$4:I$38,3,FALSE)))</f>
        <v>6</v>
      </c>
      <c r="M214" s="10"/>
      <c r="N214" s="10"/>
      <c r="O214" s="125"/>
    </row>
    <row r="215" spans="1:15">
      <c r="A215" s="138" t="s">
        <v>246</v>
      </c>
      <c r="B215" s="4" t="s">
        <v>44</v>
      </c>
      <c r="C215" s="4" t="s">
        <v>49</v>
      </c>
      <c r="D215" s="7">
        <v>19</v>
      </c>
      <c r="E215" s="7">
        <v>5</v>
      </c>
      <c r="F215" s="116" t="str">
        <f t="shared" si="72"/>
        <v>Alta</v>
      </c>
      <c r="G215" s="7" t="str">
        <f t="shared" si="73"/>
        <v>CEH</v>
      </c>
      <c r="H215" s="7">
        <f t="shared" si="74"/>
        <v>6</v>
      </c>
      <c r="I215" s="116" t="str">
        <f t="shared" si="75"/>
        <v>H</v>
      </c>
      <c r="J215" s="7" t="str">
        <f t="shared" si="76"/>
        <v>CEI</v>
      </c>
      <c r="K215" s="125">
        <f t="shared" si="77"/>
        <v>6</v>
      </c>
      <c r="L215" s="125">
        <f>IF(NOT(ISERROR(VLOOKUP(B215,Deflatores!G$42:H$64,2,FALSE))),VLOOKUP(B215,Deflatores!G$42:H$64,2,FALSE),IF(OR(ISBLANK(C215),ISBLANK(B215)),"",VLOOKUP(C215,Deflatores!G$4:H$38,2,FALSE)*H215+VLOOKUP(C215,Deflatores!G$4:I$38,3,FALSE)))</f>
        <v>6</v>
      </c>
      <c r="M215" s="10"/>
      <c r="N215" s="10"/>
      <c r="O215" s="125"/>
    </row>
    <row r="216" spans="1:15">
      <c r="A216" s="138" t="s">
        <v>247</v>
      </c>
      <c r="B216" s="4" t="s">
        <v>63</v>
      </c>
      <c r="C216" s="4" t="s">
        <v>49</v>
      </c>
      <c r="D216" s="7">
        <v>4</v>
      </c>
      <c r="E216" s="7">
        <v>3</v>
      </c>
      <c r="F216" s="116" t="str">
        <f t="shared" si="72"/>
        <v>Média</v>
      </c>
      <c r="G216" s="7" t="str">
        <f t="shared" si="73"/>
        <v>EEA</v>
      </c>
      <c r="H216" s="7">
        <f t="shared" si="74"/>
        <v>4</v>
      </c>
      <c r="I216" s="116" t="str">
        <f t="shared" si="75"/>
        <v>A</v>
      </c>
      <c r="J216" s="7" t="str">
        <f t="shared" si="76"/>
        <v>EEI</v>
      </c>
      <c r="K216" s="125">
        <f t="shared" si="77"/>
        <v>4</v>
      </c>
      <c r="L216" s="125">
        <f>IF(NOT(ISERROR(VLOOKUP(B216,Deflatores!G$42:H$64,2,FALSE))),VLOOKUP(B216,Deflatores!G$42:H$64,2,FALSE),IF(OR(ISBLANK(C216),ISBLANK(B216)),"",VLOOKUP(C216,Deflatores!G$4:H$38,2,FALSE)*H216+VLOOKUP(C216,Deflatores!G$4:I$38,3,FALSE)))</f>
        <v>4</v>
      </c>
      <c r="M216" s="10"/>
      <c r="N216" s="10"/>
      <c r="O216" s="125"/>
    </row>
    <row r="217" spans="1:15">
      <c r="A217" s="138" t="s">
        <v>248</v>
      </c>
      <c r="B217" s="4" t="s">
        <v>63</v>
      </c>
      <c r="C217" s="4" t="s">
        <v>49</v>
      </c>
      <c r="D217" s="7">
        <v>4</v>
      </c>
      <c r="E217" s="7">
        <v>3</v>
      </c>
      <c r="F217" s="116" t="str">
        <f t="shared" si="72"/>
        <v>Média</v>
      </c>
      <c r="G217" s="7" t="str">
        <f t="shared" si="73"/>
        <v>EEA</v>
      </c>
      <c r="H217" s="7">
        <f t="shared" si="74"/>
        <v>4</v>
      </c>
      <c r="I217" s="116" t="str">
        <f t="shared" si="75"/>
        <v>A</v>
      </c>
      <c r="J217" s="7" t="str">
        <f t="shared" si="76"/>
        <v>EEI</v>
      </c>
      <c r="K217" s="125">
        <f t="shared" si="77"/>
        <v>4</v>
      </c>
      <c r="L217" s="125">
        <f>IF(NOT(ISERROR(VLOOKUP(B217,Deflatores!G$42:H$64,2,FALSE))),VLOOKUP(B217,Deflatores!G$42:H$64,2,FALSE),IF(OR(ISBLANK(C217),ISBLANK(B217)),"",VLOOKUP(C217,Deflatores!G$4:H$38,2,FALSE)*H217+VLOOKUP(C217,Deflatores!G$4:I$38,3,FALSE)))</f>
        <v>4</v>
      </c>
      <c r="M217" s="10"/>
      <c r="N217" s="10"/>
      <c r="O217" s="125"/>
    </row>
    <row r="218" spans="1:15">
      <c r="A218" s="139" t="s">
        <v>249</v>
      </c>
      <c r="B218" s="4" t="s">
        <v>44</v>
      </c>
      <c r="C218" s="4" t="s">
        <v>49</v>
      </c>
      <c r="D218" s="7">
        <v>4</v>
      </c>
      <c r="E218" s="7">
        <v>3</v>
      </c>
      <c r="F218" s="116" t="str">
        <f t="shared" si="72"/>
        <v>Baixa</v>
      </c>
      <c r="G218" s="7" t="str">
        <f t="shared" si="73"/>
        <v>CEL</v>
      </c>
      <c r="H218" s="7">
        <f t="shared" si="74"/>
        <v>3</v>
      </c>
      <c r="I218" s="116" t="str">
        <f t="shared" si="75"/>
        <v>L</v>
      </c>
      <c r="J218" s="7" t="str">
        <f t="shared" si="76"/>
        <v>CEI</v>
      </c>
      <c r="K218" s="125">
        <f t="shared" si="77"/>
        <v>3</v>
      </c>
      <c r="L218" s="125">
        <f>IF(NOT(ISERROR(VLOOKUP(B218,Deflatores!G$42:H$64,2,FALSE))),VLOOKUP(B218,Deflatores!G$42:H$64,2,FALSE),IF(OR(ISBLANK(C218),ISBLANK(B218)),"",VLOOKUP(C218,Deflatores!G$4:H$38,2,FALSE)*H218+VLOOKUP(C218,Deflatores!G$4:I$38,3,FALSE)))</f>
        <v>3</v>
      </c>
      <c r="M218" s="10"/>
      <c r="N218" s="10"/>
      <c r="O218" s="125"/>
    </row>
    <row r="219" spans="1:15">
      <c r="A219" s="138" t="s">
        <v>250</v>
      </c>
      <c r="B219" s="4" t="s">
        <v>63</v>
      </c>
      <c r="C219" s="4" t="s">
        <v>49</v>
      </c>
      <c r="D219" s="7">
        <v>4</v>
      </c>
      <c r="E219" s="7">
        <v>3</v>
      </c>
      <c r="F219" s="116" t="str">
        <f t="shared" si="72"/>
        <v>Média</v>
      </c>
      <c r="G219" s="7" t="str">
        <f t="shared" si="73"/>
        <v>EEA</v>
      </c>
      <c r="H219" s="7">
        <f t="shared" si="74"/>
        <v>4</v>
      </c>
      <c r="I219" s="116" t="str">
        <f t="shared" si="75"/>
        <v>A</v>
      </c>
      <c r="J219" s="7" t="str">
        <f t="shared" si="76"/>
        <v>EEI</v>
      </c>
      <c r="K219" s="125">
        <f t="shared" si="77"/>
        <v>4</v>
      </c>
      <c r="L219" s="125">
        <f>IF(NOT(ISERROR(VLOOKUP(B219,Deflatores!G$42:H$64,2,FALSE))),VLOOKUP(B219,Deflatores!G$42:H$64,2,FALSE),IF(OR(ISBLANK(C219),ISBLANK(B219)),"",VLOOKUP(C219,Deflatores!G$4:H$38,2,FALSE)*H219+VLOOKUP(C219,Deflatores!G$4:I$38,3,FALSE)))</f>
        <v>4</v>
      </c>
      <c r="M219" s="10"/>
      <c r="N219" s="10"/>
      <c r="O219" s="125"/>
    </row>
    <row r="220" spans="1:15">
      <c r="A220" s="138" t="s">
        <v>251</v>
      </c>
      <c r="B220" s="4" t="s">
        <v>63</v>
      </c>
      <c r="C220" s="4" t="s">
        <v>49</v>
      </c>
      <c r="D220" s="7">
        <v>4</v>
      </c>
      <c r="E220" s="7">
        <v>3</v>
      </c>
      <c r="F220" s="116" t="str">
        <f t="shared" si="72"/>
        <v>Média</v>
      </c>
      <c r="G220" s="7" t="str">
        <f t="shared" si="73"/>
        <v>EEA</v>
      </c>
      <c r="H220" s="7">
        <f t="shared" si="74"/>
        <v>4</v>
      </c>
      <c r="I220" s="116" t="str">
        <f t="shared" si="75"/>
        <v>A</v>
      </c>
      <c r="J220" s="7" t="str">
        <f t="shared" si="76"/>
        <v>EEI</v>
      </c>
      <c r="K220" s="125">
        <f t="shared" si="77"/>
        <v>4</v>
      </c>
      <c r="L220" s="125">
        <f>IF(NOT(ISERROR(VLOOKUP(B220,Deflatores!G$42:H$64,2,FALSE))),VLOOKUP(B220,Deflatores!G$42:H$64,2,FALSE),IF(OR(ISBLANK(C220),ISBLANK(B220)),"",VLOOKUP(C220,Deflatores!G$4:H$38,2,FALSE)*H220+VLOOKUP(C220,Deflatores!G$4:I$38,3,FALSE)))</f>
        <v>4</v>
      </c>
      <c r="M220" s="10"/>
      <c r="N220" s="10"/>
      <c r="O220" s="125"/>
    </row>
    <row r="221" spans="1:15">
      <c r="A221" s="139" t="s">
        <v>252</v>
      </c>
      <c r="B221" s="4" t="s">
        <v>44</v>
      </c>
      <c r="C221" s="4" t="s">
        <v>49</v>
      </c>
      <c r="D221" s="7">
        <v>4</v>
      </c>
      <c r="E221" s="7">
        <v>3</v>
      </c>
      <c r="F221" s="116" t="str">
        <f t="shared" si="72"/>
        <v>Baixa</v>
      </c>
      <c r="G221" s="7" t="str">
        <f t="shared" si="73"/>
        <v>CEL</v>
      </c>
      <c r="H221" s="7">
        <f t="shared" si="74"/>
        <v>3</v>
      </c>
      <c r="I221" s="116" t="str">
        <f t="shared" si="75"/>
        <v>L</v>
      </c>
      <c r="J221" s="7" t="str">
        <f t="shared" si="76"/>
        <v>CEI</v>
      </c>
      <c r="K221" s="125">
        <f t="shared" si="77"/>
        <v>3</v>
      </c>
      <c r="L221" s="125">
        <f>IF(NOT(ISERROR(VLOOKUP(B221,Deflatores!G$42:H$64,2,FALSE))),VLOOKUP(B221,Deflatores!G$42:H$64,2,FALSE),IF(OR(ISBLANK(C221),ISBLANK(B221)),"",VLOOKUP(C221,Deflatores!G$4:H$38,2,FALSE)*H221+VLOOKUP(C221,Deflatores!G$4:I$38,3,FALSE)))</f>
        <v>3</v>
      </c>
      <c r="M221" s="10"/>
      <c r="N221" s="10"/>
      <c r="O221" s="125"/>
    </row>
    <row r="222" spans="1:15">
      <c r="A222" s="138" t="s">
        <v>211</v>
      </c>
      <c r="B222" s="4" t="s">
        <v>63</v>
      </c>
      <c r="C222" s="4" t="s">
        <v>49</v>
      </c>
      <c r="D222" s="7">
        <v>8</v>
      </c>
      <c r="E222" s="7">
        <v>3</v>
      </c>
      <c r="F222" s="116" t="str">
        <f t="shared" si="72"/>
        <v>Alta</v>
      </c>
      <c r="G222" s="7" t="str">
        <f t="shared" si="73"/>
        <v>EEH</v>
      </c>
      <c r="H222" s="7">
        <f t="shared" si="74"/>
        <v>6</v>
      </c>
      <c r="I222" s="116" t="str">
        <f t="shared" si="75"/>
        <v>H</v>
      </c>
      <c r="J222" s="7" t="str">
        <f t="shared" si="76"/>
        <v>EEI</v>
      </c>
      <c r="K222" s="125">
        <f t="shared" si="77"/>
        <v>6</v>
      </c>
      <c r="L222" s="125">
        <f>IF(NOT(ISERROR(VLOOKUP(B222,Deflatores!G$42:H$64,2,FALSE))),VLOOKUP(B222,Deflatores!G$42:H$64,2,FALSE),IF(OR(ISBLANK(C222),ISBLANK(B222)),"",VLOOKUP(C222,Deflatores!G$4:H$38,2,FALSE)*H222+VLOOKUP(C222,Deflatores!G$4:I$38,3,FALSE)))</f>
        <v>6</v>
      </c>
      <c r="M222" s="10"/>
      <c r="N222" s="10"/>
      <c r="O222" s="125"/>
    </row>
    <row r="223" spans="1:15">
      <c r="A223" s="139" t="s">
        <v>253</v>
      </c>
      <c r="B223" s="4" t="s">
        <v>44</v>
      </c>
      <c r="C223" s="4" t="s">
        <v>49</v>
      </c>
      <c r="D223" s="7">
        <v>3</v>
      </c>
      <c r="E223" s="7">
        <v>1</v>
      </c>
      <c r="F223" s="116" t="str">
        <f t="shared" si="72"/>
        <v>Baixa</v>
      </c>
      <c r="G223" s="7" t="str">
        <f t="shared" si="73"/>
        <v>CEL</v>
      </c>
      <c r="H223" s="7">
        <f t="shared" si="74"/>
        <v>3</v>
      </c>
      <c r="I223" s="116" t="str">
        <f t="shared" si="75"/>
        <v>L</v>
      </c>
      <c r="J223" s="7" t="str">
        <f t="shared" si="76"/>
        <v>CEI</v>
      </c>
      <c r="K223" s="125">
        <f t="shared" si="77"/>
        <v>3</v>
      </c>
      <c r="L223" s="125">
        <f>IF(NOT(ISERROR(VLOOKUP(B223,Deflatores!G$42:H$64,2,FALSE))),VLOOKUP(B223,Deflatores!G$42:H$64,2,FALSE),IF(OR(ISBLANK(C223),ISBLANK(B223)),"",VLOOKUP(C223,Deflatores!G$4:H$38,2,FALSE)*H223+VLOOKUP(C223,Deflatores!G$4:I$38,3,FALSE)))</f>
        <v>3</v>
      </c>
      <c r="M223" s="10"/>
      <c r="N223" s="10"/>
      <c r="O223" s="134"/>
    </row>
    <row r="224" spans="1:15">
      <c r="A224" s="139" t="s">
        <v>254</v>
      </c>
      <c r="B224" s="4" t="s">
        <v>44</v>
      </c>
      <c r="C224" s="4" t="s">
        <v>49</v>
      </c>
      <c r="D224" s="7">
        <v>4</v>
      </c>
      <c r="E224" s="7">
        <v>1</v>
      </c>
      <c r="F224" s="116" t="str">
        <f t="shared" si="72"/>
        <v>Baixa</v>
      </c>
      <c r="G224" s="7" t="str">
        <f t="shared" si="73"/>
        <v>CEL</v>
      </c>
      <c r="H224" s="7">
        <f t="shared" si="74"/>
        <v>3</v>
      </c>
      <c r="I224" s="116" t="str">
        <f t="shared" si="75"/>
        <v>L</v>
      </c>
      <c r="J224" s="7" t="str">
        <f t="shared" si="76"/>
        <v>CEI</v>
      </c>
      <c r="K224" s="125">
        <f t="shared" si="77"/>
        <v>3</v>
      </c>
      <c r="L224" s="125">
        <f>IF(NOT(ISERROR(VLOOKUP(B224,Deflatores!G$42:H$64,2,FALSE))),VLOOKUP(B224,Deflatores!G$42:H$64,2,FALSE),IF(OR(ISBLANK(C224),ISBLANK(B224)),"",VLOOKUP(C224,Deflatores!G$4:H$38,2,FALSE)*H224+VLOOKUP(C224,Deflatores!G$4:I$38,3,FALSE)))</f>
        <v>3</v>
      </c>
      <c r="M224" s="10"/>
      <c r="N224" s="10"/>
      <c r="O224" s="134"/>
    </row>
    <row r="225" spans="1:15">
      <c r="A225" s="139" t="s">
        <v>255</v>
      </c>
      <c r="B225" s="4" t="s">
        <v>44</v>
      </c>
      <c r="C225" s="4" t="s">
        <v>49</v>
      </c>
      <c r="D225" s="7">
        <v>4</v>
      </c>
      <c r="E225" s="7">
        <v>1</v>
      </c>
      <c r="F225" s="116" t="str">
        <f>IF(ISBLANK(B225),"",IF(I225="L","Baixa",IF(I225="A","Média",IF(I225="","","Alta"))))</f>
        <v>Baixa</v>
      </c>
      <c r="G225" s="7" t="str">
        <f>CONCATENATE(B225,I225)</f>
        <v>CEL</v>
      </c>
      <c r="H225" s="7">
        <f>IF(ISBLANK(B225),"",IF(B225="ALI",IF(I225="L",7,IF(I225="A",10,15)),IF(B225="AIE",IF(I225="L",5,IF(I225="A",7,10)),IF(B225="SE",IF(I225="L",4,IF(I225="A",5,7)),IF(OR(B225="EE",B225="CE"),IF(I225="L",3,IF(I225="A",4,6)),0)))))</f>
        <v>3</v>
      </c>
      <c r="I225" s="116" t="str">
        <f>IF(OR(ISBLANK(D225),ISBLANK(E225)),IF(OR(B225="ALI",B225="AIE"),"L",IF(OR(B225="EE",B225="SE",B225="CE"),"A","")),IF(B225="EE",IF(E225&gt;=3,IF(D225&gt;=5,"H","A"),IF(E225&gt;=2,IF(D225&gt;=16,"H",IF(D225&lt;=4,"L","A")),IF(D225&lt;=15,"L","A"))),IF(OR(B225="SE",B225="CE"),IF(E225&gt;=4,IF(D225&gt;=6,"H","A"),IF(E225&gt;=2,IF(D225&gt;=20,"H",IF(D225&lt;=5,"L","A")),IF(D225&lt;=19,"L","A"))),IF(OR(B225="ALI",B225="AIE"),IF(E225&gt;=6,IF(D225&gt;=20,"H","A"),IF(E225&gt;=2,IF(D225&gt;=51,"H",IF(D225&lt;=19,"L","A")),IF(D225&lt;=50,"L","A"))),""))))</f>
        <v>L</v>
      </c>
      <c r="J225" s="7" t="str">
        <f>CONCATENATE(B225,C225)</f>
        <v>CEI</v>
      </c>
      <c r="K225" s="125">
        <f>IF(OR(H225="",H225=0),L225,H225)</f>
        <v>3</v>
      </c>
      <c r="L225" s="125">
        <f>IF(NOT(ISERROR(VLOOKUP(B225,Deflatores!G$42:H$64,2,FALSE))),VLOOKUP(B225,Deflatores!G$42:H$64,2,FALSE),IF(OR(ISBLANK(C225),ISBLANK(B225)),"",VLOOKUP(C225,Deflatores!G$4:H$38,2,FALSE)*H225+VLOOKUP(C225,Deflatores!G$4:I$38,3,FALSE)))</f>
        <v>3</v>
      </c>
      <c r="M225" s="10"/>
      <c r="N225" s="10"/>
      <c r="O225" s="134"/>
    </row>
    <row r="226" spans="1:15">
      <c r="A226" s="139" t="s">
        <v>256</v>
      </c>
      <c r="B226" s="4" t="s">
        <v>44</v>
      </c>
      <c r="C226" s="4" t="s">
        <v>49</v>
      </c>
      <c r="D226" s="7">
        <v>4</v>
      </c>
      <c r="E226" s="7">
        <v>1</v>
      </c>
      <c r="F226" s="116" t="str">
        <f>IF(ISBLANK(B226),"",IF(I226="L","Baixa",IF(I226="A","Média",IF(I226="","","Alta"))))</f>
        <v>Baixa</v>
      </c>
      <c r="G226" s="7" t="str">
        <f>CONCATENATE(B226,I226)</f>
        <v>CEL</v>
      </c>
      <c r="H226" s="7">
        <f>IF(ISBLANK(B226),"",IF(B226="ALI",IF(I226="L",7,IF(I226="A",10,15)),IF(B226="AIE",IF(I226="L",5,IF(I226="A",7,10)),IF(B226="SE",IF(I226="L",4,IF(I226="A",5,7)),IF(OR(B226="EE",B226="CE"),IF(I226="L",3,IF(I226="A",4,6)),0)))))</f>
        <v>3</v>
      </c>
      <c r="I226" s="116" t="str">
        <f>IF(OR(ISBLANK(D226),ISBLANK(E226)),IF(OR(B226="ALI",B226="AIE"),"L",IF(OR(B226="EE",B226="SE",B226="CE"),"A","")),IF(B226="EE",IF(E226&gt;=3,IF(D226&gt;=5,"H","A"),IF(E226&gt;=2,IF(D226&gt;=16,"H",IF(D226&lt;=4,"L","A")),IF(D226&lt;=15,"L","A"))),IF(OR(B226="SE",B226="CE"),IF(E226&gt;=4,IF(D226&gt;=6,"H","A"),IF(E226&gt;=2,IF(D226&gt;=20,"H",IF(D226&lt;=5,"L","A")),IF(D226&lt;=19,"L","A"))),IF(OR(B226="ALI",B226="AIE"),IF(E226&gt;=6,IF(D226&gt;=20,"H","A"),IF(E226&gt;=2,IF(D226&gt;=51,"H",IF(D226&lt;=19,"L","A")),IF(D226&lt;=50,"L","A"))),""))))</f>
        <v>L</v>
      </c>
      <c r="J226" s="7" t="str">
        <f>CONCATENATE(B226,C226)</f>
        <v>CEI</v>
      </c>
      <c r="K226" s="125">
        <f>IF(OR(H226="",H226=0),L226,H226)</f>
        <v>3</v>
      </c>
      <c r="L226" s="125">
        <f>IF(NOT(ISERROR(VLOOKUP(B226,Deflatores!G$42:H$64,2,FALSE))),VLOOKUP(B226,Deflatores!G$42:H$64,2,FALSE),IF(OR(ISBLANK(C226),ISBLANK(B226)),"",VLOOKUP(C226,Deflatores!G$4:H$38,2,FALSE)*H226+VLOOKUP(C226,Deflatores!G$4:I$38,3,FALSE)))</f>
        <v>3</v>
      </c>
      <c r="M226" s="10"/>
      <c r="N226" s="10"/>
      <c r="O226" s="134"/>
    </row>
    <row r="227" spans="1:15">
      <c r="A227" s="138" t="s">
        <v>213</v>
      </c>
      <c r="B227" s="4" t="s">
        <v>63</v>
      </c>
      <c r="C227" s="4" t="s">
        <v>49</v>
      </c>
      <c r="D227" s="7">
        <v>8</v>
      </c>
      <c r="E227" s="7">
        <v>3</v>
      </c>
      <c r="F227" s="116" t="str">
        <f>IF(ISBLANK(B227),"",IF(I227="L","Baixa",IF(I227="A","Média",IF(I227="","","Alta"))))</f>
        <v>Alta</v>
      </c>
      <c r="G227" s="7" t="str">
        <f>CONCATENATE(B227,I227)</f>
        <v>EEH</v>
      </c>
      <c r="H227" s="7">
        <f>IF(ISBLANK(B227),"",IF(B227="ALI",IF(I227="L",7,IF(I227="A",10,15)),IF(B227="AIE",IF(I227="L",5,IF(I227="A",7,10)),IF(B227="SE",IF(I227="L",4,IF(I227="A",5,7)),IF(OR(B227="EE",B227="CE"),IF(I227="L",3,IF(I227="A",4,6)),0)))))</f>
        <v>6</v>
      </c>
      <c r="I227" s="116" t="str">
        <f>IF(OR(ISBLANK(D227),ISBLANK(E227)),IF(OR(B227="ALI",B227="AIE"),"L",IF(OR(B227="EE",B227="SE",B227="CE"),"A","")),IF(B227="EE",IF(E227&gt;=3,IF(D227&gt;=5,"H","A"),IF(E227&gt;=2,IF(D227&gt;=16,"H",IF(D227&lt;=4,"L","A")),IF(D227&lt;=15,"L","A"))),IF(OR(B227="SE",B227="CE"),IF(E227&gt;=4,IF(D227&gt;=6,"H","A"),IF(E227&gt;=2,IF(D227&gt;=20,"H",IF(D227&lt;=5,"L","A")),IF(D227&lt;=19,"L","A"))),IF(OR(B227="ALI",B227="AIE"),IF(E227&gt;=6,IF(D227&gt;=20,"H","A"),IF(E227&gt;=2,IF(D227&gt;=51,"H",IF(D227&lt;=19,"L","A")),IF(D227&lt;=50,"L","A"))),""))))</f>
        <v>H</v>
      </c>
      <c r="J227" s="7" t="str">
        <f>CONCATENATE(B227,C227)</f>
        <v>EEI</v>
      </c>
      <c r="K227" s="125">
        <f>IF(OR(H227="",H227=0),L227,H227)</f>
        <v>6</v>
      </c>
      <c r="L227" s="125">
        <f>IF(NOT(ISERROR(VLOOKUP(B227,Deflatores!G$42:H$64,2,FALSE))),VLOOKUP(B227,Deflatores!G$42:H$64,2,FALSE),IF(OR(ISBLANK(C227),ISBLANK(B227)),"",VLOOKUP(C227,Deflatores!G$4:H$38,2,FALSE)*H227+VLOOKUP(C227,Deflatores!G$4:I$38,3,FALSE)))</f>
        <v>6</v>
      </c>
      <c r="M227" s="10"/>
      <c r="N227" s="10"/>
      <c r="O227" s="125"/>
    </row>
    <row r="228" spans="1:15">
      <c r="A228" s="139" t="s">
        <v>214</v>
      </c>
      <c r="B228" s="4" t="s">
        <v>44</v>
      </c>
      <c r="C228" s="4" t="s">
        <v>49</v>
      </c>
      <c r="D228" s="7">
        <v>6</v>
      </c>
      <c r="E228" s="7">
        <v>3</v>
      </c>
      <c r="F228" s="116" t="str">
        <f t="shared" si="72"/>
        <v>Média</v>
      </c>
      <c r="G228" s="7" t="str">
        <f t="shared" si="73"/>
        <v>CEA</v>
      </c>
      <c r="H228" s="7">
        <f t="shared" si="74"/>
        <v>4</v>
      </c>
      <c r="I228" s="116" t="str">
        <f t="shared" si="75"/>
        <v>A</v>
      </c>
      <c r="J228" s="7" t="str">
        <f t="shared" si="76"/>
        <v>CEI</v>
      </c>
      <c r="K228" s="125">
        <f t="shared" si="77"/>
        <v>4</v>
      </c>
      <c r="L228" s="125">
        <f>IF(NOT(ISERROR(VLOOKUP(B228,Deflatores!G$42:H$64,2,FALSE))),VLOOKUP(B228,Deflatores!G$42:H$64,2,FALSE),IF(OR(ISBLANK(C228),ISBLANK(B228)),"",VLOOKUP(C228,Deflatores!G$4:H$38,2,FALSE)*H228+VLOOKUP(C228,Deflatores!G$4:I$38,3,FALSE)))</f>
        <v>4</v>
      </c>
      <c r="M228" s="10"/>
      <c r="N228" s="10"/>
      <c r="O228" s="125"/>
    </row>
    <row r="229" spans="1:15">
      <c r="A229" s="141"/>
      <c r="B229" s="4"/>
      <c r="C229" s="4"/>
      <c r="D229" s="7"/>
      <c r="E229" s="7"/>
      <c r="F229" s="116" t="str">
        <f t="shared" si="72"/>
        <v/>
      </c>
      <c r="G229" s="7" t="str">
        <f t="shared" si="73"/>
        <v/>
      </c>
      <c r="H229" s="7" t="str">
        <f t="shared" si="74"/>
        <v/>
      </c>
      <c r="I229" s="116" t="str">
        <f t="shared" si="75"/>
        <v/>
      </c>
      <c r="J229" s="7" t="str">
        <f t="shared" si="76"/>
        <v/>
      </c>
      <c r="K229" s="125" t="str">
        <f t="shared" si="77"/>
        <v/>
      </c>
      <c r="L229" s="125" t="str">
        <f>IF(NOT(ISERROR(VLOOKUP(B229,Deflatores!G$42:H$64,2,FALSE))),VLOOKUP(B229,Deflatores!G$42:H$64,2,FALSE),IF(OR(ISBLANK(C229),ISBLANK(B229)),"",VLOOKUP(C229,Deflatores!G$4:H$38,2,FALSE)*H229+VLOOKUP(C229,Deflatores!G$4:I$38,3,FALSE)))</f>
        <v/>
      </c>
      <c r="M229" s="10"/>
      <c r="N229" s="10"/>
      <c r="O229" s="6"/>
    </row>
    <row r="230" spans="1:15">
      <c r="A230" s="137" t="s">
        <v>257</v>
      </c>
      <c r="B230" s="4"/>
      <c r="C230" s="4"/>
      <c r="D230" s="7"/>
      <c r="E230" s="7"/>
      <c r="F230" s="116" t="str">
        <f t="shared" si="72"/>
        <v/>
      </c>
      <c r="G230" s="7" t="str">
        <f t="shared" si="73"/>
        <v/>
      </c>
      <c r="H230" s="7" t="str">
        <f t="shared" si="74"/>
        <v/>
      </c>
      <c r="I230" s="116" t="str">
        <f t="shared" si="75"/>
        <v/>
      </c>
      <c r="J230" s="7" t="str">
        <f t="shared" si="76"/>
        <v/>
      </c>
      <c r="K230" s="125" t="str">
        <f t="shared" si="77"/>
        <v/>
      </c>
      <c r="L230" s="125" t="str">
        <f>IF(NOT(ISERROR(VLOOKUP(B230,Deflatores!G$42:H$64,2,FALSE))),VLOOKUP(B230,Deflatores!G$42:H$64,2,FALSE),IF(OR(ISBLANK(C230),ISBLANK(B230)),"",VLOOKUP(C230,Deflatores!G$4:H$38,2,FALSE)*H230+VLOOKUP(C230,Deflatores!G$4:I$38,3,FALSE)))</f>
        <v/>
      </c>
      <c r="M230" s="10"/>
      <c r="N230" s="10"/>
      <c r="O230" s="135"/>
    </row>
    <row r="231" spans="1:15">
      <c r="A231" s="142" t="s">
        <v>258</v>
      </c>
      <c r="B231" s="4" t="s">
        <v>55</v>
      </c>
      <c r="C231" s="4" t="s">
        <v>49</v>
      </c>
      <c r="D231" s="7">
        <v>3</v>
      </c>
      <c r="E231" s="7">
        <v>1</v>
      </c>
      <c r="F231" s="116" t="str">
        <f>IF(ISBLANK(B231),"",IF(I231="L","Baixa",IF(I231="A","Média",IF(I231="","","Alta"))))</f>
        <v>Baixa</v>
      </c>
      <c r="G231" s="7" t="str">
        <f>CONCATENATE(B231,I231)</f>
        <v>ALIL</v>
      </c>
      <c r="H231" s="7">
        <f>IF(ISBLANK(B231),"",IF(B231="ALI",IF(I231="L",7,IF(I231="A",10,15)),IF(B231="AIE",IF(I231="L",5,IF(I231="A",7,10)),IF(B231="SE",IF(I231="L",4,IF(I231="A",5,7)),IF(OR(B231="EE",B231="CE"),IF(I231="L",3,IF(I231="A",4,6)),0)))))</f>
        <v>7</v>
      </c>
      <c r="I231" s="116" t="str">
        <f>IF(OR(ISBLANK(D231),ISBLANK(E231)),IF(OR(B231="ALI",B231="AIE"),"L",IF(OR(B231="EE",B231="SE",B231="CE"),"A","")),IF(B231="EE",IF(E231&gt;=3,IF(D231&gt;=5,"H","A"),IF(E231&gt;=2,IF(D231&gt;=16,"H",IF(D231&lt;=4,"L","A")),IF(D231&lt;=15,"L","A"))),IF(OR(B231="SE",B231="CE"),IF(E231&gt;=4,IF(D231&gt;=6,"H","A"),IF(E231&gt;=2,IF(D231&gt;=20,"H",IF(D231&lt;=5,"L","A")),IF(D231&lt;=19,"L","A"))),IF(OR(B231="ALI",B231="AIE"),IF(E231&gt;=6,IF(D231&gt;=20,"H","A"),IF(E231&gt;=2,IF(D231&gt;=51,"H",IF(D231&lt;=19,"L","A")),IF(D231&lt;=50,"L","A"))),""))))</f>
        <v>L</v>
      </c>
      <c r="J231" s="7" t="str">
        <f>CONCATENATE(B231,C231)</f>
        <v>ALII</v>
      </c>
      <c r="K231" s="125">
        <f>IF(OR(H231="",H231=0),L231,H231)</f>
        <v>7</v>
      </c>
      <c r="L231" s="125">
        <f>IF(NOT(ISERROR(VLOOKUP(B231,Deflatores!G$42:H$64,2,FALSE))),VLOOKUP(B231,Deflatores!G$42:H$64,2,FALSE),IF(OR(ISBLANK(C231),ISBLANK(B231)),"",VLOOKUP(C231,Deflatores!G$4:H$38,2,FALSE)*H231+VLOOKUP(C231,Deflatores!G$4:I$38,3,FALSE)))</f>
        <v>7</v>
      </c>
      <c r="M231" s="10"/>
      <c r="N231" s="10"/>
      <c r="O231" s="6"/>
    </row>
    <row r="232" spans="1:15">
      <c r="A232" s="142" t="s">
        <v>259</v>
      </c>
      <c r="B232" s="4" t="s">
        <v>44</v>
      </c>
      <c r="C232" s="4" t="s">
        <v>49</v>
      </c>
      <c r="D232" s="7">
        <v>10</v>
      </c>
      <c r="E232" s="7">
        <v>4</v>
      </c>
      <c r="F232" s="116" t="str">
        <f t="shared" ref="F232:F295" si="96">IF(ISBLANK(B232),"",IF(I232="L","Baixa",IF(I232="A","Média",IF(I232="","","Alta"))))</f>
        <v>Alta</v>
      </c>
      <c r="G232" s="7" t="str">
        <f t="shared" ref="G232:G295" si="97">CONCATENATE(B232,I232)</f>
        <v>CEH</v>
      </c>
      <c r="H232" s="7">
        <f t="shared" ref="H232:H295" si="98">IF(ISBLANK(B232),"",IF(B232="ALI",IF(I232="L",7,IF(I232="A",10,15)),IF(B232="AIE",IF(I232="L",5,IF(I232="A",7,10)),IF(B232="SE",IF(I232="L",4,IF(I232="A",5,7)),IF(OR(B232="EE",B232="CE"),IF(I232="L",3,IF(I232="A",4,6)),0)))))</f>
        <v>6</v>
      </c>
      <c r="I232" s="116" t="str">
        <f t="shared" ref="I232:I295" si="99">IF(OR(ISBLANK(D232),ISBLANK(E232)),IF(OR(B232="ALI",B232="AIE"),"L",IF(OR(B232="EE",B232="SE",B232="CE"),"A","")),IF(B232="EE",IF(E232&gt;=3,IF(D232&gt;=5,"H","A"),IF(E232&gt;=2,IF(D232&gt;=16,"H",IF(D232&lt;=4,"L","A")),IF(D232&lt;=15,"L","A"))),IF(OR(B232="SE",B232="CE"),IF(E232&gt;=4,IF(D232&gt;=6,"H","A"),IF(E232&gt;=2,IF(D232&gt;=20,"H",IF(D232&lt;=5,"L","A")),IF(D232&lt;=19,"L","A"))),IF(OR(B232="ALI",B232="AIE"),IF(E232&gt;=6,IF(D232&gt;=20,"H","A"),IF(E232&gt;=2,IF(D232&gt;=51,"H",IF(D232&lt;=19,"L","A")),IF(D232&lt;=50,"L","A"))),""))))</f>
        <v>H</v>
      </c>
      <c r="J232" s="7" t="str">
        <f t="shared" ref="J232:J295" si="100">CONCATENATE(B232,C232)</f>
        <v>CEI</v>
      </c>
      <c r="K232" s="125">
        <f t="shared" ref="K232:K295" si="101">IF(OR(H232="",H232=0),L232,H232)</f>
        <v>6</v>
      </c>
      <c r="L232" s="125">
        <f>IF(NOT(ISERROR(VLOOKUP(B232,Deflatores!G$42:H$64,2,FALSE))),VLOOKUP(B232,Deflatores!G$42:H$64,2,FALSE),IF(OR(ISBLANK(C232),ISBLANK(B232)),"",VLOOKUP(C232,Deflatores!G$4:H$38,2,FALSE)*H232+VLOOKUP(C232,Deflatores!G$4:I$38,3,FALSE)))</f>
        <v>6</v>
      </c>
      <c r="M232" s="10"/>
      <c r="N232" s="10"/>
      <c r="O232" s="6"/>
    </row>
    <row r="233" spans="1:15">
      <c r="A233" s="142" t="s">
        <v>260</v>
      </c>
      <c r="B233" s="4" t="s">
        <v>44</v>
      </c>
      <c r="C233" s="4" t="s">
        <v>49</v>
      </c>
      <c r="D233" s="7">
        <v>12</v>
      </c>
      <c r="E233" s="7">
        <v>5</v>
      </c>
      <c r="F233" s="116" t="str">
        <f t="shared" si="96"/>
        <v>Alta</v>
      </c>
      <c r="G233" s="7" t="str">
        <f t="shared" si="97"/>
        <v>CEH</v>
      </c>
      <c r="H233" s="7">
        <f t="shared" si="98"/>
        <v>6</v>
      </c>
      <c r="I233" s="116" t="str">
        <f t="shared" si="99"/>
        <v>H</v>
      </c>
      <c r="J233" s="7" t="str">
        <f t="shared" si="100"/>
        <v>CEI</v>
      </c>
      <c r="K233" s="125">
        <f t="shared" si="101"/>
        <v>6</v>
      </c>
      <c r="L233" s="125">
        <f>IF(NOT(ISERROR(VLOOKUP(B233,Deflatores!G$42:H$64,2,FALSE))),VLOOKUP(B233,Deflatores!G$42:H$64,2,FALSE),IF(OR(ISBLANK(C233),ISBLANK(B233)),"",VLOOKUP(C233,Deflatores!G$4:H$38,2,FALSE)*H233+VLOOKUP(C233,Deflatores!G$4:I$38,3,FALSE)))</f>
        <v>6</v>
      </c>
      <c r="M233" s="10"/>
      <c r="N233" s="10"/>
      <c r="O233" s="6"/>
    </row>
    <row r="234" spans="1:15">
      <c r="A234" s="142" t="s">
        <v>261</v>
      </c>
      <c r="B234" s="4" t="s">
        <v>44</v>
      </c>
      <c r="C234" s="4" t="s">
        <v>49</v>
      </c>
      <c r="D234" s="7">
        <v>14</v>
      </c>
      <c r="E234" s="7">
        <v>5</v>
      </c>
      <c r="F234" s="116" t="str">
        <f t="shared" si="96"/>
        <v>Alta</v>
      </c>
      <c r="G234" s="7" t="str">
        <f t="shared" si="97"/>
        <v>CEH</v>
      </c>
      <c r="H234" s="7">
        <f t="shared" si="98"/>
        <v>6</v>
      </c>
      <c r="I234" s="116" t="str">
        <f t="shared" si="99"/>
        <v>H</v>
      </c>
      <c r="J234" s="7" t="str">
        <f t="shared" si="100"/>
        <v>CEI</v>
      </c>
      <c r="K234" s="125">
        <f t="shared" si="101"/>
        <v>6</v>
      </c>
      <c r="L234" s="125">
        <f>IF(NOT(ISERROR(VLOOKUP(B234,Deflatores!G$42:H$64,2,FALSE))),VLOOKUP(B234,Deflatores!G$42:H$64,2,FALSE),IF(OR(ISBLANK(C234),ISBLANK(B234)),"",VLOOKUP(C234,Deflatores!G$4:H$38,2,FALSE)*H234+VLOOKUP(C234,Deflatores!G$4:I$38,3,FALSE)))</f>
        <v>6</v>
      </c>
      <c r="M234" s="10"/>
      <c r="N234" s="10"/>
      <c r="O234" s="6"/>
    </row>
    <row r="235" spans="1:15">
      <c r="A235" s="142" t="s">
        <v>262</v>
      </c>
      <c r="B235" s="4" t="s">
        <v>44</v>
      </c>
      <c r="C235" s="4" t="s">
        <v>49</v>
      </c>
      <c r="D235" s="7">
        <v>8</v>
      </c>
      <c r="E235" s="7">
        <v>2</v>
      </c>
      <c r="F235" s="116" t="str">
        <f t="shared" si="96"/>
        <v>Média</v>
      </c>
      <c r="G235" s="7" t="str">
        <f t="shared" si="97"/>
        <v>CEA</v>
      </c>
      <c r="H235" s="7">
        <f t="shared" si="98"/>
        <v>4</v>
      </c>
      <c r="I235" s="116" t="str">
        <f t="shared" si="99"/>
        <v>A</v>
      </c>
      <c r="J235" s="7" t="str">
        <f t="shared" si="100"/>
        <v>CEI</v>
      </c>
      <c r="K235" s="125">
        <f t="shared" si="101"/>
        <v>4</v>
      </c>
      <c r="L235" s="125">
        <f>IF(NOT(ISERROR(VLOOKUP(B235,Deflatores!G$42:H$64,2,FALSE))),VLOOKUP(B235,Deflatores!G$42:H$64,2,FALSE),IF(OR(ISBLANK(C235),ISBLANK(B235)),"",VLOOKUP(C235,Deflatores!G$4:H$38,2,FALSE)*H235+VLOOKUP(C235,Deflatores!G$4:I$38,3,FALSE)))</f>
        <v>4</v>
      </c>
      <c r="M235" s="10"/>
      <c r="N235" s="10"/>
      <c r="O235" s="6"/>
    </row>
    <row r="236" spans="1:15">
      <c r="A236" s="142" t="s">
        <v>263</v>
      </c>
      <c r="B236" s="4" t="s">
        <v>63</v>
      </c>
      <c r="C236" s="4" t="s">
        <v>49</v>
      </c>
      <c r="D236" s="7">
        <v>3</v>
      </c>
      <c r="E236" s="7">
        <v>1</v>
      </c>
      <c r="F236" s="116" t="str">
        <f t="shared" si="96"/>
        <v>Baixa</v>
      </c>
      <c r="G236" s="7" t="str">
        <f t="shared" si="97"/>
        <v>EEL</v>
      </c>
      <c r="H236" s="7">
        <f t="shared" si="98"/>
        <v>3</v>
      </c>
      <c r="I236" s="116" t="str">
        <f t="shared" si="99"/>
        <v>L</v>
      </c>
      <c r="J236" s="7" t="str">
        <f t="shared" si="100"/>
        <v>EEI</v>
      </c>
      <c r="K236" s="125">
        <f t="shared" si="101"/>
        <v>3</v>
      </c>
      <c r="L236" s="125">
        <f>IF(NOT(ISERROR(VLOOKUP(B236,Deflatores!G$42:H$64,2,FALSE))),VLOOKUP(B236,Deflatores!G$42:H$64,2,FALSE),IF(OR(ISBLANK(C236),ISBLANK(B236)),"",VLOOKUP(C236,Deflatores!G$4:H$38,2,FALSE)*H236+VLOOKUP(C236,Deflatores!G$4:I$38,3,FALSE)))</f>
        <v>3</v>
      </c>
      <c r="M236" s="10"/>
      <c r="N236" s="10"/>
      <c r="O236" s="6"/>
    </row>
    <row r="237" spans="1:15">
      <c r="A237" s="142" t="s">
        <v>264</v>
      </c>
      <c r="B237" s="4" t="s">
        <v>63</v>
      </c>
      <c r="C237" s="4" t="s">
        <v>49</v>
      </c>
      <c r="D237" s="7">
        <v>4</v>
      </c>
      <c r="E237" s="7">
        <v>1</v>
      </c>
      <c r="F237" s="116" t="str">
        <f t="shared" si="96"/>
        <v>Baixa</v>
      </c>
      <c r="G237" s="7" t="str">
        <f t="shared" si="97"/>
        <v>EEL</v>
      </c>
      <c r="H237" s="7">
        <f t="shared" si="98"/>
        <v>3</v>
      </c>
      <c r="I237" s="116" t="str">
        <f t="shared" si="99"/>
        <v>L</v>
      </c>
      <c r="J237" s="7" t="str">
        <f t="shared" si="100"/>
        <v>EEI</v>
      </c>
      <c r="K237" s="125">
        <f t="shared" si="101"/>
        <v>3</v>
      </c>
      <c r="L237" s="125">
        <f>IF(NOT(ISERROR(VLOOKUP(B237,Deflatores!G$42:H$64,2,FALSE))),VLOOKUP(B237,Deflatores!G$42:H$64,2,FALSE),IF(OR(ISBLANK(C237),ISBLANK(B237)),"",VLOOKUP(C237,Deflatores!G$4:H$38,2,FALSE)*H237+VLOOKUP(C237,Deflatores!G$4:I$38,3,FALSE)))</f>
        <v>3</v>
      </c>
      <c r="M237" s="10"/>
      <c r="N237" s="10"/>
      <c r="O237" s="6"/>
    </row>
    <row r="238" spans="1:15">
      <c r="A238" s="119"/>
      <c r="B238" s="4"/>
      <c r="C238" s="4"/>
      <c r="D238" s="7"/>
      <c r="E238" s="7"/>
      <c r="F238" s="116" t="str">
        <f>IF(ISBLANK(B238),"",IF(I238="L","Baixa",IF(I238="A","Média",IF(I238="","","Alta"))))</f>
        <v/>
      </c>
      <c r="G238" s="7" t="str">
        <f>CONCATENATE(B238,I238)</f>
        <v/>
      </c>
      <c r="H238" s="7" t="str">
        <f>IF(ISBLANK(B238),"",IF(B238="ALI",IF(I238="L",7,IF(I238="A",10,15)),IF(B238="AIE",IF(I238="L",5,IF(I238="A",7,10)),IF(B238="SE",IF(I238="L",4,IF(I238="A",5,7)),IF(OR(B238="EE",B238="CE"),IF(I238="L",3,IF(I238="A",4,6)),0)))))</f>
        <v/>
      </c>
      <c r="I238" s="116" t="str">
        <f>IF(OR(ISBLANK(D238),ISBLANK(E238)),IF(OR(B238="ALI",B238="AIE"),"L",IF(OR(B238="EE",B238="SE",B238="CE"),"A","")),IF(B238="EE",IF(E238&gt;=3,IF(D238&gt;=5,"H","A"),IF(E238&gt;=2,IF(D238&gt;=16,"H",IF(D238&lt;=4,"L","A")),IF(D238&lt;=15,"L","A"))),IF(OR(B238="SE",B238="CE"),IF(E238&gt;=4,IF(D238&gt;=6,"H","A"),IF(E238&gt;=2,IF(D238&gt;=20,"H",IF(D238&lt;=5,"L","A")),IF(D238&lt;=19,"L","A"))),IF(OR(B238="ALI",B238="AIE"),IF(E238&gt;=6,IF(D238&gt;=20,"H","A"),IF(E238&gt;=2,IF(D238&gt;=51,"H",IF(D238&lt;=19,"L","A")),IF(D238&lt;=50,"L","A"))),""))))</f>
        <v/>
      </c>
      <c r="J238" s="7" t="str">
        <f>CONCATENATE(B238,C238)</f>
        <v/>
      </c>
      <c r="K238" s="125" t="str">
        <f>IF(OR(H238="",H238=0),L238,H238)</f>
        <v/>
      </c>
      <c r="L238" s="125" t="str">
        <f>IF(NOT(ISERROR(VLOOKUP(B238,Deflatores!G$42:H$64,2,FALSE))),VLOOKUP(B238,Deflatores!G$42:H$64,2,FALSE),IF(OR(ISBLANK(C238),ISBLANK(B238)),"",VLOOKUP(C238,Deflatores!G$4:H$38,2,FALSE)*H238+VLOOKUP(C238,Deflatores!G$4:I$38,3,FALSE)))</f>
        <v/>
      </c>
      <c r="M238" s="10"/>
      <c r="N238" s="10"/>
      <c r="O238" s="6"/>
    </row>
    <row r="239" spans="1:15">
      <c r="A239" s="137" t="s">
        <v>265</v>
      </c>
      <c r="B239" s="4"/>
      <c r="C239" s="4"/>
      <c r="D239" s="7"/>
      <c r="E239" s="7"/>
      <c r="F239" s="116" t="str">
        <f>IF(ISBLANK(B239),"",IF(I239="L","Baixa",IF(I239="A","Média",IF(I239="","","Alta"))))</f>
        <v/>
      </c>
      <c r="G239" s="7" t="str">
        <f>CONCATENATE(B239,I239)</f>
        <v/>
      </c>
      <c r="H239" s="7" t="str">
        <f>IF(ISBLANK(B239),"",IF(B239="ALI",IF(I239="L",7,IF(I239="A",10,15)),IF(B239="AIE",IF(I239="L",5,IF(I239="A",7,10)),IF(B239="SE",IF(I239="L",4,IF(I239="A",5,7)),IF(OR(B239="EE",B239="CE"),IF(I239="L",3,IF(I239="A",4,6)),0)))))</f>
        <v/>
      </c>
      <c r="I239" s="116" t="str">
        <f>IF(OR(ISBLANK(D239),ISBLANK(E239)),IF(OR(B239="ALI",B239="AIE"),"L",IF(OR(B239="EE",B239="SE",B239="CE"),"A","")),IF(B239="EE",IF(E239&gt;=3,IF(D239&gt;=5,"H","A"),IF(E239&gt;=2,IF(D239&gt;=16,"H",IF(D239&lt;=4,"L","A")),IF(D239&lt;=15,"L","A"))),IF(OR(B239="SE",B239="CE"),IF(E239&gt;=4,IF(D239&gt;=6,"H","A"),IF(E239&gt;=2,IF(D239&gt;=20,"H",IF(D239&lt;=5,"L","A")),IF(D239&lt;=19,"L","A"))),IF(OR(B239="ALI",B239="AIE"),IF(E239&gt;=6,IF(D239&gt;=20,"H","A"),IF(E239&gt;=2,IF(D239&gt;=51,"H",IF(D239&lt;=19,"L","A")),IF(D239&lt;=50,"L","A"))),""))))</f>
        <v/>
      </c>
      <c r="J239" s="7" t="str">
        <f>CONCATENATE(B239,C239)</f>
        <v/>
      </c>
      <c r="K239" s="125" t="str">
        <f>IF(OR(H239="",H239=0),L239,H239)</f>
        <v/>
      </c>
      <c r="L239" s="125" t="str">
        <f>IF(NOT(ISERROR(VLOOKUP(B239,Deflatores!G$42:H$64,2,FALSE))),VLOOKUP(B239,Deflatores!G$42:H$64,2,FALSE),IF(OR(ISBLANK(C239),ISBLANK(B239)),"",VLOOKUP(C239,Deflatores!G$4:H$38,2,FALSE)*H239+VLOOKUP(C239,Deflatores!G$4:I$38,3,FALSE)))</f>
        <v/>
      </c>
      <c r="M239" s="10"/>
      <c r="N239" s="10"/>
      <c r="O239" s="135"/>
    </row>
    <row r="240" spans="1:15">
      <c r="A240" s="142" t="s">
        <v>266</v>
      </c>
      <c r="B240" s="4" t="s">
        <v>55</v>
      </c>
      <c r="C240" s="4" t="s">
        <v>49</v>
      </c>
      <c r="D240" s="7">
        <v>39</v>
      </c>
      <c r="E240" s="7">
        <v>6</v>
      </c>
      <c r="F240" s="116" t="str">
        <f>IF(ISBLANK(B240),"",IF(I240="L","Baixa",IF(I240="A","Média",IF(I240="","","Alta"))))</f>
        <v>Alta</v>
      </c>
      <c r="G240" s="7" t="str">
        <f>CONCATENATE(B240,I240)</f>
        <v>ALIH</v>
      </c>
      <c r="H240" s="7">
        <f>IF(ISBLANK(B240),"",IF(B240="ALI",IF(I240="L",7,IF(I240="A",10,15)),IF(B240="AIE",IF(I240="L",5,IF(I240="A",7,10)),IF(B240="SE",IF(I240="L",4,IF(I240="A",5,7)),IF(OR(B240="EE",B240="CE"),IF(I240="L",3,IF(I240="A",4,6)),0)))))</f>
        <v>15</v>
      </c>
      <c r="I240" s="116" t="str">
        <f>IF(OR(ISBLANK(D240),ISBLANK(E240)),IF(OR(B240="ALI",B240="AIE"),"L",IF(OR(B240="EE",B240="SE",B240="CE"),"A","")),IF(B240="EE",IF(E240&gt;=3,IF(D240&gt;=5,"H","A"),IF(E240&gt;=2,IF(D240&gt;=16,"H",IF(D240&lt;=4,"L","A")),IF(D240&lt;=15,"L","A"))),IF(OR(B240="SE",B240="CE"),IF(E240&gt;=4,IF(D240&gt;=6,"H","A"),IF(E240&gt;=2,IF(D240&gt;=20,"H",IF(D240&lt;=5,"L","A")),IF(D240&lt;=19,"L","A"))),IF(OR(B240="ALI",B240="AIE"),IF(E240&gt;=6,IF(D240&gt;=20,"H","A"),IF(E240&gt;=2,IF(D240&gt;=51,"H",IF(D240&lt;=19,"L","A")),IF(D240&lt;=50,"L","A"))),""))))</f>
        <v>H</v>
      </c>
      <c r="J240" s="7" t="str">
        <f>CONCATENATE(B240,C240)</f>
        <v>ALII</v>
      </c>
      <c r="K240" s="125">
        <f>IF(OR(H240="",H240=0),L240,H240)</f>
        <v>15</v>
      </c>
      <c r="L240" s="125">
        <f>IF(NOT(ISERROR(VLOOKUP(B240,Deflatores!G$42:H$64,2,FALSE))),VLOOKUP(B240,Deflatores!G$42:H$64,2,FALSE),IF(OR(ISBLANK(C240),ISBLANK(B240)),"",VLOOKUP(C240,Deflatores!G$4:H$38,2,FALSE)*H240+VLOOKUP(C240,Deflatores!G$4:I$38,3,FALSE)))</f>
        <v>15</v>
      </c>
      <c r="M240" s="10"/>
      <c r="N240" s="10"/>
      <c r="O240" s="135"/>
    </row>
    <row r="241" spans="1:15">
      <c r="A241" s="142" t="s">
        <v>267</v>
      </c>
      <c r="B241" s="4" t="s">
        <v>44</v>
      </c>
      <c r="C241" s="4" t="s">
        <v>49</v>
      </c>
      <c r="D241" s="7">
        <v>11</v>
      </c>
      <c r="E241" s="7">
        <v>4</v>
      </c>
      <c r="F241" s="116" t="str">
        <f>IF(ISBLANK(B241),"",IF(I241="L","Baixa",IF(I241="A","Média",IF(I241="","","Alta"))))</f>
        <v>Alta</v>
      </c>
      <c r="G241" s="7" t="str">
        <f>CONCATENATE(B241,I241)</f>
        <v>CEH</v>
      </c>
      <c r="H241" s="7">
        <f>IF(ISBLANK(B241),"",IF(B241="ALI",IF(I241="L",7,IF(I241="A",10,15)),IF(B241="AIE",IF(I241="L",5,IF(I241="A",7,10)),IF(B241="SE",IF(I241="L",4,IF(I241="A",5,7)),IF(OR(B241="EE",B241="CE"),IF(I241="L",3,IF(I241="A",4,6)),0)))))</f>
        <v>6</v>
      </c>
      <c r="I241" s="116" t="str">
        <f>IF(OR(ISBLANK(D241),ISBLANK(E241)),IF(OR(B241="ALI",B241="AIE"),"L",IF(OR(B241="EE",B241="SE",B241="CE"),"A","")),IF(B241="EE",IF(E241&gt;=3,IF(D241&gt;=5,"H","A"),IF(E241&gt;=2,IF(D241&gt;=16,"H",IF(D241&lt;=4,"L","A")),IF(D241&lt;=15,"L","A"))),IF(OR(B241="SE",B241="CE"),IF(E241&gt;=4,IF(D241&gt;=6,"H","A"),IF(E241&gt;=2,IF(D241&gt;=20,"H",IF(D241&lt;=5,"L","A")),IF(D241&lt;=19,"L","A"))),IF(OR(B241="ALI",B241="AIE"),IF(E241&gt;=6,IF(D241&gt;=20,"H","A"),IF(E241&gt;=2,IF(D241&gt;=51,"H",IF(D241&lt;=19,"L","A")),IF(D241&lt;=50,"L","A"))),""))))</f>
        <v>H</v>
      </c>
      <c r="J241" s="7" t="str">
        <f>CONCATENATE(B241,C241)</f>
        <v>CEI</v>
      </c>
      <c r="K241" s="125">
        <f>IF(OR(H241="",H241=0),L241,H241)</f>
        <v>6</v>
      </c>
      <c r="L241" s="125">
        <f>IF(NOT(ISERROR(VLOOKUP(B241,Deflatores!G$42:H$64,2,FALSE))),VLOOKUP(B241,Deflatores!G$42:H$64,2,FALSE),IF(OR(ISBLANK(C241),ISBLANK(B241)),"",VLOOKUP(C241,Deflatores!G$4:H$38,2,FALSE)*H241+VLOOKUP(C241,Deflatores!G$4:I$38,3,FALSE)))</f>
        <v>6</v>
      </c>
      <c r="M241" s="10"/>
      <c r="N241" s="10"/>
      <c r="O241" s="6"/>
    </row>
    <row r="242" spans="1:15">
      <c r="A242" s="139" t="s">
        <v>268</v>
      </c>
      <c r="B242" s="4" t="s">
        <v>44</v>
      </c>
      <c r="C242" s="4" t="s">
        <v>49</v>
      </c>
      <c r="D242" s="7">
        <v>3</v>
      </c>
      <c r="E242" s="7">
        <v>1</v>
      </c>
      <c r="F242" s="116" t="str">
        <f t="shared" ref="F242:F243" si="102">IF(ISBLANK(B242),"",IF(I242="L","Baixa",IF(I242="A","Média",IF(I242="","","Alta"))))</f>
        <v>Baixa</v>
      </c>
      <c r="G242" s="7" t="str">
        <f t="shared" ref="G242:G243" si="103">CONCATENATE(B242,I242)</f>
        <v>CEL</v>
      </c>
      <c r="H242" s="7">
        <f t="shared" ref="H242:H243" si="104">IF(ISBLANK(B242),"",IF(B242="ALI",IF(I242="L",7,IF(I242="A",10,15)),IF(B242="AIE",IF(I242="L",5,IF(I242="A",7,10)),IF(B242="SE",IF(I242="L",4,IF(I242="A",5,7)),IF(OR(B242="EE",B242="CE"),IF(I242="L",3,IF(I242="A",4,6)),0)))))</f>
        <v>3</v>
      </c>
      <c r="I242" s="116" t="str">
        <f t="shared" ref="I242:I243" si="105">IF(OR(ISBLANK(D242),ISBLANK(E242)),IF(OR(B242="ALI",B242="AIE"),"L",IF(OR(B242="EE",B242="SE",B242="CE"),"A","")),IF(B242="EE",IF(E242&gt;=3,IF(D242&gt;=5,"H","A"),IF(E242&gt;=2,IF(D242&gt;=16,"H",IF(D242&lt;=4,"L","A")),IF(D242&lt;=15,"L","A"))),IF(OR(B242="SE",B242="CE"),IF(E242&gt;=4,IF(D242&gt;=6,"H","A"),IF(E242&gt;=2,IF(D242&gt;=20,"H",IF(D242&lt;=5,"L","A")),IF(D242&lt;=19,"L","A"))),IF(OR(B242="ALI",B242="AIE"),IF(E242&gt;=6,IF(D242&gt;=20,"H","A"),IF(E242&gt;=2,IF(D242&gt;=51,"H",IF(D242&lt;=19,"L","A")),IF(D242&lt;=50,"L","A"))),""))))</f>
        <v>L</v>
      </c>
      <c r="J242" s="7" t="str">
        <f t="shared" ref="J242:J243" si="106">CONCATENATE(B242,C242)</f>
        <v>CEI</v>
      </c>
      <c r="K242" s="125">
        <f t="shared" ref="K242:K243" si="107">IF(OR(H242="",H242=0),L242,H242)</f>
        <v>3</v>
      </c>
      <c r="L242" s="125">
        <f>IF(NOT(ISERROR(VLOOKUP(B242,Deflatores!G$42:H$64,2,FALSE))),VLOOKUP(B242,Deflatores!G$42:H$64,2,FALSE),IF(OR(ISBLANK(C242),ISBLANK(B242)),"",VLOOKUP(C242,Deflatores!G$4:H$38,2,FALSE)*H242+VLOOKUP(C242,Deflatores!G$4:I$38,3,FALSE)))</f>
        <v>3</v>
      </c>
      <c r="M242" s="10"/>
      <c r="N242" s="10"/>
      <c r="O242" s="134"/>
    </row>
    <row r="243" spans="1:15">
      <c r="A243" s="139" t="s">
        <v>269</v>
      </c>
      <c r="B243" s="4" t="s">
        <v>44</v>
      </c>
      <c r="C243" s="4" t="s">
        <v>49</v>
      </c>
      <c r="D243" s="7">
        <v>3</v>
      </c>
      <c r="E243" s="7">
        <v>1</v>
      </c>
      <c r="F243" s="116" t="str">
        <f t="shared" si="102"/>
        <v>Baixa</v>
      </c>
      <c r="G243" s="7" t="str">
        <f t="shared" si="103"/>
        <v>CEL</v>
      </c>
      <c r="H243" s="7">
        <f t="shared" si="104"/>
        <v>3</v>
      </c>
      <c r="I243" s="116" t="str">
        <f t="shared" si="105"/>
        <v>L</v>
      </c>
      <c r="J243" s="7" t="str">
        <f t="shared" si="106"/>
        <v>CEI</v>
      </c>
      <c r="K243" s="125">
        <f t="shared" si="107"/>
        <v>3</v>
      </c>
      <c r="L243" s="125">
        <f>IF(NOT(ISERROR(VLOOKUP(B243,Deflatores!G$42:H$64,2,FALSE))),VLOOKUP(B243,Deflatores!G$42:H$64,2,FALSE),IF(OR(ISBLANK(C243),ISBLANK(B243)),"",VLOOKUP(C243,Deflatores!G$4:H$38,2,FALSE)*H243+VLOOKUP(C243,Deflatores!G$4:I$38,3,FALSE)))</f>
        <v>3</v>
      </c>
      <c r="M243" s="10"/>
      <c r="N243" s="10"/>
      <c r="O243" s="134"/>
    </row>
    <row r="244" spans="1:15">
      <c r="A244" s="142" t="s">
        <v>270</v>
      </c>
      <c r="B244" s="4" t="s">
        <v>63</v>
      </c>
      <c r="C244" s="4" t="s">
        <v>49</v>
      </c>
      <c r="D244" s="7">
        <v>11</v>
      </c>
      <c r="E244" s="7">
        <v>4</v>
      </c>
      <c r="F244" s="116" t="str">
        <f t="shared" si="96"/>
        <v>Alta</v>
      </c>
      <c r="G244" s="7" t="str">
        <f t="shared" si="97"/>
        <v>EEH</v>
      </c>
      <c r="H244" s="7">
        <f t="shared" si="98"/>
        <v>6</v>
      </c>
      <c r="I244" s="116" t="str">
        <f t="shared" si="99"/>
        <v>H</v>
      </c>
      <c r="J244" s="7" t="str">
        <f t="shared" si="100"/>
        <v>EEI</v>
      </c>
      <c r="K244" s="125">
        <f t="shared" si="101"/>
        <v>6</v>
      </c>
      <c r="L244" s="125">
        <f>IF(NOT(ISERROR(VLOOKUP(B244,Deflatores!G$42:H$64,2,FALSE))),VLOOKUP(B244,Deflatores!G$42:H$64,2,FALSE),IF(OR(ISBLANK(C244),ISBLANK(B244)),"",VLOOKUP(C244,Deflatores!G$4:H$38,2,FALSE)*H244+VLOOKUP(C244,Deflatores!G$4:I$38,3,FALSE)))</f>
        <v>6</v>
      </c>
      <c r="M244" s="10"/>
      <c r="N244" s="10"/>
      <c r="O244" s="6"/>
    </row>
    <row r="245" spans="1:15">
      <c r="A245" s="142" t="s">
        <v>271</v>
      </c>
      <c r="B245" s="4" t="s">
        <v>63</v>
      </c>
      <c r="C245" s="4" t="s">
        <v>49</v>
      </c>
      <c r="D245" s="7">
        <v>11</v>
      </c>
      <c r="E245" s="7">
        <v>4</v>
      </c>
      <c r="F245" s="116" t="str">
        <f t="shared" si="96"/>
        <v>Alta</v>
      </c>
      <c r="G245" s="7" t="str">
        <f t="shared" si="97"/>
        <v>EEH</v>
      </c>
      <c r="H245" s="7">
        <f t="shared" si="98"/>
        <v>6</v>
      </c>
      <c r="I245" s="116" t="str">
        <f t="shared" si="99"/>
        <v>H</v>
      </c>
      <c r="J245" s="7" t="str">
        <f t="shared" si="100"/>
        <v>EEI</v>
      </c>
      <c r="K245" s="125">
        <f t="shared" si="101"/>
        <v>6</v>
      </c>
      <c r="L245" s="125">
        <f>IF(NOT(ISERROR(VLOOKUP(B245,Deflatores!G$42:H$64,2,FALSE))),VLOOKUP(B245,Deflatores!G$42:H$64,2,FALSE),IF(OR(ISBLANK(C245),ISBLANK(B245)),"",VLOOKUP(C245,Deflatores!G$4:H$38,2,FALSE)*H245+VLOOKUP(C245,Deflatores!G$4:I$38,3,FALSE)))</f>
        <v>6</v>
      </c>
      <c r="M245" s="10"/>
      <c r="N245" s="10"/>
      <c r="O245" s="6"/>
    </row>
    <row r="246" spans="1:15">
      <c r="A246" s="143" t="s">
        <v>272</v>
      </c>
      <c r="B246" s="4" t="s">
        <v>44</v>
      </c>
      <c r="C246" s="4" t="s">
        <v>49</v>
      </c>
      <c r="D246" s="7">
        <v>21</v>
      </c>
      <c r="E246" s="7">
        <v>5</v>
      </c>
      <c r="F246" s="116" t="str">
        <f>IF(ISBLANK(B246),"",IF(I246="L","Baixa",IF(I246="A","Média",IF(I246="","","Alta"))))</f>
        <v>Alta</v>
      </c>
      <c r="G246" s="7" t="str">
        <f>CONCATENATE(B246,I246)</f>
        <v>CEH</v>
      </c>
      <c r="H246" s="7">
        <f>IF(ISBLANK(B246),"",IF(B246="ALI",IF(I246="L",7,IF(I246="A",10,15)),IF(B246="AIE",IF(I246="L",5,IF(I246="A",7,10)),IF(B246="SE",IF(I246="L",4,IF(I246="A",5,7)),IF(OR(B246="EE",B246="CE"),IF(I246="L",3,IF(I246="A",4,6)),0)))))</f>
        <v>6</v>
      </c>
      <c r="I246" s="116" t="str">
        <f>IF(OR(ISBLANK(D246),ISBLANK(E246)),IF(OR(B246="ALI",B246="AIE"),"L",IF(OR(B246="EE",B246="SE",B246="CE"),"A","")),IF(B246="EE",IF(E246&gt;=3,IF(D246&gt;=5,"H","A"),IF(E246&gt;=2,IF(D246&gt;=16,"H",IF(D246&lt;=4,"L","A")),IF(D246&lt;=15,"L","A"))),IF(OR(B246="SE",B246="CE"),IF(E246&gt;=4,IF(D246&gt;=6,"H","A"),IF(E246&gt;=2,IF(D246&gt;=20,"H",IF(D246&lt;=5,"L","A")),IF(D246&lt;=19,"L","A"))),IF(OR(B246="ALI",B246="AIE"),IF(E246&gt;=6,IF(D246&gt;=20,"H","A"),IF(E246&gt;=2,IF(D246&gt;=51,"H",IF(D246&lt;=19,"L","A")),IF(D246&lt;=50,"L","A"))),""))))</f>
        <v>H</v>
      </c>
      <c r="J246" s="7" t="str">
        <f>CONCATENATE(B246,C246)</f>
        <v>CEI</v>
      </c>
      <c r="K246" s="125">
        <f>IF(OR(H246="",H246=0),L246,H246)</f>
        <v>6</v>
      </c>
      <c r="L246" s="125">
        <f>IF(NOT(ISERROR(VLOOKUP(B246,Deflatores!G$42:H$64,2,FALSE))),VLOOKUP(B246,Deflatores!G$42:H$64,2,FALSE),IF(OR(ISBLANK(C246),ISBLANK(B246)),"",VLOOKUP(C246,Deflatores!G$4:H$38,2,FALSE)*H246+VLOOKUP(C246,Deflatores!G$4:I$38,3,FALSE)))</f>
        <v>6</v>
      </c>
      <c r="M246" s="10"/>
      <c r="N246" s="10"/>
      <c r="O246" s="6"/>
    </row>
    <row r="247" spans="1:15">
      <c r="A247" s="142" t="s">
        <v>273</v>
      </c>
      <c r="B247" s="4" t="s">
        <v>63</v>
      </c>
      <c r="C247" s="4" t="s">
        <v>49</v>
      </c>
      <c r="D247" s="7">
        <v>3</v>
      </c>
      <c r="E247" s="7">
        <v>1</v>
      </c>
      <c r="F247" s="116" t="str">
        <f>IF(ISBLANK(B247),"",IF(I247="L","Baixa",IF(I247="A","Média",IF(I247="","","Alta"))))</f>
        <v>Baixa</v>
      </c>
      <c r="G247" s="7" t="str">
        <f>CONCATENATE(B247,I247)</f>
        <v>EEL</v>
      </c>
      <c r="H247" s="7">
        <f>IF(ISBLANK(B247),"",IF(B247="ALI",IF(I247="L",7,IF(I247="A",10,15)),IF(B247="AIE",IF(I247="L",5,IF(I247="A",7,10)),IF(B247="SE",IF(I247="L",4,IF(I247="A",5,7)),IF(OR(B247="EE",B247="CE"),IF(I247="L",3,IF(I247="A",4,6)),0)))))</f>
        <v>3</v>
      </c>
      <c r="I247" s="116" t="str">
        <f>IF(OR(ISBLANK(D247),ISBLANK(E247)),IF(OR(B247="ALI",B247="AIE"),"L",IF(OR(B247="EE",B247="SE",B247="CE"),"A","")),IF(B247="EE",IF(E247&gt;=3,IF(D247&gt;=5,"H","A"),IF(E247&gt;=2,IF(D247&gt;=16,"H",IF(D247&lt;=4,"L","A")),IF(D247&lt;=15,"L","A"))),IF(OR(B247="SE",B247="CE"),IF(E247&gt;=4,IF(D247&gt;=6,"H","A"),IF(E247&gt;=2,IF(D247&gt;=20,"H",IF(D247&lt;=5,"L","A")),IF(D247&lt;=19,"L","A"))),IF(OR(B247="ALI",B247="AIE"),IF(E247&gt;=6,IF(D247&gt;=20,"H","A"),IF(E247&gt;=2,IF(D247&gt;=51,"H",IF(D247&lt;=19,"L","A")),IF(D247&lt;=50,"L","A"))),""))))</f>
        <v>L</v>
      </c>
      <c r="J247" s="7" t="str">
        <f>CONCATENATE(B247,C247)</f>
        <v>EEI</v>
      </c>
      <c r="K247" s="125">
        <f>IF(OR(H247="",H247=0),L247,H247)</f>
        <v>3</v>
      </c>
      <c r="L247" s="125">
        <f>IF(NOT(ISERROR(VLOOKUP(B247,Deflatores!G$42:H$64,2,FALSE))),VLOOKUP(B247,Deflatores!G$42:H$64,2,FALSE),IF(OR(ISBLANK(C247),ISBLANK(B247)),"",VLOOKUP(C247,Deflatores!G$4:H$38,2,FALSE)*H247+VLOOKUP(C247,Deflatores!G$4:I$38,3,FALSE)))</f>
        <v>3</v>
      </c>
      <c r="M247" s="10"/>
      <c r="N247" s="10"/>
      <c r="O247" s="6"/>
    </row>
    <row r="248" spans="1:15">
      <c r="A248" s="142" t="s">
        <v>274</v>
      </c>
      <c r="B248" s="4" t="s">
        <v>44</v>
      </c>
      <c r="C248" s="4" t="s">
        <v>49</v>
      </c>
      <c r="D248" s="7">
        <v>21</v>
      </c>
      <c r="E248" s="7">
        <v>5</v>
      </c>
      <c r="F248" s="116" t="str">
        <f>IF(ISBLANK(B248),"",IF(I248="L","Baixa",IF(I248="A","Média",IF(I248="","","Alta"))))</f>
        <v>Alta</v>
      </c>
      <c r="G248" s="7" t="str">
        <f>CONCATENATE(B248,I248)</f>
        <v>CEH</v>
      </c>
      <c r="H248" s="7">
        <f>IF(ISBLANK(B248),"",IF(B248="ALI",IF(I248="L",7,IF(I248="A",10,15)),IF(B248="AIE",IF(I248="L",5,IF(I248="A",7,10)),IF(B248="SE",IF(I248="L",4,IF(I248="A",5,7)),IF(OR(B248="EE",B248="CE"),IF(I248="L",3,IF(I248="A",4,6)),0)))))</f>
        <v>6</v>
      </c>
      <c r="I248" s="116" t="str">
        <f>IF(OR(ISBLANK(D248),ISBLANK(E248)),IF(OR(B248="ALI",B248="AIE"),"L",IF(OR(B248="EE",B248="SE",B248="CE"),"A","")),IF(B248="EE",IF(E248&gt;=3,IF(D248&gt;=5,"H","A"),IF(E248&gt;=2,IF(D248&gt;=16,"H",IF(D248&lt;=4,"L","A")),IF(D248&lt;=15,"L","A"))),IF(OR(B248="SE",B248="CE"),IF(E248&gt;=4,IF(D248&gt;=6,"H","A"),IF(E248&gt;=2,IF(D248&gt;=20,"H",IF(D248&lt;=5,"L","A")),IF(D248&lt;=19,"L","A"))),IF(OR(B248="ALI",B248="AIE"),IF(E248&gt;=6,IF(D248&gt;=20,"H","A"),IF(E248&gt;=2,IF(D248&gt;=51,"H",IF(D248&lt;=19,"L","A")),IF(D248&lt;=50,"L","A"))),""))))</f>
        <v>H</v>
      </c>
      <c r="J248" s="7" t="str">
        <f>CONCATENATE(B248,C248)</f>
        <v>CEI</v>
      </c>
      <c r="K248" s="125">
        <f>IF(OR(H248="",H248=0),L248,H248)</f>
        <v>6</v>
      </c>
      <c r="L248" s="125">
        <f>IF(NOT(ISERROR(VLOOKUP(B248,Deflatores!G$42:H$64,2,FALSE))),VLOOKUP(B248,Deflatores!G$42:H$64,2,FALSE),IF(OR(ISBLANK(C248),ISBLANK(B248)),"",VLOOKUP(C248,Deflatores!G$4:H$38,2,FALSE)*H248+VLOOKUP(C248,Deflatores!G$4:I$38,3,FALSE)))</f>
        <v>6</v>
      </c>
      <c r="M248" s="10"/>
      <c r="N248" s="10"/>
      <c r="O248" s="6"/>
    </row>
    <row r="249" spans="1:15">
      <c r="A249" s="142" t="s">
        <v>275</v>
      </c>
      <c r="B249" s="4" t="s">
        <v>63</v>
      </c>
      <c r="C249" s="4" t="s">
        <v>49</v>
      </c>
      <c r="D249" s="7">
        <v>3</v>
      </c>
      <c r="E249" s="7">
        <v>1</v>
      </c>
      <c r="F249" s="116" t="str">
        <f>IF(ISBLANK(B249),"",IF(I249="L","Baixa",IF(I249="A","Média",IF(I249="","","Alta"))))</f>
        <v>Baixa</v>
      </c>
      <c r="G249" s="7" t="str">
        <f>CONCATENATE(B249,I249)</f>
        <v>EEL</v>
      </c>
      <c r="H249" s="7">
        <f>IF(ISBLANK(B249),"",IF(B249="ALI",IF(I249="L",7,IF(I249="A",10,15)),IF(B249="AIE",IF(I249="L",5,IF(I249="A",7,10)),IF(B249="SE",IF(I249="L",4,IF(I249="A",5,7)),IF(OR(B249="EE",B249="CE"),IF(I249="L",3,IF(I249="A",4,6)),0)))))</f>
        <v>3</v>
      </c>
      <c r="I249" s="116" t="str">
        <f>IF(OR(ISBLANK(D249),ISBLANK(E249)),IF(OR(B249="ALI",B249="AIE"),"L",IF(OR(B249="EE",B249="SE",B249="CE"),"A","")),IF(B249="EE",IF(E249&gt;=3,IF(D249&gt;=5,"H","A"),IF(E249&gt;=2,IF(D249&gt;=16,"H",IF(D249&lt;=4,"L","A")),IF(D249&lt;=15,"L","A"))),IF(OR(B249="SE",B249="CE"),IF(E249&gt;=4,IF(D249&gt;=6,"H","A"),IF(E249&gt;=2,IF(D249&gt;=20,"H",IF(D249&lt;=5,"L","A")),IF(D249&lt;=19,"L","A"))),IF(OR(B249="ALI",B249="AIE"),IF(E249&gt;=6,IF(D249&gt;=20,"H","A"),IF(E249&gt;=2,IF(D249&gt;=51,"H",IF(D249&lt;=19,"L","A")),IF(D249&lt;=50,"L","A"))),""))))</f>
        <v>L</v>
      </c>
      <c r="J249" s="7" t="str">
        <f>CONCATENATE(B249,C249)</f>
        <v>EEI</v>
      </c>
      <c r="K249" s="125">
        <f>IF(OR(H249="",H249=0),L249,H249)</f>
        <v>3</v>
      </c>
      <c r="L249" s="125">
        <f>IF(NOT(ISERROR(VLOOKUP(B249,Deflatores!G$42:H$64,2,FALSE))),VLOOKUP(B249,Deflatores!G$42:H$64,2,FALSE),IF(OR(ISBLANK(C249),ISBLANK(B249)),"",VLOOKUP(C249,Deflatores!G$4:H$38,2,FALSE)*H249+VLOOKUP(C249,Deflatores!G$4:I$38,3,FALSE)))</f>
        <v>3</v>
      </c>
      <c r="M249" s="10"/>
      <c r="N249" s="10"/>
      <c r="O249" s="6"/>
    </row>
    <row r="250" spans="1:15">
      <c r="A250" s="144"/>
      <c r="B250" s="4"/>
      <c r="C250" s="4"/>
      <c r="D250" s="7"/>
      <c r="E250" s="7"/>
      <c r="F250" s="116" t="str">
        <f>IF(ISBLANK(B250),"",IF(I250="L","Baixa",IF(I250="A","Média",IF(I250="","","Alta"))))</f>
        <v/>
      </c>
      <c r="G250" s="7" t="str">
        <f>CONCATENATE(B250,I250)</f>
        <v/>
      </c>
      <c r="H250" s="7" t="str">
        <f>IF(ISBLANK(B250),"",IF(B250="ALI",IF(I250="L",7,IF(I250="A",10,15)),IF(B250="AIE",IF(I250="L",5,IF(I250="A",7,10)),IF(B250="SE",IF(I250="L",4,IF(I250="A",5,7)),IF(OR(B250="EE",B250="CE"),IF(I250="L",3,IF(I250="A",4,6)),0)))))</f>
        <v/>
      </c>
      <c r="I250" s="116" t="str">
        <f>IF(OR(ISBLANK(D250),ISBLANK(E250)),IF(OR(B250="ALI",B250="AIE"),"L",IF(OR(B250="EE",B250="SE",B250="CE"),"A","")),IF(B250="EE",IF(E250&gt;=3,IF(D250&gt;=5,"H","A"),IF(E250&gt;=2,IF(D250&gt;=16,"H",IF(D250&lt;=4,"L","A")),IF(D250&lt;=15,"L","A"))),IF(OR(B250="SE",B250="CE"),IF(E250&gt;=4,IF(D250&gt;=6,"H","A"),IF(E250&gt;=2,IF(D250&gt;=20,"H",IF(D250&lt;=5,"L","A")),IF(D250&lt;=19,"L","A"))),IF(OR(B250="ALI",B250="AIE"),IF(E250&gt;=6,IF(D250&gt;=20,"H","A"),IF(E250&gt;=2,IF(D250&gt;=51,"H",IF(D250&lt;=19,"L","A")),IF(D250&lt;=50,"L","A"))),""))))</f>
        <v/>
      </c>
      <c r="J250" s="7" t="str">
        <f>CONCATENATE(B250,C250)</f>
        <v/>
      </c>
      <c r="K250" s="125" t="str">
        <f>IF(OR(H250="",H250=0),L250,H250)</f>
        <v/>
      </c>
      <c r="L250" s="125" t="str">
        <f>IF(NOT(ISERROR(VLOOKUP(B250,Deflatores!G$42:H$64,2,FALSE))),VLOOKUP(B250,Deflatores!G$42:H$64,2,FALSE),IF(OR(ISBLANK(C250),ISBLANK(B250)),"",VLOOKUP(C250,Deflatores!G$4:H$38,2,FALSE)*H250+VLOOKUP(C250,Deflatores!G$4:I$38,3,FALSE)))</f>
        <v/>
      </c>
      <c r="M250" s="10"/>
      <c r="N250" s="10"/>
      <c r="O250" s="6"/>
    </row>
    <row r="251" spans="1:15">
      <c r="A251" s="137" t="s">
        <v>276</v>
      </c>
      <c r="B251" s="4"/>
      <c r="C251" s="4"/>
      <c r="D251" s="7"/>
      <c r="E251" s="7"/>
      <c r="F251" s="116" t="str">
        <f t="shared" si="96"/>
        <v/>
      </c>
      <c r="G251" s="7" t="str">
        <f t="shared" si="97"/>
        <v/>
      </c>
      <c r="H251" s="7" t="str">
        <f t="shared" si="98"/>
        <v/>
      </c>
      <c r="I251" s="116" t="str">
        <f t="shared" si="99"/>
        <v/>
      </c>
      <c r="J251" s="7" t="str">
        <f t="shared" si="100"/>
        <v/>
      </c>
      <c r="K251" s="125" t="str">
        <f t="shared" si="101"/>
        <v/>
      </c>
      <c r="L251" s="125" t="str">
        <f>IF(NOT(ISERROR(VLOOKUP(B251,Deflatores!G$42:H$64,2,FALSE))),VLOOKUP(B251,Deflatores!G$42:H$64,2,FALSE),IF(OR(ISBLANK(C251),ISBLANK(B251)),"",VLOOKUP(C251,Deflatores!G$4:H$38,2,FALSE)*H251+VLOOKUP(C251,Deflatores!G$4:I$38,3,FALSE)))</f>
        <v/>
      </c>
      <c r="M251" s="10"/>
      <c r="N251" s="10"/>
      <c r="O251" s="6"/>
    </row>
    <row r="252" spans="1:15">
      <c r="A252" s="142" t="s">
        <v>277</v>
      </c>
      <c r="B252" s="4" t="s">
        <v>44</v>
      </c>
      <c r="C252" s="4" t="s">
        <v>49</v>
      </c>
      <c r="D252" s="7">
        <v>11</v>
      </c>
      <c r="E252" s="7">
        <v>5</v>
      </c>
      <c r="F252" s="116" t="str">
        <f t="shared" si="96"/>
        <v>Alta</v>
      </c>
      <c r="G252" s="7" t="str">
        <f t="shared" si="97"/>
        <v>CEH</v>
      </c>
      <c r="H252" s="7">
        <f t="shared" si="98"/>
        <v>6</v>
      </c>
      <c r="I252" s="116" t="str">
        <f t="shared" si="99"/>
        <v>H</v>
      </c>
      <c r="J252" s="7" t="str">
        <f t="shared" si="100"/>
        <v>CEI</v>
      </c>
      <c r="K252" s="125">
        <f t="shared" si="101"/>
        <v>6</v>
      </c>
      <c r="L252" s="125">
        <f>IF(NOT(ISERROR(VLOOKUP(B252,Deflatores!G$42:H$64,2,FALSE))),VLOOKUP(B252,Deflatores!G$42:H$64,2,FALSE),IF(OR(ISBLANK(C252),ISBLANK(B252)),"",VLOOKUP(C252,Deflatores!G$4:H$38,2,FALSE)*H252+VLOOKUP(C252,Deflatores!G$4:I$38,3,FALSE)))</f>
        <v>6</v>
      </c>
      <c r="M252" s="10"/>
      <c r="N252" s="10"/>
      <c r="O252" s="6"/>
    </row>
    <row r="253" spans="1:15">
      <c r="A253" s="119"/>
      <c r="B253" s="4"/>
      <c r="C253" s="4"/>
      <c r="D253" s="7"/>
      <c r="E253" s="7"/>
      <c r="F253" s="116" t="str">
        <f t="shared" si="96"/>
        <v/>
      </c>
      <c r="G253" s="7" t="str">
        <f t="shared" si="97"/>
        <v/>
      </c>
      <c r="H253" s="7" t="str">
        <f t="shared" si="98"/>
        <v/>
      </c>
      <c r="I253" s="116" t="str">
        <f t="shared" si="99"/>
        <v/>
      </c>
      <c r="J253" s="7" t="str">
        <f t="shared" si="100"/>
        <v/>
      </c>
      <c r="K253" s="125" t="str">
        <f t="shared" si="101"/>
        <v/>
      </c>
      <c r="L253" s="125" t="str">
        <f>IF(NOT(ISERROR(VLOOKUP(B253,Deflatores!G$42:H$64,2,FALSE))),VLOOKUP(B253,Deflatores!G$42:H$64,2,FALSE),IF(OR(ISBLANK(C253),ISBLANK(B253)),"",VLOOKUP(C253,Deflatores!G$4:H$38,2,FALSE)*H253+VLOOKUP(C253,Deflatores!G$4:I$38,3,FALSE)))</f>
        <v/>
      </c>
      <c r="M253" s="10"/>
      <c r="N253" s="10"/>
      <c r="O253" s="6"/>
    </row>
    <row r="254" spans="1:15">
      <c r="A254" s="137" t="s">
        <v>278</v>
      </c>
      <c r="B254" s="4"/>
      <c r="C254" s="4"/>
      <c r="D254" s="7"/>
      <c r="E254" s="7"/>
      <c r="F254" s="116" t="str">
        <f t="shared" si="96"/>
        <v/>
      </c>
      <c r="G254" s="7" t="str">
        <f t="shared" si="97"/>
        <v/>
      </c>
      <c r="H254" s="7" t="str">
        <f t="shared" si="98"/>
        <v/>
      </c>
      <c r="I254" s="116" t="str">
        <f t="shared" si="99"/>
        <v/>
      </c>
      <c r="J254" s="7" t="str">
        <f t="shared" si="100"/>
        <v/>
      </c>
      <c r="K254" s="125" t="str">
        <f t="shared" si="101"/>
        <v/>
      </c>
      <c r="L254" s="125" t="str">
        <f>IF(NOT(ISERROR(VLOOKUP(B254,Deflatores!G$42:H$64,2,FALSE))),VLOOKUP(B254,Deflatores!G$42:H$64,2,FALSE),IF(OR(ISBLANK(C254),ISBLANK(B254)),"",VLOOKUP(C254,Deflatores!G$4:H$38,2,FALSE)*H254+VLOOKUP(C254,Deflatores!G$4:I$38,3,FALSE)))</f>
        <v/>
      </c>
      <c r="M254" s="10"/>
      <c r="N254" s="10"/>
      <c r="O254" s="135"/>
    </row>
    <row r="255" spans="1:15">
      <c r="A255" s="119" t="s">
        <v>279</v>
      </c>
      <c r="B255" s="4" t="s">
        <v>44</v>
      </c>
      <c r="C255" s="4" t="s">
        <v>49</v>
      </c>
      <c r="D255" s="7">
        <v>7</v>
      </c>
      <c r="E255" s="7">
        <v>2</v>
      </c>
      <c r="F255" s="116" t="str">
        <f t="shared" si="96"/>
        <v>Média</v>
      </c>
      <c r="G255" s="7" t="str">
        <f t="shared" si="97"/>
        <v>CEA</v>
      </c>
      <c r="H255" s="7">
        <f t="shared" si="98"/>
        <v>4</v>
      </c>
      <c r="I255" s="116" t="str">
        <f t="shared" si="99"/>
        <v>A</v>
      </c>
      <c r="J255" s="7" t="str">
        <f t="shared" si="100"/>
        <v>CEI</v>
      </c>
      <c r="K255" s="125">
        <f t="shared" si="101"/>
        <v>4</v>
      </c>
      <c r="L255" s="125">
        <f>IF(NOT(ISERROR(VLOOKUP(B255,Deflatores!G$42:H$64,2,FALSE))),VLOOKUP(B255,Deflatores!G$42:H$64,2,FALSE),IF(OR(ISBLANK(C255),ISBLANK(B255)),"",VLOOKUP(C255,Deflatores!G$4:H$38,2,FALSE)*H255+VLOOKUP(C255,Deflatores!G$4:I$38,3,FALSE)))</f>
        <v>4</v>
      </c>
      <c r="M255" s="10"/>
      <c r="N255" s="10"/>
      <c r="O255" s="6"/>
    </row>
    <row r="256" spans="1:15">
      <c r="A256" s="119" t="s">
        <v>280</v>
      </c>
      <c r="B256" s="4" t="s">
        <v>63</v>
      </c>
      <c r="C256" s="4" t="s">
        <v>49</v>
      </c>
      <c r="D256" s="7">
        <v>11</v>
      </c>
      <c r="E256" s="7">
        <v>5</v>
      </c>
      <c r="F256" s="116" t="str">
        <f t="shared" si="96"/>
        <v>Alta</v>
      </c>
      <c r="G256" s="7" t="str">
        <f t="shared" si="97"/>
        <v>EEH</v>
      </c>
      <c r="H256" s="7">
        <f t="shared" si="98"/>
        <v>6</v>
      </c>
      <c r="I256" s="116" t="str">
        <f t="shared" si="99"/>
        <v>H</v>
      </c>
      <c r="J256" s="7" t="str">
        <f t="shared" si="100"/>
        <v>EEI</v>
      </c>
      <c r="K256" s="125">
        <f t="shared" si="101"/>
        <v>6</v>
      </c>
      <c r="L256" s="125">
        <f>IF(NOT(ISERROR(VLOOKUP(B256,Deflatores!G$42:H$64,2,FALSE))),VLOOKUP(B256,Deflatores!G$42:H$64,2,FALSE),IF(OR(ISBLANK(C256),ISBLANK(B256)),"",VLOOKUP(C256,Deflatores!G$4:H$38,2,FALSE)*H256+VLOOKUP(C256,Deflatores!G$4:I$38,3,FALSE)))</f>
        <v>6</v>
      </c>
      <c r="M256" s="10"/>
      <c r="N256" s="10"/>
      <c r="O256" s="6"/>
    </row>
    <row r="257" spans="1:15">
      <c r="A257" s="139" t="s">
        <v>281</v>
      </c>
      <c r="B257" s="4" t="s">
        <v>44</v>
      </c>
      <c r="C257" s="4" t="s">
        <v>49</v>
      </c>
      <c r="D257" s="7">
        <v>2</v>
      </c>
      <c r="E257" s="7">
        <v>2</v>
      </c>
      <c r="F257" s="116" t="str">
        <f t="shared" si="96"/>
        <v>Baixa</v>
      </c>
      <c r="G257" s="7" t="str">
        <f t="shared" si="97"/>
        <v>CEL</v>
      </c>
      <c r="H257" s="7">
        <f t="shared" si="98"/>
        <v>3</v>
      </c>
      <c r="I257" s="116" t="str">
        <f t="shared" si="99"/>
        <v>L</v>
      </c>
      <c r="J257" s="7" t="str">
        <f t="shared" si="100"/>
        <v>CEI</v>
      </c>
      <c r="K257" s="125">
        <f t="shared" si="101"/>
        <v>3</v>
      </c>
      <c r="L257" s="125">
        <f>IF(NOT(ISERROR(VLOOKUP(B257,Deflatores!G$42:H$64,2,FALSE))),VLOOKUP(B257,Deflatores!G$42:H$64,2,FALSE),IF(OR(ISBLANK(C257),ISBLANK(B257)),"",VLOOKUP(C257,Deflatores!G$4:H$38,2,FALSE)*H257+VLOOKUP(C257,Deflatores!G$4:I$38,3,FALSE)))</f>
        <v>3</v>
      </c>
      <c r="M257" s="10"/>
      <c r="N257" s="10"/>
      <c r="O257" s="134"/>
    </row>
    <row r="258" spans="1:15">
      <c r="A258" s="119" t="s">
        <v>282</v>
      </c>
      <c r="B258" s="4" t="s">
        <v>63</v>
      </c>
      <c r="C258" s="4" t="s">
        <v>49</v>
      </c>
      <c r="D258" s="7">
        <v>11</v>
      </c>
      <c r="E258" s="7">
        <v>5</v>
      </c>
      <c r="F258" s="116" t="str">
        <f t="shared" si="96"/>
        <v>Alta</v>
      </c>
      <c r="G258" s="7" t="str">
        <f t="shared" si="97"/>
        <v>EEH</v>
      </c>
      <c r="H258" s="7">
        <f t="shared" si="98"/>
        <v>6</v>
      </c>
      <c r="I258" s="116" t="str">
        <f t="shared" si="99"/>
        <v>H</v>
      </c>
      <c r="J258" s="7" t="str">
        <f t="shared" si="100"/>
        <v>EEI</v>
      </c>
      <c r="K258" s="125">
        <f t="shared" si="101"/>
        <v>6</v>
      </c>
      <c r="L258" s="125">
        <f>IF(NOT(ISERROR(VLOOKUP(B258,Deflatores!G$42:H$64,2,FALSE))),VLOOKUP(B258,Deflatores!G$42:H$64,2,FALSE),IF(OR(ISBLANK(C258),ISBLANK(B258)),"",VLOOKUP(C258,Deflatores!G$4:H$38,2,FALSE)*H258+VLOOKUP(C258,Deflatores!G$4:I$38,3,FALSE)))</f>
        <v>6</v>
      </c>
      <c r="M258" s="10"/>
      <c r="N258" s="10"/>
      <c r="O258" s="6"/>
    </row>
    <row r="259" spans="1:15">
      <c r="A259" s="142" t="s">
        <v>283</v>
      </c>
      <c r="B259" s="4" t="s">
        <v>44</v>
      </c>
      <c r="C259" s="4" t="s">
        <v>49</v>
      </c>
      <c r="D259" s="7">
        <v>9</v>
      </c>
      <c r="E259" s="7">
        <v>5</v>
      </c>
      <c r="F259" s="116" t="str">
        <f t="shared" si="96"/>
        <v>Alta</v>
      </c>
      <c r="G259" s="7" t="str">
        <f t="shared" si="97"/>
        <v>CEH</v>
      </c>
      <c r="H259" s="7">
        <f t="shared" si="98"/>
        <v>6</v>
      </c>
      <c r="I259" s="116" t="str">
        <f t="shared" si="99"/>
        <v>H</v>
      </c>
      <c r="J259" s="7" t="str">
        <f t="shared" si="100"/>
        <v>CEI</v>
      </c>
      <c r="K259" s="125">
        <f t="shared" si="101"/>
        <v>6</v>
      </c>
      <c r="L259" s="125">
        <f>IF(NOT(ISERROR(VLOOKUP(B259,Deflatores!G$42:H$64,2,FALSE))),VLOOKUP(B259,Deflatores!G$42:H$64,2,FALSE),IF(OR(ISBLANK(C259),ISBLANK(B259)),"",VLOOKUP(C259,Deflatores!G$4:H$38,2,FALSE)*H259+VLOOKUP(C259,Deflatores!G$4:I$38,3,FALSE)))</f>
        <v>6</v>
      </c>
      <c r="M259" s="10"/>
      <c r="N259" s="10"/>
      <c r="O259" s="6"/>
    </row>
    <row r="260" spans="1:15">
      <c r="A260" s="119" t="s">
        <v>284</v>
      </c>
      <c r="B260" s="4" t="s">
        <v>44</v>
      </c>
      <c r="C260" s="4" t="s">
        <v>49</v>
      </c>
      <c r="D260" s="7">
        <v>11</v>
      </c>
      <c r="E260" s="7">
        <v>5</v>
      </c>
      <c r="F260" s="116" t="str">
        <f t="shared" si="96"/>
        <v>Alta</v>
      </c>
      <c r="G260" s="7" t="str">
        <f t="shared" si="97"/>
        <v>CEH</v>
      </c>
      <c r="H260" s="7">
        <f t="shared" si="98"/>
        <v>6</v>
      </c>
      <c r="I260" s="116" t="str">
        <f t="shared" si="99"/>
        <v>H</v>
      </c>
      <c r="J260" s="7" t="str">
        <f t="shared" si="100"/>
        <v>CEI</v>
      </c>
      <c r="K260" s="125">
        <f t="shared" si="101"/>
        <v>6</v>
      </c>
      <c r="L260" s="125">
        <f>IF(NOT(ISERROR(VLOOKUP(B260,Deflatores!G$42:H$64,2,FALSE))),VLOOKUP(B260,Deflatores!G$42:H$64,2,FALSE),IF(OR(ISBLANK(C260),ISBLANK(B260)),"",VLOOKUP(C260,Deflatores!G$4:H$38,2,FALSE)*H260+VLOOKUP(C260,Deflatores!G$4:I$38,3,FALSE)))</f>
        <v>6</v>
      </c>
      <c r="M260" s="10"/>
      <c r="N260" s="10"/>
      <c r="O260" s="6"/>
    </row>
    <row r="261" spans="1:15">
      <c r="A261" s="119" t="s">
        <v>285</v>
      </c>
      <c r="B261" s="4" t="s">
        <v>63</v>
      </c>
      <c r="C261" s="4" t="s">
        <v>49</v>
      </c>
      <c r="D261" s="7">
        <v>3</v>
      </c>
      <c r="E261" s="7">
        <v>1</v>
      </c>
      <c r="F261" s="116" t="str">
        <f t="shared" si="96"/>
        <v>Baixa</v>
      </c>
      <c r="G261" s="7" t="str">
        <f t="shared" si="97"/>
        <v>EEL</v>
      </c>
      <c r="H261" s="7">
        <f t="shared" si="98"/>
        <v>3</v>
      </c>
      <c r="I261" s="116" t="str">
        <f t="shared" si="99"/>
        <v>L</v>
      </c>
      <c r="J261" s="7" t="str">
        <f t="shared" si="100"/>
        <v>EEI</v>
      </c>
      <c r="K261" s="125">
        <f t="shared" si="101"/>
        <v>3</v>
      </c>
      <c r="L261" s="125">
        <f>IF(NOT(ISERROR(VLOOKUP(B261,Deflatores!G$42:H$64,2,FALSE))),VLOOKUP(B261,Deflatores!G$42:H$64,2,FALSE),IF(OR(ISBLANK(C261),ISBLANK(B261)),"",VLOOKUP(C261,Deflatores!G$4:H$38,2,FALSE)*H261+VLOOKUP(C261,Deflatores!G$4:I$38,3,FALSE)))</f>
        <v>3</v>
      </c>
      <c r="M261" s="10"/>
      <c r="N261" s="10"/>
      <c r="O261" s="6"/>
    </row>
    <row r="262" spans="1:15">
      <c r="A262" s="119" t="s">
        <v>286</v>
      </c>
      <c r="B262" s="4" t="s">
        <v>44</v>
      </c>
      <c r="C262" s="4" t="s">
        <v>49</v>
      </c>
      <c r="D262" s="7">
        <v>7</v>
      </c>
      <c r="E262" s="7">
        <v>2</v>
      </c>
      <c r="F262" s="116" t="str">
        <f t="shared" si="96"/>
        <v>Média</v>
      </c>
      <c r="G262" s="7" t="str">
        <f t="shared" si="97"/>
        <v>CEA</v>
      </c>
      <c r="H262" s="7">
        <f t="shared" si="98"/>
        <v>4</v>
      </c>
      <c r="I262" s="116" t="str">
        <f t="shared" si="99"/>
        <v>A</v>
      </c>
      <c r="J262" s="7" t="str">
        <f t="shared" si="100"/>
        <v>CEI</v>
      </c>
      <c r="K262" s="125">
        <f t="shared" si="101"/>
        <v>4</v>
      </c>
      <c r="L262" s="125">
        <f>IF(NOT(ISERROR(VLOOKUP(B262,Deflatores!G$42:H$64,2,FALSE))),VLOOKUP(B262,Deflatores!G$42:H$64,2,FALSE),IF(OR(ISBLANK(C262),ISBLANK(B262)),"",VLOOKUP(C262,Deflatores!G$4:H$38,2,FALSE)*H262+VLOOKUP(C262,Deflatores!G$4:I$38,3,FALSE)))</f>
        <v>4</v>
      </c>
      <c r="M262" s="10"/>
      <c r="N262" s="10"/>
      <c r="O262" s="6"/>
    </row>
    <row r="263" spans="1:15">
      <c r="A263" s="119" t="s">
        <v>287</v>
      </c>
      <c r="B263" s="4" t="s">
        <v>63</v>
      </c>
      <c r="C263" s="4" t="s">
        <v>49</v>
      </c>
      <c r="D263" s="7">
        <v>8</v>
      </c>
      <c r="E263" s="7">
        <v>4</v>
      </c>
      <c r="F263" s="116" t="str">
        <f t="shared" si="96"/>
        <v>Alta</v>
      </c>
      <c r="G263" s="7" t="str">
        <f t="shared" si="97"/>
        <v>EEH</v>
      </c>
      <c r="H263" s="7">
        <f t="shared" si="98"/>
        <v>6</v>
      </c>
      <c r="I263" s="116" t="str">
        <f t="shared" si="99"/>
        <v>H</v>
      </c>
      <c r="J263" s="7" t="str">
        <f t="shared" si="100"/>
        <v>EEI</v>
      </c>
      <c r="K263" s="125">
        <f t="shared" si="101"/>
        <v>6</v>
      </c>
      <c r="L263" s="125">
        <f>IF(NOT(ISERROR(VLOOKUP(B263,Deflatores!G$42:H$64,2,FALSE))),VLOOKUP(B263,Deflatores!G$42:H$64,2,FALSE),IF(OR(ISBLANK(C263),ISBLANK(B263)),"",VLOOKUP(C263,Deflatores!G$4:H$38,2,FALSE)*H263+VLOOKUP(C263,Deflatores!G$4:I$38,3,FALSE)))</f>
        <v>6</v>
      </c>
      <c r="M263" s="10"/>
      <c r="N263" s="10"/>
      <c r="O263" s="6"/>
    </row>
    <row r="264" spans="1:15">
      <c r="A264" s="119" t="s">
        <v>288</v>
      </c>
      <c r="B264" s="4" t="s">
        <v>63</v>
      </c>
      <c r="C264" s="4" t="s">
        <v>49</v>
      </c>
      <c r="D264" s="7">
        <v>8</v>
      </c>
      <c r="E264" s="7">
        <v>4</v>
      </c>
      <c r="F264" s="116" t="str">
        <f t="shared" si="96"/>
        <v>Alta</v>
      </c>
      <c r="G264" s="7" t="str">
        <f t="shared" si="97"/>
        <v>EEH</v>
      </c>
      <c r="H264" s="7">
        <f t="shared" si="98"/>
        <v>6</v>
      </c>
      <c r="I264" s="116" t="str">
        <f t="shared" si="99"/>
        <v>H</v>
      </c>
      <c r="J264" s="7" t="str">
        <f t="shared" si="100"/>
        <v>EEI</v>
      </c>
      <c r="K264" s="125">
        <f t="shared" si="101"/>
        <v>6</v>
      </c>
      <c r="L264" s="125">
        <f>IF(NOT(ISERROR(VLOOKUP(B264,Deflatores!G$42:H$64,2,FALSE))),VLOOKUP(B264,Deflatores!G$42:H$64,2,FALSE),IF(OR(ISBLANK(C264),ISBLANK(B264)),"",VLOOKUP(C264,Deflatores!G$4:H$38,2,FALSE)*H264+VLOOKUP(C264,Deflatores!G$4:I$38,3,FALSE)))</f>
        <v>6</v>
      </c>
      <c r="M264" s="10"/>
      <c r="N264" s="10"/>
      <c r="O264" s="6"/>
    </row>
    <row r="265" spans="1:15">
      <c r="A265" s="142" t="s">
        <v>289</v>
      </c>
      <c r="B265" s="4" t="s">
        <v>44</v>
      </c>
      <c r="C265" s="4" t="s">
        <v>49</v>
      </c>
      <c r="D265" s="7">
        <v>6</v>
      </c>
      <c r="E265" s="7">
        <v>4</v>
      </c>
      <c r="F265" s="116" t="str">
        <f t="shared" si="96"/>
        <v>Alta</v>
      </c>
      <c r="G265" s="7" t="str">
        <f t="shared" si="97"/>
        <v>CEH</v>
      </c>
      <c r="H265" s="7">
        <f t="shared" si="98"/>
        <v>6</v>
      </c>
      <c r="I265" s="116" t="str">
        <f t="shared" si="99"/>
        <v>H</v>
      </c>
      <c r="J265" s="7" t="str">
        <f t="shared" si="100"/>
        <v>CEI</v>
      </c>
      <c r="K265" s="125">
        <f t="shared" si="101"/>
        <v>6</v>
      </c>
      <c r="L265" s="125">
        <f>IF(NOT(ISERROR(VLOOKUP(B265,Deflatores!G$42:H$64,2,FALSE))),VLOOKUP(B265,Deflatores!G$42:H$64,2,FALSE),IF(OR(ISBLANK(C265),ISBLANK(B265)),"",VLOOKUP(C265,Deflatores!G$4:H$38,2,FALSE)*H265+VLOOKUP(C265,Deflatores!G$4:I$38,3,FALSE)))</f>
        <v>6</v>
      </c>
      <c r="M265" s="10"/>
      <c r="N265" s="10"/>
      <c r="O265" s="6"/>
    </row>
    <row r="266" spans="1:15">
      <c r="A266" s="119" t="s">
        <v>290</v>
      </c>
      <c r="B266" s="4" t="s">
        <v>44</v>
      </c>
      <c r="C266" s="4" t="s">
        <v>49</v>
      </c>
      <c r="D266" s="7">
        <v>8</v>
      </c>
      <c r="E266" s="7">
        <v>4</v>
      </c>
      <c r="F266" s="116" t="str">
        <f t="shared" si="96"/>
        <v>Alta</v>
      </c>
      <c r="G266" s="7" t="str">
        <f t="shared" si="97"/>
        <v>CEH</v>
      </c>
      <c r="H266" s="7">
        <f t="shared" si="98"/>
        <v>6</v>
      </c>
      <c r="I266" s="116" t="str">
        <f t="shared" si="99"/>
        <v>H</v>
      </c>
      <c r="J266" s="7" t="str">
        <f t="shared" si="100"/>
        <v>CEI</v>
      </c>
      <c r="K266" s="125">
        <f t="shared" si="101"/>
        <v>6</v>
      </c>
      <c r="L266" s="125">
        <f>IF(NOT(ISERROR(VLOOKUP(B266,Deflatores!G$42:H$64,2,FALSE))),VLOOKUP(B266,Deflatores!G$42:H$64,2,FALSE),IF(OR(ISBLANK(C266),ISBLANK(B266)),"",VLOOKUP(C266,Deflatores!G$4:H$38,2,FALSE)*H266+VLOOKUP(C266,Deflatores!G$4:I$38,3,FALSE)))</f>
        <v>6</v>
      </c>
      <c r="M266" s="10"/>
      <c r="N266" s="10"/>
      <c r="O266" s="6"/>
    </row>
    <row r="267" spans="1:15">
      <c r="A267" s="119" t="s">
        <v>291</v>
      </c>
      <c r="B267" s="4" t="s">
        <v>63</v>
      </c>
      <c r="C267" s="4" t="s">
        <v>49</v>
      </c>
      <c r="D267" s="7">
        <v>3</v>
      </c>
      <c r="E267" s="7">
        <v>1</v>
      </c>
      <c r="F267" s="116" t="str">
        <f>IF(ISBLANK(B267),"",IF(I267="L","Baixa",IF(I267="A","Média",IF(I267="","","Alta"))))</f>
        <v>Baixa</v>
      </c>
      <c r="G267" s="7" t="str">
        <f>CONCATENATE(B267,I267)</f>
        <v>EEL</v>
      </c>
      <c r="H267" s="7">
        <f>IF(ISBLANK(B267),"",IF(B267="ALI",IF(I267="L",7,IF(I267="A",10,15)),IF(B267="AIE",IF(I267="L",5,IF(I267="A",7,10)),IF(B267="SE",IF(I267="L",4,IF(I267="A",5,7)),IF(OR(B267="EE",B267="CE"),IF(I267="L",3,IF(I267="A",4,6)),0)))))</f>
        <v>3</v>
      </c>
      <c r="I267" s="116" t="str">
        <f>IF(OR(ISBLANK(D267),ISBLANK(E267)),IF(OR(B267="ALI",B267="AIE"),"L",IF(OR(B267="EE",B267="SE",B267="CE"),"A","")),IF(B267="EE",IF(E267&gt;=3,IF(D267&gt;=5,"H","A"),IF(E267&gt;=2,IF(D267&gt;=16,"H",IF(D267&lt;=4,"L","A")),IF(D267&lt;=15,"L","A"))),IF(OR(B267="SE",B267="CE"),IF(E267&gt;=4,IF(D267&gt;=6,"H","A"),IF(E267&gt;=2,IF(D267&gt;=20,"H",IF(D267&lt;=5,"L","A")),IF(D267&lt;=19,"L","A"))),IF(OR(B267="ALI",B267="AIE"),IF(E267&gt;=6,IF(D267&gt;=20,"H","A"),IF(E267&gt;=2,IF(D267&gt;=51,"H",IF(D267&lt;=19,"L","A")),IF(D267&lt;=50,"L","A"))),""))))</f>
        <v>L</v>
      </c>
      <c r="J267" s="7" t="str">
        <f>CONCATENATE(B267,C267)</f>
        <v>EEI</v>
      </c>
      <c r="K267" s="125">
        <f>IF(OR(H267="",H267=0),L267,H267)</f>
        <v>3</v>
      </c>
      <c r="L267" s="125">
        <f>IF(NOT(ISERROR(VLOOKUP(B267,Deflatores!G$42:H$64,2,FALSE))),VLOOKUP(B267,Deflatores!G$42:H$64,2,FALSE),IF(OR(ISBLANK(C267),ISBLANK(B267)),"",VLOOKUP(C267,Deflatores!G$4:H$38,2,FALSE)*H267+VLOOKUP(C267,Deflatores!G$4:I$38,3,FALSE)))</f>
        <v>3</v>
      </c>
      <c r="M267" s="10"/>
      <c r="N267" s="10"/>
      <c r="O267" s="6"/>
    </row>
    <row r="268" spans="1:15">
      <c r="A268" s="119"/>
      <c r="B268" s="4"/>
      <c r="C268" s="4"/>
      <c r="D268" s="7"/>
      <c r="E268" s="7"/>
      <c r="F268" s="116" t="str">
        <f>IF(ISBLANK(B268),"",IF(I268="L","Baixa",IF(I268="A","Média",IF(I268="","","Alta"))))</f>
        <v/>
      </c>
      <c r="G268" s="7" t="str">
        <f>CONCATENATE(B268,I268)</f>
        <v/>
      </c>
      <c r="H268" s="7" t="str">
        <f>IF(ISBLANK(B268),"",IF(B268="ALI",IF(I268="L",7,IF(I268="A",10,15)),IF(B268="AIE",IF(I268="L",5,IF(I268="A",7,10)),IF(B268="SE",IF(I268="L",4,IF(I268="A",5,7)),IF(OR(B268="EE",B268="CE"),IF(I268="L",3,IF(I268="A",4,6)),0)))))</f>
        <v/>
      </c>
      <c r="I268" s="116" t="str">
        <f>IF(OR(ISBLANK(D268),ISBLANK(E268)),IF(OR(B268="ALI",B268="AIE"),"L",IF(OR(B268="EE",B268="SE",B268="CE"),"A","")),IF(B268="EE",IF(E268&gt;=3,IF(D268&gt;=5,"H","A"),IF(E268&gt;=2,IF(D268&gt;=16,"H",IF(D268&lt;=4,"L","A")),IF(D268&lt;=15,"L","A"))),IF(OR(B268="SE",B268="CE"),IF(E268&gt;=4,IF(D268&gt;=6,"H","A"),IF(E268&gt;=2,IF(D268&gt;=20,"H",IF(D268&lt;=5,"L","A")),IF(D268&lt;=19,"L","A"))),IF(OR(B268="ALI",B268="AIE"),IF(E268&gt;=6,IF(D268&gt;=20,"H","A"),IF(E268&gt;=2,IF(D268&gt;=51,"H",IF(D268&lt;=19,"L","A")),IF(D268&lt;=50,"L","A"))),""))))</f>
        <v/>
      </c>
      <c r="J268" s="7" t="str">
        <f>CONCATENATE(B268,C268)</f>
        <v/>
      </c>
      <c r="K268" s="125" t="str">
        <f>IF(OR(H268="",H268=0),L268,H268)</f>
        <v/>
      </c>
      <c r="L268" s="125" t="str">
        <f>IF(NOT(ISERROR(VLOOKUP(B268,Deflatores!G$42:H$64,2,FALSE))),VLOOKUP(B268,Deflatores!G$42:H$64,2,FALSE),IF(OR(ISBLANK(C268),ISBLANK(B268)),"",VLOOKUP(C268,Deflatores!G$4:H$38,2,FALSE)*H268+VLOOKUP(C268,Deflatores!G$4:I$38,3,FALSE)))</f>
        <v/>
      </c>
      <c r="M268" s="10"/>
      <c r="N268" s="10"/>
      <c r="O268" s="6"/>
    </row>
    <row r="269" spans="1:15">
      <c r="A269" s="137" t="s">
        <v>292</v>
      </c>
      <c r="B269" s="4"/>
      <c r="C269" s="4"/>
      <c r="D269" s="7"/>
      <c r="E269" s="7"/>
      <c r="F269" s="116" t="str">
        <f t="shared" si="96"/>
        <v/>
      </c>
      <c r="G269" s="7" t="str">
        <f t="shared" si="97"/>
        <v/>
      </c>
      <c r="H269" s="7" t="str">
        <f t="shared" si="98"/>
        <v/>
      </c>
      <c r="I269" s="116" t="str">
        <f t="shared" si="99"/>
        <v/>
      </c>
      <c r="J269" s="7" t="str">
        <f t="shared" si="100"/>
        <v/>
      </c>
      <c r="K269" s="125" t="str">
        <f t="shared" si="101"/>
        <v/>
      </c>
      <c r="L269" s="125" t="str">
        <f>IF(NOT(ISERROR(VLOOKUP(B269,Deflatores!G$42:H$64,2,FALSE))),VLOOKUP(B269,Deflatores!G$42:H$64,2,FALSE),IF(OR(ISBLANK(C269),ISBLANK(B269)),"",VLOOKUP(C269,Deflatores!G$4:H$38,2,FALSE)*H269+VLOOKUP(C269,Deflatores!G$4:I$38,3,FALSE)))</f>
        <v/>
      </c>
      <c r="M269" s="10"/>
      <c r="N269" s="10"/>
      <c r="O269" s="6"/>
    </row>
    <row r="270" spans="1:15">
      <c r="A270" s="119" t="s">
        <v>293</v>
      </c>
      <c r="B270" s="4" t="s">
        <v>63</v>
      </c>
      <c r="C270" s="4" t="s">
        <v>49</v>
      </c>
      <c r="D270" s="7">
        <v>5</v>
      </c>
      <c r="E270" s="7">
        <v>2</v>
      </c>
      <c r="F270" s="116" t="str">
        <f>IF(ISBLANK(B270),"",IF(I270="L","Baixa",IF(I270="A","Média",IF(I270="","","Alta"))))</f>
        <v>Média</v>
      </c>
      <c r="G270" s="7" t="str">
        <f>CONCATENATE(B270,I270)</f>
        <v>EEA</v>
      </c>
      <c r="H270" s="7">
        <f>IF(ISBLANK(B270),"",IF(B270="ALI",IF(I270="L",7,IF(I270="A",10,15)),IF(B270="AIE",IF(I270="L",5,IF(I270="A",7,10)),IF(B270="SE",IF(I270="L",4,IF(I270="A",5,7)),IF(OR(B270="EE",B270="CE"),IF(I270="L",3,IF(I270="A",4,6)),0)))))</f>
        <v>4</v>
      </c>
      <c r="I270" s="116" t="str">
        <f>IF(OR(ISBLANK(D270),ISBLANK(E270)),IF(OR(B270="ALI",B270="AIE"),"L",IF(OR(B270="EE",B270="SE",B270="CE"),"A","")),IF(B270="EE",IF(E270&gt;=3,IF(D270&gt;=5,"H","A"),IF(E270&gt;=2,IF(D270&gt;=16,"H",IF(D270&lt;=4,"L","A")),IF(D270&lt;=15,"L","A"))),IF(OR(B270="SE",B270="CE"),IF(E270&gt;=4,IF(D270&gt;=6,"H","A"),IF(E270&gt;=2,IF(D270&gt;=20,"H",IF(D270&lt;=5,"L","A")),IF(D270&lt;=19,"L","A"))),IF(OR(B270="ALI",B270="AIE"),IF(E270&gt;=6,IF(D270&gt;=20,"H","A"),IF(E270&gt;=2,IF(D270&gt;=51,"H",IF(D270&lt;=19,"L","A")),IF(D270&lt;=50,"L","A"))),""))))</f>
        <v>A</v>
      </c>
      <c r="J270" s="7" t="str">
        <f>CONCATENATE(B270,C270)</f>
        <v>EEI</v>
      </c>
      <c r="K270" s="125">
        <f>IF(OR(H270="",H270=0),L270,H270)</f>
        <v>4</v>
      </c>
      <c r="L270" s="125">
        <f>IF(NOT(ISERROR(VLOOKUP(B270,Deflatores!G$42:H$64,2,FALSE))),VLOOKUP(B270,Deflatores!G$42:H$64,2,FALSE),IF(OR(ISBLANK(C270),ISBLANK(B270)),"",VLOOKUP(C270,Deflatores!G$4:H$38,2,FALSE)*H270+VLOOKUP(C270,Deflatores!G$4:I$38,3,FALSE)))</f>
        <v>4</v>
      </c>
      <c r="M270" s="10"/>
      <c r="N270" s="10"/>
      <c r="O270" s="6"/>
    </row>
    <row r="271" spans="1:15">
      <c r="A271" s="119" t="s">
        <v>294</v>
      </c>
      <c r="B271" s="4" t="s">
        <v>63</v>
      </c>
      <c r="C271" s="4" t="s">
        <v>49</v>
      </c>
      <c r="D271" s="7">
        <v>6</v>
      </c>
      <c r="E271" s="7">
        <v>2</v>
      </c>
      <c r="F271" s="116" t="str">
        <f t="shared" si="96"/>
        <v>Média</v>
      </c>
      <c r="G271" s="7" t="str">
        <f t="shared" si="97"/>
        <v>EEA</v>
      </c>
      <c r="H271" s="7">
        <f t="shared" si="98"/>
        <v>4</v>
      </c>
      <c r="I271" s="116" t="str">
        <f t="shared" si="99"/>
        <v>A</v>
      </c>
      <c r="J271" s="7" t="str">
        <f t="shared" si="100"/>
        <v>EEI</v>
      </c>
      <c r="K271" s="125">
        <f t="shared" si="101"/>
        <v>4</v>
      </c>
      <c r="L271" s="125">
        <f>IF(NOT(ISERROR(VLOOKUP(B271,Deflatores!G$42:H$64,2,FALSE))),VLOOKUP(B271,Deflatores!G$42:H$64,2,FALSE),IF(OR(ISBLANK(C271),ISBLANK(B271)),"",VLOOKUP(C271,Deflatores!G$4:H$38,2,FALSE)*H271+VLOOKUP(C271,Deflatores!G$4:I$38,3,FALSE)))</f>
        <v>4</v>
      </c>
      <c r="M271" s="10"/>
      <c r="N271" s="10"/>
      <c r="O271" s="6"/>
    </row>
    <row r="272" spans="1:15">
      <c r="A272" s="119"/>
      <c r="B272" s="4"/>
      <c r="C272" s="4"/>
      <c r="D272" s="7"/>
      <c r="E272" s="7"/>
      <c r="F272" s="116" t="str">
        <f t="shared" si="96"/>
        <v/>
      </c>
      <c r="G272" s="7" t="str">
        <f t="shared" si="97"/>
        <v/>
      </c>
      <c r="H272" s="7" t="str">
        <f t="shared" si="98"/>
        <v/>
      </c>
      <c r="I272" s="116" t="str">
        <f t="shared" si="99"/>
        <v/>
      </c>
      <c r="J272" s="7" t="str">
        <f t="shared" si="100"/>
        <v/>
      </c>
      <c r="K272" s="125" t="str">
        <f t="shared" si="101"/>
        <v/>
      </c>
      <c r="L272" s="125" t="str">
        <f>IF(NOT(ISERROR(VLOOKUP(B272,Deflatores!G$42:H$64,2,FALSE))),VLOOKUP(B272,Deflatores!G$42:H$64,2,FALSE),IF(OR(ISBLANK(C272),ISBLANK(B272)),"",VLOOKUP(C272,Deflatores!G$4:H$38,2,FALSE)*H272+VLOOKUP(C272,Deflatores!G$4:I$38,3,FALSE)))</f>
        <v/>
      </c>
      <c r="M272" s="10"/>
      <c r="N272" s="10"/>
      <c r="O272" s="6"/>
    </row>
    <row r="273" spans="1:15" ht="21.95">
      <c r="A273" s="137" t="s">
        <v>295</v>
      </c>
      <c r="B273" s="4"/>
      <c r="C273" s="4"/>
      <c r="D273" s="7"/>
      <c r="E273" s="7"/>
      <c r="F273" s="116" t="str">
        <f t="shared" si="96"/>
        <v/>
      </c>
      <c r="G273" s="7" t="str">
        <f t="shared" si="97"/>
        <v/>
      </c>
      <c r="H273" s="7" t="str">
        <f t="shared" si="98"/>
        <v/>
      </c>
      <c r="I273" s="116" t="str">
        <f t="shared" si="99"/>
        <v/>
      </c>
      <c r="J273" s="7" t="str">
        <f t="shared" si="100"/>
        <v/>
      </c>
      <c r="K273" s="125" t="str">
        <f t="shared" si="101"/>
        <v/>
      </c>
      <c r="L273" s="125" t="str">
        <f>IF(NOT(ISERROR(VLOOKUP(B273,Deflatores!G$42:H$64,2,FALSE))),VLOOKUP(B273,Deflatores!G$42:H$64,2,FALSE),IF(OR(ISBLANK(C273),ISBLANK(B273)),"",VLOOKUP(C273,Deflatores!G$4:H$38,2,FALSE)*H273+VLOOKUP(C273,Deflatores!G$4:I$38,3,FALSE)))</f>
        <v/>
      </c>
      <c r="M273" s="10"/>
      <c r="N273" s="10"/>
      <c r="O273" s="6" t="s">
        <v>296</v>
      </c>
    </row>
    <row r="274" spans="1:15">
      <c r="A274" s="119" t="s">
        <v>297</v>
      </c>
      <c r="B274" s="4" t="s">
        <v>63</v>
      </c>
      <c r="C274" s="4" t="s">
        <v>49</v>
      </c>
      <c r="D274" s="7">
        <v>6</v>
      </c>
      <c r="E274" s="7">
        <v>2</v>
      </c>
      <c r="F274" s="116" t="str">
        <f t="shared" si="96"/>
        <v>Média</v>
      </c>
      <c r="G274" s="7" t="str">
        <f t="shared" si="97"/>
        <v>EEA</v>
      </c>
      <c r="H274" s="7">
        <f t="shared" si="98"/>
        <v>4</v>
      </c>
      <c r="I274" s="116" t="str">
        <f t="shared" si="99"/>
        <v>A</v>
      </c>
      <c r="J274" s="7" t="str">
        <f t="shared" si="100"/>
        <v>EEI</v>
      </c>
      <c r="K274" s="125">
        <f t="shared" si="101"/>
        <v>4</v>
      </c>
      <c r="L274" s="125">
        <f>IF(NOT(ISERROR(VLOOKUP(B274,Deflatores!G$42:H$64,2,FALSE))),VLOOKUP(B274,Deflatores!G$42:H$64,2,FALSE),IF(OR(ISBLANK(C274),ISBLANK(B274)),"",VLOOKUP(C274,Deflatores!G$4:H$38,2,FALSE)*H274+VLOOKUP(C274,Deflatores!G$4:I$38,3,FALSE)))</f>
        <v>4</v>
      </c>
      <c r="M274" s="10"/>
      <c r="N274" s="10"/>
      <c r="O274" s="6"/>
    </row>
    <row r="275" spans="1:15">
      <c r="A275" s="119" t="s">
        <v>298</v>
      </c>
      <c r="B275" s="4" t="s">
        <v>63</v>
      </c>
      <c r="C275" s="4" t="s">
        <v>49</v>
      </c>
      <c r="D275" s="7">
        <v>6</v>
      </c>
      <c r="E275" s="7">
        <v>2</v>
      </c>
      <c r="F275" s="116" t="str">
        <f t="shared" si="96"/>
        <v>Média</v>
      </c>
      <c r="G275" s="7" t="str">
        <f t="shared" si="97"/>
        <v>EEA</v>
      </c>
      <c r="H275" s="7">
        <f t="shared" si="98"/>
        <v>4</v>
      </c>
      <c r="I275" s="116" t="str">
        <f t="shared" si="99"/>
        <v>A</v>
      </c>
      <c r="J275" s="7" t="str">
        <f t="shared" si="100"/>
        <v>EEI</v>
      </c>
      <c r="K275" s="125">
        <f t="shared" si="101"/>
        <v>4</v>
      </c>
      <c r="L275" s="125">
        <f>IF(NOT(ISERROR(VLOOKUP(B275,Deflatores!G$42:H$64,2,FALSE))),VLOOKUP(B275,Deflatores!G$42:H$64,2,FALSE),IF(OR(ISBLANK(C275),ISBLANK(B275)),"",VLOOKUP(C275,Deflatores!G$4:H$38,2,FALSE)*H275+VLOOKUP(C275,Deflatores!G$4:I$38,3,FALSE)))</f>
        <v>4</v>
      </c>
      <c r="M275" s="10"/>
      <c r="N275" s="10"/>
      <c r="O275" s="6"/>
    </row>
    <row r="276" spans="1:15">
      <c r="A276" s="142" t="s">
        <v>299</v>
      </c>
      <c r="B276" s="4" t="s">
        <v>44</v>
      </c>
      <c r="C276" s="4" t="s">
        <v>49</v>
      </c>
      <c r="D276" s="7">
        <v>4</v>
      </c>
      <c r="E276" s="7">
        <v>2</v>
      </c>
      <c r="F276" s="116" t="str">
        <f t="shared" si="96"/>
        <v>Baixa</v>
      </c>
      <c r="G276" s="7" t="str">
        <f t="shared" si="97"/>
        <v>CEL</v>
      </c>
      <c r="H276" s="7">
        <f t="shared" si="98"/>
        <v>3</v>
      </c>
      <c r="I276" s="116" t="str">
        <f t="shared" si="99"/>
        <v>L</v>
      </c>
      <c r="J276" s="7" t="str">
        <f t="shared" si="100"/>
        <v>CEI</v>
      </c>
      <c r="K276" s="125">
        <f t="shared" si="101"/>
        <v>3</v>
      </c>
      <c r="L276" s="125">
        <f>IF(NOT(ISERROR(VLOOKUP(B276,Deflatores!G$42:H$64,2,FALSE))),VLOOKUP(B276,Deflatores!G$42:H$64,2,FALSE),IF(OR(ISBLANK(C276),ISBLANK(B276)),"",VLOOKUP(C276,Deflatores!G$4:H$38,2,FALSE)*H276+VLOOKUP(C276,Deflatores!G$4:I$38,3,FALSE)))</f>
        <v>3</v>
      </c>
      <c r="M276" s="10"/>
      <c r="N276" s="10"/>
      <c r="O276" s="6"/>
    </row>
    <row r="277" spans="1:15">
      <c r="A277" s="119" t="s">
        <v>300</v>
      </c>
      <c r="B277" s="4" t="s">
        <v>44</v>
      </c>
      <c r="C277" s="4" t="s">
        <v>49</v>
      </c>
      <c r="D277" s="7">
        <v>6</v>
      </c>
      <c r="E277" s="7">
        <v>2</v>
      </c>
      <c r="F277" s="116" t="str">
        <f t="shared" si="96"/>
        <v>Média</v>
      </c>
      <c r="G277" s="7" t="str">
        <f t="shared" si="97"/>
        <v>CEA</v>
      </c>
      <c r="H277" s="7">
        <f t="shared" si="98"/>
        <v>4</v>
      </c>
      <c r="I277" s="116" t="str">
        <f t="shared" si="99"/>
        <v>A</v>
      </c>
      <c r="J277" s="7" t="str">
        <f t="shared" si="100"/>
        <v>CEI</v>
      </c>
      <c r="K277" s="125">
        <f t="shared" si="101"/>
        <v>4</v>
      </c>
      <c r="L277" s="125">
        <f>IF(NOT(ISERROR(VLOOKUP(B277,Deflatores!G$42:H$64,2,FALSE))),VLOOKUP(B277,Deflatores!G$42:H$64,2,FALSE),IF(OR(ISBLANK(C277),ISBLANK(B277)),"",VLOOKUP(C277,Deflatores!G$4:H$38,2,FALSE)*H277+VLOOKUP(C277,Deflatores!G$4:I$38,3,FALSE)))</f>
        <v>4</v>
      </c>
      <c r="M277" s="10"/>
      <c r="N277" s="10"/>
      <c r="O277" s="6"/>
    </row>
    <row r="278" spans="1:15">
      <c r="A278" s="119"/>
      <c r="B278" s="4"/>
      <c r="C278" s="4"/>
      <c r="D278" s="7"/>
      <c r="E278" s="7"/>
      <c r="F278" s="116" t="str">
        <f t="shared" si="96"/>
        <v/>
      </c>
      <c r="G278" s="7" t="str">
        <f t="shared" si="97"/>
        <v/>
      </c>
      <c r="H278" s="7" t="str">
        <f t="shared" si="98"/>
        <v/>
      </c>
      <c r="I278" s="116" t="str">
        <f t="shared" si="99"/>
        <v/>
      </c>
      <c r="J278" s="7" t="str">
        <f t="shared" si="100"/>
        <v/>
      </c>
      <c r="K278" s="125" t="str">
        <f t="shared" si="101"/>
        <v/>
      </c>
      <c r="L278" s="125" t="str">
        <f>IF(NOT(ISERROR(VLOOKUP(B278,Deflatores!G$42:H$64,2,FALSE))),VLOOKUP(B278,Deflatores!G$42:H$64,2,FALSE),IF(OR(ISBLANK(C278),ISBLANK(B278)),"",VLOOKUP(C278,Deflatores!G$4:H$38,2,FALSE)*H278+VLOOKUP(C278,Deflatores!G$4:I$38,3,FALSE)))</f>
        <v/>
      </c>
      <c r="M278" s="10"/>
      <c r="N278" s="10"/>
      <c r="O278" s="6"/>
    </row>
    <row r="279" spans="1:15">
      <c r="A279" s="137" t="s">
        <v>301</v>
      </c>
      <c r="B279" s="4"/>
      <c r="C279" s="4"/>
      <c r="D279" s="7"/>
      <c r="E279" s="7"/>
      <c r="F279" s="116" t="str">
        <f t="shared" si="96"/>
        <v/>
      </c>
      <c r="G279" s="7" t="str">
        <f t="shared" si="97"/>
        <v/>
      </c>
      <c r="H279" s="7" t="str">
        <f t="shared" si="98"/>
        <v/>
      </c>
      <c r="I279" s="116" t="str">
        <f t="shared" si="99"/>
        <v/>
      </c>
      <c r="J279" s="7" t="str">
        <f t="shared" si="100"/>
        <v/>
      </c>
      <c r="K279" s="125" t="str">
        <f t="shared" si="101"/>
        <v/>
      </c>
      <c r="L279" s="125" t="str">
        <f>IF(NOT(ISERROR(VLOOKUP(B279,Deflatores!G$42:H$64,2,FALSE))),VLOOKUP(B279,Deflatores!G$42:H$64,2,FALSE),IF(OR(ISBLANK(C279),ISBLANK(B279)),"",VLOOKUP(C279,Deflatores!G$4:H$38,2,FALSE)*H279+VLOOKUP(C279,Deflatores!G$4:I$38,3,FALSE)))</f>
        <v/>
      </c>
      <c r="M279" s="10"/>
      <c r="N279" s="10"/>
      <c r="O279" s="6"/>
    </row>
    <row r="280" spans="1:15">
      <c r="A280" s="119" t="s">
        <v>302</v>
      </c>
      <c r="B280" s="4" t="s">
        <v>44</v>
      </c>
      <c r="C280" s="4" t="s">
        <v>49</v>
      </c>
      <c r="D280" s="7">
        <v>14</v>
      </c>
      <c r="E280" s="7">
        <v>3</v>
      </c>
      <c r="F280" s="116" t="str">
        <f t="shared" si="96"/>
        <v>Média</v>
      </c>
      <c r="G280" s="7" t="str">
        <f t="shared" si="97"/>
        <v>CEA</v>
      </c>
      <c r="H280" s="7">
        <f t="shared" si="98"/>
        <v>4</v>
      </c>
      <c r="I280" s="116" t="str">
        <f t="shared" si="99"/>
        <v>A</v>
      </c>
      <c r="J280" s="7" t="str">
        <f t="shared" si="100"/>
        <v>CEI</v>
      </c>
      <c r="K280" s="125">
        <f t="shared" si="101"/>
        <v>4</v>
      </c>
      <c r="L280" s="125">
        <f>IF(NOT(ISERROR(VLOOKUP(B280,Deflatores!G$42:H$64,2,FALSE))),VLOOKUP(B280,Deflatores!G$42:H$64,2,FALSE),IF(OR(ISBLANK(C280),ISBLANK(B280)),"",VLOOKUP(C280,Deflatores!G$4:H$38,2,FALSE)*H280+VLOOKUP(C280,Deflatores!G$4:I$38,3,FALSE)))</f>
        <v>4</v>
      </c>
      <c r="M280" s="10"/>
      <c r="N280" s="10"/>
      <c r="O280" s="6"/>
    </row>
    <row r="281" spans="1:15">
      <c r="A281" s="119"/>
      <c r="B281" s="4"/>
      <c r="C281" s="4"/>
      <c r="D281" s="7"/>
      <c r="E281" s="7"/>
      <c r="F281" s="116" t="str">
        <f>IF(ISBLANK(B281),"",IF(I281="L","Baixa",IF(I281="A","Média",IF(I281="","","Alta"))))</f>
        <v/>
      </c>
      <c r="G281" s="7" t="str">
        <f>CONCATENATE(B281,I281)</f>
        <v/>
      </c>
      <c r="H281" s="7" t="str">
        <f>IF(ISBLANK(B281),"",IF(B281="ALI",IF(I281="L",7,IF(I281="A",10,15)),IF(B281="AIE",IF(I281="L",5,IF(I281="A",7,10)),IF(B281="SE",IF(I281="L",4,IF(I281="A",5,7)),IF(OR(B281="EE",B281="CE"),IF(I281="L",3,IF(I281="A",4,6)),0)))))</f>
        <v/>
      </c>
      <c r="I281" s="116" t="str">
        <f>IF(OR(ISBLANK(D281),ISBLANK(E281)),IF(OR(B281="ALI",B281="AIE"),"L",IF(OR(B281="EE",B281="SE",B281="CE"),"A","")),IF(B281="EE",IF(E281&gt;=3,IF(D281&gt;=5,"H","A"),IF(E281&gt;=2,IF(D281&gt;=16,"H",IF(D281&lt;=4,"L","A")),IF(D281&lt;=15,"L","A"))),IF(OR(B281="SE",B281="CE"),IF(E281&gt;=4,IF(D281&gt;=6,"H","A"),IF(E281&gt;=2,IF(D281&gt;=20,"H",IF(D281&lt;=5,"L","A")),IF(D281&lt;=19,"L","A"))),IF(OR(B281="ALI",B281="AIE"),IF(E281&gt;=6,IF(D281&gt;=20,"H","A"),IF(E281&gt;=2,IF(D281&gt;=51,"H",IF(D281&lt;=19,"L","A")),IF(D281&lt;=50,"L","A"))),""))))</f>
        <v/>
      </c>
      <c r="J281" s="7" t="str">
        <f>CONCATENATE(B281,C281)</f>
        <v/>
      </c>
      <c r="K281" s="125" t="str">
        <f>IF(OR(H281="",H281=0),L281,H281)</f>
        <v/>
      </c>
      <c r="L281" s="125" t="str">
        <f>IF(NOT(ISERROR(VLOOKUP(B281,Deflatores!G$42:H$64,2,FALSE))),VLOOKUP(B281,Deflatores!G$42:H$64,2,FALSE),IF(OR(ISBLANK(C281),ISBLANK(B281)),"",VLOOKUP(C281,Deflatores!G$4:H$38,2,FALSE)*H281+VLOOKUP(C281,Deflatores!G$4:I$38,3,FALSE)))</f>
        <v/>
      </c>
      <c r="M281" s="10"/>
      <c r="N281" s="10"/>
      <c r="O281" s="6"/>
    </row>
    <row r="282" spans="1:15">
      <c r="A282" s="137" t="s">
        <v>303</v>
      </c>
      <c r="B282" s="4"/>
      <c r="C282" s="4"/>
      <c r="D282" s="7"/>
      <c r="E282" s="7"/>
      <c r="F282" s="116" t="str">
        <f>IF(ISBLANK(B282),"",IF(I282="L","Baixa",IF(I282="A","Média",IF(I282="","","Alta"))))</f>
        <v/>
      </c>
      <c r="G282" s="7" t="str">
        <f>CONCATENATE(B282,I282)</f>
        <v/>
      </c>
      <c r="H282" s="7" t="str">
        <f>IF(ISBLANK(B282),"",IF(B282="ALI",IF(I282="L",7,IF(I282="A",10,15)),IF(B282="AIE",IF(I282="L",5,IF(I282="A",7,10)),IF(B282="SE",IF(I282="L",4,IF(I282="A",5,7)),IF(OR(B282="EE",B282="CE"),IF(I282="L",3,IF(I282="A",4,6)),0)))))</f>
        <v/>
      </c>
      <c r="I282" s="116" t="str">
        <f>IF(OR(ISBLANK(D282),ISBLANK(E282)),IF(OR(B282="ALI",B282="AIE"),"L",IF(OR(B282="EE",B282="SE",B282="CE"),"A","")),IF(B282="EE",IF(E282&gt;=3,IF(D282&gt;=5,"H","A"),IF(E282&gt;=2,IF(D282&gt;=16,"H",IF(D282&lt;=4,"L","A")),IF(D282&lt;=15,"L","A"))),IF(OR(B282="SE",B282="CE"),IF(E282&gt;=4,IF(D282&gt;=6,"H","A"),IF(E282&gt;=2,IF(D282&gt;=20,"H",IF(D282&lt;=5,"L","A")),IF(D282&lt;=19,"L","A"))),IF(OR(B282="ALI",B282="AIE"),IF(E282&gt;=6,IF(D282&gt;=20,"H","A"),IF(E282&gt;=2,IF(D282&gt;=51,"H",IF(D282&lt;=19,"L","A")),IF(D282&lt;=50,"L","A"))),""))))</f>
        <v/>
      </c>
      <c r="J282" s="7" t="str">
        <f>CONCATENATE(B282,C282)</f>
        <v/>
      </c>
      <c r="K282" s="125" t="str">
        <f>IF(OR(H282="",H282=0),L282,H282)</f>
        <v/>
      </c>
      <c r="L282" s="125" t="str">
        <f>IF(NOT(ISERROR(VLOOKUP(B282,Deflatores!G$42:H$64,2,FALSE))),VLOOKUP(B282,Deflatores!G$42:H$64,2,FALSE),IF(OR(ISBLANK(C282),ISBLANK(B282)),"",VLOOKUP(C282,Deflatores!G$4:H$38,2,FALSE)*H282+VLOOKUP(C282,Deflatores!G$4:I$38,3,FALSE)))</f>
        <v/>
      </c>
      <c r="M282" s="10"/>
      <c r="N282" s="10"/>
      <c r="O282" s="6"/>
    </row>
    <row r="283" spans="1:15">
      <c r="A283" s="119" t="s">
        <v>304</v>
      </c>
      <c r="B283" s="4" t="s">
        <v>63</v>
      </c>
      <c r="C283" s="4" t="s">
        <v>49</v>
      </c>
      <c r="D283" s="7">
        <v>8</v>
      </c>
      <c r="E283" s="7">
        <v>2</v>
      </c>
      <c r="F283" s="116" t="str">
        <f>IF(ISBLANK(B283),"",IF(I283="L","Baixa",IF(I283="A","Média",IF(I283="","","Alta"))))</f>
        <v>Média</v>
      </c>
      <c r="G283" s="7" t="str">
        <f>CONCATENATE(B283,I283)</f>
        <v>EEA</v>
      </c>
      <c r="H283" s="7">
        <f>IF(ISBLANK(B283),"",IF(B283="ALI",IF(I283="L",7,IF(I283="A",10,15)),IF(B283="AIE",IF(I283="L",5,IF(I283="A",7,10)),IF(B283="SE",IF(I283="L",4,IF(I283="A",5,7)),IF(OR(B283="EE",B283="CE"),IF(I283="L",3,IF(I283="A",4,6)),0)))))</f>
        <v>4</v>
      </c>
      <c r="I283" s="116" t="str">
        <f>IF(OR(ISBLANK(D283),ISBLANK(E283)),IF(OR(B283="ALI",B283="AIE"),"L",IF(OR(B283="EE",B283="SE",B283="CE"),"A","")),IF(B283="EE",IF(E283&gt;=3,IF(D283&gt;=5,"H","A"),IF(E283&gt;=2,IF(D283&gt;=16,"H",IF(D283&lt;=4,"L","A")),IF(D283&lt;=15,"L","A"))),IF(OR(B283="SE",B283="CE"),IF(E283&gt;=4,IF(D283&gt;=6,"H","A"),IF(E283&gt;=2,IF(D283&gt;=20,"H",IF(D283&lt;=5,"L","A")),IF(D283&lt;=19,"L","A"))),IF(OR(B283="ALI",B283="AIE"),IF(E283&gt;=6,IF(D283&gt;=20,"H","A"),IF(E283&gt;=2,IF(D283&gt;=51,"H",IF(D283&lt;=19,"L","A")),IF(D283&lt;=50,"L","A"))),""))))</f>
        <v>A</v>
      </c>
      <c r="J283" s="7" t="str">
        <f>CONCATENATE(B283,C283)</f>
        <v>EEI</v>
      </c>
      <c r="K283" s="125">
        <f>IF(OR(H283="",H283=0),L283,H283)</f>
        <v>4</v>
      </c>
      <c r="L283" s="125">
        <f>IF(NOT(ISERROR(VLOOKUP(B283,Deflatores!G$42:H$64,2,FALSE))),VLOOKUP(B283,Deflatores!G$42:H$64,2,FALSE),IF(OR(ISBLANK(C283),ISBLANK(B283)),"",VLOOKUP(C283,Deflatores!G$4:H$38,2,FALSE)*H283+VLOOKUP(C283,Deflatores!G$4:I$38,3,FALSE)))</f>
        <v>4</v>
      </c>
      <c r="M283" s="10"/>
      <c r="N283" s="10"/>
      <c r="O283" s="6"/>
    </row>
    <row r="284" spans="1:15">
      <c r="A284" s="119"/>
      <c r="B284" s="4"/>
      <c r="C284" s="4"/>
      <c r="D284" s="7"/>
      <c r="E284" s="7"/>
      <c r="F284" s="116" t="str">
        <f>IF(ISBLANK(B284),"",IF(I284="L","Baixa",IF(I284="A","Média",IF(I284="","","Alta"))))</f>
        <v/>
      </c>
      <c r="G284" s="7" t="str">
        <f>CONCATENATE(B284,I284)</f>
        <v/>
      </c>
      <c r="H284" s="7" t="str">
        <f>IF(ISBLANK(B284),"",IF(B284="ALI",IF(I284="L",7,IF(I284="A",10,15)),IF(B284="AIE",IF(I284="L",5,IF(I284="A",7,10)),IF(B284="SE",IF(I284="L",4,IF(I284="A",5,7)),IF(OR(B284="EE",B284="CE"),IF(I284="L",3,IF(I284="A",4,6)),0)))))</f>
        <v/>
      </c>
      <c r="I284" s="116" t="str">
        <f>IF(OR(ISBLANK(D284),ISBLANK(E284)),IF(OR(B284="ALI",B284="AIE"),"L",IF(OR(B284="EE",B284="SE",B284="CE"),"A","")),IF(B284="EE",IF(E284&gt;=3,IF(D284&gt;=5,"H","A"),IF(E284&gt;=2,IF(D284&gt;=16,"H",IF(D284&lt;=4,"L","A")),IF(D284&lt;=15,"L","A"))),IF(OR(B284="SE",B284="CE"),IF(E284&gt;=4,IF(D284&gt;=6,"H","A"),IF(E284&gt;=2,IF(D284&gt;=20,"H",IF(D284&lt;=5,"L","A")),IF(D284&lt;=19,"L","A"))),IF(OR(B284="ALI",B284="AIE"),IF(E284&gt;=6,IF(D284&gt;=20,"H","A"),IF(E284&gt;=2,IF(D284&gt;=51,"H",IF(D284&lt;=19,"L","A")),IF(D284&lt;=50,"L","A"))),""))))</f>
        <v/>
      </c>
      <c r="J284" s="7" t="str">
        <f>CONCATENATE(B284,C284)</f>
        <v/>
      </c>
      <c r="K284" s="125" t="str">
        <f>IF(OR(H284="",H284=0),L284,H284)</f>
        <v/>
      </c>
      <c r="L284" s="125" t="str">
        <f>IF(NOT(ISERROR(VLOOKUP(B284,Deflatores!G$42:H$64,2,FALSE))),VLOOKUP(B284,Deflatores!G$42:H$64,2,FALSE),IF(OR(ISBLANK(C284),ISBLANK(B284)),"",VLOOKUP(C284,Deflatores!G$4:H$38,2,FALSE)*H284+VLOOKUP(C284,Deflatores!G$4:I$38,3,FALSE)))</f>
        <v/>
      </c>
      <c r="M284" s="10"/>
      <c r="N284" s="10"/>
      <c r="O284" s="6"/>
    </row>
    <row r="285" spans="1:15">
      <c r="A285" s="137" t="s">
        <v>305</v>
      </c>
      <c r="B285" s="4"/>
      <c r="C285" s="4"/>
      <c r="D285" s="7"/>
      <c r="E285" s="7"/>
      <c r="F285" s="116" t="str">
        <f t="shared" si="96"/>
        <v/>
      </c>
      <c r="G285" s="7" t="str">
        <f t="shared" si="97"/>
        <v/>
      </c>
      <c r="H285" s="7" t="str">
        <f t="shared" si="98"/>
        <v/>
      </c>
      <c r="I285" s="116" t="str">
        <f t="shared" si="99"/>
        <v/>
      </c>
      <c r="J285" s="7" t="str">
        <f t="shared" si="100"/>
        <v/>
      </c>
      <c r="K285" s="125" t="str">
        <f t="shared" si="101"/>
        <v/>
      </c>
      <c r="L285" s="125" t="str">
        <f>IF(NOT(ISERROR(VLOOKUP(B285,Deflatores!G$42:H$64,2,FALSE))),VLOOKUP(B285,Deflatores!G$42:H$64,2,FALSE),IF(OR(ISBLANK(C285),ISBLANK(B285)),"",VLOOKUP(C285,Deflatores!G$4:H$38,2,FALSE)*H285+VLOOKUP(C285,Deflatores!G$4:I$38,3,FALSE)))</f>
        <v/>
      </c>
      <c r="M285" s="10"/>
      <c r="N285" s="10"/>
      <c r="O285" s="6"/>
    </row>
    <row r="286" spans="1:15">
      <c r="A286" s="119" t="s">
        <v>306</v>
      </c>
      <c r="B286" s="4" t="s">
        <v>44</v>
      </c>
      <c r="C286" s="4" t="s">
        <v>49</v>
      </c>
      <c r="D286" s="7">
        <v>13</v>
      </c>
      <c r="E286" s="7">
        <v>3</v>
      </c>
      <c r="F286" s="116" t="str">
        <f t="shared" si="96"/>
        <v>Média</v>
      </c>
      <c r="G286" s="7" t="str">
        <f t="shared" si="97"/>
        <v>CEA</v>
      </c>
      <c r="H286" s="7">
        <f t="shared" si="98"/>
        <v>4</v>
      </c>
      <c r="I286" s="116" t="str">
        <f t="shared" si="99"/>
        <v>A</v>
      </c>
      <c r="J286" s="7" t="str">
        <f t="shared" si="100"/>
        <v>CEI</v>
      </c>
      <c r="K286" s="125">
        <f t="shared" si="101"/>
        <v>4</v>
      </c>
      <c r="L286" s="125">
        <f>IF(NOT(ISERROR(VLOOKUP(B286,Deflatores!G$42:H$64,2,FALSE))),VLOOKUP(B286,Deflatores!G$42:H$64,2,FALSE),IF(OR(ISBLANK(C286),ISBLANK(B286)),"",VLOOKUP(C286,Deflatores!G$4:H$38,2,FALSE)*H286+VLOOKUP(C286,Deflatores!G$4:I$38,3,FALSE)))</f>
        <v>4</v>
      </c>
      <c r="M286" s="10"/>
      <c r="N286" s="10"/>
      <c r="O286" s="6"/>
    </row>
    <row r="287" spans="1:15">
      <c r="A287" s="141"/>
      <c r="B287" s="4"/>
      <c r="C287" s="4"/>
      <c r="D287" s="7"/>
      <c r="E287" s="7"/>
      <c r="F287" s="116" t="str">
        <f t="shared" si="96"/>
        <v/>
      </c>
      <c r="G287" s="7" t="str">
        <f t="shared" si="97"/>
        <v/>
      </c>
      <c r="H287" s="7" t="str">
        <f t="shared" si="98"/>
        <v/>
      </c>
      <c r="I287" s="116" t="str">
        <f t="shared" si="99"/>
        <v/>
      </c>
      <c r="J287" s="7" t="str">
        <f t="shared" si="100"/>
        <v/>
      </c>
      <c r="K287" s="125" t="str">
        <f t="shared" si="101"/>
        <v/>
      </c>
      <c r="L287" s="125" t="str">
        <f>IF(NOT(ISERROR(VLOOKUP(B287,Deflatores!G$42:H$64,2,FALSE))),VLOOKUP(B287,Deflatores!G$42:H$64,2,FALSE),IF(OR(ISBLANK(C287),ISBLANK(B287)),"",VLOOKUP(C287,Deflatores!G$4:H$38,2,FALSE)*H287+VLOOKUP(C287,Deflatores!G$4:I$38,3,FALSE)))</f>
        <v/>
      </c>
      <c r="M287" s="10"/>
      <c r="N287" s="10"/>
      <c r="O287" s="6"/>
    </row>
    <row r="288" spans="1:15">
      <c r="A288" s="137" t="s">
        <v>307</v>
      </c>
      <c r="B288" s="4"/>
      <c r="C288" s="4"/>
      <c r="D288" s="7"/>
      <c r="E288" s="7"/>
      <c r="F288" s="116" t="str">
        <f>IF(ISBLANK(B288),"",IF(I288="L","Baixa",IF(I288="A","Média",IF(I288="","","Alta"))))</f>
        <v/>
      </c>
      <c r="G288" s="7" t="str">
        <f>CONCATENATE(B288,I288)</f>
        <v/>
      </c>
      <c r="H288" s="7" t="str">
        <f>IF(ISBLANK(B288),"",IF(B288="ALI",IF(I288="L",7,IF(I288="A",10,15)),IF(B288="AIE",IF(I288="L",5,IF(I288="A",7,10)),IF(B288="SE",IF(I288="L",4,IF(I288="A",5,7)),IF(OR(B288="EE",B288="CE"),IF(I288="L",3,IF(I288="A",4,6)),0)))))</f>
        <v/>
      </c>
      <c r="I288" s="116" t="str">
        <f>IF(OR(ISBLANK(D288),ISBLANK(E288)),IF(OR(B288="ALI",B288="AIE"),"L",IF(OR(B288="EE",B288="SE",B288="CE"),"A","")),IF(B288="EE",IF(E288&gt;=3,IF(D288&gt;=5,"H","A"),IF(E288&gt;=2,IF(D288&gt;=16,"H",IF(D288&lt;=4,"L","A")),IF(D288&lt;=15,"L","A"))),IF(OR(B288="SE",B288="CE"),IF(E288&gt;=4,IF(D288&gt;=6,"H","A"),IF(E288&gt;=2,IF(D288&gt;=20,"H",IF(D288&lt;=5,"L","A")),IF(D288&lt;=19,"L","A"))),IF(OR(B288="ALI",B288="AIE"),IF(E288&gt;=6,IF(D288&gt;=20,"H","A"),IF(E288&gt;=2,IF(D288&gt;=51,"H",IF(D288&lt;=19,"L","A")),IF(D288&lt;=50,"L","A"))),""))))</f>
        <v/>
      </c>
      <c r="J288" s="7" t="str">
        <f>CONCATENATE(B288,C288)</f>
        <v/>
      </c>
      <c r="K288" s="125" t="str">
        <f>IF(OR(H288="",H288=0),L288,H288)</f>
        <v/>
      </c>
      <c r="L288" s="125" t="str">
        <f>IF(NOT(ISERROR(VLOOKUP(B288,Deflatores!G$42:H$64,2,FALSE))),VLOOKUP(B288,Deflatores!G$42:H$64,2,FALSE),IF(OR(ISBLANK(C288),ISBLANK(B288)),"",VLOOKUP(C288,Deflatores!G$4:H$38,2,FALSE)*H288+VLOOKUP(C288,Deflatores!G$4:I$38,3,FALSE)))</f>
        <v/>
      </c>
      <c r="M288" s="10"/>
      <c r="N288" s="10"/>
      <c r="O288" s="6"/>
    </row>
    <row r="289" spans="1:15">
      <c r="A289" s="119" t="s">
        <v>308</v>
      </c>
      <c r="B289" s="4" t="s">
        <v>63</v>
      </c>
      <c r="C289" s="4" t="s">
        <v>49</v>
      </c>
      <c r="D289" s="7">
        <v>6</v>
      </c>
      <c r="E289" s="7">
        <v>4</v>
      </c>
      <c r="F289" s="116" t="str">
        <f>IF(ISBLANK(B289),"",IF(I289="L","Baixa",IF(I289="A","Média",IF(I289="","","Alta"))))</f>
        <v>Alta</v>
      </c>
      <c r="G289" s="7" t="str">
        <f>CONCATENATE(B289,I289)</f>
        <v>EEH</v>
      </c>
      <c r="H289" s="7">
        <f>IF(ISBLANK(B289),"",IF(B289="ALI",IF(I289="L",7,IF(I289="A",10,15)),IF(B289="AIE",IF(I289="L",5,IF(I289="A",7,10)),IF(B289="SE",IF(I289="L",4,IF(I289="A",5,7)),IF(OR(B289="EE",B289="CE"),IF(I289="L",3,IF(I289="A",4,6)),0)))))</f>
        <v>6</v>
      </c>
      <c r="I289" s="116" t="str">
        <f>IF(OR(ISBLANK(D289),ISBLANK(E289)),IF(OR(B289="ALI",B289="AIE"),"L",IF(OR(B289="EE",B289="SE",B289="CE"),"A","")),IF(B289="EE",IF(E289&gt;=3,IF(D289&gt;=5,"H","A"),IF(E289&gt;=2,IF(D289&gt;=16,"H",IF(D289&lt;=4,"L","A")),IF(D289&lt;=15,"L","A"))),IF(OR(B289="SE",B289="CE"),IF(E289&gt;=4,IF(D289&gt;=6,"H","A"),IF(E289&gt;=2,IF(D289&gt;=20,"H",IF(D289&lt;=5,"L","A")),IF(D289&lt;=19,"L","A"))),IF(OR(B289="ALI",B289="AIE"),IF(E289&gt;=6,IF(D289&gt;=20,"H","A"),IF(E289&gt;=2,IF(D289&gt;=51,"H",IF(D289&lt;=19,"L","A")),IF(D289&lt;=50,"L","A"))),""))))</f>
        <v>H</v>
      </c>
      <c r="J289" s="7" t="str">
        <f>CONCATENATE(B289,C289)</f>
        <v>EEI</v>
      </c>
      <c r="K289" s="125">
        <f>IF(OR(H289="",H289=0),L289,H289)</f>
        <v>6</v>
      </c>
      <c r="L289" s="125">
        <f>IF(NOT(ISERROR(VLOOKUP(B289,Deflatores!G$42:H$64,2,FALSE))),VLOOKUP(B289,Deflatores!G$42:H$64,2,FALSE),IF(OR(ISBLANK(C289),ISBLANK(B289)),"",VLOOKUP(C289,Deflatores!G$4:H$38,2,FALSE)*H289+VLOOKUP(C289,Deflatores!G$4:I$38,3,FALSE)))</f>
        <v>6</v>
      </c>
      <c r="M289" s="10"/>
      <c r="N289" s="10"/>
      <c r="O289" s="135"/>
    </row>
    <row r="290" spans="1:15">
      <c r="A290" s="142" t="s">
        <v>309</v>
      </c>
      <c r="B290" s="4" t="s">
        <v>44</v>
      </c>
      <c r="C290" s="4" t="s">
        <v>49</v>
      </c>
      <c r="D290" s="7">
        <v>12</v>
      </c>
      <c r="E290" s="7">
        <v>6</v>
      </c>
      <c r="F290" s="116" t="str">
        <f>IF(ISBLANK(B290),"",IF(I290="L","Baixa",IF(I290="A","Média",IF(I290="","","Alta"))))</f>
        <v>Alta</v>
      </c>
      <c r="G290" s="7" t="str">
        <f>CONCATENATE(B290,I290)</f>
        <v>CEH</v>
      </c>
      <c r="H290" s="7">
        <f>IF(ISBLANK(B290),"",IF(B290="ALI",IF(I290="L",7,IF(I290="A",10,15)),IF(B290="AIE",IF(I290="L",5,IF(I290="A",7,10)),IF(B290="SE",IF(I290="L",4,IF(I290="A",5,7)),IF(OR(B290="EE",B290="CE"),IF(I290="L",3,IF(I290="A",4,6)),0)))))</f>
        <v>6</v>
      </c>
      <c r="I290" s="116" t="str">
        <f>IF(OR(ISBLANK(D290),ISBLANK(E290)),IF(OR(B290="ALI",B290="AIE"),"L",IF(OR(B290="EE",B290="SE",B290="CE"),"A","")),IF(B290="EE",IF(E290&gt;=3,IF(D290&gt;=5,"H","A"),IF(E290&gt;=2,IF(D290&gt;=16,"H",IF(D290&lt;=4,"L","A")),IF(D290&lt;=15,"L","A"))),IF(OR(B290="SE",B290="CE"),IF(E290&gt;=4,IF(D290&gt;=6,"H","A"),IF(E290&gt;=2,IF(D290&gt;=20,"H",IF(D290&lt;=5,"L","A")),IF(D290&lt;=19,"L","A"))),IF(OR(B290="ALI",B290="AIE"),IF(E290&gt;=6,IF(D290&gt;=20,"H","A"),IF(E290&gt;=2,IF(D290&gt;=51,"H",IF(D290&lt;=19,"L","A")),IF(D290&lt;=50,"L","A"))),""))))</f>
        <v>H</v>
      </c>
      <c r="J290" s="7" t="str">
        <f>CONCATENATE(B290,C290)</f>
        <v>CEI</v>
      </c>
      <c r="K290" s="125">
        <f>IF(OR(H290="",H290=0),L290,H290)</f>
        <v>6</v>
      </c>
      <c r="L290" s="125">
        <f>IF(NOT(ISERROR(VLOOKUP(B290,Deflatores!G$42:H$64,2,FALSE))),VLOOKUP(B290,Deflatores!G$42:H$64,2,FALSE),IF(OR(ISBLANK(C290),ISBLANK(B290)),"",VLOOKUP(C290,Deflatores!G$4:H$38,2,FALSE)*H290+VLOOKUP(C290,Deflatores!G$4:I$38,3,FALSE)))</f>
        <v>6</v>
      </c>
      <c r="M290" s="10"/>
      <c r="N290" s="10"/>
      <c r="O290" s="6"/>
    </row>
    <row r="291" spans="1:15">
      <c r="A291" s="144"/>
      <c r="B291" s="4"/>
      <c r="C291" s="4"/>
      <c r="D291" s="7"/>
      <c r="E291" s="7"/>
      <c r="F291" s="116" t="str">
        <f t="shared" si="96"/>
        <v/>
      </c>
      <c r="G291" s="7" t="str">
        <f t="shared" si="97"/>
        <v/>
      </c>
      <c r="H291" s="7" t="str">
        <f t="shared" si="98"/>
        <v/>
      </c>
      <c r="I291" s="116" t="str">
        <f t="shared" si="99"/>
        <v/>
      </c>
      <c r="J291" s="7" t="str">
        <f t="shared" si="100"/>
        <v/>
      </c>
      <c r="K291" s="125" t="str">
        <f t="shared" si="101"/>
        <v/>
      </c>
      <c r="L291" s="125" t="str">
        <f>IF(NOT(ISERROR(VLOOKUP(B291,Deflatores!G$42:H$64,2,FALSE))),VLOOKUP(B291,Deflatores!G$42:H$64,2,FALSE),IF(OR(ISBLANK(C291),ISBLANK(B291)),"",VLOOKUP(C291,Deflatores!G$4:H$38,2,FALSE)*H291+VLOOKUP(C291,Deflatores!G$4:I$38,3,FALSE)))</f>
        <v/>
      </c>
      <c r="M291" s="10"/>
      <c r="N291" s="10"/>
      <c r="O291" s="6"/>
    </row>
    <row r="292" spans="1:15">
      <c r="A292" s="137" t="s">
        <v>310</v>
      </c>
      <c r="B292" s="4"/>
      <c r="C292" s="4"/>
      <c r="D292" s="7"/>
      <c r="E292" s="7"/>
      <c r="F292" s="116" t="str">
        <f t="shared" si="96"/>
        <v/>
      </c>
      <c r="G292" s="7" t="str">
        <f t="shared" si="97"/>
        <v/>
      </c>
      <c r="H292" s="7" t="str">
        <f t="shared" si="98"/>
        <v/>
      </c>
      <c r="I292" s="116" t="str">
        <f t="shared" si="99"/>
        <v/>
      </c>
      <c r="J292" s="7" t="str">
        <f t="shared" si="100"/>
        <v/>
      </c>
      <c r="K292" s="125" t="str">
        <f t="shared" si="101"/>
        <v/>
      </c>
      <c r="L292" s="125" t="str">
        <f>IF(NOT(ISERROR(VLOOKUP(B292,Deflatores!G$42:H$64,2,FALSE))),VLOOKUP(B292,Deflatores!G$42:H$64,2,FALSE),IF(OR(ISBLANK(C292),ISBLANK(B292)),"",VLOOKUP(C292,Deflatores!G$4:H$38,2,FALSE)*H292+VLOOKUP(C292,Deflatores!G$4:I$38,3,FALSE)))</f>
        <v/>
      </c>
      <c r="M292" s="10"/>
      <c r="N292" s="10"/>
      <c r="O292" s="6"/>
    </row>
    <row r="293" spans="1:15">
      <c r="A293" s="119" t="s">
        <v>311</v>
      </c>
      <c r="B293" s="4" t="s">
        <v>44</v>
      </c>
      <c r="C293" s="4" t="s">
        <v>49</v>
      </c>
      <c r="D293" s="7">
        <v>13</v>
      </c>
      <c r="E293" s="7">
        <v>6</v>
      </c>
      <c r="F293" s="116" t="str">
        <f>IF(ISBLANK(B293),"",IF(I293="L","Baixa",IF(I293="A","Média",IF(I293="","","Alta"))))</f>
        <v>Alta</v>
      </c>
      <c r="G293" s="7" t="str">
        <f>CONCATENATE(B293,I293)</f>
        <v>CEH</v>
      </c>
      <c r="H293" s="7">
        <f>IF(ISBLANK(B293),"",IF(B293="ALI",IF(I293="L",7,IF(I293="A",10,15)),IF(B293="AIE",IF(I293="L",5,IF(I293="A",7,10)),IF(B293="SE",IF(I293="L",4,IF(I293="A",5,7)),IF(OR(B293="EE",B293="CE"),IF(I293="L",3,IF(I293="A",4,6)),0)))))</f>
        <v>6</v>
      </c>
      <c r="I293" s="116" t="str">
        <f>IF(OR(ISBLANK(D293),ISBLANK(E293)),IF(OR(B293="ALI",B293="AIE"),"L",IF(OR(B293="EE",B293="SE",B293="CE"),"A","")),IF(B293="EE",IF(E293&gt;=3,IF(D293&gt;=5,"H","A"),IF(E293&gt;=2,IF(D293&gt;=16,"H",IF(D293&lt;=4,"L","A")),IF(D293&lt;=15,"L","A"))),IF(OR(B293="SE",B293="CE"),IF(E293&gt;=4,IF(D293&gt;=6,"H","A"),IF(E293&gt;=2,IF(D293&gt;=20,"H",IF(D293&lt;=5,"L","A")),IF(D293&lt;=19,"L","A"))),IF(OR(B293="ALI",B293="AIE"),IF(E293&gt;=6,IF(D293&gt;=20,"H","A"),IF(E293&gt;=2,IF(D293&gt;=51,"H",IF(D293&lt;=19,"L","A")),IF(D293&lt;=50,"L","A"))),""))))</f>
        <v>H</v>
      </c>
      <c r="J293" s="7" t="str">
        <f>CONCATENATE(B293,C293)</f>
        <v>CEI</v>
      </c>
      <c r="K293" s="125">
        <f>IF(OR(H293="",H293=0),L293,H293)</f>
        <v>6</v>
      </c>
      <c r="L293" s="125">
        <f>IF(NOT(ISERROR(VLOOKUP(B293,Deflatores!G$42:H$64,2,FALSE))),VLOOKUP(B293,Deflatores!G$42:H$64,2,FALSE),IF(OR(ISBLANK(C293),ISBLANK(B293)),"",VLOOKUP(C293,Deflatores!G$4:H$38,2,FALSE)*H293+VLOOKUP(C293,Deflatores!G$4:I$38,3,FALSE)))</f>
        <v>6</v>
      </c>
      <c r="M293" s="10"/>
      <c r="N293" s="10"/>
      <c r="O293" s="6"/>
    </row>
    <row r="294" spans="1:15">
      <c r="A294" s="119" t="s">
        <v>312</v>
      </c>
      <c r="B294" s="4" t="s">
        <v>63</v>
      </c>
      <c r="C294" s="4" t="s">
        <v>49</v>
      </c>
      <c r="D294" s="7">
        <v>3</v>
      </c>
      <c r="E294" s="7">
        <v>3</v>
      </c>
      <c r="F294" s="116" t="str">
        <f t="shared" si="96"/>
        <v>Média</v>
      </c>
      <c r="G294" s="7" t="str">
        <f t="shared" si="97"/>
        <v>EEA</v>
      </c>
      <c r="H294" s="7">
        <f t="shared" si="98"/>
        <v>4</v>
      </c>
      <c r="I294" s="116" t="str">
        <f t="shared" si="99"/>
        <v>A</v>
      </c>
      <c r="J294" s="7" t="str">
        <f t="shared" si="100"/>
        <v>EEI</v>
      </c>
      <c r="K294" s="125">
        <f t="shared" si="101"/>
        <v>4</v>
      </c>
      <c r="L294" s="125">
        <f>IF(NOT(ISERROR(VLOOKUP(B294,Deflatores!G$42:H$64,2,FALSE))),VLOOKUP(B294,Deflatores!G$42:H$64,2,FALSE),IF(OR(ISBLANK(C294),ISBLANK(B294)),"",VLOOKUP(C294,Deflatores!G$4:H$38,2,FALSE)*H294+VLOOKUP(C294,Deflatores!G$4:I$38,3,FALSE)))</f>
        <v>4</v>
      </c>
      <c r="M294" s="10"/>
      <c r="N294" s="10"/>
      <c r="O294" s="135"/>
    </row>
    <row r="295" spans="1:15">
      <c r="A295" s="119" t="s">
        <v>313</v>
      </c>
      <c r="B295" s="4" t="s">
        <v>63</v>
      </c>
      <c r="C295" s="4" t="s">
        <v>49</v>
      </c>
      <c r="D295" s="7">
        <v>4</v>
      </c>
      <c r="E295" s="7">
        <v>3</v>
      </c>
      <c r="F295" s="116" t="str">
        <f t="shared" si="96"/>
        <v>Média</v>
      </c>
      <c r="G295" s="7" t="str">
        <f t="shared" si="97"/>
        <v>EEA</v>
      </c>
      <c r="H295" s="7">
        <f t="shared" si="98"/>
        <v>4</v>
      </c>
      <c r="I295" s="116" t="str">
        <f t="shared" si="99"/>
        <v>A</v>
      </c>
      <c r="J295" s="7" t="str">
        <f t="shared" si="100"/>
        <v>EEI</v>
      </c>
      <c r="K295" s="125">
        <f t="shared" si="101"/>
        <v>4</v>
      </c>
      <c r="L295" s="125">
        <f>IF(NOT(ISERROR(VLOOKUP(B295,Deflatores!G$42:H$64,2,FALSE))),VLOOKUP(B295,Deflatores!G$42:H$64,2,FALSE),IF(OR(ISBLANK(C295),ISBLANK(B295)),"",VLOOKUP(C295,Deflatores!G$4:H$38,2,FALSE)*H295+VLOOKUP(C295,Deflatores!G$4:I$38,3,FALSE)))</f>
        <v>4</v>
      </c>
      <c r="M295" s="10"/>
      <c r="N295" s="10"/>
      <c r="O295" s="135"/>
    </row>
    <row r="296" spans="1:15">
      <c r="A296" s="119"/>
      <c r="B296" s="4"/>
      <c r="C296" s="4"/>
      <c r="D296" s="7"/>
      <c r="E296" s="7"/>
      <c r="F296" s="116" t="str">
        <f t="shared" ref="F296:F323" si="108">IF(ISBLANK(B296),"",IF(I296="L","Baixa",IF(I296="A","Média",IF(I296="","","Alta"))))</f>
        <v/>
      </c>
      <c r="G296" s="7" t="str">
        <f t="shared" ref="G296:G323" si="109">CONCATENATE(B296,I296)</f>
        <v/>
      </c>
      <c r="H296" s="7" t="str">
        <f t="shared" ref="H296:H323" si="110">IF(ISBLANK(B296),"",IF(B296="ALI",IF(I296="L",7,IF(I296="A",10,15)),IF(B296="AIE",IF(I296="L",5,IF(I296="A",7,10)),IF(B296="SE",IF(I296="L",4,IF(I296="A",5,7)),IF(OR(B296="EE",B296="CE"),IF(I296="L",3,IF(I296="A",4,6)),0)))))</f>
        <v/>
      </c>
      <c r="I296" s="116" t="str">
        <f t="shared" ref="I296:I323" si="111">IF(OR(ISBLANK(D296),ISBLANK(E296)),IF(OR(B296="ALI",B296="AIE"),"L",IF(OR(B296="EE",B296="SE",B296="CE"),"A","")),IF(B296="EE",IF(E296&gt;=3,IF(D296&gt;=5,"H","A"),IF(E296&gt;=2,IF(D296&gt;=16,"H",IF(D296&lt;=4,"L","A")),IF(D296&lt;=15,"L","A"))),IF(OR(B296="SE",B296="CE"),IF(E296&gt;=4,IF(D296&gt;=6,"H","A"),IF(E296&gt;=2,IF(D296&gt;=20,"H",IF(D296&lt;=5,"L","A")),IF(D296&lt;=19,"L","A"))),IF(OR(B296="ALI",B296="AIE"),IF(E296&gt;=6,IF(D296&gt;=20,"H","A"),IF(E296&gt;=2,IF(D296&gt;=51,"H",IF(D296&lt;=19,"L","A")),IF(D296&lt;=50,"L","A"))),""))))</f>
        <v/>
      </c>
      <c r="J296" s="7" t="str">
        <f t="shared" ref="J296:J323" si="112">CONCATENATE(B296,C296)</f>
        <v/>
      </c>
      <c r="K296" s="125" t="str">
        <f t="shared" ref="K296:K323" si="113">IF(OR(H296="",H296=0),L296,H296)</f>
        <v/>
      </c>
      <c r="L296" s="125" t="str">
        <f>IF(NOT(ISERROR(VLOOKUP(B296,Deflatores!G$42:H$64,2,FALSE))),VLOOKUP(B296,Deflatores!G$42:H$64,2,FALSE),IF(OR(ISBLANK(C296),ISBLANK(B296)),"",VLOOKUP(C296,Deflatores!G$4:H$38,2,FALSE)*H296+VLOOKUP(C296,Deflatores!G$4:I$38,3,FALSE)))</f>
        <v/>
      </c>
      <c r="M296" s="10"/>
      <c r="N296" s="10"/>
      <c r="O296" s="6"/>
    </row>
    <row r="297" spans="1:15">
      <c r="A297" s="137" t="s">
        <v>314</v>
      </c>
      <c r="B297" s="4"/>
      <c r="C297" s="4"/>
      <c r="D297" s="7"/>
      <c r="E297" s="7"/>
      <c r="F297" s="116" t="str">
        <f t="shared" si="108"/>
        <v/>
      </c>
      <c r="G297" s="7" t="str">
        <f t="shared" si="109"/>
        <v/>
      </c>
      <c r="H297" s="7" t="str">
        <f t="shared" si="110"/>
        <v/>
      </c>
      <c r="I297" s="116" t="str">
        <f t="shared" si="111"/>
        <v/>
      </c>
      <c r="J297" s="7" t="str">
        <f t="shared" si="112"/>
        <v/>
      </c>
      <c r="K297" s="125" t="str">
        <f t="shared" si="113"/>
        <v/>
      </c>
      <c r="L297" s="125" t="str">
        <f>IF(NOT(ISERROR(VLOOKUP(B297,Deflatores!G$42:H$64,2,FALSE))),VLOOKUP(B297,Deflatores!G$42:H$64,2,FALSE),IF(OR(ISBLANK(C297),ISBLANK(B297)),"",VLOOKUP(C297,Deflatores!G$4:H$38,2,FALSE)*H297+VLOOKUP(C297,Deflatores!G$4:I$38,3,FALSE)))</f>
        <v/>
      </c>
      <c r="M297" s="10"/>
      <c r="N297" s="10"/>
      <c r="O297" s="6"/>
    </row>
    <row r="298" spans="1:15">
      <c r="A298" s="119" t="s">
        <v>315</v>
      </c>
      <c r="B298" s="4" t="s">
        <v>55</v>
      </c>
      <c r="C298" s="4" t="s">
        <v>49</v>
      </c>
      <c r="D298" s="7">
        <v>16</v>
      </c>
      <c r="E298" s="7">
        <v>2</v>
      </c>
      <c r="F298" s="116" t="str">
        <f t="shared" si="108"/>
        <v>Baixa</v>
      </c>
      <c r="G298" s="7" t="str">
        <f t="shared" si="109"/>
        <v>ALIL</v>
      </c>
      <c r="H298" s="7">
        <f t="shared" si="110"/>
        <v>7</v>
      </c>
      <c r="I298" s="116" t="str">
        <f t="shared" si="111"/>
        <v>L</v>
      </c>
      <c r="J298" s="7" t="str">
        <f t="shared" si="112"/>
        <v>ALII</v>
      </c>
      <c r="K298" s="125">
        <f t="shared" si="113"/>
        <v>7</v>
      </c>
      <c r="L298" s="125">
        <f>IF(NOT(ISERROR(VLOOKUP(B298,Deflatores!G$42:H$64,2,FALSE))),VLOOKUP(B298,Deflatores!G$42:H$64,2,FALSE),IF(OR(ISBLANK(C298),ISBLANK(B298)),"",VLOOKUP(C298,Deflatores!G$4:H$38,2,FALSE)*H298+VLOOKUP(C298,Deflatores!G$4:I$38,3,FALSE)))</f>
        <v>7</v>
      </c>
      <c r="M298" s="10"/>
      <c r="N298" s="10"/>
      <c r="O298" s="6"/>
    </row>
    <row r="299" spans="1:15">
      <c r="A299" s="119" t="s">
        <v>316</v>
      </c>
      <c r="B299" s="4" t="s">
        <v>58</v>
      </c>
      <c r="C299" s="4" t="s">
        <v>49</v>
      </c>
      <c r="D299" s="7">
        <v>18</v>
      </c>
      <c r="E299" s="7">
        <v>4</v>
      </c>
      <c r="F299" s="116" t="str">
        <f t="shared" si="108"/>
        <v>Alta</v>
      </c>
      <c r="G299" s="7" t="str">
        <f t="shared" si="109"/>
        <v>SEH</v>
      </c>
      <c r="H299" s="7">
        <f t="shared" si="110"/>
        <v>7</v>
      </c>
      <c r="I299" s="116" t="str">
        <f t="shared" si="111"/>
        <v>H</v>
      </c>
      <c r="J299" s="7" t="str">
        <f t="shared" si="112"/>
        <v>SEI</v>
      </c>
      <c r="K299" s="125">
        <f t="shared" si="113"/>
        <v>7</v>
      </c>
      <c r="L299" s="125">
        <f>IF(NOT(ISERROR(VLOOKUP(B299,Deflatores!G$42:H$64,2,FALSE))),VLOOKUP(B299,Deflatores!G$42:H$64,2,FALSE),IF(OR(ISBLANK(C299),ISBLANK(B299)),"",VLOOKUP(C299,Deflatores!G$4:H$38,2,FALSE)*H299+VLOOKUP(C299,Deflatores!G$4:I$38,3,FALSE)))</f>
        <v>7</v>
      </c>
      <c r="M299" s="10"/>
      <c r="N299" s="10"/>
      <c r="O299" s="6"/>
    </row>
    <row r="300" spans="1:15">
      <c r="A300" s="119" t="s">
        <v>317</v>
      </c>
      <c r="B300" s="4" t="s">
        <v>63</v>
      </c>
      <c r="C300" s="4" t="s">
        <v>49</v>
      </c>
      <c r="D300" s="7">
        <v>4</v>
      </c>
      <c r="E300" s="7">
        <v>4</v>
      </c>
      <c r="F300" s="116" t="str">
        <f t="shared" si="108"/>
        <v>Média</v>
      </c>
      <c r="G300" s="7" t="str">
        <f t="shared" si="109"/>
        <v>EEA</v>
      </c>
      <c r="H300" s="7">
        <f t="shared" si="110"/>
        <v>4</v>
      </c>
      <c r="I300" s="116" t="str">
        <f t="shared" si="111"/>
        <v>A</v>
      </c>
      <c r="J300" s="7" t="str">
        <f t="shared" si="112"/>
        <v>EEI</v>
      </c>
      <c r="K300" s="125">
        <f t="shared" si="113"/>
        <v>4</v>
      </c>
      <c r="L300" s="125">
        <f>IF(NOT(ISERROR(VLOOKUP(B300,Deflatores!G$42:H$64,2,FALSE))),VLOOKUP(B300,Deflatores!G$42:H$64,2,FALSE),IF(OR(ISBLANK(C300),ISBLANK(B300)),"",VLOOKUP(C300,Deflatores!G$4:H$38,2,FALSE)*H300+VLOOKUP(C300,Deflatores!G$4:I$38,3,FALSE)))</f>
        <v>4</v>
      </c>
      <c r="M300" s="10"/>
      <c r="N300" s="10"/>
      <c r="O300" s="6"/>
    </row>
    <row r="301" spans="1:15">
      <c r="A301" s="119" t="s">
        <v>318</v>
      </c>
      <c r="B301" s="4" t="s">
        <v>63</v>
      </c>
      <c r="C301" s="4" t="s">
        <v>49</v>
      </c>
      <c r="D301" s="7">
        <v>3</v>
      </c>
      <c r="E301" s="7">
        <v>4</v>
      </c>
      <c r="F301" s="116" t="str">
        <f t="shared" si="108"/>
        <v>Média</v>
      </c>
      <c r="G301" s="7" t="str">
        <f t="shared" si="109"/>
        <v>EEA</v>
      </c>
      <c r="H301" s="7">
        <f t="shared" si="110"/>
        <v>4</v>
      </c>
      <c r="I301" s="116" t="str">
        <f t="shared" si="111"/>
        <v>A</v>
      </c>
      <c r="J301" s="7" t="str">
        <f t="shared" si="112"/>
        <v>EEI</v>
      </c>
      <c r="K301" s="125">
        <f t="shared" si="113"/>
        <v>4</v>
      </c>
      <c r="L301" s="125">
        <f>IF(NOT(ISERROR(VLOOKUP(B301,Deflatores!G$42:H$64,2,FALSE))),VLOOKUP(B301,Deflatores!G$42:H$64,2,FALSE),IF(OR(ISBLANK(C301),ISBLANK(B301)),"",VLOOKUP(C301,Deflatores!G$4:H$38,2,FALSE)*H301+VLOOKUP(C301,Deflatores!G$4:I$38,3,FALSE)))</f>
        <v>4</v>
      </c>
      <c r="M301" s="10"/>
      <c r="N301" s="10"/>
      <c r="O301" s="6"/>
    </row>
    <row r="302" spans="1:15">
      <c r="A302" s="119"/>
      <c r="B302" s="4"/>
      <c r="C302" s="4"/>
      <c r="D302" s="7"/>
      <c r="E302" s="7"/>
      <c r="F302" s="116" t="str">
        <f t="shared" si="108"/>
        <v/>
      </c>
      <c r="G302" s="7" t="str">
        <f t="shared" si="109"/>
        <v/>
      </c>
      <c r="H302" s="7" t="str">
        <f t="shared" si="110"/>
        <v/>
      </c>
      <c r="I302" s="116" t="str">
        <f t="shared" si="111"/>
        <v/>
      </c>
      <c r="J302" s="7" t="str">
        <f t="shared" si="112"/>
        <v/>
      </c>
      <c r="K302" s="125" t="str">
        <f t="shared" si="113"/>
        <v/>
      </c>
      <c r="L302" s="125" t="str">
        <f>IF(NOT(ISERROR(VLOOKUP(B302,Deflatores!G$42:H$64,2,FALSE))),VLOOKUP(B302,Deflatores!G$42:H$64,2,FALSE),IF(OR(ISBLANK(C302),ISBLANK(B302)),"",VLOOKUP(C302,Deflatores!G$4:H$38,2,FALSE)*H302+VLOOKUP(C302,Deflatores!G$4:I$38,3,FALSE)))</f>
        <v/>
      </c>
      <c r="M302" s="10"/>
      <c r="N302" s="10"/>
      <c r="O302" s="6"/>
    </row>
    <row r="303" spans="1:15">
      <c r="A303" s="137" t="s">
        <v>319</v>
      </c>
      <c r="B303" s="4"/>
      <c r="C303" s="4"/>
      <c r="D303" s="7"/>
      <c r="E303" s="7"/>
      <c r="F303" s="116" t="str">
        <f t="shared" si="108"/>
        <v/>
      </c>
      <c r="G303" s="7" t="str">
        <f t="shared" si="109"/>
        <v/>
      </c>
      <c r="H303" s="7" t="str">
        <f t="shared" si="110"/>
        <v/>
      </c>
      <c r="I303" s="116" t="str">
        <f t="shared" si="111"/>
        <v/>
      </c>
      <c r="J303" s="7" t="str">
        <f t="shared" si="112"/>
        <v/>
      </c>
      <c r="K303" s="125" t="str">
        <f t="shared" si="113"/>
        <v/>
      </c>
      <c r="L303" s="125" t="str">
        <f>IF(NOT(ISERROR(VLOOKUP(B303,Deflatores!G$42:H$64,2,FALSE))),VLOOKUP(B303,Deflatores!G$42:H$64,2,FALSE),IF(OR(ISBLANK(C303),ISBLANK(B303)),"",VLOOKUP(C303,Deflatores!G$4:H$38,2,FALSE)*H303+VLOOKUP(C303,Deflatores!G$4:I$38,3,FALSE)))</f>
        <v/>
      </c>
      <c r="M303" s="10"/>
      <c r="N303" s="10"/>
      <c r="O303" s="6"/>
    </row>
    <row r="304" spans="1:15">
      <c r="A304" s="119" t="s">
        <v>320</v>
      </c>
      <c r="B304" s="4" t="s">
        <v>63</v>
      </c>
      <c r="C304" s="4" t="s">
        <v>49</v>
      </c>
      <c r="D304" s="7">
        <v>5</v>
      </c>
      <c r="E304" s="7">
        <v>1</v>
      </c>
      <c r="F304" s="116" t="str">
        <f t="shared" si="108"/>
        <v>Baixa</v>
      </c>
      <c r="G304" s="7" t="str">
        <f t="shared" si="109"/>
        <v>EEL</v>
      </c>
      <c r="H304" s="7">
        <f t="shared" si="110"/>
        <v>3</v>
      </c>
      <c r="I304" s="116" t="str">
        <f t="shared" si="111"/>
        <v>L</v>
      </c>
      <c r="J304" s="7" t="str">
        <f t="shared" si="112"/>
        <v>EEI</v>
      </c>
      <c r="K304" s="125">
        <f t="shared" si="113"/>
        <v>3</v>
      </c>
      <c r="L304" s="125">
        <f>IF(NOT(ISERROR(VLOOKUP(B304,Deflatores!G$42:H$64,2,FALSE))),VLOOKUP(B304,Deflatores!G$42:H$64,2,FALSE),IF(OR(ISBLANK(C304),ISBLANK(B304)),"",VLOOKUP(C304,Deflatores!G$4:H$38,2,FALSE)*H304+VLOOKUP(C304,Deflatores!G$4:I$38,3,FALSE)))</f>
        <v>3</v>
      </c>
      <c r="M304" s="10"/>
      <c r="N304" s="10"/>
      <c r="O304" s="6"/>
    </row>
    <row r="305" spans="1:15">
      <c r="A305" s="142" t="s">
        <v>321</v>
      </c>
      <c r="B305" s="4" t="s">
        <v>44</v>
      </c>
      <c r="C305" s="4" t="s">
        <v>49</v>
      </c>
      <c r="D305" s="7">
        <v>3</v>
      </c>
      <c r="E305" s="7">
        <v>1</v>
      </c>
      <c r="F305" s="116" t="str">
        <f t="shared" si="108"/>
        <v>Baixa</v>
      </c>
      <c r="G305" s="7" t="str">
        <f t="shared" si="109"/>
        <v>CEL</v>
      </c>
      <c r="H305" s="7">
        <f t="shared" si="110"/>
        <v>3</v>
      </c>
      <c r="I305" s="116" t="str">
        <f t="shared" si="111"/>
        <v>L</v>
      </c>
      <c r="J305" s="7" t="str">
        <f t="shared" si="112"/>
        <v>CEI</v>
      </c>
      <c r="K305" s="125">
        <f t="shared" si="113"/>
        <v>3</v>
      </c>
      <c r="L305" s="125">
        <f>IF(NOT(ISERROR(VLOOKUP(B305,Deflatores!G$42:H$64,2,FALSE))),VLOOKUP(B305,Deflatores!G$42:H$64,2,FALSE),IF(OR(ISBLANK(C305),ISBLANK(B305)),"",VLOOKUP(C305,Deflatores!G$4:H$38,2,FALSE)*H305+VLOOKUP(C305,Deflatores!G$4:I$38,3,FALSE)))</f>
        <v>3</v>
      </c>
      <c r="M305" s="10"/>
      <c r="N305" s="10"/>
      <c r="O305" s="6"/>
    </row>
    <row r="306" spans="1:15">
      <c r="A306" s="119"/>
      <c r="B306" s="4"/>
      <c r="C306" s="4"/>
      <c r="D306" s="7"/>
      <c r="E306" s="7"/>
      <c r="F306" s="116" t="str">
        <f>IF(ISBLANK(B306),"",IF(I306="L","Baixa",IF(I306="A","Média",IF(I306="","","Alta"))))</f>
        <v/>
      </c>
      <c r="G306" s="7" t="str">
        <f>CONCATENATE(B306,I306)</f>
        <v/>
      </c>
      <c r="H306" s="7" t="str">
        <f>IF(ISBLANK(B306),"",IF(B306="ALI",IF(I306="L",7,IF(I306="A",10,15)),IF(B306="AIE",IF(I306="L",5,IF(I306="A",7,10)),IF(B306="SE",IF(I306="L",4,IF(I306="A",5,7)),IF(OR(B306="EE",B306="CE"),IF(I306="L",3,IF(I306="A",4,6)),0)))))</f>
        <v/>
      </c>
      <c r="I306" s="116" t="str">
        <f>IF(OR(ISBLANK(D306),ISBLANK(E306)),IF(OR(B306="ALI",B306="AIE"),"L",IF(OR(B306="EE",B306="SE",B306="CE"),"A","")),IF(B306="EE",IF(E306&gt;=3,IF(D306&gt;=5,"H","A"),IF(E306&gt;=2,IF(D306&gt;=16,"H",IF(D306&lt;=4,"L","A")),IF(D306&lt;=15,"L","A"))),IF(OR(B306="SE",B306="CE"),IF(E306&gt;=4,IF(D306&gt;=6,"H","A"),IF(E306&gt;=2,IF(D306&gt;=20,"H",IF(D306&lt;=5,"L","A")),IF(D306&lt;=19,"L","A"))),IF(OR(B306="ALI",B306="AIE"),IF(E306&gt;=6,IF(D306&gt;=20,"H","A"),IF(E306&gt;=2,IF(D306&gt;=51,"H",IF(D306&lt;=19,"L","A")),IF(D306&lt;=50,"L","A"))),""))))</f>
        <v/>
      </c>
      <c r="J306" s="7" t="str">
        <f>CONCATENATE(B306,C306)</f>
        <v/>
      </c>
      <c r="K306" s="125" t="str">
        <f>IF(OR(H306="",H306=0),L306,H306)</f>
        <v/>
      </c>
      <c r="L306" s="125" t="str">
        <f>IF(NOT(ISERROR(VLOOKUP(B306,Deflatores!G$42:H$64,2,FALSE))),VLOOKUP(B306,Deflatores!G$42:H$64,2,FALSE),IF(OR(ISBLANK(C306),ISBLANK(B306)),"",VLOOKUP(C306,Deflatores!G$4:H$38,2,FALSE)*H306+VLOOKUP(C306,Deflatores!G$4:I$38,3,FALSE)))</f>
        <v/>
      </c>
      <c r="M306" s="10"/>
      <c r="N306" s="10"/>
      <c r="O306" s="6"/>
    </row>
    <row r="307" spans="1:15">
      <c r="A307" s="137" t="s">
        <v>322</v>
      </c>
      <c r="B307" s="4"/>
      <c r="C307" s="4"/>
      <c r="D307" s="7"/>
      <c r="E307" s="7"/>
      <c r="F307" s="116" t="str">
        <f>IF(ISBLANK(B307),"",IF(I307="L","Baixa",IF(I307="A","Média",IF(I307="","","Alta"))))</f>
        <v/>
      </c>
      <c r="G307" s="7" t="str">
        <f>CONCATENATE(B307,I307)</f>
        <v/>
      </c>
      <c r="H307" s="7" t="str">
        <f>IF(ISBLANK(B307),"",IF(B307="ALI",IF(I307="L",7,IF(I307="A",10,15)),IF(B307="AIE",IF(I307="L",5,IF(I307="A",7,10)),IF(B307="SE",IF(I307="L",4,IF(I307="A",5,7)),IF(OR(B307="EE",B307="CE"),IF(I307="L",3,IF(I307="A",4,6)),0)))))</f>
        <v/>
      </c>
      <c r="I307" s="116" t="str">
        <f>IF(OR(ISBLANK(D307),ISBLANK(E307)),IF(OR(B307="ALI",B307="AIE"),"L",IF(OR(B307="EE",B307="SE",B307="CE"),"A","")),IF(B307="EE",IF(E307&gt;=3,IF(D307&gt;=5,"H","A"),IF(E307&gt;=2,IF(D307&gt;=16,"H",IF(D307&lt;=4,"L","A")),IF(D307&lt;=15,"L","A"))),IF(OR(B307="SE",B307="CE"),IF(E307&gt;=4,IF(D307&gt;=6,"H","A"),IF(E307&gt;=2,IF(D307&gt;=20,"H",IF(D307&lt;=5,"L","A")),IF(D307&lt;=19,"L","A"))),IF(OR(B307="ALI",B307="AIE"),IF(E307&gt;=6,IF(D307&gt;=20,"H","A"),IF(E307&gt;=2,IF(D307&gt;=51,"H",IF(D307&lt;=19,"L","A")),IF(D307&lt;=50,"L","A"))),""))))</f>
        <v/>
      </c>
      <c r="J307" s="7" t="str">
        <f>CONCATENATE(B307,C307)</f>
        <v/>
      </c>
      <c r="K307" s="125" t="str">
        <f>IF(OR(H307="",H307=0),L307,H307)</f>
        <v/>
      </c>
      <c r="L307" s="125" t="str">
        <f>IF(NOT(ISERROR(VLOOKUP(B307,Deflatores!G$42:H$64,2,FALSE))),VLOOKUP(B307,Deflatores!G$42:H$64,2,FALSE),IF(OR(ISBLANK(C307),ISBLANK(B307)),"",VLOOKUP(C307,Deflatores!G$4:H$38,2,FALSE)*H307+VLOOKUP(C307,Deflatores!G$4:I$38,3,FALSE)))</f>
        <v/>
      </c>
      <c r="M307" s="10"/>
      <c r="N307" s="10"/>
      <c r="O307" s="6"/>
    </row>
    <row r="308" spans="1:15">
      <c r="A308" s="119" t="s">
        <v>323</v>
      </c>
      <c r="B308" s="4" t="s">
        <v>58</v>
      </c>
      <c r="C308" s="4" t="s">
        <v>49</v>
      </c>
      <c r="D308" s="7">
        <v>7</v>
      </c>
      <c r="E308" s="7">
        <v>3</v>
      </c>
      <c r="F308" s="116" t="str">
        <f t="shared" si="108"/>
        <v>Média</v>
      </c>
      <c r="G308" s="7" t="str">
        <f t="shared" si="109"/>
        <v>SEA</v>
      </c>
      <c r="H308" s="7">
        <f t="shared" si="110"/>
        <v>5</v>
      </c>
      <c r="I308" s="116" t="str">
        <f t="shared" si="111"/>
        <v>A</v>
      </c>
      <c r="J308" s="7" t="str">
        <f t="shared" si="112"/>
        <v>SEI</v>
      </c>
      <c r="K308" s="125">
        <f t="shared" si="113"/>
        <v>5</v>
      </c>
      <c r="L308" s="125">
        <f>IF(NOT(ISERROR(VLOOKUP(B308,Deflatores!G$42:H$64,2,FALSE))),VLOOKUP(B308,Deflatores!G$42:H$64,2,FALSE),IF(OR(ISBLANK(C308),ISBLANK(B308)),"",VLOOKUP(C308,Deflatores!G$4:H$38,2,FALSE)*H308+VLOOKUP(C308,Deflatores!G$4:I$38,3,FALSE)))</f>
        <v>5</v>
      </c>
      <c r="M308" s="10"/>
      <c r="N308" s="10"/>
      <c r="O308" s="6" t="s">
        <v>324</v>
      </c>
    </row>
    <row r="309" spans="1:15">
      <c r="A309" s="119" t="s">
        <v>325</v>
      </c>
      <c r="B309" s="4" t="s">
        <v>58</v>
      </c>
      <c r="C309" s="4" t="s">
        <v>49</v>
      </c>
      <c r="D309" s="7">
        <v>8</v>
      </c>
      <c r="E309" s="7">
        <v>3</v>
      </c>
      <c r="F309" s="116" t="str">
        <f>IF(ISBLANK(B309),"",IF(I309="L","Baixa",IF(I309="A","Média",IF(I309="","","Alta"))))</f>
        <v>Média</v>
      </c>
      <c r="G309" s="7" t="str">
        <f>CONCATENATE(B309,I309)</f>
        <v>SEA</v>
      </c>
      <c r="H309" s="7">
        <f>IF(ISBLANK(B309),"",IF(B309="ALI",IF(I309="L",7,IF(I309="A",10,15)),IF(B309="AIE",IF(I309="L",5,IF(I309="A",7,10)),IF(B309="SE",IF(I309="L",4,IF(I309="A",5,7)),IF(OR(B309="EE",B309="CE"),IF(I309="L",3,IF(I309="A",4,6)),0)))))</f>
        <v>5</v>
      </c>
      <c r="I309" s="116" t="str">
        <f>IF(OR(ISBLANK(D309),ISBLANK(E309)),IF(OR(B309="ALI",B309="AIE"),"L",IF(OR(B309="EE",B309="SE",B309="CE"),"A","")),IF(B309="EE",IF(E309&gt;=3,IF(D309&gt;=5,"H","A"),IF(E309&gt;=2,IF(D309&gt;=16,"H",IF(D309&lt;=4,"L","A")),IF(D309&lt;=15,"L","A"))),IF(OR(B309="SE",B309="CE"),IF(E309&gt;=4,IF(D309&gt;=6,"H","A"),IF(E309&gt;=2,IF(D309&gt;=20,"H",IF(D309&lt;=5,"L","A")),IF(D309&lt;=19,"L","A"))),IF(OR(B309="ALI",B309="AIE"),IF(E309&gt;=6,IF(D309&gt;=20,"H","A"),IF(E309&gt;=2,IF(D309&gt;=51,"H",IF(D309&lt;=19,"L","A")),IF(D309&lt;=50,"L","A"))),""))))</f>
        <v>A</v>
      </c>
      <c r="J309" s="7" t="str">
        <f>CONCATENATE(B309,C309)</f>
        <v>SEI</v>
      </c>
      <c r="K309" s="125">
        <f>IF(OR(H309="",H309=0),L309,H309)</f>
        <v>5</v>
      </c>
      <c r="L309" s="125">
        <f>IF(NOT(ISERROR(VLOOKUP(B309,Deflatores!G$42:H$64,2,FALSE))),VLOOKUP(B309,Deflatores!G$42:H$64,2,FALSE),IF(OR(ISBLANK(C309),ISBLANK(B309)),"",VLOOKUP(C309,Deflatores!G$4:H$38,2,FALSE)*H309+VLOOKUP(C309,Deflatores!G$4:I$38,3,FALSE)))</f>
        <v>5</v>
      </c>
      <c r="M309" s="10"/>
      <c r="N309" s="10"/>
      <c r="O309" s="6" t="s">
        <v>324</v>
      </c>
    </row>
    <row r="310" spans="1:15">
      <c r="A310" s="119"/>
      <c r="B310" s="4"/>
      <c r="C310" s="4"/>
      <c r="D310" s="7"/>
      <c r="E310" s="7"/>
      <c r="F310" s="116" t="str">
        <f t="shared" si="108"/>
        <v/>
      </c>
      <c r="G310" s="7" t="str">
        <f t="shared" si="109"/>
        <v/>
      </c>
      <c r="H310" s="7" t="str">
        <f t="shared" si="110"/>
        <v/>
      </c>
      <c r="I310" s="116" t="str">
        <f t="shared" si="111"/>
        <v/>
      </c>
      <c r="J310" s="7" t="str">
        <f t="shared" si="112"/>
        <v/>
      </c>
      <c r="K310" s="125" t="str">
        <f t="shared" si="113"/>
        <v/>
      </c>
      <c r="L310" s="125" t="str">
        <f>IF(NOT(ISERROR(VLOOKUP(B310,Deflatores!G$42:H$64,2,FALSE))),VLOOKUP(B310,Deflatores!G$42:H$64,2,FALSE),IF(OR(ISBLANK(C310),ISBLANK(B310)),"",VLOOKUP(C310,Deflatores!G$4:H$38,2,FALSE)*H310+VLOOKUP(C310,Deflatores!G$4:I$38,3,FALSE)))</f>
        <v/>
      </c>
      <c r="M310" s="10"/>
      <c r="N310" s="10"/>
      <c r="O310" s="6"/>
    </row>
    <row r="311" spans="1:15">
      <c r="A311" s="141" t="s">
        <v>326</v>
      </c>
      <c r="B311" s="123"/>
      <c r="C311" s="4"/>
      <c r="D311" s="7"/>
      <c r="E311" s="7"/>
      <c r="F311" s="116" t="str">
        <f t="shared" si="108"/>
        <v/>
      </c>
      <c r="G311" s="7" t="str">
        <f t="shared" si="109"/>
        <v/>
      </c>
      <c r="H311" s="7" t="str">
        <f t="shared" si="110"/>
        <v/>
      </c>
      <c r="I311" s="116" t="str">
        <f t="shared" si="111"/>
        <v/>
      </c>
      <c r="J311" s="7" t="str">
        <f t="shared" si="112"/>
        <v/>
      </c>
      <c r="K311" s="125" t="str">
        <f t="shared" si="113"/>
        <v/>
      </c>
      <c r="L311" s="125" t="str">
        <f>IF(NOT(ISERROR(VLOOKUP(B311,Deflatores!G$42:H$64,2,FALSE))),VLOOKUP(B311,Deflatores!G$42:H$64,2,FALSE),IF(OR(ISBLANK(C311),ISBLANK(B311)),"",VLOOKUP(C311,Deflatores!G$4:H$38,2,FALSE)*H311+VLOOKUP(C311,Deflatores!G$4:I$38,3,FALSE)))</f>
        <v/>
      </c>
      <c r="M311" s="10"/>
      <c r="N311" s="10"/>
      <c r="O311" s="6"/>
    </row>
    <row r="312" spans="1:15">
      <c r="A312" s="142" t="s">
        <v>327</v>
      </c>
      <c r="B312" s="4" t="s">
        <v>44</v>
      </c>
      <c r="C312" s="4" t="s">
        <v>49</v>
      </c>
      <c r="D312" s="7">
        <v>9</v>
      </c>
      <c r="E312" s="7">
        <v>3</v>
      </c>
      <c r="F312" s="116" t="str">
        <f t="shared" si="108"/>
        <v>Média</v>
      </c>
      <c r="G312" s="7" t="str">
        <f t="shared" si="109"/>
        <v>CEA</v>
      </c>
      <c r="H312" s="7">
        <f t="shared" si="110"/>
        <v>4</v>
      </c>
      <c r="I312" s="116" t="str">
        <f t="shared" si="111"/>
        <v>A</v>
      </c>
      <c r="J312" s="7" t="str">
        <f t="shared" si="112"/>
        <v>CEI</v>
      </c>
      <c r="K312" s="125">
        <f t="shared" si="113"/>
        <v>4</v>
      </c>
      <c r="L312" s="125">
        <f>IF(NOT(ISERROR(VLOOKUP(B312,Deflatores!G$42:H$64,2,FALSE))),VLOOKUP(B312,Deflatores!G$42:H$64,2,FALSE),IF(OR(ISBLANK(C312),ISBLANK(B312)),"",VLOOKUP(C312,Deflatores!G$4:H$38,2,FALSE)*H312+VLOOKUP(C312,Deflatores!G$4:I$38,3,FALSE)))</f>
        <v>4</v>
      </c>
      <c r="M312" s="10"/>
      <c r="N312" s="10"/>
      <c r="O312" s="6"/>
    </row>
    <row r="313" spans="1:15">
      <c r="A313" s="143" t="s">
        <v>328</v>
      </c>
      <c r="B313" s="4" t="s">
        <v>44</v>
      </c>
      <c r="C313" s="4" t="s">
        <v>49</v>
      </c>
      <c r="D313" s="7">
        <v>3</v>
      </c>
      <c r="E313" s="7">
        <v>1</v>
      </c>
      <c r="F313" s="116" t="str">
        <f t="shared" si="108"/>
        <v>Baixa</v>
      </c>
      <c r="G313" s="7" t="str">
        <f t="shared" si="109"/>
        <v>CEL</v>
      </c>
      <c r="H313" s="7">
        <f t="shared" si="110"/>
        <v>3</v>
      </c>
      <c r="I313" s="116" t="str">
        <f t="shared" si="111"/>
        <v>L</v>
      </c>
      <c r="J313" s="7" t="str">
        <f t="shared" si="112"/>
        <v>CEI</v>
      </c>
      <c r="K313" s="125">
        <f t="shared" si="113"/>
        <v>3</v>
      </c>
      <c r="L313" s="125">
        <f>IF(NOT(ISERROR(VLOOKUP(B313,Deflatores!G$42:H$64,2,FALSE))),VLOOKUP(B313,Deflatores!G$42:H$64,2,FALSE),IF(OR(ISBLANK(C313),ISBLANK(B313)),"",VLOOKUP(C313,Deflatores!G$4:H$38,2,FALSE)*H313+VLOOKUP(C313,Deflatores!G$4:I$38,3,FALSE)))</f>
        <v>3</v>
      </c>
      <c r="M313" s="10"/>
      <c r="N313" s="10"/>
      <c r="O313" s="6"/>
    </row>
    <row r="314" spans="1:15">
      <c r="A314" s="143" t="s">
        <v>329</v>
      </c>
      <c r="B314" s="4" t="s">
        <v>44</v>
      </c>
      <c r="C314" s="4" t="s">
        <v>49</v>
      </c>
      <c r="D314" s="7">
        <v>3</v>
      </c>
      <c r="E314" s="7">
        <v>1</v>
      </c>
      <c r="F314" s="116" t="str">
        <f t="shared" si="108"/>
        <v>Baixa</v>
      </c>
      <c r="G314" s="7" t="str">
        <f t="shared" si="109"/>
        <v>CEL</v>
      </c>
      <c r="H314" s="7">
        <f t="shared" si="110"/>
        <v>3</v>
      </c>
      <c r="I314" s="116" t="str">
        <f t="shared" si="111"/>
        <v>L</v>
      </c>
      <c r="J314" s="7" t="str">
        <f t="shared" si="112"/>
        <v>CEI</v>
      </c>
      <c r="K314" s="125">
        <f t="shared" si="113"/>
        <v>3</v>
      </c>
      <c r="L314" s="125">
        <f>IF(NOT(ISERROR(VLOOKUP(B314,Deflatores!G$42:H$64,2,FALSE))),VLOOKUP(B314,Deflatores!G$42:H$64,2,FALSE),IF(OR(ISBLANK(C314),ISBLANK(B314)),"",VLOOKUP(C314,Deflatores!G$4:H$38,2,FALSE)*H314+VLOOKUP(C314,Deflatores!G$4:I$38,3,FALSE)))</f>
        <v>3</v>
      </c>
      <c r="M314" s="10"/>
      <c r="N314" s="10"/>
      <c r="O314" s="6"/>
    </row>
    <row r="315" spans="1:15">
      <c r="A315" s="143" t="s">
        <v>330</v>
      </c>
      <c r="B315" s="4" t="s">
        <v>44</v>
      </c>
      <c r="C315" s="4" t="s">
        <v>49</v>
      </c>
      <c r="D315" s="7">
        <v>3</v>
      </c>
      <c r="E315" s="7">
        <v>1</v>
      </c>
      <c r="F315" s="116" t="str">
        <f t="shared" si="108"/>
        <v>Baixa</v>
      </c>
      <c r="G315" s="7" t="str">
        <f t="shared" si="109"/>
        <v>CEL</v>
      </c>
      <c r="H315" s="7">
        <f t="shared" si="110"/>
        <v>3</v>
      </c>
      <c r="I315" s="116" t="str">
        <f t="shared" si="111"/>
        <v>L</v>
      </c>
      <c r="J315" s="7" t="str">
        <f t="shared" si="112"/>
        <v>CEI</v>
      </c>
      <c r="K315" s="125">
        <f t="shared" si="113"/>
        <v>3</v>
      </c>
      <c r="L315" s="125">
        <f>IF(NOT(ISERROR(VLOOKUP(B315,Deflatores!G$42:H$64,2,FALSE))),VLOOKUP(B315,Deflatores!G$42:H$64,2,FALSE),IF(OR(ISBLANK(C315),ISBLANK(B315)),"",VLOOKUP(C315,Deflatores!G$4:H$38,2,FALSE)*H315+VLOOKUP(C315,Deflatores!G$4:I$38,3,FALSE)))</f>
        <v>3</v>
      </c>
      <c r="M315" s="10"/>
      <c r="N315" s="10"/>
      <c r="O315" s="6"/>
    </row>
    <row r="316" spans="1:15">
      <c r="A316" s="142" t="s">
        <v>331</v>
      </c>
      <c r="B316" s="4" t="s">
        <v>63</v>
      </c>
      <c r="C316" s="4" t="s">
        <v>49</v>
      </c>
      <c r="D316" s="7">
        <v>3</v>
      </c>
      <c r="E316" s="7">
        <v>1</v>
      </c>
      <c r="F316" s="116" t="str">
        <f t="shared" si="108"/>
        <v>Baixa</v>
      </c>
      <c r="G316" s="7" t="str">
        <f t="shared" si="109"/>
        <v>EEL</v>
      </c>
      <c r="H316" s="7">
        <f t="shared" si="110"/>
        <v>3</v>
      </c>
      <c r="I316" s="116" t="str">
        <f t="shared" si="111"/>
        <v>L</v>
      </c>
      <c r="J316" s="7" t="str">
        <f t="shared" si="112"/>
        <v>EEI</v>
      </c>
      <c r="K316" s="125">
        <f t="shared" si="113"/>
        <v>3</v>
      </c>
      <c r="L316" s="125">
        <f>IF(NOT(ISERROR(VLOOKUP(B316,Deflatores!G$42:H$64,2,FALSE))),VLOOKUP(B316,Deflatores!G$42:H$64,2,FALSE),IF(OR(ISBLANK(C316),ISBLANK(B316)),"",VLOOKUP(C316,Deflatores!G$4:H$38,2,FALSE)*H316+VLOOKUP(C316,Deflatores!G$4:I$38,3,FALSE)))</f>
        <v>3</v>
      </c>
      <c r="M316" s="10"/>
      <c r="N316" s="10"/>
      <c r="O316" s="6"/>
    </row>
    <row r="317" spans="1:15">
      <c r="A317" s="142" t="s">
        <v>332</v>
      </c>
      <c r="B317" s="4" t="s">
        <v>44</v>
      </c>
      <c r="C317" s="4" t="s">
        <v>49</v>
      </c>
      <c r="D317" s="7">
        <v>9</v>
      </c>
      <c r="E317" s="7">
        <v>3</v>
      </c>
      <c r="F317" s="116" t="str">
        <f t="shared" ref="F317" si="114">IF(ISBLANK(B317),"",IF(I317="L","Baixa",IF(I317="A","Média",IF(I317="","","Alta"))))</f>
        <v>Média</v>
      </c>
      <c r="G317" s="7" t="str">
        <f t="shared" ref="G317" si="115">CONCATENATE(B317,I317)</f>
        <v>CEA</v>
      </c>
      <c r="H317" s="7">
        <f t="shared" ref="H317" si="116">IF(ISBLANK(B317),"",IF(B317="ALI",IF(I317="L",7,IF(I317="A",10,15)),IF(B317="AIE",IF(I317="L",5,IF(I317="A",7,10)),IF(B317="SE",IF(I317="L",4,IF(I317="A",5,7)),IF(OR(B317="EE",B317="CE"),IF(I317="L",3,IF(I317="A",4,6)),0)))))</f>
        <v>4</v>
      </c>
      <c r="I317" s="116" t="str">
        <f t="shared" ref="I317" si="117">IF(OR(ISBLANK(D317),ISBLANK(E317)),IF(OR(B317="ALI",B317="AIE"),"L",IF(OR(B317="EE",B317="SE",B317="CE"),"A","")),IF(B317="EE",IF(E317&gt;=3,IF(D317&gt;=5,"H","A"),IF(E317&gt;=2,IF(D317&gt;=16,"H",IF(D317&lt;=4,"L","A")),IF(D317&lt;=15,"L","A"))),IF(OR(B317="SE",B317="CE"),IF(E317&gt;=4,IF(D317&gt;=6,"H","A"),IF(E317&gt;=2,IF(D317&gt;=20,"H",IF(D317&lt;=5,"L","A")),IF(D317&lt;=19,"L","A"))),IF(OR(B317="ALI",B317="AIE"),IF(E317&gt;=6,IF(D317&gt;=20,"H","A"),IF(E317&gt;=2,IF(D317&gt;=51,"H",IF(D317&lt;=19,"L","A")),IF(D317&lt;=50,"L","A"))),""))))</f>
        <v>A</v>
      </c>
      <c r="J317" s="7" t="str">
        <f t="shared" ref="J317" si="118">CONCATENATE(B317,C317)</f>
        <v>CEI</v>
      </c>
      <c r="K317" s="125">
        <f t="shared" ref="K317" si="119">IF(OR(H317="",H317=0),L317,H317)</f>
        <v>4</v>
      </c>
      <c r="L317" s="125">
        <f>IF(NOT(ISERROR(VLOOKUP(B317,Deflatores!G$42:H$64,2,FALSE))),VLOOKUP(B317,Deflatores!G$42:H$64,2,FALSE),IF(OR(ISBLANK(C317),ISBLANK(B317)),"",VLOOKUP(C317,Deflatores!G$4:H$38,2,FALSE)*H317+VLOOKUP(C317,Deflatores!G$4:I$38,3,FALSE)))</f>
        <v>4</v>
      </c>
      <c r="M317" s="10"/>
      <c r="N317" s="10"/>
      <c r="O317" s="6"/>
    </row>
    <row r="318" spans="1:15">
      <c r="A318" s="141"/>
      <c r="B318" s="4"/>
      <c r="C318" s="4"/>
      <c r="D318" s="7"/>
      <c r="E318" s="7"/>
      <c r="F318" s="116" t="str">
        <f t="shared" si="108"/>
        <v/>
      </c>
      <c r="G318" s="7" t="str">
        <f t="shared" si="109"/>
        <v/>
      </c>
      <c r="H318" s="7" t="str">
        <f t="shared" si="110"/>
        <v/>
      </c>
      <c r="I318" s="116" t="str">
        <f t="shared" si="111"/>
        <v/>
      </c>
      <c r="J318" s="7" t="str">
        <f t="shared" si="112"/>
        <v/>
      </c>
      <c r="K318" s="125" t="str">
        <f t="shared" si="113"/>
        <v/>
      </c>
      <c r="L318" s="125" t="str">
        <f>IF(NOT(ISERROR(VLOOKUP(B318,Deflatores!G$42:H$64,2,FALSE))),VLOOKUP(B318,Deflatores!G$42:H$64,2,FALSE),IF(OR(ISBLANK(C318),ISBLANK(B318)),"",VLOOKUP(C318,Deflatores!G$4:H$38,2,FALSE)*H318+VLOOKUP(C318,Deflatores!G$4:I$38,3,FALSE)))</f>
        <v/>
      </c>
      <c r="M318" s="10"/>
      <c r="N318" s="10"/>
      <c r="O318" s="6"/>
    </row>
    <row r="319" spans="1:15">
      <c r="A319" s="141" t="s">
        <v>333</v>
      </c>
      <c r="B319" s="4"/>
      <c r="C319" s="4"/>
      <c r="D319" s="7"/>
      <c r="E319" s="7"/>
      <c r="F319" s="116" t="str">
        <f t="shared" si="108"/>
        <v/>
      </c>
      <c r="G319" s="7" t="str">
        <f t="shared" si="109"/>
        <v/>
      </c>
      <c r="H319" s="7" t="str">
        <f t="shared" si="110"/>
        <v/>
      </c>
      <c r="I319" s="116" t="str">
        <f t="shared" si="111"/>
        <v/>
      </c>
      <c r="J319" s="7" t="str">
        <f t="shared" si="112"/>
        <v/>
      </c>
      <c r="K319" s="125" t="str">
        <f t="shared" si="113"/>
        <v/>
      </c>
      <c r="L319" s="125" t="str">
        <f>IF(NOT(ISERROR(VLOOKUP(B319,Deflatores!G$42:H$64,2,FALSE))),VLOOKUP(B319,Deflatores!G$42:H$64,2,FALSE),IF(OR(ISBLANK(C319),ISBLANK(B319)),"",VLOOKUP(C319,Deflatores!G$4:H$38,2,FALSE)*H319+VLOOKUP(C319,Deflatores!G$4:I$38,3,FALSE)))</f>
        <v/>
      </c>
      <c r="M319" s="10"/>
      <c r="N319" s="10"/>
      <c r="O319" s="6"/>
    </row>
    <row r="320" spans="1:15">
      <c r="A320" s="142" t="s">
        <v>334</v>
      </c>
      <c r="B320" s="4" t="s">
        <v>55</v>
      </c>
      <c r="C320" s="4" t="s">
        <v>49</v>
      </c>
      <c r="D320" s="7">
        <v>57</v>
      </c>
      <c r="E320" s="7">
        <v>4</v>
      </c>
      <c r="F320" s="116" t="str">
        <f t="shared" si="108"/>
        <v>Alta</v>
      </c>
      <c r="G320" s="7" t="str">
        <f t="shared" si="109"/>
        <v>ALIH</v>
      </c>
      <c r="H320" s="7">
        <f t="shared" si="110"/>
        <v>15</v>
      </c>
      <c r="I320" s="116" t="str">
        <f t="shared" si="111"/>
        <v>H</v>
      </c>
      <c r="J320" s="7" t="str">
        <f t="shared" si="112"/>
        <v>ALII</v>
      </c>
      <c r="K320" s="125">
        <f t="shared" si="113"/>
        <v>15</v>
      </c>
      <c r="L320" s="125">
        <f>IF(NOT(ISERROR(VLOOKUP(B320,Deflatores!G$42:H$64,2,FALSE))),VLOOKUP(B320,Deflatores!G$42:H$64,2,FALSE),IF(OR(ISBLANK(C320),ISBLANK(B320)),"",VLOOKUP(C320,Deflatores!G$4:H$38,2,FALSE)*H320+VLOOKUP(C320,Deflatores!G$4:I$38,3,FALSE)))</f>
        <v>15</v>
      </c>
      <c r="M320" s="10"/>
      <c r="N320" s="10"/>
      <c r="O320" s="6"/>
    </row>
    <row r="321" spans="1:15">
      <c r="A321" s="142" t="s">
        <v>335</v>
      </c>
      <c r="B321" s="4" t="s">
        <v>63</v>
      </c>
      <c r="C321" s="4" t="s">
        <v>49</v>
      </c>
      <c r="D321" s="7">
        <v>7</v>
      </c>
      <c r="E321" s="7">
        <v>3</v>
      </c>
      <c r="F321" s="116" t="str">
        <f t="shared" si="108"/>
        <v>Alta</v>
      </c>
      <c r="G321" s="7" t="str">
        <f t="shared" si="109"/>
        <v>EEH</v>
      </c>
      <c r="H321" s="7">
        <f t="shared" si="110"/>
        <v>6</v>
      </c>
      <c r="I321" s="116" t="str">
        <f t="shared" si="111"/>
        <v>H</v>
      </c>
      <c r="J321" s="7" t="str">
        <f t="shared" si="112"/>
        <v>EEI</v>
      </c>
      <c r="K321" s="125">
        <f t="shared" si="113"/>
        <v>6</v>
      </c>
      <c r="L321" s="125">
        <f>IF(NOT(ISERROR(VLOOKUP(B321,Deflatores!G$42:H$64,2,FALSE))),VLOOKUP(B321,Deflatores!G$42:H$64,2,FALSE),IF(OR(ISBLANK(C321),ISBLANK(B321)),"",VLOOKUP(C321,Deflatores!G$4:H$38,2,FALSE)*H321+VLOOKUP(C321,Deflatores!G$4:I$38,3,FALSE)))</f>
        <v>6</v>
      </c>
      <c r="M321" s="10"/>
      <c r="N321" s="10"/>
      <c r="O321" s="6"/>
    </row>
    <row r="322" spans="1:15">
      <c r="A322" s="142" t="s">
        <v>336</v>
      </c>
      <c r="B322" s="4" t="s">
        <v>63</v>
      </c>
      <c r="C322" s="4" t="s">
        <v>49</v>
      </c>
      <c r="D322" s="7">
        <v>9</v>
      </c>
      <c r="E322" s="7">
        <v>3</v>
      </c>
      <c r="F322" s="116" t="str">
        <f t="shared" si="108"/>
        <v>Alta</v>
      </c>
      <c r="G322" s="7" t="str">
        <f t="shared" si="109"/>
        <v>EEH</v>
      </c>
      <c r="H322" s="7">
        <f t="shared" si="110"/>
        <v>6</v>
      </c>
      <c r="I322" s="116" t="str">
        <f t="shared" si="111"/>
        <v>H</v>
      </c>
      <c r="J322" s="7" t="str">
        <f t="shared" si="112"/>
        <v>EEI</v>
      </c>
      <c r="K322" s="125">
        <f t="shared" si="113"/>
        <v>6</v>
      </c>
      <c r="L322" s="125">
        <f>IF(NOT(ISERROR(VLOOKUP(B322,Deflatores!G$42:H$64,2,FALSE))),VLOOKUP(B322,Deflatores!G$42:H$64,2,FALSE),IF(OR(ISBLANK(C322),ISBLANK(B322)),"",VLOOKUP(C322,Deflatores!G$4:H$38,2,FALSE)*H322+VLOOKUP(C322,Deflatores!G$4:I$38,3,FALSE)))</f>
        <v>6</v>
      </c>
      <c r="M322" s="10"/>
      <c r="N322" s="10"/>
      <c r="O322" s="6"/>
    </row>
    <row r="323" spans="1:15">
      <c r="A323" s="142" t="s">
        <v>337</v>
      </c>
      <c r="B323" s="4" t="s">
        <v>63</v>
      </c>
      <c r="C323" s="4" t="s">
        <v>49</v>
      </c>
      <c r="D323" s="7">
        <v>6</v>
      </c>
      <c r="E323" s="7">
        <v>2</v>
      </c>
      <c r="F323" s="116" t="str">
        <f t="shared" si="108"/>
        <v>Média</v>
      </c>
      <c r="G323" s="7" t="str">
        <f t="shared" si="109"/>
        <v>EEA</v>
      </c>
      <c r="H323" s="7">
        <f t="shared" si="110"/>
        <v>4</v>
      </c>
      <c r="I323" s="116" t="str">
        <f t="shared" si="111"/>
        <v>A</v>
      </c>
      <c r="J323" s="7" t="str">
        <f t="shared" si="112"/>
        <v>EEI</v>
      </c>
      <c r="K323" s="125">
        <f t="shared" si="113"/>
        <v>4</v>
      </c>
      <c r="L323" s="125">
        <f>IF(NOT(ISERROR(VLOOKUP(B323,Deflatores!G$42:H$64,2,FALSE))),VLOOKUP(B323,Deflatores!G$42:H$64,2,FALSE),IF(OR(ISBLANK(C323),ISBLANK(B323)),"",VLOOKUP(C323,Deflatores!G$4:H$38,2,FALSE)*H323+VLOOKUP(C323,Deflatores!G$4:I$38,3,FALSE)))</f>
        <v>4</v>
      </c>
      <c r="M323" s="10"/>
      <c r="N323" s="10"/>
      <c r="O323" s="6"/>
    </row>
    <row r="324" spans="1:15">
      <c r="A324" s="142" t="s">
        <v>338</v>
      </c>
      <c r="B324" s="4" t="s">
        <v>63</v>
      </c>
      <c r="C324" s="4" t="s">
        <v>49</v>
      </c>
      <c r="D324" s="7">
        <v>7</v>
      </c>
      <c r="E324" s="7">
        <v>3</v>
      </c>
      <c r="F324" s="116" t="str">
        <f>IF(ISBLANK(B324),"",IF(I324="L","Baixa",IF(I324="A","Média",IF(I324="","","Alta"))))</f>
        <v>Alta</v>
      </c>
      <c r="G324" s="7" t="str">
        <f>CONCATENATE(B324,I324)</f>
        <v>EEH</v>
      </c>
      <c r="H324" s="7">
        <f>IF(ISBLANK(B324),"",IF(B324="ALI",IF(I324="L",7,IF(I324="A",10,15)),IF(B324="AIE",IF(I324="L",5,IF(I324="A",7,10)),IF(B324="SE",IF(I324="L",4,IF(I324="A",5,7)),IF(OR(B324="EE",B324="CE"),IF(I324="L",3,IF(I324="A",4,6)),0)))))</f>
        <v>6</v>
      </c>
      <c r="I324" s="116" t="str">
        <f>IF(OR(ISBLANK(D324),ISBLANK(E324)),IF(OR(B324="ALI",B324="AIE"),"L",IF(OR(B324="EE",B324="SE",B324="CE"),"A","")),IF(B324="EE",IF(E324&gt;=3,IF(D324&gt;=5,"H","A"),IF(E324&gt;=2,IF(D324&gt;=16,"H",IF(D324&lt;=4,"L","A")),IF(D324&lt;=15,"L","A"))),IF(OR(B324="SE",B324="CE"),IF(E324&gt;=4,IF(D324&gt;=6,"H","A"),IF(E324&gt;=2,IF(D324&gt;=20,"H",IF(D324&lt;=5,"L","A")),IF(D324&lt;=19,"L","A"))),IF(OR(B324="ALI",B324="AIE"),IF(E324&gt;=6,IF(D324&gt;=20,"H","A"),IF(E324&gt;=2,IF(D324&gt;=51,"H",IF(D324&lt;=19,"L","A")),IF(D324&lt;=50,"L","A"))),""))))</f>
        <v>H</v>
      </c>
      <c r="J324" s="7" t="str">
        <f>CONCATENATE(B324,C324)</f>
        <v>EEI</v>
      </c>
      <c r="K324" s="125">
        <f>IF(OR(H324="",H324=0),L324,H324)</f>
        <v>6</v>
      </c>
      <c r="L324" s="125">
        <f>IF(NOT(ISERROR(VLOOKUP(B324,Deflatores!G$42:H$64,2,FALSE))),VLOOKUP(B324,Deflatores!G$42:H$64,2,FALSE),IF(OR(ISBLANK(C324),ISBLANK(B324)),"",VLOOKUP(C324,Deflatores!G$4:H$38,2,FALSE)*H324+VLOOKUP(C324,Deflatores!G$4:I$38,3,FALSE)))</f>
        <v>6</v>
      </c>
      <c r="M324" s="10"/>
      <c r="N324" s="10"/>
      <c r="O324" s="6"/>
    </row>
    <row r="325" spans="1:15">
      <c r="A325" s="143" t="s">
        <v>339</v>
      </c>
      <c r="B325" s="4" t="s">
        <v>44</v>
      </c>
      <c r="C325" s="4" t="s">
        <v>49</v>
      </c>
      <c r="D325" s="7">
        <v>20</v>
      </c>
      <c r="E325" s="7">
        <v>3</v>
      </c>
      <c r="F325" s="116" t="str">
        <f>IF(ISBLANK(B325),"",IF(I325="L","Baixa",IF(I325="A","Média",IF(I325="","","Alta"))))</f>
        <v>Alta</v>
      </c>
      <c r="G325" s="7" t="str">
        <f>CONCATENATE(B325,I325)</f>
        <v>CEH</v>
      </c>
      <c r="H325" s="7">
        <f>IF(ISBLANK(B325),"",IF(B325="ALI",IF(I325="L",7,IF(I325="A",10,15)),IF(B325="AIE",IF(I325="L",5,IF(I325="A",7,10)),IF(B325="SE",IF(I325="L",4,IF(I325="A",5,7)),IF(OR(B325="EE",B325="CE"),IF(I325="L",3,IF(I325="A",4,6)),0)))))</f>
        <v>6</v>
      </c>
      <c r="I325" s="116" t="str">
        <f>IF(OR(ISBLANK(D325),ISBLANK(E325)),IF(OR(B325="ALI",B325="AIE"),"L",IF(OR(B325="EE",B325="SE",B325="CE"),"A","")),IF(B325="EE",IF(E325&gt;=3,IF(D325&gt;=5,"H","A"),IF(E325&gt;=2,IF(D325&gt;=16,"H",IF(D325&lt;=4,"L","A")),IF(D325&lt;=15,"L","A"))),IF(OR(B325="SE",B325="CE"),IF(E325&gt;=4,IF(D325&gt;=6,"H","A"),IF(E325&gt;=2,IF(D325&gt;=20,"H",IF(D325&lt;=5,"L","A")),IF(D325&lt;=19,"L","A"))),IF(OR(B325="ALI",B325="AIE"),IF(E325&gt;=6,IF(D325&gt;=20,"H","A"),IF(E325&gt;=2,IF(D325&gt;=51,"H",IF(D325&lt;=19,"L","A")),IF(D325&lt;=50,"L","A"))),""))))</f>
        <v>H</v>
      </c>
      <c r="J325" s="7" t="str">
        <f>CONCATENATE(B325,C325)</f>
        <v>CEI</v>
      </c>
      <c r="K325" s="125">
        <f>IF(OR(H325="",H325=0),L325,H325)</f>
        <v>6</v>
      </c>
      <c r="L325" s="125">
        <f>IF(NOT(ISERROR(VLOOKUP(B325,Deflatores!G$42:H$64,2,FALSE))),VLOOKUP(B325,Deflatores!G$42:H$64,2,FALSE),IF(OR(ISBLANK(C325),ISBLANK(B325)),"",VLOOKUP(C325,Deflatores!G$4:H$38,2,FALSE)*H325+VLOOKUP(C325,Deflatores!G$4:I$38,3,FALSE)))</f>
        <v>6</v>
      </c>
      <c r="M325" s="10"/>
      <c r="N325" s="10"/>
      <c r="O325" s="6"/>
    </row>
    <row r="326" spans="1:15">
      <c r="A326" s="142" t="s">
        <v>340</v>
      </c>
      <c r="B326" s="4" t="s">
        <v>63</v>
      </c>
      <c r="C326" s="4" t="s">
        <v>49</v>
      </c>
      <c r="D326" s="7">
        <v>9</v>
      </c>
      <c r="E326" s="7">
        <v>3</v>
      </c>
      <c r="F326" s="116" t="str">
        <f>IF(ISBLANK(B326),"",IF(I326="L","Baixa",IF(I326="A","Média",IF(I326="","","Alta"))))</f>
        <v>Alta</v>
      </c>
      <c r="G326" s="7" t="str">
        <f>CONCATENATE(B326,I326)</f>
        <v>EEH</v>
      </c>
      <c r="H326" s="7">
        <f>IF(ISBLANK(B326),"",IF(B326="ALI",IF(I326="L",7,IF(I326="A",10,15)),IF(B326="AIE",IF(I326="L",5,IF(I326="A",7,10)),IF(B326="SE",IF(I326="L",4,IF(I326="A",5,7)),IF(OR(B326="EE",B326="CE"),IF(I326="L",3,IF(I326="A",4,6)),0)))))</f>
        <v>6</v>
      </c>
      <c r="I326" s="116" t="str">
        <f>IF(OR(ISBLANK(D326),ISBLANK(E326)),IF(OR(B326="ALI",B326="AIE"),"L",IF(OR(B326="EE",B326="SE",B326="CE"),"A","")),IF(B326="EE",IF(E326&gt;=3,IF(D326&gt;=5,"H","A"),IF(E326&gt;=2,IF(D326&gt;=16,"H",IF(D326&lt;=4,"L","A")),IF(D326&lt;=15,"L","A"))),IF(OR(B326="SE",B326="CE"),IF(E326&gt;=4,IF(D326&gt;=6,"H","A"),IF(E326&gt;=2,IF(D326&gt;=20,"H",IF(D326&lt;=5,"L","A")),IF(D326&lt;=19,"L","A"))),IF(OR(B326="ALI",B326="AIE"),IF(E326&gt;=6,IF(D326&gt;=20,"H","A"),IF(E326&gt;=2,IF(D326&gt;=51,"H",IF(D326&lt;=19,"L","A")),IF(D326&lt;=50,"L","A"))),""))))</f>
        <v>H</v>
      </c>
      <c r="J326" s="7" t="str">
        <f>CONCATENATE(B326,C326)</f>
        <v>EEI</v>
      </c>
      <c r="K326" s="125">
        <f>IF(OR(H326="",H326=0),L326,H326)</f>
        <v>6</v>
      </c>
      <c r="L326" s="125">
        <f>IF(NOT(ISERROR(VLOOKUP(B326,Deflatores!G$42:H$64,2,FALSE))),VLOOKUP(B326,Deflatores!G$42:H$64,2,FALSE),IF(OR(ISBLANK(C326),ISBLANK(B326)),"",VLOOKUP(C326,Deflatores!G$4:H$38,2,FALSE)*H326+VLOOKUP(C326,Deflatores!G$4:I$38,3,FALSE)))</f>
        <v>6</v>
      </c>
      <c r="M326" s="10"/>
      <c r="N326" s="10"/>
      <c r="O326" s="6"/>
    </row>
    <row r="327" spans="1:15">
      <c r="A327" s="142" t="s">
        <v>341</v>
      </c>
      <c r="B327" s="4" t="s">
        <v>63</v>
      </c>
      <c r="C327" s="4" t="s">
        <v>49</v>
      </c>
      <c r="D327" s="7">
        <v>6</v>
      </c>
      <c r="E327" s="7">
        <v>2</v>
      </c>
      <c r="F327" s="116" t="str">
        <f>IF(ISBLANK(B327),"",IF(I327="L","Baixa",IF(I327="A","Média",IF(I327="","","Alta"))))</f>
        <v>Média</v>
      </c>
      <c r="G327" s="7" t="str">
        <f>CONCATENATE(B327,I327)</f>
        <v>EEA</v>
      </c>
      <c r="H327" s="7">
        <f>IF(ISBLANK(B327),"",IF(B327="ALI",IF(I327="L",7,IF(I327="A",10,15)),IF(B327="AIE",IF(I327="L",5,IF(I327="A",7,10)),IF(B327="SE",IF(I327="L",4,IF(I327="A",5,7)),IF(OR(B327="EE",B327="CE"),IF(I327="L",3,IF(I327="A",4,6)),0)))))</f>
        <v>4</v>
      </c>
      <c r="I327" s="116" t="str">
        <f>IF(OR(ISBLANK(D327),ISBLANK(E327)),IF(OR(B327="ALI",B327="AIE"),"L",IF(OR(B327="EE",B327="SE",B327="CE"),"A","")),IF(B327="EE",IF(E327&gt;=3,IF(D327&gt;=5,"H","A"),IF(E327&gt;=2,IF(D327&gt;=16,"H",IF(D327&lt;=4,"L","A")),IF(D327&lt;=15,"L","A"))),IF(OR(B327="SE",B327="CE"),IF(E327&gt;=4,IF(D327&gt;=6,"H","A"),IF(E327&gt;=2,IF(D327&gt;=20,"H",IF(D327&lt;=5,"L","A")),IF(D327&lt;=19,"L","A"))),IF(OR(B327="ALI",B327="AIE"),IF(E327&gt;=6,IF(D327&gt;=20,"H","A"),IF(E327&gt;=2,IF(D327&gt;=51,"H",IF(D327&lt;=19,"L","A")),IF(D327&lt;=50,"L","A"))),""))))</f>
        <v>A</v>
      </c>
      <c r="J327" s="7" t="str">
        <f>CONCATENATE(B327,C327)</f>
        <v>EEI</v>
      </c>
      <c r="K327" s="125">
        <f>IF(OR(H327="",H327=0),L327,H327)</f>
        <v>4</v>
      </c>
      <c r="L327" s="125">
        <f>IF(NOT(ISERROR(VLOOKUP(B327,Deflatores!G$42:H$64,2,FALSE))),VLOOKUP(B327,Deflatores!G$42:H$64,2,FALSE),IF(OR(ISBLANK(C327),ISBLANK(B327)),"",VLOOKUP(C327,Deflatores!G$4:H$38,2,FALSE)*H327+VLOOKUP(C327,Deflatores!G$4:I$38,3,FALSE)))</f>
        <v>4</v>
      </c>
      <c r="M327" s="10"/>
      <c r="N327" s="10"/>
      <c r="O327" s="6"/>
    </row>
    <row r="328" spans="1:15">
      <c r="A328" s="142" t="s">
        <v>342</v>
      </c>
      <c r="B328" s="4" t="s">
        <v>44</v>
      </c>
      <c r="C328" s="4" t="s">
        <v>49</v>
      </c>
      <c r="D328" s="7">
        <v>23</v>
      </c>
      <c r="E328" s="7">
        <v>3</v>
      </c>
      <c r="F328" s="116" t="str">
        <f t="shared" ref="F328:F362" si="120">IF(ISBLANK(B328),"",IF(I328="L","Baixa",IF(I328="A","Média",IF(I328="","","Alta"))))</f>
        <v>Alta</v>
      </c>
      <c r="G328" s="7" t="str">
        <f t="shared" ref="G328:G362" si="121">CONCATENATE(B328,I328)</f>
        <v>CEH</v>
      </c>
      <c r="H328" s="7">
        <f t="shared" ref="H328:H362" si="122">IF(ISBLANK(B328),"",IF(B328="ALI",IF(I328="L",7,IF(I328="A",10,15)),IF(B328="AIE",IF(I328="L",5,IF(I328="A",7,10)),IF(B328="SE",IF(I328="L",4,IF(I328="A",5,7)),IF(OR(B328="EE",B328="CE"),IF(I328="L",3,IF(I328="A",4,6)),0)))))</f>
        <v>6</v>
      </c>
      <c r="I328" s="116" t="str">
        <f t="shared" ref="I328:I362" si="123">IF(OR(ISBLANK(D328),ISBLANK(E328)),IF(OR(B328="ALI",B328="AIE"),"L",IF(OR(B328="EE",B328="SE",B328="CE"),"A","")),IF(B328="EE",IF(E328&gt;=3,IF(D328&gt;=5,"H","A"),IF(E328&gt;=2,IF(D328&gt;=16,"H",IF(D328&lt;=4,"L","A")),IF(D328&lt;=15,"L","A"))),IF(OR(B328="SE",B328="CE"),IF(E328&gt;=4,IF(D328&gt;=6,"H","A"),IF(E328&gt;=2,IF(D328&gt;=20,"H",IF(D328&lt;=5,"L","A")),IF(D328&lt;=19,"L","A"))),IF(OR(B328="ALI",B328="AIE"),IF(E328&gt;=6,IF(D328&gt;=20,"H","A"),IF(E328&gt;=2,IF(D328&gt;=51,"H",IF(D328&lt;=19,"L","A")),IF(D328&lt;=50,"L","A"))),""))))</f>
        <v>H</v>
      </c>
      <c r="J328" s="7" t="str">
        <f t="shared" ref="J328:J362" si="124">CONCATENATE(B328,C328)</f>
        <v>CEI</v>
      </c>
      <c r="K328" s="125">
        <f t="shared" ref="K328:K363" si="125">IF(OR(H328="",H328=0),L328,H328)</f>
        <v>6</v>
      </c>
      <c r="L328" s="125">
        <f>IF(NOT(ISERROR(VLOOKUP(B328,Deflatores!G$42:H$64,2,FALSE))),VLOOKUP(B328,Deflatores!G$42:H$64,2,FALSE),IF(OR(ISBLANK(C328),ISBLANK(B328)),"",VLOOKUP(C328,Deflatores!G$4:H$38,2,FALSE)*H328+VLOOKUP(C328,Deflatores!G$4:I$38,3,FALSE)))</f>
        <v>6</v>
      </c>
      <c r="M328" s="10"/>
      <c r="N328" s="10"/>
      <c r="O328" s="6"/>
    </row>
    <row r="329" spans="1:15">
      <c r="A329" s="142" t="s">
        <v>343</v>
      </c>
      <c r="B329" s="4" t="s">
        <v>63</v>
      </c>
      <c r="C329" s="4" t="s">
        <v>49</v>
      </c>
      <c r="D329" s="7">
        <v>3</v>
      </c>
      <c r="E329" s="7">
        <v>1</v>
      </c>
      <c r="F329" s="116" t="str">
        <f t="shared" si="120"/>
        <v>Baixa</v>
      </c>
      <c r="G329" s="7" t="str">
        <f t="shared" si="121"/>
        <v>EEL</v>
      </c>
      <c r="H329" s="7">
        <f t="shared" si="122"/>
        <v>3</v>
      </c>
      <c r="I329" s="116" t="str">
        <f t="shared" si="123"/>
        <v>L</v>
      </c>
      <c r="J329" s="7" t="str">
        <f t="shared" si="124"/>
        <v>EEI</v>
      </c>
      <c r="K329" s="125">
        <f t="shared" si="125"/>
        <v>3</v>
      </c>
      <c r="L329" s="125">
        <f>IF(NOT(ISERROR(VLOOKUP(B329,Deflatores!G$42:H$64,2,FALSE))),VLOOKUP(B329,Deflatores!G$42:H$64,2,FALSE),IF(OR(ISBLANK(C329),ISBLANK(B329)),"",VLOOKUP(C329,Deflatores!G$4:H$38,2,FALSE)*H329+VLOOKUP(C329,Deflatores!G$4:I$38,3,FALSE)))</f>
        <v>3</v>
      </c>
      <c r="M329" s="10"/>
      <c r="N329" s="10"/>
      <c r="O329" s="6"/>
    </row>
    <row r="330" spans="1:15">
      <c r="A330" s="142" t="s">
        <v>344</v>
      </c>
      <c r="B330" s="4" t="s">
        <v>63</v>
      </c>
      <c r="C330" s="4" t="s">
        <v>49</v>
      </c>
      <c r="D330" s="7">
        <v>4</v>
      </c>
      <c r="E330" s="7">
        <v>1</v>
      </c>
      <c r="F330" s="116" t="str">
        <f t="shared" si="120"/>
        <v>Baixa</v>
      </c>
      <c r="G330" s="7" t="str">
        <f t="shared" si="121"/>
        <v>EEL</v>
      </c>
      <c r="H330" s="7">
        <f t="shared" si="122"/>
        <v>3</v>
      </c>
      <c r="I330" s="116" t="str">
        <f t="shared" si="123"/>
        <v>L</v>
      </c>
      <c r="J330" s="7" t="str">
        <f t="shared" si="124"/>
        <v>EEI</v>
      </c>
      <c r="K330" s="125">
        <f t="shared" si="125"/>
        <v>3</v>
      </c>
      <c r="L330" s="125">
        <f>IF(NOT(ISERROR(VLOOKUP(B330,Deflatores!G$42:H$64,2,FALSE))),VLOOKUP(B330,Deflatores!G$42:H$64,2,FALSE),IF(OR(ISBLANK(C330),ISBLANK(B330)),"",VLOOKUP(C330,Deflatores!G$4:H$38,2,FALSE)*H330+VLOOKUP(C330,Deflatores!G$4:I$38,3,FALSE)))</f>
        <v>3</v>
      </c>
      <c r="M330" s="10"/>
      <c r="N330" s="10"/>
      <c r="O330" s="6"/>
    </row>
    <row r="331" spans="1:15">
      <c r="A331" s="142" t="s">
        <v>345</v>
      </c>
      <c r="B331" s="4" t="s">
        <v>44</v>
      </c>
      <c r="C331" s="4" t="s">
        <v>49</v>
      </c>
      <c r="D331" s="7">
        <v>13</v>
      </c>
      <c r="E331" s="7">
        <v>3</v>
      </c>
      <c r="F331" s="116" t="str">
        <f t="shared" ref="F331" si="126">IF(ISBLANK(B331),"",IF(I331="L","Baixa",IF(I331="A","Média",IF(I331="","","Alta"))))</f>
        <v>Média</v>
      </c>
      <c r="G331" s="7" t="str">
        <f t="shared" ref="G331" si="127">CONCATENATE(B331,I331)</f>
        <v>CEA</v>
      </c>
      <c r="H331" s="7">
        <f t="shared" ref="H331" si="128">IF(ISBLANK(B331),"",IF(B331="ALI",IF(I331="L",7,IF(I331="A",10,15)),IF(B331="AIE",IF(I331="L",5,IF(I331="A",7,10)),IF(B331="SE",IF(I331="L",4,IF(I331="A",5,7)),IF(OR(B331="EE",B331="CE"),IF(I331="L",3,IF(I331="A",4,6)),0)))))</f>
        <v>4</v>
      </c>
      <c r="I331" s="116" t="str">
        <f t="shared" ref="I331" si="129">IF(OR(ISBLANK(D331),ISBLANK(E331)),IF(OR(B331="ALI",B331="AIE"),"L",IF(OR(B331="EE",B331="SE",B331="CE"),"A","")),IF(B331="EE",IF(E331&gt;=3,IF(D331&gt;=5,"H","A"),IF(E331&gt;=2,IF(D331&gt;=16,"H",IF(D331&lt;=4,"L","A")),IF(D331&lt;=15,"L","A"))),IF(OR(B331="SE",B331="CE"),IF(E331&gt;=4,IF(D331&gt;=6,"H","A"),IF(E331&gt;=2,IF(D331&gt;=20,"H",IF(D331&lt;=5,"L","A")),IF(D331&lt;=19,"L","A"))),IF(OR(B331="ALI",B331="AIE"),IF(E331&gt;=6,IF(D331&gt;=20,"H","A"),IF(E331&gt;=2,IF(D331&gt;=51,"H",IF(D331&lt;=19,"L","A")),IF(D331&lt;=50,"L","A"))),""))))</f>
        <v>A</v>
      </c>
      <c r="J331" s="7" t="str">
        <f t="shared" ref="J331" si="130">CONCATENATE(B331,C331)</f>
        <v>CEI</v>
      </c>
      <c r="K331" s="125">
        <f t="shared" ref="K331" si="131">IF(OR(H331="",H331=0),L331,H331)</f>
        <v>4</v>
      </c>
      <c r="L331" s="125">
        <f>IF(NOT(ISERROR(VLOOKUP(B331,Deflatores!G$42:H$64,2,FALSE))),VLOOKUP(B331,Deflatores!G$42:H$64,2,FALSE),IF(OR(ISBLANK(C331),ISBLANK(B331)),"",VLOOKUP(C331,Deflatores!G$4:H$38,2,FALSE)*H331+VLOOKUP(C331,Deflatores!G$4:I$38,3,FALSE)))</f>
        <v>4</v>
      </c>
      <c r="M331" s="10"/>
      <c r="N331" s="10"/>
      <c r="O331" s="6"/>
    </row>
    <row r="332" spans="1:15" ht="15.75" customHeight="1">
      <c r="A332" s="119"/>
      <c r="B332" s="4"/>
      <c r="C332" s="4"/>
      <c r="D332" s="7"/>
      <c r="E332" s="7"/>
      <c r="F332" s="116" t="str">
        <f t="shared" si="120"/>
        <v/>
      </c>
      <c r="G332" s="7" t="str">
        <f t="shared" si="121"/>
        <v/>
      </c>
      <c r="H332" s="7" t="str">
        <f t="shared" si="122"/>
        <v/>
      </c>
      <c r="I332" s="116" t="str">
        <f t="shared" si="123"/>
        <v/>
      </c>
      <c r="J332" s="7" t="str">
        <f t="shared" si="124"/>
        <v/>
      </c>
      <c r="K332" s="125" t="str">
        <f t="shared" si="125"/>
        <v/>
      </c>
      <c r="L332" s="125" t="str">
        <f>IF(NOT(ISERROR(VLOOKUP(B332,Deflatores!G$42:H$64,2,FALSE))),VLOOKUP(B332,Deflatores!G$42:H$64,2,FALSE),IF(OR(ISBLANK(C332),ISBLANK(B332)),"",VLOOKUP(C332,Deflatores!G$4:H$38,2,FALSE)*H332+VLOOKUP(C332,Deflatores!G$4:I$38,3,FALSE)))</f>
        <v/>
      </c>
      <c r="M332" s="10"/>
      <c r="N332" s="10"/>
      <c r="O332" s="6"/>
    </row>
    <row r="333" spans="1:15">
      <c r="A333" s="141" t="s">
        <v>346</v>
      </c>
      <c r="B333" s="4"/>
      <c r="C333" s="4"/>
      <c r="D333" s="7"/>
      <c r="E333" s="7"/>
      <c r="F333" s="116" t="str">
        <f t="shared" si="120"/>
        <v/>
      </c>
      <c r="G333" s="7" t="str">
        <f t="shared" si="121"/>
        <v/>
      </c>
      <c r="H333" s="7" t="str">
        <f t="shared" si="122"/>
        <v/>
      </c>
      <c r="I333" s="116" t="str">
        <f t="shared" si="123"/>
        <v/>
      </c>
      <c r="J333" s="7" t="str">
        <f t="shared" si="124"/>
        <v/>
      </c>
      <c r="K333" s="125" t="str">
        <f t="shared" si="125"/>
        <v/>
      </c>
      <c r="L333" s="125" t="str">
        <f>IF(NOT(ISERROR(VLOOKUP(B333,Deflatores!G$42:H$64,2,FALSE))),VLOOKUP(B333,Deflatores!G$42:H$64,2,FALSE),IF(OR(ISBLANK(C333),ISBLANK(B333)),"",VLOOKUP(C333,Deflatores!G$4:H$38,2,FALSE)*H333+VLOOKUP(C333,Deflatores!G$4:I$38,3,FALSE)))</f>
        <v/>
      </c>
      <c r="M333" s="10"/>
      <c r="N333" s="10"/>
      <c r="O333" s="6"/>
    </row>
    <row r="334" spans="1:15">
      <c r="A334" s="142" t="s">
        <v>347</v>
      </c>
      <c r="B334" s="4" t="s">
        <v>63</v>
      </c>
      <c r="C334" s="4" t="s">
        <v>49</v>
      </c>
      <c r="D334" s="7">
        <v>15</v>
      </c>
      <c r="E334" s="7">
        <v>3</v>
      </c>
      <c r="F334" s="116" t="str">
        <f t="shared" si="120"/>
        <v>Alta</v>
      </c>
      <c r="G334" s="7" t="str">
        <f t="shared" si="121"/>
        <v>EEH</v>
      </c>
      <c r="H334" s="7">
        <f t="shared" si="122"/>
        <v>6</v>
      </c>
      <c r="I334" s="116" t="str">
        <f t="shared" si="123"/>
        <v>H</v>
      </c>
      <c r="J334" s="7" t="str">
        <f t="shared" si="124"/>
        <v>EEI</v>
      </c>
      <c r="K334" s="125">
        <f t="shared" si="125"/>
        <v>6</v>
      </c>
      <c r="L334" s="125">
        <f>IF(NOT(ISERROR(VLOOKUP(B334,Deflatores!G$42:H$64,2,FALSE))),VLOOKUP(B334,Deflatores!G$42:H$64,2,FALSE),IF(OR(ISBLANK(C334),ISBLANK(B334)),"",VLOOKUP(C334,Deflatores!G$4:H$38,2,FALSE)*H334+VLOOKUP(C334,Deflatores!G$4:I$38,3,FALSE)))</f>
        <v>6</v>
      </c>
      <c r="M334" s="10"/>
      <c r="N334" s="10"/>
      <c r="O334" s="6"/>
    </row>
    <row r="335" spans="1:15">
      <c r="A335" s="142" t="s">
        <v>348</v>
      </c>
      <c r="B335" s="4" t="s">
        <v>63</v>
      </c>
      <c r="C335" s="4" t="s">
        <v>49</v>
      </c>
      <c r="D335" s="7">
        <v>15</v>
      </c>
      <c r="E335" s="7">
        <v>3</v>
      </c>
      <c r="F335" s="116" t="str">
        <f t="shared" si="120"/>
        <v>Alta</v>
      </c>
      <c r="G335" s="7" t="str">
        <f t="shared" si="121"/>
        <v>EEH</v>
      </c>
      <c r="H335" s="7">
        <f t="shared" si="122"/>
        <v>6</v>
      </c>
      <c r="I335" s="116" t="str">
        <f t="shared" si="123"/>
        <v>H</v>
      </c>
      <c r="J335" s="7" t="str">
        <f t="shared" si="124"/>
        <v>EEI</v>
      </c>
      <c r="K335" s="125">
        <f t="shared" si="125"/>
        <v>6</v>
      </c>
      <c r="L335" s="125">
        <f>IF(NOT(ISERROR(VLOOKUP(B335,Deflatores!G$42:H$64,2,FALSE))),VLOOKUP(B335,Deflatores!G$42:H$64,2,FALSE),IF(OR(ISBLANK(C335),ISBLANK(B335)),"",VLOOKUP(C335,Deflatores!G$4:H$38,2,FALSE)*H335+VLOOKUP(C335,Deflatores!G$4:I$38,3,FALSE)))</f>
        <v>6</v>
      </c>
      <c r="M335" s="10"/>
      <c r="N335" s="10"/>
      <c r="O335" s="6"/>
    </row>
    <row r="336" spans="1:15">
      <c r="A336" s="143" t="s">
        <v>339</v>
      </c>
      <c r="B336" s="4" t="s">
        <v>44</v>
      </c>
      <c r="C336" s="4" t="s">
        <v>49</v>
      </c>
      <c r="D336" s="7">
        <v>13</v>
      </c>
      <c r="E336" s="7">
        <v>3</v>
      </c>
      <c r="F336" s="116" t="str">
        <f t="shared" si="120"/>
        <v>Média</v>
      </c>
      <c r="G336" s="7" t="str">
        <f t="shared" si="121"/>
        <v>CEA</v>
      </c>
      <c r="H336" s="7">
        <f t="shared" si="122"/>
        <v>4</v>
      </c>
      <c r="I336" s="116" t="str">
        <f t="shared" si="123"/>
        <v>A</v>
      </c>
      <c r="J336" s="7" t="str">
        <f t="shared" si="124"/>
        <v>CEI</v>
      </c>
      <c r="K336" s="125">
        <f t="shared" si="125"/>
        <v>4</v>
      </c>
      <c r="L336" s="125">
        <f>IF(NOT(ISERROR(VLOOKUP(B336,Deflatores!G$42:H$64,2,FALSE))),VLOOKUP(B336,Deflatores!G$42:H$64,2,FALSE),IF(OR(ISBLANK(C336),ISBLANK(B336)),"",VLOOKUP(C336,Deflatores!G$4:H$38,2,FALSE)*H336+VLOOKUP(C336,Deflatores!G$4:I$38,3,FALSE)))</f>
        <v>4</v>
      </c>
      <c r="M336" s="10"/>
      <c r="N336" s="10"/>
      <c r="O336" s="6"/>
    </row>
    <row r="337" spans="1:15">
      <c r="A337" s="142" t="s">
        <v>349</v>
      </c>
      <c r="B337" s="4" t="s">
        <v>44</v>
      </c>
      <c r="C337" s="4" t="s">
        <v>49</v>
      </c>
      <c r="D337" s="7">
        <v>15</v>
      </c>
      <c r="E337" s="7">
        <v>3</v>
      </c>
      <c r="F337" s="116" t="str">
        <f t="shared" si="120"/>
        <v>Média</v>
      </c>
      <c r="G337" s="7" t="str">
        <f t="shared" si="121"/>
        <v>CEA</v>
      </c>
      <c r="H337" s="7">
        <f t="shared" si="122"/>
        <v>4</v>
      </c>
      <c r="I337" s="116" t="str">
        <f t="shared" si="123"/>
        <v>A</v>
      </c>
      <c r="J337" s="7" t="str">
        <f t="shared" si="124"/>
        <v>CEI</v>
      </c>
      <c r="K337" s="125">
        <f t="shared" si="125"/>
        <v>4</v>
      </c>
      <c r="L337" s="125">
        <f>IF(NOT(ISERROR(VLOOKUP(B337,Deflatores!G$42:H$64,2,FALSE))),VLOOKUP(B337,Deflatores!G$42:H$64,2,FALSE),IF(OR(ISBLANK(C337),ISBLANK(B337)),"",VLOOKUP(C337,Deflatores!G$4:H$38,2,FALSE)*H337+VLOOKUP(C337,Deflatores!G$4:I$38,3,FALSE)))</f>
        <v>4</v>
      </c>
      <c r="M337" s="10"/>
      <c r="N337" s="10"/>
      <c r="O337" s="6"/>
    </row>
    <row r="338" spans="1:15">
      <c r="A338" s="142" t="s">
        <v>350</v>
      </c>
      <c r="B338" s="4" t="s">
        <v>63</v>
      </c>
      <c r="C338" s="4" t="s">
        <v>49</v>
      </c>
      <c r="D338" s="7">
        <v>3</v>
      </c>
      <c r="E338" s="7">
        <v>1</v>
      </c>
      <c r="F338" s="116" t="str">
        <f t="shared" si="120"/>
        <v>Baixa</v>
      </c>
      <c r="G338" s="7" t="str">
        <f t="shared" si="121"/>
        <v>EEL</v>
      </c>
      <c r="H338" s="7">
        <f t="shared" si="122"/>
        <v>3</v>
      </c>
      <c r="I338" s="116" t="str">
        <f t="shared" si="123"/>
        <v>L</v>
      </c>
      <c r="J338" s="7" t="str">
        <f t="shared" si="124"/>
        <v>EEI</v>
      </c>
      <c r="K338" s="125">
        <f t="shared" si="125"/>
        <v>3</v>
      </c>
      <c r="L338" s="125">
        <f>IF(NOT(ISERROR(VLOOKUP(B338,Deflatores!G$42:H$64,2,FALSE))),VLOOKUP(B338,Deflatores!G$42:H$64,2,FALSE),IF(OR(ISBLANK(C338),ISBLANK(B338)),"",VLOOKUP(C338,Deflatores!G$4:H$38,2,FALSE)*H338+VLOOKUP(C338,Deflatores!G$4:I$38,3,FALSE)))</f>
        <v>3</v>
      </c>
      <c r="M338" s="10"/>
      <c r="N338" s="10"/>
      <c r="O338" s="6"/>
    </row>
    <row r="339" spans="1:15">
      <c r="A339" s="142" t="s">
        <v>351</v>
      </c>
      <c r="B339" s="4" t="s">
        <v>63</v>
      </c>
      <c r="C339" s="4" t="s">
        <v>49</v>
      </c>
      <c r="D339" s="7">
        <v>7</v>
      </c>
      <c r="E339" s="7">
        <v>3</v>
      </c>
      <c r="F339" s="116" t="str">
        <f t="shared" si="120"/>
        <v>Alta</v>
      </c>
      <c r="G339" s="7" t="str">
        <f t="shared" si="121"/>
        <v>EEH</v>
      </c>
      <c r="H339" s="7">
        <f t="shared" si="122"/>
        <v>6</v>
      </c>
      <c r="I339" s="116" t="str">
        <f t="shared" si="123"/>
        <v>H</v>
      </c>
      <c r="J339" s="7" t="str">
        <f t="shared" si="124"/>
        <v>EEI</v>
      </c>
      <c r="K339" s="125">
        <f t="shared" si="125"/>
        <v>6</v>
      </c>
      <c r="L339" s="125">
        <f>IF(NOT(ISERROR(VLOOKUP(B339,Deflatores!G$42:H$64,2,FALSE))),VLOOKUP(B339,Deflatores!G$42:H$64,2,FALSE),IF(OR(ISBLANK(C339),ISBLANK(B339)),"",VLOOKUP(C339,Deflatores!G$4:H$38,2,FALSE)*H339+VLOOKUP(C339,Deflatores!G$4:I$38,3,FALSE)))</f>
        <v>6</v>
      </c>
      <c r="M339" s="10"/>
      <c r="N339" s="10"/>
      <c r="O339" s="6"/>
    </row>
    <row r="340" spans="1:15">
      <c r="A340" s="142" t="s">
        <v>352</v>
      </c>
      <c r="B340" s="4" t="s">
        <v>44</v>
      </c>
      <c r="C340" s="4" t="s">
        <v>49</v>
      </c>
      <c r="D340" s="7">
        <v>3</v>
      </c>
      <c r="E340" s="7">
        <v>1</v>
      </c>
      <c r="F340" s="116" t="str">
        <f t="shared" si="120"/>
        <v>Baixa</v>
      </c>
      <c r="G340" s="7" t="str">
        <f t="shared" si="121"/>
        <v>CEL</v>
      </c>
      <c r="H340" s="7">
        <f t="shared" si="122"/>
        <v>3</v>
      </c>
      <c r="I340" s="116" t="str">
        <f t="shared" si="123"/>
        <v>L</v>
      </c>
      <c r="J340" s="7" t="str">
        <f t="shared" si="124"/>
        <v>CEI</v>
      </c>
      <c r="K340" s="125">
        <f t="shared" si="125"/>
        <v>3</v>
      </c>
      <c r="L340" s="125">
        <f>IF(NOT(ISERROR(VLOOKUP(B340,Deflatores!G$42:H$64,2,FALSE))),VLOOKUP(B340,Deflatores!G$42:H$64,2,FALSE),IF(OR(ISBLANK(C340),ISBLANK(B340)),"",VLOOKUP(C340,Deflatores!G$4:H$38,2,FALSE)*H340+VLOOKUP(C340,Deflatores!G$4:I$38,3,FALSE)))</f>
        <v>3</v>
      </c>
      <c r="M340" s="10"/>
      <c r="N340" s="10"/>
      <c r="O340" s="6"/>
    </row>
    <row r="341" spans="1:15">
      <c r="A341" s="119"/>
      <c r="B341" s="4"/>
      <c r="C341" s="4"/>
      <c r="D341" s="7"/>
      <c r="E341" s="7"/>
      <c r="F341" s="116" t="str">
        <f t="shared" si="120"/>
        <v/>
      </c>
      <c r="G341" s="7" t="str">
        <f t="shared" si="121"/>
        <v/>
      </c>
      <c r="H341" s="7" t="str">
        <f t="shared" si="122"/>
        <v/>
      </c>
      <c r="I341" s="116" t="str">
        <f t="shared" si="123"/>
        <v/>
      </c>
      <c r="J341" s="7" t="str">
        <f t="shared" si="124"/>
        <v/>
      </c>
      <c r="K341" s="125" t="str">
        <f t="shared" si="125"/>
        <v/>
      </c>
      <c r="L341" s="125" t="str">
        <f>IF(NOT(ISERROR(VLOOKUP(B341,Deflatores!G$42:H$64,2,FALSE))),VLOOKUP(B341,Deflatores!G$42:H$64,2,FALSE),IF(OR(ISBLANK(C341),ISBLANK(B341)),"",VLOOKUP(C341,Deflatores!G$4:H$38,2,FALSE)*H341+VLOOKUP(C341,Deflatores!G$4:I$38,3,FALSE)))</f>
        <v/>
      </c>
      <c r="M341" s="10"/>
      <c r="N341" s="10"/>
      <c r="O341" s="6"/>
    </row>
    <row r="342" spans="1:15">
      <c r="A342" s="141" t="s">
        <v>353</v>
      </c>
      <c r="B342" s="4"/>
      <c r="C342" s="4"/>
      <c r="D342" s="7"/>
      <c r="E342" s="7"/>
      <c r="F342" s="116" t="str">
        <f t="shared" si="120"/>
        <v/>
      </c>
      <c r="G342" s="7" t="str">
        <f t="shared" si="121"/>
        <v/>
      </c>
      <c r="H342" s="7" t="str">
        <f t="shared" si="122"/>
        <v/>
      </c>
      <c r="I342" s="116" t="str">
        <f t="shared" si="123"/>
        <v/>
      </c>
      <c r="J342" s="7" t="str">
        <f t="shared" si="124"/>
        <v/>
      </c>
      <c r="K342" s="125" t="str">
        <f t="shared" si="125"/>
        <v/>
      </c>
      <c r="L342" s="125" t="str">
        <f>IF(NOT(ISERROR(VLOOKUP(B342,Deflatores!G$42:H$64,2,FALSE))),VLOOKUP(B342,Deflatores!G$42:H$64,2,FALSE),IF(OR(ISBLANK(C342),ISBLANK(B342)),"",VLOOKUP(C342,Deflatores!G$4:H$38,2,FALSE)*H342+VLOOKUP(C342,Deflatores!G$4:I$38,3,FALSE)))</f>
        <v/>
      </c>
      <c r="M342" s="10"/>
      <c r="N342" s="10"/>
      <c r="O342" s="6"/>
    </row>
    <row r="343" spans="1:15">
      <c r="A343" s="142" t="s">
        <v>354</v>
      </c>
      <c r="B343" s="4" t="s">
        <v>44</v>
      </c>
      <c r="C343" s="4" t="s">
        <v>49</v>
      </c>
      <c r="D343" s="7">
        <v>21</v>
      </c>
      <c r="E343" s="7">
        <v>4</v>
      </c>
      <c r="F343" s="116" t="str">
        <f t="shared" si="120"/>
        <v>Alta</v>
      </c>
      <c r="G343" s="7" t="str">
        <f t="shared" si="121"/>
        <v>CEH</v>
      </c>
      <c r="H343" s="7">
        <f t="shared" si="122"/>
        <v>6</v>
      </c>
      <c r="I343" s="116" t="str">
        <f t="shared" si="123"/>
        <v>H</v>
      </c>
      <c r="J343" s="7" t="str">
        <f t="shared" si="124"/>
        <v>CEI</v>
      </c>
      <c r="K343" s="125">
        <f t="shared" si="125"/>
        <v>6</v>
      </c>
      <c r="L343" s="125">
        <f>IF(NOT(ISERROR(VLOOKUP(B343,Deflatores!G$42:H$64,2,FALSE))),VLOOKUP(B343,Deflatores!G$42:H$64,2,FALSE),IF(OR(ISBLANK(C343),ISBLANK(B343)),"",VLOOKUP(C343,Deflatores!G$4:H$38,2,FALSE)*H343+VLOOKUP(C343,Deflatores!G$4:I$38,3,FALSE)))</f>
        <v>6</v>
      </c>
      <c r="M343" s="10"/>
      <c r="N343" s="10"/>
      <c r="O343" s="6"/>
    </row>
    <row r="344" spans="1:15">
      <c r="A344" s="119"/>
      <c r="B344" s="4"/>
      <c r="C344" s="4"/>
      <c r="D344" s="7"/>
      <c r="E344" s="7"/>
      <c r="F344" s="116" t="str">
        <f t="shared" si="120"/>
        <v/>
      </c>
      <c r="G344" s="7" t="str">
        <f t="shared" si="121"/>
        <v/>
      </c>
      <c r="H344" s="7" t="str">
        <f t="shared" si="122"/>
        <v/>
      </c>
      <c r="I344" s="116" t="str">
        <f t="shared" si="123"/>
        <v/>
      </c>
      <c r="J344" s="7" t="str">
        <f t="shared" si="124"/>
        <v/>
      </c>
      <c r="K344" s="125" t="str">
        <f t="shared" si="125"/>
        <v/>
      </c>
      <c r="L344" s="125" t="str">
        <f>IF(NOT(ISERROR(VLOOKUP(B344,Deflatores!G$42:H$64,2,FALSE))),VLOOKUP(B344,Deflatores!G$42:H$64,2,FALSE),IF(OR(ISBLANK(C344),ISBLANK(B344)),"",VLOOKUP(C344,Deflatores!G$4:H$38,2,FALSE)*H344+VLOOKUP(C344,Deflatores!G$4:I$38,3,FALSE)))</f>
        <v/>
      </c>
      <c r="M344" s="10"/>
      <c r="N344" s="10"/>
      <c r="O344" s="6"/>
    </row>
    <row r="345" spans="1:15">
      <c r="A345" s="141" t="s">
        <v>355</v>
      </c>
      <c r="B345" s="4"/>
      <c r="C345" s="4"/>
      <c r="D345" s="7"/>
      <c r="E345" s="7"/>
      <c r="F345" s="116" t="str">
        <f t="shared" si="120"/>
        <v/>
      </c>
      <c r="G345" s="7" t="str">
        <f t="shared" si="121"/>
        <v/>
      </c>
      <c r="H345" s="7" t="str">
        <f t="shared" si="122"/>
        <v/>
      </c>
      <c r="I345" s="116" t="str">
        <f t="shared" si="123"/>
        <v/>
      </c>
      <c r="J345" s="7" t="str">
        <f t="shared" si="124"/>
        <v/>
      </c>
      <c r="K345" s="125" t="str">
        <f t="shared" si="125"/>
        <v/>
      </c>
      <c r="L345" s="125" t="str">
        <f>IF(NOT(ISERROR(VLOOKUP(B345,Deflatores!G$42:H$64,2,FALSE))),VLOOKUP(B345,Deflatores!G$42:H$64,2,FALSE),IF(OR(ISBLANK(C345),ISBLANK(B345)),"",VLOOKUP(C345,Deflatores!G$4:H$38,2,FALSE)*H345+VLOOKUP(C345,Deflatores!G$4:I$38,3,FALSE)))</f>
        <v/>
      </c>
      <c r="M345" s="10"/>
      <c r="N345" s="10"/>
      <c r="O345" s="6"/>
    </row>
    <row r="346" spans="1:15">
      <c r="A346" s="142" t="s">
        <v>356</v>
      </c>
      <c r="B346" s="4" t="s">
        <v>63</v>
      </c>
      <c r="C346" s="4" t="s">
        <v>49</v>
      </c>
      <c r="D346" s="7">
        <v>6</v>
      </c>
      <c r="E346" s="7">
        <v>1</v>
      </c>
      <c r="F346" s="116" t="str">
        <f t="shared" si="120"/>
        <v>Baixa</v>
      </c>
      <c r="G346" s="7" t="str">
        <f t="shared" si="121"/>
        <v>EEL</v>
      </c>
      <c r="H346" s="7">
        <f t="shared" si="122"/>
        <v>3</v>
      </c>
      <c r="I346" s="116" t="str">
        <f t="shared" si="123"/>
        <v>L</v>
      </c>
      <c r="J346" s="7" t="str">
        <f t="shared" si="124"/>
        <v>EEI</v>
      </c>
      <c r="K346" s="125">
        <f t="shared" si="125"/>
        <v>3</v>
      </c>
      <c r="L346" s="125">
        <f>IF(NOT(ISERROR(VLOOKUP(B346,Deflatores!G$42:H$64,2,FALSE))),VLOOKUP(B346,Deflatores!G$42:H$64,2,FALSE),IF(OR(ISBLANK(C346),ISBLANK(B346)),"",VLOOKUP(C346,Deflatores!G$4:H$38,2,FALSE)*H346+VLOOKUP(C346,Deflatores!G$4:I$38,3,FALSE)))</f>
        <v>3</v>
      </c>
      <c r="M346" s="10"/>
      <c r="N346" s="10"/>
      <c r="O346" s="6"/>
    </row>
    <row r="347" spans="1:15">
      <c r="A347" s="141"/>
      <c r="B347" s="4"/>
      <c r="C347" s="4"/>
      <c r="D347" s="7"/>
      <c r="E347" s="7"/>
      <c r="F347" s="116" t="str">
        <f t="shared" si="120"/>
        <v/>
      </c>
      <c r="G347" s="7" t="str">
        <f t="shared" si="121"/>
        <v/>
      </c>
      <c r="H347" s="7" t="str">
        <f t="shared" si="122"/>
        <v/>
      </c>
      <c r="I347" s="116" t="str">
        <f t="shared" si="123"/>
        <v/>
      </c>
      <c r="J347" s="7" t="str">
        <f t="shared" si="124"/>
        <v/>
      </c>
      <c r="K347" s="125" t="str">
        <f t="shared" si="125"/>
        <v/>
      </c>
      <c r="L347" s="125" t="str">
        <f>IF(NOT(ISERROR(VLOOKUP(B347,Deflatores!G$42:H$64,2,FALSE))),VLOOKUP(B347,Deflatores!G$42:H$64,2,FALSE),IF(OR(ISBLANK(C347),ISBLANK(B347)),"",VLOOKUP(C347,Deflatores!G$4:H$38,2,FALSE)*H347+VLOOKUP(C347,Deflatores!G$4:I$38,3,FALSE)))</f>
        <v/>
      </c>
      <c r="M347" s="10"/>
      <c r="N347" s="10"/>
      <c r="O347" s="6"/>
    </row>
    <row r="348" spans="1:15">
      <c r="A348" s="141" t="s">
        <v>357</v>
      </c>
      <c r="B348" s="4"/>
      <c r="C348" s="4"/>
      <c r="D348" s="7"/>
      <c r="E348" s="7"/>
      <c r="F348" s="116" t="str">
        <f t="shared" si="120"/>
        <v/>
      </c>
      <c r="G348" s="7" t="str">
        <f t="shared" si="121"/>
        <v/>
      </c>
      <c r="H348" s="7" t="str">
        <f t="shared" si="122"/>
        <v/>
      </c>
      <c r="I348" s="116" t="str">
        <f t="shared" si="123"/>
        <v/>
      </c>
      <c r="J348" s="7" t="str">
        <f t="shared" si="124"/>
        <v/>
      </c>
      <c r="K348" s="125" t="str">
        <f t="shared" si="125"/>
        <v/>
      </c>
      <c r="L348" s="125" t="str">
        <f>IF(NOT(ISERROR(VLOOKUP(B348,Deflatores!G$42:H$64,2,FALSE))),VLOOKUP(B348,Deflatores!G$42:H$64,2,FALSE),IF(OR(ISBLANK(C348),ISBLANK(B348)),"",VLOOKUP(C348,Deflatores!G$4:H$38,2,FALSE)*H348+VLOOKUP(C348,Deflatores!G$4:I$38,3,FALSE)))</f>
        <v/>
      </c>
      <c r="M348" s="10"/>
      <c r="N348" s="10"/>
      <c r="O348" s="6"/>
    </row>
    <row r="349" spans="1:15">
      <c r="A349" s="142" t="s">
        <v>358</v>
      </c>
      <c r="B349" s="4" t="s">
        <v>44</v>
      </c>
      <c r="C349" s="4" t="s">
        <v>49</v>
      </c>
      <c r="D349" s="7">
        <v>14</v>
      </c>
      <c r="E349" s="7">
        <v>4</v>
      </c>
      <c r="F349" s="116" t="str">
        <f t="shared" si="120"/>
        <v>Alta</v>
      </c>
      <c r="G349" s="7" t="str">
        <f t="shared" si="121"/>
        <v>CEH</v>
      </c>
      <c r="H349" s="7">
        <f t="shared" si="122"/>
        <v>6</v>
      </c>
      <c r="I349" s="116" t="str">
        <f t="shared" si="123"/>
        <v>H</v>
      </c>
      <c r="J349" s="7" t="str">
        <f t="shared" si="124"/>
        <v>CEI</v>
      </c>
      <c r="K349" s="125">
        <f t="shared" si="125"/>
        <v>6</v>
      </c>
      <c r="L349" s="125">
        <f>IF(NOT(ISERROR(VLOOKUP(B349,Deflatores!G$42:H$64,2,FALSE))),VLOOKUP(B349,Deflatores!G$42:H$64,2,FALSE),IF(OR(ISBLANK(C349),ISBLANK(B349)),"",VLOOKUP(C349,Deflatores!G$4:H$38,2,FALSE)*H349+VLOOKUP(C349,Deflatores!G$4:I$38,3,FALSE)))</f>
        <v>6</v>
      </c>
      <c r="M349" s="10"/>
      <c r="N349" s="10"/>
      <c r="O349" s="6"/>
    </row>
    <row r="350" spans="1:15">
      <c r="A350" s="119"/>
      <c r="B350" s="4"/>
      <c r="C350" s="4"/>
      <c r="D350" s="7"/>
      <c r="E350" s="7"/>
      <c r="F350" s="116" t="str">
        <f t="shared" si="120"/>
        <v/>
      </c>
      <c r="G350" s="7" t="str">
        <f t="shared" si="121"/>
        <v/>
      </c>
      <c r="H350" s="7" t="str">
        <f t="shared" si="122"/>
        <v/>
      </c>
      <c r="I350" s="116" t="str">
        <f t="shared" si="123"/>
        <v/>
      </c>
      <c r="J350" s="7" t="str">
        <f t="shared" si="124"/>
        <v/>
      </c>
      <c r="K350" s="125" t="str">
        <f t="shared" si="125"/>
        <v/>
      </c>
      <c r="L350" s="125" t="str">
        <f>IF(NOT(ISERROR(VLOOKUP(B350,Deflatores!G$42:H$64,2,FALSE))),VLOOKUP(B350,Deflatores!G$42:H$64,2,FALSE),IF(OR(ISBLANK(C350),ISBLANK(B350)),"",VLOOKUP(C350,Deflatores!G$4:H$38,2,FALSE)*H350+VLOOKUP(C350,Deflatores!G$4:I$38,3,FALSE)))</f>
        <v/>
      </c>
      <c r="M350" s="10"/>
      <c r="N350" s="10"/>
      <c r="O350" s="6"/>
    </row>
    <row r="351" spans="1:15">
      <c r="A351" s="141" t="s">
        <v>359</v>
      </c>
      <c r="B351" s="4"/>
      <c r="C351" s="4"/>
      <c r="D351" s="7"/>
      <c r="E351" s="7"/>
      <c r="F351" s="116" t="str">
        <f t="shared" si="120"/>
        <v/>
      </c>
      <c r="G351" s="7" t="str">
        <f t="shared" si="121"/>
        <v/>
      </c>
      <c r="H351" s="7" t="str">
        <f t="shared" si="122"/>
        <v/>
      </c>
      <c r="I351" s="116" t="str">
        <f t="shared" si="123"/>
        <v/>
      </c>
      <c r="J351" s="7" t="str">
        <f t="shared" si="124"/>
        <v/>
      </c>
      <c r="K351" s="125" t="str">
        <f t="shared" si="125"/>
        <v/>
      </c>
      <c r="L351" s="125" t="str">
        <f>IF(NOT(ISERROR(VLOOKUP(B351,Deflatores!G$42:H$64,2,FALSE))),VLOOKUP(B351,Deflatores!G$42:H$64,2,FALSE),IF(OR(ISBLANK(C351),ISBLANK(B351)),"",VLOOKUP(C351,Deflatores!G$4:H$38,2,FALSE)*H351+VLOOKUP(C351,Deflatores!G$4:I$38,3,FALSE)))</f>
        <v/>
      </c>
      <c r="M351" s="10"/>
      <c r="N351" s="10"/>
      <c r="O351" s="6"/>
    </row>
    <row r="352" spans="1:15">
      <c r="A352" s="142" t="s">
        <v>360</v>
      </c>
      <c r="B352" s="4" t="s">
        <v>44</v>
      </c>
      <c r="C352" s="4" t="s">
        <v>49</v>
      </c>
      <c r="D352" s="7">
        <v>17</v>
      </c>
      <c r="E352" s="7">
        <v>3</v>
      </c>
      <c r="F352" s="116" t="str">
        <f t="shared" si="120"/>
        <v>Média</v>
      </c>
      <c r="G352" s="7" t="str">
        <f t="shared" si="121"/>
        <v>CEA</v>
      </c>
      <c r="H352" s="7">
        <f t="shared" si="122"/>
        <v>4</v>
      </c>
      <c r="I352" s="116" t="str">
        <f t="shared" si="123"/>
        <v>A</v>
      </c>
      <c r="J352" s="7" t="str">
        <f t="shared" si="124"/>
        <v>CEI</v>
      </c>
      <c r="K352" s="125">
        <f t="shared" si="125"/>
        <v>4</v>
      </c>
      <c r="L352" s="125">
        <f>IF(NOT(ISERROR(VLOOKUP(B352,Deflatores!G$42:H$64,2,FALSE))),VLOOKUP(B352,Deflatores!G$42:H$64,2,FALSE),IF(OR(ISBLANK(C352),ISBLANK(B352)),"",VLOOKUP(C352,Deflatores!G$4:H$38,2,FALSE)*H352+VLOOKUP(C352,Deflatores!G$4:I$38,3,FALSE)))</f>
        <v>4</v>
      </c>
      <c r="M352" s="10"/>
      <c r="N352" s="10"/>
      <c r="O352" s="6"/>
    </row>
    <row r="353" spans="1:15">
      <c r="A353" s="142" t="s">
        <v>361</v>
      </c>
      <c r="B353" s="4" t="s">
        <v>63</v>
      </c>
      <c r="C353" s="4" t="s">
        <v>49</v>
      </c>
      <c r="D353" s="7">
        <v>8</v>
      </c>
      <c r="E353" s="7">
        <v>1</v>
      </c>
      <c r="F353" s="116" t="str">
        <f t="shared" si="120"/>
        <v>Baixa</v>
      </c>
      <c r="G353" s="7" t="str">
        <f t="shared" si="121"/>
        <v>EEL</v>
      </c>
      <c r="H353" s="7">
        <f t="shared" si="122"/>
        <v>3</v>
      </c>
      <c r="I353" s="116" t="str">
        <f t="shared" si="123"/>
        <v>L</v>
      </c>
      <c r="J353" s="7" t="str">
        <f t="shared" si="124"/>
        <v>EEI</v>
      </c>
      <c r="K353" s="125">
        <f t="shared" si="125"/>
        <v>3</v>
      </c>
      <c r="L353" s="125">
        <f>IF(NOT(ISERROR(VLOOKUP(B353,Deflatores!G$42:H$64,2,FALSE))),VLOOKUP(B353,Deflatores!G$42:H$64,2,FALSE),IF(OR(ISBLANK(C353),ISBLANK(B353)),"",VLOOKUP(C353,Deflatores!G$4:H$38,2,FALSE)*H353+VLOOKUP(C353,Deflatores!G$4:I$38,3,FALSE)))</f>
        <v>3</v>
      </c>
      <c r="M353" s="10"/>
      <c r="N353" s="10"/>
      <c r="O353" s="6"/>
    </row>
    <row r="354" spans="1:15">
      <c r="A354" s="142" t="s">
        <v>362</v>
      </c>
      <c r="B354" s="4" t="s">
        <v>63</v>
      </c>
      <c r="C354" s="4" t="s">
        <v>49</v>
      </c>
      <c r="D354" s="7">
        <v>8</v>
      </c>
      <c r="E354" s="7">
        <v>1</v>
      </c>
      <c r="F354" s="116" t="str">
        <f t="shared" si="120"/>
        <v>Baixa</v>
      </c>
      <c r="G354" s="7" t="str">
        <f t="shared" si="121"/>
        <v>EEL</v>
      </c>
      <c r="H354" s="7">
        <f t="shared" si="122"/>
        <v>3</v>
      </c>
      <c r="I354" s="116" t="str">
        <f t="shared" si="123"/>
        <v>L</v>
      </c>
      <c r="J354" s="7" t="str">
        <f t="shared" si="124"/>
        <v>EEI</v>
      </c>
      <c r="K354" s="125">
        <f t="shared" si="125"/>
        <v>3</v>
      </c>
      <c r="L354" s="125">
        <f>IF(NOT(ISERROR(VLOOKUP(B354,Deflatores!G$42:H$64,2,FALSE))),VLOOKUP(B354,Deflatores!G$42:H$64,2,FALSE),IF(OR(ISBLANK(C354),ISBLANK(B354)),"",VLOOKUP(C354,Deflatores!G$4:H$38,2,FALSE)*H354+VLOOKUP(C354,Deflatores!G$4:I$38,3,FALSE)))</f>
        <v>3</v>
      </c>
      <c r="M354" s="10"/>
      <c r="N354" s="10"/>
      <c r="O354" s="6"/>
    </row>
    <row r="355" spans="1:15">
      <c r="A355" s="142" t="s">
        <v>363</v>
      </c>
      <c r="B355" s="4" t="s">
        <v>44</v>
      </c>
      <c r="C355" s="4" t="s">
        <v>49</v>
      </c>
      <c r="D355" s="7">
        <v>8</v>
      </c>
      <c r="E355" s="7">
        <v>1</v>
      </c>
      <c r="F355" s="116" t="str">
        <f t="shared" ref="F355" si="132">IF(ISBLANK(B355),"",IF(I355="L","Baixa",IF(I355="A","Média",IF(I355="","","Alta"))))</f>
        <v>Baixa</v>
      </c>
      <c r="G355" s="7" t="str">
        <f t="shared" ref="G355" si="133">CONCATENATE(B355,I355)</f>
        <v>CEL</v>
      </c>
      <c r="H355" s="7">
        <f t="shared" ref="H355" si="134">IF(ISBLANK(B355),"",IF(B355="ALI",IF(I355="L",7,IF(I355="A",10,15)),IF(B355="AIE",IF(I355="L",5,IF(I355="A",7,10)),IF(B355="SE",IF(I355="L",4,IF(I355="A",5,7)),IF(OR(B355="EE",B355="CE"),IF(I355="L",3,IF(I355="A",4,6)),0)))))</f>
        <v>3</v>
      </c>
      <c r="I355" s="116" t="str">
        <f t="shared" ref="I355" si="135">IF(OR(ISBLANK(D355),ISBLANK(E355)),IF(OR(B355="ALI",B355="AIE"),"L",IF(OR(B355="EE",B355="SE",B355="CE"),"A","")),IF(B355="EE",IF(E355&gt;=3,IF(D355&gt;=5,"H","A"),IF(E355&gt;=2,IF(D355&gt;=16,"H",IF(D355&lt;=4,"L","A")),IF(D355&lt;=15,"L","A"))),IF(OR(B355="SE",B355="CE"),IF(E355&gt;=4,IF(D355&gt;=6,"H","A"),IF(E355&gt;=2,IF(D355&gt;=20,"H",IF(D355&lt;=5,"L","A")),IF(D355&lt;=19,"L","A"))),IF(OR(B355="ALI",B355="AIE"),IF(E355&gt;=6,IF(D355&gt;=20,"H","A"),IF(E355&gt;=2,IF(D355&gt;=51,"H",IF(D355&lt;=19,"L","A")),IF(D355&lt;=50,"L","A"))),""))))</f>
        <v>L</v>
      </c>
      <c r="J355" s="7" t="str">
        <f t="shared" ref="J355" si="136">CONCATENATE(B355,C355)</f>
        <v>CEI</v>
      </c>
      <c r="K355" s="125">
        <f t="shared" ref="K355" si="137">IF(OR(H355="",H355=0),L355,H355)</f>
        <v>3</v>
      </c>
      <c r="L355" s="125">
        <f>IF(NOT(ISERROR(VLOOKUP(B355,Deflatores!G$42:H$64,2,FALSE))),VLOOKUP(B355,Deflatores!G$42:H$64,2,FALSE),IF(OR(ISBLANK(C355),ISBLANK(B355)),"",VLOOKUP(C355,Deflatores!G$4:H$38,2,FALSE)*H355+VLOOKUP(C355,Deflatores!G$4:I$38,3,FALSE)))</f>
        <v>3</v>
      </c>
      <c r="M355" s="10"/>
      <c r="N355" s="10"/>
      <c r="O355" s="6"/>
    </row>
    <row r="356" spans="1:15">
      <c r="A356" s="119"/>
      <c r="B356" s="4"/>
      <c r="C356" s="4"/>
      <c r="D356" s="7"/>
      <c r="E356" s="7"/>
      <c r="F356" s="116" t="str">
        <f t="shared" si="120"/>
        <v/>
      </c>
      <c r="G356" s="7" t="str">
        <f t="shared" si="121"/>
        <v/>
      </c>
      <c r="H356" s="7" t="str">
        <f t="shared" si="122"/>
        <v/>
      </c>
      <c r="I356" s="116" t="str">
        <f t="shared" si="123"/>
        <v/>
      </c>
      <c r="J356" s="7" t="str">
        <f t="shared" si="124"/>
        <v/>
      </c>
      <c r="K356" s="125" t="str">
        <f t="shared" si="125"/>
        <v/>
      </c>
      <c r="L356" s="125" t="str">
        <f>IF(NOT(ISERROR(VLOOKUP(B356,Deflatores!G$42:H$64,2,FALSE))),VLOOKUP(B356,Deflatores!G$42:H$64,2,FALSE),IF(OR(ISBLANK(C356),ISBLANK(B356)),"",VLOOKUP(C356,Deflatores!G$4:H$38,2,FALSE)*H356+VLOOKUP(C356,Deflatores!G$4:I$38,3,FALSE)))</f>
        <v/>
      </c>
      <c r="M356" s="10"/>
      <c r="N356" s="10"/>
      <c r="O356" s="6"/>
    </row>
    <row r="357" spans="1:15">
      <c r="A357" s="141" t="s">
        <v>364</v>
      </c>
      <c r="B357" s="4"/>
      <c r="C357" s="4"/>
      <c r="D357" s="7"/>
      <c r="E357" s="7"/>
      <c r="F357" s="116" t="str">
        <f>IF(ISBLANK(B357),"",IF(I357="L","Baixa",IF(I357="A","Média",IF(I357="","","Alta"))))</f>
        <v/>
      </c>
      <c r="G357" s="7" t="str">
        <f t="shared" si="121"/>
        <v/>
      </c>
      <c r="H357" s="7" t="str">
        <f t="shared" si="122"/>
        <v/>
      </c>
      <c r="I357" s="116" t="str">
        <f t="shared" si="123"/>
        <v/>
      </c>
      <c r="J357" s="7" t="str">
        <f t="shared" si="124"/>
        <v/>
      </c>
      <c r="K357" s="125" t="str">
        <f t="shared" si="125"/>
        <v/>
      </c>
      <c r="L357" s="125" t="str">
        <f>IF(NOT(ISERROR(VLOOKUP(B357,Deflatores!G$42:H$64,2,FALSE))),VLOOKUP(B357,Deflatores!G$42:H$64,2,FALSE),IF(OR(ISBLANK(C357),ISBLANK(B357)),"",VLOOKUP(C357,Deflatores!G$4:H$38,2,FALSE)*H357+VLOOKUP(C357,Deflatores!G$4:I$38,3,FALSE)))</f>
        <v/>
      </c>
      <c r="M357" s="10"/>
      <c r="N357" s="10"/>
      <c r="O357" s="6"/>
    </row>
    <row r="358" spans="1:15">
      <c r="A358" s="142" t="s">
        <v>365</v>
      </c>
      <c r="B358" s="4" t="s">
        <v>44</v>
      </c>
      <c r="C358" s="4" t="s">
        <v>49</v>
      </c>
      <c r="D358" s="7">
        <v>22</v>
      </c>
      <c r="E358" s="7">
        <v>3</v>
      </c>
      <c r="F358" s="116" t="str">
        <f t="shared" ref="F358:F359" si="138">IF(ISBLANK(B358),"",IF(I358="L","Baixa",IF(I358="A","Média",IF(I358="","","Alta"))))</f>
        <v>Alta</v>
      </c>
      <c r="G358" s="7" t="str">
        <f t="shared" si="121"/>
        <v>CEH</v>
      </c>
      <c r="H358" s="7">
        <f t="shared" si="122"/>
        <v>6</v>
      </c>
      <c r="I358" s="116" t="str">
        <f t="shared" si="123"/>
        <v>H</v>
      </c>
      <c r="J358" s="7" t="str">
        <f t="shared" si="124"/>
        <v>CEI</v>
      </c>
      <c r="K358" s="125">
        <f t="shared" si="125"/>
        <v>6</v>
      </c>
      <c r="L358" s="125">
        <f>IF(NOT(ISERROR(VLOOKUP(B358,Deflatores!G$42:H$64,2,FALSE))),VLOOKUP(B358,Deflatores!G$42:H$64,2,FALSE),IF(OR(ISBLANK(C358),ISBLANK(B358)),"",VLOOKUP(C358,Deflatores!G$4:H$38,2,FALSE)*H358+VLOOKUP(C358,Deflatores!G$4:I$38,3,FALSE)))</f>
        <v>6</v>
      </c>
      <c r="M358" s="10"/>
      <c r="N358" s="10"/>
      <c r="O358" s="6"/>
    </row>
    <row r="359" spans="1:15">
      <c r="A359" s="119"/>
      <c r="B359" s="4"/>
      <c r="C359" s="4"/>
      <c r="D359" s="7"/>
      <c r="E359" s="7"/>
      <c r="F359" s="116" t="str">
        <f t="shared" si="138"/>
        <v/>
      </c>
      <c r="G359" s="7" t="str">
        <f t="shared" si="121"/>
        <v/>
      </c>
      <c r="H359" s="7" t="str">
        <f t="shared" si="122"/>
        <v/>
      </c>
      <c r="I359" s="116" t="str">
        <f t="shared" si="123"/>
        <v/>
      </c>
      <c r="J359" s="7" t="str">
        <f t="shared" si="124"/>
        <v/>
      </c>
      <c r="K359" s="125" t="str">
        <f t="shared" si="125"/>
        <v/>
      </c>
      <c r="L359" s="125" t="str">
        <f>IF(NOT(ISERROR(VLOOKUP(B359,Deflatores!G$42:H$64,2,FALSE))),VLOOKUP(B359,Deflatores!G$42:H$64,2,FALSE),IF(OR(ISBLANK(C359),ISBLANK(B359)),"",VLOOKUP(C359,Deflatores!G$4:H$38,2,FALSE)*H359+VLOOKUP(C359,Deflatores!G$4:I$38,3,FALSE)))</f>
        <v/>
      </c>
      <c r="M359" s="10"/>
      <c r="N359" s="10"/>
      <c r="O359" s="6"/>
    </row>
    <row r="360" spans="1:15">
      <c r="A360" s="141" t="s">
        <v>366</v>
      </c>
      <c r="B360" s="4"/>
      <c r="C360" s="4"/>
      <c r="D360" s="7"/>
      <c r="E360" s="7"/>
      <c r="F360" s="116" t="str">
        <f t="shared" si="120"/>
        <v/>
      </c>
      <c r="G360" s="7" t="str">
        <f t="shared" si="121"/>
        <v/>
      </c>
      <c r="H360" s="7" t="str">
        <f t="shared" si="122"/>
        <v/>
      </c>
      <c r="I360" s="116" t="str">
        <f t="shared" si="123"/>
        <v/>
      </c>
      <c r="J360" s="7" t="str">
        <f t="shared" si="124"/>
        <v/>
      </c>
      <c r="K360" s="125" t="str">
        <f t="shared" si="125"/>
        <v/>
      </c>
      <c r="L360" s="125" t="str">
        <f>IF(NOT(ISERROR(VLOOKUP(B360,Deflatores!G$42:H$64,2,FALSE))),VLOOKUP(B360,Deflatores!G$42:H$64,2,FALSE),IF(OR(ISBLANK(C360),ISBLANK(B360)),"",VLOOKUP(C360,Deflatores!G$4:H$38,2,FALSE)*H360+VLOOKUP(C360,Deflatores!G$4:I$38,3,FALSE)))</f>
        <v/>
      </c>
      <c r="M360" s="10"/>
      <c r="N360" s="10"/>
      <c r="O360" s="6"/>
    </row>
    <row r="361" spans="1:15">
      <c r="A361" s="142" t="s">
        <v>367</v>
      </c>
      <c r="B361" s="4" t="s">
        <v>44</v>
      </c>
      <c r="C361" s="4" t="s">
        <v>49</v>
      </c>
      <c r="D361" s="7">
        <v>19</v>
      </c>
      <c r="E361" s="7">
        <v>3</v>
      </c>
      <c r="F361" s="116" t="str">
        <f t="shared" ref="F361" si="139">IF(ISBLANK(B361),"",IF(I361="L","Baixa",IF(I361="A","Média",IF(I361="","","Alta"))))</f>
        <v>Média</v>
      </c>
      <c r="G361" s="7" t="str">
        <f t="shared" ref="G361" si="140">CONCATENATE(B361,I361)</f>
        <v>CEA</v>
      </c>
      <c r="H361" s="7">
        <f t="shared" ref="H361" si="141">IF(ISBLANK(B361),"",IF(B361="ALI",IF(I361="L",7,IF(I361="A",10,15)),IF(B361="AIE",IF(I361="L",5,IF(I361="A",7,10)),IF(B361="SE",IF(I361="L",4,IF(I361="A",5,7)),IF(OR(B361="EE",B361="CE"),IF(I361="L",3,IF(I361="A",4,6)),0)))))</f>
        <v>4</v>
      </c>
      <c r="I361" s="116" t="str">
        <f t="shared" ref="I361" si="142">IF(OR(ISBLANK(D361),ISBLANK(E361)),IF(OR(B361="ALI",B361="AIE"),"L",IF(OR(B361="EE",B361="SE",B361="CE"),"A","")),IF(B361="EE",IF(E361&gt;=3,IF(D361&gt;=5,"H","A"),IF(E361&gt;=2,IF(D361&gt;=16,"H",IF(D361&lt;=4,"L","A")),IF(D361&lt;=15,"L","A"))),IF(OR(B361="SE",B361="CE"),IF(E361&gt;=4,IF(D361&gt;=6,"H","A"),IF(E361&gt;=2,IF(D361&gt;=20,"H",IF(D361&lt;=5,"L","A")),IF(D361&lt;=19,"L","A"))),IF(OR(B361="ALI",B361="AIE"),IF(E361&gt;=6,IF(D361&gt;=20,"H","A"),IF(E361&gt;=2,IF(D361&gt;=51,"H",IF(D361&lt;=19,"L","A")),IF(D361&lt;=50,"L","A"))),""))))</f>
        <v>A</v>
      </c>
      <c r="J361" s="7" t="str">
        <f t="shared" ref="J361" si="143">CONCATENATE(B361,C361)</f>
        <v>CEI</v>
      </c>
      <c r="K361" s="125">
        <f t="shared" ref="K361" si="144">IF(OR(H361="",H361=0),L361,H361)</f>
        <v>4</v>
      </c>
      <c r="L361" s="125">
        <f>IF(NOT(ISERROR(VLOOKUP(B361,Deflatores!G$42:H$64,2,FALSE))),VLOOKUP(B361,Deflatores!G$42:H$64,2,FALSE),IF(OR(ISBLANK(C361),ISBLANK(B361)),"",VLOOKUP(C361,Deflatores!G$4:H$38,2,FALSE)*H361+VLOOKUP(C361,Deflatores!G$4:I$38,3,FALSE)))</f>
        <v>4</v>
      </c>
      <c r="M361" s="10"/>
      <c r="N361" s="10"/>
      <c r="O361" s="6"/>
    </row>
    <row r="362" spans="1:15">
      <c r="A362" s="142" t="s">
        <v>368</v>
      </c>
      <c r="B362" s="4" t="s">
        <v>63</v>
      </c>
      <c r="C362" s="4" t="s">
        <v>49</v>
      </c>
      <c r="D362" s="7">
        <v>5</v>
      </c>
      <c r="E362" s="7">
        <v>1</v>
      </c>
      <c r="F362" s="116" t="str">
        <f t="shared" si="120"/>
        <v>Baixa</v>
      </c>
      <c r="G362" s="7" t="str">
        <f t="shared" si="121"/>
        <v>EEL</v>
      </c>
      <c r="H362" s="7">
        <f t="shared" si="122"/>
        <v>3</v>
      </c>
      <c r="I362" s="116" t="str">
        <f t="shared" si="123"/>
        <v>L</v>
      </c>
      <c r="J362" s="7" t="str">
        <f t="shared" si="124"/>
        <v>EEI</v>
      </c>
      <c r="K362" s="125">
        <f t="shared" si="125"/>
        <v>3</v>
      </c>
      <c r="L362" s="125">
        <f>IF(NOT(ISERROR(VLOOKUP(B362,Deflatores!G$42:H$64,2,FALSE))),VLOOKUP(B362,Deflatores!G$42:H$64,2,FALSE),IF(OR(ISBLANK(C362),ISBLANK(B362)),"",VLOOKUP(C362,Deflatores!G$4:H$38,2,FALSE)*H362+VLOOKUP(C362,Deflatores!G$4:I$38,3,FALSE)))</f>
        <v>3</v>
      </c>
      <c r="M362" s="10"/>
      <c r="N362" s="10"/>
      <c r="O362" s="6"/>
    </row>
    <row r="363" spans="1:15" ht="21.95">
      <c r="A363" s="143" t="s">
        <v>369</v>
      </c>
      <c r="B363" s="4" t="s">
        <v>44</v>
      </c>
      <c r="C363" s="4" t="s">
        <v>49</v>
      </c>
      <c r="D363" s="7">
        <v>8</v>
      </c>
      <c r="E363" s="7">
        <v>1</v>
      </c>
      <c r="F363" s="116" t="str">
        <f>IF(ISBLANK(B363),"",IF(I363="L","Baixa",IF(I363="A","Média",IF(I363="","","Alta"))))</f>
        <v>Baixa</v>
      </c>
      <c r="G363" s="7" t="str">
        <f>CONCATENATE(B363,I363)</f>
        <v>CEL</v>
      </c>
      <c r="H363" s="7">
        <f>IF(ISBLANK(B363),"",IF(B363="ALI",IF(I363="L",7,IF(I363="A",10,15)),IF(B363="AIE",IF(I363="L",5,IF(I363="A",7,10)),IF(B363="SE",IF(I363="L",4,IF(I363="A",5,7)),IF(OR(B363="EE",B363="CE"),IF(I363="L",3,IF(I363="A",4,6)),0)))))</f>
        <v>3</v>
      </c>
      <c r="I363" s="116" t="str">
        <f>IF(OR(ISBLANK(D363),ISBLANK(E363)),IF(OR(B363="ALI",B363="AIE"),"L",IF(OR(B363="EE",B363="SE",B363="CE"),"A","")),IF(B363="EE",IF(E363&gt;=3,IF(D363&gt;=5,"H","A"),IF(E363&gt;=2,IF(D363&gt;=16,"H",IF(D363&lt;=4,"L","A")),IF(D363&lt;=15,"L","A"))),IF(OR(B363="SE",B363="CE"),IF(E363&gt;=4,IF(D363&gt;=6,"H","A"),IF(E363&gt;=2,IF(D363&gt;=20,"H",IF(D363&lt;=5,"L","A")),IF(D363&lt;=19,"L","A"))),IF(OR(B363="ALI",B363="AIE"),IF(E363&gt;=6,IF(D363&gt;=20,"H","A"),IF(E363&gt;=2,IF(D363&gt;=51,"H",IF(D363&lt;=19,"L","A")),IF(D363&lt;=50,"L","A"))),""))))</f>
        <v>L</v>
      </c>
      <c r="J363" s="7" t="str">
        <f>CONCATENATE(B363,C363)</f>
        <v>CEI</v>
      </c>
      <c r="K363" s="125">
        <f t="shared" si="125"/>
        <v>3</v>
      </c>
      <c r="L363" s="125">
        <f>IF(NOT(ISERROR(VLOOKUP(B363,Deflatores!G$42:H$64,2,FALSE))),VLOOKUP(B363,Deflatores!G$42:H$64,2,FALSE),IF(OR(ISBLANK(C363),ISBLANK(B363)),"",VLOOKUP(C363,Deflatores!G$4:H$38,2,FALSE)*H363+VLOOKUP(C363,Deflatores!G$4:I$38,3,FALSE)))</f>
        <v>3</v>
      </c>
      <c r="M363" s="10"/>
      <c r="N363" s="10"/>
      <c r="O363" s="6"/>
    </row>
    <row r="364" spans="1:15">
      <c r="A364" s="143" t="s">
        <v>370</v>
      </c>
      <c r="B364" s="4" t="s">
        <v>44</v>
      </c>
      <c r="C364" s="4" t="s">
        <v>49</v>
      </c>
      <c r="D364" s="7">
        <v>11</v>
      </c>
      <c r="E364" s="7">
        <v>3</v>
      </c>
      <c r="F364" s="116" t="str">
        <f>IF(ISBLANK(B364),"",IF(I364="L","Baixa",IF(I364="A","Média",IF(I364="","","Alta"))))</f>
        <v>Média</v>
      </c>
      <c r="G364" s="7" t="str">
        <f>CONCATENATE(B364,I364)</f>
        <v>CEA</v>
      </c>
      <c r="H364" s="7">
        <f>IF(ISBLANK(B364),"",IF(B364="ALI",IF(I364="L",7,IF(I364="A",10,15)),IF(B364="AIE",IF(I364="L",5,IF(I364="A",7,10)),IF(B364="SE",IF(I364="L",4,IF(I364="A",5,7)),IF(OR(B364="EE",B364="CE"),IF(I364="L",3,IF(I364="A",4,6)),0)))))</f>
        <v>4</v>
      </c>
      <c r="I364" s="116" t="str">
        <f>IF(OR(ISBLANK(D364),ISBLANK(E364)),IF(OR(B364="ALI",B364="AIE"),"L",IF(OR(B364="EE",B364="SE",B364="CE"),"A","")),IF(B364="EE",IF(E364&gt;=3,IF(D364&gt;=5,"H","A"),IF(E364&gt;=2,IF(D364&gt;=16,"H",IF(D364&lt;=4,"L","A")),IF(D364&lt;=15,"L","A"))),IF(OR(B364="SE",B364="CE"),IF(E364&gt;=4,IF(D364&gt;=6,"H","A"),IF(E364&gt;=2,IF(D364&gt;=20,"H",IF(D364&lt;=5,"L","A")),IF(D364&lt;=19,"L","A"))),IF(OR(B364="ALI",B364="AIE"),IF(E364&gt;=6,IF(D364&gt;=20,"H","A"),IF(E364&gt;=2,IF(D364&gt;=51,"H",IF(D364&lt;=19,"L","A")),IF(D364&lt;=50,"L","A"))),""))))</f>
        <v>A</v>
      </c>
      <c r="J364" s="7" t="str">
        <f>CONCATENATE(B364,C364)</f>
        <v>CEI</v>
      </c>
      <c r="K364" s="125">
        <f>IF(OR(H364="",H364=0),L364,H364)</f>
        <v>4</v>
      </c>
      <c r="L364" s="125">
        <f>IF(NOT(ISERROR(VLOOKUP(B364,Deflatores!G$42:H$64,2,FALSE))),VLOOKUP(B364,Deflatores!G$42:H$64,2,FALSE),IF(OR(ISBLANK(C364),ISBLANK(B364)),"",VLOOKUP(C364,Deflatores!G$4:H$38,2,FALSE)*H364+VLOOKUP(C364,Deflatores!G$4:I$38,3,FALSE)))</f>
        <v>4</v>
      </c>
      <c r="M364" s="10"/>
      <c r="N364" s="10"/>
      <c r="O364" s="6"/>
    </row>
    <row r="365" spans="1:15">
      <c r="A365" s="142" t="s">
        <v>371</v>
      </c>
      <c r="B365" s="4" t="s">
        <v>63</v>
      </c>
      <c r="C365" s="4" t="s">
        <v>49</v>
      </c>
      <c r="D365" s="7">
        <v>3</v>
      </c>
      <c r="E365" s="7">
        <v>1</v>
      </c>
      <c r="F365" s="116" t="str">
        <f>IF(ISBLANK(B365),"",IF(I365="L","Baixa",IF(I365="A","Média",IF(I365="","","Alta"))))</f>
        <v>Baixa</v>
      </c>
      <c r="G365" s="7" t="str">
        <f>CONCATENATE(B365,I365)</f>
        <v>EEL</v>
      </c>
      <c r="H365" s="7">
        <f>IF(ISBLANK(B365),"",IF(B365="ALI",IF(I365="L",7,IF(I365="A",10,15)),IF(B365="AIE",IF(I365="L",5,IF(I365="A",7,10)),IF(B365="SE",IF(I365="L",4,IF(I365="A",5,7)),IF(OR(B365="EE",B365="CE"),IF(I365="L",3,IF(I365="A",4,6)),0)))))</f>
        <v>3</v>
      </c>
      <c r="I365" s="116" t="str">
        <f>IF(OR(ISBLANK(D365),ISBLANK(E365)),IF(OR(B365="ALI",B365="AIE"),"L",IF(OR(B365="EE",B365="SE",B365="CE"),"A","")),IF(B365="EE",IF(E365&gt;=3,IF(D365&gt;=5,"H","A"),IF(E365&gt;=2,IF(D365&gt;=16,"H",IF(D365&lt;=4,"L","A")),IF(D365&lt;=15,"L","A"))),IF(OR(B365="SE",B365="CE"),IF(E365&gt;=4,IF(D365&gt;=6,"H","A"),IF(E365&gt;=2,IF(D365&gt;=20,"H",IF(D365&lt;=5,"L","A")),IF(D365&lt;=19,"L","A"))),IF(OR(B365="ALI",B365="AIE"),IF(E365&gt;=6,IF(D365&gt;=20,"H","A"),IF(E365&gt;=2,IF(D365&gt;=51,"H",IF(D365&lt;=19,"L","A")),IF(D365&lt;=50,"L","A"))),""))))</f>
        <v>L</v>
      </c>
      <c r="J365" s="7" t="str">
        <f>CONCATENATE(B365,C365)</f>
        <v>EEI</v>
      </c>
      <c r="K365" s="125">
        <f>IF(OR(H365="",H365=0),L365,H365)</f>
        <v>3</v>
      </c>
      <c r="L365" s="125">
        <f>IF(NOT(ISERROR(VLOOKUP(B365,Deflatores!G$42:H$64,2,FALSE))),VLOOKUP(B365,Deflatores!G$42:H$64,2,FALSE),IF(OR(ISBLANK(C365),ISBLANK(B365)),"",VLOOKUP(C365,Deflatores!G$4:H$38,2,FALSE)*H365+VLOOKUP(C365,Deflatores!G$4:I$38,3,FALSE)))</f>
        <v>3</v>
      </c>
      <c r="M365" s="10"/>
      <c r="N365" s="10"/>
      <c r="O365" s="6"/>
    </row>
    <row r="366" spans="1:15">
      <c r="A366" s="142" t="s">
        <v>372</v>
      </c>
      <c r="B366" s="4" t="s">
        <v>63</v>
      </c>
      <c r="C366" s="4" t="s">
        <v>49</v>
      </c>
      <c r="D366" s="7">
        <v>4</v>
      </c>
      <c r="E366" s="7">
        <v>1</v>
      </c>
      <c r="F366" s="116" t="str">
        <f t="shared" ref="F366:F367" si="145">IF(ISBLANK(B366),"",IF(I366="L","Baixa",IF(I366="A","Média",IF(I366="","","Alta"))))</f>
        <v>Baixa</v>
      </c>
      <c r="G366" s="7" t="str">
        <f t="shared" ref="G366:G367" si="146">CONCATENATE(B366,I366)</f>
        <v>EEL</v>
      </c>
      <c r="H366" s="7">
        <f t="shared" ref="H366:H367" si="147">IF(ISBLANK(B366),"",IF(B366="ALI",IF(I366="L",7,IF(I366="A",10,15)),IF(B366="AIE",IF(I366="L",5,IF(I366="A",7,10)),IF(B366="SE",IF(I366="L",4,IF(I366="A",5,7)),IF(OR(B366="EE",B366="CE"),IF(I366="L",3,IF(I366="A",4,6)),0)))))</f>
        <v>3</v>
      </c>
      <c r="I366" s="116" t="str">
        <f t="shared" ref="I366:I367" si="148">IF(OR(ISBLANK(D366),ISBLANK(E366)),IF(OR(B366="ALI",B366="AIE"),"L",IF(OR(B366="EE",B366="SE",B366="CE"),"A","")),IF(B366="EE",IF(E366&gt;=3,IF(D366&gt;=5,"H","A"),IF(E366&gt;=2,IF(D366&gt;=16,"H",IF(D366&lt;=4,"L","A")),IF(D366&lt;=15,"L","A"))),IF(OR(B366="SE",B366="CE"),IF(E366&gt;=4,IF(D366&gt;=6,"H","A"),IF(E366&gt;=2,IF(D366&gt;=20,"H",IF(D366&lt;=5,"L","A")),IF(D366&lt;=19,"L","A"))),IF(OR(B366="ALI",B366="AIE"),IF(E366&gt;=6,IF(D366&gt;=20,"H","A"),IF(E366&gt;=2,IF(D366&gt;=51,"H",IF(D366&lt;=19,"L","A")),IF(D366&lt;=50,"L","A"))),""))))</f>
        <v>L</v>
      </c>
      <c r="J366" s="7" t="str">
        <f t="shared" ref="J366:J367" si="149">CONCATENATE(B366,C366)</f>
        <v>EEI</v>
      </c>
      <c r="K366" s="125">
        <f t="shared" ref="K366:K368" si="150">IF(OR(H366="",H366=0),L366,H366)</f>
        <v>3</v>
      </c>
      <c r="L366" s="125">
        <f>IF(NOT(ISERROR(VLOOKUP(B366,Deflatores!G$42:H$64,2,FALSE))),VLOOKUP(B366,Deflatores!G$42:H$64,2,FALSE),IF(OR(ISBLANK(C366),ISBLANK(B366)),"",VLOOKUP(C366,Deflatores!G$4:H$38,2,FALSE)*H366+VLOOKUP(C366,Deflatores!G$4:I$38,3,FALSE)))</f>
        <v>3</v>
      </c>
      <c r="M366" s="10"/>
      <c r="N366" s="10"/>
      <c r="O366" s="6"/>
    </row>
    <row r="367" spans="1:15">
      <c r="A367" s="142" t="s">
        <v>373</v>
      </c>
      <c r="B367" s="4" t="s">
        <v>63</v>
      </c>
      <c r="C367" s="4" t="s">
        <v>49</v>
      </c>
      <c r="D367" s="7">
        <v>8</v>
      </c>
      <c r="E367" s="7">
        <v>4</v>
      </c>
      <c r="F367" s="116" t="str">
        <f t="shared" si="145"/>
        <v>Alta</v>
      </c>
      <c r="G367" s="7" t="str">
        <f t="shared" si="146"/>
        <v>EEH</v>
      </c>
      <c r="H367" s="7">
        <f t="shared" si="147"/>
        <v>6</v>
      </c>
      <c r="I367" s="116" t="str">
        <f t="shared" si="148"/>
        <v>H</v>
      </c>
      <c r="J367" s="7" t="str">
        <f t="shared" si="149"/>
        <v>EEI</v>
      </c>
      <c r="K367" s="125">
        <f t="shared" si="150"/>
        <v>6</v>
      </c>
      <c r="L367" s="125">
        <f>IF(NOT(ISERROR(VLOOKUP(B367,Deflatores!G$42:H$64,2,FALSE))),VLOOKUP(B367,Deflatores!G$42:H$64,2,FALSE),IF(OR(ISBLANK(C367),ISBLANK(B367)),"",VLOOKUP(C367,Deflatores!G$4:H$38,2,FALSE)*H367+VLOOKUP(C367,Deflatores!G$4:I$38,3,FALSE)))</f>
        <v>6</v>
      </c>
      <c r="M367" s="10"/>
      <c r="N367" s="10"/>
      <c r="O367" s="6"/>
    </row>
    <row r="368" spans="1:15">
      <c r="A368" s="142" t="s">
        <v>374</v>
      </c>
      <c r="B368" s="4" t="s">
        <v>63</v>
      </c>
      <c r="C368" s="4" t="s">
        <v>49</v>
      </c>
      <c r="D368" s="7">
        <v>4</v>
      </c>
      <c r="E368" s="7">
        <v>1</v>
      </c>
      <c r="F368" s="116" t="str">
        <f>IF(ISBLANK(B368),"",IF(I368="L","Baixa",IF(I368="A","Média",IF(I368="","","Alta"))))</f>
        <v>Baixa</v>
      </c>
      <c r="G368" s="7" t="str">
        <f>CONCATENATE(B368,I368)</f>
        <v>EEL</v>
      </c>
      <c r="H368" s="7">
        <f>IF(ISBLANK(B368),"",IF(B368="ALI",IF(I368="L",7,IF(I368="A",10,15)),IF(B368="AIE",IF(I368="L",5,IF(I368="A",7,10)),IF(B368="SE",IF(I368="L",4,IF(I368="A",5,7)),IF(OR(B368="EE",B368="CE"),IF(I368="L",3,IF(I368="A",4,6)),0)))))</f>
        <v>3</v>
      </c>
      <c r="I368" s="116" t="str">
        <f>IF(OR(ISBLANK(D368),ISBLANK(E368)),IF(OR(B368="ALI",B368="AIE"),"L",IF(OR(B368="EE",B368="SE",B368="CE"),"A","")),IF(B368="EE",IF(E368&gt;=3,IF(D368&gt;=5,"H","A"),IF(E368&gt;=2,IF(D368&gt;=16,"H",IF(D368&lt;=4,"L","A")),IF(D368&lt;=15,"L","A"))),IF(OR(B368="SE",B368="CE"),IF(E368&gt;=4,IF(D368&gt;=6,"H","A"),IF(E368&gt;=2,IF(D368&gt;=20,"H",IF(D368&lt;=5,"L","A")),IF(D368&lt;=19,"L","A"))),IF(OR(B368="ALI",B368="AIE"),IF(E368&gt;=6,IF(D368&gt;=20,"H","A"),IF(E368&gt;=2,IF(D368&gt;=51,"H",IF(D368&lt;=19,"L","A")),IF(D368&lt;=50,"L","A"))),""))))</f>
        <v>L</v>
      </c>
      <c r="J368" s="7" t="str">
        <f>CONCATENATE(B368,C368)</f>
        <v>EEI</v>
      </c>
      <c r="K368" s="125">
        <f t="shared" si="150"/>
        <v>3</v>
      </c>
      <c r="L368" s="125">
        <f>IF(NOT(ISERROR(VLOOKUP(B368,Deflatores!G$42:H$64,2,FALSE))),VLOOKUP(B368,Deflatores!G$42:H$64,2,FALSE),IF(OR(ISBLANK(C368),ISBLANK(B368)),"",VLOOKUP(C368,Deflatores!G$4:H$38,2,FALSE)*H368+VLOOKUP(C368,Deflatores!G$4:I$38,3,FALSE)))</f>
        <v>3</v>
      </c>
      <c r="M368" s="10"/>
      <c r="N368" s="10"/>
      <c r="O368" s="6"/>
    </row>
    <row r="369" spans="1:15">
      <c r="A369" s="142" t="s">
        <v>375</v>
      </c>
      <c r="B369" s="4" t="s">
        <v>44</v>
      </c>
      <c r="C369" s="4" t="s">
        <v>49</v>
      </c>
      <c r="D369" s="7">
        <v>11</v>
      </c>
      <c r="E369" s="7">
        <v>3</v>
      </c>
      <c r="F369" s="116" t="str">
        <f t="shared" ref="F369:F370" si="151">IF(ISBLANK(B369),"",IF(I369="L","Baixa",IF(I369="A","Média",IF(I369="","","Alta"))))</f>
        <v>Média</v>
      </c>
      <c r="G369" s="7" t="str">
        <f t="shared" ref="G369:G370" si="152">CONCATENATE(B369,I369)</f>
        <v>CEA</v>
      </c>
      <c r="H369" s="7">
        <f t="shared" ref="H369:H370" si="153">IF(ISBLANK(B369),"",IF(B369="ALI",IF(I369="L",7,IF(I369="A",10,15)),IF(B369="AIE",IF(I369="L",5,IF(I369="A",7,10)),IF(B369="SE",IF(I369="L",4,IF(I369="A",5,7)),IF(OR(B369="EE",B369="CE"),IF(I369="L",3,IF(I369="A",4,6)),0)))))</f>
        <v>4</v>
      </c>
      <c r="I369" s="116" t="str">
        <f t="shared" ref="I369:I370" si="154">IF(OR(ISBLANK(D369),ISBLANK(E369)),IF(OR(B369="ALI",B369="AIE"),"L",IF(OR(B369="EE",B369="SE",B369="CE"),"A","")),IF(B369="EE",IF(E369&gt;=3,IF(D369&gt;=5,"H","A"),IF(E369&gt;=2,IF(D369&gt;=16,"H",IF(D369&lt;=4,"L","A")),IF(D369&lt;=15,"L","A"))),IF(OR(B369="SE",B369="CE"),IF(E369&gt;=4,IF(D369&gt;=6,"H","A"),IF(E369&gt;=2,IF(D369&gt;=20,"H",IF(D369&lt;=5,"L","A")),IF(D369&lt;=19,"L","A"))),IF(OR(B369="ALI",B369="AIE"),IF(E369&gt;=6,IF(D369&gt;=20,"H","A"),IF(E369&gt;=2,IF(D369&gt;=51,"H",IF(D369&lt;=19,"L","A")),IF(D369&lt;=50,"L","A"))),""))))</f>
        <v>A</v>
      </c>
      <c r="J369" s="7" t="str">
        <f t="shared" ref="J369:J370" si="155">CONCATENATE(B369,C369)</f>
        <v>CEI</v>
      </c>
      <c r="K369" s="125">
        <f t="shared" ref="K369:K370" si="156">IF(OR(H369="",H369=0),L369,H369)</f>
        <v>4</v>
      </c>
      <c r="L369" s="125">
        <f>IF(NOT(ISERROR(VLOOKUP(B369,Deflatores!G$42:H$64,2,FALSE))),VLOOKUP(B369,Deflatores!G$42:H$64,2,FALSE),IF(OR(ISBLANK(C369),ISBLANK(B369)),"",VLOOKUP(C369,Deflatores!G$4:H$38,2,FALSE)*H369+VLOOKUP(C369,Deflatores!G$4:I$38,3,FALSE)))</f>
        <v>4</v>
      </c>
      <c r="M369" s="10"/>
      <c r="N369" s="10"/>
      <c r="O369" s="6"/>
    </row>
    <row r="370" spans="1:15">
      <c r="A370" s="142" t="s">
        <v>376</v>
      </c>
      <c r="B370" s="4" t="s">
        <v>63</v>
      </c>
      <c r="C370" s="4" t="s">
        <v>49</v>
      </c>
      <c r="D370" s="7">
        <v>3</v>
      </c>
      <c r="E370" s="7">
        <v>1</v>
      </c>
      <c r="F370" s="116" t="str">
        <f t="shared" si="151"/>
        <v>Baixa</v>
      </c>
      <c r="G370" s="7" t="str">
        <f t="shared" si="152"/>
        <v>EEL</v>
      </c>
      <c r="H370" s="7">
        <f t="shared" si="153"/>
        <v>3</v>
      </c>
      <c r="I370" s="116" t="str">
        <f t="shared" si="154"/>
        <v>L</v>
      </c>
      <c r="J370" s="7" t="str">
        <f t="shared" si="155"/>
        <v>EEI</v>
      </c>
      <c r="K370" s="125">
        <f t="shared" si="156"/>
        <v>3</v>
      </c>
      <c r="L370" s="125">
        <f>IF(NOT(ISERROR(VLOOKUP(B370,Deflatores!G$42:H$64,2,FALSE))),VLOOKUP(B370,Deflatores!G$42:H$64,2,FALSE),IF(OR(ISBLANK(C370),ISBLANK(B370)),"",VLOOKUP(C370,Deflatores!G$4:H$38,2,FALSE)*H370+VLOOKUP(C370,Deflatores!G$4:I$38,3,FALSE)))</f>
        <v>3</v>
      </c>
      <c r="M370" s="10"/>
      <c r="N370" s="10"/>
      <c r="O370" s="6"/>
    </row>
    <row r="371" spans="1:15">
      <c r="A371" s="138" t="s">
        <v>377</v>
      </c>
      <c r="B371" s="4" t="s">
        <v>44</v>
      </c>
      <c r="C371" s="4" t="s">
        <v>49</v>
      </c>
      <c r="D371" s="7">
        <v>4</v>
      </c>
      <c r="E371" s="7">
        <v>3</v>
      </c>
      <c r="F371" s="116" t="str">
        <f t="shared" ref="F371" si="157">IF(ISBLANK(B371),"",IF(I371="L","Baixa",IF(I371="A","Média",IF(I371="","","Alta"))))</f>
        <v>Baixa</v>
      </c>
      <c r="G371" s="7" t="str">
        <f t="shared" ref="G371" si="158">CONCATENATE(B371,I371)</f>
        <v>CEL</v>
      </c>
      <c r="H371" s="7">
        <f t="shared" ref="H371" si="159">IF(ISBLANK(B371),"",IF(B371="ALI",IF(I371="L",7,IF(I371="A",10,15)),IF(B371="AIE",IF(I371="L",5,IF(I371="A",7,10)),IF(B371="SE",IF(I371="L",4,IF(I371="A",5,7)),IF(OR(B371="EE",B371="CE"),IF(I371="L",3,IF(I371="A",4,6)),0)))))</f>
        <v>3</v>
      </c>
      <c r="I371" s="116" t="str">
        <f t="shared" ref="I371" si="160">IF(OR(ISBLANK(D371),ISBLANK(E371)),IF(OR(B371="ALI",B371="AIE"),"L",IF(OR(B371="EE",B371="SE",B371="CE"),"A","")),IF(B371="EE",IF(E371&gt;=3,IF(D371&gt;=5,"H","A"),IF(E371&gt;=2,IF(D371&gt;=16,"H",IF(D371&lt;=4,"L","A")),IF(D371&lt;=15,"L","A"))),IF(OR(B371="SE",B371="CE"),IF(E371&gt;=4,IF(D371&gt;=6,"H","A"),IF(E371&gt;=2,IF(D371&gt;=20,"H",IF(D371&lt;=5,"L","A")),IF(D371&lt;=19,"L","A"))),IF(OR(B371="ALI",B371="AIE"),IF(E371&gt;=6,IF(D371&gt;=20,"H","A"),IF(E371&gt;=2,IF(D371&gt;=51,"H",IF(D371&lt;=19,"L","A")),IF(D371&lt;=50,"L","A"))),""))))</f>
        <v>L</v>
      </c>
      <c r="J371" s="7" t="str">
        <f t="shared" ref="J371" si="161">CONCATENATE(B371,C371)</f>
        <v>CEI</v>
      </c>
      <c r="K371" s="125">
        <f t="shared" ref="K371" si="162">IF(OR(H371="",H371=0),L371,H371)</f>
        <v>3</v>
      </c>
      <c r="L371" s="125">
        <f>IF(NOT(ISERROR(VLOOKUP(B371,Deflatores!G$42:H$64,2,FALSE))),VLOOKUP(B371,Deflatores!G$42:H$64,2,FALSE),IF(OR(ISBLANK(C371),ISBLANK(B371)),"",VLOOKUP(C371,Deflatores!G$4:H$38,2,FALSE)*H371+VLOOKUP(C371,Deflatores!G$4:I$38,3,FALSE)))</f>
        <v>3</v>
      </c>
      <c r="M371" s="10"/>
      <c r="N371" s="10"/>
      <c r="O371" s="6"/>
    </row>
    <row r="372" spans="1:15">
      <c r="A372" s="119"/>
      <c r="B372" s="4"/>
      <c r="C372" s="4"/>
      <c r="D372" s="7"/>
      <c r="E372" s="7"/>
      <c r="F372" s="116" t="str">
        <f>IF(ISBLANK(B372),"",IF(I372="L","Baixa",IF(I372="A","Média",IF(I372="","","Alta"))))</f>
        <v/>
      </c>
      <c r="G372" s="7" t="str">
        <f>CONCATENATE(B372,I372)</f>
        <v/>
      </c>
      <c r="H372" s="7" t="str">
        <f>IF(ISBLANK(B372),"",IF(B372="ALI",IF(I372="L",7,IF(I372="A",10,15)),IF(B372="AIE",IF(I372="L",5,IF(I372="A",7,10)),IF(B372="SE",IF(I372="L",4,IF(I372="A",5,7)),IF(OR(B372="EE",B372="CE"),IF(I372="L",3,IF(I372="A",4,6)),0)))))</f>
        <v/>
      </c>
      <c r="I372" s="116" t="str">
        <f>IF(OR(ISBLANK(D372),ISBLANK(E372)),IF(OR(B372="ALI",B372="AIE"),"L",IF(OR(B372="EE",B372="SE",B372="CE"),"A","")),IF(B372="EE",IF(E372&gt;=3,IF(D372&gt;=5,"H","A"),IF(E372&gt;=2,IF(D372&gt;=16,"H",IF(D372&lt;=4,"L","A")),IF(D372&lt;=15,"L","A"))),IF(OR(B372="SE",B372="CE"),IF(E372&gt;=4,IF(D372&gt;=6,"H","A"),IF(E372&gt;=2,IF(D372&gt;=20,"H",IF(D372&lt;=5,"L","A")),IF(D372&lt;=19,"L","A"))),IF(OR(B372="ALI",B372="AIE"),IF(E372&gt;=6,IF(D372&gt;=20,"H","A"),IF(E372&gt;=2,IF(D372&gt;=51,"H",IF(D372&lt;=19,"L","A")),IF(D372&lt;=50,"L","A"))),""))))</f>
        <v/>
      </c>
      <c r="J372" s="7" t="str">
        <f>CONCATENATE(B372,C372)</f>
        <v/>
      </c>
      <c r="K372" s="125" t="str">
        <f>IF(OR(H372="",H372=0),L372,H372)</f>
        <v/>
      </c>
      <c r="L372" s="125" t="str">
        <f>IF(NOT(ISERROR(VLOOKUP(B372,Deflatores!G$42:H$64,2,FALSE))),VLOOKUP(B372,Deflatores!G$42:H$64,2,FALSE),IF(OR(ISBLANK(C372),ISBLANK(B372)),"",VLOOKUP(C372,Deflatores!G$4:H$38,2,FALSE)*H372+VLOOKUP(C372,Deflatores!G$4:I$38,3,FALSE)))</f>
        <v/>
      </c>
      <c r="M372" s="10"/>
      <c r="N372" s="10"/>
      <c r="O372" s="6"/>
    </row>
    <row r="373" spans="1:15" ht="21.95">
      <c r="A373" s="141" t="s">
        <v>378</v>
      </c>
      <c r="B373" s="4"/>
      <c r="C373" s="4"/>
      <c r="D373" s="7"/>
      <c r="E373" s="7"/>
      <c r="F373" s="116" t="str">
        <f>IF(ISBLANK(B373),"",IF(I373="L","Baixa",IF(I373="A","Média",IF(I373="","","Alta"))))</f>
        <v/>
      </c>
      <c r="G373" s="7" t="str">
        <f>CONCATENATE(B373,I373)</f>
        <v/>
      </c>
      <c r="H373" s="7" t="str">
        <f>IF(ISBLANK(B373),"",IF(B373="ALI",IF(I373="L",7,IF(I373="A",10,15)),IF(B373="AIE",IF(I373="L",5,IF(I373="A",7,10)),IF(B373="SE",IF(I373="L",4,IF(I373="A",5,7)),IF(OR(B373="EE",B373="CE"),IF(I373="L",3,IF(I373="A",4,6)),0)))))</f>
        <v/>
      </c>
      <c r="I373" s="116" t="str">
        <f>IF(OR(ISBLANK(D373),ISBLANK(E373)),IF(OR(B373="ALI",B373="AIE"),"L",IF(OR(B373="EE",B373="SE",B373="CE"),"A","")),IF(B373="EE",IF(E373&gt;=3,IF(D373&gt;=5,"H","A"),IF(E373&gt;=2,IF(D373&gt;=16,"H",IF(D373&lt;=4,"L","A")),IF(D373&lt;=15,"L","A"))),IF(OR(B373="SE",B373="CE"),IF(E373&gt;=4,IF(D373&gt;=6,"H","A"),IF(E373&gt;=2,IF(D373&gt;=20,"H",IF(D373&lt;=5,"L","A")),IF(D373&lt;=19,"L","A"))),IF(OR(B373="ALI",B373="AIE"),IF(E373&gt;=6,IF(D373&gt;=20,"H","A"),IF(E373&gt;=2,IF(D373&gt;=51,"H",IF(D373&lt;=19,"L","A")),IF(D373&lt;=50,"L","A"))),""))))</f>
        <v/>
      </c>
      <c r="J373" s="7" t="str">
        <f>CONCATENATE(B373,C373)</f>
        <v/>
      </c>
      <c r="K373" s="125" t="str">
        <f>IF(OR(H373="",H373=0),L373,H373)</f>
        <v/>
      </c>
      <c r="L373" s="125" t="str">
        <f>IF(NOT(ISERROR(VLOOKUP(B373,Deflatores!G$42:H$64,2,FALSE))),VLOOKUP(B373,Deflatores!G$42:H$64,2,FALSE),IF(OR(ISBLANK(C373),ISBLANK(B373)),"",VLOOKUP(C373,Deflatores!G$4:H$38,2,FALSE)*H373+VLOOKUP(C373,Deflatores!G$4:I$38,3,FALSE)))</f>
        <v/>
      </c>
      <c r="M373" s="10"/>
      <c r="N373" s="10"/>
      <c r="O373" s="6"/>
    </row>
    <row r="374" spans="1:15" ht="21.95">
      <c r="A374" s="142" t="s">
        <v>379</v>
      </c>
      <c r="B374" s="4" t="s">
        <v>44</v>
      </c>
      <c r="C374" s="4" t="s">
        <v>49</v>
      </c>
      <c r="D374" s="7">
        <v>10</v>
      </c>
      <c r="E374" s="7">
        <v>4</v>
      </c>
      <c r="F374" s="116" t="str">
        <f t="shared" ref="F374:F417" si="163">IF(ISBLANK(B374),"",IF(I374="L","Baixa",IF(I374="A","Média",IF(I374="","","Alta"))))</f>
        <v>Alta</v>
      </c>
      <c r="G374" s="7" t="str">
        <f t="shared" ref="G374:G417" si="164">CONCATENATE(B374,I374)</f>
        <v>CEH</v>
      </c>
      <c r="H374" s="7">
        <f t="shared" ref="H374:H417" si="165">IF(ISBLANK(B374),"",IF(B374="ALI",IF(I374="L",7,IF(I374="A",10,15)),IF(B374="AIE",IF(I374="L",5,IF(I374="A",7,10)),IF(B374="SE",IF(I374="L",4,IF(I374="A",5,7)),IF(OR(B374="EE",B374="CE"),IF(I374="L",3,IF(I374="A",4,6)),0)))))</f>
        <v>6</v>
      </c>
      <c r="I374" s="116" t="str">
        <f t="shared" ref="I374:I417" si="166">IF(OR(ISBLANK(D374),ISBLANK(E374)),IF(OR(B374="ALI",B374="AIE"),"L",IF(OR(B374="EE",B374="SE",B374="CE"),"A","")),IF(B374="EE",IF(E374&gt;=3,IF(D374&gt;=5,"H","A"),IF(E374&gt;=2,IF(D374&gt;=16,"H",IF(D374&lt;=4,"L","A")),IF(D374&lt;=15,"L","A"))),IF(OR(B374="SE",B374="CE"),IF(E374&gt;=4,IF(D374&gt;=6,"H","A"),IF(E374&gt;=2,IF(D374&gt;=20,"H",IF(D374&lt;=5,"L","A")),IF(D374&lt;=19,"L","A"))),IF(OR(B374="ALI",B374="AIE"),IF(E374&gt;=6,IF(D374&gt;=20,"H","A"),IF(E374&gt;=2,IF(D374&gt;=51,"H",IF(D374&lt;=19,"L","A")),IF(D374&lt;=50,"L","A"))),""))))</f>
        <v>H</v>
      </c>
      <c r="J374" s="7" t="str">
        <f t="shared" ref="J374:J417" si="167">CONCATENATE(B374,C374)</f>
        <v>CEI</v>
      </c>
      <c r="K374" s="125">
        <f t="shared" ref="K374:K417" si="168">IF(OR(H374="",H374=0),L374,H374)</f>
        <v>6</v>
      </c>
      <c r="L374" s="125">
        <f>IF(NOT(ISERROR(VLOOKUP(B374,Deflatores!G$42:H$64,2,FALSE))),VLOOKUP(B374,Deflatores!G$42:H$64,2,FALSE),IF(OR(ISBLANK(C374),ISBLANK(B374)),"",VLOOKUP(C374,Deflatores!G$4:H$38,2,FALSE)*H374+VLOOKUP(C374,Deflatores!G$4:I$38,3,FALSE)))</f>
        <v>6</v>
      </c>
      <c r="M374" s="10"/>
      <c r="N374" s="10"/>
      <c r="O374" s="6"/>
    </row>
    <row r="375" spans="1:15" ht="21.95">
      <c r="A375" s="142" t="s">
        <v>380</v>
      </c>
      <c r="B375" s="4" t="s">
        <v>63</v>
      </c>
      <c r="C375" s="4" t="s">
        <v>49</v>
      </c>
      <c r="D375" s="7">
        <v>4</v>
      </c>
      <c r="E375" s="7">
        <v>1</v>
      </c>
      <c r="F375" s="116" t="str">
        <f t="shared" si="163"/>
        <v>Baixa</v>
      </c>
      <c r="G375" s="7" t="str">
        <f t="shared" si="164"/>
        <v>EEL</v>
      </c>
      <c r="H375" s="7">
        <f t="shared" si="165"/>
        <v>3</v>
      </c>
      <c r="I375" s="116" t="str">
        <f t="shared" si="166"/>
        <v>L</v>
      </c>
      <c r="J375" s="7" t="str">
        <f t="shared" si="167"/>
        <v>EEI</v>
      </c>
      <c r="K375" s="125">
        <f t="shared" si="168"/>
        <v>3</v>
      </c>
      <c r="L375" s="125">
        <f>IF(NOT(ISERROR(VLOOKUP(B375,Deflatores!G$42:H$64,2,FALSE))),VLOOKUP(B375,Deflatores!G$42:H$64,2,FALSE),IF(OR(ISBLANK(C375),ISBLANK(B375)),"",VLOOKUP(C375,Deflatores!G$4:H$38,2,FALSE)*H375+VLOOKUP(C375,Deflatores!G$4:I$38,3,FALSE)))</f>
        <v>3</v>
      </c>
      <c r="M375" s="10"/>
      <c r="N375" s="10"/>
      <c r="O375" s="6"/>
    </row>
    <row r="376" spans="1:15">
      <c r="A376" s="141"/>
      <c r="B376" s="4"/>
      <c r="C376" s="4"/>
      <c r="D376" s="7"/>
      <c r="E376" s="7"/>
      <c r="F376" s="116" t="str">
        <f t="shared" si="163"/>
        <v/>
      </c>
      <c r="G376" s="7" t="str">
        <f t="shared" si="164"/>
        <v/>
      </c>
      <c r="H376" s="7" t="str">
        <f t="shared" si="165"/>
        <v/>
      </c>
      <c r="I376" s="116" t="str">
        <f t="shared" si="166"/>
        <v/>
      </c>
      <c r="J376" s="7" t="str">
        <f t="shared" si="167"/>
        <v/>
      </c>
      <c r="K376" s="125" t="str">
        <f t="shared" si="168"/>
        <v/>
      </c>
      <c r="L376" s="125" t="str">
        <f>IF(NOT(ISERROR(VLOOKUP(B376,Deflatores!G$42:H$64,2,FALSE))),VLOOKUP(B376,Deflatores!G$42:H$64,2,FALSE),IF(OR(ISBLANK(C376),ISBLANK(B376)),"",VLOOKUP(C376,Deflatores!G$4:H$38,2,FALSE)*H376+VLOOKUP(C376,Deflatores!G$4:I$38,3,FALSE)))</f>
        <v/>
      </c>
      <c r="M376" s="10"/>
      <c r="N376" s="10"/>
      <c r="O376" s="6"/>
    </row>
    <row r="377" spans="1:15" ht="21.95">
      <c r="A377" s="141" t="s">
        <v>381</v>
      </c>
      <c r="B377" s="4"/>
      <c r="C377" s="4"/>
      <c r="D377" s="7"/>
      <c r="E377" s="7"/>
      <c r="F377" s="116" t="str">
        <f t="shared" si="163"/>
        <v/>
      </c>
      <c r="G377" s="7" t="str">
        <f t="shared" si="164"/>
        <v/>
      </c>
      <c r="H377" s="7" t="str">
        <f t="shared" si="165"/>
        <v/>
      </c>
      <c r="I377" s="116" t="str">
        <f t="shared" si="166"/>
        <v/>
      </c>
      <c r="J377" s="7" t="str">
        <f t="shared" si="167"/>
        <v/>
      </c>
      <c r="K377" s="125" t="str">
        <f t="shared" si="168"/>
        <v/>
      </c>
      <c r="L377" s="125" t="str">
        <f>IF(NOT(ISERROR(VLOOKUP(B377,Deflatores!G$42:H$64,2,FALSE))),VLOOKUP(B377,Deflatores!G$42:H$64,2,FALSE),IF(OR(ISBLANK(C377),ISBLANK(B377)),"",VLOOKUP(C377,Deflatores!G$4:H$38,2,FALSE)*H377+VLOOKUP(C377,Deflatores!G$4:I$38,3,FALSE)))</f>
        <v/>
      </c>
      <c r="M377" s="10"/>
      <c r="N377" s="10"/>
      <c r="O377" s="6"/>
    </row>
    <row r="378" spans="1:15" ht="21.95">
      <c r="A378" s="142" t="s">
        <v>382</v>
      </c>
      <c r="B378" s="4" t="s">
        <v>44</v>
      </c>
      <c r="C378" s="4" t="s">
        <v>49</v>
      </c>
      <c r="D378" s="7">
        <v>14</v>
      </c>
      <c r="E378" s="7">
        <v>4</v>
      </c>
      <c r="F378" s="116" t="str">
        <f t="shared" si="163"/>
        <v>Alta</v>
      </c>
      <c r="G378" s="7" t="str">
        <f t="shared" si="164"/>
        <v>CEH</v>
      </c>
      <c r="H378" s="7">
        <f t="shared" si="165"/>
        <v>6</v>
      </c>
      <c r="I378" s="116" t="str">
        <f t="shared" si="166"/>
        <v>H</v>
      </c>
      <c r="J378" s="7" t="str">
        <f t="shared" si="167"/>
        <v>CEI</v>
      </c>
      <c r="K378" s="125">
        <f t="shared" si="168"/>
        <v>6</v>
      </c>
      <c r="L378" s="125">
        <f>IF(NOT(ISERROR(VLOOKUP(B378,Deflatores!G$42:H$64,2,FALSE))),VLOOKUP(B378,Deflatores!G$42:H$64,2,FALSE),IF(OR(ISBLANK(C378),ISBLANK(B378)),"",VLOOKUP(C378,Deflatores!G$4:H$38,2,FALSE)*H378+VLOOKUP(C378,Deflatores!G$4:I$38,3,FALSE)))</f>
        <v>6</v>
      </c>
      <c r="M378" s="10"/>
      <c r="N378" s="10"/>
      <c r="O378" s="6"/>
    </row>
    <row r="379" spans="1:15">
      <c r="A379" s="141"/>
      <c r="B379" s="4"/>
      <c r="C379" s="4"/>
      <c r="D379" s="7"/>
      <c r="E379" s="7"/>
      <c r="F379" s="116" t="str">
        <f>IF(ISBLANK(B379),"",IF(I379="L","Baixa",IF(I379="A","Média",IF(I379="","","Alta"))))</f>
        <v/>
      </c>
      <c r="G379" s="7" t="str">
        <f>CONCATENATE(B379,I379)</f>
        <v/>
      </c>
      <c r="H379" s="7" t="str">
        <f>IF(ISBLANK(B379),"",IF(B379="ALI",IF(I379="L",7,IF(I379="A",10,15)),IF(B379="AIE",IF(I379="L",5,IF(I379="A",7,10)),IF(B379="SE",IF(I379="L",4,IF(I379="A",5,7)),IF(OR(B379="EE",B379="CE"),IF(I379="L",3,IF(I379="A",4,6)),0)))))</f>
        <v/>
      </c>
      <c r="I379" s="116" t="str">
        <f>IF(OR(ISBLANK(D379),ISBLANK(E379)),IF(OR(B379="ALI",B379="AIE"),"L",IF(OR(B379="EE",B379="SE",B379="CE"),"A","")),IF(B379="EE",IF(E379&gt;=3,IF(D379&gt;=5,"H","A"),IF(E379&gt;=2,IF(D379&gt;=16,"H",IF(D379&lt;=4,"L","A")),IF(D379&lt;=15,"L","A"))),IF(OR(B379="SE",B379="CE"),IF(E379&gt;=4,IF(D379&gt;=6,"H","A"),IF(E379&gt;=2,IF(D379&gt;=20,"H",IF(D379&lt;=5,"L","A")),IF(D379&lt;=19,"L","A"))),IF(OR(B379="ALI",B379="AIE"),IF(E379&gt;=6,IF(D379&gt;=20,"H","A"),IF(E379&gt;=2,IF(D379&gt;=51,"H",IF(D379&lt;=19,"L","A")),IF(D379&lt;=50,"L","A"))),""))))</f>
        <v/>
      </c>
      <c r="J379" s="7" t="str">
        <f>CONCATENATE(B379,C379)</f>
        <v/>
      </c>
      <c r="K379" s="125" t="str">
        <f>IF(OR(H379="",H379=0),L379,H379)</f>
        <v/>
      </c>
      <c r="L379" s="125" t="str">
        <f>IF(NOT(ISERROR(VLOOKUP(B379,Deflatores!G$42:H$64,2,FALSE))),VLOOKUP(B379,Deflatores!G$42:H$64,2,FALSE),IF(OR(ISBLANK(C379),ISBLANK(B379)),"",VLOOKUP(C379,Deflatores!G$4:H$38,2,FALSE)*H379+VLOOKUP(C379,Deflatores!G$4:I$38,3,FALSE)))</f>
        <v/>
      </c>
      <c r="M379" s="10"/>
      <c r="N379" s="10"/>
      <c r="O379" s="6"/>
    </row>
    <row r="380" spans="1:15">
      <c r="A380" s="141" t="s">
        <v>383</v>
      </c>
      <c r="B380" s="4"/>
      <c r="C380" s="4"/>
      <c r="D380" s="7"/>
      <c r="E380" s="7"/>
      <c r="F380" s="116" t="str">
        <f>IF(ISBLANK(B380),"",IF(I380="L","Baixa",IF(I380="A","Média",IF(I380="","","Alta"))))</f>
        <v/>
      </c>
      <c r="G380" s="7" t="str">
        <f>CONCATENATE(B380,I380)</f>
        <v/>
      </c>
      <c r="H380" s="7" t="str">
        <f>IF(ISBLANK(B380),"",IF(B380="ALI",IF(I380="L",7,IF(I380="A",10,15)),IF(B380="AIE",IF(I380="L",5,IF(I380="A",7,10)),IF(B380="SE",IF(I380="L",4,IF(I380="A",5,7)),IF(OR(B380="EE",B380="CE"),IF(I380="L",3,IF(I380="A",4,6)),0)))))</f>
        <v/>
      </c>
      <c r="I380" s="116" t="str">
        <f>IF(OR(ISBLANK(D380),ISBLANK(E380)),IF(OR(B380="ALI",B380="AIE"),"L",IF(OR(B380="EE",B380="SE",B380="CE"),"A","")),IF(B380="EE",IF(E380&gt;=3,IF(D380&gt;=5,"H","A"),IF(E380&gt;=2,IF(D380&gt;=16,"H",IF(D380&lt;=4,"L","A")),IF(D380&lt;=15,"L","A"))),IF(OR(B380="SE",B380="CE"),IF(E380&gt;=4,IF(D380&gt;=6,"H","A"),IF(E380&gt;=2,IF(D380&gt;=20,"H",IF(D380&lt;=5,"L","A")),IF(D380&lt;=19,"L","A"))),IF(OR(B380="ALI",B380="AIE"),IF(E380&gt;=6,IF(D380&gt;=20,"H","A"),IF(E380&gt;=2,IF(D380&gt;=51,"H",IF(D380&lt;=19,"L","A")),IF(D380&lt;=50,"L","A"))),""))))</f>
        <v/>
      </c>
      <c r="J380" s="7" t="str">
        <f>CONCATENATE(B380,C380)</f>
        <v/>
      </c>
      <c r="K380" s="125" t="str">
        <f>IF(OR(H380="",H380=0),L380,H380)</f>
        <v/>
      </c>
      <c r="L380" s="125" t="str">
        <f>IF(NOT(ISERROR(VLOOKUP(B380,Deflatores!G$42:H$64,2,FALSE))),VLOOKUP(B380,Deflatores!G$42:H$64,2,FALSE),IF(OR(ISBLANK(C380),ISBLANK(B380)),"",VLOOKUP(C380,Deflatores!G$4:H$38,2,FALSE)*H380+VLOOKUP(C380,Deflatores!G$4:I$38,3,FALSE)))</f>
        <v/>
      </c>
      <c r="M380" s="10"/>
      <c r="N380" s="10"/>
      <c r="O380" s="6"/>
    </row>
    <row r="381" spans="1:15">
      <c r="A381" s="142" t="s">
        <v>384</v>
      </c>
      <c r="B381" s="4" t="s">
        <v>44</v>
      </c>
      <c r="C381" s="4" t="s">
        <v>49</v>
      </c>
      <c r="D381" s="7">
        <v>5</v>
      </c>
      <c r="E381" s="7">
        <v>2</v>
      </c>
      <c r="F381" s="116" t="str">
        <f>IF(ISBLANK(B381),"",IF(I381="L","Baixa",IF(I381="A","Média",IF(I381="","","Alta"))))</f>
        <v>Baixa</v>
      </c>
      <c r="G381" s="7" t="str">
        <f>CONCATENATE(B381,I381)</f>
        <v>CEL</v>
      </c>
      <c r="H381" s="7">
        <f>IF(ISBLANK(B381),"",IF(B381="ALI",IF(I381="L",7,IF(I381="A",10,15)),IF(B381="AIE",IF(I381="L",5,IF(I381="A",7,10)),IF(B381="SE",IF(I381="L",4,IF(I381="A",5,7)),IF(OR(B381="EE",B381="CE"),IF(I381="L",3,IF(I381="A",4,6)),0)))))</f>
        <v>3</v>
      </c>
      <c r="I381" s="116" t="str">
        <f>IF(OR(ISBLANK(D381),ISBLANK(E381)),IF(OR(B381="ALI",B381="AIE"),"L",IF(OR(B381="EE",B381="SE",B381="CE"),"A","")),IF(B381="EE",IF(E381&gt;=3,IF(D381&gt;=5,"H","A"),IF(E381&gt;=2,IF(D381&gt;=16,"H",IF(D381&lt;=4,"L","A")),IF(D381&lt;=15,"L","A"))),IF(OR(B381="SE",B381="CE"),IF(E381&gt;=4,IF(D381&gt;=6,"H","A"),IF(E381&gt;=2,IF(D381&gt;=20,"H",IF(D381&lt;=5,"L","A")),IF(D381&lt;=19,"L","A"))),IF(OR(B381="ALI",B381="AIE"),IF(E381&gt;=6,IF(D381&gt;=20,"H","A"),IF(E381&gt;=2,IF(D381&gt;=51,"H",IF(D381&lt;=19,"L","A")),IF(D381&lt;=50,"L","A"))),""))))</f>
        <v>L</v>
      </c>
      <c r="J381" s="7" t="str">
        <f>CONCATENATE(B381,C381)</f>
        <v>CEI</v>
      </c>
      <c r="K381" s="125">
        <f>IF(OR(H381="",H381=0),L381,H381)</f>
        <v>3</v>
      </c>
      <c r="L381" s="125">
        <f>IF(NOT(ISERROR(VLOOKUP(B381,Deflatores!G$42:H$64,2,FALSE))),VLOOKUP(B381,Deflatores!G$42:H$64,2,FALSE),IF(OR(ISBLANK(C381),ISBLANK(B381)),"",VLOOKUP(C381,Deflatores!G$4:H$38,2,FALSE)*H381+VLOOKUP(C381,Deflatores!G$4:I$38,3,FALSE)))</f>
        <v>3</v>
      </c>
      <c r="M381" s="10"/>
      <c r="N381" s="10"/>
      <c r="O381" s="6"/>
    </row>
    <row r="382" spans="1:15">
      <c r="A382" s="142" t="s">
        <v>385</v>
      </c>
      <c r="B382" s="4" t="s">
        <v>44</v>
      </c>
      <c r="C382" s="4" t="s">
        <v>49</v>
      </c>
      <c r="D382" s="7">
        <v>5</v>
      </c>
      <c r="E382" s="7">
        <v>2</v>
      </c>
      <c r="F382" s="116" t="str">
        <f>IF(ISBLANK(B382),"",IF(I382="L","Baixa",IF(I382="A","Média",IF(I382="","","Alta"))))</f>
        <v>Baixa</v>
      </c>
      <c r="G382" s="7" t="str">
        <f>CONCATENATE(B382,I382)</f>
        <v>CEL</v>
      </c>
      <c r="H382" s="7">
        <f>IF(ISBLANK(B382),"",IF(B382="ALI",IF(I382="L",7,IF(I382="A",10,15)),IF(B382="AIE",IF(I382="L",5,IF(I382="A",7,10)),IF(B382="SE",IF(I382="L",4,IF(I382="A",5,7)),IF(OR(B382="EE",B382="CE"),IF(I382="L",3,IF(I382="A",4,6)),0)))))</f>
        <v>3</v>
      </c>
      <c r="I382" s="116" t="str">
        <f>IF(OR(ISBLANK(D382),ISBLANK(E382)),IF(OR(B382="ALI",B382="AIE"),"L",IF(OR(B382="EE",B382="SE",B382="CE"),"A","")),IF(B382="EE",IF(E382&gt;=3,IF(D382&gt;=5,"H","A"),IF(E382&gt;=2,IF(D382&gt;=16,"H",IF(D382&lt;=4,"L","A")),IF(D382&lt;=15,"L","A"))),IF(OR(B382="SE",B382="CE"),IF(E382&gt;=4,IF(D382&gt;=6,"H","A"),IF(E382&gt;=2,IF(D382&gt;=20,"H",IF(D382&lt;=5,"L","A")),IF(D382&lt;=19,"L","A"))),IF(OR(B382="ALI",B382="AIE"),IF(E382&gt;=6,IF(D382&gt;=20,"H","A"),IF(E382&gt;=2,IF(D382&gt;=51,"H",IF(D382&lt;=19,"L","A")),IF(D382&lt;=50,"L","A"))),""))))</f>
        <v>L</v>
      </c>
      <c r="J382" s="7" t="str">
        <f>CONCATENATE(B382,C382)</f>
        <v>CEI</v>
      </c>
      <c r="K382" s="125">
        <f>IF(OR(H382="",H382=0),L382,H382)</f>
        <v>3</v>
      </c>
      <c r="L382" s="125">
        <f>IF(NOT(ISERROR(VLOOKUP(B382,Deflatores!G$42:H$64,2,FALSE))),VLOOKUP(B382,Deflatores!G$42:H$64,2,FALSE),IF(OR(ISBLANK(C382),ISBLANK(B382)),"",VLOOKUP(C382,Deflatores!G$4:H$38,2,FALSE)*H382+VLOOKUP(C382,Deflatores!G$4:I$38,3,FALSE)))</f>
        <v>3</v>
      </c>
      <c r="M382" s="10"/>
      <c r="N382" s="10"/>
      <c r="O382" s="6"/>
    </row>
    <row r="383" spans="1:15">
      <c r="A383" s="119"/>
      <c r="B383" s="4"/>
      <c r="C383" s="4"/>
      <c r="D383" s="7"/>
      <c r="E383" s="7"/>
      <c r="F383" s="116" t="str">
        <f>IF(ISBLANK(B383),"",IF(I383="L","Baixa",IF(I383="A","Média",IF(I383="","","Alta"))))</f>
        <v/>
      </c>
      <c r="G383" s="7" t="str">
        <f>CONCATENATE(B383,I383)</f>
        <v/>
      </c>
      <c r="H383" s="7" t="str">
        <f>IF(ISBLANK(B383),"",IF(B383="ALI",IF(I383="L",7,IF(I383="A",10,15)),IF(B383="AIE",IF(I383="L",5,IF(I383="A",7,10)),IF(B383="SE",IF(I383="L",4,IF(I383="A",5,7)),IF(OR(B383="EE",B383="CE"),IF(I383="L",3,IF(I383="A",4,6)),0)))))</f>
        <v/>
      </c>
      <c r="I383" s="116" t="str">
        <f>IF(OR(ISBLANK(D383),ISBLANK(E383)),IF(OR(B383="ALI",B383="AIE"),"L",IF(OR(B383="EE",B383="SE",B383="CE"),"A","")),IF(B383="EE",IF(E383&gt;=3,IF(D383&gt;=5,"H","A"),IF(E383&gt;=2,IF(D383&gt;=16,"H",IF(D383&lt;=4,"L","A")),IF(D383&lt;=15,"L","A"))),IF(OR(B383="SE",B383="CE"),IF(E383&gt;=4,IF(D383&gt;=6,"H","A"),IF(E383&gt;=2,IF(D383&gt;=20,"H",IF(D383&lt;=5,"L","A")),IF(D383&lt;=19,"L","A"))),IF(OR(B383="ALI",B383="AIE"),IF(E383&gt;=6,IF(D383&gt;=20,"H","A"),IF(E383&gt;=2,IF(D383&gt;=51,"H",IF(D383&lt;=19,"L","A")),IF(D383&lt;=50,"L","A"))),""))))</f>
        <v/>
      </c>
      <c r="J383" s="7" t="str">
        <f>CONCATENATE(B383,C383)</f>
        <v/>
      </c>
      <c r="K383" s="125" t="str">
        <f>IF(OR(H383="",H383=0),L383,H383)</f>
        <v/>
      </c>
      <c r="L383" s="125" t="str">
        <f>IF(NOT(ISERROR(VLOOKUP(B383,Deflatores!G$42:H$64,2,FALSE))),VLOOKUP(B383,Deflatores!G$42:H$64,2,FALSE),IF(OR(ISBLANK(C383),ISBLANK(B383)),"",VLOOKUP(C383,Deflatores!G$4:H$38,2,FALSE)*H383+VLOOKUP(C383,Deflatores!G$4:I$38,3,FALSE)))</f>
        <v/>
      </c>
      <c r="M383" s="10"/>
      <c r="N383" s="10"/>
      <c r="O383" s="6"/>
    </row>
    <row r="384" spans="1:15">
      <c r="A384" s="141" t="s">
        <v>386</v>
      </c>
      <c r="B384" s="4"/>
      <c r="C384" s="4"/>
      <c r="D384" s="7"/>
      <c r="E384" s="7"/>
      <c r="F384" s="116" t="str">
        <f t="shared" ref="F384:F388" si="169">IF(ISBLANK(B384),"",IF(I384="L","Baixa",IF(I384="A","Média",IF(I384="","","Alta"))))</f>
        <v/>
      </c>
      <c r="G384" s="7" t="str">
        <f t="shared" ref="G384:G388" si="170">CONCATENATE(B384,I384)</f>
        <v/>
      </c>
      <c r="H384" s="7" t="str">
        <f t="shared" ref="H384:H388" si="171">IF(ISBLANK(B384),"",IF(B384="ALI",IF(I384="L",7,IF(I384="A",10,15)),IF(B384="AIE",IF(I384="L",5,IF(I384="A",7,10)),IF(B384="SE",IF(I384="L",4,IF(I384="A",5,7)),IF(OR(B384="EE",B384="CE"),IF(I384="L",3,IF(I384="A",4,6)),0)))))</f>
        <v/>
      </c>
      <c r="I384" s="116" t="str">
        <f t="shared" ref="I384:I388" si="172">IF(OR(ISBLANK(D384),ISBLANK(E384)),IF(OR(B384="ALI",B384="AIE"),"L",IF(OR(B384="EE",B384="SE",B384="CE"),"A","")),IF(B384="EE",IF(E384&gt;=3,IF(D384&gt;=5,"H","A"),IF(E384&gt;=2,IF(D384&gt;=16,"H",IF(D384&lt;=4,"L","A")),IF(D384&lt;=15,"L","A"))),IF(OR(B384="SE",B384="CE"),IF(E384&gt;=4,IF(D384&gt;=6,"H","A"),IF(E384&gt;=2,IF(D384&gt;=20,"H",IF(D384&lt;=5,"L","A")),IF(D384&lt;=19,"L","A"))),IF(OR(B384="ALI",B384="AIE"),IF(E384&gt;=6,IF(D384&gt;=20,"H","A"),IF(E384&gt;=2,IF(D384&gt;=51,"H",IF(D384&lt;=19,"L","A")),IF(D384&lt;=50,"L","A"))),""))))</f>
        <v/>
      </c>
      <c r="J384" s="7" t="str">
        <f t="shared" ref="J384:J388" si="173">CONCATENATE(B384,C384)</f>
        <v/>
      </c>
      <c r="K384" s="125" t="str">
        <f t="shared" ref="K384:K388" si="174">IF(OR(H384="",H384=0),L384,H384)</f>
        <v/>
      </c>
      <c r="L384" s="125" t="str">
        <f>IF(NOT(ISERROR(VLOOKUP(B384,Deflatores!G$42:H$64,2,FALSE))),VLOOKUP(B384,Deflatores!G$42:H$64,2,FALSE),IF(OR(ISBLANK(C384),ISBLANK(B384)),"",VLOOKUP(C384,Deflatores!G$4:H$38,2,FALSE)*H384+VLOOKUP(C384,Deflatores!G$4:I$38,3,FALSE)))</f>
        <v/>
      </c>
      <c r="M384" s="10"/>
      <c r="N384" s="10"/>
      <c r="O384" s="6"/>
    </row>
    <row r="385" spans="1:15">
      <c r="A385" s="142" t="s">
        <v>387</v>
      </c>
      <c r="B385" s="4" t="s">
        <v>44</v>
      </c>
      <c r="C385" s="4" t="s">
        <v>49</v>
      </c>
      <c r="D385" s="7">
        <v>13</v>
      </c>
      <c r="E385" s="7">
        <v>5</v>
      </c>
      <c r="F385" s="116" t="str">
        <f t="shared" si="169"/>
        <v>Alta</v>
      </c>
      <c r="G385" s="7" t="str">
        <f t="shared" si="170"/>
        <v>CEH</v>
      </c>
      <c r="H385" s="7">
        <f t="shared" si="171"/>
        <v>6</v>
      </c>
      <c r="I385" s="116" t="str">
        <f t="shared" si="172"/>
        <v>H</v>
      </c>
      <c r="J385" s="7" t="str">
        <f t="shared" si="173"/>
        <v>CEI</v>
      </c>
      <c r="K385" s="125">
        <f t="shared" si="174"/>
        <v>6</v>
      </c>
      <c r="L385" s="125">
        <f>IF(NOT(ISERROR(VLOOKUP(B385,Deflatores!G$42:H$64,2,FALSE))),VLOOKUP(B385,Deflatores!G$42:H$64,2,FALSE),IF(OR(ISBLANK(C385),ISBLANK(B385)),"",VLOOKUP(C385,Deflatores!G$4:H$38,2,FALSE)*H385+VLOOKUP(C385,Deflatores!G$4:I$38,3,FALSE)))</f>
        <v>6</v>
      </c>
      <c r="M385" s="10"/>
      <c r="N385" s="10"/>
      <c r="O385" s="6"/>
    </row>
    <row r="386" spans="1:15">
      <c r="A386" s="143" t="s">
        <v>388</v>
      </c>
      <c r="B386" s="4" t="s">
        <v>44</v>
      </c>
      <c r="C386" s="4" t="s">
        <v>49</v>
      </c>
      <c r="D386" s="7">
        <v>3</v>
      </c>
      <c r="E386" s="7">
        <v>1</v>
      </c>
      <c r="F386" s="116" t="str">
        <f t="shared" si="169"/>
        <v>Baixa</v>
      </c>
      <c r="G386" s="7" t="str">
        <f t="shared" si="170"/>
        <v>CEL</v>
      </c>
      <c r="H386" s="7">
        <f t="shared" si="171"/>
        <v>3</v>
      </c>
      <c r="I386" s="116" t="str">
        <f t="shared" si="172"/>
        <v>L</v>
      </c>
      <c r="J386" s="7" t="str">
        <f t="shared" si="173"/>
        <v>CEI</v>
      </c>
      <c r="K386" s="125">
        <f t="shared" si="174"/>
        <v>3</v>
      </c>
      <c r="L386" s="125">
        <f>IF(NOT(ISERROR(VLOOKUP(B386,Deflatores!G$42:H$64,2,FALSE))),VLOOKUP(B386,Deflatores!G$42:H$64,2,FALSE),IF(OR(ISBLANK(C386),ISBLANK(B386)),"",VLOOKUP(C386,Deflatores!G$4:H$38,2,FALSE)*H386+VLOOKUP(C386,Deflatores!G$4:I$38,3,FALSE)))</f>
        <v>3</v>
      </c>
      <c r="M386" s="10"/>
      <c r="N386" s="10"/>
      <c r="O386" s="6"/>
    </row>
    <row r="387" spans="1:15">
      <c r="A387" s="143" t="s">
        <v>389</v>
      </c>
      <c r="B387" s="4" t="s">
        <v>44</v>
      </c>
      <c r="C387" s="4" t="s">
        <v>49</v>
      </c>
      <c r="D387" s="7">
        <v>3</v>
      </c>
      <c r="E387" s="7">
        <v>1</v>
      </c>
      <c r="F387" s="116" t="str">
        <f t="shared" si="169"/>
        <v>Baixa</v>
      </c>
      <c r="G387" s="7" t="str">
        <f t="shared" si="170"/>
        <v>CEL</v>
      </c>
      <c r="H387" s="7">
        <f t="shared" si="171"/>
        <v>3</v>
      </c>
      <c r="I387" s="116" t="str">
        <f t="shared" si="172"/>
        <v>L</v>
      </c>
      <c r="J387" s="7" t="str">
        <f t="shared" si="173"/>
        <v>CEI</v>
      </c>
      <c r="K387" s="125">
        <f t="shared" si="174"/>
        <v>3</v>
      </c>
      <c r="L387" s="125">
        <f>IF(NOT(ISERROR(VLOOKUP(B387,Deflatores!G$42:H$64,2,FALSE))),VLOOKUP(B387,Deflatores!G$42:H$64,2,FALSE),IF(OR(ISBLANK(C387),ISBLANK(B387)),"",VLOOKUP(C387,Deflatores!G$4:H$38,2,FALSE)*H387+VLOOKUP(C387,Deflatores!G$4:I$38,3,FALSE)))</f>
        <v>3</v>
      </c>
      <c r="M387" s="10"/>
      <c r="N387" s="10"/>
      <c r="O387" s="6"/>
    </row>
    <row r="388" spans="1:15">
      <c r="A388" s="143" t="s">
        <v>390</v>
      </c>
      <c r="B388" s="4" t="s">
        <v>44</v>
      </c>
      <c r="C388" s="4" t="s">
        <v>49</v>
      </c>
      <c r="D388" s="7">
        <v>3</v>
      </c>
      <c r="E388" s="7">
        <v>1</v>
      </c>
      <c r="F388" s="116" t="str">
        <f t="shared" si="169"/>
        <v>Baixa</v>
      </c>
      <c r="G388" s="7" t="str">
        <f t="shared" si="170"/>
        <v>CEL</v>
      </c>
      <c r="H388" s="7">
        <f t="shared" si="171"/>
        <v>3</v>
      </c>
      <c r="I388" s="116" t="str">
        <f t="shared" si="172"/>
        <v>L</v>
      </c>
      <c r="J388" s="7" t="str">
        <f t="shared" si="173"/>
        <v>CEI</v>
      </c>
      <c r="K388" s="125">
        <f t="shared" si="174"/>
        <v>3</v>
      </c>
      <c r="L388" s="125">
        <f>IF(NOT(ISERROR(VLOOKUP(B388,Deflatores!G$42:H$64,2,FALSE))),VLOOKUP(B388,Deflatores!G$42:H$64,2,FALSE),IF(OR(ISBLANK(C388),ISBLANK(B388)),"",VLOOKUP(C388,Deflatores!G$4:H$38,2,FALSE)*H388+VLOOKUP(C388,Deflatores!G$4:I$38,3,FALSE)))</f>
        <v>3</v>
      </c>
      <c r="M388" s="10"/>
      <c r="N388" s="10"/>
      <c r="O388" s="6"/>
    </row>
    <row r="389" spans="1:15">
      <c r="A389" s="141"/>
      <c r="B389" s="4"/>
      <c r="C389" s="4"/>
      <c r="D389" s="7"/>
      <c r="E389" s="7"/>
      <c r="F389" s="116" t="str">
        <f t="shared" si="163"/>
        <v/>
      </c>
      <c r="G389" s="7" t="str">
        <f t="shared" si="164"/>
        <v/>
      </c>
      <c r="H389" s="7" t="str">
        <f t="shared" si="165"/>
        <v/>
      </c>
      <c r="I389" s="116" t="str">
        <f t="shared" si="166"/>
        <v/>
      </c>
      <c r="J389" s="7" t="str">
        <f t="shared" si="167"/>
        <v/>
      </c>
      <c r="K389" s="125" t="str">
        <f t="shared" si="168"/>
        <v/>
      </c>
      <c r="L389" s="125" t="str">
        <f>IF(NOT(ISERROR(VLOOKUP(B389,Deflatores!G$42:H$64,2,FALSE))),VLOOKUP(B389,Deflatores!G$42:H$64,2,FALSE),IF(OR(ISBLANK(C389),ISBLANK(B389)),"",VLOOKUP(C389,Deflatores!G$4:H$38,2,FALSE)*H389+VLOOKUP(C389,Deflatores!G$4:I$38,3,FALSE)))</f>
        <v/>
      </c>
      <c r="M389" s="10"/>
      <c r="N389" s="10"/>
      <c r="O389" s="6"/>
    </row>
    <row r="390" spans="1:15">
      <c r="A390" s="141" t="s">
        <v>391</v>
      </c>
      <c r="B390" s="4"/>
      <c r="C390" s="4"/>
      <c r="D390" s="7"/>
      <c r="E390" s="7"/>
      <c r="F390" s="116" t="str">
        <f>IF(ISBLANK(B390),"",IF(I390="L","Baixa",IF(I390="A","Média",IF(I390="","","Alta"))))</f>
        <v/>
      </c>
      <c r="G390" s="7" t="str">
        <f>CONCATENATE(B390,I390)</f>
        <v/>
      </c>
      <c r="H390" s="7" t="str">
        <f>IF(ISBLANK(B390),"",IF(B390="ALI",IF(I390="L",7,IF(I390="A",10,15)),IF(B390="AIE",IF(I390="L",5,IF(I390="A",7,10)),IF(B390="SE",IF(I390="L",4,IF(I390="A",5,7)),IF(OR(B390="EE",B390="CE"),IF(I390="L",3,IF(I390="A",4,6)),0)))))</f>
        <v/>
      </c>
      <c r="I390" s="116" t="str">
        <f>IF(OR(ISBLANK(D390),ISBLANK(E390)),IF(OR(B390="ALI",B390="AIE"),"L",IF(OR(B390="EE",B390="SE",B390="CE"),"A","")),IF(B390="EE",IF(E390&gt;=3,IF(D390&gt;=5,"H","A"),IF(E390&gt;=2,IF(D390&gt;=16,"H",IF(D390&lt;=4,"L","A")),IF(D390&lt;=15,"L","A"))),IF(OR(B390="SE",B390="CE"),IF(E390&gt;=4,IF(D390&gt;=6,"H","A"),IF(E390&gt;=2,IF(D390&gt;=20,"H",IF(D390&lt;=5,"L","A")),IF(D390&lt;=19,"L","A"))),IF(OR(B390="ALI",B390="AIE"),IF(E390&gt;=6,IF(D390&gt;=20,"H","A"),IF(E390&gt;=2,IF(D390&gt;=51,"H",IF(D390&lt;=19,"L","A")),IF(D390&lt;=50,"L","A"))),""))))</f>
        <v/>
      </c>
      <c r="J390" s="7" t="str">
        <f>CONCATENATE(B390,C390)</f>
        <v/>
      </c>
      <c r="K390" s="125" t="str">
        <f>IF(OR(H390="",H390=0),L390,H390)</f>
        <v/>
      </c>
      <c r="L390" s="125" t="str">
        <f>IF(NOT(ISERROR(VLOOKUP(B390,Deflatores!G$42:H$64,2,FALSE))),VLOOKUP(B390,Deflatores!G$42:H$64,2,FALSE),IF(OR(ISBLANK(C390),ISBLANK(B390)),"",VLOOKUP(C390,Deflatores!G$4:H$38,2,FALSE)*H390+VLOOKUP(C390,Deflatores!G$4:I$38,3,FALSE)))</f>
        <v/>
      </c>
      <c r="M390" s="10"/>
      <c r="N390" s="10"/>
      <c r="O390" s="6"/>
    </row>
    <row r="391" spans="1:15">
      <c r="A391" s="142" t="s">
        <v>392</v>
      </c>
      <c r="B391" s="4" t="s">
        <v>55</v>
      </c>
      <c r="C391" s="4" t="s">
        <v>49</v>
      </c>
      <c r="D391" s="7">
        <v>14</v>
      </c>
      <c r="E391" s="7">
        <v>4</v>
      </c>
      <c r="F391" s="116" t="str">
        <f t="shared" si="163"/>
        <v>Baixa</v>
      </c>
      <c r="G391" s="7" t="str">
        <f t="shared" si="164"/>
        <v>ALIL</v>
      </c>
      <c r="H391" s="7">
        <f t="shared" si="165"/>
        <v>7</v>
      </c>
      <c r="I391" s="116" t="str">
        <f t="shared" si="166"/>
        <v>L</v>
      </c>
      <c r="J391" s="7" t="str">
        <f t="shared" si="167"/>
        <v>ALII</v>
      </c>
      <c r="K391" s="125">
        <f t="shared" si="168"/>
        <v>7</v>
      </c>
      <c r="L391" s="125">
        <f>IF(NOT(ISERROR(VLOOKUP(B391,Deflatores!G$42:H$64,2,FALSE))),VLOOKUP(B391,Deflatores!G$42:H$64,2,FALSE),IF(OR(ISBLANK(C391),ISBLANK(B391)),"",VLOOKUP(C391,Deflatores!G$4:H$38,2,FALSE)*H391+VLOOKUP(C391,Deflatores!G$4:I$38,3,FALSE)))</f>
        <v>7</v>
      </c>
      <c r="M391" s="10"/>
      <c r="N391" s="10"/>
      <c r="O391" s="6"/>
    </row>
    <row r="392" spans="1:15">
      <c r="A392" s="142" t="s">
        <v>393</v>
      </c>
      <c r="B392" s="4" t="s">
        <v>63</v>
      </c>
      <c r="C392" s="4" t="s">
        <v>49</v>
      </c>
      <c r="D392" s="7">
        <v>9</v>
      </c>
      <c r="E392" s="7">
        <v>5</v>
      </c>
      <c r="F392" s="116" t="str">
        <f t="shared" si="163"/>
        <v>Alta</v>
      </c>
      <c r="G392" s="7" t="str">
        <f t="shared" si="164"/>
        <v>EEH</v>
      </c>
      <c r="H392" s="7">
        <f t="shared" si="165"/>
        <v>6</v>
      </c>
      <c r="I392" s="116" t="str">
        <f t="shared" si="166"/>
        <v>H</v>
      </c>
      <c r="J392" s="7" t="str">
        <f t="shared" si="167"/>
        <v>EEI</v>
      </c>
      <c r="K392" s="125">
        <f t="shared" si="168"/>
        <v>6</v>
      </c>
      <c r="L392" s="125">
        <f>IF(NOT(ISERROR(VLOOKUP(B392,Deflatores!G$42:H$64,2,FALSE))),VLOOKUP(B392,Deflatores!G$42:H$64,2,FALSE),IF(OR(ISBLANK(C392),ISBLANK(B392)),"",VLOOKUP(C392,Deflatores!G$4:H$38,2,FALSE)*H392+VLOOKUP(C392,Deflatores!G$4:I$38,3,FALSE)))</f>
        <v>6</v>
      </c>
      <c r="M392" s="10"/>
      <c r="N392" s="10"/>
      <c r="O392" s="6"/>
    </row>
    <row r="393" spans="1:15">
      <c r="A393" s="142" t="s">
        <v>394</v>
      </c>
      <c r="B393" s="4" t="s">
        <v>63</v>
      </c>
      <c r="C393" s="4" t="s">
        <v>49</v>
      </c>
      <c r="D393" s="7">
        <v>4</v>
      </c>
      <c r="E393" s="7">
        <v>1</v>
      </c>
      <c r="F393" s="116" t="str">
        <f t="shared" si="163"/>
        <v>Baixa</v>
      </c>
      <c r="G393" s="7" t="str">
        <f t="shared" si="164"/>
        <v>EEL</v>
      </c>
      <c r="H393" s="7">
        <f t="shared" si="165"/>
        <v>3</v>
      </c>
      <c r="I393" s="116" t="str">
        <f t="shared" si="166"/>
        <v>L</v>
      </c>
      <c r="J393" s="7" t="str">
        <f t="shared" si="167"/>
        <v>EEI</v>
      </c>
      <c r="K393" s="125">
        <f t="shared" si="168"/>
        <v>3</v>
      </c>
      <c r="L393" s="125">
        <f>IF(NOT(ISERROR(VLOOKUP(B393,Deflatores!G$42:H$64,2,FALSE))),VLOOKUP(B393,Deflatores!G$42:H$64,2,FALSE),IF(OR(ISBLANK(C393),ISBLANK(B393)),"",VLOOKUP(C393,Deflatores!G$4:H$38,2,FALSE)*H393+VLOOKUP(C393,Deflatores!G$4:I$38,3,FALSE)))</f>
        <v>3</v>
      </c>
      <c r="M393" s="10"/>
      <c r="N393" s="10"/>
      <c r="O393" s="6"/>
    </row>
    <row r="394" spans="1:15">
      <c r="A394" s="119"/>
      <c r="B394" s="4"/>
      <c r="C394" s="4"/>
      <c r="D394" s="7"/>
      <c r="E394" s="7"/>
      <c r="F394" s="116" t="str">
        <f t="shared" si="163"/>
        <v/>
      </c>
      <c r="G394" s="7" t="str">
        <f t="shared" si="164"/>
        <v/>
      </c>
      <c r="H394" s="7" t="str">
        <f t="shared" si="165"/>
        <v/>
      </c>
      <c r="I394" s="116" t="str">
        <f t="shared" si="166"/>
        <v/>
      </c>
      <c r="J394" s="7" t="str">
        <f t="shared" si="167"/>
        <v/>
      </c>
      <c r="K394" s="125" t="str">
        <f t="shared" si="168"/>
        <v/>
      </c>
      <c r="L394" s="125" t="str">
        <f>IF(NOT(ISERROR(VLOOKUP(B394,Deflatores!G$42:H$64,2,FALSE))),VLOOKUP(B394,Deflatores!G$42:H$64,2,FALSE),IF(OR(ISBLANK(C394),ISBLANK(B394)),"",VLOOKUP(C394,Deflatores!G$4:H$38,2,FALSE)*H394+VLOOKUP(C394,Deflatores!G$4:I$38,3,FALSE)))</f>
        <v/>
      </c>
      <c r="M394" s="10"/>
      <c r="N394" s="10"/>
      <c r="O394" s="6"/>
    </row>
    <row r="395" spans="1:15">
      <c r="A395" s="141" t="s">
        <v>395</v>
      </c>
      <c r="B395" s="4"/>
      <c r="C395" s="4"/>
      <c r="D395" s="7"/>
      <c r="E395" s="7"/>
      <c r="F395" s="116" t="str">
        <f t="shared" si="163"/>
        <v/>
      </c>
      <c r="G395" s="7" t="str">
        <f t="shared" si="164"/>
        <v/>
      </c>
      <c r="H395" s="7" t="str">
        <f t="shared" si="165"/>
        <v/>
      </c>
      <c r="I395" s="116" t="str">
        <f t="shared" si="166"/>
        <v/>
      </c>
      <c r="J395" s="7" t="str">
        <f t="shared" si="167"/>
        <v/>
      </c>
      <c r="K395" s="125" t="str">
        <f t="shared" si="168"/>
        <v/>
      </c>
      <c r="L395" s="125" t="str">
        <f>IF(NOT(ISERROR(VLOOKUP(B395,Deflatores!G$42:H$64,2,FALSE))),VLOOKUP(B395,Deflatores!G$42:H$64,2,FALSE),IF(OR(ISBLANK(C395),ISBLANK(B395)),"",VLOOKUP(C395,Deflatores!G$4:H$38,2,FALSE)*H395+VLOOKUP(C395,Deflatores!G$4:I$38,3,FALSE)))</f>
        <v/>
      </c>
      <c r="M395" s="10"/>
      <c r="N395" s="10"/>
      <c r="O395" s="6"/>
    </row>
    <row r="396" spans="1:15">
      <c r="A396" s="142" t="s">
        <v>396</v>
      </c>
      <c r="B396" s="4" t="s">
        <v>58</v>
      </c>
      <c r="C396" s="4" t="s">
        <v>49</v>
      </c>
      <c r="D396" s="7">
        <v>17</v>
      </c>
      <c r="E396" s="7">
        <v>4</v>
      </c>
      <c r="F396" s="116" t="str">
        <f t="shared" si="163"/>
        <v>Alta</v>
      </c>
      <c r="G396" s="7" t="str">
        <f t="shared" si="164"/>
        <v>SEH</v>
      </c>
      <c r="H396" s="7">
        <f t="shared" si="165"/>
        <v>7</v>
      </c>
      <c r="I396" s="116" t="str">
        <f t="shared" si="166"/>
        <v>H</v>
      </c>
      <c r="J396" s="7" t="str">
        <f t="shared" si="167"/>
        <v>SEI</v>
      </c>
      <c r="K396" s="125">
        <f t="shared" si="168"/>
        <v>7</v>
      </c>
      <c r="L396" s="125">
        <f>IF(NOT(ISERROR(VLOOKUP(B396,Deflatores!G$42:H$64,2,FALSE))),VLOOKUP(B396,Deflatores!G$42:H$64,2,FALSE),IF(OR(ISBLANK(C396),ISBLANK(B396)),"",VLOOKUP(C396,Deflatores!G$4:H$38,2,FALSE)*H396+VLOOKUP(C396,Deflatores!G$4:I$38,3,FALSE)))</f>
        <v>7</v>
      </c>
      <c r="M396" s="10"/>
      <c r="N396" s="10"/>
      <c r="O396" s="6" t="s">
        <v>397</v>
      </c>
    </row>
    <row r="397" spans="1:15">
      <c r="A397" s="119"/>
      <c r="B397" s="4"/>
      <c r="C397" s="4"/>
      <c r="D397" s="7"/>
      <c r="E397" s="7"/>
      <c r="F397" s="116" t="str">
        <f t="shared" si="163"/>
        <v/>
      </c>
      <c r="G397" s="7" t="str">
        <f t="shared" si="164"/>
        <v/>
      </c>
      <c r="H397" s="7" t="str">
        <f t="shared" si="165"/>
        <v/>
      </c>
      <c r="I397" s="116" t="str">
        <f t="shared" si="166"/>
        <v/>
      </c>
      <c r="J397" s="7" t="str">
        <f t="shared" si="167"/>
        <v/>
      </c>
      <c r="K397" s="125" t="str">
        <f t="shared" si="168"/>
        <v/>
      </c>
      <c r="L397" s="125" t="str">
        <f>IF(NOT(ISERROR(VLOOKUP(B397,Deflatores!G$42:H$64,2,FALSE))),VLOOKUP(B397,Deflatores!G$42:H$64,2,FALSE),IF(OR(ISBLANK(C397),ISBLANK(B397)),"",VLOOKUP(C397,Deflatores!G$4:H$38,2,FALSE)*H397+VLOOKUP(C397,Deflatores!G$4:I$38,3,FALSE)))</f>
        <v/>
      </c>
      <c r="M397" s="10"/>
      <c r="N397" s="10"/>
      <c r="O397" s="6"/>
    </row>
    <row r="398" spans="1:15">
      <c r="A398" s="141" t="s">
        <v>398</v>
      </c>
      <c r="B398" s="4"/>
      <c r="C398" s="4"/>
      <c r="D398" s="7"/>
      <c r="E398" s="7"/>
      <c r="F398" s="116" t="str">
        <f t="shared" si="163"/>
        <v/>
      </c>
      <c r="G398" s="7" t="str">
        <f t="shared" si="164"/>
        <v/>
      </c>
      <c r="H398" s="7" t="str">
        <f t="shared" si="165"/>
        <v/>
      </c>
      <c r="I398" s="116" t="str">
        <f t="shared" si="166"/>
        <v/>
      </c>
      <c r="J398" s="7" t="str">
        <f t="shared" si="167"/>
        <v/>
      </c>
      <c r="K398" s="125" t="str">
        <f t="shared" si="168"/>
        <v/>
      </c>
      <c r="L398" s="125" t="str">
        <f>IF(NOT(ISERROR(VLOOKUP(B398,Deflatores!G$42:H$64,2,FALSE))),VLOOKUP(B398,Deflatores!G$42:H$64,2,FALSE),IF(OR(ISBLANK(C398),ISBLANK(B398)),"",VLOOKUP(C398,Deflatores!G$4:H$38,2,FALSE)*H398+VLOOKUP(C398,Deflatores!G$4:I$38,3,FALSE)))</f>
        <v/>
      </c>
      <c r="M398" s="10"/>
      <c r="N398" s="10"/>
      <c r="O398" s="6"/>
    </row>
    <row r="399" spans="1:15">
      <c r="A399" s="142" t="s">
        <v>399</v>
      </c>
      <c r="B399" s="4" t="s">
        <v>63</v>
      </c>
      <c r="C399" s="4" t="s">
        <v>49</v>
      </c>
      <c r="D399" s="7">
        <v>6</v>
      </c>
      <c r="E399" s="7">
        <v>1</v>
      </c>
      <c r="F399" s="116" t="str">
        <f t="shared" si="163"/>
        <v>Baixa</v>
      </c>
      <c r="G399" s="7" t="str">
        <f t="shared" si="164"/>
        <v>EEL</v>
      </c>
      <c r="H399" s="7">
        <f t="shared" si="165"/>
        <v>3</v>
      </c>
      <c r="I399" s="116" t="str">
        <f t="shared" si="166"/>
        <v>L</v>
      </c>
      <c r="J399" s="7" t="str">
        <f t="shared" si="167"/>
        <v>EEI</v>
      </c>
      <c r="K399" s="125">
        <f t="shared" si="168"/>
        <v>3</v>
      </c>
      <c r="L399" s="125">
        <f>IF(NOT(ISERROR(VLOOKUP(B399,Deflatores!G$42:H$64,2,FALSE))),VLOOKUP(B399,Deflatores!G$42:H$64,2,FALSE),IF(OR(ISBLANK(C399),ISBLANK(B399)),"",VLOOKUP(C399,Deflatores!G$4:H$38,2,FALSE)*H399+VLOOKUP(C399,Deflatores!G$4:I$38,3,FALSE)))</f>
        <v>3</v>
      </c>
      <c r="M399" s="10"/>
      <c r="N399" s="10"/>
      <c r="O399" s="6"/>
    </row>
    <row r="400" spans="1:15">
      <c r="A400" s="119"/>
      <c r="B400" s="4"/>
      <c r="C400" s="4"/>
      <c r="D400" s="7"/>
      <c r="E400" s="7"/>
      <c r="F400" s="116" t="str">
        <f t="shared" si="163"/>
        <v/>
      </c>
      <c r="G400" s="7" t="str">
        <f t="shared" si="164"/>
        <v/>
      </c>
      <c r="H400" s="7" t="str">
        <f t="shared" si="165"/>
        <v/>
      </c>
      <c r="I400" s="116" t="str">
        <f t="shared" si="166"/>
        <v/>
      </c>
      <c r="J400" s="7" t="str">
        <f t="shared" si="167"/>
        <v/>
      </c>
      <c r="K400" s="125" t="str">
        <f t="shared" si="168"/>
        <v/>
      </c>
      <c r="L400" s="125" t="str">
        <f>IF(NOT(ISERROR(VLOOKUP(B400,Deflatores!G$42:H$64,2,FALSE))),VLOOKUP(B400,Deflatores!G$42:H$64,2,FALSE),IF(OR(ISBLANK(C400),ISBLANK(B400)),"",VLOOKUP(C400,Deflatores!G$4:H$38,2,FALSE)*H400+VLOOKUP(C400,Deflatores!G$4:I$38,3,FALSE)))</f>
        <v/>
      </c>
      <c r="M400" s="10"/>
      <c r="N400" s="10"/>
      <c r="O400" s="6"/>
    </row>
    <row r="401" spans="1:15">
      <c r="A401" s="141" t="s">
        <v>400</v>
      </c>
      <c r="B401" s="4"/>
      <c r="C401" s="4"/>
      <c r="D401" s="7"/>
      <c r="E401" s="7"/>
      <c r="F401" s="116" t="str">
        <f t="shared" si="163"/>
        <v/>
      </c>
      <c r="G401" s="7" t="str">
        <f t="shared" si="164"/>
        <v/>
      </c>
      <c r="H401" s="7" t="str">
        <f t="shared" si="165"/>
        <v/>
      </c>
      <c r="I401" s="116" t="str">
        <f t="shared" si="166"/>
        <v/>
      </c>
      <c r="J401" s="7" t="str">
        <f t="shared" si="167"/>
        <v/>
      </c>
      <c r="K401" s="125" t="str">
        <f t="shared" si="168"/>
        <v/>
      </c>
      <c r="L401" s="125" t="str">
        <f>IF(NOT(ISERROR(VLOOKUP(B401,Deflatores!G$42:H$64,2,FALSE))),VLOOKUP(B401,Deflatores!G$42:H$64,2,FALSE),IF(OR(ISBLANK(C401),ISBLANK(B401)),"",VLOOKUP(C401,Deflatores!G$4:H$38,2,FALSE)*H401+VLOOKUP(C401,Deflatores!G$4:I$38,3,FALSE)))</f>
        <v/>
      </c>
      <c r="M401" s="10"/>
      <c r="N401" s="10"/>
      <c r="O401" s="6"/>
    </row>
    <row r="402" spans="1:15">
      <c r="A402" s="142" t="s">
        <v>401</v>
      </c>
      <c r="B402" s="4" t="s">
        <v>44</v>
      </c>
      <c r="C402" s="4" t="s">
        <v>49</v>
      </c>
      <c r="D402" s="7">
        <v>20</v>
      </c>
      <c r="E402" s="7">
        <v>5</v>
      </c>
      <c r="F402" s="116" t="str">
        <f>IF(ISBLANK(B402),"",IF(I402="L","Baixa",IF(I402="A","Média",IF(I402="","","Alta"))))</f>
        <v>Alta</v>
      </c>
      <c r="G402" s="7" t="str">
        <f>CONCATENATE(B402,I402)</f>
        <v>CEH</v>
      </c>
      <c r="H402" s="7">
        <f>IF(ISBLANK(B402),"",IF(B402="ALI",IF(I402="L",7,IF(I402="A",10,15)),IF(B402="AIE",IF(I402="L",5,IF(I402="A",7,10)),IF(B402="SE",IF(I402="L",4,IF(I402="A",5,7)),IF(OR(B402="EE",B402="CE"),IF(I402="L",3,IF(I402="A",4,6)),0)))))</f>
        <v>6</v>
      </c>
      <c r="I402" s="116" t="str">
        <f>IF(OR(ISBLANK(D402),ISBLANK(E402)),IF(OR(B402="ALI",B402="AIE"),"L",IF(OR(B402="EE",B402="SE",B402="CE"),"A","")),IF(B402="EE",IF(E402&gt;=3,IF(D402&gt;=5,"H","A"),IF(E402&gt;=2,IF(D402&gt;=16,"H",IF(D402&lt;=4,"L","A")),IF(D402&lt;=15,"L","A"))),IF(OR(B402="SE",B402="CE"),IF(E402&gt;=4,IF(D402&gt;=6,"H","A"),IF(E402&gt;=2,IF(D402&gt;=20,"H",IF(D402&lt;=5,"L","A")),IF(D402&lt;=19,"L","A"))),IF(OR(B402="ALI",B402="AIE"),IF(E402&gt;=6,IF(D402&gt;=20,"H","A"),IF(E402&gt;=2,IF(D402&gt;=51,"H",IF(D402&lt;=19,"L","A")),IF(D402&lt;=50,"L","A"))),""))))</f>
        <v>H</v>
      </c>
      <c r="J402" s="7" t="str">
        <f>CONCATENATE(B402,C402)</f>
        <v>CEI</v>
      </c>
      <c r="K402" s="125">
        <f>IF(OR(H402="",H402=0),L402,H402)</f>
        <v>6</v>
      </c>
      <c r="L402" s="125">
        <f>IF(NOT(ISERROR(VLOOKUP(B402,Deflatores!G$42:H$64,2,FALSE))),VLOOKUP(B402,Deflatores!G$42:H$64,2,FALSE),IF(OR(ISBLANK(C402),ISBLANK(B402)),"",VLOOKUP(C402,Deflatores!G$4:H$38,2,FALSE)*H402+VLOOKUP(C402,Deflatores!G$4:I$38,3,FALSE)))</f>
        <v>6</v>
      </c>
      <c r="M402" s="10"/>
      <c r="N402" s="10"/>
      <c r="O402" s="6" t="s">
        <v>402</v>
      </c>
    </row>
    <row r="403" spans="1:15">
      <c r="A403" s="119"/>
      <c r="B403" s="4"/>
      <c r="C403" s="4"/>
      <c r="D403" s="7"/>
      <c r="E403" s="7"/>
      <c r="F403" s="116" t="str">
        <f t="shared" si="163"/>
        <v/>
      </c>
      <c r="G403" s="7" t="str">
        <f t="shared" si="164"/>
        <v/>
      </c>
      <c r="H403" s="7" t="str">
        <f t="shared" si="165"/>
        <v/>
      </c>
      <c r="I403" s="116" t="str">
        <f t="shared" si="166"/>
        <v/>
      </c>
      <c r="J403" s="7" t="str">
        <f t="shared" si="167"/>
        <v/>
      </c>
      <c r="K403" s="125" t="str">
        <f t="shared" si="168"/>
        <v/>
      </c>
      <c r="L403" s="125" t="str">
        <f>IF(NOT(ISERROR(VLOOKUP(B403,Deflatores!G$42:H$64,2,FALSE))),VLOOKUP(B403,Deflatores!G$42:H$64,2,FALSE),IF(OR(ISBLANK(C403),ISBLANK(B403)),"",VLOOKUP(C403,Deflatores!G$4:H$38,2,FALSE)*H403+VLOOKUP(C403,Deflatores!G$4:I$38,3,FALSE)))</f>
        <v/>
      </c>
      <c r="M403" s="10"/>
      <c r="N403" s="10"/>
      <c r="O403" s="6"/>
    </row>
    <row r="404" spans="1:15">
      <c r="A404" s="141" t="s">
        <v>403</v>
      </c>
      <c r="B404" s="4"/>
      <c r="C404" s="4"/>
      <c r="D404" s="7"/>
      <c r="E404" s="7"/>
      <c r="F404" s="116" t="str">
        <f t="shared" si="163"/>
        <v/>
      </c>
      <c r="G404" s="7" t="str">
        <f t="shared" si="164"/>
        <v/>
      </c>
      <c r="H404" s="7" t="str">
        <f t="shared" si="165"/>
        <v/>
      </c>
      <c r="I404" s="116" t="str">
        <f t="shared" si="166"/>
        <v/>
      </c>
      <c r="J404" s="7" t="str">
        <f t="shared" si="167"/>
        <v/>
      </c>
      <c r="K404" s="125" t="str">
        <f t="shared" si="168"/>
        <v/>
      </c>
      <c r="L404" s="125" t="str">
        <f>IF(NOT(ISERROR(VLOOKUP(B404,Deflatores!G$42:H$64,2,FALSE))),VLOOKUP(B404,Deflatores!G$42:H$64,2,FALSE),IF(OR(ISBLANK(C404),ISBLANK(B404)),"",VLOOKUP(C404,Deflatores!G$4:H$38,2,FALSE)*H404+VLOOKUP(C404,Deflatores!G$4:I$38,3,FALSE)))</f>
        <v/>
      </c>
      <c r="M404" s="10"/>
      <c r="N404" s="10"/>
      <c r="O404" s="6"/>
    </row>
    <row r="405" spans="1:15">
      <c r="A405" s="142" t="s">
        <v>404</v>
      </c>
      <c r="B405" s="4" t="s">
        <v>44</v>
      </c>
      <c r="C405" s="4" t="s">
        <v>49</v>
      </c>
      <c r="D405" s="7">
        <v>9</v>
      </c>
      <c r="E405" s="7">
        <v>3</v>
      </c>
      <c r="F405" s="116" t="str">
        <f t="shared" si="163"/>
        <v>Média</v>
      </c>
      <c r="G405" s="7" t="str">
        <f t="shared" si="164"/>
        <v>CEA</v>
      </c>
      <c r="H405" s="7">
        <f t="shared" si="165"/>
        <v>4</v>
      </c>
      <c r="I405" s="116" t="str">
        <f t="shared" si="166"/>
        <v>A</v>
      </c>
      <c r="J405" s="7" t="str">
        <f t="shared" si="167"/>
        <v>CEI</v>
      </c>
      <c r="K405" s="125">
        <f t="shared" si="168"/>
        <v>4</v>
      </c>
      <c r="L405" s="125">
        <f>IF(NOT(ISERROR(VLOOKUP(B405,Deflatores!G$42:H$64,2,FALSE))),VLOOKUP(B405,Deflatores!G$42:H$64,2,FALSE),IF(OR(ISBLANK(C405),ISBLANK(B405)),"",VLOOKUP(C405,Deflatores!G$4:H$38,2,FALSE)*H405+VLOOKUP(C405,Deflatores!G$4:I$38,3,FALSE)))</f>
        <v>4</v>
      </c>
      <c r="M405" s="10"/>
      <c r="N405" s="10"/>
      <c r="O405" s="6"/>
    </row>
    <row r="406" spans="1:15">
      <c r="A406" s="143" t="s">
        <v>405</v>
      </c>
      <c r="B406" s="4" t="s">
        <v>44</v>
      </c>
      <c r="C406" s="4" t="s">
        <v>49</v>
      </c>
      <c r="D406" s="7">
        <v>3</v>
      </c>
      <c r="E406" s="7">
        <v>1</v>
      </c>
      <c r="F406" s="116" t="str">
        <f t="shared" si="163"/>
        <v>Baixa</v>
      </c>
      <c r="G406" s="7" t="str">
        <f t="shared" si="164"/>
        <v>CEL</v>
      </c>
      <c r="H406" s="7">
        <f t="shared" si="165"/>
        <v>3</v>
      </c>
      <c r="I406" s="116" t="str">
        <f t="shared" si="166"/>
        <v>L</v>
      </c>
      <c r="J406" s="7" t="str">
        <f t="shared" si="167"/>
        <v>CEI</v>
      </c>
      <c r="K406" s="125">
        <f t="shared" si="168"/>
        <v>3</v>
      </c>
      <c r="L406" s="125">
        <f>IF(NOT(ISERROR(VLOOKUP(B406,Deflatores!G$42:H$64,2,FALSE))),VLOOKUP(B406,Deflatores!G$42:H$64,2,FALSE),IF(OR(ISBLANK(C406),ISBLANK(B406)),"",VLOOKUP(C406,Deflatores!G$4:H$38,2,FALSE)*H406+VLOOKUP(C406,Deflatores!G$4:I$38,3,FALSE)))</f>
        <v>3</v>
      </c>
      <c r="M406" s="10"/>
      <c r="N406" s="10"/>
      <c r="O406" s="6"/>
    </row>
    <row r="407" spans="1:15">
      <c r="A407" s="119"/>
      <c r="B407" s="4"/>
      <c r="C407" s="4"/>
      <c r="D407" s="7"/>
      <c r="E407" s="7"/>
      <c r="F407" s="116" t="str">
        <f t="shared" si="163"/>
        <v/>
      </c>
      <c r="G407" s="7" t="str">
        <f t="shared" si="164"/>
        <v/>
      </c>
      <c r="H407" s="7" t="str">
        <f t="shared" si="165"/>
        <v/>
      </c>
      <c r="I407" s="116" t="str">
        <f t="shared" si="166"/>
        <v/>
      </c>
      <c r="J407" s="7" t="str">
        <f t="shared" si="167"/>
        <v/>
      </c>
      <c r="K407" s="125" t="str">
        <f t="shared" si="168"/>
        <v/>
      </c>
      <c r="L407" s="125" t="str">
        <f>IF(NOT(ISERROR(VLOOKUP(B407,Deflatores!G$42:H$64,2,FALSE))),VLOOKUP(B407,Deflatores!G$42:H$64,2,FALSE),IF(OR(ISBLANK(C407),ISBLANK(B407)),"",VLOOKUP(C407,Deflatores!G$4:H$38,2,FALSE)*H407+VLOOKUP(C407,Deflatores!G$4:I$38,3,FALSE)))</f>
        <v/>
      </c>
      <c r="M407" s="10"/>
      <c r="N407" s="10"/>
      <c r="O407" s="6"/>
    </row>
    <row r="408" spans="1:15">
      <c r="A408" s="141" t="s">
        <v>406</v>
      </c>
      <c r="B408" s="4"/>
      <c r="C408" s="4"/>
      <c r="D408" s="7"/>
      <c r="E408" s="7"/>
      <c r="F408" s="116" t="str">
        <f t="shared" si="163"/>
        <v/>
      </c>
      <c r="G408" s="7" t="str">
        <f t="shared" si="164"/>
        <v/>
      </c>
      <c r="H408" s="7" t="str">
        <f t="shared" si="165"/>
        <v/>
      </c>
      <c r="I408" s="116" t="str">
        <f t="shared" si="166"/>
        <v/>
      </c>
      <c r="J408" s="7" t="str">
        <f t="shared" si="167"/>
        <v/>
      </c>
      <c r="K408" s="125" t="str">
        <f t="shared" si="168"/>
        <v/>
      </c>
      <c r="L408" s="125" t="str">
        <f>IF(NOT(ISERROR(VLOOKUP(B408,Deflatores!G$42:H$64,2,FALSE))),VLOOKUP(B408,Deflatores!G$42:H$64,2,FALSE),IF(OR(ISBLANK(C408),ISBLANK(B408)),"",VLOOKUP(C408,Deflatores!G$4:H$38,2,FALSE)*H408+VLOOKUP(C408,Deflatores!G$4:I$38,3,FALSE)))</f>
        <v/>
      </c>
      <c r="M408" s="10"/>
      <c r="N408" s="10"/>
      <c r="O408" s="6"/>
    </row>
    <row r="409" spans="1:15">
      <c r="A409" s="142" t="s">
        <v>407</v>
      </c>
      <c r="B409" s="4" t="s">
        <v>44</v>
      </c>
      <c r="C409" s="4" t="s">
        <v>49</v>
      </c>
      <c r="D409" s="7">
        <v>15</v>
      </c>
      <c r="E409" s="7">
        <v>4</v>
      </c>
      <c r="F409" s="116" t="str">
        <f t="shared" si="163"/>
        <v>Alta</v>
      </c>
      <c r="G409" s="7" t="str">
        <f t="shared" si="164"/>
        <v>CEH</v>
      </c>
      <c r="H409" s="7">
        <f t="shared" si="165"/>
        <v>6</v>
      </c>
      <c r="I409" s="116" t="str">
        <f t="shared" si="166"/>
        <v>H</v>
      </c>
      <c r="J409" s="7" t="str">
        <f t="shared" si="167"/>
        <v>CEI</v>
      </c>
      <c r="K409" s="125">
        <f t="shared" si="168"/>
        <v>6</v>
      </c>
      <c r="L409" s="125">
        <f>IF(NOT(ISERROR(VLOOKUP(B409,Deflatores!G$42:H$64,2,FALSE))),VLOOKUP(B409,Deflatores!G$42:H$64,2,FALSE),IF(OR(ISBLANK(C409),ISBLANK(B409)),"",VLOOKUP(C409,Deflatores!G$4:H$38,2,FALSE)*H409+VLOOKUP(C409,Deflatores!G$4:I$38,3,FALSE)))</f>
        <v>6</v>
      </c>
      <c r="M409" s="10"/>
      <c r="N409" s="10"/>
      <c r="O409" s="6"/>
    </row>
    <row r="410" spans="1:15">
      <c r="A410" s="142" t="s">
        <v>408</v>
      </c>
      <c r="B410" s="4" t="s">
        <v>63</v>
      </c>
      <c r="C410" s="4" t="s">
        <v>49</v>
      </c>
      <c r="D410" s="7">
        <v>4</v>
      </c>
      <c r="E410" s="7">
        <v>1</v>
      </c>
      <c r="F410" s="116" t="str">
        <f t="shared" si="163"/>
        <v>Baixa</v>
      </c>
      <c r="G410" s="7" t="str">
        <f t="shared" si="164"/>
        <v>EEL</v>
      </c>
      <c r="H410" s="7">
        <f t="shared" si="165"/>
        <v>3</v>
      </c>
      <c r="I410" s="116" t="str">
        <f t="shared" si="166"/>
        <v>L</v>
      </c>
      <c r="J410" s="7" t="str">
        <f t="shared" si="167"/>
        <v>EEI</v>
      </c>
      <c r="K410" s="125">
        <f t="shared" si="168"/>
        <v>3</v>
      </c>
      <c r="L410" s="125">
        <f>IF(NOT(ISERROR(VLOOKUP(B410,Deflatores!G$42:H$64,2,FALSE))),VLOOKUP(B410,Deflatores!G$42:H$64,2,FALSE),IF(OR(ISBLANK(C410),ISBLANK(B410)),"",VLOOKUP(C410,Deflatores!G$4:H$38,2,FALSE)*H410+VLOOKUP(C410,Deflatores!G$4:I$38,3,FALSE)))</f>
        <v>3</v>
      </c>
      <c r="M410" s="10"/>
      <c r="N410" s="10"/>
      <c r="O410" s="6"/>
    </row>
    <row r="411" spans="1:15">
      <c r="A411" s="142" t="s">
        <v>409</v>
      </c>
      <c r="B411" s="4" t="s">
        <v>63</v>
      </c>
      <c r="C411" s="4" t="s">
        <v>49</v>
      </c>
      <c r="D411" s="7">
        <v>4</v>
      </c>
      <c r="E411" s="7">
        <v>1</v>
      </c>
      <c r="F411" s="116" t="str">
        <f t="shared" si="163"/>
        <v>Baixa</v>
      </c>
      <c r="G411" s="7" t="str">
        <f t="shared" si="164"/>
        <v>EEL</v>
      </c>
      <c r="H411" s="7">
        <f t="shared" si="165"/>
        <v>3</v>
      </c>
      <c r="I411" s="116" t="str">
        <f t="shared" si="166"/>
        <v>L</v>
      </c>
      <c r="J411" s="7" t="str">
        <f t="shared" si="167"/>
        <v>EEI</v>
      </c>
      <c r="K411" s="125">
        <f t="shared" si="168"/>
        <v>3</v>
      </c>
      <c r="L411" s="125">
        <f>IF(NOT(ISERROR(VLOOKUP(B411,Deflatores!G$42:H$64,2,FALSE))),VLOOKUP(B411,Deflatores!G$42:H$64,2,FALSE),IF(OR(ISBLANK(C411),ISBLANK(B411)),"",VLOOKUP(C411,Deflatores!G$4:H$38,2,FALSE)*H411+VLOOKUP(C411,Deflatores!G$4:I$38,3,FALSE)))</f>
        <v>3</v>
      </c>
      <c r="M411" s="10"/>
      <c r="N411" s="10"/>
      <c r="O411" s="6"/>
    </row>
    <row r="412" spans="1:15">
      <c r="A412" s="142" t="s">
        <v>410</v>
      </c>
      <c r="B412" s="4" t="s">
        <v>63</v>
      </c>
      <c r="C412" s="4" t="s">
        <v>49</v>
      </c>
      <c r="D412" s="7">
        <v>4</v>
      </c>
      <c r="E412" s="7">
        <v>1</v>
      </c>
      <c r="F412" s="116" t="str">
        <f t="shared" si="163"/>
        <v>Baixa</v>
      </c>
      <c r="G412" s="7" t="str">
        <f t="shared" si="164"/>
        <v>EEL</v>
      </c>
      <c r="H412" s="7">
        <f t="shared" si="165"/>
        <v>3</v>
      </c>
      <c r="I412" s="116" t="str">
        <f t="shared" si="166"/>
        <v>L</v>
      </c>
      <c r="J412" s="7" t="str">
        <f t="shared" si="167"/>
        <v>EEI</v>
      </c>
      <c r="K412" s="125">
        <f t="shared" si="168"/>
        <v>3</v>
      </c>
      <c r="L412" s="125">
        <f>IF(NOT(ISERROR(VLOOKUP(B412,Deflatores!G$42:H$64,2,FALSE))),VLOOKUP(B412,Deflatores!G$42:H$64,2,FALSE),IF(OR(ISBLANK(C412),ISBLANK(B412)),"",VLOOKUP(C412,Deflatores!G$4:H$38,2,FALSE)*H412+VLOOKUP(C412,Deflatores!G$4:I$38,3,FALSE)))</f>
        <v>3</v>
      </c>
      <c r="M412" s="10"/>
      <c r="N412" s="10"/>
      <c r="O412" s="6"/>
    </row>
    <row r="413" spans="1:15">
      <c r="A413" s="119"/>
      <c r="B413" s="4"/>
      <c r="C413" s="4"/>
      <c r="D413" s="7"/>
      <c r="E413" s="7"/>
      <c r="F413" s="116" t="str">
        <f t="shared" si="163"/>
        <v/>
      </c>
      <c r="G413" s="7" t="str">
        <f t="shared" si="164"/>
        <v/>
      </c>
      <c r="H413" s="7" t="str">
        <f t="shared" si="165"/>
        <v/>
      </c>
      <c r="I413" s="116" t="str">
        <f t="shared" si="166"/>
        <v/>
      </c>
      <c r="J413" s="7" t="str">
        <f t="shared" si="167"/>
        <v/>
      </c>
      <c r="K413" s="125" t="str">
        <f t="shared" si="168"/>
        <v/>
      </c>
      <c r="L413" s="125" t="str">
        <f>IF(NOT(ISERROR(VLOOKUP(B413,Deflatores!G$42:H$64,2,FALSE))),VLOOKUP(B413,Deflatores!G$42:H$64,2,FALSE),IF(OR(ISBLANK(C413),ISBLANK(B413)),"",VLOOKUP(C413,Deflatores!G$4:H$38,2,FALSE)*H413+VLOOKUP(C413,Deflatores!G$4:I$38,3,FALSE)))</f>
        <v/>
      </c>
      <c r="M413" s="10"/>
      <c r="N413" s="10"/>
      <c r="O413" s="6"/>
    </row>
    <row r="414" spans="1:15">
      <c r="A414" s="141" t="s">
        <v>411</v>
      </c>
      <c r="B414" s="4"/>
      <c r="C414" s="4"/>
      <c r="D414" s="7"/>
      <c r="E414" s="7"/>
      <c r="F414" s="116" t="str">
        <f t="shared" si="163"/>
        <v/>
      </c>
      <c r="G414" s="7" t="str">
        <f t="shared" si="164"/>
        <v/>
      </c>
      <c r="H414" s="7" t="str">
        <f t="shared" si="165"/>
        <v/>
      </c>
      <c r="I414" s="116" t="str">
        <f t="shared" si="166"/>
        <v/>
      </c>
      <c r="J414" s="7" t="str">
        <f t="shared" si="167"/>
        <v/>
      </c>
      <c r="K414" s="125" t="str">
        <f t="shared" si="168"/>
        <v/>
      </c>
      <c r="L414" s="125" t="str">
        <f>IF(NOT(ISERROR(VLOOKUP(B414,Deflatores!G$42:H$64,2,FALSE))),VLOOKUP(B414,Deflatores!G$42:H$64,2,FALSE),IF(OR(ISBLANK(C414),ISBLANK(B414)),"",VLOOKUP(C414,Deflatores!G$4:H$38,2,FALSE)*H414+VLOOKUP(C414,Deflatores!G$4:I$38,3,FALSE)))</f>
        <v/>
      </c>
      <c r="M414" s="10"/>
      <c r="N414" s="10"/>
      <c r="O414" s="6"/>
    </row>
    <row r="415" spans="1:15">
      <c r="A415" s="142" t="s">
        <v>412</v>
      </c>
      <c r="B415" s="4" t="s">
        <v>44</v>
      </c>
      <c r="C415" s="4" t="s">
        <v>49</v>
      </c>
      <c r="D415" s="7">
        <v>16</v>
      </c>
      <c r="E415" s="7">
        <v>4</v>
      </c>
      <c r="F415" s="116" t="str">
        <f t="shared" si="163"/>
        <v>Alta</v>
      </c>
      <c r="G415" s="7" t="str">
        <f t="shared" si="164"/>
        <v>CEH</v>
      </c>
      <c r="H415" s="7">
        <f t="shared" si="165"/>
        <v>6</v>
      </c>
      <c r="I415" s="116" t="str">
        <f t="shared" si="166"/>
        <v>H</v>
      </c>
      <c r="J415" s="7" t="str">
        <f t="shared" si="167"/>
        <v>CEI</v>
      </c>
      <c r="K415" s="125">
        <f t="shared" si="168"/>
        <v>6</v>
      </c>
      <c r="L415" s="125">
        <f>IF(NOT(ISERROR(VLOOKUP(B415,Deflatores!G$42:H$64,2,FALSE))),VLOOKUP(B415,Deflatores!G$42:H$64,2,FALSE),IF(OR(ISBLANK(C415),ISBLANK(B415)),"",VLOOKUP(C415,Deflatores!G$4:H$38,2,FALSE)*H415+VLOOKUP(C415,Deflatores!G$4:I$38,3,FALSE)))</f>
        <v>6</v>
      </c>
      <c r="M415" s="10"/>
      <c r="N415" s="10"/>
      <c r="O415" s="6"/>
    </row>
    <row r="416" spans="1:15">
      <c r="A416" s="142" t="s">
        <v>413</v>
      </c>
      <c r="B416" s="4" t="s">
        <v>63</v>
      </c>
      <c r="C416" s="4" t="s">
        <v>49</v>
      </c>
      <c r="D416" s="7">
        <v>4</v>
      </c>
      <c r="E416" s="7">
        <v>1</v>
      </c>
      <c r="F416" s="116" t="str">
        <f t="shared" si="163"/>
        <v>Baixa</v>
      </c>
      <c r="G416" s="7" t="str">
        <f t="shared" si="164"/>
        <v>EEL</v>
      </c>
      <c r="H416" s="7">
        <f t="shared" si="165"/>
        <v>3</v>
      </c>
      <c r="I416" s="116" t="str">
        <f t="shared" si="166"/>
        <v>L</v>
      </c>
      <c r="J416" s="7" t="str">
        <f t="shared" si="167"/>
        <v>EEI</v>
      </c>
      <c r="K416" s="125">
        <f t="shared" si="168"/>
        <v>3</v>
      </c>
      <c r="L416" s="125">
        <f>IF(NOT(ISERROR(VLOOKUP(B416,Deflatores!G$42:H$64,2,FALSE))),VLOOKUP(B416,Deflatores!G$42:H$64,2,FALSE),IF(OR(ISBLANK(C416),ISBLANK(B416)),"",VLOOKUP(C416,Deflatores!G$4:H$38,2,FALSE)*H416+VLOOKUP(C416,Deflatores!G$4:I$38,3,FALSE)))</f>
        <v>3</v>
      </c>
      <c r="M416" s="10"/>
      <c r="N416" s="10"/>
      <c r="O416" s="6"/>
    </row>
    <row r="417" spans="1:15">
      <c r="A417" s="119"/>
      <c r="B417" s="4"/>
      <c r="C417" s="4"/>
      <c r="D417" s="7"/>
      <c r="E417" s="7"/>
      <c r="F417" s="116" t="str">
        <f t="shared" si="163"/>
        <v/>
      </c>
      <c r="G417" s="7" t="str">
        <f t="shared" si="164"/>
        <v/>
      </c>
      <c r="H417" s="7" t="str">
        <f t="shared" si="165"/>
        <v/>
      </c>
      <c r="I417" s="116" t="str">
        <f t="shared" si="166"/>
        <v/>
      </c>
      <c r="J417" s="7" t="str">
        <f t="shared" si="167"/>
        <v/>
      </c>
      <c r="K417" s="125" t="str">
        <f t="shared" si="168"/>
        <v/>
      </c>
      <c r="L417" s="125" t="str">
        <f>IF(NOT(ISERROR(VLOOKUP(B417,Deflatores!G$42:H$64,2,FALSE))),VLOOKUP(B417,Deflatores!G$42:H$64,2,FALSE),IF(OR(ISBLANK(C417),ISBLANK(B417)),"",VLOOKUP(C417,Deflatores!G$4:H$38,2,FALSE)*H417+VLOOKUP(C417,Deflatores!G$4:I$38,3,FALSE)))</f>
        <v/>
      </c>
      <c r="M417" s="10"/>
      <c r="N417" s="10"/>
      <c r="O417" s="6"/>
    </row>
    <row r="418" spans="1:15">
      <c r="A418" s="141" t="s">
        <v>414</v>
      </c>
      <c r="B418" s="4"/>
      <c r="C418" s="4"/>
      <c r="D418" s="7"/>
      <c r="E418" s="7"/>
      <c r="F418" s="8" t="str">
        <f t="shared" ref="F418:F434" si="175">IF(ISBLANK(B418),"",IF(I418="L","Baixa",IF(I418="A","Média",IF(I418="","","Alta"))))</f>
        <v/>
      </c>
      <c r="G418" s="7" t="str">
        <f t="shared" ref="G418:G434" si="176">CONCATENATE(B418,I418)</f>
        <v/>
      </c>
      <c r="H418" s="5" t="str">
        <f t="shared" ref="H418:H434" si="177">IF(ISBLANK(B418),"",IF(B418="ALI",IF(I418="L",7,IF(I418="A",10,15)),IF(B418="AIE",IF(I418="L",5,IF(I418="A",7,10)),IF(B418="SE",IF(I418="L",4,IF(I418="A",5,7)),IF(OR(B418="EE",B418="CE"),IF(I418="L",3,IF(I418="A",4,6)),0)))))</f>
        <v/>
      </c>
      <c r="I418" s="116" t="str">
        <f t="shared" ref="I418:I434" si="178">IF(OR(ISBLANK(D418),ISBLANK(E418)),IF(OR(B418="ALI",B418="AIE"),"L",IF(OR(B418="EE",B418="SE",B418="CE"),"A","")),IF(B418="EE",IF(E418&gt;=3,IF(D418&gt;=5,"H","A"),IF(E418&gt;=2,IF(D418&gt;=16,"H",IF(D418&lt;=4,"L","A")),IF(D418&lt;=15,"L","A"))),IF(OR(B418="SE",B418="CE"),IF(E418&gt;=4,IF(D418&gt;=6,"H","A"),IF(E418&gt;=2,IF(D418&gt;=20,"H",IF(D418&lt;=5,"L","A")),IF(D418&lt;=19,"L","A"))),IF(OR(B418="ALI",B418="AIE"),IF(E418&gt;=6,IF(D418&gt;=20,"H","A"),IF(E418&gt;=2,IF(D418&gt;=51,"H",IF(D418&lt;=19,"L","A")),IF(D418&lt;=50,"L","A"))),""))))</f>
        <v/>
      </c>
      <c r="J418" s="7" t="str">
        <f t="shared" ref="J418:J434" si="179">CONCATENATE(B418,C418)</f>
        <v/>
      </c>
      <c r="K418" s="9" t="str">
        <f t="shared" ref="K418:K436" si="180">IF(OR(H418="",H418=0),L418,H418)</f>
        <v/>
      </c>
      <c r="L418" s="125" t="str">
        <f>IF(NOT(ISERROR(VLOOKUP(B418,Deflatores!G$42:H$64,2,FALSE))),VLOOKUP(B418,Deflatores!G$42:H$64,2,FALSE),IF(OR(ISBLANK(C418),ISBLANK(B418)),"",VLOOKUP(C418,Deflatores!G$4:H$38,2,FALSE)*H418+VLOOKUP(C418,Deflatores!G$4:I$38,3,FALSE)))</f>
        <v/>
      </c>
      <c r="M418" s="10"/>
      <c r="N418" s="10"/>
      <c r="O418" s="6"/>
    </row>
    <row r="419" spans="1:15">
      <c r="A419" s="142" t="s">
        <v>297</v>
      </c>
      <c r="B419" s="4" t="s">
        <v>63</v>
      </c>
      <c r="C419" s="4" t="s">
        <v>49</v>
      </c>
      <c r="D419" s="7">
        <v>9</v>
      </c>
      <c r="E419" s="7">
        <v>1</v>
      </c>
      <c r="F419" s="8" t="str">
        <f t="shared" si="175"/>
        <v>Baixa</v>
      </c>
      <c r="G419" s="7" t="str">
        <f t="shared" si="176"/>
        <v>EEL</v>
      </c>
      <c r="H419" s="5">
        <f t="shared" si="177"/>
        <v>3</v>
      </c>
      <c r="I419" s="116" t="str">
        <f t="shared" si="178"/>
        <v>L</v>
      </c>
      <c r="J419" s="7" t="str">
        <f t="shared" si="179"/>
        <v>EEI</v>
      </c>
      <c r="K419" s="9">
        <f t="shared" si="180"/>
        <v>3</v>
      </c>
      <c r="L419" s="125">
        <f>IF(NOT(ISERROR(VLOOKUP(B419,Deflatores!G$42:H$64,2,FALSE))),VLOOKUP(B419,Deflatores!G$42:H$64,2,FALSE),IF(OR(ISBLANK(C419),ISBLANK(B419)),"",VLOOKUP(C419,Deflatores!G$4:H$38,2,FALSE)*H419+VLOOKUP(C419,Deflatores!G$4:I$38,3,FALSE)))</f>
        <v>3</v>
      </c>
      <c r="M419" s="10"/>
      <c r="N419" s="10"/>
      <c r="O419" s="6"/>
    </row>
    <row r="420" spans="1:15">
      <c r="A420" s="142" t="s">
        <v>298</v>
      </c>
      <c r="B420" s="4" t="s">
        <v>63</v>
      </c>
      <c r="C420" s="4" t="s">
        <v>49</v>
      </c>
      <c r="D420" s="7">
        <v>9</v>
      </c>
      <c r="E420" s="7">
        <v>1</v>
      </c>
      <c r="F420" s="8" t="str">
        <f t="shared" si="175"/>
        <v>Baixa</v>
      </c>
      <c r="G420" s="7" t="str">
        <f t="shared" si="176"/>
        <v>EEL</v>
      </c>
      <c r="H420" s="5">
        <f t="shared" si="177"/>
        <v>3</v>
      </c>
      <c r="I420" s="116" t="str">
        <f t="shared" si="178"/>
        <v>L</v>
      </c>
      <c r="J420" s="7" t="str">
        <f t="shared" si="179"/>
        <v>EEI</v>
      </c>
      <c r="K420" s="9">
        <f t="shared" si="180"/>
        <v>3</v>
      </c>
      <c r="L420" s="125">
        <f>IF(NOT(ISERROR(VLOOKUP(B420,Deflatores!G$42:H$64,2,FALSE))),VLOOKUP(B420,Deflatores!G$42:H$64,2,FALSE),IF(OR(ISBLANK(C420),ISBLANK(B420)),"",VLOOKUP(C420,Deflatores!G$4:H$38,2,FALSE)*H420+VLOOKUP(C420,Deflatores!G$4:I$38,3,FALSE)))</f>
        <v>3</v>
      </c>
      <c r="M420" s="10"/>
      <c r="N420" s="10"/>
      <c r="O420" s="6"/>
    </row>
    <row r="421" spans="1:15">
      <c r="A421" s="143" t="s">
        <v>299</v>
      </c>
      <c r="B421" s="4" t="s">
        <v>44</v>
      </c>
      <c r="C421" s="4" t="s">
        <v>49</v>
      </c>
      <c r="D421" s="7">
        <v>9</v>
      </c>
      <c r="E421" s="7">
        <v>3</v>
      </c>
      <c r="F421" s="8" t="str">
        <f t="shared" si="175"/>
        <v>Média</v>
      </c>
      <c r="G421" s="7" t="str">
        <f t="shared" si="176"/>
        <v>CEA</v>
      </c>
      <c r="H421" s="5">
        <f t="shared" si="177"/>
        <v>4</v>
      </c>
      <c r="I421" s="116" t="str">
        <f t="shared" si="178"/>
        <v>A</v>
      </c>
      <c r="J421" s="7" t="str">
        <f t="shared" si="179"/>
        <v>CEI</v>
      </c>
      <c r="K421" s="9">
        <f t="shared" si="180"/>
        <v>4</v>
      </c>
      <c r="L421" s="125">
        <f>IF(NOT(ISERROR(VLOOKUP(B421,Deflatores!G$42:H$64,2,FALSE))),VLOOKUP(B421,Deflatores!G$42:H$64,2,FALSE),IF(OR(ISBLANK(C421),ISBLANK(B421)),"",VLOOKUP(C421,Deflatores!G$4:H$38,2,FALSE)*H421+VLOOKUP(C421,Deflatores!G$4:I$38,3,FALSE)))</f>
        <v>4</v>
      </c>
      <c r="M421" s="10"/>
      <c r="N421" s="10"/>
      <c r="O421" s="6"/>
    </row>
    <row r="422" spans="1:15">
      <c r="A422" s="142" t="s">
        <v>300</v>
      </c>
      <c r="B422" s="4" t="s">
        <v>44</v>
      </c>
      <c r="C422" s="4" t="s">
        <v>49</v>
      </c>
      <c r="D422" s="7">
        <v>11</v>
      </c>
      <c r="E422" s="7">
        <v>3</v>
      </c>
      <c r="F422" s="8" t="str">
        <f t="shared" si="175"/>
        <v>Média</v>
      </c>
      <c r="G422" s="7" t="str">
        <f t="shared" si="176"/>
        <v>CEA</v>
      </c>
      <c r="H422" s="5">
        <f t="shared" si="177"/>
        <v>4</v>
      </c>
      <c r="I422" s="116" t="str">
        <f t="shared" si="178"/>
        <v>A</v>
      </c>
      <c r="J422" s="7" t="str">
        <f t="shared" si="179"/>
        <v>CEI</v>
      </c>
      <c r="K422" s="9">
        <f t="shared" si="180"/>
        <v>4</v>
      </c>
      <c r="L422" s="125">
        <f>IF(NOT(ISERROR(VLOOKUP(B422,Deflatores!G$42:H$64,2,FALSE))),VLOOKUP(B422,Deflatores!G$42:H$64,2,FALSE),IF(OR(ISBLANK(C422),ISBLANK(B422)),"",VLOOKUP(C422,Deflatores!G$4:H$38,2,FALSE)*H422+VLOOKUP(C422,Deflatores!G$4:I$38,3,FALSE)))</f>
        <v>4</v>
      </c>
      <c r="M422" s="10"/>
      <c r="N422" s="10"/>
      <c r="O422" s="6"/>
    </row>
    <row r="423" spans="1:15">
      <c r="A423" s="119"/>
      <c r="B423" s="4"/>
      <c r="C423" s="4"/>
      <c r="D423" s="7"/>
      <c r="E423" s="7"/>
      <c r="F423" s="8" t="str">
        <f t="shared" si="175"/>
        <v/>
      </c>
      <c r="G423" s="7" t="str">
        <f t="shared" si="176"/>
        <v/>
      </c>
      <c r="H423" s="5" t="str">
        <f t="shared" si="177"/>
        <v/>
      </c>
      <c r="I423" s="116" t="str">
        <f t="shared" si="178"/>
        <v/>
      </c>
      <c r="J423" s="7" t="str">
        <f t="shared" si="179"/>
        <v/>
      </c>
      <c r="K423" s="9" t="str">
        <f t="shared" si="180"/>
        <v/>
      </c>
      <c r="L423" s="9" t="str">
        <f>IF(NOT(ISERROR(VLOOKUP(B423,Deflatores!G$42:H$64,2,FALSE))),VLOOKUP(B423,Deflatores!G$42:H$64,2,FALSE),IF(OR(ISBLANK(C423),ISBLANK(B423)),"",VLOOKUP(C423,Deflatores!G$4:H$38,2,FALSE)*H423+VLOOKUP(C423,Deflatores!G$4:I$38,3,FALSE)))</f>
        <v/>
      </c>
      <c r="M423" s="10"/>
      <c r="N423" s="10"/>
      <c r="O423" s="6"/>
    </row>
    <row r="424" spans="1:15" ht="21.95">
      <c r="A424" s="141" t="s">
        <v>415</v>
      </c>
      <c r="B424" s="4"/>
      <c r="C424" s="4"/>
      <c r="D424" s="7"/>
      <c r="E424" s="7"/>
      <c r="F424" s="8" t="str">
        <f t="shared" si="175"/>
        <v/>
      </c>
      <c r="G424" s="7" t="str">
        <f t="shared" si="176"/>
        <v/>
      </c>
      <c r="H424" s="5" t="str">
        <f t="shared" si="177"/>
        <v/>
      </c>
      <c r="I424" s="116" t="str">
        <f t="shared" si="178"/>
        <v/>
      </c>
      <c r="J424" s="7" t="str">
        <f t="shared" si="179"/>
        <v/>
      </c>
      <c r="K424" s="9" t="str">
        <f t="shared" si="180"/>
        <v/>
      </c>
      <c r="L424" s="9" t="str">
        <f>IF(NOT(ISERROR(VLOOKUP(B424,Deflatores!G$42:H$64,2,FALSE))),VLOOKUP(B424,Deflatores!G$42:H$64,2,FALSE),IF(OR(ISBLANK(C424),ISBLANK(B424)),"",VLOOKUP(C424,Deflatores!G$4:H$38,2,FALSE)*H424+VLOOKUP(C424,Deflatores!G$4:I$38,3,FALSE)))</f>
        <v/>
      </c>
      <c r="M424" s="10"/>
      <c r="N424" s="10"/>
      <c r="O424" s="6"/>
    </row>
    <row r="425" spans="1:15" ht="21.95">
      <c r="A425" s="119" t="s">
        <v>416</v>
      </c>
      <c r="B425" s="4" t="s">
        <v>63</v>
      </c>
      <c r="C425" s="4" t="s">
        <v>49</v>
      </c>
      <c r="D425" s="7">
        <v>4</v>
      </c>
      <c r="E425" s="7">
        <v>2</v>
      </c>
      <c r="F425" s="8" t="str">
        <f t="shared" si="175"/>
        <v>Baixa</v>
      </c>
      <c r="G425" s="7" t="str">
        <f t="shared" si="176"/>
        <v>EEL</v>
      </c>
      <c r="H425" s="5">
        <f t="shared" si="177"/>
        <v>3</v>
      </c>
      <c r="I425" s="116" t="str">
        <f t="shared" si="178"/>
        <v>L</v>
      </c>
      <c r="J425" s="7" t="str">
        <f t="shared" si="179"/>
        <v>EEI</v>
      </c>
      <c r="K425" s="9">
        <f t="shared" si="180"/>
        <v>3</v>
      </c>
      <c r="L425" s="9">
        <f>IF(NOT(ISERROR(VLOOKUP(B425,Deflatores!G$42:H$64,2,FALSE))),VLOOKUP(B425,Deflatores!G$42:H$64,2,FALSE),IF(OR(ISBLANK(C425),ISBLANK(B425)),"",VLOOKUP(C425,Deflatores!G$4:H$38,2,FALSE)*H425+VLOOKUP(C425,Deflatores!G$4:I$38,3,FALSE)))</f>
        <v>3</v>
      </c>
      <c r="M425" s="10"/>
      <c r="N425" s="10"/>
      <c r="O425" s="6"/>
    </row>
    <row r="426" spans="1:15">
      <c r="A426" s="119"/>
      <c r="B426" s="4"/>
      <c r="C426" s="4"/>
      <c r="D426" s="7"/>
      <c r="E426" s="7"/>
      <c r="F426" s="8" t="str">
        <f t="shared" si="175"/>
        <v/>
      </c>
      <c r="G426" s="7" t="str">
        <f t="shared" si="176"/>
        <v/>
      </c>
      <c r="H426" s="5" t="str">
        <f t="shared" si="177"/>
        <v/>
      </c>
      <c r="I426" s="116" t="str">
        <f t="shared" si="178"/>
        <v/>
      </c>
      <c r="J426" s="7" t="str">
        <f t="shared" si="179"/>
        <v/>
      </c>
      <c r="K426" s="9" t="str">
        <f t="shared" si="180"/>
        <v/>
      </c>
      <c r="L426" s="9" t="str">
        <f>IF(NOT(ISERROR(VLOOKUP(B426,Deflatores!G$42:H$64,2,FALSE))),VLOOKUP(B426,Deflatores!G$42:H$64,2,FALSE),IF(OR(ISBLANK(C426),ISBLANK(B426)),"",VLOOKUP(C426,Deflatores!G$4:H$38,2,FALSE)*H426+VLOOKUP(C426,Deflatores!G$4:I$38,3,FALSE)))</f>
        <v/>
      </c>
      <c r="M426" s="10"/>
      <c r="N426" s="10"/>
      <c r="O426" s="6"/>
    </row>
    <row r="427" spans="1:15">
      <c r="A427" s="119"/>
      <c r="B427" s="4"/>
      <c r="C427" s="4"/>
      <c r="D427" s="7"/>
      <c r="E427" s="7"/>
      <c r="F427" s="8" t="str">
        <f t="shared" si="175"/>
        <v/>
      </c>
      <c r="G427" s="7" t="str">
        <f t="shared" si="176"/>
        <v/>
      </c>
      <c r="H427" s="5" t="str">
        <f t="shared" si="177"/>
        <v/>
      </c>
      <c r="I427" s="116" t="str">
        <f t="shared" si="178"/>
        <v/>
      </c>
      <c r="J427" s="7" t="str">
        <f t="shared" si="179"/>
        <v/>
      </c>
      <c r="K427" s="9" t="str">
        <f t="shared" si="180"/>
        <v/>
      </c>
      <c r="L427" s="9" t="str">
        <f>IF(NOT(ISERROR(VLOOKUP(B427,Deflatores!G$42:H$64,2,FALSE))),VLOOKUP(B427,Deflatores!G$42:H$64,2,FALSE),IF(OR(ISBLANK(C427),ISBLANK(B427)),"",VLOOKUP(C427,Deflatores!G$4:H$38,2,FALSE)*H427+VLOOKUP(C427,Deflatores!G$4:I$38,3,FALSE)))</f>
        <v/>
      </c>
      <c r="M427" s="10"/>
      <c r="N427" s="10"/>
      <c r="O427" s="6"/>
    </row>
    <row r="428" spans="1:15">
      <c r="A428" s="119"/>
      <c r="B428" s="4"/>
      <c r="C428" s="4"/>
      <c r="D428" s="7"/>
      <c r="E428" s="7"/>
      <c r="F428" s="8" t="str">
        <f t="shared" si="175"/>
        <v/>
      </c>
      <c r="G428" s="7" t="str">
        <f t="shared" si="176"/>
        <v/>
      </c>
      <c r="H428" s="5" t="str">
        <f t="shared" si="177"/>
        <v/>
      </c>
      <c r="I428" s="116" t="str">
        <f t="shared" si="178"/>
        <v/>
      </c>
      <c r="J428" s="7" t="str">
        <f t="shared" si="179"/>
        <v/>
      </c>
      <c r="K428" s="9" t="str">
        <f t="shared" si="180"/>
        <v/>
      </c>
      <c r="L428" s="9" t="str">
        <f>IF(NOT(ISERROR(VLOOKUP(B428,Deflatores!G$42:H$64,2,FALSE))),VLOOKUP(B428,Deflatores!G$42:H$64,2,FALSE),IF(OR(ISBLANK(C428),ISBLANK(B428)),"",VLOOKUP(C428,Deflatores!G$4:H$38,2,FALSE)*H428+VLOOKUP(C428,Deflatores!G$4:I$38,3,FALSE)))</f>
        <v/>
      </c>
      <c r="M428" s="10"/>
      <c r="N428" s="10"/>
      <c r="O428" s="6"/>
    </row>
    <row r="429" spans="1:15">
      <c r="A429" s="119"/>
      <c r="B429" s="4"/>
      <c r="C429" s="4"/>
      <c r="D429" s="7"/>
      <c r="E429" s="7"/>
      <c r="F429" s="8" t="str">
        <f t="shared" si="175"/>
        <v/>
      </c>
      <c r="G429" s="7" t="str">
        <f t="shared" si="176"/>
        <v/>
      </c>
      <c r="H429" s="5" t="str">
        <f t="shared" si="177"/>
        <v/>
      </c>
      <c r="I429" s="116" t="str">
        <f t="shared" si="178"/>
        <v/>
      </c>
      <c r="J429" s="7" t="str">
        <f t="shared" si="179"/>
        <v/>
      </c>
      <c r="K429" s="9" t="str">
        <f t="shared" si="180"/>
        <v/>
      </c>
      <c r="L429" s="9" t="str">
        <f>IF(NOT(ISERROR(VLOOKUP(B429,Deflatores!G$42:H$64,2,FALSE))),VLOOKUP(B429,Deflatores!G$42:H$64,2,FALSE),IF(OR(ISBLANK(C429),ISBLANK(B429)),"",VLOOKUP(C429,Deflatores!G$4:H$38,2,FALSE)*H429+VLOOKUP(C429,Deflatores!G$4:I$38,3,FALSE)))</f>
        <v/>
      </c>
      <c r="M429" s="10"/>
      <c r="N429" s="10"/>
      <c r="O429" s="6"/>
    </row>
    <row r="430" spans="1:15">
      <c r="A430" s="119"/>
      <c r="B430" s="4"/>
      <c r="C430" s="4"/>
      <c r="D430" s="7"/>
      <c r="E430" s="7"/>
      <c r="F430" s="8" t="str">
        <f t="shared" si="175"/>
        <v/>
      </c>
      <c r="G430" s="7" t="str">
        <f t="shared" si="176"/>
        <v/>
      </c>
      <c r="H430" s="5" t="str">
        <f t="shared" si="177"/>
        <v/>
      </c>
      <c r="I430" s="116" t="str">
        <f t="shared" si="178"/>
        <v/>
      </c>
      <c r="J430" s="7" t="str">
        <f t="shared" si="179"/>
        <v/>
      </c>
      <c r="K430" s="9" t="str">
        <f t="shared" si="180"/>
        <v/>
      </c>
      <c r="L430" s="9" t="str">
        <f>IF(NOT(ISERROR(VLOOKUP(B430,Deflatores!G$42:H$64,2,FALSE))),VLOOKUP(B430,Deflatores!G$42:H$64,2,FALSE),IF(OR(ISBLANK(C430),ISBLANK(B430)),"",VLOOKUP(C430,Deflatores!G$4:H$38,2,FALSE)*H430+VLOOKUP(C430,Deflatores!G$4:I$38,3,FALSE)))</f>
        <v/>
      </c>
      <c r="M430" s="10"/>
      <c r="N430" s="10"/>
      <c r="O430" s="6"/>
    </row>
    <row r="431" spans="1:15">
      <c r="A431" s="119"/>
      <c r="B431" s="4"/>
      <c r="C431" s="4"/>
      <c r="D431" s="7"/>
      <c r="E431" s="7"/>
      <c r="F431" s="8" t="str">
        <f t="shared" si="175"/>
        <v/>
      </c>
      <c r="G431" s="7" t="str">
        <f t="shared" si="176"/>
        <v/>
      </c>
      <c r="H431" s="5" t="str">
        <f t="shared" si="177"/>
        <v/>
      </c>
      <c r="I431" s="116" t="str">
        <f t="shared" si="178"/>
        <v/>
      </c>
      <c r="J431" s="7" t="str">
        <f t="shared" si="179"/>
        <v/>
      </c>
      <c r="K431" s="9" t="str">
        <f t="shared" si="180"/>
        <v/>
      </c>
      <c r="L431" s="9" t="str">
        <f>IF(NOT(ISERROR(VLOOKUP(B431,Deflatores!G$42:H$64,2,FALSE))),VLOOKUP(B431,Deflatores!G$42:H$64,2,FALSE),IF(OR(ISBLANK(C431),ISBLANK(B431)),"",VLOOKUP(C431,Deflatores!G$4:H$38,2,FALSE)*H431+VLOOKUP(C431,Deflatores!G$4:I$38,3,FALSE)))</f>
        <v/>
      </c>
      <c r="M431" s="10"/>
      <c r="N431" s="10"/>
      <c r="O431" s="6"/>
    </row>
    <row r="432" spans="1:15">
      <c r="A432" s="119"/>
      <c r="B432" s="4"/>
      <c r="C432" s="4"/>
      <c r="D432" s="7"/>
      <c r="E432" s="7"/>
      <c r="F432" s="8" t="str">
        <f t="shared" si="175"/>
        <v/>
      </c>
      <c r="G432" s="7" t="str">
        <f t="shared" si="176"/>
        <v/>
      </c>
      <c r="H432" s="5" t="str">
        <f t="shared" si="177"/>
        <v/>
      </c>
      <c r="I432" s="116" t="str">
        <f t="shared" si="178"/>
        <v/>
      </c>
      <c r="J432" s="7" t="str">
        <f t="shared" si="179"/>
        <v/>
      </c>
      <c r="K432" s="9" t="str">
        <f t="shared" si="180"/>
        <v/>
      </c>
      <c r="L432" s="9" t="str">
        <f>IF(NOT(ISERROR(VLOOKUP(B432,Deflatores!G$42:H$64,2,FALSE))),VLOOKUP(B432,Deflatores!G$42:H$64,2,FALSE),IF(OR(ISBLANK(C432),ISBLANK(B432)),"",VLOOKUP(C432,Deflatores!G$4:H$38,2,FALSE)*H432+VLOOKUP(C432,Deflatores!G$4:I$38,3,FALSE)))</f>
        <v/>
      </c>
      <c r="M432" s="10"/>
      <c r="N432" s="10"/>
      <c r="O432" s="6"/>
    </row>
    <row r="433" spans="1:15">
      <c r="A433" s="119"/>
      <c r="B433" s="4"/>
      <c r="C433" s="4"/>
      <c r="D433" s="7"/>
      <c r="E433" s="7"/>
      <c r="F433" s="8" t="str">
        <f t="shared" si="175"/>
        <v/>
      </c>
      <c r="G433" s="7" t="str">
        <f t="shared" si="176"/>
        <v/>
      </c>
      <c r="H433" s="5" t="str">
        <f t="shared" si="177"/>
        <v/>
      </c>
      <c r="I433" s="116" t="str">
        <f t="shared" si="178"/>
        <v/>
      </c>
      <c r="J433" s="7" t="str">
        <f t="shared" si="179"/>
        <v/>
      </c>
      <c r="K433" s="9" t="str">
        <f t="shared" si="180"/>
        <v/>
      </c>
      <c r="L433" s="9" t="str">
        <f>IF(NOT(ISERROR(VLOOKUP(B433,Deflatores!G$42:H$64,2,FALSE))),VLOOKUP(B433,Deflatores!G$42:H$64,2,FALSE),IF(OR(ISBLANK(C433),ISBLANK(B433)),"",VLOOKUP(C433,Deflatores!G$4:H$38,2,FALSE)*H433+VLOOKUP(C433,Deflatores!G$4:I$38,3,FALSE)))</f>
        <v/>
      </c>
      <c r="M433" s="10"/>
      <c r="N433" s="10"/>
      <c r="O433" s="6"/>
    </row>
    <row r="434" spans="1:15">
      <c r="A434" s="119"/>
      <c r="B434" s="4"/>
      <c r="C434" s="4"/>
      <c r="D434" s="7"/>
      <c r="E434" s="7"/>
      <c r="F434" s="8" t="str">
        <f t="shared" si="175"/>
        <v/>
      </c>
      <c r="G434" s="7" t="str">
        <f t="shared" si="176"/>
        <v/>
      </c>
      <c r="H434" s="5" t="str">
        <f t="shared" si="177"/>
        <v/>
      </c>
      <c r="I434" s="116" t="str">
        <f t="shared" si="178"/>
        <v/>
      </c>
      <c r="J434" s="7" t="str">
        <f t="shared" si="179"/>
        <v/>
      </c>
      <c r="K434" s="9" t="str">
        <f t="shared" si="180"/>
        <v/>
      </c>
      <c r="L434" s="9" t="str">
        <f>IF(NOT(ISERROR(VLOOKUP(B434,Deflatores!G$42:H$64,2,FALSE))),VLOOKUP(B434,Deflatores!G$42:H$64,2,FALSE),IF(OR(ISBLANK(C434),ISBLANK(B434)),"",VLOOKUP(C434,Deflatores!G$4:H$38,2,FALSE)*H434+VLOOKUP(C434,Deflatores!G$4:I$38,3,FALSE)))</f>
        <v/>
      </c>
      <c r="M434" s="10"/>
      <c r="N434" s="10"/>
      <c r="O434" s="6"/>
    </row>
    <row r="435" spans="1:15">
      <c r="A435" s="119"/>
      <c r="B435" s="4"/>
      <c r="C435" s="4"/>
      <c r="D435" s="7"/>
      <c r="E435" s="7"/>
      <c r="F435" s="8" t="str">
        <f t="shared" ref="F435:F498" si="181">IF(ISBLANK(B435),"",IF(I435="L","Baixa",IF(I435="A","Média",IF(I435="","","Alta"))))</f>
        <v/>
      </c>
      <c r="G435" s="7" t="str">
        <f t="shared" ref="G435:G498" si="182">CONCATENATE(B435,I435)</f>
        <v/>
      </c>
      <c r="H435" s="5" t="str">
        <f t="shared" ref="H435:H498" si="183">IF(ISBLANK(B435),"",IF(B435="ALI",IF(I435="L",7,IF(I435="A",10,15)),IF(B435="AIE",IF(I435="L",5,IF(I435="A",7,10)),IF(B435="SE",IF(I435="L",4,IF(I435="A",5,7)),IF(OR(B435="EE",B435="CE"),IF(I435="L",3,IF(I435="A",4,6)),0)))))</f>
        <v/>
      </c>
      <c r="I435" s="116" t="str">
        <f t="shared" ref="I435:I498" si="184">IF(OR(ISBLANK(D435),ISBLANK(E435)),IF(OR(B435="ALI",B435="AIE"),"L",IF(OR(B435="EE",B435="SE",B435="CE"),"A","")),IF(B435="EE",IF(E435&gt;=3,IF(D435&gt;=5,"H","A"),IF(E435&gt;=2,IF(D435&gt;=16,"H",IF(D435&lt;=4,"L","A")),IF(D435&lt;=15,"L","A"))),IF(OR(B435="SE",B435="CE"),IF(E435&gt;=4,IF(D435&gt;=6,"H","A"),IF(E435&gt;=2,IF(D435&gt;=20,"H",IF(D435&lt;=5,"L","A")),IF(D435&lt;=19,"L","A"))),IF(OR(B435="ALI",B435="AIE"),IF(E435&gt;=6,IF(D435&gt;=20,"H","A"),IF(E435&gt;=2,IF(D435&gt;=51,"H",IF(D435&lt;=19,"L","A")),IF(D435&lt;=50,"L","A"))),""))))</f>
        <v/>
      </c>
      <c r="J435" s="7" t="str">
        <f t="shared" ref="J435:J498" si="185">CONCATENATE(B435,C435)</f>
        <v/>
      </c>
      <c r="K435" s="9" t="str">
        <f t="shared" si="180"/>
        <v/>
      </c>
      <c r="L435" s="9" t="str">
        <f>IF(NOT(ISERROR(VLOOKUP(B435,Deflatores!G$42:H$64,2,FALSE))),VLOOKUP(B435,Deflatores!G$42:H$64,2,FALSE),IF(OR(ISBLANK(C435),ISBLANK(B435)),"",VLOOKUP(C435,Deflatores!G$4:H$38,2,FALSE)*H435+VLOOKUP(C435,Deflatores!G$4:I$38,3,FALSE)))</f>
        <v/>
      </c>
      <c r="M435" s="10"/>
      <c r="N435" s="10"/>
      <c r="O435" s="6"/>
    </row>
    <row r="436" spans="1:15">
      <c r="A436" s="119"/>
      <c r="B436" s="4"/>
      <c r="C436" s="4"/>
      <c r="D436" s="7"/>
      <c r="E436" s="7"/>
      <c r="F436" s="8" t="str">
        <f t="shared" si="181"/>
        <v/>
      </c>
      <c r="G436" s="7" t="str">
        <f t="shared" si="182"/>
        <v/>
      </c>
      <c r="H436" s="5" t="str">
        <f t="shared" si="183"/>
        <v/>
      </c>
      <c r="I436" s="116" t="str">
        <f t="shared" si="184"/>
        <v/>
      </c>
      <c r="J436" s="7" t="str">
        <f t="shared" si="185"/>
        <v/>
      </c>
      <c r="K436" s="9" t="str">
        <f t="shared" si="180"/>
        <v/>
      </c>
      <c r="L436" s="9" t="str">
        <f>IF(NOT(ISERROR(VLOOKUP(B436,Deflatores!G$42:H$64,2,FALSE))),VLOOKUP(B436,Deflatores!G$42:H$64,2,FALSE),IF(OR(ISBLANK(C436),ISBLANK(B436)),"",VLOOKUP(C436,Deflatores!G$4:H$38,2,FALSE)*H436+VLOOKUP(C436,Deflatores!G$4:I$38,3,FALSE)))</f>
        <v/>
      </c>
      <c r="M436" s="10"/>
      <c r="N436" s="10"/>
      <c r="O436" s="6"/>
    </row>
    <row r="437" spans="1:15">
      <c r="A437" s="119"/>
      <c r="B437" s="4"/>
      <c r="C437" s="4"/>
      <c r="D437" s="7"/>
      <c r="E437" s="7"/>
      <c r="F437" s="8" t="str">
        <f t="shared" si="181"/>
        <v/>
      </c>
      <c r="G437" s="7" t="str">
        <f t="shared" si="182"/>
        <v/>
      </c>
      <c r="H437" s="5" t="str">
        <f t="shared" si="183"/>
        <v/>
      </c>
      <c r="I437" s="116" t="str">
        <f t="shared" si="184"/>
        <v/>
      </c>
      <c r="J437" s="7" t="str">
        <f t="shared" si="185"/>
        <v/>
      </c>
      <c r="K437" s="9" t="str">
        <f t="shared" ref="K437:K500" si="186">IF(OR(H437="",H437=0),L437,H437)</f>
        <v/>
      </c>
      <c r="L437" s="9" t="str">
        <f>IF(NOT(ISERROR(VLOOKUP(B437,Deflatores!G$42:H$64,2,FALSE))),VLOOKUP(B437,Deflatores!G$42:H$64,2,FALSE),IF(OR(ISBLANK(C437),ISBLANK(B437)),"",VLOOKUP(C437,Deflatores!G$4:H$38,2,FALSE)*H437+VLOOKUP(C437,Deflatores!G$4:I$38,3,FALSE)))</f>
        <v/>
      </c>
      <c r="M437" s="10"/>
      <c r="N437" s="10"/>
      <c r="O437" s="6"/>
    </row>
    <row r="438" spans="1:15">
      <c r="A438" s="119"/>
      <c r="B438" s="4"/>
      <c r="C438" s="4"/>
      <c r="D438" s="7"/>
      <c r="E438" s="7"/>
      <c r="F438" s="8" t="str">
        <f t="shared" si="181"/>
        <v/>
      </c>
      <c r="G438" s="7" t="str">
        <f t="shared" si="182"/>
        <v/>
      </c>
      <c r="H438" s="5" t="str">
        <f t="shared" si="183"/>
        <v/>
      </c>
      <c r="I438" s="116" t="str">
        <f t="shared" si="184"/>
        <v/>
      </c>
      <c r="J438" s="7" t="str">
        <f t="shared" si="185"/>
        <v/>
      </c>
      <c r="K438" s="9" t="str">
        <f t="shared" si="186"/>
        <v/>
      </c>
      <c r="L438" s="9" t="str">
        <f>IF(NOT(ISERROR(VLOOKUP(B438,Deflatores!G$42:H$64,2,FALSE))),VLOOKUP(B438,Deflatores!G$42:H$64,2,FALSE),IF(OR(ISBLANK(C438),ISBLANK(B438)),"",VLOOKUP(C438,Deflatores!G$4:H$38,2,FALSE)*H438+VLOOKUP(C438,Deflatores!G$4:I$38,3,FALSE)))</f>
        <v/>
      </c>
      <c r="M438" s="10"/>
      <c r="N438" s="10"/>
      <c r="O438" s="6"/>
    </row>
    <row r="439" spans="1:15">
      <c r="A439" s="119"/>
      <c r="B439" s="4"/>
      <c r="C439" s="4"/>
      <c r="D439" s="7"/>
      <c r="E439" s="7"/>
      <c r="F439" s="8" t="str">
        <f t="shared" si="181"/>
        <v/>
      </c>
      <c r="G439" s="7" t="str">
        <f t="shared" si="182"/>
        <v/>
      </c>
      <c r="H439" s="5" t="str">
        <f t="shared" si="183"/>
        <v/>
      </c>
      <c r="I439" s="116" t="str">
        <f t="shared" si="184"/>
        <v/>
      </c>
      <c r="J439" s="7" t="str">
        <f t="shared" si="185"/>
        <v/>
      </c>
      <c r="K439" s="9" t="str">
        <f t="shared" si="186"/>
        <v/>
      </c>
      <c r="L439" s="9" t="str">
        <f>IF(NOT(ISERROR(VLOOKUP(B439,Deflatores!G$42:H$64,2,FALSE))),VLOOKUP(B439,Deflatores!G$42:H$64,2,FALSE),IF(OR(ISBLANK(C439),ISBLANK(B439)),"",VLOOKUP(C439,Deflatores!G$4:H$38,2,FALSE)*H439+VLOOKUP(C439,Deflatores!G$4:I$38,3,FALSE)))</f>
        <v/>
      </c>
      <c r="M439" s="10"/>
      <c r="N439" s="10"/>
      <c r="O439" s="6"/>
    </row>
    <row r="440" spans="1:15">
      <c r="A440" s="119"/>
      <c r="B440" s="4"/>
      <c r="C440" s="4"/>
      <c r="D440" s="7"/>
      <c r="E440" s="7"/>
      <c r="F440" s="8" t="str">
        <f t="shared" si="181"/>
        <v/>
      </c>
      <c r="G440" s="7" t="str">
        <f t="shared" si="182"/>
        <v/>
      </c>
      <c r="H440" s="5" t="str">
        <f t="shared" si="183"/>
        <v/>
      </c>
      <c r="I440" s="116" t="str">
        <f t="shared" si="184"/>
        <v/>
      </c>
      <c r="J440" s="7" t="str">
        <f t="shared" si="185"/>
        <v/>
      </c>
      <c r="K440" s="9" t="str">
        <f t="shared" si="186"/>
        <v/>
      </c>
      <c r="L440" s="9" t="str">
        <f>IF(NOT(ISERROR(VLOOKUP(B440,Deflatores!G$42:H$64,2,FALSE))),VLOOKUP(B440,Deflatores!G$42:H$64,2,FALSE),IF(OR(ISBLANK(C440),ISBLANK(B440)),"",VLOOKUP(C440,Deflatores!G$4:H$38,2,FALSE)*H440+VLOOKUP(C440,Deflatores!G$4:I$38,3,FALSE)))</f>
        <v/>
      </c>
      <c r="M440" s="10"/>
      <c r="N440" s="10"/>
      <c r="O440" s="6"/>
    </row>
    <row r="441" spans="1:15">
      <c r="A441" s="119"/>
      <c r="B441" s="4"/>
      <c r="C441" s="4"/>
      <c r="D441" s="7"/>
      <c r="E441" s="7"/>
      <c r="F441" s="8" t="str">
        <f t="shared" si="181"/>
        <v/>
      </c>
      <c r="G441" s="7" t="str">
        <f t="shared" si="182"/>
        <v/>
      </c>
      <c r="H441" s="5" t="str">
        <f t="shared" si="183"/>
        <v/>
      </c>
      <c r="I441" s="116" t="str">
        <f t="shared" si="184"/>
        <v/>
      </c>
      <c r="J441" s="7" t="str">
        <f t="shared" si="185"/>
        <v/>
      </c>
      <c r="K441" s="9" t="str">
        <f t="shared" si="186"/>
        <v/>
      </c>
      <c r="L441" s="9" t="str">
        <f>IF(NOT(ISERROR(VLOOKUP(B441,Deflatores!G$42:H$64,2,FALSE))),VLOOKUP(B441,Deflatores!G$42:H$64,2,FALSE),IF(OR(ISBLANK(C441),ISBLANK(B441)),"",VLOOKUP(C441,Deflatores!G$4:H$38,2,FALSE)*H441+VLOOKUP(C441,Deflatores!G$4:I$38,3,FALSE)))</f>
        <v/>
      </c>
      <c r="M441" s="10"/>
      <c r="N441" s="10"/>
      <c r="O441" s="6"/>
    </row>
    <row r="442" spans="1:15">
      <c r="A442" s="119"/>
      <c r="B442" s="4"/>
      <c r="C442" s="4"/>
      <c r="D442" s="7"/>
      <c r="E442" s="7"/>
      <c r="F442" s="8" t="str">
        <f t="shared" si="181"/>
        <v/>
      </c>
      <c r="G442" s="7" t="str">
        <f t="shared" si="182"/>
        <v/>
      </c>
      <c r="H442" s="5" t="str">
        <f t="shared" si="183"/>
        <v/>
      </c>
      <c r="I442" s="116" t="str">
        <f t="shared" si="184"/>
        <v/>
      </c>
      <c r="J442" s="7" t="str">
        <f t="shared" si="185"/>
        <v/>
      </c>
      <c r="K442" s="9" t="str">
        <f t="shared" si="186"/>
        <v/>
      </c>
      <c r="L442" s="9" t="str">
        <f>IF(NOT(ISERROR(VLOOKUP(B442,Deflatores!G$42:H$64,2,FALSE))),VLOOKUP(B442,Deflatores!G$42:H$64,2,FALSE),IF(OR(ISBLANK(C442),ISBLANK(B442)),"",VLOOKUP(C442,Deflatores!G$4:H$38,2,FALSE)*H442+VLOOKUP(C442,Deflatores!G$4:I$38,3,FALSE)))</f>
        <v/>
      </c>
      <c r="M442" s="10"/>
      <c r="N442" s="10"/>
      <c r="O442" s="6"/>
    </row>
    <row r="443" spans="1:15">
      <c r="A443" s="119"/>
      <c r="B443" s="4"/>
      <c r="C443" s="4"/>
      <c r="D443" s="7"/>
      <c r="E443" s="7"/>
      <c r="F443" s="8" t="str">
        <f t="shared" si="181"/>
        <v/>
      </c>
      <c r="G443" s="7" t="str">
        <f t="shared" si="182"/>
        <v/>
      </c>
      <c r="H443" s="5" t="str">
        <f t="shared" si="183"/>
        <v/>
      </c>
      <c r="I443" s="116" t="str">
        <f t="shared" si="184"/>
        <v/>
      </c>
      <c r="J443" s="7" t="str">
        <f t="shared" si="185"/>
        <v/>
      </c>
      <c r="K443" s="9" t="str">
        <f t="shared" si="186"/>
        <v/>
      </c>
      <c r="L443" s="9" t="str">
        <f>IF(NOT(ISERROR(VLOOKUP(B443,Deflatores!G$42:H$64,2,FALSE))),VLOOKUP(B443,Deflatores!G$42:H$64,2,FALSE),IF(OR(ISBLANK(C443),ISBLANK(B443)),"",VLOOKUP(C443,Deflatores!G$4:H$38,2,FALSE)*H443+VLOOKUP(C443,Deflatores!G$4:I$38,3,FALSE)))</f>
        <v/>
      </c>
      <c r="M443" s="10"/>
      <c r="N443" s="10"/>
      <c r="O443" s="6"/>
    </row>
    <row r="444" spans="1:15">
      <c r="A444" s="119"/>
      <c r="B444" s="4"/>
      <c r="C444" s="4"/>
      <c r="D444" s="7"/>
      <c r="E444" s="7"/>
      <c r="F444" s="8" t="str">
        <f t="shared" si="181"/>
        <v/>
      </c>
      <c r="G444" s="7" t="str">
        <f t="shared" si="182"/>
        <v/>
      </c>
      <c r="H444" s="5" t="str">
        <f t="shared" si="183"/>
        <v/>
      </c>
      <c r="I444" s="116" t="str">
        <f t="shared" si="184"/>
        <v/>
      </c>
      <c r="J444" s="7" t="str">
        <f t="shared" si="185"/>
        <v/>
      </c>
      <c r="K444" s="9" t="str">
        <f t="shared" si="186"/>
        <v/>
      </c>
      <c r="L444" s="9" t="str">
        <f>IF(NOT(ISERROR(VLOOKUP(B444,Deflatores!G$42:H$64,2,FALSE))),VLOOKUP(B444,Deflatores!G$42:H$64,2,FALSE),IF(OR(ISBLANK(C444),ISBLANK(B444)),"",VLOOKUP(C444,Deflatores!G$4:H$38,2,FALSE)*H444+VLOOKUP(C444,Deflatores!G$4:I$38,3,FALSE)))</f>
        <v/>
      </c>
      <c r="M444" s="10"/>
      <c r="N444" s="10"/>
      <c r="O444" s="6"/>
    </row>
    <row r="445" spans="1:15">
      <c r="A445" s="119"/>
      <c r="B445" s="4"/>
      <c r="C445" s="4"/>
      <c r="D445" s="7"/>
      <c r="E445" s="7"/>
      <c r="F445" s="8" t="str">
        <f t="shared" si="181"/>
        <v/>
      </c>
      <c r="G445" s="7" t="str">
        <f t="shared" si="182"/>
        <v/>
      </c>
      <c r="H445" s="5" t="str">
        <f t="shared" si="183"/>
        <v/>
      </c>
      <c r="I445" s="116" t="str">
        <f t="shared" si="184"/>
        <v/>
      </c>
      <c r="J445" s="7" t="str">
        <f t="shared" si="185"/>
        <v/>
      </c>
      <c r="K445" s="9" t="str">
        <f t="shared" si="186"/>
        <v/>
      </c>
      <c r="L445" s="9" t="str">
        <f>IF(NOT(ISERROR(VLOOKUP(B445,Deflatores!G$42:H$64,2,FALSE))),VLOOKUP(B445,Deflatores!G$42:H$64,2,FALSE),IF(OR(ISBLANK(C445),ISBLANK(B445)),"",VLOOKUP(C445,Deflatores!G$4:H$38,2,FALSE)*H445+VLOOKUP(C445,Deflatores!G$4:I$38,3,FALSE)))</f>
        <v/>
      </c>
      <c r="M445" s="10"/>
      <c r="N445" s="10"/>
      <c r="O445" s="6"/>
    </row>
    <row r="446" spans="1:15">
      <c r="A446" s="119"/>
      <c r="B446" s="4"/>
      <c r="C446" s="4"/>
      <c r="D446" s="7"/>
      <c r="E446" s="7"/>
      <c r="F446" s="8" t="str">
        <f t="shared" si="181"/>
        <v/>
      </c>
      <c r="G446" s="7" t="str">
        <f t="shared" si="182"/>
        <v/>
      </c>
      <c r="H446" s="5" t="str">
        <f t="shared" si="183"/>
        <v/>
      </c>
      <c r="I446" s="116" t="str">
        <f t="shared" si="184"/>
        <v/>
      </c>
      <c r="J446" s="7" t="str">
        <f t="shared" si="185"/>
        <v/>
      </c>
      <c r="K446" s="9" t="str">
        <f t="shared" si="186"/>
        <v/>
      </c>
      <c r="L446" s="9" t="str">
        <f>IF(NOT(ISERROR(VLOOKUP(B446,Deflatores!G$42:H$64,2,FALSE))),VLOOKUP(B446,Deflatores!G$42:H$64,2,FALSE),IF(OR(ISBLANK(C446),ISBLANK(B446)),"",VLOOKUP(C446,Deflatores!G$4:H$38,2,FALSE)*H446+VLOOKUP(C446,Deflatores!G$4:I$38,3,FALSE)))</f>
        <v/>
      </c>
      <c r="M446" s="10"/>
      <c r="N446" s="10"/>
      <c r="O446" s="6"/>
    </row>
    <row r="447" spans="1:15">
      <c r="A447" s="119"/>
      <c r="B447" s="4"/>
      <c r="C447" s="4"/>
      <c r="D447" s="7"/>
      <c r="E447" s="7"/>
      <c r="F447" s="8" t="str">
        <f t="shared" si="181"/>
        <v/>
      </c>
      <c r="G447" s="7" t="str">
        <f t="shared" si="182"/>
        <v/>
      </c>
      <c r="H447" s="5" t="str">
        <f t="shared" si="183"/>
        <v/>
      </c>
      <c r="I447" s="116" t="str">
        <f t="shared" si="184"/>
        <v/>
      </c>
      <c r="J447" s="7" t="str">
        <f t="shared" si="185"/>
        <v/>
      </c>
      <c r="K447" s="9" t="str">
        <f t="shared" si="186"/>
        <v/>
      </c>
      <c r="L447" s="9" t="str">
        <f>IF(NOT(ISERROR(VLOOKUP(B447,Deflatores!G$42:H$64,2,FALSE))),VLOOKUP(B447,Deflatores!G$42:H$64,2,FALSE),IF(OR(ISBLANK(C447),ISBLANK(B447)),"",VLOOKUP(C447,Deflatores!G$4:H$38,2,FALSE)*H447+VLOOKUP(C447,Deflatores!G$4:I$38,3,FALSE)))</f>
        <v/>
      </c>
      <c r="M447" s="10"/>
      <c r="N447" s="10"/>
      <c r="O447" s="6"/>
    </row>
    <row r="448" spans="1:15">
      <c r="A448" s="119"/>
      <c r="B448" s="4"/>
      <c r="C448" s="4"/>
      <c r="D448" s="7"/>
      <c r="E448" s="7"/>
      <c r="F448" s="8" t="str">
        <f t="shared" si="181"/>
        <v/>
      </c>
      <c r="G448" s="7" t="str">
        <f t="shared" si="182"/>
        <v/>
      </c>
      <c r="H448" s="5" t="str">
        <f t="shared" si="183"/>
        <v/>
      </c>
      <c r="I448" s="116" t="str">
        <f t="shared" si="184"/>
        <v/>
      </c>
      <c r="J448" s="7" t="str">
        <f t="shared" si="185"/>
        <v/>
      </c>
      <c r="K448" s="9" t="str">
        <f t="shared" si="186"/>
        <v/>
      </c>
      <c r="L448" s="9" t="str">
        <f>IF(NOT(ISERROR(VLOOKUP(B448,Deflatores!G$42:H$64,2,FALSE))),VLOOKUP(B448,Deflatores!G$42:H$64,2,FALSE),IF(OR(ISBLANK(C448),ISBLANK(B448)),"",VLOOKUP(C448,Deflatores!G$4:H$38,2,FALSE)*H448+VLOOKUP(C448,Deflatores!G$4:I$38,3,FALSE)))</f>
        <v/>
      </c>
      <c r="M448" s="10"/>
      <c r="N448" s="10"/>
      <c r="O448" s="6"/>
    </row>
    <row r="449" spans="1:15">
      <c r="A449" s="119"/>
      <c r="B449" s="4"/>
      <c r="C449" s="4"/>
      <c r="D449" s="7"/>
      <c r="E449" s="7"/>
      <c r="F449" s="8" t="str">
        <f t="shared" si="181"/>
        <v/>
      </c>
      <c r="G449" s="7" t="str">
        <f t="shared" si="182"/>
        <v/>
      </c>
      <c r="H449" s="5" t="str">
        <f t="shared" si="183"/>
        <v/>
      </c>
      <c r="I449" s="116" t="str">
        <f t="shared" si="184"/>
        <v/>
      </c>
      <c r="J449" s="7" t="str">
        <f t="shared" si="185"/>
        <v/>
      </c>
      <c r="K449" s="9" t="str">
        <f t="shared" si="186"/>
        <v/>
      </c>
      <c r="L449" s="9" t="str">
        <f>IF(NOT(ISERROR(VLOOKUP(B449,Deflatores!G$42:H$64,2,FALSE))),VLOOKUP(B449,Deflatores!G$42:H$64,2,FALSE),IF(OR(ISBLANK(C449),ISBLANK(B449)),"",VLOOKUP(C449,Deflatores!G$4:H$38,2,FALSE)*H449+VLOOKUP(C449,Deflatores!G$4:I$38,3,FALSE)))</f>
        <v/>
      </c>
      <c r="M449" s="10"/>
      <c r="N449" s="10"/>
      <c r="O449" s="6"/>
    </row>
    <row r="450" spans="1:15">
      <c r="A450" s="119"/>
      <c r="B450" s="4"/>
      <c r="C450" s="4"/>
      <c r="D450" s="7"/>
      <c r="E450" s="7"/>
      <c r="F450" s="8" t="str">
        <f t="shared" si="181"/>
        <v/>
      </c>
      <c r="G450" s="7" t="str">
        <f t="shared" si="182"/>
        <v/>
      </c>
      <c r="H450" s="5" t="str">
        <f t="shared" si="183"/>
        <v/>
      </c>
      <c r="I450" s="116" t="str">
        <f t="shared" si="184"/>
        <v/>
      </c>
      <c r="J450" s="7" t="str">
        <f t="shared" si="185"/>
        <v/>
      </c>
      <c r="K450" s="9" t="str">
        <f t="shared" si="186"/>
        <v/>
      </c>
      <c r="L450" s="9" t="str">
        <f>IF(NOT(ISERROR(VLOOKUP(B450,Deflatores!G$42:H$64,2,FALSE))),VLOOKUP(B450,Deflatores!G$42:H$64,2,FALSE),IF(OR(ISBLANK(C450),ISBLANK(B450)),"",VLOOKUP(C450,Deflatores!G$4:H$38,2,FALSE)*H450+VLOOKUP(C450,Deflatores!G$4:I$38,3,FALSE)))</f>
        <v/>
      </c>
      <c r="M450" s="10"/>
      <c r="N450" s="10"/>
      <c r="O450" s="6"/>
    </row>
    <row r="451" spans="1:15">
      <c r="A451" s="119"/>
      <c r="B451" s="4"/>
      <c r="C451" s="4"/>
      <c r="D451" s="7"/>
      <c r="E451" s="7"/>
      <c r="F451" s="8" t="str">
        <f t="shared" si="181"/>
        <v/>
      </c>
      <c r="G451" s="7" t="str">
        <f t="shared" si="182"/>
        <v/>
      </c>
      <c r="H451" s="5" t="str">
        <f t="shared" si="183"/>
        <v/>
      </c>
      <c r="I451" s="116" t="str">
        <f t="shared" si="184"/>
        <v/>
      </c>
      <c r="J451" s="7" t="str">
        <f t="shared" si="185"/>
        <v/>
      </c>
      <c r="K451" s="9" t="str">
        <f t="shared" si="186"/>
        <v/>
      </c>
      <c r="L451" s="9" t="str">
        <f>IF(NOT(ISERROR(VLOOKUP(B451,Deflatores!G$42:H$64,2,FALSE))),VLOOKUP(B451,Deflatores!G$42:H$64,2,FALSE),IF(OR(ISBLANK(C451),ISBLANK(B451)),"",VLOOKUP(C451,Deflatores!G$4:H$38,2,FALSE)*H451+VLOOKUP(C451,Deflatores!G$4:I$38,3,FALSE)))</f>
        <v/>
      </c>
      <c r="M451" s="10"/>
      <c r="N451" s="10"/>
      <c r="O451" s="6"/>
    </row>
    <row r="452" spans="1:15">
      <c r="A452" s="119"/>
      <c r="B452" s="4"/>
      <c r="C452" s="4"/>
      <c r="D452" s="7"/>
      <c r="E452" s="7"/>
      <c r="F452" s="8" t="str">
        <f t="shared" si="181"/>
        <v/>
      </c>
      <c r="G452" s="7" t="str">
        <f t="shared" si="182"/>
        <v/>
      </c>
      <c r="H452" s="5" t="str">
        <f t="shared" si="183"/>
        <v/>
      </c>
      <c r="I452" s="116" t="str">
        <f t="shared" si="184"/>
        <v/>
      </c>
      <c r="J452" s="7" t="str">
        <f t="shared" si="185"/>
        <v/>
      </c>
      <c r="K452" s="9" t="str">
        <f t="shared" si="186"/>
        <v/>
      </c>
      <c r="L452" s="9" t="str">
        <f>IF(NOT(ISERROR(VLOOKUP(B452,Deflatores!G$42:H$64,2,FALSE))),VLOOKUP(B452,Deflatores!G$42:H$64,2,FALSE),IF(OR(ISBLANK(C452),ISBLANK(B452)),"",VLOOKUP(C452,Deflatores!G$4:H$38,2,FALSE)*H452+VLOOKUP(C452,Deflatores!G$4:I$38,3,FALSE)))</f>
        <v/>
      </c>
      <c r="M452" s="10"/>
      <c r="N452" s="10"/>
      <c r="O452" s="6"/>
    </row>
    <row r="453" spans="1:15">
      <c r="A453" s="119"/>
      <c r="B453" s="4"/>
      <c r="C453" s="4"/>
      <c r="D453" s="7"/>
      <c r="E453" s="7"/>
      <c r="F453" s="8" t="str">
        <f t="shared" si="181"/>
        <v/>
      </c>
      <c r="G453" s="7" t="str">
        <f t="shared" si="182"/>
        <v/>
      </c>
      <c r="H453" s="5" t="str">
        <f t="shared" si="183"/>
        <v/>
      </c>
      <c r="I453" s="116" t="str">
        <f t="shared" si="184"/>
        <v/>
      </c>
      <c r="J453" s="7" t="str">
        <f t="shared" si="185"/>
        <v/>
      </c>
      <c r="K453" s="9" t="str">
        <f t="shared" si="186"/>
        <v/>
      </c>
      <c r="L453" s="9" t="str">
        <f>IF(NOT(ISERROR(VLOOKUP(B453,Deflatores!G$42:H$64,2,FALSE))),VLOOKUP(B453,Deflatores!G$42:H$64,2,FALSE),IF(OR(ISBLANK(C453),ISBLANK(B453)),"",VLOOKUP(C453,Deflatores!G$4:H$38,2,FALSE)*H453+VLOOKUP(C453,Deflatores!G$4:I$38,3,FALSE)))</f>
        <v/>
      </c>
      <c r="M453" s="10"/>
      <c r="N453" s="10"/>
      <c r="O453" s="6"/>
    </row>
    <row r="454" spans="1:15">
      <c r="A454" s="119"/>
      <c r="B454" s="4"/>
      <c r="C454" s="4"/>
      <c r="D454" s="7"/>
      <c r="E454" s="7"/>
      <c r="F454" s="8" t="str">
        <f t="shared" si="181"/>
        <v/>
      </c>
      <c r="G454" s="7" t="str">
        <f t="shared" si="182"/>
        <v/>
      </c>
      <c r="H454" s="5" t="str">
        <f t="shared" si="183"/>
        <v/>
      </c>
      <c r="I454" s="116" t="str">
        <f t="shared" si="184"/>
        <v/>
      </c>
      <c r="J454" s="7" t="str">
        <f t="shared" si="185"/>
        <v/>
      </c>
      <c r="K454" s="9" t="str">
        <f t="shared" si="186"/>
        <v/>
      </c>
      <c r="L454" s="9" t="str">
        <f>IF(NOT(ISERROR(VLOOKUP(B454,Deflatores!G$42:H$64,2,FALSE))),VLOOKUP(B454,Deflatores!G$42:H$64,2,FALSE),IF(OR(ISBLANK(C454),ISBLANK(B454)),"",VLOOKUP(C454,Deflatores!G$4:H$38,2,FALSE)*H454+VLOOKUP(C454,Deflatores!G$4:I$38,3,FALSE)))</f>
        <v/>
      </c>
      <c r="M454" s="10"/>
      <c r="N454" s="10"/>
      <c r="O454" s="6"/>
    </row>
    <row r="455" spans="1:15">
      <c r="A455" s="119"/>
      <c r="B455" s="4"/>
      <c r="C455" s="4"/>
      <c r="D455" s="7"/>
      <c r="E455" s="7"/>
      <c r="F455" s="8" t="str">
        <f t="shared" si="181"/>
        <v/>
      </c>
      <c r="G455" s="7" t="str">
        <f t="shared" si="182"/>
        <v/>
      </c>
      <c r="H455" s="5" t="str">
        <f t="shared" si="183"/>
        <v/>
      </c>
      <c r="I455" s="116" t="str">
        <f t="shared" si="184"/>
        <v/>
      </c>
      <c r="J455" s="7" t="str">
        <f t="shared" si="185"/>
        <v/>
      </c>
      <c r="K455" s="9" t="str">
        <f t="shared" si="186"/>
        <v/>
      </c>
      <c r="L455" s="9" t="str">
        <f>IF(NOT(ISERROR(VLOOKUP(B455,Deflatores!G$42:H$64,2,FALSE))),VLOOKUP(B455,Deflatores!G$42:H$64,2,FALSE),IF(OR(ISBLANK(C455),ISBLANK(B455)),"",VLOOKUP(C455,Deflatores!G$4:H$38,2,FALSE)*H455+VLOOKUP(C455,Deflatores!G$4:I$38,3,FALSE)))</f>
        <v/>
      </c>
      <c r="M455" s="10"/>
      <c r="N455" s="10"/>
      <c r="O455" s="6"/>
    </row>
    <row r="456" spans="1:15">
      <c r="A456" s="119"/>
      <c r="B456" s="4"/>
      <c r="C456" s="4"/>
      <c r="D456" s="7"/>
      <c r="E456" s="7"/>
      <c r="F456" s="8" t="str">
        <f t="shared" si="181"/>
        <v/>
      </c>
      <c r="G456" s="7" t="str">
        <f t="shared" si="182"/>
        <v/>
      </c>
      <c r="H456" s="5" t="str">
        <f t="shared" si="183"/>
        <v/>
      </c>
      <c r="I456" s="116" t="str">
        <f t="shared" si="184"/>
        <v/>
      </c>
      <c r="J456" s="7" t="str">
        <f t="shared" si="185"/>
        <v/>
      </c>
      <c r="K456" s="9" t="str">
        <f t="shared" si="186"/>
        <v/>
      </c>
      <c r="L456" s="9" t="str">
        <f>IF(NOT(ISERROR(VLOOKUP(B456,Deflatores!G$42:H$64,2,FALSE))),VLOOKUP(B456,Deflatores!G$42:H$64,2,FALSE),IF(OR(ISBLANK(C456),ISBLANK(B456)),"",VLOOKUP(C456,Deflatores!G$4:H$38,2,FALSE)*H456+VLOOKUP(C456,Deflatores!G$4:I$38,3,FALSE)))</f>
        <v/>
      </c>
      <c r="M456" s="10"/>
      <c r="N456" s="10"/>
      <c r="O456" s="6"/>
    </row>
    <row r="457" spans="1:15">
      <c r="A457" s="119"/>
      <c r="B457" s="4"/>
      <c r="C457" s="4"/>
      <c r="D457" s="7"/>
      <c r="E457" s="7"/>
      <c r="F457" s="8" t="str">
        <f t="shared" si="181"/>
        <v/>
      </c>
      <c r="G457" s="7" t="str">
        <f t="shared" si="182"/>
        <v/>
      </c>
      <c r="H457" s="5" t="str">
        <f t="shared" si="183"/>
        <v/>
      </c>
      <c r="I457" s="116" t="str">
        <f t="shared" si="184"/>
        <v/>
      </c>
      <c r="J457" s="7" t="str">
        <f t="shared" si="185"/>
        <v/>
      </c>
      <c r="K457" s="9" t="str">
        <f t="shared" si="186"/>
        <v/>
      </c>
      <c r="L457" s="9" t="str">
        <f>IF(NOT(ISERROR(VLOOKUP(B457,Deflatores!G$42:H$64,2,FALSE))),VLOOKUP(B457,Deflatores!G$42:H$64,2,FALSE),IF(OR(ISBLANK(C457),ISBLANK(B457)),"",VLOOKUP(C457,Deflatores!G$4:H$38,2,FALSE)*H457+VLOOKUP(C457,Deflatores!G$4:I$38,3,FALSE)))</f>
        <v/>
      </c>
      <c r="M457" s="10"/>
      <c r="N457" s="10"/>
      <c r="O457" s="6"/>
    </row>
    <row r="458" spans="1:15">
      <c r="A458" s="119"/>
      <c r="B458" s="4"/>
      <c r="C458" s="4"/>
      <c r="D458" s="7"/>
      <c r="E458" s="7"/>
      <c r="F458" s="8" t="str">
        <f t="shared" si="181"/>
        <v/>
      </c>
      <c r="G458" s="7" t="str">
        <f t="shared" si="182"/>
        <v/>
      </c>
      <c r="H458" s="5" t="str">
        <f t="shared" si="183"/>
        <v/>
      </c>
      <c r="I458" s="116" t="str">
        <f t="shared" si="184"/>
        <v/>
      </c>
      <c r="J458" s="7" t="str">
        <f t="shared" si="185"/>
        <v/>
      </c>
      <c r="K458" s="9" t="str">
        <f t="shared" si="186"/>
        <v/>
      </c>
      <c r="L458" s="9" t="str">
        <f>IF(NOT(ISERROR(VLOOKUP(B458,Deflatores!G$42:H$64,2,FALSE))),VLOOKUP(B458,Deflatores!G$42:H$64,2,FALSE),IF(OR(ISBLANK(C458),ISBLANK(B458)),"",VLOOKUP(C458,Deflatores!G$4:H$38,2,FALSE)*H458+VLOOKUP(C458,Deflatores!G$4:I$38,3,FALSE)))</f>
        <v/>
      </c>
      <c r="M458" s="10"/>
      <c r="N458" s="10"/>
      <c r="O458" s="6"/>
    </row>
    <row r="459" spans="1:15">
      <c r="A459" s="119"/>
      <c r="B459" s="4"/>
      <c r="C459" s="4"/>
      <c r="D459" s="7"/>
      <c r="E459" s="7"/>
      <c r="F459" s="8" t="str">
        <f t="shared" si="181"/>
        <v/>
      </c>
      <c r="G459" s="7" t="str">
        <f t="shared" si="182"/>
        <v/>
      </c>
      <c r="H459" s="5" t="str">
        <f t="shared" si="183"/>
        <v/>
      </c>
      <c r="I459" s="116" t="str">
        <f t="shared" si="184"/>
        <v/>
      </c>
      <c r="J459" s="7" t="str">
        <f t="shared" si="185"/>
        <v/>
      </c>
      <c r="K459" s="9" t="str">
        <f t="shared" si="186"/>
        <v/>
      </c>
      <c r="L459" s="9" t="str">
        <f>IF(NOT(ISERROR(VLOOKUP(B459,Deflatores!G$42:H$64,2,FALSE))),VLOOKUP(B459,Deflatores!G$42:H$64,2,FALSE),IF(OR(ISBLANK(C459),ISBLANK(B459)),"",VLOOKUP(C459,Deflatores!G$4:H$38,2,FALSE)*H459+VLOOKUP(C459,Deflatores!G$4:I$38,3,FALSE)))</f>
        <v/>
      </c>
      <c r="M459" s="10"/>
      <c r="N459" s="10"/>
      <c r="O459" s="6"/>
    </row>
    <row r="460" spans="1:15">
      <c r="A460" s="119"/>
      <c r="B460" s="4"/>
      <c r="C460" s="4"/>
      <c r="D460" s="7"/>
      <c r="E460" s="7"/>
      <c r="F460" s="8" t="str">
        <f t="shared" si="181"/>
        <v/>
      </c>
      <c r="G460" s="7" t="str">
        <f t="shared" si="182"/>
        <v/>
      </c>
      <c r="H460" s="5" t="str">
        <f t="shared" si="183"/>
        <v/>
      </c>
      <c r="I460" s="116" t="str">
        <f t="shared" si="184"/>
        <v/>
      </c>
      <c r="J460" s="7" t="str">
        <f t="shared" si="185"/>
        <v/>
      </c>
      <c r="K460" s="9" t="str">
        <f t="shared" si="186"/>
        <v/>
      </c>
      <c r="L460" s="9" t="str">
        <f>IF(NOT(ISERROR(VLOOKUP(B460,Deflatores!G$42:H$64,2,FALSE))),VLOOKUP(B460,Deflatores!G$42:H$64,2,FALSE),IF(OR(ISBLANK(C460),ISBLANK(B460)),"",VLOOKUP(C460,Deflatores!G$4:H$38,2,FALSE)*H460+VLOOKUP(C460,Deflatores!G$4:I$38,3,FALSE)))</f>
        <v/>
      </c>
      <c r="M460" s="10"/>
      <c r="N460" s="10"/>
      <c r="O460" s="6"/>
    </row>
    <row r="461" spans="1:15">
      <c r="A461" s="119"/>
      <c r="B461" s="4"/>
      <c r="C461" s="4"/>
      <c r="D461" s="7"/>
      <c r="E461" s="7"/>
      <c r="F461" s="8" t="str">
        <f t="shared" si="181"/>
        <v/>
      </c>
      <c r="G461" s="7" t="str">
        <f t="shared" si="182"/>
        <v/>
      </c>
      <c r="H461" s="5" t="str">
        <f t="shared" si="183"/>
        <v/>
      </c>
      <c r="I461" s="116" t="str">
        <f t="shared" si="184"/>
        <v/>
      </c>
      <c r="J461" s="7" t="str">
        <f t="shared" si="185"/>
        <v/>
      </c>
      <c r="K461" s="9" t="str">
        <f t="shared" si="186"/>
        <v/>
      </c>
      <c r="L461" s="9" t="str">
        <f>IF(NOT(ISERROR(VLOOKUP(B461,Deflatores!G$42:H$64,2,FALSE))),VLOOKUP(B461,Deflatores!G$42:H$64,2,FALSE),IF(OR(ISBLANK(C461),ISBLANK(B461)),"",VLOOKUP(C461,Deflatores!G$4:H$38,2,FALSE)*H461+VLOOKUP(C461,Deflatores!G$4:I$38,3,FALSE)))</f>
        <v/>
      </c>
      <c r="M461" s="10"/>
      <c r="N461" s="10"/>
      <c r="O461" s="6"/>
    </row>
    <row r="462" spans="1:15">
      <c r="A462" s="119"/>
      <c r="B462" s="4"/>
      <c r="C462" s="4"/>
      <c r="D462" s="7"/>
      <c r="E462" s="7"/>
      <c r="F462" s="8" t="str">
        <f t="shared" si="181"/>
        <v/>
      </c>
      <c r="G462" s="7" t="str">
        <f t="shared" si="182"/>
        <v/>
      </c>
      <c r="H462" s="5" t="str">
        <f t="shared" si="183"/>
        <v/>
      </c>
      <c r="I462" s="116" t="str">
        <f t="shared" si="184"/>
        <v/>
      </c>
      <c r="J462" s="7" t="str">
        <f t="shared" si="185"/>
        <v/>
      </c>
      <c r="K462" s="9" t="str">
        <f t="shared" si="186"/>
        <v/>
      </c>
      <c r="L462" s="9" t="str">
        <f>IF(NOT(ISERROR(VLOOKUP(B462,Deflatores!G$42:H$64,2,FALSE))),VLOOKUP(B462,Deflatores!G$42:H$64,2,FALSE),IF(OR(ISBLANK(C462),ISBLANK(B462)),"",VLOOKUP(C462,Deflatores!G$4:H$38,2,FALSE)*H462+VLOOKUP(C462,Deflatores!G$4:I$38,3,FALSE)))</f>
        <v/>
      </c>
      <c r="M462" s="10"/>
      <c r="N462" s="10"/>
      <c r="O462" s="6"/>
    </row>
    <row r="463" spans="1:15">
      <c r="A463" s="119"/>
      <c r="B463" s="4"/>
      <c r="C463" s="4"/>
      <c r="D463" s="7"/>
      <c r="E463" s="7"/>
      <c r="F463" s="8" t="str">
        <f t="shared" si="181"/>
        <v/>
      </c>
      <c r="G463" s="7" t="str">
        <f t="shared" si="182"/>
        <v/>
      </c>
      <c r="H463" s="5" t="str">
        <f t="shared" si="183"/>
        <v/>
      </c>
      <c r="I463" s="116" t="str">
        <f t="shared" si="184"/>
        <v/>
      </c>
      <c r="J463" s="7" t="str">
        <f t="shared" si="185"/>
        <v/>
      </c>
      <c r="K463" s="9" t="str">
        <f t="shared" si="186"/>
        <v/>
      </c>
      <c r="L463" s="9" t="str">
        <f>IF(NOT(ISERROR(VLOOKUP(B463,Deflatores!G$42:H$64,2,FALSE))),VLOOKUP(B463,Deflatores!G$42:H$64,2,FALSE),IF(OR(ISBLANK(C463),ISBLANK(B463)),"",VLOOKUP(C463,Deflatores!G$4:H$38,2,FALSE)*H463+VLOOKUP(C463,Deflatores!G$4:I$38,3,FALSE)))</f>
        <v/>
      </c>
      <c r="M463" s="10"/>
      <c r="N463" s="10"/>
      <c r="O463" s="6"/>
    </row>
    <row r="464" spans="1:15">
      <c r="A464" s="119"/>
      <c r="B464" s="4"/>
      <c r="C464" s="4"/>
      <c r="D464" s="7"/>
      <c r="E464" s="7"/>
      <c r="F464" s="8" t="str">
        <f t="shared" si="181"/>
        <v/>
      </c>
      <c r="G464" s="7" t="str">
        <f t="shared" si="182"/>
        <v/>
      </c>
      <c r="H464" s="5" t="str">
        <f t="shared" si="183"/>
        <v/>
      </c>
      <c r="I464" s="116" t="str">
        <f t="shared" si="184"/>
        <v/>
      </c>
      <c r="J464" s="7" t="str">
        <f t="shared" si="185"/>
        <v/>
      </c>
      <c r="K464" s="9" t="str">
        <f t="shared" si="186"/>
        <v/>
      </c>
      <c r="L464" s="9" t="str">
        <f>IF(NOT(ISERROR(VLOOKUP(B464,Deflatores!G$42:H$64,2,FALSE))),VLOOKUP(B464,Deflatores!G$42:H$64,2,FALSE),IF(OR(ISBLANK(C464),ISBLANK(B464)),"",VLOOKUP(C464,Deflatores!G$4:H$38,2,FALSE)*H464+VLOOKUP(C464,Deflatores!G$4:I$38,3,FALSE)))</f>
        <v/>
      </c>
      <c r="M464" s="10"/>
      <c r="N464" s="10"/>
      <c r="O464" s="6"/>
    </row>
    <row r="465" spans="1:15">
      <c r="A465" s="119"/>
      <c r="B465" s="4"/>
      <c r="C465" s="4"/>
      <c r="D465" s="7"/>
      <c r="E465" s="7"/>
      <c r="F465" s="8" t="str">
        <f t="shared" si="181"/>
        <v/>
      </c>
      <c r="G465" s="7" t="str">
        <f t="shared" si="182"/>
        <v/>
      </c>
      <c r="H465" s="5" t="str">
        <f t="shared" si="183"/>
        <v/>
      </c>
      <c r="I465" s="116" t="str">
        <f t="shared" si="184"/>
        <v/>
      </c>
      <c r="J465" s="7" t="str">
        <f t="shared" si="185"/>
        <v/>
      </c>
      <c r="K465" s="9" t="str">
        <f t="shared" si="186"/>
        <v/>
      </c>
      <c r="L465" s="9" t="str">
        <f>IF(NOT(ISERROR(VLOOKUP(B465,Deflatores!G$42:H$64,2,FALSE))),VLOOKUP(B465,Deflatores!G$42:H$64,2,FALSE),IF(OR(ISBLANK(C465),ISBLANK(B465)),"",VLOOKUP(C465,Deflatores!G$4:H$38,2,FALSE)*H465+VLOOKUP(C465,Deflatores!G$4:I$38,3,FALSE)))</f>
        <v/>
      </c>
      <c r="M465" s="10"/>
      <c r="N465" s="10"/>
      <c r="O465" s="6"/>
    </row>
    <row r="466" spans="1:15">
      <c r="A466" s="119"/>
      <c r="B466" s="4"/>
      <c r="C466" s="4"/>
      <c r="D466" s="7"/>
      <c r="E466" s="7"/>
      <c r="F466" s="8" t="str">
        <f t="shared" si="181"/>
        <v/>
      </c>
      <c r="G466" s="7" t="str">
        <f t="shared" si="182"/>
        <v/>
      </c>
      <c r="H466" s="5" t="str">
        <f t="shared" si="183"/>
        <v/>
      </c>
      <c r="I466" s="116" t="str">
        <f t="shared" si="184"/>
        <v/>
      </c>
      <c r="J466" s="7" t="str">
        <f t="shared" si="185"/>
        <v/>
      </c>
      <c r="K466" s="9" t="str">
        <f t="shared" si="186"/>
        <v/>
      </c>
      <c r="L466" s="9" t="str">
        <f>IF(NOT(ISERROR(VLOOKUP(B466,Deflatores!G$42:H$64,2,FALSE))),VLOOKUP(B466,Deflatores!G$42:H$64,2,FALSE),IF(OR(ISBLANK(C466),ISBLANK(B466)),"",VLOOKUP(C466,Deflatores!G$4:H$38,2,FALSE)*H466+VLOOKUP(C466,Deflatores!G$4:I$38,3,FALSE)))</f>
        <v/>
      </c>
      <c r="M466" s="10"/>
      <c r="N466" s="10"/>
      <c r="O466" s="6"/>
    </row>
    <row r="467" spans="1:15">
      <c r="A467" s="119"/>
      <c r="B467" s="4"/>
      <c r="C467" s="4"/>
      <c r="D467" s="7"/>
      <c r="E467" s="7"/>
      <c r="F467" s="8" t="str">
        <f t="shared" si="181"/>
        <v/>
      </c>
      <c r="G467" s="7" t="str">
        <f t="shared" si="182"/>
        <v/>
      </c>
      <c r="H467" s="5" t="str">
        <f t="shared" si="183"/>
        <v/>
      </c>
      <c r="I467" s="116" t="str">
        <f t="shared" si="184"/>
        <v/>
      </c>
      <c r="J467" s="7" t="str">
        <f t="shared" si="185"/>
        <v/>
      </c>
      <c r="K467" s="9" t="str">
        <f t="shared" si="186"/>
        <v/>
      </c>
      <c r="L467" s="9" t="str">
        <f>IF(NOT(ISERROR(VLOOKUP(B467,Deflatores!G$42:H$64,2,FALSE))),VLOOKUP(B467,Deflatores!G$42:H$64,2,FALSE),IF(OR(ISBLANK(C467),ISBLANK(B467)),"",VLOOKUP(C467,Deflatores!G$4:H$38,2,FALSE)*H467+VLOOKUP(C467,Deflatores!G$4:I$38,3,FALSE)))</f>
        <v/>
      </c>
      <c r="M467" s="10"/>
      <c r="N467" s="10"/>
      <c r="O467" s="6"/>
    </row>
    <row r="468" spans="1:15">
      <c r="A468" s="119"/>
      <c r="B468" s="4"/>
      <c r="C468" s="4"/>
      <c r="D468" s="7"/>
      <c r="E468" s="7"/>
      <c r="F468" s="8" t="str">
        <f t="shared" si="181"/>
        <v/>
      </c>
      <c r="G468" s="7" t="str">
        <f t="shared" si="182"/>
        <v/>
      </c>
      <c r="H468" s="5" t="str">
        <f t="shared" si="183"/>
        <v/>
      </c>
      <c r="I468" s="116" t="str">
        <f t="shared" si="184"/>
        <v/>
      </c>
      <c r="J468" s="7" t="str">
        <f t="shared" si="185"/>
        <v/>
      </c>
      <c r="K468" s="9" t="str">
        <f t="shared" si="186"/>
        <v/>
      </c>
      <c r="L468" s="9" t="str">
        <f>IF(NOT(ISERROR(VLOOKUP(B468,Deflatores!G$42:H$64,2,FALSE))),VLOOKUP(B468,Deflatores!G$42:H$64,2,FALSE),IF(OR(ISBLANK(C468),ISBLANK(B468)),"",VLOOKUP(C468,Deflatores!G$4:H$38,2,FALSE)*H468+VLOOKUP(C468,Deflatores!G$4:I$38,3,FALSE)))</f>
        <v/>
      </c>
      <c r="M468" s="10"/>
      <c r="N468" s="10"/>
      <c r="O468" s="6"/>
    </row>
    <row r="469" spans="1:15">
      <c r="A469" s="119"/>
      <c r="B469" s="4"/>
      <c r="C469" s="4"/>
      <c r="D469" s="7"/>
      <c r="E469" s="7"/>
      <c r="F469" s="8" t="str">
        <f t="shared" si="181"/>
        <v/>
      </c>
      <c r="G469" s="7" t="str">
        <f t="shared" si="182"/>
        <v/>
      </c>
      <c r="H469" s="5" t="str">
        <f t="shared" si="183"/>
        <v/>
      </c>
      <c r="I469" s="116" t="str">
        <f t="shared" si="184"/>
        <v/>
      </c>
      <c r="J469" s="7" t="str">
        <f t="shared" si="185"/>
        <v/>
      </c>
      <c r="K469" s="9" t="str">
        <f t="shared" si="186"/>
        <v/>
      </c>
      <c r="L469" s="9" t="str">
        <f>IF(NOT(ISERROR(VLOOKUP(B469,Deflatores!G$42:H$64,2,FALSE))),VLOOKUP(B469,Deflatores!G$42:H$64,2,FALSE),IF(OR(ISBLANK(C469),ISBLANK(B469)),"",VLOOKUP(C469,Deflatores!G$4:H$38,2,FALSE)*H469+VLOOKUP(C469,Deflatores!G$4:I$38,3,FALSE)))</f>
        <v/>
      </c>
      <c r="M469" s="10"/>
      <c r="N469" s="10"/>
      <c r="O469" s="6"/>
    </row>
    <row r="470" spans="1:15">
      <c r="A470" s="119"/>
      <c r="B470" s="4"/>
      <c r="C470" s="4"/>
      <c r="D470" s="7"/>
      <c r="E470" s="7"/>
      <c r="F470" s="8" t="str">
        <f t="shared" si="181"/>
        <v/>
      </c>
      <c r="G470" s="7" t="str">
        <f t="shared" si="182"/>
        <v/>
      </c>
      <c r="H470" s="5" t="str">
        <f t="shared" si="183"/>
        <v/>
      </c>
      <c r="I470" s="116" t="str">
        <f t="shared" si="184"/>
        <v/>
      </c>
      <c r="J470" s="7" t="str">
        <f t="shared" si="185"/>
        <v/>
      </c>
      <c r="K470" s="9" t="str">
        <f t="shared" si="186"/>
        <v/>
      </c>
      <c r="L470" s="9" t="str">
        <f>IF(NOT(ISERROR(VLOOKUP(B470,Deflatores!G$42:H$64,2,FALSE))),VLOOKUP(B470,Deflatores!G$42:H$64,2,FALSE),IF(OR(ISBLANK(C470),ISBLANK(B470)),"",VLOOKUP(C470,Deflatores!G$4:H$38,2,FALSE)*H470+VLOOKUP(C470,Deflatores!G$4:I$38,3,FALSE)))</f>
        <v/>
      </c>
      <c r="M470" s="10"/>
      <c r="N470" s="10"/>
      <c r="O470" s="6"/>
    </row>
    <row r="471" spans="1:15">
      <c r="A471" s="119"/>
      <c r="B471" s="4"/>
      <c r="C471" s="4"/>
      <c r="D471" s="7"/>
      <c r="E471" s="7"/>
      <c r="F471" s="8" t="str">
        <f t="shared" si="181"/>
        <v/>
      </c>
      <c r="G471" s="7" t="str">
        <f t="shared" si="182"/>
        <v/>
      </c>
      <c r="H471" s="5" t="str">
        <f t="shared" si="183"/>
        <v/>
      </c>
      <c r="I471" s="116" t="str">
        <f t="shared" si="184"/>
        <v/>
      </c>
      <c r="J471" s="7" t="str">
        <f t="shared" si="185"/>
        <v/>
      </c>
      <c r="K471" s="9" t="str">
        <f t="shared" si="186"/>
        <v/>
      </c>
      <c r="L471" s="9" t="str">
        <f>IF(NOT(ISERROR(VLOOKUP(B471,Deflatores!G$42:H$64,2,FALSE))),VLOOKUP(B471,Deflatores!G$42:H$64,2,FALSE),IF(OR(ISBLANK(C471),ISBLANK(B471)),"",VLOOKUP(C471,Deflatores!G$4:H$38,2,FALSE)*H471+VLOOKUP(C471,Deflatores!G$4:I$38,3,FALSE)))</f>
        <v/>
      </c>
      <c r="M471" s="10"/>
      <c r="N471" s="10"/>
      <c r="O471" s="6"/>
    </row>
    <row r="472" spans="1:15">
      <c r="A472" s="119"/>
      <c r="B472" s="4"/>
      <c r="C472" s="4"/>
      <c r="D472" s="7"/>
      <c r="E472" s="7"/>
      <c r="F472" s="8" t="str">
        <f t="shared" si="181"/>
        <v/>
      </c>
      <c r="G472" s="7" t="str">
        <f t="shared" si="182"/>
        <v/>
      </c>
      <c r="H472" s="5" t="str">
        <f t="shared" si="183"/>
        <v/>
      </c>
      <c r="I472" s="116" t="str">
        <f t="shared" si="184"/>
        <v/>
      </c>
      <c r="J472" s="7" t="str">
        <f t="shared" si="185"/>
        <v/>
      </c>
      <c r="K472" s="9" t="str">
        <f t="shared" si="186"/>
        <v/>
      </c>
      <c r="L472" s="9" t="str">
        <f>IF(NOT(ISERROR(VLOOKUP(B472,Deflatores!G$42:H$64,2,FALSE))),VLOOKUP(B472,Deflatores!G$42:H$64,2,FALSE),IF(OR(ISBLANK(C472),ISBLANK(B472)),"",VLOOKUP(C472,Deflatores!G$4:H$38,2,FALSE)*H472+VLOOKUP(C472,Deflatores!G$4:I$38,3,FALSE)))</f>
        <v/>
      </c>
      <c r="M472" s="10"/>
      <c r="N472" s="10"/>
      <c r="O472" s="6"/>
    </row>
    <row r="473" spans="1:15">
      <c r="A473" s="119"/>
      <c r="B473" s="4"/>
      <c r="C473" s="4"/>
      <c r="D473" s="7"/>
      <c r="E473" s="7"/>
      <c r="F473" s="8" t="str">
        <f t="shared" si="181"/>
        <v/>
      </c>
      <c r="G473" s="7" t="str">
        <f t="shared" si="182"/>
        <v/>
      </c>
      <c r="H473" s="5" t="str">
        <f t="shared" si="183"/>
        <v/>
      </c>
      <c r="I473" s="116" t="str">
        <f t="shared" si="184"/>
        <v/>
      </c>
      <c r="J473" s="7" t="str">
        <f t="shared" si="185"/>
        <v/>
      </c>
      <c r="K473" s="9" t="str">
        <f t="shared" si="186"/>
        <v/>
      </c>
      <c r="L473" s="9" t="str">
        <f>IF(NOT(ISERROR(VLOOKUP(B473,Deflatores!G$42:H$64,2,FALSE))),VLOOKUP(B473,Deflatores!G$42:H$64,2,FALSE),IF(OR(ISBLANK(C473),ISBLANK(B473)),"",VLOOKUP(C473,Deflatores!G$4:H$38,2,FALSE)*H473+VLOOKUP(C473,Deflatores!G$4:I$38,3,FALSE)))</f>
        <v/>
      </c>
      <c r="M473" s="10"/>
      <c r="N473" s="10"/>
      <c r="O473" s="6"/>
    </row>
    <row r="474" spans="1:15">
      <c r="A474" s="119"/>
      <c r="B474" s="4"/>
      <c r="C474" s="4"/>
      <c r="D474" s="7"/>
      <c r="E474" s="7"/>
      <c r="F474" s="8" t="str">
        <f t="shared" si="181"/>
        <v/>
      </c>
      <c r="G474" s="7" t="str">
        <f t="shared" si="182"/>
        <v/>
      </c>
      <c r="H474" s="5" t="str">
        <f t="shared" si="183"/>
        <v/>
      </c>
      <c r="I474" s="116" t="str">
        <f t="shared" si="184"/>
        <v/>
      </c>
      <c r="J474" s="7" t="str">
        <f t="shared" si="185"/>
        <v/>
      </c>
      <c r="K474" s="9" t="str">
        <f t="shared" si="186"/>
        <v/>
      </c>
      <c r="L474" s="9" t="str">
        <f>IF(NOT(ISERROR(VLOOKUP(B474,Deflatores!G$42:H$64,2,FALSE))),VLOOKUP(B474,Deflatores!G$42:H$64,2,FALSE),IF(OR(ISBLANK(C474),ISBLANK(B474)),"",VLOOKUP(C474,Deflatores!G$4:H$38,2,FALSE)*H474+VLOOKUP(C474,Deflatores!G$4:I$38,3,FALSE)))</f>
        <v/>
      </c>
      <c r="M474" s="10"/>
      <c r="N474" s="10"/>
      <c r="O474" s="6"/>
    </row>
    <row r="475" spans="1:15">
      <c r="A475" s="119"/>
      <c r="B475" s="4"/>
      <c r="C475" s="4"/>
      <c r="D475" s="7"/>
      <c r="E475" s="7"/>
      <c r="F475" s="8" t="str">
        <f t="shared" si="181"/>
        <v/>
      </c>
      <c r="G475" s="7" t="str">
        <f t="shared" si="182"/>
        <v/>
      </c>
      <c r="H475" s="5" t="str">
        <f t="shared" si="183"/>
        <v/>
      </c>
      <c r="I475" s="116" t="str">
        <f t="shared" si="184"/>
        <v/>
      </c>
      <c r="J475" s="7" t="str">
        <f t="shared" si="185"/>
        <v/>
      </c>
      <c r="K475" s="9" t="str">
        <f t="shared" si="186"/>
        <v/>
      </c>
      <c r="L475" s="9" t="str">
        <f>IF(NOT(ISERROR(VLOOKUP(B475,Deflatores!G$42:H$64,2,FALSE))),VLOOKUP(B475,Deflatores!G$42:H$64,2,FALSE),IF(OR(ISBLANK(C475),ISBLANK(B475)),"",VLOOKUP(C475,Deflatores!G$4:H$38,2,FALSE)*H475+VLOOKUP(C475,Deflatores!G$4:I$38,3,FALSE)))</f>
        <v/>
      </c>
      <c r="M475" s="10"/>
      <c r="N475" s="10"/>
      <c r="O475" s="6"/>
    </row>
    <row r="476" spans="1:15">
      <c r="A476" s="119"/>
      <c r="B476" s="4"/>
      <c r="C476" s="4"/>
      <c r="D476" s="7"/>
      <c r="E476" s="7"/>
      <c r="F476" s="8" t="str">
        <f t="shared" si="181"/>
        <v/>
      </c>
      <c r="G476" s="7" t="str">
        <f t="shared" si="182"/>
        <v/>
      </c>
      <c r="H476" s="5" t="str">
        <f t="shared" si="183"/>
        <v/>
      </c>
      <c r="I476" s="116" t="str">
        <f t="shared" si="184"/>
        <v/>
      </c>
      <c r="J476" s="7" t="str">
        <f t="shared" si="185"/>
        <v/>
      </c>
      <c r="K476" s="9" t="str">
        <f t="shared" si="186"/>
        <v/>
      </c>
      <c r="L476" s="9" t="str">
        <f>IF(NOT(ISERROR(VLOOKUP(B476,Deflatores!G$42:H$64,2,FALSE))),VLOOKUP(B476,Deflatores!G$42:H$64,2,FALSE),IF(OR(ISBLANK(C476),ISBLANK(B476)),"",VLOOKUP(C476,Deflatores!G$4:H$38,2,FALSE)*H476+VLOOKUP(C476,Deflatores!G$4:I$38,3,FALSE)))</f>
        <v/>
      </c>
      <c r="M476" s="10"/>
      <c r="N476" s="10"/>
      <c r="O476" s="6"/>
    </row>
    <row r="477" spans="1:15">
      <c r="A477" s="119"/>
      <c r="B477" s="4"/>
      <c r="C477" s="4"/>
      <c r="D477" s="7"/>
      <c r="E477" s="7"/>
      <c r="F477" s="8" t="str">
        <f t="shared" si="181"/>
        <v/>
      </c>
      <c r="G477" s="7" t="str">
        <f t="shared" si="182"/>
        <v/>
      </c>
      <c r="H477" s="5" t="str">
        <f t="shared" si="183"/>
        <v/>
      </c>
      <c r="I477" s="116" t="str">
        <f t="shared" si="184"/>
        <v/>
      </c>
      <c r="J477" s="7" t="str">
        <f t="shared" si="185"/>
        <v/>
      </c>
      <c r="K477" s="9" t="str">
        <f t="shared" si="186"/>
        <v/>
      </c>
      <c r="L477" s="9" t="str">
        <f>IF(NOT(ISERROR(VLOOKUP(B477,Deflatores!G$42:H$64,2,FALSE))),VLOOKUP(B477,Deflatores!G$42:H$64,2,FALSE),IF(OR(ISBLANK(C477),ISBLANK(B477)),"",VLOOKUP(C477,Deflatores!G$4:H$38,2,FALSE)*H477+VLOOKUP(C477,Deflatores!G$4:I$38,3,FALSE)))</f>
        <v/>
      </c>
      <c r="M477" s="10"/>
      <c r="N477" s="10"/>
      <c r="O477" s="6"/>
    </row>
    <row r="478" spans="1:15">
      <c r="A478" s="119"/>
      <c r="B478" s="4"/>
      <c r="C478" s="4"/>
      <c r="D478" s="7"/>
      <c r="E478" s="7"/>
      <c r="F478" s="8" t="str">
        <f t="shared" si="181"/>
        <v/>
      </c>
      <c r="G478" s="7" t="str">
        <f t="shared" si="182"/>
        <v/>
      </c>
      <c r="H478" s="5" t="str">
        <f t="shared" si="183"/>
        <v/>
      </c>
      <c r="I478" s="116" t="str">
        <f t="shared" si="184"/>
        <v/>
      </c>
      <c r="J478" s="7" t="str">
        <f t="shared" si="185"/>
        <v/>
      </c>
      <c r="K478" s="9" t="str">
        <f t="shared" si="186"/>
        <v/>
      </c>
      <c r="L478" s="9" t="str">
        <f>IF(NOT(ISERROR(VLOOKUP(B478,Deflatores!G$42:H$64,2,FALSE))),VLOOKUP(B478,Deflatores!G$42:H$64,2,FALSE),IF(OR(ISBLANK(C478),ISBLANK(B478)),"",VLOOKUP(C478,Deflatores!G$4:H$38,2,FALSE)*H478+VLOOKUP(C478,Deflatores!G$4:I$38,3,FALSE)))</f>
        <v/>
      </c>
      <c r="M478" s="10"/>
      <c r="N478" s="10"/>
      <c r="O478" s="6"/>
    </row>
    <row r="479" spans="1:15">
      <c r="A479" s="119"/>
      <c r="B479" s="4"/>
      <c r="C479" s="4"/>
      <c r="D479" s="7"/>
      <c r="E479" s="7"/>
      <c r="F479" s="8" t="str">
        <f t="shared" si="181"/>
        <v/>
      </c>
      <c r="G479" s="7" t="str">
        <f t="shared" si="182"/>
        <v/>
      </c>
      <c r="H479" s="5" t="str">
        <f t="shared" si="183"/>
        <v/>
      </c>
      <c r="I479" s="116" t="str">
        <f t="shared" si="184"/>
        <v/>
      </c>
      <c r="J479" s="7" t="str">
        <f t="shared" si="185"/>
        <v/>
      </c>
      <c r="K479" s="9" t="str">
        <f t="shared" si="186"/>
        <v/>
      </c>
      <c r="L479" s="9" t="str">
        <f>IF(NOT(ISERROR(VLOOKUP(B479,Deflatores!G$42:H$64,2,FALSE))),VLOOKUP(B479,Deflatores!G$42:H$64,2,FALSE),IF(OR(ISBLANK(C479),ISBLANK(B479)),"",VLOOKUP(C479,Deflatores!G$4:H$38,2,FALSE)*H479+VLOOKUP(C479,Deflatores!G$4:I$38,3,FALSE)))</f>
        <v/>
      </c>
      <c r="M479" s="10"/>
      <c r="N479" s="10"/>
      <c r="O479" s="6"/>
    </row>
    <row r="480" spans="1:15">
      <c r="A480" s="119"/>
      <c r="B480" s="4"/>
      <c r="C480" s="4"/>
      <c r="D480" s="7"/>
      <c r="E480" s="7"/>
      <c r="F480" s="8" t="str">
        <f t="shared" si="181"/>
        <v/>
      </c>
      <c r="G480" s="7" t="str">
        <f t="shared" si="182"/>
        <v/>
      </c>
      <c r="H480" s="5" t="str">
        <f t="shared" si="183"/>
        <v/>
      </c>
      <c r="I480" s="116" t="str">
        <f t="shared" si="184"/>
        <v/>
      </c>
      <c r="J480" s="7" t="str">
        <f t="shared" si="185"/>
        <v/>
      </c>
      <c r="K480" s="9" t="str">
        <f t="shared" si="186"/>
        <v/>
      </c>
      <c r="L480" s="9" t="str">
        <f>IF(NOT(ISERROR(VLOOKUP(B480,Deflatores!G$42:H$64,2,FALSE))),VLOOKUP(B480,Deflatores!G$42:H$64,2,FALSE),IF(OR(ISBLANK(C480),ISBLANK(B480)),"",VLOOKUP(C480,Deflatores!G$4:H$38,2,FALSE)*H480+VLOOKUP(C480,Deflatores!G$4:I$38,3,FALSE)))</f>
        <v/>
      </c>
      <c r="M480" s="10"/>
      <c r="N480" s="10"/>
      <c r="O480" s="6"/>
    </row>
    <row r="481" spans="1:15">
      <c r="A481" s="119"/>
      <c r="B481" s="4"/>
      <c r="C481" s="4"/>
      <c r="D481" s="7"/>
      <c r="E481" s="7"/>
      <c r="F481" s="8" t="str">
        <f t="shared" si="181"/>
        <v/>
      </c>
      <c r="G481" s="7" t="str">
        <f t="shared" si="182"/>
        <v/>
      </c>
      <c r="H481" s="5" t="str">
        <f t="shared" si="183"/>
        <v/>
      </c>
      <c r="I481" s="116" t="str">
        <f t="shared" si="184"/>
        <v/>
      </c>
      <c r="J481" s="7" t="str">
        <f t="shared" si="185"/>
        <v/>
      </c>
      <c r="K481" s="9" t="str">
        <f t="shared" si="186"/>
        <v/>
      </c>
      <c r="L481" s="9" t="str">
        <f>IF(NOT(ISERROR(VLOOKUP(B481,Deflatores!G$42:H$64,2,FALSE))),VLOOKUP(B481,Deflatores!G$42:H$64,2,FALSE),IF(OR(ISBLANK(C481),ISBLANK(B481)),"",VLOOKUP(C481,Deflatores!G$4:H$38,2,FALSE)*H481+VLOOKUP(C481,Deflatores!G$4:I$38,3,FALSE)))</f>
        <v/>
      </c>
      <c r="M481" s="10"/>
      <c r="N481" s="10"/>
      <c r="O481" s="6"/>
    </row>
    <row r="482" spans="1:15">
      <c r="A482" s="119"/>
      <c r="B482" s="4"/>
      <c r="C482" s="4"/>
      <c r="D482" s="7"/>
      <c r="E482" s="7"/>
      <c r="F482" s="8" t="str">
        <f t="shared" si="181"/>
        <v/>
      </c>
      <c r="G482" s="7" t="str">
        <f t="shared" si="182"/>
        <v/>
      </c>
      <c r="H482" s="5" t="str">
        <f t="shared" si="183"/>
        <v/>
      </c>
      <c r="I482" s="116" t="str">
        <f t="shared" si="184"/>
        <v/>
      </c>
      <c r="J482" s="7" t="str">
        <f t="shared" si="185"/>
        <v/>
      </c>
      <c r="K482" s="9" t="str">
        <f t="shared" si="186"/>
        <v/>
      </c>
      <c r="L482" s="9" t="str">
        <f>IF(NOT(ISERROR(VLOOKUP(B482,Deflatores!G$42:H$64,2,FALSE))),VLOOKUP(B482,Deflatores!G$42:H$64,2,FALSE),IF(OR(ISBLANK(C482),ISBLANK(B482)),"",VLOOKUP(C482,Deflatores!G$4:H$38,2,FALSE)*H482+VLOOKUP(C482,Deflatores!G$4:I$38,3,FALSE)))</f>
        <v/>
      </c>
      <c r="M482" s="10"/>
      <c r="N482" s="10"/>
      <c r="O482" s="6"/>
    </row>
    <row r="483" spans="1:15">
      <c r="A483" s="119"/>
      <c r="B483" s="4"/>
      <c r="C483" s="4"/>
      <c r="D483" s="7"/>
      <c r="E483" s="7"/>
      <c r="F483" s="8" t="str">
        <f t="shared" si="181"/>
        <v/>
      </c>
      <c r="G483" s="7" t="str">
        <f t="shared" si="182"/>
        <v/>
      </c>
      <c r="H483" s="5" t="str">
        <f t="shared" si="183"/>
        <v/>
      </c>
      <c r="I483" s="116" t="str">
        <f t="shared" si="184"/>
        <v/>
      </c>
      <c r="J483" s="7" t="str">
        <f t="shared" si="185"/>
        <v/>
      </c>
      <c r="K483" s="9" t="str">
        <f t="shared" si="186"/>
        <v/>
      </c>
      <c r="L483" s="9" t="str">
        <f>IF(NOT(ISERROR(VLOOKUP(B483,Deflatores!G$42:H$64,2,FALSE))),VLOOKUP(B483,Deflatores!G$42:H$64,2,FALSE),IF(OR(ISBLANK(C483),ISBLANK(B483)),"",VLOOKUP(C483,Deflatores!G$4:H$38,2,FALSE)*H483+VLOOKUP(C483,Deflatores!G$4:I$38,3,FALSE)))</f>
        <v/>
      </c>
      <c r="M483" s="10"/>
      <c r="N483" s="10"/>
      <c r="O483" s="6"/>
    </row>
    <row r="484" spans="1:15">
      <c r="A484" s="119"/>
      <c r="B484" s="4"/>
      <c r="C484" s="4"/>
      <c r="D484" s="7"/>
      <c r="E484" s="7"/>
      <c r="F484" s="8" t="str">
        <f t="shared" si="181"/>
        <v/>
      </c>
      <c r="G484" s="7" t="str">
        <f t="shared" si="182"/>
        <v/>
      </c>
      <c r="H484" s="5" t="str">
        <f t="shared" si="183"/>
        <v/>
      </c>
      <c r="I484" s="116" t="str">
        <f t="shared" si="184"/>
        <v/>
      </c>
      <c r="J484" s="7" t="str">
        <f t="shared" si="185"/>
        <v/>
      </c>
      <c r="K484" s="9" t="str">
        <f t="shared" si="186"/>
        <v/>
      </c>
      <c r="L484" s="9" t="str">
        <f>IF(NOT(ISERROR(VLOOKUP(B484,Deflatores!G$42:H$64,2,FALSE))),VLOOKUP(B484,Deflatores!G$42:H$64,2,FALSE),IF(OR(ISBLANK(C484),ISBLANK(B484)),"",VLOOKUP(C484,Deflatores!G$4:H$38,2,FALSE)*H484+VLOOKUP(C484,Deflatores!G$4:I$38,3,FALSE)))</f>
        <v/>
      </c>
      <c r="M484" s="10"/>
      <c r="N484" s="10"/>
      <c r="O484" s="6"/>
    </row>
    <row r="485" spans="1:15">
      <c r="A485" s="119"/>
      <c r="B485" s="4"/>
      <c r="C485" s="4"/>
      <c r="D485" s="7"/>
      <c r="E485" s="7"/>
      <c r="F485" s="8" t="str">
        <f t="shared" si="181"/>
        <v/>
      </c>
      <c r="G485" s="7" t="str">
        <f t="shared" si="182"/>
        <v/>
      </c>
      <c r="H485" s="5" t="str">
        <f t="shared" si="183"/>
        <v/>
      </c>
      <c r="I485" s="116" t="str">
        <f t="shared" si="184"/>
        <v/>
      </c>
      <c r="J485" s="7" t="str">
        <f t="shared" si="185"/>
        <v/>
      </c>
      <c r="K485" s="9" t="str">
        <f t="shared" si="186"/>
        <v/>
      </c>
      <c r="L485" s="9" t="str">
        <f>IF(NOT(ISERROR(VLOOKUP(B485,Deflatores!G$42:H$64,2,FALSE))),VLOOKUP(B485,Deflatores!G$42:H$64,2,FALSE),IF(OR(ISBLANK(C485),ISBLANK(B485)),"",VLOOKUP(C485,Deflatores!G$4:H$38,2,FALSE)*H485+VLOOKUP(C485,Deflatores!G$4:I$38,3,FALSE)))</f>
        <v/>
      </c>
      <c r="M485" s="10"/>
      <c r="N485" s="10"/>
      <c r="O485" s="6"/>
    </row>
    <row r="486" spans="1:15">
      <c r="A486" s="119"/>
      <c r="B486" s="4"/>
      <c r="C486" s="4"/>
      <c r="D486" s="7"/>
      <c r="E486" s="7"/>
      <c r="F486" s="8" t="str">
        <f t="shared" si="181"/>
        <v/>
      </c>
      <c r="G486" s="7" t="str">
        <f t="shared" si="182"/>
        <v/>
      </c>
      <c r="H486" s="5" t="str">
        <f t="shared" si="183"/>
        <v/>
      </c>
      <c r="I486" s="116" t="str">
        <f t="shared" si="184"/>
        <v/>
      </c>
      <c r="J486" s="7" t="str">
        <f t="shared" si="185"/>
        <v/>
      </c>
      <c r="K486" s="9" t="str">
        <f t="shared" si="186"/>
        <v/>
      </c>
      <c r="L486" s="9" t="str">
        <f>IF(NOT(ISERROR(VLOOKUP(B486,Deflatores!G$42:H$64,2,FALSE))),VLOOKUP(B486,Deflatores!G$42:H$64,2,FALSE),IF(OR(ISBLANK(C486),ISBLANK(B486)),"",VLOOKUP(C486,Deflatores!G$4:H$38,2,FALSE)*H486+VLOOKUP(C486,Deflatores!G$4:I$38,3,FALSE)))</f>
        <v/>
      </c>
      <c r="M486" s="10"/>
      <c r="N486" s="10"/>
      <c r="O486" s="6"/>
    </row>
    <row r="487" spans="1:15">
      <c r="A487" s="119"/>
      <c r="B487" s="4"/>
      <c r="C487" s="4"/>
      <c r="D487" s="7"/>
      <c r="E487" s="7"/>
      <c r="F487" s="8" t="str">
        <f t="shared" si="181"/>
        <v/>
      </c>
      <c r="G487" s="7" t="str">
        <f t="shared" si="182"/>
        <v/>
      </c>
      <c r="H487" s="5" t="str">
        <f t="shared" si="183"/>
        <v/>
      </c>
      <c r="I487" s="116" t="str">
        <f t="shared" si="184"/>
        <v/>
      </c>
      <c r="J487" s="7" t="str">
        <f t="shared" si="185"/>
        <v/>
      </c>
      <c r="K487" s="9" t="str">
        <f t="shared" si="186"/>
        <v/>
      </c>
      <c r="L487" s="9" t="str">
        <f>IF(NOT(ISERROR(VLOOKUP(B487,Deflatores!G$42:H$64,2,FALSE))),VLOOKUP(B487,Deflatores!G$42:H$64,2,FALSE),IF(OR(ISBLANK(C487),ISBLANK(B487)),"",VLOOKUP(C487,Deflatores!G$4:H$38,2,FALSE)*H487+VLOOKUP(C487,Deflatores!G$4:I$38,3,FALSE)))</f>
        <v/>
      </c>
      <c r="M487" s="10"/>
      <c r="N487" s="10"/>
      <c r="O487" s="6"/>
    </row>
    <row r="488" spans="1:15">
      <c r="A488" s="119"/>
      <c r="B488" s="4"/>
      <c r="C488" s="4"/>
      <c r="D488" s="7"/>
      <c r="E488" s="7"/>
      <c r="F488" s="8" t="str">
        <f t="shared" si="181"/>
        <v/>
      </c>
      <c r="G488" s="7" t="str">
        <f t="shared" si="182"/>
        <v/>
      </c>
      <c r="H488" s="5" t="str">
        <f t="shared" si="183"/>
        <v/>
      </c>
      <c r="I488" s="116" t="str">
        <f t="shared" si="184"/>
        <v/>
      </c>
      <c r="J488" s="7" t="str">
        <f t="shared" si="185"/>
        <v/>
      </c>
      <c r="K488" s="9" t="str">
        <f t="shared" si="186"/>
        <v/>
      </c>
      <c r="L488" s="9" t="str">
        <f>IF(NOT(ISERROR(VLOOKUP(B488,Deflatores!G$42:H$64,2,FALSE))),VLOOKUP(B488,Deflatores!G$42:H$64,2,FALSE),IF(OR(ISBLANK(C488),ISBLANK(B488)),"",VLOOKUP(C488,Deflatores!G$4:H$38,2,FALSE)*H488+VLOOKUP(C488,Deflatores!G$4:I$38,3,FALSE)))</f>
        <v/>
      </c>
      <c r="M488" s="10"/>
      <c r="N488" s="10"/>
      <c r="O488" s="6"/>
    </row>
    <row r="489" spans="1:15">
      <c r="A489" s="119"/>
      <c r="B489" s="4"/>
      <c r="C489" s="4"/>
      <c r="D489" s="7"/>
      <c r="E489" s="7"/>
      <c r="F489" s="8" t="str">
        <f t="shared" si="181"/>
        <v/>
      </c>
      <c r="G489" s="7" t="str">
        <f t="shared" si="182"/>
        <v/>
      </c>
      <c r="H489" s="5" t="str">
        <f t="shared" si="183"/>
        <v/>
      </c>
      <c r="I489" s="116" t="str">
        <f t="shared" si="184"/>
        <v/>
      </c>
      <c r="J489" s="7" t="str">
        <f t="shared" si="185"/>
        <v/>
      </c>
      <c r="K489" s="9" t="str">
        <f t="shared" si="186"/>
        <v/>
      </c>
      <c r="L489" s="9" t="str">
        <f>IF(NOT(ISERROR(VLOOKUP(B489,Deflatores!G$42:H$64,2,FALSE))),VLOOKUP(B489,Deflatores!G$42:H$64,2,FALSE),IF(OR(ISBLANK(C489),ISBLANK(B489)),"",VLOOKUP(C489,Deflatores!G$4:H$38,2,FALSE)*H489+VLOOKUP(C489,Deflatores!G$4:I$38,3,FALSE)))</f>
        <v/>
      </c>
      <c r="M489" s="10"/>
      <c r="N489" s="10"/>
      <c r="O489" s="6"/>
    </row>
    <row r="490" spans="1:15">
      <c r="A490" s="119"/>
      <c r="B490" s="4"/>
      <c r="C490" s="4"/>
      <c r="D490" s="7"/>
      <c r="E490" s="7"/>
      <c r="F490" s="8" t="str">
        <f t="shared" si="181"/>
        <v/>
      </c>
      <c r="G490" s="7" t="str">
        <f t="shared" si="182"/>
        <v/>
      </c>
      <c r="H490" s="5" t="str">
        <f t="shared" si="183"/>
        <v/>
      </c>
      <c r="I490" s="116" t="str">
        <f t="shared" si="184"/>
        <v/>
      </c>
      <c r="J490" s="7" t="str">
        <f t="shared" si="185"/>
        <v/>
      </c>
      <c r="K490" s="9" t="str">
        <f t="shared" si="186"/>
        <v/>
      </c>
      <c r="L490" s="9" t="str">
        <f>IF(NOT(ISERROR(VLOOKUP(B490,Deflatores!G$42:H$64,2,FALSE))),VLOOKUP(B490,Deflatores!G$42:H$64,2,FALSE),IF(OR(ISBLANK(C490),ISBLANK(B490)),"",VLOOKUP(C490,Deflatores!G$4:H$38,2,FALSE)*H490+VLOOKUP(C490,Deflatores!G$4:I$38,3,FALSE)))</f>
        <v/>
      </c>
      <c r="M490" s="10"/>
      <c r="N490" s="10"/>
      <c r="O490" s="6"/>
    </row>
    <row r="491" spans="1:15">
      <c r="A491" s="119"/>
      <c r="B491" s="4"/>
      <c r="C491" s="4"/>
      <c r="D491" s="7"/>
      <c r="E491" s="7"/>
      <c r="F491" s="8" t="str">
        <f t="shared" si="181"/>
        <v/>
      </c>
      <c r="G491" s="7" t="str">
        <f t="shared" si="182"/>
        <v/>
      </c>
      <c r="H491" s="5" t="str">
        <f t="shared" si="183"/>
        <v/>
      </c>
      <c r="I491" s="116" t="str">
        <f t="shared" si="184"/>
        <v/>
      </c>
      <c r="J491" s="7" t="str">
        <f t="shared" si="185"/>
        <v/>
      </c>
      <c r="K491" s="9" t="str">
        <f t="shared" si="186"/>
        <v/>
      </c>
      <c r="L491" s="9" t="str">
        <f>IF(NOT(ISERROR(VLOOKUP(B491,Deflatores!G$42:H$64,2,FALSE))),VLOOKUP(B491,Deflatores!G$42:H$64,2,FALSE),IF(OR(ISBLANK(C491),ISBLANK(B491)),"",VLOOKUP(C491,Deflatores!G$4:H$38,2,FALSE)*H491+VLOOKUP(C491,Deflatores!G$4:I$38,3,FALSE)))</f>
        <v/>
      </c>
      <c r="M491" s="10"/>
      <c r="N491" s="10"/>
      <c r="O491" s="6"/>
    </row>
    <row r="492" spans="1:15">
      <c r="A492" s="119"/>
      <c r="B492" s="4"/>
      <c r="C492" s="4"/>
      <c r="D492" s="7"/>
      <c r="E492" s="7"/>
      <c r="F492" s="8" t="str">
        <f t="shared" si="181"/>
        <v/>
      </c>
      <c r="G492" s="7" t="str">
        <f t="shared" si="182"/>
        <v/>
      </c>
      <c r="H492" s="5" t="str">
        <f t="shared" si="183"/>
        <v/>
      </c>
      <c r="I492" s="116" t="str">
        <f t="shared" si="184"/>
        <v/>
      </c>
      <c r="J492" s="7" t="str">
        <f t="shared" si="185"/>
        <v/>
      </c>
      <c r="K492" s="9" t="str">
        <f t="shared" si="186"/>
        <v/>
      </c>
      <c r="L492" s="9" t="str">
        <f>IF(NOT(ISERROR(VLOOKUP(B492,Deflatores!G$42:H$64,2,FALSE))),VLOOKUP(B492,Deflatores!G$42:H$64,2,FALSE),IF(OR(ISBLANK(C492),ISBLANK(B492)),"",VLOOKUP(C492,Deflatores!G$4:H$38,2,FALSE)*H492+VLOOKUP(C492,Deflatores!G$4:I$38,3,FALSE)))</f>
        <v/>
      </c>
      <c r="M492" s="10"/>
      <c r="N492" s="10"/>
      <c r="O492" s="6"/>
    </row>
    <row r="493" spans="1:15">
      <c r="A493" s="119"/>
      <c r="B493" s="4"/>
      <c r="C493" s="4"/>
      <c r="D493" s="7"/>
      <c r="E493" s="7"/>
      <c r="F493" s="8" t="str">
        <f t="shared" si="181"/>
        <v/>
      </c>
      <c r="G493" s="7" t="str">
        <f t="shared" si="182"/>
        <v/>
      </c>
      <c r="H493" s="5" t="str">
        <f t="shared" si="183"/>
        <v/>
      </c>
      <c r="I493" s="116" t="str">
        <f t="shared" si="184"/>
        <v/>
      </c>
      <c r="J493" s="7" t="str">
        <f t="shared" si="185"/>
        <v/>
      </c>
      <c r="K493" s="9" t="str">
        <f t="shared" si="186"/>
        <v/>
      </c>
      <c r="L493" s="9" t="str">
        <f>IF(NOT(ISERROR(VLOOKUP(B493,Deflatores!G$42:H$64,2,FALSE))),VLOOKUP(B493,Deflatores!G$42:H$64,2,FALSE),IF(OR(ISBLANK(C493),ISBLANK(B493)),"",VLOOKUP(C493,Deflatores!G$4:H$38,2,FALSE)*H493+VLOOKUP(C493,Deflatores!G$4:I$38,3,FALSE)))</f>
        <v/>
      </c>
      <c r="M493" s="10"/>
      <c r="N493" s="10"/>
      <c r="O493" s="6"/>
    </row>
    <row r="494" spans="1:15">
      <c r="A494" s="119"/>
      <c r="B494" s="4"/>
      <c r="C494" s="4"/>
      <c r="D494" s="7"/>
      <c r="E494" s="7"/>
      <c r="F494" s="8" t="str">
        <f t="shared" si="181"/>
        <v/>
      </c>
      <c r="G494" s="7" t="str">
        <f t="shared" si="182"/>
        <v/>
      </c>
      <c r="H494" s="5" t="str">
        <f t="shared" si="183"/>
        <v/>
      </c>
      <c r="I494" s="116" t="str">
        <f t="shared" si="184"/>
        <v/>
      </c>
      <c r="J494" s="7" t="str">
        <f t="shared" si="185"/>
        <v/>
      </c>
      <c r="K494" s="9" t="str">
        <f t="shared" si="186"/>
        <v/>
      </c>
      <c r="L494" s="9" t="str">
        <f>IF(NOT(ISERROR(VLOOKUP(B494,Deflatores!G$42:H$64,2,FALSE))),VLOOKUP(B494,Deflatores!G$42:H$64,2,FALSE),IF(OR(ISBLANK(C494),ISBLANK(B494)),"",VLOOKUP(C494,Deflatores!G$4:H$38,2,FALSE)*H494+VLOOKUP(C494,Deflatores!G$4:I$38,3,FALSE)))</f>
        <v/>
      </c>
      <c r="M494" s="10"/>
      <c r="N494" s="10"/>
      <c r="O494" s="6"/>
    </row>
    <row r="495" spans="1:15">
      <c r="A495" s="119"/>
      <c r="B495" s="4"/>
      <c r="C495" s="4"/>
      <c r="D495" s="7"/>
      <c r="E495" s="7"/>
      <c r="F495" s="8" t="str">
        <f t="shared" si="181"/>
        <v/>
      </c>
      <c r="G495" s="7" t="str">
        <f t="shared" si="182"/>
        <v/>
      </c>
      <c r="H495" s="5" t="str">
        <f t="shared" si="183"/>
        <v/>
      </c>
      <c r="I495" s="116" t="str">
        <f t="shared" si="184"/>
        <v/>
      </c>
      <c r="J495" s="7" t="str">
        <f t="shared" si="185"/>
        <v/>
      </c>
      <c r="K495" s="9" t="str">
        <f t="shared" si="186"/>
        <v/>
      </c>
      <c r="L495" s="9" t="str">
        <f>IF(NOT(ISERROR(VLOOKUP(B495,Deflatores!G$42:H$64,2,FALSE))),VLOOKUP(B495,Deflatores!G$42:H$64,2,FALSE),IF(OR(ISBLANK(C495),ISBLANK(B495)),"",VLOOKUP(C495,Deflatores!G$4:H$38,2,FALSE)*H495+VLOOKUP(C495,Deflatores!G$4:I$38,3,FALSE)))</f>
        <v/>
      </c>
      <c r="M495" s="10"/>
      <c r="N495" s="10"/>
      <c r="O495" s="6"/>
    </row>
    <row r="496" spans="1:15">
      <c r="A496" s="119"/>
      <c r="B496" s="4"/>
      <c r="C496" s="4"/>
      <c r="D496" s="7"/>
      <c r="E496" s="7"/>
      <c r="F496" s="8" t="str">
        <f t="shared" si="181"/>
        <v/>
      </c>
      <c r="G496" s="7" t="str">
        <f t="shared" si="182"/>
        <v/>
      </c>
      <c r="H496" s="5" t="str">
        <f t="shared" si="183"/>
        <v/>
      </c>
      <c r="I496" s="116" t="str">
        <f t="shared" si="184"/>
        <v/>
      </c>
      <c r="J496" s="7" t="str">
        <f t="shared" si="185"/>
        <v/>
      </c>
      <c r="K496" s="9" t="str">
        <f t="shared" si="186"/>
        <v/>
      </c>
      <c r="L496" s="9" t="str">
        <f>IF(NOT(ISERROR(VLOOKUP(B496,Deflatores!G$42:H$64,2,FALSE))),VLOOKUP(B496,Deflatores!G$42:H$64,2,FALSE),IF(OR(ISBLANK(C496),ISBLANK(B496)),"",VLOOKUP(C496,Deflatores!G$4:H$38,2,FALSE)*H496+VLOOKUP(C496,Deflatores!G$4:I$38,3,FALSE)))</f>
        <v/>
      </c>
      <c r="M496" s="10"/>
      <c r="N496" s="10"/>
      <c r="O496" s="6"/>
    </row>
    <row r="497" spans="1:15">
      <c r="A497" s="119"/>
      <c r="B497" s="4"/>
      <c r="C497" s="4"/>
      <c r="D497" s="7"/>
      <c r="E497" s="7"/>
      <c r="F497" s="8" t="str">
        <f t="shared" si="181"/>
        <v/>
      </c>
      <c r="G497" s="7" t="str">
        <f t="shared" si="182"/>
        <v/>
      </c>
      <c r="H497" s="5" t="str">
        <f t="shared" si="183"/>
        <v/>
      </c>
      <c r="I497" s="116" t="str">
        <f t="shared" si="184"/>
        <v/>
      </c>
      <c r="J497" s="7" t="str">
        <f t="shared" si="185"/>
        <v/>
      </c>
      <c r="K497" s="9" t="str">
        <f t="shared" si="186"/>
        <v/>
      </c>
      <c r="L497" s="9" t="str">
        <f>IF(NOT(ISERROR(VLOOKUP(B497,Deflatores!G$42:H$64,2,FALSE))),VLOOKUP(B497,Deflatores!G$42:H$64,2,FALSE),IF(OR(ISBLANK(C497),ISBLANK(B497)),"",VLOOKUP(C497,Deflatores!G$4:H$38,2,FALSE)*H497+VLOOKUP(C497,Deflatores!G$4:I$38,3,FALSE)))</f>
        <v/>
      </c>
      <c r="M497" s="10"/>
      <c r="N497" s="10"/>
      <c r="O497" s="6"/>
    </row>
    <row r="498" spans="1:15">
      <c r="A498" s="119"/>
      <c r="B498" s="4"/>
      <c r="C498" s="4"/>
      <c r="D498" s="7"/>
      <c r="E498" s="7"/>
      <c r="F498" s="8" t="str">
        <f t="shared" si="181"/>
        <v/>
      </c>
      <c r="G498" s="7" t="str">
        <f t="shared" si="182"/>
        <v/>
      </c>
      <c r="H498" s="5" t="str">
        <f t="shared" si="183"/>
        <v/>
      </c>
      <c r="I498" s="116" t="str">
        <f t="shared" si="184"/>
        <v/>
      </c>
      <c r="J498" s="7" t="str">
        <f t="shared" si="185"/>
        <v/>
      </c>
      <c r="K498" s="9" t="str">
        <f t="shared" si="186"/>
        <v/>
      </c>
      <c r="L498" s="9" t="str">
        <f>IF(NOT(ISERROR(VLOOKUP(B498,Deflatores!G$42:H$64,2,FALSE))),VLOOKUP(B498,Deflatores!G$42:H$64,2,FALSE),IF(OR(ISBLANK(C498),ISBLANK(B498)),"",VLOOKUP(C498,Deflatores!G$4:H$38,2,FALSE)*H498+VLOOKUP(C498,Deflatores!G$4:I$38,3,FALSE)))</f>
        <v/>
      </c>
      <c r="M498" s="10"/>
      <c r="N498" s="10"/>
      <c r="O498" s="6"/>
    </row>
    <row r="499" spans="1:15">
      <c r="A499" s="119"/>
      <c r="B499" s="4"/>
      <c r="C499" s="4"/>
      <c r="D499" s="7"/>
      <c r="E499" s="7"/>
      <c r="F499" s="8" t="str">
        <f t="shared" ref="F499:F562" si="187">IF(ISBLANK(B499),"",IF(I499="L","Baixa",IF(I499="A","Média",IF(I499="","","Alta"))))</f>
        <v/>
      </c>
      <c r="G499" s="7" t="str">
        <f t="shared" ref="G499:G562" si="188">CONCATENATE(B499,I499)</f>
        <v/>
      </c>
      <c r="H499" s="5" t="str">
        <f t="shared" ref="H499:H562" si="189">IF(ISBLANK(B499),"",IF(B499="ALI",IF(I499="L",7,IF(I499="A",10,15)),IF(B499="AIE",IF(I499="L",5,IF(I499="A",7,10)),IF(B499="SE",IF(I499="L",4,IF(I499="A",5,7)),IF(OR(B499="EE",B499="CE"),IF(I499="L",3,IF(I499="A",4,6)),0)))))</f>
        <v/>
      </c>
      <c r="I499" s="116" t="str">
        <f t="shared" ref="I499:I562" si="190">IF(OR(ISBLANK(D499),ISBLANK(E499)),IF(OR(B499="ALI",B499="AIE"),"L",IF(OR(B499="EE",B499="SE",B499="CE"),"A","")),IF(B499="EE",IF(E499&gt;=3,IF(D499&gt;=5,"H","A"),IF(E499&gt;=2,IF(D499&gt;=16,"H",IF(D499&lt;=4,"L","A")),IF(D499&lt;=15,"L","A"))),IF(OR(B499="SE",B499="CE"),IF(E499&gt;=4,IF(D499&gt;=6,"H","A"),IF(E499&gt;=2,IF(D499&gt;=20,"H",IF(D499&lt;=5,"L","A")),IF(D499&lt;=19,"L","A"))),IF(OR(B499="ALI",B499="AIE"),IF(E499&gt;=6,IF(D499&gt;=20,"H","A"),IF(E499&gt;=2,IF(D499&gt;=51,"H",IF(D499&lt;=19,"L","A")),IF(D499&lt;=50,"L","A"))),""))))</f>
        <v/>
      </c>
      <c r="J499" s="7" t="str">
        <f t="shared" ref="J499:J562" si="191">CONCATENATE(B499,C499)</f>
        <v/>
      </c>
      <c r="K499" s="9" t="str">
        <f t="shared" si="186"/>
        <v/>
      </c>
      <c r="L499" s="9" t="str">
        <f>IF(NOT(ISERROR(VLOOKUP(B499,Deflatores!G$42:H$64,2,FALSE))),VLOOKUP(B499,Deflatores!G$42:H$64,2,FALSE),IF(OR(ISBLANK(C499),ISBLANK(B499)),"",VLOOKUP(C499,Deflatores!G$4:H$38,2,FALSE)*H499+VLOOKUP(C499,Deflatores!G$4:I$38,3,FALSE)))</f>
        <v/>
      </c>
      <c r="M499" s="10"/>
      <c r="N499" s="10"/>
      <c r="O499" s="6"/>
    </row>
    <row r="500" spans="1:15">
      <c r="A500" s="119"/>
      <c r="B500" s="4"/>
      <c r="C500" s="4"/>
      <c r="D500" s="7"/>
      <c r="E500" s="7"/>
      <c r="F500" s="8" t="str">
        <f t="shared" si="187"/>
        <v/>
      </c>
      <c r="G500" s="7" t="str">
        <f t="shared" si="188"/>
        <v/>
      </c>
      <c r="H500" s="5" t="str">
        <f t="shared" si="189"/>
        <v/>
      </c>
      <c r="I500" s="116" t="str">
        <f t="shared" si="190"/>
        <v/>
      </c>
      <c r="J500" s="7" t="str">
        <f t="shared" si="191"/>
        <v/>
      </c>
      <c r="K500" s="9" t="str">
        <f t="shared" si="186"/>
        <v/>
      </c>
      <c r="L500" s="9" t="str">
        <f>IF(NOT(ISERROR(VLOOKUP(B500,Deflatores!G$42:H$64,2,FALSE))),VLOOKUP(B500,Deflatores!G$42:H$64,2,FALSE),IF(OR(ISBLANK(C500),ISBLANK(B500)),"",VLOOKUP(C500,Deflatores!G$4:H$38,2,FALSE)*H500+VLOOKUP(C500,Deflatores!G$4:I$38,3,FALSE)))</f>
        <v/>
      </c>
      <c r="M500" s="10"/>
      <c r="N500" s="10"/>
      <c r="O500" s="6"/>
    </row>
    <row r="501" spans="1:15">
      <c r="A501" s="119"/>
      <c r="B501" s="4"/>
      <c r="C501" s="4"/>
      <c r="D501" s="7"/>
      <c r="E501" s="7"/>
      <c r="F501" s="8" t="str">
        <f t="shared" si="187"/>
        <v/>
      </c>
      <c r="G501" s="7" t="str">
        <f t="shared" si="188"/>
        <v/>
      </c>
      <c r="H501" s="5" t="str">
        <f t="shared" si="189"/>
        <v/>
      </c>
      <c r="I501" s="116" t="str">
        <f t="shared" si="190"/>
        <v/>
      </c>
      <c r="J501" s="7" t="str">
        <f t="shared" si="191"/>
        <v/>
      </c>
      <c r="K501" s="9" t="str">
        <f t="shared" ref="K501:K564" si="192">IF(OR(H501="",H501=0),L501,H501)</f>
        <v/>
      </c>
      <c r="L501" s="9" t="str">
        <f>IF(NOT(ISERROR(VLOOKUP(B501,Deflatores!G$42:H$64,2,FALSE))),VLOOKUP(B501,Deflatores!G$42:H$64,2,FALSE),IF(OR(ISBLANK(C501),ISBLANK(B501)),"",VLOOKUP(C501,Deflatores!G$4:H$38,2,FALSE)*H501+VLOOKUP(C501,Deflatores!G$4:I$38,3,FALSE)))</f>
        <v/>
      </c>
      <c r="M501" s="10"/>
      <c r="N501" s="10"/>
      <c r="O501" s="6"/>
    </row>
    <row r="502" spans="1:15">
      <c r="A502" s="119"/>
      <c r="B502" s="4"/>
      <c r="C502" s="4"/>
      <c r="D502" s="7"/>
      <c r="E502" s="7"/>
      <c r="F502" s="8" t="str">
        <f t="shared" si="187"/>
        <v/>
      </c>
      <c r="G502" s="7" t="str">
        <f t="shared" si="188"/>
        <v/>
      </c>
      <c r="H502" s="5" t="str">
        <f t="shared" si="189"/>
        <v/>
      </c>
      <c r="I502" s="116" t="str">
        <f t="shared" si="190"/>
        <v/>
      </c>
      <c r="J502" s="7" t="str">
        <f t="shared" si="191"/>
        <v/>
      </c>
      <c r="K502" s="9" t="str">
        <f t="shared" si="192"/>
        <v/>
      </c>
      <c r="L502" s="9" t="str">
        <f>IF(NOT(ISERROR(VLOOKUP(B502,Deflatores!G$42:H$64,2,FALSE))),VLOOKUP(B502,Deflatores!G$42:H$64,2,FALSE),IF(OR(ISBLANK(C502),ISBLANK(B502)),"",VLOOKUP(C502,Deflatores!G$4:H$38,2,FALSE)*H502+VLOOKUP(C502,Deflatores!G$4:I$38,3,FALSE)))</f>
        <v/>
      </c>
      <c r="M502" s="10"/>
      <c r="N502" s="10"/>
      <c r="O502" s="6"/>
    </row>
    <row r="503" spans="1:15">
      <c r="A503" s="119"/>
      <c r="B503" s="4"/>
      <c r="C503" s="4"/>
      <c r="D503" s="7"/>
      <c r="E503" s="7"/>
      <c r="F503" s="8" t="str">
        <f t="shared" si="187"/>
        <v/>
      </c>
      <c r="G503" s="7" t="str">
        <f t="shared" si="188"/>
        <v/>
      </c>
      <c r="H503" s="5" t="str">
        <f t="shared" si="189"/>
        <v/>
      </c>
      <c r="I503" s="116" t="str">
        <f t="shared" si="190"/>
        <v/>
      </c>
      <c r="J503" s="7" t="str">
        <f t="shared" si="191"/>
        <v/>
      </c>
      <c r="K503" s="9" t="str">
        <f t="shared" si="192"/>
        <v/>
      </c>
      <c r="L503" s="9" t="str">
        <f>IF(NOT(ISERROR(VLOOKUP(B503,Deflatores!G$42:H$64,2,FALSE))),VLOOKUP(B503,Deflatores!G$42:H$64,2,FALSE),IF(OR(ISBLANK(C503),ISBLANK(B503)),"",VLOOKUP(C503,Deflatores!G$4:H$38,2,FALSE)*H503+VLOOKUP(C503,Deflatores!G$4:I$38,3,FALSE)))</f>
        <v/>
      </c>
      <c r="M503" s="10"/>
      <c r="N503" s="10"/>
      <c r="O503" s="6"/>
    </row>
    <row r="504" spans="1:15">
      <c r="A504" s="119"/>
      <c r="B504" s="4"/>
      <c r="C504" s="4"/>
      <c r="D504" s="7"/>
      <c r="E504" s="7"/>
      <c r="F504" s="8" t="str">
        <f t="shared" si="187"/>
        <v/>
      </c>
      <c r="G504" s="7" t="str">
        <f t="shared" si="188"/>
        <v/>
      </c>
      <c r="H504" s="5" t="str">
        <f t="shared" si="189"/>
        <v/>
      </c>
      <c r="I504" s="116" t="str">
        <f t="shared" si="190"/>
        <v/>
      </c>
      <c r="J504" s="7" t="str">
        <f t="shared" si="191"/>
        <v/>
      </c>
      <c r="K504" s="9" t="str">
        <f t="shared" si="192"/>
        <v/>
      </c>
      <c r="L504" s="9" t="str">
        <f>IF(NOT(ISERROR(VLOOKUP(B504,Deflatores!G$42:H$64,2,FALSE))),VLOOKUP(B504,Deflatores!G$42:H$64,2,FALSE),IF(OR(ISBLANK(C504),ISBLANK(B504)),"",VLOOKUP(C504,Deflatores!G$4:H$38,2,FALSE)*H504+VLOOKUP(C504,Deflatores!G$4:I$38,3,FALSE)))</f>
        <v/>
      </c>
      <c r="M504" s="10"/>
      <c r="N504" s="10"/>
      <c r="O504" s="6"/>
    </row>
    <row r="505" spans="1:15">
      <c r="A505" s="119"/>
      <c r="B505" s="4"/>
      <c r="C505" s="4"/>
      <c r="D505" s="7"/>
      <c r="E505" s="7"/>
      <c r="F505" s="8" t="str">
        <f t="shared" si="187"/>
        <v/>
      </c>
      <c r="G505" s="7" t="str">
        <f t="shared" si="188"/>
        <v/>
      </c>
      <c r="H505" s="5" t="str">
        <f t="shared" si="189"/>
        <v/>
      </c>
      <c r="I505" s="116" t="str">
        <f t="shared" si="190"/>
        <v/>
      </c>
      <c r="J505" s="7" t="str">
        <f t="shared" si="191"/>
        <v/>
      </c>
      <c r="K505" s="9" t="str">
        <f t="shared" si="192"/>
        <v/>
      </c>
      <c r="L505" s="9" t="str">
        <f>IF(NOT(ISERROR(VLOOKUP(B505,Deflatores!G$42:H$64,2,FALSE))),VLOOKUP(B505,Deflatores!G$42:H$64,2,FALSE),IF(OR(ISBLANK(C505),ISBLANK(B505)),"",VLOOKUP(C505,Deflatores!G$4:H$38,2,FALSE)*H505+VLOOKUP(C505,Deflatores!G$4:I$38,3,FALSE)))</f>
        <v/>
      </c>
      <c r="M505" s="10"/>
      <c r="N505" s="10"/>
      <c r="O505" s="6"/>
    </row>
    <row r="506" spans="1:15">
      <c r="A506" s="119"/>
      <c r="B506" s="4"/>
      <c r="C506" s="4"/>
      <c r="D506" s="7"/>
      <c r="E506" s="7"/>
      <c r="F506" s="8" t="str">
        <f t="shared" si="187"/>
        <v/>
      </c>
      <c r="G506" s="7" t="str">
        <f t="shared" si="188"/>
        <v/>
      </c>
      <c r="H506" s="5" t="str">
        <f t="shared" si="189"/>
        <v/>
      </c>
      <c r="I506" s="116" t="str">
        <f t="shared" si="190"/>
        <v/>
      </c>
      <c r="J506" s="7" t="str">
        <f t="shared" si="191"/>
        <v/>
      </c>
      <c r="K506" s="9" t="str">
        <f t="shared" si="192"/>
        <v/>
      </c>
      <c r="L506" s="9" t="str">
        <f>IF(NOT(ISERROR(VLOOKUP(B506,Deflatores!G$42:H$64,2,FALSE))),VLOOKUP(B506,Deflatores!G$42:H$64,2,FALSE),IF(OR(ISBLANK(C506),ISBLANK(B506)),"",VLOOKUP(C506,Deflatores!G$4:H$38,2,FALSE)*H506+VLOOKUP(C506,Deflatores!G$4:I$38,3,FALSE)))</f>
        <v/>
      </c>
      <c r="M506" s="10"/>
      <c r="N506" s="10"/>
      <c r="O506" s="6"/>
    </row>
    <row r="507" spans="1:15">
      <c r="A507" s="119"/>
      <c r="B507" s="4"/>
      <c r="C507" s="4"/>
      <c r="D507" s="7"/>
      <c r="E507" s="7"/>
      <c r="F507" s="8" t="str">
        <f t="shared" si="187"/>
        <v/>
      </c>
      <c r="G507" s="7" t="str">
        <f t="shared" si="188"/>
        <v/>
      </c>
      <c r="H507" s="5" t="str">
        <f t="shared" si="189"/>
        <v/>
      </c>
      <c r="I507" s="116" t="str">
        <f t="shared" si="190"/>
        <v/>
      </c>
      <c r="J507" s="7" t="str">
        <f t="shared" si="191"/>
        <v/>
      </c>
      <c r="K507" s="9" t="str">
        <f t="shared" si="192"/>
        <v/>
      </c>
      <c r="L507" s="9" t="str">
        <f>IF(NOT(ISERROR(VLOOKUP(B507,Deflatores!G$42:H$64,2,FALSE))),VLOOKUP(B507,Deflatores!G$42:H$64,2,FALSE),IF(OR(ISBLANK(C507),ISBLANK(B507)),"",VLOOKUP(C507,Deflatores!G$4:H$38,2,FALSE)*H507+VLOOKUP(C507,Deflatores!G$4:I$38,3,FALSE)))</f>
        <v/>
      </c>
      <c r="M507" s="10"/>
      <c r="N507" s="10"/>
      <c r="O507" s="6"/>
    </row>
    <row r="508" spans="1:15">
      <c r="A508" s="119"/>
      <c r="B508" s="4"/>
      <c r="C508" s="4"/>
      <c r="D508" s="7"/>
      <c r="E508" s="7"/>
      <c r="F508" s="8" t="str">
        <f t="shared" si="187"/>
        <v/>
      </c>
      <c r="G508" s="7" t="str">
        <f t="shared" si="188"/>
        <v/>
      </c>
      <c r="H508" s="5" t="str">
        <f t="shared" si="189"/>
        <v/>
      </c>
      <c r="I508" s="116" t="str">
        <f t="shared" si="190"/>
        <v/>
      </c>
      <c r="J508" s="7" t="str">
        <f t="shared" si="191"/>
        <v/>
      </c>
      <c r="K508" s="9" t="str">
        <f t="shared" si="192"/>
        <v/>
      </c>
      <c r="L508" s="9" t="str">
        <f>IF(NOT(ISERROR(VLOOKUP(B508,Deflatores!G$42:H$64,2,FALSE))),VLOOKUP(B508,Deflatores!G$42:H$64,2,FALSE),IF(OR(ISBLANK(C508),ISBLANK(B508)),"",VLOOKUP(C508,Deflatores!G$4:H$38,2,FALSE)*H508+VLOOKUP(C508,Deflatores!G$4:I$38,3,FALSE)))</f>
        <v/>
      </c>
      <c r="M508" s="10"/>
      <c r="N508" s="10"/>
      <c r="O508" s="6"/>
    </row>
    <row r="509" spans="1:15">
      <c r="A509" s="119"/>
      <c r="B509" s="4"/>
      <c r="C509" s="4"/>
      <c r="D509" s="7"/>
      <c r="E509" s="7"/>
      <c r="F509" s="8" t="str">
        <f t="shared" si="187"/>
        <v/>
      </c>
      <c r="G509" s="7" t="str">
        <f t="shared" si="188"/>
        <v/>
      </c>
      <c r="H509" s="5" t="str">
        <f t="shared" si="189"/>
        <v/>
      </c>
      <c r="I509" s="116" t="str">
        <f t="shared" si="190"/>
        <v/>
      </c>
      <c r="J509" s="7" t="str">
        <f t="shared" si="191"/>
        <v/>
      </c>
      <c r="K509" s="9" t="str">
        <f t="shared" si="192"/>
        <v/>
      </c>
      <c r="L509" s="9" t="str">
        <f>IF(NOT(ISERROR(VLOOKUP(B509,Deflatores!G$42:H$64,2,FALSE))),VLOOKUP(B509,Deflatores!G$42:H$64,2,FALSE),IF(OR(ISBLANK(C509),ISBLANK(B509)),"",VLOOKUP(C509,Deflatores!G$4:H$38,2,FALSE)*H509+VLOOKUP(C509,Deflatores!G$4:I$38,3,FALSE)))</f>
        <v/>
      </c>
      <c r="M509" s="10"/>
      <c r="N509" s="10"/>
      <c r="O509" s="6"/>
    </row>
    <row r="510" spans="1:15">
      <c r="A510" s="119"/>
      <c r="B510" s="4"/>
      <c r="C510" s="4"/>
      <c r="D510" s="7"/>
      <c r="E510" s="7"/>
      <c r="F510" s="8" t="str">
        <f t="shared" si="187"/>
        <v/>
      </c>
      <c r="G510" s="7" t="str">
        <f t="shared" si="188"/>
        <v/>
      </c>
      <c r="H510" s="5" t="str">
        <f t="shared" si="189"/>
        <v/>
      </c>
      <c r="I510" s="116" t="str">
        <f t="shared" si="190"/>
        <v/>
      </c>
      <c r="J510" s="7" t="str">
        <f t="shared" si="191"/>
        <v/>
      </c>
      <c r="K510" s="9" t="str">
        <f t="shared" si="192"/>
        <v/>
      </c>
      <c r="L510" s="9" t="str">
        <f>IF(NOT(ISERROR(VLOOKUP(B510,Deflatores!G$42:H$64,2,FALSE))),VLOOKUP(B510,Deflatores!G$42:H$64,2,FALSE),IF(OR(ISBLANK(C510),ISBLANK(B510)),"",VLOOKUP(C510,Deflatores!G$4:H$38,2,FALSE)*H510+VLOOKUP(C510,Deflatores!G$4:I$38,3,FALSE)))</f>
        <v/>
      </c>
      <c r="M510" s="10"/>
      <c r="N510" s="10"/>
      <c r="O510" s="6"/>
    </row>
    <row r="511" spans="1:15">
      <c r="A511" s="119"/>
      <c r="B511" s="4"/>
      <c r="C511" s="4"/>
      <c r="D511" s="7"/>
      <c r="E511" s="7"/>
      <c r="F511" s="8" t="str">
        <f t="shared" si="187"/>
        <v/>
      </c>
      <c r="G511" s="7" t="str">
        <f t="shared" si="188"/>
        <v/>
      </c>
      <c r="H511" s="5" t="str">
        <f t="shared" si="189"/>
        <v/>
      </c>
      <c r="I511" s="116" t="str">
        <f t="shared" si="190"/>
        <v/>
      </c>
      <c r="J511" s="7" t="str">
        <f t="shared" si="191"/>
        <v/>
      </c>
      <c r="K511" s="9" t="str">
        <f t="shared" si="192"/>
        <v/>
      </c>
      <c r="L511" s="9" t="str">
        <f>IF(NOT(ISERROR(VLOOKUP(B511,Deflatores!G$42:H$64,2,FALSE))),VLOOKUP(B511,Deflatores!G$42:H$64,2,FALSE),IF(OR(ISBLANK(C511),ISBLANK(B511)),"",VLOOKUP(C511,Deflatores!G$4:H$38,2,FALSE)*H511+VLOOKUP(C511,Deflatores!G$4:I$38,3,FALSE)))</f>
        <v/>
      </c>
      <c r="M511" s="10"/>
      <c r="N511" s="10"/>
      <c r="O511" s="6"/>
    </row>
    <row r="512" spans="1:15">
      <c r="A512" s="119"/>
      <c r="B512" s="4"/>
      <c r="C512" s="4"/>
      <c r="D512" s="7"/>
      <c r="E512" s="7"/>
      <c r="F512" s="8" t="str">
        <f t="shared" si="187"/>
        <v/>
      </c>
      <c r="G512" s="7" t="str">
        <f t="shared" si="188"/>
        <v/>
      </c>
      <c r="H512" s="5" t="str">
        <f t="shared" si="189"/>
        <v/>
      </c>
      <c r="I512" s="116" t="str">
        <f t="shared" si="190"/>
        <v/>
      </c>
      <c r="J512" s="7" t="str">
        <f t="shared" si="191"/>
        <v/>
      </c>
      <c r="K512" s="9" t="str">
        <f t="shared" si="192"/>
        <v/>
      </c>
      <c r="L512" s="9" t="str">
        <f>IF(NOT(ISERROR(VLOOKUP(B512,Deflatores!G$42:H$64,2,FALSE))),VLOOKUP(B512,Deflatores!G$42:H$64,2,FALSE),IF(OR(ISBLANK(C512),ISBLANK(B512)),"",VLOOKUP(C512,Deflatores!G$4:H$38,2,FALSE)*H512+VLOOKUP(C512,Deflatores!G$4:I$38,3,FALSE)))</f>
        <v/>
      </c>
      <c r="M512" s="10"/>
      <c r="N512" s="10"/>
      <c r="O512" s="6"/>
    </row>
    <row r="513" spans="1:15">
      <c r="A513" s="119"/>
      <c r="B513" s="4"/>
      <c r="C513" s="4"/>
      <c r="D513" s="7"/>
      <c r="E513" s="7"/>
      <c r="F513" s="8" t="str">
        <f t="shared" si="187"/>
        <v/>
      </c>
      <c r="G513" s="7" t="str">
        <f t="shared" si="188"/>
        <v/>
      </c>
      <c r="H513" s="5" t="str">
        <f t="shared" si="189"/>
        <v/>
      </c>
      <c r="I513" s="116" t="str">
        <f t="shared" si="190"/>
        <v/>
      </c>
      <c r="J513" s="7" t="str">
        <f t="shared" si="191"/>
        <v/>
      </c>
      <c r="K513" s="9" t="str">
        <f t="shared" si="192"/>
        <v/>
      </c>
      <c r="L513" s="9" t="str">
        <f>IF(NOT(ISERROR(VLOOKUP(B513,Deflatores!G$42:H$64,2,FALSE))),VLOOKUP(B513,Deflatores!G$42:H$64,2,FALSE),IF(OR(ISBLANK(C513),ISBLANK(B513)),"",VLOOKUP(C513,Deflatores!G$4:H$38,2,FALSE)*H513+VLOOKUP(C513,Deflatores!G$4:I$38,3,FALSE)))</f>
        <v/>
      </c>
      <c r="M513" s="10"/>
      <c r="N513" s="10"/>
      <c r="O513" s="6"/>
    </row>
    <row r="514" spans="1:15">
      <c r="A514" s="119"/>
      <c r="B514" s="4"/>
      <c r="C514" s="4"/>
      <c r="D514" s="7"/>
      <c r="E514" s="7"/>
      <c r="F514" s="8" t="str">
        <f t="shared" si="187"/>
        <v/>
      </c>
      <c r="G514" s="7" t="str">
        <f t="shared" si="188"/>
        <v/>
      </c>
      <c r="H514" s="5" t="str">
        <f t="shared" si="189"/>
        <v/>
      </c>
      <c r="I514" s="116" t="str">
        <f t="shared" si="190"/>
        <v/>
      </c>
      <c r="J514" s="7" t="str">
        <f t="shared" si="191"/>
        <v/>
      </c>
      <c r="K514" s="9" t="str">
        <f t="shared" si="192"/>
        <v/>
      </c>
      <c r="L514" s="9" t="str">
        <f>IF(NOT(ISERROR(VLOOKUP(B514,Deflatores!G$42:H$64,2,FALSE))),VLOOKUP(B514,Deflatores!G$42:H$64,2,FALSE),IF(OR(ISBLANK(C514),ISBLANK(B514)),"",VLOOKUP(C514,Deflatores!G$4:H$38,2,FALSE)*H514+VLOOKUP(C514,Deflatores!G$4:I$38,3,FALSE)))</f>
        <v/>
      </c>
      <c r="M514" s="10"/>
      <c r="N514" s="10"/>
      <c r="O514" s="6"/>
    </row>
    <row r="515" spans="1:15">
      <c r="A515" s="119"/>
      <c r="B515" s="4"/>
      <c r="C515" s="4"/>
      <c r="D515" s="7"/>
      <c r="E515" s="7"/>
      <c r="F515" s="8" t="str">
        <f t="shared" si="187"/>
        <v/>
      </c>
      <c r="G515" s="7" t="str">
        <f t="shared" si="188"/>
        <v/>
      </c>
      <c r="H515" s="5" t="str">
        <f t="shared" si="189"/>
        <v/>
      </c>
      <c r="I515" s="116" t="str">
        <f t="shared" si="190"/>
        <v/>
      </c>
      <c r="J515" s="7" t="str">
        <f t="shared" si="191"/>
        <v/>
      </c>
      <c r="K515" s="9" t="str">
        <f t="shared" si="192"/>
        <v/>
      </c>
      <c r="L515" s="9" t="str">
        <f>IF(NOT(ISERROR(VLOOKUP(B515,Deflatores!G$42:H$64,2,FALSE))),VLOOKUP(B515,Deflatores!G$42:H$64,2,FALSE),IF(OR(ISBLANK(C515),ISBLANK(B515)),"",VLOOKUP(C515,Deflatores!G$4:H$38,2,FALSE)*H515+VLOOKUP(C515,Deflatores!G$4:I$38,3,FALSE)))</f>
        <v/>
      </c>
      <c r="M515" s="10"/>
      <c r="N515" s="10"/>
      <c r="O515" s="6"/>
    </row>
    <row r="516" spans="1:15">
      <c r="A516" s="119"/>
      <c r="B516" s="4"/>
      <c r="C516" s="4"/>
      <c r="D516" s="7"/>
      <c r="E516" s="7"/>
      <c r="F516" s="8" t="str">
        <f t="shared" si="187"/>
        <v/>
      </c>
      <c r="G516" s="7" t="str">
        <f t="shared" si="188"/>
        <v/>
      </c>
      <c r="H516" s="5" t="str">
        <f t="shared" si="189"/>
        <v/>
      </c>
      <c r="I516" s="116" t="str">
        <f t="shared" si="190"/>
        <v/>
      </c>
      <c r="J516" s="7" t="str">
        <f t="shared" si="191"/>
        <v/>
      </c>
      <c r="K516" s="9" t="str">
        <f t="shared" si="192"/>
        <v/>
      </c>
      <c r="L516" s="9" t="str">
        <f>IF(NOT(ISERROR(VLOOKUP(B516,Deflatores!G$42:H$64,2,FALSE))),VLOOKUP(B516,Deflatores!G$42:H$64,2,FALSE),IF(OR(ISBLANK(C516),ISBLANK(B516)),"",VLOOKUP(C516,Deflatores!G$4:H$38,2,FALSE)*H516+VLOOKUP(C516,Deflatores!G$4:I$38,3,FALSE)))</f>
        <v/>
      </c>
      <c r="M516" s="10"/>
      <c r="N516" s="10"/>
      <c r="O516" s="6"/>
    </row>
    <row r="517" spans="1:15">
      <c r="A517" s="119"/>
      <c r="B517" s="4"/>
      <c r="C517" s="4"/>
      <c r="D517" s="7"/>
      <c r="E517" s="7"/>
      <c r="F517" s="8" t="str">
        <f t="shared" si="187"/>
        <v/>
      </c>
      <c r="G517" s="7" t="str">
        <f t="shared" si="188"/>
        <v/>
      </c>
      <c r="H517" s="5" t="str">
        <f t="shared" si="189"/>
        <v/>
      </c>
      <c r="I517" s="116" t="str">
        <f t="shared" si="190"/>
        <v/>
      </c>
      <c r="J517" s="7" t="str">
        <f t="shared" si="191"/>
        <v/>
      </c>
      <c r="K517" s="9" t="str">
        <f t="shared" si="192"/>
        <v/>
      </c>
      <c r="L517" s="9" t="str">
        <f>IF(NOT(ISERROR(VLOOKUP(B517,Deflatores!G$42:H$64,2,FALSE))),VLOOKUP(B517,Deflatores!G$42:H$64,2,FALSE),IF(OR(ISBLANK(C517),ISBLANK(B517)),"",VLOOKUP(C517,Deflatores!G$4:H$38,2,FALSE)*H517+VLOOKUP(C517,Deflatores!G$4:I$38,3,FALSE)))</f>
        <v/>
      </c>
      <c r="M517" s="10"/>
      <c r="N517" s="10"/>
      <c r="O517" s="6"/>
    </row>
    <row r="518" spans="1:15">
      <c r="A518" s="119"/>
      <c r="B518" s="4"/>
      <c r="C518" s="4"/>
      <c r="D518" s="7"/>
      <c r="E518" s="7"/>
      <c r="F518" s="8" t="str">
        <f t="shared" si="187"/>
        <v/>
      </c>
      <c r="G518" s="7" t="str">
        <f t="shared" si="188"/>
        <v/>
      </c>
      <c r="H518" s="5" t="str">
        <f t="shared" si="189"/>
        <v/>
      </c>
      <c r="I518" s="116" t="str">
        <f t="shared" si="190"/>
        <v/>
      </c>
      <c r="J518" s="7" t="str">
        <f t="shared" si="191"/>
        <v/>
      </c>
      <c r="K518" s="9" t="str">
        <f t="shared" si="192"/>
        <v/>
      </c>
      <c r="L518" s="9" t="str">
        <f>IF(NOT(ISERROR(VLOOKUP(B518,Deflatores!G$42:H$64,2,FALSE))),VLOOKUP(B518,Deflatores!G$42:H$64,2,FALSE),IF(OR(ISBLANK(C518),ISBLANK(B518)),"",VLOOKUP(C518,Deflatores!G$4:H$38,2,FALSE)*H518+VLOOKUP(C518,Deflatores!G$4:I$38,3,FALSE)))</f>
        <v/>
      </c>
      <c r="M518" s="10"/>
      <c r="N518" s="10"/>
      <c r="O518" s="6"/>
    </row>
    <row r="519" spans="1:15">
      <c r="A519" s="119"/>
      <c r="B519" s="4"/>
      <c r="C519" s="4"/>
      <c r="D519" s="7"/>
      <c r="E519" s="7"/>
      <c r="F519" s="8" t="str">
        <f t="shared" si="187"/>
        <v/>
      </c>
      <c r="G519" s="7" t="str">
        <f t="shared" si="188"/>
        <v/>
      </c>
      <c r="H519" s="5" t="str">
        <f t="shared" si="189"/>
        <v/>
      </c>
      <c r="I519" s="116" t="str">
        <f t="shared" si="190"/>
        <v/>
      </c>
      <c r="J519" s="7" t="str">
        <f t="shared" si="191"/>
        <v/>
      </c>
      <c r="K519" s="9" t="str">
        <f t="shared" si="192"/>
        <v/>
      </c>
      <c r="L519" s="9" t="str">
        <f>IF(NOT(ISERROR(VLOOKUP(B519,Deflatores!G$42:H$64,2,FALSE))),VLOOKUP(B519,Deflatores!G$42:H$64,2,FALSE),IF(OR(ISBLANK(C519),ISBLANK(B519)),"",VLOOKUP(C519,Deflatores!G$4:H$38,2,FALSE)*H519+VLOOKUP(C519,Deflatores!G$4:I$38,3,FALSE)))</f>
        <v/>
      </c>
      <c r="M519" s="10"/>
      <c r="N519" s="10"/>
      <c r="O519" s="6"/>
    </row>
    <row r="520" spans="1:15">
      <c r="A520" s="119"/>
      <c r="B520" s="4"/>
      <c r="C520" s="4"/>
      <c r="D520" s="7"/>
      <c r="E520" s="7"/>
      <c r="F520" s="8" t="str">
        <f t="shared" si="187"/>
        <v/>
      </c>
      <c r="G520" s="7" t="str">
        <f t="shared" si="188"/>
        <v/>
      </c>
      <c r="H520" s="5" t="str">
        <f t="shared" si="189"/>
        <v/>
      </c>
      <c r="I520" s="116" t="str">
        <f t="shared" si="190"/>
        <v/>
      </c>
      <c r="J520" s="7" t="str">
        <f t="shared" si="191"/>
        <v/>
      </c>
      <c r="K520" s="9" t="str">
        <f t="shared" si="192"/>
        <v/>
      </c>
      <c r="L520" s="9" t="str">
        <f>IF(NOT(ISERROR(VLOOKUP(B520,Deflatores!G$42:H$64,2,FALSE))),VLOOKUP(B520,Deflatores!G$42:H$64,2,FALSE),IF(OR(ISBLANK(C520),ISBLANK(B520)),"",VLOOKUP(C520,Deflatores!G$4:H$38,2,FALSE)*H520+VLOOKUP(C520,Deflatores!G$4:I$38,3,FALSE)))</f>
        <v/>
      </c>
      <c r="M520" s="10"/>
      <c r="N520" s="10"/>
      <c r="O520" s="6"/>
    </row>
    <row r="521" spans="1:15">
      <c r="A521" s="119"/>
      <c r="B521" s="4"/>
      <c r="C521" s="4"/>
      <c r="D521" s="7"/>
      <c r="E521" s="7"/>
      <c r="F521" s="8" t="str">
        <f t="shared" si="187"/>
        <v/>
      </c>
      <c r="G521" s="7" t="str">
        <f t="shared" si="188"/>
        <v/>
      </c>
      <c r="H521" s="5" t="str">
        <f t="shared" si="189"/>
        <v/>
      </c>
      <c r="I521" s="116" t="str">
        <f t="shared" si="190"/>
        <v/>
      </c>
      <c r="J521" s="7" t="str">
        <f t="shared" si="191"/>
        <v/>
      </c>
      <c r="K521" s="9" t="str">
        <f t="shared" si="192"/>
        <v/>
      </c>
      <c r="L521" s="9" t="str">
        <f>IF(NOT(ISERROR(VLOOKUP(B521,Deflatores!G$42:H$64,2,FALSE))),VLOOKUP(B521,Deflatores!G$42:H$64,2,FALSE),IF(OR(ISBLANK(C521),ISBLANK(B521)),"",VLOOKUP(C521,Deflatores!G$4:H$38,2,FALSE)*H521+VLOOKUP(C521,Deflatores!G$4:I$38,3,FALSE)))</f>
        <v/>
      </c>
      <c r="M521" s="10"/>
      <c r="N521" s="10"/>
      <c r="O521" s="6"/>
    </row>
    <row r="522" spans="1:15">
      <c r="A522" s="119"/>
      <c r="B522" s="4"/>
      <c r="C522" s="4"/>
      <c r="D522" s="7"/>
      <c r="E522" s="7"/>
      <c r="F522" s="8" t="str">
        <f t="shared" si="187"/>
        <v/>
      </c>
      <c r="G522" s="7" t="str">
        <f t="shared" si="188"/>
        <v/>
      </c>
      <c r="H522" s="5" t="str">
        <f t="shared" si="189"/>
        <v/>
      </c>
      <c r="I522" s="116" t="str">
        <f t="shared" si="190"/>
        <v/>
      </c>
      <c r="J522" s="7" t="str">
        <f t="shared" si="191"/>
        <v/>
      </c>
      <c r="K522" s="9" t="str">
        <f t="shared" si="192"/>
        <v/>
      </c>
      <c r="L522" s="9" t="str">
        <f>IF(NOT(ISERROR(VLOOKUP(B522,Deflatores!G$42:H$64,2,FALSE))),VLOOKUP(B522,Deflatores!G$42:H$64,2,FALSE),IF(OR(ISBLANK(C522),ISBLANK(B522)),"",VLOOKUP(C522,Deflatores!G$4:H$38,2,FALSE)*H522+VLOOKUP(C522,Deflatores!G$4:I$38,3,FALSE)))</f>
        <v/>
      </c>
      <c r="M522" s="10"/>
      <c r="N522" s="10"/>
      <c r="O522" s="6"/>
    </row>
    <row r="523" spans="1:15">
      <c r="A523" s="119"/>
      <c r="B523" s="4"/>
      <c r="C523" s="4"/>
      <c r="D523" s="7"/>
      <c r="E523" s="7"/>
      <c r="F523" s="8" t="str">
        <f t="shared" si="187"/>
        <v/>
      </c>
      <c r="G523" s="7" t="str">
        <f t="shared" si="188"/>
        <v/>
      </c>
      <c r="H523" s="5" t="str">
        <f t="shared" si="189"/>
        <v/>
      </c>
      <c r="I523" s="116" t="str">
        <f t="shared" si="190"/>
        <v/>
      </c>
      <c r="J523" s="7" t="str">
        <f t="shared" si="191"/>
        <v/>
      </c>
      <c r="K523" s="9" t="str">
        <f t="shared" si="192"/>
        <v/>
      </c>
      <c r="L523" s="9" t="str">
        <f>IF(NOT(ISERROR(VLOOKUP(B523,Deflatores!G$42:H$64,2,FALSE))),VLOOKUP(B523,Deflatores!G$42:H$64,2,FALSE),IF(OR(ISBLANK(C523),ISBLANK(B523)),"",VLOOKUP(C523,Deflatores!G$4:H$38,2,FALSE)*H523+VLOOKUP(C523,Deflatores!G$4:I$38,3,FALSE)))</f>
        <v/>
      </c>
      <c r="M523" s="10"/>
      <c r="N523" s="10"/>
      <c r="O523" s="6"/>
    </row>
    <row r="524" spans="1:15">
      <c r="A524" s="119"/>
      <c r="B524" s="4"/>
      <c r="C524" s="4"/>
      <c r="D524" s="7"/>
      <c r="E524" s="7"/>
      <c r="F524" s="8" t="str">
        <f t="shared" si="187"/>
        <v/>
      </c>
      <c r="G524" s="7" t="str">
        <f t="shared" si="188"/>
        <v/>
      </c>
      <c r="H524" s="5" t="str">
        <f t="shared" si="189"/>
        <v/>
      </c>
      <c r="I524" s="116" t="str">
        <f t="shared" si="190"/>
        <v/>
      </c>
      <c r="J524" s="7" t="str">
        <f t="shared" si="191"/>
        <v/>
      </c>
      <c r="K524" s="9" t="str">
        <f t="shared" si="192"/>
        <v/>
      </c>
      <c r="L524" s="9" t="str">
        <f>IF(NOT(ISERROR(VLOOKUP(B524,Deflatores!G$42:H$64,2,FALSE))),VLOOKUP(B524,Deflatores!G$42:H$64,2,FALSE),IF(OR(ISBLANK(C524),ISBLANK(B524)),"",VLOOKUP(C524,Deflatores!G$4:H$38,2,FALSE)*H524+VLOOKUP(C524,Deflatores!G$4:I$38,3,FALSE)))</f>
        <v/>
      </c>
      <c r="M524" s="10"/>
      <c r="N524" s="10"/>
      <c r="O524" s="6"/>
    </row>
    <row r="525" spans="1:15">
      <c r="A525" s="119"/>
      <c r="B525" s="4"/>
      <c r="C525" s="4"/>
      <c r="D525" s="7"/>
      <c r="E525" s="7"/>
      <c r="F525" s="8" t="str">
        <f t="shared" si="187"/>
        <v/>
      </c>
      <c r="G525" s="7" t="str">
        <f t="shared" si="188"/>
        <v/>
      </c>
      <c r="H525" s="5" t="str">
        <f t="shared" si="189"/>
        <v/>
      </c>
      <c r="I525" s="116" t="str">
        <f t="shared" si="190"/>
        <v/>
      </c>
      <c r="J525" s="7" t="str">
        <f t="shared" si="191"/>
        <v/>
      </c>
      <c r="K525" s="9" t="str">
        <f t="shared" si="192"/>
        <v/>
      </c>
      <c r="L525" s="9" t="str">
        <f>IF(NOT(ISERROR(VLOOKUP(B525,Deflatores!G$42:H$64,2,FALSE))),VLOOKUP(B525,Deflatores!G$42:H$64,2,FALSE),IF(OR(ISBLANK(C525),ISBLANK(B525)),"",VLOOKUP(C525,Deflatores!G$4:H$38,2,FALSE)*H525+VLOOKUP(C525,Deflatores!G$4:I$38,3,FALSE)))</f>
        <v/>
      </c>
      <c r="M525" s="10"/>
      <c r="N525" s="10"/>
      <c r="O525" s="6"/>
    </row>
    <row r="526" spans="1:15">
      <c r="A526" s="119"/>
      <c r="B526" s="4"/>
      <c r="C526" s="4"/>
      <c r="D526" s="7"/>
      <c r="E526" s="7"/>
      <c r="F526" s="8" t="str">
        <f t="shared" si="187"/>
        <v/>
      </c>
      <c r="G526" s="7" t="str">
        <f t="shared" si="188"/>
        <v/>
      </c>
      <c r="H526" s="5" t="str">
        <f t="shared" si="189"/>
        <v/>
      </c>
      <c r="I526" s="116" t="str">
        <f t="shared" si="190"/>
        <v/>
      </c>
      <c r="J526" s="7" t="str">
        <f t="shared" si="191"/>
        <v/>
      </c>
      <c r="K526" s="9" t="str">
        <f t="shared" si="192"/>
        <v/>
      </c>
      <c r="L526" s="9" t="str">
        <f>IF(NOT(ISERROR(VLOOKUP(B526,Deflatores!G$42:H$64,2,FALSE))),VLOOKUP(B526,Deflatores!G$42:H$64,2,FALSE),IF(OR(ISBLANK(C526),ISBLANK(B526)),"",VLOOKUP(C526,Deflatores!G$4:H$38,2,FALSE)*H526+VLOOKUP(C526,Deflatores!G$4:I$38,3,FALSE)))</f>
        <v/>
      </c>
      <c r="M526" s="10"/>
      <c r="N526" s="10"/>
      <c r="O526" s="6"/>
    </row>
    <row r="527" spans="1:15">
      <c r="A527" s="119"/>
      <c r="B527" s="4"/>
      <c r="C527" s="4"/>
      <c r="D527" s="7"/>
      <c r="E527" s="7"/>
      <c r="F527" s="8" t="str">
        <f t="shared" si="187"/>
        <v/>
      </c>
      <c r="G527" s="7" t="str">
        <f t="shared" si="188"/>
        <v/>
      </c>
      <c r="H527" s="5" t="str">
        <f t="shared" si="189"/>
        <v/>
      </c>
      <c r="I527" s="116" t="str">
        <f t="shared" si="190"/>
        <v/>
      </c>
      <c r="J527" s="7" t="str">
        <f t="shared" si="191"/>
        <v/>
      </c>
      <c r="K527" s="9" t="str">
        <f t="shared" si="192"/>
        <v/>
      </c>
      <c r="L527" s="9" t="str">
        <f>IF(NOT(ISERROR(VLOOKUP(B527,Deflatores!G$42:H$64,2,FALSE))),VLOOKUP(B527,Deflatores!G$42:H$64,2,FALSE),IF(OR(ISBLANK(C527),ISBLANK(B527)),"",VLOOKUP(C527,Deflatores!G$4:H$38,2,FALSE)*H527+VLOOKUP(C527,Deflatores!G$4:I$38,3,FALSE)))</f>
        <v/>
      </c>
      <c r="M527" s="10"/>
      <c r="N527" s="10"/>
      <c r="O527" s="6"/>
    </row>
    <row r="528" spans="1:15">
      <c r="A528" s="119"/>
      <c r="B528" s="4"/>
      <c r="C528" s="4"/>
      <c r="D528" s="7"/>
      <c r="E528" s="7"/>
      <c r="F528" s="8" t="str">
        <f t="shared" si="187"/>
        <v/>
      </c>
      <c r="G528" s="7" t="str">
        <f t="shared" si="188"/>
        <v/>
      </c>
      <c r="H528" s="5" t="str">
        <f t="shared" si="189"/>
        <v/>
      </c>
      <c r="I528" s="116" t="str">
        <f t="shared" si="190"/>
        <v/>
      </c>
      <c r="J528" s="7" t="str">
        <f t="shared" si="191"/>
        <v/>
      </c>
      <c r="K528" s="9" t="str">
        <f t="shared" si="192"/>
        <v/>
      </c>
      <c r="L528" s="9" t="str">
        <f>IF(NOT(ISERROR(VLOOKUP(B528,Deflatores!G$42:H$64,2,FALSE))),VLOOKUP(B528,Deflatores!G$42:H$64,2,FALSE),IF(OR(ISBLANK(C528),ISBLANK(B528)),"",VLOOKUP(C528,Deflatores!G$4:H$38,2,FALSE)*H528+VLOOKUP(C528,Deflatores!G$4:I$38,3,FALSE)))</f>
        <v/>
      </c>
      <c r="M528" s="10"/>
      <c r="N528" s="10"/>
      <c r="O528" s="6"/>
    </row>
    <row r="529" spans="1:15">
      <c r="A529" s="119"/>
      <c r="B529" s="4"/>
      <c r="C529" s="4"/>
      <c r="D529" s="7"/>
      <c r="E529" s="7"/>
      <c r="F529" s="8" t="str">
        <f t="shared" si="187"/>
        <v/>
      </c>
      <c r="G529" s="7" t="str">
        <f t="shared" si="188"/>
        <v/>
      </c>
      <c r="H529" s="5" t="str">
        <f t="shared" si="189"/>
        <v/>
      </c>
      <c r="I529" s="116" t="str">
        <f t="shared" si="190"/>
        <v/>
      </c>
      <c r="J529" s="7" t="str">
        <f t="shared" si="191"/>
        <v/>
      </c>
      <c r="K529" s="9" t="str">
        <f t="shared" si="192"/>
        <v/>
      </c>
      <c r="L529" s="9" t="str">
        <f>IF(NOT(ISERROR(VLOOKUP(B529,Deflatores!G$42:H$64,2,FALSE))),VLOOKUP(B529,Deflatores!G$42:H$64,2,FALSE),IF(OR(ISBLANK(C529),ISBLANK(B529)),"",VLOOKUP(C529,Deflatores!G$4:H$38,2,FALSE)*H529+VLOOKUP(C529,Deflatores!G$4:I$38,3,FALSE)))</f>
        <v/>
      </c>
      <c r="M529" s="10"/>
      <c r="N529" s="10"/>
      <c r="O529" s="6"/>
    </row>
    <row r="530" spans="1:15">
      <c r="A530" s="119"/>
      <c r="B530" s="4"/>
      <c r="C530" s="4"/>
      <c r="D530" s="7"/>
      <c r="E530" s="7"/>
      <c r="F530" s="8" t="str">
        <f t="shared" si="187"/>
        <v/>
      </c>
      <c r="G530" s="7" t="str">
        <f t="shared" si="188"/>
        <v/>
      </c>
      <c r="H530" s="5" t="str">
        <f t="shared" si="189"/>
        <v/>
      </c>
      <c r="I530" s="116" t="str">
        <f t="shared" si="190"/>
        <v/>
      </c>
      <c r="J530" s="7" t="str">
        <f t="shared" si="191"/>
        <v/>
      </c>
      <c r="K530" s="9" t="str">
        <f t="shared" si="192"/>
        <v/>
      </c>
      <c r="L530" s="9" t="str">
        <f>IF(NOT(ISERROR(VLOOKUP(B530,Deflatores!G$42:H$64,2,FALSE))),VLOOKUP(B530,Deflatores!G$42:H$64,2,FALSE),IF(OR(ISBLANK(C530),ISBLANK(B530)),"",VLOOKUP(C530,Deflatores!G$4:H$38,2,FALSE)*H530+VLOOKUP(C530,Deflatores!G$4:I$38,3,FALSE)))</f>
        <v/>
      </c>
      <c r="M530" s="10"/>
      <c r="N530" s="10"/>
      <c r="O530" s="6"/>
    </row>
    <row r="531" spans="1:15">
      <c r="A531" s="119"/>
      <c r="B531" s="4"/>
      <c r="C531" s="4"/>
      <c r="D531" s="7"/>
      <c r="E531" s="7"/>
      <c r="F531" s="8" t="str">
        <f t="shared" si="187"/>
        <v/>
      </c>
      <c r="G531" s="7" t="str">
        <f t="shared" si="188"/>
        <v/>
      </c>
      <c r="H531" s="5" t="str">
        <f t="shared" si="189"/>
        <v/>
      </c>
      <c r="I531" s="116" t="str">
        <f t="shared" si="190"/>
        <v/>
      </c>
      <c r="J531" s="7" t="str">
        <f t="shared" si="191"/>
        <v/>
      </c>
      <c r="K531" s="9" t="str">
        <f t="shared" si="192"/>
        <v/>
      </c>
      <c r="L531" s="9" t="str">
        <f>IF(NOT(ISERROR(VLOOKUP(B531,Deflatores!G$42:H$64,2,FALSE))),VLOOKUP(B531,Deflatores!G$42:H$64,2,FALSE),IF(OR(ISBLANK(C531),ISBLANK(B531)),"",VLOOKUP(C531,Deflatores!G$4:H$38,2,FALSE)*H531+VLOOKUP(C531,Deflatores!G$4:I$38,3,FALSE)))</f>
        <v/>
      </c>
      <c r="M531" s="10"/>
      <c r="N531" s="10"/>
      <c r="O531" s="6"/>
    </row>
    <row r="532" spans="1:15">
      <c r="A532" s="119"/>
      <c r="B532" s="4"/>
      <c r="C532" s="4"/>
      <c r="D532" s="7"/>
      <c r="E532" s="7"/>
      <c r="F532" s="8" t="str">
        <f t="shared" si="187"/>
        <v/>
      </c>
      <c r="G532" s="7" t="str">
        <f t="shared" si="188"/>
        <v/>
      </c>
      <c r="H532" s="5" t="str">
        <f t="shared" si="189"/>
        <v/>
      </c>
      <c r="I532" s="116" t="str">
        <f t="shared" si="190"/>
        <v/>
      </c>
      <c r="J532" s="7" t="str">
        <f t="shared" si="191"/>
        <v/>
      </c>
      <c r="K532" s="9" t="str">
        <f t="shared" si="192"/>
        <v/>
      </c>
      <c r="L532" s="9" t="str">
        <f>IF(NOT(ISERROR(VLOOKUP(B532,Deflatores!G$42:H$64,2,FALSE))),VLOOKUP(B532,Deflatores!G$42:H$64,2,FALSE),IF(OR(ISBLANK(C532),ISBLANK(B532)),"",VLOOKUP(C532,Deflatores!G$4:H$38,2,FALSE)*H532+VLOOKUP(C532,Deflatores!G$4:I$38,3,FALSE)))</f>
        <v/>
      </c>
      <c r="M532" s="10"/>
      <c r="N532" s="10"/>
      <c r="O532" s="6"/>
    </row>
    <row r="533" spans="1:15">
      <c r="A533" s="119"/>
      <c r="B533" s="4"/>
      <c r="C533" s="4"/>
      <c r="D533" s="7"/>
      <c r="E533" s="7"/>
      <c r="F533" s="8" t="str">
        <f t="shared" si="187"/>
        <v/>
      </c>
      <c r="G533" s="7" t="str">
        <f t="shared" si="188"/>
        <v/>
      </c>
      <c r="H533" s="5" t="str">
        <f t="shared" si="189"/>
        <v/>
      </c>
      <c r="I533" s="116" t="str">
        <f t="shared" si="190"/>
        <v/>
      </c>
      <c r="J533" s="7" t="str">
        <f t="shared" si="191"/>
        <v/>
      </c>
      <c r="K533" s="9" t="str">
        <f t="shared" si="192"/>
        <v/>
      </c>
      <c r="L533" s="9" t="str">
        <f>IF(NOT(ISERROR(VLOOKUP(B533,Deflatores!G$42:H$64,2,FALSE))),VLOOKUP(B533,Deflatores!G$42:H$64,2,FALSE),IF(OR(ISBLANK(C533),ISBLANK(B533)),"",VLOOKUP(C533,Deflatores!G$4:H$38,2,FALSE)*H533+VLOOKUP(C533,Deflatores!G$4:I$38,3,FALSE)))</f>
        <v/>
      </c>
      <c r="M533" s="10"/>
      <c r="N533" s="10"/>
      <c r="O533" s="6"/>
    </row>
    <row r="534" spans="1:15">
      <c r="A534" s="119"/>
      <c r="B534" s="4"/>
      <c r="C534" s="4"/>
      <c r="D534" s="7"/>
      <c r="E534" s="7"/>
      <c r="F534" s="8" t="str">
        <f t="shared" si="187"/>
        <v/>
      </c>
      <c r="G534" s="7" t="str">
        <f t="shared" si="188"/>
        <v/>
      </c>
      <c r="H534" s="5" t="str">
        <f t="shared" si="189"/>
        <v/>
      </c>
      <c r="I534" s="116" t="str">
        <f t="shared" si="190"/>
        <v/>
      </c>
      <c r="J534" s="7" t="str">
        <f t="shared" si="191"/>
        <v/>
      </c>
      <c r="K534" s="9" t="str">
        <f t="shared" si="192"/>
        <v/>
      </c>
      <c r="L534" s="9" t="str">
        <f>IF(NOT(ISERROR(VLOOKUP(B534,Deflatores!G$42:H$64,2,FALSE))),VLOOKUP(B534,Deflatores!G$42:H$64,2,FALSE),IF(OR(ISBLANK(C534),ISBLANK(B534)),"",VLOOKUP(C534,Deflatores!G$4:H$38,2,FALSE)*H534+VLOOKUP(C534,Deflatores!G$4:I$38,3,FALSE)))</f>
        <v/>
      </c>
      <c r="M534" s="10"/>
      <c r="N534" s="10"/>
      <c r="O534" s="6"/>
    </row>
    <row r="535" spans="1:15">
      <c r="A535" s="119"/>
      <c r="B535" s="4"/>
      <c r="C535" s="4"/>
      <c r="D535" s="7"/>
      <c r="E535" s="7"/>
      <c r="F535" s="8" t="str">
        <f t="shared" si="187"/>
        <v/>
      </c>
      <c r="G535" s="7" t="str">
        <f t="shared" si="188"/>
        <v/>
      </c>
      <c r="H535" s="5" t="str">
        <f t="shared" si="189"/>
        <v/>
      </c>
      <c r="I535" s="116" t="str">
        <f t="shared" si="190"/>
        <v/>
      </c>
      <c r="J535" s="7" t="str">
        <f t="shared" si="191"/>
        <v/>
      </c>
      <c r="K535" s="9" t="str">
        <f t="shared" si="192"/>
        <v/>
      </c>
      <c r="L535" s="9" t="str">
        <f>IF(NOT(ISERROR(VLOOKUP(B535,Deflatores!G$42:H$64,2,FALSE))),VLOOKUP(B535,Deflatores!G$42:H$64,2,FALSE),IF(OR(ISBLANK(C535),ISBLANK(B535)),"",VLOOKUP(C535,Deflatores!G$4:H$38,2,FALSE)*H535+VLOOKUP(C535,Deflatores!G$4:I$38,3,FALSE)))</f>
        <v/>
      </c>
      <c r="M535" s="10"/>
      <c r="N535" s="10"/>
      <c r="O535" s="6"/>
    </row>
    <row r="536" spans="1:15">
      <c r="A536" s="119"/>
      <c r="B536" s="4"/>
      <c r="C536" s="4"/>
      <c r="D536" s="7"/>
      <c r="E536" s="7"/>
      <c r="F536" s="8" t="str">
        <f t="shared" si="187"/>
        <v/>
      </c>
      <c r="G536" s="7" t="str">
        <f t="shared" si="188"/>
        <v/>
      </c>
      <c r="H536" s="5" t="str">
        <f t="shared" si="189"/>
        <v/>
      </c>
      <c r="I536" s="116" t="str">
        <f t="shared" si="190"/>
        <v/>
      </c>
      <c r="J536" s="7" t="str">
        <f t="shared" si="191"/>
        <v/>
      </c>
      <c r="K536" s="9" t="str">
        <f t="shared" si="192"/>
        <v/>
      </c>
      <c r="L536" s="9" t="str">
        <f>IF(NOT(ISERROR(VLOOKUP(B536,Deflatores!G$42:H$64,2,FALSE))),VLOOKUP(B536,Deflatores!G$42:H$64,2,FALSE),IF(OR(ISBLANK(C536),ISBLANK(B536)),"",VLOOKUP(C536,Deflatores!G$4:H$38,2,FALSE)*H536+VLOOKUP(C536,Deflatores!G$4:I$38,3,FALSE)))</f>
        <v/>
      </c>
      <c r="M536" s="10"/>
      <c r="N536" s="10"/>
      <c r="O536" s="6"/>
    </row>
    <row r="537" spans="1:15">
      <c r="A537" s="119"/>
      <c r="B537" s="4"/>
      <c r="C537" s="4"/>
      <c r="D537" s="7"/>
      <c r="E537" s="7"/>
      <c r="F537" s="8" t="str">
        <f t="shared" si="187"/>
        <v/>
      </c>
      <c r="G537" s="7" t="str">
        <f t="shared" si="188"/>
        <v/>
      </c>
      <c r="H537" s="5" t="str">
        <f t="shared" si="189"/>
        <v/>
      </c>
      <c r="I537" s="116" t="str">
        <f t="shared" si="190"/>
        <v/>
      </c>
      <c r="J537" s="7" t="str">
        <f t="shared" si="191"/>
        <v/>
      </c>
      <c r="K537" s="9" t="str">
        <f t="shared" si="192"/>
        <v/>
      </c>
      <c r="L537" s="9" t="str">
        <f>IF(NOT(ISERROR(VLOOKUP(B537,Deflatores!G$42:H$64,2,FALSE))),VLOOKUP(B537,Deflatores!G$42:H$64,2,FALSE),IF(OR(ISBLANK(C537),ISBLANK(B537)),"",VLOOKUP(C537,Deflatores!G$4:H$38,2,FALSE)*H537+VLOOKUP(C537,Deflatores!G$4:I$38,3,FALSE)))</f>
        <v/>
      </c>
      <c r="M537" s="10"/>
      <c r="N537" s="10"/>
      <c r="O537" s="6"/>
    </row>
    <row r="538" spans="1:15">
      <c r="A538" s="119"/>
      <c r="B538" s="4"/>
      <c r="C538" s="4"/>
      <c r="D538" s="7"/>
      <c r="E538" s="7"/>
      <c r="F538" s="8" t="str">
        <f t="shared" si="187"/>
        <v/>
      </c>
      <c r="G538" s="7" t="str">
        <f t="shared" si="188"/>
        <v/>
      </c>
      <c r="H538" s="5" t="str">
        <f t="shared" si="189"/>
        <v/>
      </c>
      <c r="I538" s="116" t="str">
        <f t="shared" si="190"/>
        <v/>
      </c>
      <c r="J538" s="7" t="str">
        <f t="shared" si="191"/>
        <v/>
      </c>
      <c r="K538" s="9" t="str">
        <f t="shared" si="192"/>
        <v/>
      </c>
      <c r="L538" s="9" t="str">
        <f>IF(NOT(ISERROR(VLOOKUP(B538,Deflatores!G$42:H$64,2,FALSE))),VLOOKUP(B538,Deflatores!G$42:H$64,2,FALSE),IF(OR(ISBLANK(C538),ISBLANK(B538)),"",VLOOKUP(C538,Deflatores!G$4:H$38,2,FALSE)*H538+VLOOKUP(C538,Deflatores!G$4:I$38,3,FALSE)))</f>
        <v/>
      </c>
      <c r="M538" s="10"/>
      <c r="N538" s="10"/>
      <c r="O538" s="6"/>
    </row>
    <row r="539" spans="1:15">
      <c r="A539" s="119"/>
      <c r="B539" s="4"/>
      <c r="C539" s="4"/>
      <c r="D539" s="7"/>
      <c r="E539" s="7"/>
      <c r="F539" s="8" t="str">
        <f t="shared" si="187"/>
        <v/>
      </c>
      <c r="G539" s="7" t="str">
        <f t="shared" si="188"/>
        <v/>
      </c>
      <c r="H539" s="5" t="str">
        <f t="shared" si="189"/>
        <v/>
      </c>
      <c r="I539" s="116" t="str">
        <f t="shared" si="190"/>
        <v/>
      </c>
      <c r="J539" s="7" t="str">
        <f t="shared" si="191"/>
        <v/>
      </c>
      <c r="K539" s="9" t="str">
        <f t="shared" si="192"/>
        <v/>
      </c>
      <c r="L539" s="9" t="str">
        <f>IF(NOT(ISERROR(VLOOKUP(B539,Deflatores!G$42:H$64,2,FALSE))),VLOOKUP(B539,Deflatores!G$42:H$64,2,FALSE),IF(OR(ISBLANK(C539),ISBLANK(B539)),"",VLOOKUP(C539,Deflatores!G$4:H$38,2,FALSE)*H539+VLOOKUP(C539,Deflatores!G$4:I$38,3,FALSE)))</f>
        <v/>
      </c>
      <c r="M539" s="10"/>
      <c r="N539" s="10"/>
      <c r="O539" s="6"/>
    </row>
    <row r="540" spans="1:15">
      <c r="A540" s="119"/>
      <c r="B540" s="4"/>
      <c r="C540" s="4"/>
      <c r="D540" s="7"/>
      <c r="E540" s="7"/>
      <c r="F540" s="8" t="str">
        <f t="shared" si="187"/>
        <v/>
      </c>
      <c r="G540" s="7" t="str">
        <f t="shared" si="188"/>
        <v/>
      </c>
      <c r="H540" s="5" t="str">
        <f t="shared" si="189"/>
        <v/>
      </c>
      <c r="I540" s="116" t="str">
        <f t="shared" si="190"/>
        <v/>
      </c>
      <c r="J540" s="7" t="str">
        <f t="shared" si="191"/>
        <v/>
      </c>
      <c r="K540" s="9" t="str">
        <f t="shared" si="192"/>
        <v/>
      </c>
      <c r="L540" s="9" t="str">
        <f>IF(NOT(ISERROR(VLOOKUP(B540,Deflatores!G$42:H$64,2,FALSE))),VLOOKUP(B540,Deflatores!G$42:H$64,2,FALSE),IF(OR(ISBLANK(C540),ISBLANK(B540)),"",VLOOKUP(C540,Deflatores!G$4:H$38,2,FALSE)*H540+VLOOKUP(C540,Deflatores!G$4:I$38,3,FALSE)))</f>
        <v/>
      </c>
      <c r="M540" s="10"/>
      <c r="N540" s="10"/>
      <c r="O540" s="6"/>
    </row>
    <row r="541" spans="1:15">
      <c r="A541" s="119"/>
      <c r="B541" s="4"/>
      <c r="C541" s="4"/>
      <c r="D541" s="7"/>
      <c r="E541" s="7"/>
      <c r="F541" s="8" t="str">
        <f t="shared" si="187"/>
        <v/>
      </c>
      <c r="G541" s="7" t="str">
        <f t="shared" si="188"/>
        <v/>
      </c>
      <c r="H541" s="5" t="str">
        <f t="shared" si="189"/>
        <v/>
      </c>
      <c r="I541" s="116" t="str">
        <f t="shared" si="190"/>
        <v/>
      </c>
      <c r="J541" s="7" t="str">
        <f t="shared" si="191"/>
        <v/>
      </c>
      <c r="K541" s="9" t="str">
        <f t="shared" si="192"/>
        <v/>
      </c>
      <c r="L541" s="9" t="str">
        <f>IF(NOT(ISERROR(VLOOKUP(B541,Deflatores!G$42:H$64,2,FALSE))),VLOOKUP(B541,Deflatores!G$42:H$64,2,FALSE),IF(OR(ISBLANK(C541),ISBLANK(B541)),"",VLOOKUP(C541,Deflatores!G$4:H$38,2,FALSE)*H541+VLOOKUP(C541,Deflatores!G$4:I$38,3,FALSE)))</f>
        <v/>
      </c>
      <c r="M541" s="10"/>
      <c r="N541" s="10"/>
      <c r="O541" s="6"/>
    </row>
    <row r="542" spans="1:15">
      <c r="A542" s="119"/>
      <c r="B542" s="4"/>
      <c r="C542" s="4"/>
      <c r="D542" s="7"/>
      <c r="E542" s="7"/>
      <c r="F542" s="8" t="str">
        <f t="shared" si="187"/>
        <v/>
      </c>
      <c r="G542" s="7" t="str">
        <f t="shared" si="188"/>
        <v/>
      </c>
      <c r="H542" s="5" t="str">
        <f t="shared" si="189"/>
        <v/>
      </c>
      <c r="I542" s="116" t="str">
        <f t="shared" si="190"/>
        <v/>
      </c>
      <c r="J542" s="7" t="str">
        <f t="shared" si="191"/>
        <v/>
      </c>
      <c r="K542" s="9" t="str">
        <f t="shared" si="192"/>
        <v/>
      </c>
      <c r="L542" s="9" t="str">
        <f>IF(NOT(ISERROR(VLOOKUP(B542,Deflatores!G$42:H$64,2,FALSE))),VLOOKUP(B542,Deflatores!G$42:H$64,2,FALSE),IF(OR(ISBLANK(C542),ISBLANK(B542)),"",VLOOKUP(C542,Deflatores!G$4:H$38,2,FALSE)*H542+VLOOKUP(C542,Deflatores!G$4:I$38,3,FALSE)))</f>
        <v/>
      </c>
      <c r="M542" s="10"/>
      <c r="N542" s="10"/>
      <c r="O542" s="6"/>
    </row>
    <row r="543" spans="1:15">
      <c r="A543" s="119"/>
      <c r="B543" s="4"/>
      <c r="C543" s="4"/>
      <c r="D543" s="7"/>
      <c r="E543" s="7"/>
      <c r="F543" s="8" t="str">
        <f t="shared" si="187"/>
        <v/>
      </c>
      <c r="G543" s="7" t="str">
        <f t="shared" si="188"/>
        <v/>
      </c>
      <c r="H543" s="5" t="str">
        <f t="shared" si="189"/>
        <v/>
      </c>
      <c r="I543" s="116" t="str">
        <f t="shared" si="190"/>
        <v/>
      </c>
      <c r="J543" s="7" t="str">
        <f t="shared" si="191"/>
        <v/>
      </c>
      <c r="K543" s="9" t="str">
        <f t="shared" si="192"/>
        <v/>
      </c>
      <c r="L543" s="9" t="str">
        <f>IF(NOT(ISERROR(VLOOKUP(B543,Deflatores!G$42:H$64,2,FALSE))),VLOOKUP(B543,Deflatores!G$42:H$64,2,FALSE),IF(OR(ISBLANK(C543),ISBLANK(B543)),"",VLOOKUP(C543,Deflatores!G$4:H$38,2,FALSE)*H543+VLOOKUP(C543,Deflatores!G$4:I$38,3,FALSE)))</f>
        <v/>
      </c>
      <c r="M543" s="10"/>
      <c r="N543" s="10"/>
      <c r="O543" s="6"/>
    </row>
    <row r="544" spans="1:15">
      <c r="A544" s="119"/>
      <c r="B544" s="4"/>
      <c r="C544" s="4"/>
      <c r="D544" s="7"/>
      <c r="E544" s="7"/>
      <c r="F544" s="8" t="str">
        <f t="shared" si="187"/>
        <v/>
      </c>
      <c r="G544" s="7" t="str">
        <f t="shared" si="188"/>
        <v/>
      </c>
      <c r="H544" s="5" t="str">
        <f t="shared" si="189"/>
        <v/>
      </c>
      <c r="I544" s="116" t="str">
        <f t="shared" si="190"/>
        <v/>
      </c>
      <c r="J544" s="7" t="str">
        <f t="shared" si="191"/>
        <v/>
      </c>
      <c r="K544" s="9" t="str">
        <f t="shared" si="192"/>
        <v/>
      </c>
      <c r="L544" s="9" t="str">
        <f>IF(NOT(ISERROR(VLOOKUP(B544,Deflatores!G$42:H$64,2,FALSE))),VLOOKUP(B544,Deflatores!G$42:H$64,2,FALSE),IF(OR(ISBLANK(C544),ISBLANK(B544)),"",VLOOKUP(C544,Deflatores!G$4:H$38,2,FALSE)*H544+VLOOKUP(C544,Deflatores!G$4:I$38,3,FALSE)))</f>
        <v/>
      </c>
      <c r="M544" s="10"/>
      <c r="N544" s="10"/>
      <c r="O544" s="6"/>
    </row>
    <row r="545" spans="1:15">
      <c r="A545" s="119"/>
      <c r="B545" s="4"/>
      <c r="C545" s="4"/>
      <c r="D545" s="7"/>
      <c r="E545" s="7"/>
      <c r="F545" s="8" t="str">
        <f t="shared" si="187"/>
        <v/>
      </c>
      <c r="G545" s="7" t="str">
        <f t="shared" si="188"/>
        <v/>
      </c>
      <c r="H545" s="5" t="str">
        <f t="shared" si="189"/>
        <v/>
      </c>
      <c r="I545" s="116" t="str">
        <f t="shared" si="190"/>
        <v/>
      </c>
      <c r="J545" s="7" t="str">
        <f t="shared" si="191"/>
        <v/>
      </c>
      <c r="K545" s="9" t="str">
        <f t="shared" si="192"/>
        <v/>
      </c>
      <c r="L545" s="9" t="str">
        <f>IF(NOT(ISERROR(VLOOKUP(B545,Deflatores!G$42:H$64,2,FALSE))),VLOOKUP(B545,Deflatores!G$42:H$64,2,FALSE),IF(OR(ISBLANK(C545),ISBLANK(B545)),"",VLOOKUP(C545,Deflatores!G$4:H$38,2,FALSE)*H545+VLOOKUP(C545,Deflatores!G$4:I$38,3,FALSE)))</f>
        <v/>
      </c>
      <c r="M545" s="10"/>
      <c r="N545" s="10"/>
      <c r="O545" s="6"/>
    </row>
    <row r="546" spans="1:15">
      <c r="A546" s="119"/>
      <c r="B546" s="4"/>
      <c r="C546" s="4"/>
      <c r="D546" s="7"/>
      <c r="E546" s="7"/>
      <c r="F546" s="8" t="str">
        <f t="shared" si="187"/>
        <v/>
      </c>
      <c r="G546" s="7" t="str">
        <f t="shared" si="188"/>
        <v/>
      </c>
      <c r="H546" s="5" t="str">
        <f t="shared" si="189"/>
        <v/>
      </c>
      <c r="I546" s="116" t="str">
        <f t="shared" si="190"/>
        <v/>
      </c>
      <c r="J546" s="7" t="str">
        <f t="shared" si="191"/>
        <v/>
      </c>
      <c r="K546" s="9" t="str">
        <f t="shared" si="192"/>
        <v/>
      </c>
      <c r="L546" s="9" t="str">
        <f>IF(NOT(ISERROR(VLOOKUP(B546,Deflatores!G$42:H$64,2,FALSE))),VLOOKUP(B546,Deflatores!G$42:H$64,2,FALSE),IF(OR(ISBLANK(C546),ISBLANK(B546)),"",VLOOKUP(C546,Deflatores!G$4:H$38,2,FALSE)*H546+VLOOKUP(C546,Deflatores!G$4:I$38,3,FALSE)))</f>
        <v/>
      </c>
      <c r="M546" s="10"/>
      <c r="N546" s="10"/>
      <c r="O546" s="6"/>
    </row>
    <row r="547" spans="1:15">
      <c r="A547" s="119"/>
      <c r="B547" s="4"/>
      <c r="C547" s="4"/>
      <c r="D547" s="7"/>
      <c r="E547" s="7"/>
      <c r="F547" s="8" t="str">
        <f t="shared" si="187"/>
        <v/>
      </c>
      <c r="G547" s="7" t="str">
        <f t="shared" si="188"/>
        <v/>
      </c>
      <c r="H547" s="5" t="str">
        <f t="shared" si="189"/>
        <v/>
      </c>
      <c r="I547" s="116" t="str">
        <f t="shared" si="190"/>
        <v/>
      </c>
      <c r="J547" s="7" t="str">
        <f t="shared" si="191"/>
        <v/>
      </c>
      <c r="K547" s="9" t="str">
        <f t="shared" si="192"/>
        <v/>
      </c>
      <c r="L547" s="9" t="str">
        <f>IF(NOT(ISERROR(VLOOKUP(B547,Deflatores!G$42:H$64,2,FALSE))),VLOOKUP(B547,Deflatores!G$42:H$64,2,FALSE),IF(OR(ISBLANK(C547),ISBLANK(B547)),"",VLOOKUP(C547,Deflatores!G$4:H$38,2,FALSE)*H547+VLOOKUP(C547,Deflatores!G$4:I$38,3,FALSE)))</f>
        <v/>
      </c>
      <c r="M547" s="10"/>
      <c r="N547" s="10"/>
      <c r="O547" s="6"/>
    </row>
    <row r="548" spans="1:15">
      <c r="A548" s="119"/>
      <c r="B548" s="4"/>
      <c r="C548" s="4"/>
      <c r="D548" s="7"/>
      <c r="E548" s="7"/>
      <c r="F548" s="8" t="str">
        <f t="shared" si="187"/>
        <v/>
      </c>
      <c r="G548" s="7" t="str">
        <f t="shared" si="188"/>
        <v/>
      </c>
      <c r="H548" s="5" t="str">
        <f t="shared" si="189"/>
        <v/>
      </c>
      <c r="I548" s="116" t="str">
        <f t="shared" si="190"/>
        <v/>
      </c>
      <c r="J548" s="7" t="str">
        <f t="shared" si="191"/>
        <v/>
      </c>
      <c r="K548" s="9" t="str">
        <f t="shared" si="192"/>
        <v/>
      </c>
      <c r="L548" s="9" t="str">
        <f>IF(NOT(ISERROR(VLOOKUP(B548,Deflatores!G$42:H$64,2,FALSE))),VLOOKUP(B548,Deflatores!G$42:H$64,2,FALSE),IF(OR(ISBLANK(C548),ISBLANK(B548)),"",VLOOKUP(C548,Deflatores!G$4:H$38,2,FALSE)*H548+VLOOKUP(C548,Deflatores!G$4:I$38,3,FALSE)))</f>
        <v/>
      </c>
      <c r="M548" s="10"/>
      <c r="N548" s="10"/>
      <c r="O548" s="6"/>
    </row>
    <row r="549" spans="1:15">
      <c r="A549" s="119"/>
      <c r="B549" s="4"/>
      <c r="C549" s="4"/>
      <c r="D549" s="7"/>
      <c r="E549" s="7"/>
      <c r="F549" s="8" t="str">
        <f t="shared" si="187"/>
        <v/>
      </c>
      <c r="G549" s="7" t="str">
        <f t="shared" si="188"/>
        <v/>
      </c>
      <c r="H549" s="5" t="str">
        <f t="shared" si="189"/>
        <v/>
      </c>
      <c r="I549" s="116" t="str">
        <f t="shared" si="190"/>
        <v/>
      </c>
      <c r="J549" s="7" t="str">
        <f t="shared" si="191"/>
        <v/>
      </c>
      <c r="K549" s="9" t="str">
        <f t="shared" si="192"/>
        <v/>
      </c>
      <c r="L549" s="9" t="str">
        <f>IF(NOT(ISERROR(VLOOKUP(B549,Deflatores!G$42:H$64,2,FALSE))),VLOOKUP(B549,Deflatores!G$42:H$64,2,FALSE),IF(OR(ISBLANK(C549),ISBLANK(B549)),"",VLOOKUP(C549,Deflatores!G$4:H$38,2,FALSE)*H549+VLOOKUP(C549,Deflatores!G$4:I$38,3,FALSE)))</f>
        <v/>
      </c>
      <c r="M549" s="10"/>
      <c r="N549" s="10"/>
      <c r="O549" s="6"/>
    </row>
    <row r="550" spans="1:15">
      <c r="A550" s="119"/>
      <c r="B550" s="4"/>
      <c r="C550" s="4"/>
      <c r="D550" s="7"/>
      <c r="E550" s="7"/>
      <c r="F550" s="8" t="str">
        <f t="shared" si="187"/>
        <v/>
      </c>
      <c r="G550" s="7" t="str">
        <f t="shared" si="188"/>
        <v/>
      </c>
      <c r="H550" s="5" t="str">
        <f t="shared" si="189"/>
        <v/>
      </c>
      <c r="I550" s="116" t="str">
        <f t="shared" si="190"/>
        <v/>
      </c>
      <c r="J550" s="7" t="str">
        <f t="shared" si="191"/>
        <v/>
      </c>
      <c r="K550" s="9" t="str">
        <f t="shared" si="192"/>
        <v/>
      </c>
      <c r="L550" s="9" t="str">
        <f>IF(NOT(ISERROR(VLOOKUP(B550,Deflatores!G$42:H$64,2,FALSE))),VLOOKUP(B550,Deflatores!G$42:H$64,2,FALSE),IF(OR(ISBLANK(C550),ISBLANK(B550)),"",VLOOKUP(C550,Deflatores!G$4:H$38,2,FALSE)*H550+VLOOKUP(C550,Deflatores!G$4:I$38,3,FALSE)))</f>
        <v/>
      </c>
      <c r="M550" s="10"/>
      <c r="N550" s="10"/>
      <c r="O550" s="6"/>
    </row>
    <row r="551" spans="1:15">
      <c r="A551" s="119"/>
      <c r="B551" s="4"/>
      <c r="C551" s="4"/>
      <c r="D551" s="7"/>
      <c r="E551" s="7"/>
      <c r="F551" s="8" t="str">
        <f t="shared" si="187"/>
        <v/>
      </c>
      <c r="G551" s="7" t="str">
        <f t="shared" si="188"/>
        <v/>
      </c>
      <c r="H551" s="5" t="str">
        <f t="shared" si="189"/>
        <v/>
      </c>
      <c r="I551" s="116" t="str">
        <f t="shared" si="190"/>
        <v/>
      </c>
      <c r="J551" s="7" t="str">
        <f t="shared" si="191"/>
        <v/>
      </c>
      <c r="K551" s="9" t="str">
        <f t="shared" si="192"/>
        <v/>
      </c>
      <c r="L551" s="9" t="str">
        <f>IF(NOT(ISERROR(VLOOKUP(B551,Deflatores!G$42:H$64,2,FALSE))),VLOOKUP(B551,Deflatores!G$42:H$64,2,FALSE),IF(OR(ISBLANK(C551),ISBLANK(B551)),"",VLOOKUP(C551,Deflatores!G$4:H$38,2,FALSE)*H551+VLOOKUP(C551,Deflatores!G$4:I$38,3,FALSE)))</f>
        <v/>
      </c>
      <c r="M551" s="10"/>
      <c r="N551" s="10"/>
      <c r="O551" s="6"/>
    </row>
    <row r="552" spans="1:15">
      <c r="A552" s="119"/>
      <c r="B552" s="4"/>
      <c r="C552" s="4"/>
      <c r="D552" s="7"/>
      <c r="E552" s="7"/>
      <c r="F552" s="8" t="str">
        <f t="shared" si="187"/>
        <v/>
      </c>
      <c r="G552" s="7" t="str">
        <f t="shared" si="188"/>
        <v/>
      </c>
      <c r="H552" s="5" t="str">
        <f t="shared" si="189"/>
        <v/>
      </c>
      <c r="I552" s="116" t="str">
        <f t="shared" si="190"/>
        <v/>
      </c>
      <c r="J552" s="7" t="str">
        <f t="shared" si="191"/>
        <v/>
      </c>
      <c r="K552" s="9" t="str">
        <f t="shared" si="192"/>
        <v/>
      </c>
      <c r="L552" s="9" t="str">
        <f>IF(NOT(ISERROR(VLOOKUP(B552,Deflatores!G$42:H$64,2,FALSE))),VLOOKUP(B552,Deflatores!G$42:H$64,2,FALSE),IF(OR(ISBLANK(C552),ISBLANK(B552)),"",VLOOKUP(C552,Deflatores!G$4:H$38,2,FALSE)*H552+VLOOKUP(C552,Deflatores!G$4:I$38,3,FALSE)))</f>
        <v/>
      </c>
      <c r="M552" s="10"/>
      <c r="N552" s="10"/>
      <c r="O552" s="6"/>
    </row>
    <row r="553" spans="1:15">
      <c r="A553" s="119"/>
      <c r="B553" s="4"/>
      <c r="C553" s="4"/>
      <c r="D553" s="7"/>
      <c r="E553" s="7"/>
      <c r="F553" s="8" t="str">
        <f t="shared" si="187"/>
        <v/>
      </c>
      <c r="G553" s="7" t="str">
        <f t="shared" si="188"/>
        <v/>
      </c>
      <c r="H553" s="5" t="str">
        <f t="shared" si="189"/>
        <v/>
      </c>
      <c r="I553" s="116" t="str">
        <f t="shared" si="190"/>
        <v/>
      </c>
      <c r="J553" s="7" t="str">
        <f t="shared" si="191"/>
        <v/>
      </c>
      <c r="K553" s="9" t="str">
        <f t="shared" si="192"/>
        <v/>
      </c>
      <c r="L553" s="9" t="str">
        <f>IF(NOT(ISERROR(VLOOKUP(B553,Deflatores!G$42:H$64,2,FALSE))),VLOOKUP(B553,Deflatores!G$42:H$64,2,FALSE),IF(OR(ISBLANK(C553),ISBLANK(B553)),"",VLOOKUP(C553,Deflatores!G$4:H$38,2,FALSE)*H553+VLOOKUP(C553,Deflatores!G$4:I$38,3,FALSE)))</f>
        <v/>
      </c>
      <c r="M553" s="10"/>
      <c r="N553" s="10"/>
      <c r="O553" s="6"/>
    </row>
    <row r="554" spans="1:15">
      <c r="A554" s="119"/>
      <c r="B554" s="4"/>
      <c r="C554" s="4"/>
      <c r="D554" s="7"/>
      <c r="E554" s="7"/>
      <c r="F554" s="8" t="str">
        <f t="shared" si="187"/>
        <v/>
      </c>
      <c r="G554" s="7" t="str">
        <f t="shared" si="188"/>
        <v/>
      </c>
      <c r="H554" s="5" t="str">
        <f t="shared" si="189"/>
        <v/>
      </c>
      <c r="I554" s="116" t="str">
        <f t="shared" si="190"/>
        <v/>
      </c>
      <c r="J554" s="7" t="str">
        <f t="shared" si="191"/>
        <v/>
      </c>
      <c r="K554" s="9" t="str">
        <f t="shared" si="192"/>
        <v/>
      </c>
      <c r="L554" s="9" t="str">
        <f>IF(NOT(ISERROR(VLOOKUP(B554,Deflatores!G$42:H$64,2,FALSE))),VLOOKUP(B554,Deflatores!G$42:H$64,2,FALSE),IF(OR(ISBLANK(C554),ISBLANK(B554)),"",VLOOKUP(C554,Deflatores!G$4:H$38,2,FALSE)*H554+VLOOKUP(C554,Deflatores!G$4:I$38,3,FALSE)))</f>
        <v/>
      </c>
      <c r="M554" s="10"/>
      <c r="N554" s="10"/>
      <c r="O554" s="6"/>
    </row>
    <row r="555" spans="1:15">
      <c r="A555" s="119"/>
      <c r="B555" s="4"/>
      <c r="C555" s="4"/>
      <c r="D555" s="7"/>
      <c r="E555" s="7"/>
      <c r="F555" s="8" t="str">
        <f t="shared" si="187"/>
        <v/>
      </c>
      <c r="G555" s="7" t="str">
        <f t="shared" si="188"/>
        <v/>
      </c>
      <c r="H555" s="5" t="str">
        <f t="shared" si="189"/>
        <v/>
      </c>
      <c r="I555" s="116" t="str">
        <f t="shared" si="190"/>
        <v/>
      </c>
      <c r="J555" s="7" t="str">
        <f t="shared" si="191"/>
        <v/>
      </c>
      <c r="K555" s="9" t="str">
        <f t="shared" si="192"/>
        <v/>
      </c>
      <c r="L555" s="9" t="str">
        <f>IF(NOT(ISERROR(VLOOKUP(B555,Deflatores!G$42:H$64,2,FALSE))),VLOOKUP(B555,Deflatores!G$42:H$64,2,FALSE),IF(OR(ISBLANK(C555),ISBLANK(B555)),"",VLOOKUP(C555,Deflatores!G$4:H$38,2,FALSE)*H555+VLOOKUP(C555,Deflatores!G$4:I$38,3,FALSE)))</f>
        <v/>
      </c>
      <c r="M555" s="10"/>
      <c r="N555" s="10"/>
      <c r="O555" s="6"/>
    </row>
    <row r="556" spans="1:15">
      <c r="A556" s="119"/>
      <c r="B556" s="4"/>
      <c r="C556" s="4"/>
      <c r="D556" s="7"/>
      <c r="E556" s="7"/>
      <c r="F556" s="8" t="str">
        <f t="shared" si="187"/>
        <v/>
      </c>
      <c r="G556" s="7" t="str">
        <f t="shared" si="188"/>
        <v/>
      </c>
      <c r="H556" s="5" t="str">
        <f t="shared" si="189"/>
        <v/>
      </c>
      <c r="I556" s="116" t="str">
        <f t="shared" si="190"/>
        <v/>
      </c>
      <c r="J556" s="7" t="str">
        <f t="shared" si="191"/>
        <v/>
      </c>
      <c r="K556" s="9" t="str">
        <f t="shared" si="192"/>
        <v/>
      </c>
      <c r="L556" s="9" t="str">
        <f>IF(NOT(ISERROR(VLOOKUP(B556,Deflatores!G$42:H$64,2,FALSE))),VLOOKUP(B556,Deflatores!G$42:H$64,2,FALSE),IF(OR(ISBLANK(C556),ISBLANK(B556)),"",VLOOKUP(C556,Deflatores!G$4:H$38,2,FALSE)*H556+VLOOKUP(C556,Deflatores!G$4:I$38,3,FALSE)))</f>
        <v/>
      </c>
      <c r="M556" s="10"/>
      <c r="N556" s="10"/>
      <c r="O556" s="6"/>
    </row>
    <row r="557" spans="1:15">
      <c r="A557" s="119"/>
      <c r="B557" s="4"/>
      <c r="C557" s="4"/>
      <c r="D557" s="7"/>
      <c r="E557" s="7"/>
      <c r="F557" s="8" t="str">
        <f t="shared" si="187"/>
        <v/>
      </c>
      <c r="G557" s="7" t="str">
        <f t="shared" si="188"/>
        <v/>
      </c>
      <c r="H557" s="5" t="str">
        <f t="shared" si="189"/>
        <v/>
      </c>
      <c r="I557" s="116" t="str">
        <f t="shared" si="190"/>
        <v/>
      </c>
      <c r="J557" s="7" t="str">
        <f t="shared" si="191"/>
        <v/>
      </c>
      <c r="K557" s="9" t="str">
        <f t="shared" si="192"/>
        <v/>
      </c>
      <c r="L557" s="9" t="str">
        <f>IF(NOT(ISERROR(VLOOKUP(B557,Deflatores!G$42:H$64,2,FALSE))),VLOOKUP(B557,Deflatores!G$42:H$64,2,FALSE),IF(OR(ISBLANK(C557),ISBLANK(B557)),"",VLOOKUP(C557,Deflatores!G$4:H$38,2,FALSE)*H557+VLOOKUP(C557,Deflatores!G$4:I$38,3,FALSE)))</f>
        <v/>
      </c>
      <c r="M557" s="10"/>
      <c r="N557" s="10"/>
      <c r="O557" s="6"/>
    </row>
    <row r="558" spans="1:15">
      <c r="A558" s="119"/>
      <c r="B558" s="4"/>
      <c r="C558" s="4"/>
      <c r="D558" s="7"/>
      <c r="E558" s="7"/>
      <c r="F558" s="8" t="str">
        <f t="shared" si="187"/>
        <v/>
      </c>
      <c r="G558" s="7" t="str">
        <f t="shared" si="188"/>
        <v/>
      </c>
      <c r="H558" s="5" t="str">
        <f t="shared" si="189"/>
        <v/>
      </c>
      <c r="I558" s="116" t="str">
        <f t="shared" si="190"/>
        <v/>
      </c>
      <c r="J558" s="7" t="str">
        <f t="shared" si="191"/>
        <v/>
      </c>
      <c r="K558" s="9" t="str">
        <f t="shared" si="192"/>
        <v/>
      </c>
      <c r="L558" s="9" t="str">
        <f>IF(NOT(ISERROR(VLOOKUP(B558,Deflatores!G$42:H$64,2,FALSE))),VLOOKUP(B558,Deflatores!G$42:H$64,2,FALSE),IF(OR(ISBLANK(C558),ISBLANK(B558)),"",VLOOKUP(C558,Deflatores!G$4:H$38,2,FALSE)*H558+VLOOKUP(C558,Deflatores!G$4:I$38,3,FALSE)))</f>
        <v/>
      </c>
      <c r="M558" s="10"/>
      <c r="N558" s="10"/>
      <c r="O558" s="6"/>
    </row>
    <row r="559" spans="1:15">
      <c r="A559" s="119"/>
      <c r="B559" s="4"/>
      <c r="C559" s="4"/>
      <c r="D559" s="7"/>
      <c r="E559" s="7"/>
      <c r="F559" s="8" t="str">
        <f t="shared" si="187"/>
        <v/>
      </c>
      <c r="G559" s="7" t="str">
        <f t="shared" si="188"/>
        <v/>
      </c>
      <c r="H559" s="5" t="str">
        <f t="shared" si="189"/>
        <v/>
      </c>
      <c r="I559" s="116" t="str">
        <f t="shared" si="190"/>
        <v/>
      </c>
      <c r="J559" s="7" t="str">
        <f t="shared" si="191"/>
        <v/>
      </c>
      <c r="K559" s="9" t="str">
        <f t="shared" si="192"/>
        <v/>
      </c>
      <c r="L559" s="9" t="str">
        <f>IF(NOT(ISERROR(VLOOKUP(B559,Deflatores!G$42:H$64,2,FALSE))),VLOOKUP(B559,Deflatores!G$42:H$64,2,FALSE),IF(OR(ISBLANK(C559),ISBLANK(B559)),"",VLOOKUP(C559,Deflatores!G$4:H$38,2,FALSE)*H559+VLOOKUP(C559,Deflatores!G$4:I$38,3,FALSE)))</f>
        <v/>
      </c>
      <c r="M559" s="10"/>
      <c r="N559" s="10"/>
      <c r="O559" s="6"/>
    </row>
    <row r="560" spans="1:15">
      <c r="A560" s="119"/>
      <c r="B560" s="4"/>
      <c r="C560" s="4"/>
      <c r="D560" s="7"/>
      <c r="E560" s="7"/>
      <c r="F560" s="8" t="str">
        <f t="shared" si="187"/>
        <v/>
      </c>
      <c r="G560" s="7" t="str">
        <f t="shared" si="188"/>
        <v/>
      </c>
      <c r="H560" s="5" t="str">
        <f t="shared" si="189"/>
        <v/>
      </c>
      <c r="I560" s="116" t="str">
        <f t="shared" si="190"/>
        <v/>
      </c>
      <c r="J560" s="7" t="str">
        <f t="shared" si="191"/>
        <v/>
      </c>
      <c r="K560" s="9" t="str">
        <f t="shared" si="192"/>
        <v/>
      </c>
      <c r="L560" s="9" t="str">
        <f>IF(NOT(ISERROR(VLOOKUP(B560,Deflatores!G$42:H$64,2,FALSE))),VLOOKUP(B560,Deflatores!G$42:H$64,2,FALSE),IF(OR(ISBLANK(C560),ISBLANK(B560)),"",VLOOKUP(C560,Deflatores!G$4:H$38,2,FALSE)*H560+VLOOKUP(C560,Deflatores!G$4:I$38,3,FALSE)))</f>
        <v/>
      </c>
      <c r="M560" s="10"/>
      <c r="N560" s="10"/>
      <c r="O560" s="6"/>
    </row>
    <row r="561" spans="1:15">
      <c r="A561" s="119"/>
      <c r="B561" s="4"/>
      <c r="C561" s="4"/>
      <c r="D561" s="7"/>
      <c r="E561" s="7"/>
      <c r="F561" s="8" t="str">
        <f t="shared" si="187"/>
        <v/>
      </c>
      <c r="G561" s="7" t="str">
        <f t="shared" si="188"/>
        <v/>
      </c>
      <c r="H561" s="5" t="str">
        <f t="shared" si="189"/>
        <v/>
      </c>
      <c r="I561" s="116" t="str">
        <f t="shared" si="190"/>
        <v/>
      </c>
      <c r="J561" s="7" t="str">
        <f t="shared" si="191"/>
        <v/>
      </c>
      <c r="K561" s="9" t="str">
        <f t="shared" si="192"/>
        <v/>
      </c>
      <c r="L561" s="9" t="str">
        <f>IF(NOT(ISERROR(VLOOKUP(B561,Deflatores!G$42:H$64,2,FALSE))),VLOOKUP(B561,Deflatores!G$42:H$64,2,FALSE),IF(OR(ISBLANK(C561),ISBLANK(B561)),"",VLOOKUP(C561,Deflatores!G$4:H$38,2,FALSE)*H561+VLOOKUP(C561,Deflatores!G$4:I$38,3,FALSE)))</f>
        <v/>
      </c>
      <c r="M561" s="10"/>
      <c r="N561" s="10"/>
      <c r="O561" s="6"/>
    </row>
    <row r="562" spans="1:15">
      <c r="A562" s="119"/>
      <c r="B562" s="4"/>
      <c r="C562" s="4"/>
      <c r="D562" s="7"/>
      <c r="E562" s="7"/>
      <c r="F562" s="8" t="str">
        <f t="shared" si="187"/>
        <v/>
      </c>
      <c r="G562" s="7" t="str">
        <f t="shared" si="188"/>
        <v/>
      </c>
      <c r="H562" s="5" t="str">
        <f t="shared" si="189"/>
        <v/>
      </c>
      <c r="I562" s="116" t="str">
        <f t="shared" si="190"/>
        <v/>
      </c>
      <c r="J562" s="7" t="str">
        <f t="shared" si="191"/>
        <v/>
      </c>
      <c r="K562" s="9" t="str">
        <f t="shared" si="192"/>
        <v/>
      </c>
      <c r="L562" s="9" t="str">
        <f>IF(NOT(ISERROR(VLOOKUP(B562,Deflatores!G$42:H$64,2,FALSE))),VLOOKUP(B562,Deflatores!G$42:H$64,2,FALSE),IF(OR(ISBLANK(C562),ISBLANK(B562)),"",VLOOKUP(C562,Deflatores!G$4:H$38,2,FALSE)*H562+VLOOKUP(C562,Deflatores!G$4:I$38,3,FALSE)))</f>
        <v/>
      </c>
      <c r="M562" s="10"/>
      <c r="N562" s="10"/>
      <c r="O562" s="6"/>
    </row>
    <row r="563" spans="1:15">
      <c r="A563" s="119"/>
      <c r="B563" s="4"/>
      <c r="C563" s="4"/>
      <c r="D563" s="7"/>
      <c r="E563" s="7"/>
      <c r="F563" s="8" t="str">
        <f t="shared" ref="F563:F626" si="193">IF(ISBLANK(B563),"",IF(I563="L","Baixa",IF(I563="A","Média",IF(I563="","","Alta"))))</f>
        <v/>
      </c>
      <c r="G563" s="7" t="str">
        <f t="shared" ref="G563:G626" si="194">CONCATENATE(B563,I563)</f>
        <v/>
      </c>
      <c r="H563" s="5" t="str">
        <f t="shared" ref="H563:H626" si="195">IF(ISBLANK(B563),"",IF(B563="ALI",IF(I563="L",7,IF(I563="A",10,15)),IF(B563="AIE",IF(I563="L",5,IF(I563="A",7,10)),IF(B563="SE",IF(I563="L",4,IF(I563="A",5,7)),IF(OR(B563="EE",B563="CE"),IF(I563="L",3,IF(I563="A",4,6)),0)))))</f>
        <v/>
      </c>
      <c r="I563" s="116" t="str">
        <f t="shared" ref="I563:I626" si="196">IF(OR(ISBLANK(D563),ISBLANK(E563)),IF(OR(B563="ALI",B563="AIE"),"L",IF(OR(B563="EE",B563="SE",B563="CE"),"A","")),IF(B563="EE",IF(E563&gt;=3,IF(D563&gt;=5,"H","A"),IF(E563&gt;=2,IF(D563&gt;=16,"H",IF(D563&lt;=4,"L","A")),IF(D563&lt;=15,"L","A"))),IF(OR(B563="SE",B563="CE"),IF(E563&gt;=4,IF(D563&gt;=6,"H","A"),IF(E563&gt;=2,IF(D563&gt;=20,"H",IF(D563&lt;=5,"L","A")),IF(D563&lt;=19,"L","A"))),IF(OR(B563="ALI",B563="AIE"),IF(E563&gt;=6,IF(D563&gt;=20,"H","A"),IF(E563&gt;=2,IF(D563&gt;=51,"H",IF(D563&lt;=19,"L","A")),IF(D563&lt;=50,"L","A"))),""))))</f>
        <v/>
      </c>
      <c r="J563" s="7" t="str">
        <f t="shared" ref="J563:J626" si="197">CONCATENATE(B563,C563)</f>
        <v/>
      </c>
      <c r="K563" s="9" t="str">
        <f t="shared" si="192"/>
        <v/>
      </c>
      <c r="L563" s="9" t="str">
        <f>IF(NOT(ISERROR(VLOOKUP(B563,Deflatores!G$42:H$64,2,FALSE))),VLOOKUP(B563,Deflatores!G$42:H$64,2,FALSE),IF(OR(ISBLANK(C563),ISBLANK(B563)),"",VLOOKUP(C563,Deflatores!G$4:H$38,2,FALSE)*H563+VLOOKUP(C563,Deflatores!G$4:I$38,3,FALSE)))</f>
        <v/>
      </c>
      <c r="M563" s="10"/>
      <c r="N563" s="10"/>
      <c r="O563" s="6"/>
    </row>
    <row r="564" spans="1:15">
      <c r="A564" s="119"/>
      <c r="B564" s="4"/>
      <c r="C564" s="4"/>
      <c r="D564" s="7"/>
      <c r="E564" s="7"/>
      <c r="F564" s="8" t="str">
        <f t="shared" si="193"/>
        <v/>
      </c>
      <c r="G564" s="7" t="str">
        <f t="shared" si="194"/>
        <v/>
      </c>
      <c r="H564" s="5" t="str">
        <f t="shared" si="195"/>
        <v/>
      </c>
      <c r="I564" s="116" t="str">
        <f t="shared" si="196"/>
        <v/>
      </c>
      <c r="J564" s="7" t="str">
        <f t="shared" si="197"/>
        <v/>
      </c>
      <c r="K564" s="9" t="str">
        <f t="shared" si="192"/>
        <v/>
      </c>
      <c r="L564" s="9" t="str">
        <f>IF(NOT(ISERROR(VLOOKUP(B564,Deflatores!G$42:H$64,2,FALSE))),VLOOKUP(B564,Deflatores!G$42:H$64,2,FALSE),IF(OR(ISBLANK(C564),ISBLANK(B564)),"",VLOOKUP(C564,Deflatores!G$4:H$38,2,FALSE)*H564+VLOOKUP(C564,Deflatores!G$4:I$38,3,FALSE)))</f>
        <v/>
      </c>
      <c r="M564" s="10"/>
      <c r="N564" s="10"/>
      <c r="O564" s="6"/>
    </row>
    <row r="565" spans="1:15">
      <c r="A565" s="119"/>
      <c r="B565" s="4"/>
      <c r="C565" s="4"/>
      <c r="D565" s="7"/>
      <c r="E565" s="7"/>
      <c r="F565" s="8" t="str">
        <f t="shared" si="193"/>
        <v/>
      </c>
      <c r="G565" s="7" t="str">
        <f t="shared" si="194"/>
        <v/>
      </c>
      <c r="H565" s="5" t="str">
        <f t="shared" si="195"/>
        <v/>
      </c>
      <c r="I565" s="116" t="str">
        <f t="shared" si="196"/>
        <v/>
      </c>
      <c r="J565" s="7" t="str">
        <f t="shared" si="197"/>
        <v/>
      </c>
      <c r="K565" s="9" t="str">
        <f t="shared" ref="K565:K628" si="198">IF(OR(H565="",H565=0),L565,H565)</f>
        <v/>
      </c>
      <c r="L565" s="9" t="str">
        <f>IF(NOT(ISERROR(VLOOKUP(B565,Deflatores!G$42:H$64,2,FALSE))),VLOOKUP(B565,Deflatores!G$42:H$64,2,FALSE),IF(OR(ISBLANK(C565),ISBLANK(B565)),"",VLOOKUP(C565,Deflatores!G$4:H$38,2,FALSE)*H565+VLOOKUP(C565,Deflatores!G$4:I$38,3,FALSE)))</f>
        <v/>
      </c>
      <c r="M565" s="10"/>
      <c r="N565" s="10"/>
      <c r="O565" s="6"/>
    </row>
    <row r="566" spans="1:15">
      <c r="A566" s="119"/>
      <c r="B566" s="4"/>
      <c r="C566" s="4"/>
      <c r="D566" s="7"/>
      <c r="E566" s="7"/>
      <c r="F566" s="8" t="str">
        <f t="shared" si="193"/>
        <v/>
      </c>
      <c r="G566" s="7" t="str">
        <f t="shared" si="194"/>
        <v/>
      </c>
      <c r="H566" s="5" t="str">
        <f t="shared" si="195"/>
        <v/>
      </c>
      <c r="I566" s="116" t="str">
        <f t="shared" si="196"/>
        <v/>
      </c>
      <c r="J566" s="7" t="str">
        <f t="shared" si="197"/>
        <v/>
      </c>
      <c r="K566" s="9" t="str">
        <f t="shared" si="198"/>
        <v/>
      </c>
      <c r="L566" s="9" t="str">
        <f>IF(NOT(ISERROR(VLOOKUP(B566,Deflatores!G$42:H$64,2,FALSE))),VLOOKUP(B566,Deflatores!G$42:H$64,2,FALSE),IF(OR(ISBLANK(C566),ISBLANK(B566)),"",VLOOKUP(C566,Deflatores!G$4:H$38,2,FALSE)*H566+VLOOKUP(C566,Deflatores!G$4:I$38,3,FALSE)))</f>
        <v/>
      </c>
      <c r="M566" s="10"/>
      <c r="N566" s="10"/>
      <c r="O566" s="6"/>
    </row>
    <row r="567" spans="1:15">
      <c r="A567" s="119"/>
      <c r="B567" s="4"/>
      <c r="C567" s="4"/>
      <c r="D567" s="7"/>
      <c r="E567" s="7"/>
      <c r="F567" s="8" t="str">
        <f t="shared" si="193"/>
        <v/>
      </c>
      <c r="G567" s="7" t="str">
        <f t="shared" si="194"/>
        <v/>
      </c>
      <c r="H567" s="5" t="str">
        <f t="shared" si="195"/>
        <v/>
      </c>
      <c r="I567" s="116" t="str">
        <f t="shared" si="196"/>
        <v/>
      </c>
      <c r="J567" s="7" t="str">
        <f t="shared" si="197"/>
        <v/>
      </c>
      <c r="K567" s="9" t="str">
        <f t="shared" si="198"/>
        <v/>
      </c>
      <c r="L567" s="9" t="str">
        <f>IF(NOT(ISERROR(VLOOKUP(B567,Deflatores!G$42:H$64,2,FALSE))),VLOOKUP(B567,Deflatores!G$42:H$64,2,FALSE),IF(OR(ISBLANK(C567),ISBLANK(B567)),"",VLOOKUP(C567,Deflatores!G$4:H$38,2,FALSE)*H567+VLOOKUP(C567,Deflatores!G$4:I$38,3,FALSE)))</f>
        <v/>
      </c>
      <c r="M567" s="10"/>
      <c r="N567" s="10"/>
      <c r="O567" s="6"/>
    </row>
    <row r="568" spans="1:15">
      <c r="A568" s="119"/>
      <c r="B568" s="4"/>
      <c r="C568" s="4"/>
      <c r="D568" s="7"/>
      <c r="E568" s="7"/>
      <c r="F568" s="8" t="str">
        <f t="shared" si="193"/>
        <v/>
      </c>
      <c r="G568" s="7" t="str">
        <f t="shared" si="194"/>
        <v/>
      </c>
      <c r="H568" s="5" t="str">
        <f t="shared" si="195"/>
        <v/>
      </c>
      <c r="I568" s="116" t="str">
        <f t="shared" si="196"/>
        <v/>
      </c>
      <c r="J568" s="7" t="str">
        <f t="shared" si="197"/>
        <v/>
      </c>
      <c r="K568" s="9" t="str">
        <f t="shared" si="198"/>
        <v/>
      </c>
      <c r="L568" s="9" t="str">
        <f>IF(NOT(ISERROR(VLOOKUP(B568,Deflatores!G$42:H$64,2,FALSE))),VLOOKUP(B568,Deflatores!G$42:H$64,2,FALSE),IF(OR(ISBLANK(C568),ISBLANK(B568)),"",VLOOKUP(C568,Deflatores!G$4:H$38,2,FALSE)*H568+VLOOKUP(C568,Deflatores!G$4:I$38,3,FALSE)))</f>
        <v/>
      </c>
      <c r="M568" s="10"/>
      <c r="N568" s="10"/>
      <c r="O568" s="6"/>
    </row>
    <row r="569" spans="1:15">
      <c r="A569" s="119"/>
      <c r="B569" s="4"/>
      <c r="C569" s="4"/>
      <c r="D569" s="7"/>
      <c r="E569" s="7"/>
      <c r="F569" s="8" t="str">
        <f t="shared" si="193"/>
        <v/>
      </c>
      <c r="G569" s="7" t="str">
        <f t="shared" si="194"/>
        <v/>
      </c>
      <c r="H569" s="5" t="str">
        <f t="shared" si="195"/>
        <v/>
      </c>
      <c r="I569" s="116" t="str">
        <f t="shared" si="196"/>
        <v/>
      </c>
      <c r="J569" s="7" t="str">
        <f t="shared" si="197"/>
        <v/>
      </c>
      <c r="K569" s="9" t="str">
        <f t="shared" si="198"/>
        <v/>
      </c>
      <c r="L569" s="9" t="str">
        <f>IF(NOT(ISERROR(VLOOKUP(B569,Deflatores!G$42:H$64,2,FALSE))),VLOOKUP(B569,Deflatores!G$42:H$64,2,FALSE),IF(OR(ISBLANK(C569),ISBLANK(B569)),"",VLOOKUP(C569,Deflatores!G$4:H$38,2,FALSE)*H569+VLOOKUP(C569,Deflatores!G$4:I$38,3,FALSE)))</f>
        <v/>
      </c>
      <c r="M569" s="10"/>
      <c r="N569" s="10"/>
      <c r="O569" s="6"/>
    </row>
    <row r="570" spans="1:15">
      <c r="A570" s="119"/>
      <c r="B570" s="4"/>
      <c r="C570" s="4"/>
      <c r="D570" s="7"/>
      <c r="E570" s="7"/>
      <c r="F570" s="8" t="str">
        <f t="shared" si="193"/>
        <v/>
      </c>
      <c r="G570" s="7" t="str">
        <f t="shared" si="194"/>
        <v/>
      </c>
      <c r="H570" s="5" t="str">
        <f t="shared" si="195"/>
        <v/>
      </c>
      <c r="I570" s="116" t="str">
        <f t="shared" si="196"/>
        <v/>
      </c>
      <c r="J570" s="7" t="str">
        <f t="shared" si="197"/>
        <v/>
      </c>
      <c r="K570" s="9" t="str">
        <f t="shared" si="198"/>
        <v/>
      </c>
      <c r="L570" s="9" t="str">
        <f>IF(NOT(ISERROR(VLOOKUP(B570,Deflatores!G$42:H$64,2,FALSE))),VLOOKUP(B570,Deflatores!G$42:H$64,2,FALSE),IF(OR(ISBLANK(C570),ISBLANK(B570)),"",VLOOKUP(C570,Deflatores!G$4:H$38,2,FALSE)*H570+VLOOKUP(C570,Deflatores!G$4:I$38,3,FALSE)))</f>
        <v/>
      </c>
      <c r="M570" s="10"/>
      <c r="N570" s="10"/>
      <c r="O570" s="6"/>
    </row>
    <row r="571" spans="1:15">
      <c r="A571" s="119"/>
      <c r="B571" s="4"/>
      <c r="C571" s="4"/>
      <c r="D571" s="7"/>
      <c r="E571" s="7"/>
      <c r="F571" s="8" t="str">
        <f t="shared" si="193"/>
        <v/>
      </c>
      <c r="G571" s="7" t="str">
        <f t="shared" si="194"/>
        <v/>
      </c>
      <c r="H571" s="5" t="str">
        <f t="shared" si="195"/>
        <v/>
      </c>
      <c r="I571" s="116" t="str">
        <f t="shared" si="196"/>
        <v/>
      </c>
      <c r="J571" s="7" t="str">
        <f t="shared" si="197"/>
        <v/>
      </c>
      <c r="K571" s="9" t="str">
        <f t="shared" si="198"/>
        <v/>
      </c>
      <c r="L571" s="9" t="str">
        <f>IF(NOT(ISERROR(VLOOKUP(B571,Deflatores!G$42:H$64,2,FALSE))),VLOOKUP(B571,Deflatores!G$42:H$64,2,FALSE),IF(OR(ISBLANK(C571),ISBLANK(B571)),"",VLOOKUP(C571,Deflatores!G$4:H$38,2,FALSE)*H571+VLOOKUP(C571,Deflatores!G$4:I$38,3,FALSE)))</f>
        <v/>
      </c>
      <c r="M571" s="10"/>
      <c r="N571" s="10"/>
      <c r="O571" s="6"/>
    </row>
    <row r="572" spans="1:15">
      <c r="A572" s="119"/>
      <c r="B572" s="4"/>
      <c r="C572" s="4"/>
      <c r="D572" s="7"/>
      <c r="E572" s="7"/>
      <c r="F572" s="8" t="str">
        <f t="shared" si="193"/>
        <v/>
      </c>
      <c r="G572" s="7" t="str">
        <f t="shared" si="194"/>
        <v/>
      </c>
      <c r="H572" s="5" t="str">
        <f t="shared" si="195"/>
        <v/>
      </c>
      <c r="I572" s="116" t="str">
        <f t="shared" si="196"/>
        <v/>
      </c>
      <c r="J572" s="7" t="str">
        <f t="shared" si="197"/>
        <v/>
      </c>
      <c r="K572" s="9" t="str">
        <f t="shared" si="198"/>
        <v/>
      </c>
      <c r="L572" s="9" t="str">
        <f>IF(NOT(ISERROR(VLOOKUP(B572,Deflatores!G$42:H$64,2,FALSE))),VLOOKUP(B572,Deflatores!G$42:H$64,2,FALSE),IF(OR(ISBLANK(C572),ISBLANK(B572)),"",VLOOKUP(C572,Deflatores!G$4:H$38,2,FALSE)*H572+VLOOKUP(C572,Deflatores!G$4:I$38,3,FALSE)))</f>
        <v/>
      </c>
      <c r="M572" s="10"/>
      <c r="N572" s="10"/>
      <c r="O572" s="6"/>
    </row>
    <row r="573" spans="1:15">
      <c r="A573" s="119"/>
      <c r="B573" s="4"/>
      <c r="C573" s="4"/>
      <c r="D573" s="7"/>
      <c r="E573" s="7"/>
      <c r="F573" s="8" t="str">
        <f t="shared" si="193"/>
        <v/>
      </c>
      <c r="G573" s="7" t="str">
        <f t="shared" si="194"/>
        <v/>
      </c>
      <c r="H573" s="5" t="str">
        <f t="shared" si="195"/>
        <v/>
      </c>
      <c r="I573" s="116" t="str">
        <f t="shared" si="196"/>
        <v/>
      </c>
      <c r="J573" s="7" t="str">
        <f t="shared" si="197"/>
        <v/>
      </c>
      <c r="K573" s="9" t="str">
        <f t="shared" si="198"/>
        <v/>
      </c>
      <c r="L573" s="9" t="str">
        <f>IF(NOT(ISERROR(VLOOKUP(B573,Deflatores!G$42:H$64,2,FALSE))),VLOOKUP(B573,Deflatores!G$42:H$64,2,FALSE),IF(OR(ISBLANK(C573),ISBLANK(B573)),"",VLOOKUP(C573,Deflatores!G$4:H$38,2,FALSE)*H573+VLOOKUP(C573,Deflatores!G$4:I$38,3,FALSE)))</f>
        <v/>
      </c>
      <c r="M573" s="10"/>
      <c r="N573" s="10"/>
      <c r="O573" s="6"/>
    </row>
    <row r="574" spans="1:15">
      <c r="A574" s="119"/>
      <c r="B574" s="4"/>
      <c r="C574" s="4"/>
      <c r="D574" s="7"/>
      <c r="E574" s="7"/>
      <c r="F574" s="8" t="str">
        <f t="shared" si="193"/>
        <v/>
      </c>
      <c r="G574" s="7" t="str">
        <f t="shared" si="194"/>
        <v/>
      </c>
      <c r="H574" s="5" t="str">
        <f t="shared" si="195"/>
        <v/>
      </c>
      <c r="I574" s="116" t="str">
        <f t="shared" si="196"/>
        <v/>
      </c>
      <c r="J574" s="7" t="str">
        <f t="shared" si="197"/>
        <v/>
      </c>
      <c r="K574" s="9" t="str">
        <f t="shared" si="198"/>
        <v/>
      </c>
      <c r="L574" s="9" t="str">
        <f>IF(NOT(ISERROR(VLOOKUP(B574,Deflatores!G$42:H$64,2,FALSE))),VLOOKUP(B574,Deflatores!G$42:H$64,2,FALSE),IF(OR(ISBLANK(C574),ISBLANK(B574)),"",VLOOKUP(C574,Deflatores!G$4:H$38,2,FALSE)*H574+VLOOKUP(C574,Deflatores!G$4:I$38,3,FALSE)))</f>
        <v/>
      </c>
      <c r="M574" s="10"/>
      <c r="N574" s="10"/>
      <c r="O574" s="6"/>
    </row>
    <row r="575" spans="1:15">
      <c r="A575" s="119"/>
      <c r="B575" s="4"/>
      <c r="C575" s="4"/>
      <c r="D575" s="7"/>
      <c r="E575" s="7"/>
      <c r="F575" s="8" t="str">
        <f t="shared" si="193"/>
        <v/>
      </c>
      <c r="G575" s="7" t="str">
        <f t="shared" si="194"/>
        <v/>
      </c>
      <c r="H575" s="5" t="str">
        <f t="shared" si="195"/>
        <v/>
      </c>
      <c r="I575" s="116" t="str">
        <f t="shared" si="196"/>
        <v/>
      </c>
      <c r="J575" s="7" t="str">
        <f t="shared" si="197"/>
        <v/>
      </c>
      <c r="K575" s="9" t="str">
        <f t="shared" si="198"/>
        <v/>
      </c>
      <c r="L575" s="9" t="str">
        <f>IF(NOT(ISERROR(VLOOKUP(B575,Deflatores!G$42:H$64,2,FALSE))),VLOOKUP(B575,Deflatores!G$42:H$64,2,FALSE),IF(OR(ISBLANK(C575),ISBLANK(B575)),"",VLOOKUP(C575,Deflatores!G$4:H$38,2,FALSE)*H575+VLOOKUP(C575,Deflatores!G$4:I$38,3,FALSE)))</f>
        <v/>
      </c>
      <c r="M575" s="10"/>
      <c r="N575" s="10"/>
      <c r="O575" s="6"/>
    </row>
    <row r="576" spans="1:15">
      <c r="A576" s="119"/>
      <c r="B576" s="4"/>
      <c r="C576" s="4"/>
      <c r="D576" s="7"/>
      <c r="E576" s="7"/>
      <c r="F576" s="8" t="str">
        <f t="shared" si="193"/>
        <v/>
      </c>
      <c r="G576" s="7" t="str">
        <f t="shared" si="194"/>
        <v/>
      </c>
      <c r="H576" s="5" t="str">
        <f t="shared" si="195"/>
        <v/>
      </c>
      <c r="I576" s="116" t="str">
        <f t="shared" si="196"/>
        <v/>
      </c>
      <c r="J576" s="7" t="str">
        <f t="shared" si="197"/>
        <v/>
      </c>
      <c r="K576" s="9" t="str">
        <f t="shared" si="198"/>
        <v/>
      </c>
      <c r="L576" s="9" t="str">
        <f>IF(NOT(ISERROR(VLOOKUP(B576,Deflatores!G$42:H$64,2,FALSE))),VLOOKUP(B576,Deflatores!G$42:H$64,2,FALSE),IF(OR(ISBLANK(C576),ISBLANK(B576)),"",VLOOKUP(C576,Deflatores!G$4:H$38,2,FALSE)*H576+VLOOKUP(C576,Deflatores!G$4:I$38,3,FALSE)))</f>
        <v/>
      </c>
      <c r="M576" s="10"/>
      <c r="N576" s="10"/>
      <c r="O576" s="6"/>
    </row>
    <row r="577" spans="1:15">
      <c r="A577" s="119"/>
      <c r="B577" s="4"/>
      <c r="C577" s="4"/>
      <c r="D577" s="7"/>
      <c r="E577" s="7"/>
      <c r="F577" s="8" t="str">
        <f t="shared" si="193"/>
        <v/>
      </c>
      <c r="G577" s="7" t="str">
        <f t="shared" si="194"/>
        <v/>
      </c>
      <c r="H577" s="5" t="str">
        <f t="shared" si="195"/>
        <v/>
      </c>
      <c r="I577" s="116" t="str">
        <f t="shared" si="196"/>
        <v/>
      </c>
      <c r="J577" s="7" t="str">
        <f t="shared" si="197"/>
        <v/>
      </c>
      <c r="K577" s="9" t="str">
        <f t="shared" si="198"/>
        <v/>
      </c>
      <c r="L577" s="9" t="str">
        <f>IF(NOT(ISERROR(VLOOKUP(B577,Deflatores!G$42:H$64,2,FALSE))),VLOOKUP(B577,Deflatores!G$42:H$64,2,FALSE),IF(OR(ISBLANK(C577),ISBLANK(B577)),"",VLOOKUP(C577,Deflatores!G$4:H$38,2,FALSE)*H577+VLOOKUP(C577,Deflatores!G$4:I$38,3,FALSE)))</f>
        <v/>
      </c>
      <c r="M577" s="10"/>
      <c r="N577" s="10"/>
      <c r="O577" s="6"/>
    </row>
    <row r="578" spans="1:15">
      <c r="A578" s="119"/>
      <c r="B578" s="4"/>
      <c r="C578" s="4"/>
      <c r="D578" s="7"/>
      <c r="E578" s="7"/>
      <c r="F578" s="8" t="str">
        <f t="shared" si="193"/>
        <v/>
      </c>
      <c r="G578" s="7" t="str">
        <f t="shared" si="194"/>
        <v/>
      </c>
      <c r="H578" s="5" t="str">
        <f t="shared" si="195"/>
        <v/>
      </c>
      <c r="I578" s="116" t="str">
        <f t="shared" si="196"/>
        <v/>
      </c>
      <c r="J578" s="7" t="str">
        <f t="shared" si="197"/>
        <v/>
      </c>
      <c r="K578" s="9" t="str">
        <f t="shared" si="198"/>
        <v/>
      </c>
      <c r="L578" s="9" t="str">
        <f>IF(NOT(ISERROR(VLOOKUP(B578,Deflatores!G$42:H$64,2,FALSE))),VLOOKUP(B578,Deflatores!G$42:H$64,2,FALSE),IF(OR(ISBLANK(C578),ISBLANK(B578)),"",VLOOKUP(C578,Deflatores!G$4:H$38,2,FALSE)*H578+VLOOKUP(C578,Deflatores!G$4:I$38,3,FALSE)))</f>
        <v/>
      </c>
      <c r="M578" s="10"/>
      <c r="N578" s="10"/>
      <c r="O578" s="6"/>
    </row>
    <row r="579" spans="1:15">
      <c r="A579" s="119"/>
      <c r="B579" s="4"/>
      <c r="C579" s="4"/>
      <c r="D579" s="7"/>
      <c r="E579" s="7"/>
      <c r="F579" s="8" t="str">
        <f t="shared" si="193"/>
        <v/>
      </c>
      <c r="G579" s="7" t="str">
        <f t="shared" si="194"/>
        <v/>
      </c>
      <c r="H579" s="5" t="str">
        <f t="shared" si="195"/>
        <v/>
      </c>
      <c r="I579" s="116" t="str">
        <f t="shared" si="196"/>
        <v/>
      </c>
      <c r="J579" s="7" t="str">
        <f t="shared" si="197"/>
        <v/>
      </c>
      <c r="K579" s="9" t="str">
        <f t="shared" si="198"/>
        <v/>
      </c>
      <c r="L579" s="9" t="str">
        <f>IF(NOT(ISERROR(VLOOKUP(B579,Deflatores!G$42:H$64,2,FALSE))),VLOOKUP(B579,Deflatores!G$42:H$64,2,FALSE),IF(OR(ISBLANK(C579),ISBLANK(B579)),"",VLOOKUP(C579,Deflatores!G$4:H$38,2,FALSE)*H579+VLOOKUP(C579,Deflatores!G$4:I$38,3,FALSE)))</f>
        <v/>
      </c>
      <c r="M579" s="10"/>
      <c r="N579" s="10"/>
      <c r="O579" s="6"/>
    </row>
    <row r="580" spans="1:15">
      <c r="A580" s="119"/>
      <c r="B580" s="4"/>
      <c r="C580" s="4"/>
      <c r="D580" s="7"/>
      <c r="E580" s="7"/>
      <c r="F580" s="8" t="str">
        <f t="shared" si="193"/>
        <v/>
      </c>
      <c r="G580" s="7" t="str">
        <f t="shared" si="194"/>
        <v/>
      </c>
      <c r="H580" s="5" t="str">
        <f t="shared" si="195"/>
        <v/>
      </c>
      <c r="I580" s="116" t="str">
        <f t="shared" si="196"/>
        <v/>
      </c>
      <c r="J580" s="7" t="str">
        <f t="shared" si="197"/>
        <v/>
      </c>
      <c r="K580" s="9" t="str">
        <f t="shared" si="198"/>
        <v/>
      </c>
      <c r="L580" s="9" t="str">
        <f>IF(NOT(ISERROR(VLOOKUP(B580,Deflatores!G$42:H$64,2,FALSE))),VLOOKUP(B580,Deflatores!G$42:H$64,2,FALSE),IF(OR(ISBLANK(C580),ISBLANK(B580)),"",VLOOKUP(C580,Deflatores!G$4:H$38,2,FALSE)*H580+VLOOKUP(C580,Deflatores!G$4:I$38,3,FALSE)))</f>
        <v/>
      </c>
      <c r="M580" s="10"/>
      <c r="N580" s="10"/>
      <c r="O580" s="6"/>
    </row>
    <row r="581" spans="1:15">
      <c r="A581" s="119"/>
      <c r="B581" s="4"/>
      <c r="C581" s="4"/>
      <c r="D581" s="7"/>
      <c r="E581" s="7"/>
      <c r="F581" s="8" t="str">
        <f t="shared" si="193"/>
        <v/>
      </c>
      <c r="G581" s="7" t="str">
        <f t="shared" si="194"/>
        <v/>
      </c>
      <c r="H581" s="5" t="str">
        <f t="shared" si="195"/>
        <v/>
      </c>
      <c r="I581" s="116" t="str">
        <f t="shared" si="196"/>
        <v/>
      </c>
      <c r="J581" s="7" t="str">
        <f t="shared" si="197"/>
        <v/>
      </c>
      <c r="K581" s="9" t="str">
        <f t="shared" si="198"/>
        <v/>
      </c>
      <c r="L581" s="9" t="str">
        <f>IF(NOT(ISERROR(VLOOKUP(B581,Deflatores!G$42:H$64,2,FALSE))),VLOOKUP(B581,Deflatores!G$42:H$64,2,FALSE),IF(OR(ISBLANK(C581),ISBLANK(B581)),"",VLOOKUP(C581,Deflatores!G$4:H$38,2,FALSE)*H581+VLOOKUP(C581,Deflatores!G$4:I$38,3,FALSE)))</f>
        <v/>
      </c>
      <c r="M581" s="10"/>
      <c r="N581" s="10"/>
      <c r="O581" s="6"/>
    </row>
    <row r="582" spans="1:15">
      <c r="A582" s="119"/>
      <c r="B582" s="4"/>
      <c r="C582" s="4"/>
      <c r="D582" s="7"/>
      <c r="E582" s="7"/>
      <c r="F582" s="8" t="str">
        <f t="shared" si="193"/>
        <v/>
      </c>
      <c r="G582" s="7" t="str">
        <f t="shared" si="194"/>
        <v/>
      </c>
      <c r="H582" s="5" t="str">
        <f t="shared" si="195"/>
        <v/>
      </c>
      <c r="I582" s="116" t="str">
        <f t="shared" si="196"/>
        <v/>
      </c>
      <c r="J582" s="7" t="str">
        <f t="shared" si="197"/>
        <v/>
      </c>
      <c r="K582" s="9" t="str">
        <f t="shared" si="198"/>
        <v/>
      </c>
      <c r="L582" s="9" t="str">
        <f>IF(NOT(ISERROR(VLOOKUP(B582,Deflatores!G$42:H$64,2,FALSE))),VLOOKUP(B582,Deflatores!G$42:H$64,2,FALSE),IF(OR(ISBLANK(C582),ISBLANK(B582)),"",VLOOKUP(C582,Deflatores!G$4:H$38,2,FALSE)*H582+VLOOKUP(C582,Deflatores!G$4:I$38,3,FALSE)))</f>
        <v/>
      </c>
      <c r="M582" s="10"/>
      <c r="N582" s="10"/>
      <c r="O582" s="6"/>
    </row>
    <row r="583" spans="1:15">
      <c r="A583" s="119"/>
      <c r="B583" s="4"/>
      <c r="C583" s="4"/>
      <c r="D583" s="7"/>
      <c r="E583" s="7"/>
      <c r="F583" s="8" t="str">
        <f t="shared" si="193"/>
        <v/>
      </c>
      <c r="G583" s="7" t="str">
        <f t="shared" si="194"/>
        <v/>
      </c>
      <c r="H583" s="5" t="str">
        <f t="shared" si="195"/>
        <v/>
      </c>
      <c r="I583" s="116" t="str">
        <f t="shared" si="196"/>
        <v/>
      </c>
      <c r="J583" s="7" t="str">
        <f t="shared" si="197"/>
        <v/>
      </c>
      <c r="K583" s="9" t="str">
        <f t="shared" si="198"/>
        <v/>
      </c>
      <c r="L583" s="9" t="str">
        <f>IF(NOT(ISERROR(VLOOKUP(B583,Deflatores!G$42:H$64,2,FALSE))),VLOOKUP(B583,Deflatores!G$42:H$64,2,FALSE),IF(OR(ISBLANK(C583),ISBLANK(B583)),"",VLOOKUP(C583,Deflatores!G$4:H$38,2,FALSE)*H583+VLOOKUP(C583,Deflatores!G$4:I$38,3,FALSE)))</f>
        <v/>
      </c>
      <c r="M583" s="10"/>
      <c r="N583" s="10"/>
      <c r="O583" s="6"/>
    </row>
    <row r="584" spans="1:15">
      <c r="A584" s="119"/>
      <c r="B584" s="4"/>
      <c r="C584" s="4"/>
      <c r="D584" s="7"/>
      <c r="E584" s="7"/>
      <c r="F584" s="8" t="str">
        <f t="shared" si="193"/>
        <v/>
      </c>
      <c r="G584" s="7" t="str">
        <f t="shared" si="194"/>
        <v/>
      </c>
      <c r="H584" s="5" t="str">
        <f t="shared" si="195"/>
        <v/>
      </c>
      <c r="I584" s="116" t="str">
        <f t="shared" si="196"/>
        <v/>
      </c>
      <c r="J584" s="7" t="str">
        <f t="shared" si="197"/>
        <v/>
      </c>
      <c r="K584" s="9" t="str">
        <f t="shared" si="198"/>
        <v/>
      </c>
      <c r="L584" s="9" t="str">
        <f>IF(NOT(ISERROR(VLOOKUP(B584,Deflatores!G$42:H$64,2,FALSE))),VLOOKUP(B584,Deflatores!G$42:H$64,2,FALSE),IF(OR(ISBLANK(C584),ISBLANK(B584)),"",VLOOKUP(C584,Deflatores!G$4:H$38,2,FALSE)*H584+VLOOKUP(C584,Deflatores!G$4:I$38,3,FALSE)))</f>
        <v/>
      </c>
      <c r="M584" s="10"/>
      <c r="N584" s="10"/>
      <c r="O584" s="6"/>
    </row>
    <row r="585" spans="1:15">
      <c r="A585" s="119"/>
      <c r="B585" s="4"/>
      <c r="C585" s="4"/>
      <c r="D585" s="7"/>
      <c r="E585" s="7"/>
      <c r="F585" s="8" t="str">
        <f t="shared" si="193"/>
        <v/>
      </c>
      <c r="G585" s="7" t="str">
        <f t="shared" si="194"/>
        <v/>
      </c>
      <c r="H585" s="5" t="str">
        <f t="shared" si="195"/>
        <v/>
      </c>
      <c r="I585" s="116" t="str">
        <f t="shared" si="196"/>
        <v/>
      </c>
      <c r="J585" s="7" t="str">
        <f t="shared" si="197"/>
        <v/>
      </c>
      <c r="K585" s="9" t="str">
        <f t="shared" si="198"/>
        <v/>
      </c>
      <c r="L585" s="9" t="str">
        <f>IF(NOT(ISERROR(VLOOKUP(B585,Deflatores!G$42:H$64,2,FALSE))),VLOOKUP(B585,Deflatores!G$42:H$64,2,FALSE),IF(OR(ISBLANK(C585),ISBLANK(B585)),"",VLOOKUP(C585,Deflatores!G$4:H$38,2,FALSE)*H585+VLOOKUP(C585,Deflatores!G$4:I$38,3,FALSE)))</f>
        <v/>
      </c>
      <c r="M585" s="10"/>
      <c r="N585" s="10"/>
      <c r="O585" s="6"/>
    </row>
    <row r="586" spans="1:15">
      <c r="A586" s="119"/>
      <c r="B586" s="4"/>
      <c r="C586" s="4"/>
      <c r="D586" s="7"/>
      <c r="E586" s="7"/>
      <c r="F586" s="8" t="str">
        <f t="shared" si="193"/>
        <v/>
      </c>
      <c r="G586" s="7" t="str">
        <f t="shared" si="194"/>
        <v/>
      </c>
      <c r="H586" s="5" t="str">
        <f t="shared" si="195"/>
        <v/>
      </c>
      <c r="I586" s="116" t="str">
        <f t="shared" si="196"/>
        <v/>
      </c>
      <c r="J586" s="7" t="str">
        <f t="shared" si="197"/>
        <v/>
      </c>
      <c r="K586" s="9" t="str">
        <f t="shared" si="198"/>
        <v/>
      </c>
      <c r="L586" s="9" t="str">
        <f>IF(NOT(ISERROR(VLOOKUP(B586,Deflatores!G$42:H$64,2,FALSE))),VLOOKUP(B586,Deflatores!G$42:H$64,2,FALSE),IF(OR(ISBLANK(C586),ISBLANK(B586)),"",VLOOKUP(C586,Deflatores!G$4:H$38,2,FALSE)*H586+VLOOKUP(C586,Deflatores!G$4:I$38,3,FALSE)))</f>
        <v/>
      </c>
      <c r="M586" s="10"/>
      <c r="N586" s="10"/>
      <c r="O586" s="6"/>
    </row>
    <row r="587" spans="1:15">
      <c r="A587" s="119"/>
      <c r="B587" s="4"/>
      <c r="C587" s="4"/>
      <c r="D587" s="7"/>
      <c r="E587" s="7"/>
      <c r="F587" s="8" t="str">
        <f t="shared" si="193"/>
        <v/>
      </c>
      <c r="G587" s="7" t="str">
        <f t="shared" si="194"/>
        <v/>
      </c>
      <c r="H587" s="5" t="str">
        <f t="shared" si="195"/>
        <v/>
      </c>
      <c r="I587" s="116" t="str">
        <f t="shared" si="196"/>
        <v/>
      </c>
      <c r="J587" s="7" t="str">
        <f t="shared" si="197"/>
        <v/>
      </c>
      <c r="K587" s="9" t="str">
        <f t="shared" si="198"/>
        <v/>
      </c>
      <c r="L587" s="9" t="str">
        <f>IF(NOT(ISERROR(VLOOKUP(B587,Deflatores!G$42:H$64,2,FALSE))),VLOOKUP(B587,Deflatores!G$42:H$64,2,FALSE),IF(OR(ISBLANK(C587),ISBLANK(B587)),"",VLOOKUP(C587,Deflatores!G$4:H$38,2,FALSE)*H587+VLOOKUP(C587,Deflatores!G$4:I$38,3,FALSE)))</f>
        <v/>
      </c>
      <c r="M587" s="10"/>
      <c r="N587" s="10"/>
      <c r="O587" s="6"/>
    </row>
    <row r="588" spans="1:15">
      <c r="A588" s="119"/>
      <c r="B588" s="4"/>
      <c r="C588" s="4"/>
      <c r="D588" s="7"/>
      <c r="E588" s="7"/>
      <c r="F588" s="8" t="str">
        <f t="shared" si="193"/>
        <v/>
      </c>
      <c r="G588" s="7" t="str">
        <f t="shared" si="194"/>
        <v/>
      </c>
      <c r="H588" s="5" t="str">
        <f t="shared" si="195"/>
        <v/>
      </c>
      <c r="I588" s="116" t="str">
        <f t="shared" si="196"/>
        <v/>
      </c>
      <c r="J588" s="7" t="str">
        <f t="shared" si="197"/>
        <v/>
      </c>
      <c r="K588" s="9" t="str">
        <f t="shared" si="198"/>
        <v/>
      </c>
      <c r="L588" s="9" t="str">
        <f>IF(NOT(ISERROR(VLOOKUP(B588,Deflatores!G$42:H$64,2,FALSE))),VLOOKUP(B588,Deflatores!G$42:H$64,2,FALSE),IF(OR(ISBLANK(C588),ISBLANK(B588)),"",VLOOKUP(C588,Deflatores!G$4:H$38,2,FALSE)*H588+VLOOKUP(C588,Deflatores!G$4:I$38,3,FALSE)))</f>
        <v/>
      </c>
      <c r="M588" s="10"/>
      <c r="N588" s="10"/>
      <c r="O588" s="6"/>
    </row>
    <row r="589" spans="1:15">
      <c r="A589" s="119"/>
      <c r="B589" s="4"/>
      <c r="C589" s="4"/>
      <c r="D589" s="7"/>
      <c r="E589" s="7"/>
      <c r="F589" s="8" t="str">
        <f t="shared" si="193"/>
        <v/>
      </c>
      <c r="G589" s="7" t="str">
        <f t="shared" si="194"/>
        <v/>
      </c>
      <c r="H589" s="5" t="str">
        <f t="shared" si="195"/>
        <v/>
      </c>
      <c r="I589" s="116" t="str">
        <f t="shared" si="196"/>
        <v/>
      </c>
      <c r="J589" s="7" t="str">
        <f t="shared" si="197"/>
        <v/>
      </c>
      <c r="K589" s="9" t="str">
        <f t="shared" si="198"/>
        <v/>
      </c>
      <c r="L589" s="9" t="str">
        <f>IF(NOT(ISERROR(VLOOKUP(B589,Deflatores!G$42:H$64,2,FALSE))),VLOOKUP(B589,Deflatores!G$42:H$64,2,FALSE),IF(OR(ISBLANK(C589),ISBLANK(B589)),"",VLOOKUP(C589,Deflatores!G$4:H$38,2,FALSE)*H589+VLOOKUP(C589,Deflatores!G$4:I$38,3,FALSE)))</f>
        <v/>
      </c>
      <c r="M589" s="10"/>
      <c r="N589" s="10"/>
      <c r="O589" s="6"/>
    </row>
    <row r="590" spans="1:15">
      <c r="A590" s="119"/>
      <c r="B590" s="4"/>
      <c r="C590" s="4"/>
      <c r="D590" s="7"/>
      <c r="E590" s="7"/>
      <c r="F590" s="8" t="str">
        <f t="shared" si="193"/>
        <v/>
      </c>
      <c r="G590" s="7" t="str">
        <f t="shared" si="194"/>
        <v/>
      </c>
      <c r="H590" s="5" t="str">
        <f t="shared" si="195"/>
        <v/>
      </c>
      <c r="I590" s="116" t="str">
        <f t="shared" si="196"/>
        <v/>
      </c>
      <c r="J590" s="7" t="str">
        <f t="shared" si="197"/>
        <v/>
      </c>
      <c r="K590" s="9" t="str">
        <f t="shared" si="198"/>
        <v/>
      </c>
      <c r="L590" s="9" t="str">
        <f>IF(NOT(ISERROR(VLOOKUP(B590,Deflatores!G$42:H$64,2,FALSE))),VLOOKUP(B590,Deflatores!G$42:H$64,2,FALSE),IF(OR(ISBLANK(C590),ISBLANK(B590)),"",VLOOKUP(C590,Deflatores!G$4:H$38,2,FALSE)*H590+VLOOKUP(C590,Deflatores!G$4:I$38,3,FALSE)))</f>
        <v/>
      </c>
      <c r="M590" s="10"/>
      <c r="N590" s="10"/>
      <c r="O590" s="6"/>
    </row>
    <row r="591" spans="1:15">
      <c r="A591" s="119"/>
      <c r="B591" s="4"/>
      <c r="C591" s="4"/>
      <c r="D591" s="7"/>
      <c r="E591" s="7"/>
      <c r="F591" s="8" t="str">
        <f t="shared" si="193"/>
        <v/>
      </c>
      <c r="G591" s="7" t="str">
        <f t="shared" si="194"/>
        <v/>
      </c>
      <c r="H591" s="5" t="str">
        <f t="shared" si="195"/>
        <v/>
      </c>
      <c r="I591" s="116" t="str">
        <f t="shared" si="196"/>
        <v/>
      </c>
      <c r="J591" s="7" t="str">
        <f t="shared" si="197"/>
        <v/>
      </c>
      <c r="K591" s="9" t="str">
        <f t="shared" si="198"/>
        <v/>
      </c>
      <c r="L591" s="9" t="str">
        <f>IF(NOT(ISERROR(VLOOKUP(B591,Deflatores!G$42:H$64,2,FALSE))),VLOOKUP(B591,Deflatores!G$42:H$64,2,FALSE),IF(OR(ISBLANK(C591),ISBLANK(B591)),"",VLOOKUP(C591,Deflatores!G$4:H$38,2,FALSE)*H591+VLOOKUP(C591,Deflatores!G$4:I$38,3,FALSE)))</f>
        <v/>
      </c>
      <c r="M591" s="10"/>
      <c r="N591" s="10"/>
      <c r="O591" s="6"/>
    </row>
    <row r="592" spans="1:15">
      <c r="A592" s="119"/>
      <c r="B592" s="4"/>
      <c r="C592" s="4"/>
      <c r="D592" s="7"/>
      <c r="E592" s="7"/>
      <c r="F592" s="8" t="str">
        <f t="shared" si="193"/>
        <v/>
      </c>
      <c r="G592" s="7" t="str">
        <f t="shared" si="194"/>
        <v/>
      </c>
      <c r="H592" s="5" t="str">
        <f t="shared" si="195"/>
        <v/>
      </c>
      <c r="I592" s="116" t="str">
        <f t="shared" si="196"/>
        <v/>
      </c>
      <c r="J592" s="7" t="str">
        <f t="shared" si="197"/>
        <v/>
      </c>
      <c r="K592" s="9" t="str">
        <f t="shared" si="198"/>
        <v/>
      </c>
      <c r="L592" s="9" t="str">
        <f>IF(NOT(ISERROR(VLOOKUP(B592,Deflatores!G$42:H$64,2,FALSE))),VLOOKUP(B592,Deflatores!G$42:H$64,2,FALSE),IF(OR(ISBLANK(C592),ISBLANK(B592)),"",VLOOKUP(C592,Deflatores!G$4:H$38,2,FALSE)*H592+VLOOKUP(C592,Deflatores!G$4:I$38,3,FALSE)))</f>
        <v/>
      </c>
      <c r="M592" s="10"/>
      <c r="N592" s="10"/>
      <c r="O592" s="6"/>
    </row>
    <row r="593" spans="1:15">
      <c r="A593" s="119"/>
      <c r="B593" s="4"/>
      <c r="C593" s="4"/>
      <c r="D593" s="7"/>
      <c r="E593" s="7"/>
      <c r="F593" s="8" t="str">
        <f t="shared" si="193"/>
        <v/>
      </c>
      <c r="G593" s="7" t="str">
        <f t="shared" si="194"/>
        <v/>
      </c>
      <c r="H593" s="5" t="str">
        <f t="shared" si="195"/>
        <v/>
      </c>
      <c r="I593" s="116" t="str">
        <f t="shared" si="196"/>
        <v/>
      </c>
      <c r="J593" s="7" t="str">
        <f t="shared" si="197"/>
        <v/>
      </c>
      <c r="K593" s="9" t="str">
        <f t="shared" si="198"/>
        <v/>
      </c>
      <c r="L593" s="9" t="str">
        <f>IF(NOT(ISERROR(VLOOKUP(B593,Deflatores!G$42:H$64,2,FALSE))),VLOOKUP(B593,Deflatores!G$42:H$64,2,FALSE),IF(OR(ISBLANK(C593),ISBLANK(B593)),"",VLOOKUP(C593,Deflatores!G$4:H$38,2,FALSE)*H593+VLOOKUP(C593,Deflatores!G$4:I$38,3,FALSE)))</f>
        <v/>
      </c>
      <c r="M593" s="10"/>
      <c r="N593" s="10"/>
      <c r="O593" s="6"/>
    </row>
    <row r="594" spans="1:15">
      <c r="A594" s="119"/>
      <c r="B594" s="4"/>
      <c r="C594" s="4"/>
      <c r="D594" s="7"/>
      <c r="E594" s="7"/>
      <c r="F594" s="8" t="str">
        <f t="shared" si="193"/>
        <v/>
      </c>
      <c r="G594" s="7" t="str">
        <f t="shared" si="194"/>
        <v/>
      </c>
      <c r="H594" s="5" t="str">
        <f t="shared" si="195"/>
        <v/>
      </c>
      <c r="I594" s="116" t="str">
        <f t="shared" si="196"/>
        <v/>
      </c>
      <c r="J594" s="7" t="str">
        <f t="shared" si="197"/>
        <v/>
      </c>
      <c r="K594" s="9" t="str">
        <f t="shared" si="198"/>
        <v/>
      </c>
      <c r="L594" s="9" t="str">
        <f>IF(NOT(ISERROR(VLOOKUP(B594,Deflatores!G$42:H$64,2,FALSE))),VLOOKUP(B594,Deflatores!G$42:H$64,2,FALSE),IF(OR(ISBLANK(C594),ISBLANK(B594)),"",VLOOKUP(C594,Deflatores!G$4:H$38,2,FALSE)*H594+VLOOKUP(C594,Deflatores!G$4:I$38,3,FALSE)))</f>
        <v/>
      </c>
      <c r="M594" s="10"/>
      <c r="N594" s="10"/>
      <c r="O594" s="6"/>
    </row>
    <row r="595" spans="1:15">
      <c r="A595" s="119"/>
      <c r="B595" s="4"/>
      <c r="C595" s="4"/>
      <c r="D595" s="7"/>
      <c r="E595" s="7"/>
      <c r="F595" s="8" t="str">
        <f t="shared" si="193"/>
        <v/>
      </c>
      <c r="G595" s="7" t="str">
        <f t="shared" si="194"/>
        <v/>
      </c>
      <c r="H595" s="5" t="str">
        <f t="shared" si="195"/>
        <v/>
      </c>
      <c r="I595" s="116" t="str">
        <f t="shared" si="196"/>
        <v/>
      </c>
      <c r="J595" s="7" t="str">
        <f t="shared" si="197"/>
        <v/>
      </c>
      <c r="K595" s="9" t="str">
        <f t="shared" si="198"/>
        <v/>
      </c>
      <c r="L595" s="9" t="str">
        <f>IF(NOT(ISERROR(VLOOKUP(B595,Deflatores!G$42:H$64,2,FALSE))),VLOOKUP(B595,Deflatores!G$42:H$64,2,FALSE),IF(OR(ISBLANK(C595),ISBLANK(B595)),"",VLOOKUP(C595,Deflatores!G$4:H$38,2,FALSE)*H595+VLOOKUP(C595,Deflatores!G$4:I$38,3,FALSE)))</f>
        <v/>
      </c>
      <c r="M595" s="10"/>
      <c r="N595" s="10"/>
      <c r="O595" s="6"/>
    </row>
    <row r="596" spans="1:15">
      <c r="A596" s="119"/>
      <c r="B596" s="4"/>
      <c r="C596" s="4"/>
      <c r="D596" s="7"/>
      <c r="E596" s="7"/>
      <c r="F596" s="8" t="str">
        <f t="shared" si="193"/>
        <v/>
      </c>
      <c r="G596" s="7" t="str">
        <f t="shared" si="194"/>
        <v/>
      </c>
      <c r="H596" s="5" t="str">
        <f t="shared" si="195"/>
        <v/>
      </c>
      <c r="I596" s="116" t="str">
        <f t="shared" si="196"/>
        <v/>
      </c>
      <c r="J596" s="7" t="str">
        <f t="shared" si="197"/>
        <v/>
      </c>
      <c r="K596" s="9" t="str">
        <f t="shared" si="198"/>
        <v/>
      </c>
      <c r="L596" s="9" t="str">
        <f>IF(NOT(ISERROR(VLOOKUP(B596,Deflatores!G$42:H$64,2,FALSE))),VLOOKUP(B596,Deflatores!G$42:H$64,2,FALSE),IF(OR(ISBLANK(C596),ISBLANK(B596)),"",VLOOKUP(C596,Deflatores!G$4:H$38,2,FALSE)*H596+VLOOKUP(C596,Deflatores!G$4:I$38,3,FALSE)))</f>
        <v/>
      </c>
      <c r="M596" s="10"/>
      <c r="N596" s="10"/>
      <c r="O596" s="6"/>
    </row>
    <row r="597" spans="1:15">
      <c r="A597" s="119"/>
      <c r="B597" s="4"/>
      <c r="C597" s="4"/>
      <c r="D597" s="7"/>
      <c r="E597" s="7"/>
      <c r="F597" s="8" t="str">
        <f t="shared" si="193"/>
        <v/>
      </c>
      <c r="G597" s="7" t="str">
        <f t="shared" si="194"/>
        <v/>
      </c>
      <c r="H597" s="5" t="str">
        <f t="shared" si="195"/>
        <v/>
      </c>
      <c r="I597" s="116" t="str">
        <f t="shared" si="196"/>
        <v/>
      </c>
      <c r="J597" s="7" t="str">
        <f t="shared" si="197"/>
        <v/>
      </c>
      <c r="K597" s="9" t="str">
        <f t="shared" si="198"/>
        <v/>
      </c>
      <c r="L597" s="9" t="str">
        <f>IF(NOT(ISERROR(VLOOKUP(B597,Deflatores!G$42:H$64,2,FALSE))),VLOOKUP(B597,Deflatores!G$42:H$64,2,FALSE),IF(OR(ISBLANK(C597),ISBLANK(B597)),"",VLOOKUP(C597,Deflatores!G$4:H$38,2,FALSE)*H597+VLOOKUP(C597,Deflatores!G$4:I$38,3,FALSE)))</f>
        <v/>
      </c>
      <c r="M597" s="10"/>
      <c r="N597" s="10"/>
      <c r="O597" s="6"/>
    </row>
    <row r="598" spans="1:15">
      <c r="A598" s="119"/>
      <c r="B598" s="4"/>
      <c r="C598" s="4"/>
      <c r="D598" s="7"/>
      <c r="E598" s="7"/>
      <c r="F598" s="8" t="str">
        <f t="shared" si="193"/>
        <v/>
      </c>
      <c r="G598" s="7" t="str">
        <f t="shared" si="194"/>
        <v/>
      </c>
      <c r="H598" s="5" t="str">
        <f t="shared" si="195"/>
        <v/>
      </c>
      <c r="I598" s="116" t="str">
        <f t="shared" si="196"/>
        <v/>
      </c>
      <c r="J598" s="7" t="str">
        <f t="shared" si="197"/>
        <v/>
      </c>
      <c r="K598" s="9" t="str">
        <f t="shared" si="198"/>
        <v/>
      </c>
      <c r="L598" s="9" t="str">
        <f>IF(NOT(ISERROR(VLOOKUP(B598,Deflatores!G$42:H$64,2,FALSE))),VLOOKUP(B598,Deflatores!G$42:H$64,2,FALSE),IF(OR(ISBLANK(C598),ISBLANK(B598)),"",VLOOKUP(C598,Deflatores!G$4:H$38,2,FALSE)*H598+VLOOKUP(C598,Deflatores!G$4:I$38,3,FALSE)))</f>
        <v/>
      </c>
      <c r="M598" s="10"/>
      <c r="N598" s="10"/>
      <c r="O598" s="6"/>
    </row>
    <row r="599" spans="1:15">
      <c r="A599" s="119"/>
      <c r="B599" s="4"/>
      <c r="C599" s="4"/>
      <c r="D599" s="7"/>
      <c r="E599" s="7"/>
      <c r="F599" s="8" t="str">
        <f t="shared" si="193"/>
        <v/>
      </c>
      <c r="G599" s="7" t="str">
        <f t="shared" si="194"/>
        <v/>
      </c>
      <c r="H599" s="5" t="str">
        <f t="shared" si="195"/>
        <v/>
      </c>
      <c r="I599" s="116" t="str">
        <f t="shared" si="196"/>
        <v/>
      </c>
      <c r="J599" s="7" t="str">
        <f t="shared" si="197"/>
        <v/>
      </c>
      <c r="K599" s="9" t="str">
        <f t="shared" si="198"/>
        <v/>
      </c>
      <c r="L599" s="9" t="str">
        <f>IF(NOT(ISERROR(VLOOKUP(B599,Deflatores!G$42:H$64,2,FALSE))),VLOOKUP(B599,Deflatores!G$42:H$64,2,FALSE),IF(OR(ISBLANK(C599),ISBLANK(B599)),"",VLOOKUP(C599,Deflatores!G$4:H$38,2,FALSE)*H599+VLOOKUP(C599,Deflatores!G$4:I$38,3,FALSE)))</f>
        <v/>
      </c>
      <c r="M599" s="10"/>
      <c r="N599" s="10"/>
      <c r="O599" s="6"/>
    </row>
    <row r="600" spans="1:15">
      <c r="A600" s="119"/>
      <c r="B600" s="4"/>
      <c r="C600" s="4"/>
      <c r="D600" s="7"/>
      <c r="E600" s="7"/>
      <c r="F600" s="8" t="str">
        <f t="shared" si="193"/>
        <v/>
      </c>
      <c r="G600" s="7" t="str">
        <f t="shared" si="194"/>
        <v/>
      </c>
      <c r="H600" s="5" t="str">
        <f t="shared" si="195"/>
        <v/>
      </c>
      <c r="I600" s="116" t="str">
        <f t="shared" si="196"/>
        <v/>
      </c>
      <c r="J600" s="7" t="str">
        <f t="shared" si="197"/>
        <v/>
      </c>
      <c r="K600" s="9" t="str">
        <f t="shared" si="198"/>
        <v/>
      </c>
      <c r="L600" s="9" t="str">
        <f>IF(NOT(ISERROR(VLOOKUP(B600,Deflatores!G$42:H$64,2,FALSE))),VLOOKUP(B600,Deflatores!G$42:H$64,2,FALSE),IF(OR(ISBLANK(C600),ISBLANK(B600)),"",VLOOKUP(C600,Deflatores!G$4:H$38,2,FALSE)*H600+VLOOKUP(C600,Deflatores!G$4:I$38,3,FALSE)))</f>
        <v/>
      </c>
      <c r="M600" s="10"/>
      <c r="N600" s="10"/>
      <c r="O600" s="6"/>
    </row>
    <row r="601" spans="1:15">
      <c r="A601" s="119"/>
      <c r="B601" s="4"/>
      <c r="C601" s="4"/>
      <c r="D601" s="7"/>
      <c r="E601" s="7"/>
      <c r="F601" s="8" t="str">
        <f t="shared" si="193"/>
        <v/>
      </c>
      <c r="G601" s="7" t="str">
        <f t="shared" si="194"/>
        <v/>
      </c>
      <c r="H601" s="5" t="str">
        <f t="shared" si="195"/>
        <v/>
      </c>
      <c r="I601" s="116" t="str">
        <f t="shared" si="196"/>
        <v/>
      </c>
      <c r="J601" s="7" t="str">
        <f t="shared" si="197"/>
        <v/>
      </c>
      <c r="K601" s="9" t="str">
        <f t="shared" si="198"/>
        <v/>
      </c>
      <c r="L601" s="9" t="str">
        <f>IF(NOT(ISERROR(VLOOKUP(B601,Deflatores!G$42:H$64,2,FALSE))),VLOOKUP(B601,Deflatores!G$42:H$64,2,FALSE),IF(OR(ISBLANK(C601),ISBLANK(B601)),"",VLOOKUP(C601,Deflatores!G$4:H$38,2,FALSE)*H601+VLOOKUP(C601,Deflatores!G$4:I$38,3,FALSE)))</f>
        <v/>
      </c>
      <c r="M601" s="10"/>
      <c r="N601" s="10"/>
      <c r="O601" s="6"/>
    </row>
    <row r="602" spans="1:15">
      <c r="A602" s="119"/>
      <c r="B602" s="4"/>
      <c r="C602" s="4"/>
      <c r="D602" s="7"/>
      <c r="E602" s="7"/>
      <c r="F602" s="8" t="str">
        <f t="shared" si="193"/>
        <v/>
      </c>
      <c r="G602" s="7" t="str">
        <f t="shared" si="194"/>
        <v/>
      </c>
      <c r="H602" s="5" t="str">
        <f t="shared" si="195"/>
        <v/>
      </c>
      <c r="I602" s="116" t="str">
        <f t="shared" si="196"/>
        <v/>
      </c>
      <c r="J602" s="7" t="str">
        <f t="shared" si="197"/>
        <v/>
      </c>
      <c r="K602" s="9" t="str">
        <f t="shared" si="198"/>
        <v/>
      </c>
      <c r="L602" s="9" t="str">
        <f>IF(NOT(ISERROR(VLOOKUP(B602,Deflatores!G$42:H$64,2,FALSE))),VLOOKUP(B602,Deflatores!G$42:H$64,2,FALSE),IF(OR(ISBLANK(C602),ISBLANK(B602)),"",VLOOKUP(C602,Deflatores!G$4:H$38,2,FALSE)*H602+VLOOKUP(C602,Deflatores!G$4:I$38,3,FALSE)))</f>
        <v/>
      </c>
      <c r="M602" s="10"/>
      <c r="N602" s="10"/>
      <c r="O602" s="6"/>
    </row>
    <row r="603" spans="1:15">
      <c r="A603" s="119"/>
      <c r="B603" s="4"/>
      <c r="C603" s="4"/>
      <c r="D603" s="7"/>
      <c r="E603" s="7"/>
      <c r="F603" s="8" t="str">
        <f t="shared" si="193"/>
        <v/>
      </c>
      <c r="G603" s="7" t="str">
        <f t="shared" si="194"/>
        <v/>
      </c>
      <c r="H603" s="5" t="str">
        <f t="shared" si="195"/>
        <v/>
      </c>
      <c r="I603" s="116" t="str">
        <f t="shared" si="196"/>
        <v/>
      </c>
      <c r="J603" s="7" t="str">
        <f t="shared" si="197"/>
        <v/>
      </c>
      <c r="K603" s="9" t="str">
        <f t="shared" si="198"/>
        <v/>
      </c>
      <c r="L603" s="9" t="str">
        <f>IF(NOT(ISERROR(VLOOKUP(B603,Deflatores!G$42:H$64,2,FALSE))),VLOOKUP(B603,Deflatores!G$42:H$64,2,FALSE),IF(OR(ISBLANK(C603),ISBLANK(B603)),"",VLOOKUP(C603,Deflatores!G$4:H$38,2,FALSE)*H603+VLOOKUP(C603,Deflatores!G$4:I$38,3,FALSE)))</f>
        <v/>
      </c>
      <c r="M603" s="10"/>
      <c r="N603" s="10"/>
      <c r="O603" s="6"/>
    </row>
    <row r="604" spans="1:15">
      <c r="A604" s="119"/>
      <c r="B604" s="4"/>
      <c r="C604" s="4"/>
      <c r="D604" s="7"/>
      <c r="E604" s="7"/>
      <c r="F604" s="8" t="str">
        <f t="shared" si="193"/>
        <v/>
      </c>
      <c r="G604" s="7" t="str">
        <f t="shared" si="194"/>
        <v/>
      </c>
      <c r="H604" s="5" t="str">
        <f t="shared" si="195"/>
        <v/>
      </c>
      <c r="I604" s="116" t="str">
        <f t="shared" si="196"/>
        <v/>
      </c>
      <c r="J604" s="7" t="str">
        <f t="shared" si="197"/>
        <v/>
      </c>
      <c r="K604" s="9" t="str">
        <f t="shared" si="198"/>
        <v/>
      </c>
      <c r="L604" s="9" t="str">
        <f>IF(NOT(ISERROR(VLOOKUP(B604,Deflatores!G$42:H$64,2,FALSE))),VLOOKUP(B604,Deflatores!G$42:H$64,2,FALSE),IF(OR(ISBLANK(C604),ISBLANK(B604)),"",VLOOKUP(C604,Deflatores!G$4:H$38,2,FALSE)*H604+VLOOKUP(C604,Deflatores!G$4:I$38,3,FALSE)))</f>
        <v/>
      </c>
      <c r="M604" s="10"/>
      <c r="N604" s="10"/>
      <c r="O604" s="6"/>
    </row>
    <row r="605" spans="1:15">
      <c r="A605" s="119"/>
      <c r="B605" s="4"/>
      <c r="C605" s="4"/>
      <c r="D605" s="7"/>
      <c r="E605" s="7"/>
      <c r="F605" s="8" t="str">
        <f t="shared" si="193"/>
        <v/>
      </c>
      <c r="G605" s="7" t="str">
        <f t="shared" si="194"/>
        <v/>
      </c>
      <c r="H605" s="5" t="str">
        <f t="shared" si="195"/>
        <v/>
      </c>
      <c r="I605" s="116" t="str">
        <f t="shared" si="196"/>
        <v/>
      </c>
      <c r="J605" s="7" t="str">
        <f t="shared" si="197"/>
        <v/>
      </c>
      <c r="K605" s="9" t="str">
        <f t="shared" si="198"/>
        <v/>
      </c>
      <c r="L605" s="9" t="str">
        <f>IF(NOT(ISERROR(VLOOKUP(B605,Deflatores!G$42:H$64,2,FALSE))),VLOOKUP(B605,Deflatores!G$42:H$64,2,FALSE),IF(OR(ISBLANK(C605),ISBLANK(B605)),"",VLOOKUP(C605,Deflatores!G$4:H$38,2,FALSE)*H605+VLOOKUP(C605,Deflatores!G$4:I$38,3,FALSE)))</f>
        <v/>
      </c>
      <c r="M605" s="10"/>
      <c r="N605" s="10"/>
      <c r="O605" s="6"/>
    </row>
    <row r="606" spans="1:15">
      <c r="A606" s="119"/>
      <c r="B606" s="4"/>
      <c r="C606" s="4"/>
      <c r="D606" s="7"/>
      <c r="E606" s="7"/>
      <c r="F606" s="8" t="str">
        <f t="shared" si="193"/>
        <v/>
      </c>
      <c r="G606" s="7" t="str">
        <f t="shared" si="194"/>
        <v/>
      </c>
      <c r="H606" s="5" t="str">
        <f t="shared" si="195"/>
        <v/>
      </c>
      <c r="I606" s="116" t="str">
        <f t="shared" si="196"/>
        <v/>
      </c>
      <c r="J606" s="7" t="str">
        <f t="shared" si="197"/>
        <v/>
      </c>
      <c r="K606" s="9" t="str">
        <f t="shared" si="198"/>
        <v/>
      </c>
      <c r="L606" s="9" t="str">
        <f>IF(NOT(ISERROR(VLOOKUP(B606,Deflatores!G$42:H$64,2,FALSE))),VLOOKUP(B606,Deflatores!G$42:H$64,2,FALSE),IF(OR(ISBLANK(C606),ISBLANK(B606)),"",VLOOKUP(C606,Deflatores!G$4:H$38,2,FALSE)*H606+VLOOKUP(C606,Deflatores!G$4:I$38,3,FALSE)))</f>
        <v/>
      </c>
      <c r="M606" s="10"/>
      <c r="N606" s="10"/>
      <c r="O606" s="6"/>
    </row>
    <row r="607" spans="1:15">
      <c r="A607" s="119"/>
      <c r="B607" s="4"/>
      <c r="C607" s="4"/>
      <c r="D607" s="7"/>
      <c r="E607" s="7"/>
      <c r="F607" s="8" t="str">
        <f t="shared" si="193"/>
        <v/>
      </c>
      <c r="G607" s="7" t="str">
        <f t="shared" si="194"/>
        <v/>
      </c>
      <c r="H607" s="5" t="str">
        <f t="shared" si="195"/>
        <v/>
      </c>
      <c r="I607" s="116" t="str">
        <f t="shared" si="196"/>
        <v/>
      </c>
      <c r="J607" s="7" t="str">
        <f t="shared" si="197"/>
        <v/>
      </c>
      <c r="K607" s="9" t="str">
        <f t="shared" si="198"/>
        <v/>
      </c>
      <c r="L607" s="9" t="str">
        <f>IF(NOT(ISERROR(VLOOKUP(B607,Deflatores!G$42:H$64,2,FALSE))),VLOOKUP(B607,Deflatores!G$42:H$64,2,FALSE),IF(OR(ISBLANK(C607),ISBLANK(B607)),"",VLOOKUP(C607,Deflatores!G$4:H$38,2,FALSE)*H607+VLOOKUP(C607,Deflatores!G$4:I$38,3,FALSE)))</f>
        <v/>
      </c>
      <c r="M607" s="10"/>
      <c r="N607" s="10"/>
      <c r="O607" s="6"/>
    </row>
    <row r="608" spans="1:15">
      <c r="A608" s="119"/>
      <c r="B608" s="4"/>
      <c r="C608" s="4"/>
      <c r="D608" s="7"/>
      <c r="E608" s="7"/>
      <c r="F608" s="8" t="str">
        <f t="shared" si="193"/>
        <v/>
      </c>
      <c r="G608" s="7" t="str">
        <f t="shared" si="194"/>
        <v/>
      </c>
      <c r="H608" s="5" t="str">
        <f t="shared" si="195"/>
        <v/>
      </c>
      <c r="I608" s="116" t="str">
        <f t="shared" si="196"/>
        <v/>
      </c>
      <c r="J608" s="7" t="str">
        <f t="shared" si="197"/>
        <v/>
      </c>
      <c r="K608" s="9" t="str">
        <f t="shared" si="198"/>
        <v/>
      </c>
      <c r="L608" s="9" t="str">
        <f>IF(NOT(ISERROR(VLOOKUP(B608,Deflatores!G$42:H$64,2,FALSE))),VLOOKUP(B608,Deflatores!G$42:H$64,2,FALSE),IF(OR(ISBLANK(C608),ISBLANK(B608)),"",VLOOKUP(C608,Deflatores!G$4:H$38,2,FALSE)*H608+VLOOKUP(C608,Deflatores!G$4:I$38,3,FALSE)))</f>
        <v/>
      </c>
      <c r="M608" s="10"/>
      <c r="N608" s="10"/>
      <c r="O608" s="6"/>
    </row>
    <row r="609" spans="1:15">
      <c r="A609" s="119"/>
      <c r="B609" s="4"/>
      <c r="C609" s="4"/>
      <c r="D609" s="7"/>
      <c r="E609" s="7"/>
      <c r="F609" s="8" t="str">
        <f t="shared" si="193"/>
        <v/>
      </c>
      <c r="G609" s="7" t="str">
        <f t="shared" si="194"/>
        <v/>
      </c>
      <c r="H609" s="5" t="str">
        <f t="shared" si="195"/>
        <v/>
      </c>
      <c r="I609" s="116" t="str">
        <f t="shared" si="196"/>
        <v/>
      </c>
      <c r="J609" s="7" t="str">
        <f t="shared" si="197"/>
        <v/>
      </c>
      <c r="K609" s="9" t="str">
        <f t="shared" si="198"/>
        <v/>
      </c>
      <c r="L609" s="9" t="str">
        <f>IF(NOT(ISERROR(VLOOKUP(B609,Deflatores!G$42:H$64,2,FALSE))),VLOOKUP(B609,Deflatores!G$42:H$64,2,FALSE),IF(OR(ISBLANK(C609),ISBLANK(B609)),"",VLOOKUP(C609,Deflatores!G$4:H$38,2,FALSE)*H609+VLOOKUP(C609,Deflatores!G$4:I$38,3,FALSE)))</f>
        <v/>
      </c>
      <c r="M609" s="10"/>
      <c r="N609" s="10"/>
      <c r="O609" s="6"/>
    </row>
    <row r="610" spans="1:15">
      <c r="A610" s="119"/>
      <c r="B610" s="4"/>
      <c r="C610" s="4"/>
      <c r="D610" s="7"/>
      <c r="E610" s="7"/>
      <c r="F610" s="8" t="str">
        <f t="shared" si="193"/>
        <v/>
      </c>
      <c r="G610" s="7" t="str">
        <f t="shared" si="194"/>
        <v/>
      </c>
      <c r="H610" s="5" t="str">
        <f t="shared" si="195"/>
        <v/>
      </c>
      <c r="I610" s="116" t="str">
        <f t="shared" si="196"/>
        <v/>
      </c>
      <c r="J610" s="7" t="str">
        <f t="shared" si="197"/>
        <v/>
      </c>
      <c r="K610" s="9" t="str">
        <f t="shared" si="198"/>
        <v/>
      </c>
      <c r="L610" s="9" t="str">
        <f>IF(NOT(ISERROR(VLOOKUP(B610,Deflatores!G$42:H$64,2,FALSE))),VLOOKUP(B610,Deflatores!G$42:H$64,2,FALSE),IF(OR(ISBLANK(C610),ISBLANK(B610)),"",VLOOKUP(C610,Deflatores!G$4:H$38,2,FALSE)*H610+VLOOKUP(C610,Deflatores!G$4:I$38,3,FALSE)))</f>
        <v/>
      </c>
      <c r="M610" s="10"/>
      <c r="N610" s="10"/>
      <c r="O610" s="6"/>
    </row>
    <row r="611" spans="1:15">
      <c r="A611" s="119"/>
      <c r="B611" s="4"/>
      <c r="C611" s="4"/>
      <c r="D611" s="7"/>
      <c r="E611" s="7"/>
      <c r="F611" s="8" t="str">
        <f t="shared" si="193"/>
        <v/>
      </c>
      <c r="G611" s="7" t="str">
        <f t="shared" si="194"/>
        <v/>
      </c>
      <c r="H611" s="5" t="str">
        <f t="shared" si="195"/>
        <v/>
      </c>
      <c r="I611" s="116" t="str">
        <f t="shared" si="196"/>
        <v/>
      </c>
      <c r="J611" s="7" t="str">
        <f t="shared" si="197"/>
        <v/>
      </c>
      <c r="K611" s="9" t="str">
        <f t="shared" si="198"/>
        <v/>
      </c>
      <c r="L611" s="9" t="str">
        <f>IF(NOT(ISERROR(VLOOKUP(B611,Deflatores!G$42:H$64,2,FALSE))),VLOOKUP(B611,Deflatores!G$42:H$64,2,FALSE),IF(OR(ISBLANK(C611),ISBLANK(B611)),"",VLOOKUP(C611,Deflatores!G$4:H$38,2,FALSE)*H611+VLOOKUP(C611,Deflatores!G$4:I$38,3,FALSE)))</f>
        <v/>
      </c>
      <c r="M611" s="10"/>
      <c r="N611" s="10"/>
      <c r="O611" s="6"/>
    </row>
    <row r="612" spans="1:15">
      <c r="A612" s="119"/>
      <c r="B612" s="4"/>
      <c r="C612" s="4"/>
      <c r="D612" s="7"/>
      <c r="E612" s="7"/>
      <c r="F612" s="8" t="str">
        <f t="shared" si="193"/>
        <v/>
      </c>
      <c r="G612" s="7" t="str">
        <f t="shared" si="194"/>
        <v/>
      </c>
      <c r="H612" s="5" t="str">
        <f t="shared" si="195"/>
        <v/>
      </c>
      <c r="I612" s="116" t="str">
        <f t="shared" si="196"/>
        <v/>
      </c>
      <c r="J612" s="7" t="str">
        <f t="shared" si="197"/>
        <v/>
      </c>
      <c r="K612" s="9" t="str">
        <f t="shared" si="198"/>
        <v/>
      </c>
      <c r="L612" s="9" t="str">
        <f>IF(NOT(ISERROR(VLOOKUP(B612,Deflatores!G$42:H$64,2,FALSE))),VLOOKUP(B612,Deflatores!G$42:H$64,2,FALSE),IF(OR(ISBLANK(C612),ISBLANK(B612)),"",VLOOKUP(C612,Deflatores!G$4:H$38,2,FALSE)*H612+VLOOKUP(C612,Deflatores!G$4:I$38,3,FALSE)))</f>
        <v/>
      </c>
      <c r="M612" s="10"/>
      <c r="N612" s="10"/>
      <c r="O612" s="6"/>
    </row>
    <row r="613" spans="1:15">
      <c r="A613" s="119"/>
      <c r="B613" s="4"/>
      <c r="C613" s="4"/>
      <c r="D613" s="7"/>
      <c r="E613" s="7"/>
      <c r="F613" s="8" t="str">
        <f t="shared" si="193"/>
        <v/>
      </c>
      <c r="G613" s="7" t="str">
        <f t="shared" si="194"/>
        <v/>
      </c>
      <c r="H613" s="5" t="str">
        <f t="shared" si="195"/>
        <v/>
      </c>
      <c r="I613" s="116" t="str">
        <f t="shared" si="196"/>
        <v/>
      </c>
      <c r="J613" s="7" t="str">
        <f t="shared" si="197"/>
        <v/>
      </c>
      <c r="K613" s="9" t="str">
        <f t="shared" si="198"/>
        <v/>
      </c>
      <c r="L613" s="9" t="str">
        <f>IF(NOT(ISERROR(VLOOKUP(B613,Deflatores!G$42:H$64,2,FALSE))),VLOOKUP(B613,Deflatores!G$42:H$64,2,FALSE),IF(OR(ISBLANK(C613),ISBLANK(B613)),"",VLOOKUP(C613,Deflatores!G$4:H$38,2,FALSE)*H613+VLOOKUP(C613,Deflatores!G$4:I$38,3,FALSE)))</f>
        <v/>
      </c>
      <c r="M613" s="10"/>
      <c r="N613" s="10"/>
      <c r="O613" s="6"/>
    </row>
    <row r="614" spans="1:15">
      <c r="A614" s="119"/>
      <c r="B614" s="4"/>
      <c r="C614" s="4"/>
      <c r="D614" s="7"/>
      <c r="E614" s="7"/>
      <c r="F614" s="8" t="str">
        <f t="shared" si="193"/>
        <v/>
      </c>
      <c r="G614" s="7" t="str">
        <f t="shared" si="194"/>
        <v/>
      </c>
      <c r="H614" s="5" t="str">
        <f t="shared" si="195"/>
        <v/>
      </c>
      <c r="I614" s="116" t="str">
        <f t="shared" si="196"/>
        <v/>
      </c>
      <c r="J614" s="7" t="str">
        <f t="shared" si="197"/>
        <v/>
      </c>
      <c r="K614" s="9" t="str">
        <f t="shared" si="198"/>
        <v/>
      </c>
      <c r="L614" s="9" t="str">
        <f>IF(NOT(ISERROR(VLOOKUP(B614,Deflatores!G$42:H$64,2,FALSE))),VLOOKUP(B614,Deflatores!G$42:H$64,2,FALSE),IF(OR(ISBLANK(C614),ISBLANK(B614)),"",VLOOKUP(C614,Deflatores!G$4:H$38,2,FALSE)*H614+VLOOKUP(C614,Deflatores!G$4:I$38,3,FALSE)))</f>
        <v/>
      </c>
      <c r="M614" s="10"/>
      <c r="N614" s="10"/>
      <c r="O614" s="6"/>
    </row>
    <row r="615" spans="1:15">
      <c r="A615" s="119"/>
      <c r="B615" s="4"/>
      <c r="C615" s="4"/>
      <c r="D615" s="7"/>
      <c r="E615" s="7"/>
      <c r="F615" s="8" t="str">
        <f t="shared" si="193"/>
        <v/>
      </c>
      <c r="G615" s="7" t="str">
        <f t="shared" si="194"/>
        <v/>
      </c>
      <c r="H615" s="5" t="str">
        <f t="shared" si="195"/>
        <v/>
      </c>
      <c r="I615" s="116" t="str">
        <f t="shared" si="196"/>
        <v/>
      </c>
      <c r="J615" s="7" t="str">
        <f t="shared" si="197"/>
        <v/>
      </c>
      <c r="K615" s="9" t="str">
        <f t="shared" si="198"/>
        <v/>
      </c>
      <c r="L615" s="9" t="str">
        <f>IF(NOT(ISERROR(VLOOKUP(B615,Deflatores!G$42:H$64,2,FALSE))),VLOOKUP(B615,Deflatores!G$42:H$64,2,FALSE),IF(OR(ISBLANK(C615),ISBLANK(B615)),"",VLOOKUP(C615,Deflatores!G$4:H$38,2,FALSE)*H615+VLOOKUP(C615,Deflatores!G$4:I$38,3,FALSE)))</f>
        <v/>
      </c>
      <c r="M615" s="10"/>
      <c r="N615" s="10"/>
      <c r="O615" s="6"/>
    </row>
    <row r="616" spans="1:15">
      <c r="A616" s="119"/>
      <c r="B616" s="4"/>
      <c r="C616" s="4"/>
      <c r="D616" s="7"/>
      <c r="E616" s="7"/>
      <c r="F616" s="8" t="str">
        <f t="shared" si="193"/>
        <v/>
      </c>
      <c r="G616" s="7" t="str">
        <f t="shared" si="194"/>
        <v/>
      </c>
      <c r="H616" s="5" t="str">
        <f t="shared" si="195"/>
        <v/>
      </c>
      <c r="I616" s="116" t="str">
        <f t="shared" si="196"/>
        <v/>
      </c>
      <c r="J616" s="7" t="str">
        <f t="shared" si="197"/>
        <v/>
      </c>
      <c r="K616" s="9" t="str">
        <f t="shared" si="198"/>
        <v/>
      </c>
      <c r="L616" s="9" t="str">
        <f>IF(NOT(ISERROR(VLOOKUP(B616,Deflatores!G$42:H$64,2,FALSE))),VLOOKUP(B616,Deflatores!G$42:H$64,2,FALSE),IF(OR(ISBLANK(C616),ISBLANK(B616)),"",VLOOKUP(C616,Deflatores!G$4:H$38,2,FALSE)*H616+VLOOKUP(C616,Deflatores!G$4:I$38,3,FALSE)))</f>
        <v/>
      </c>
      <c r="M616" s="10"/>
      <c r="N616" s="10"/>
      <c r="O616" s="6"/>
    </row>
    <row r="617" spans="1:15">
      <c r="A617" s="119"/>
      <c r="B617" s="4"/>
      <c r="C617" s="4"/>
      <c r="D617" s="7"/>
      <c r="E617" s="7"/>
      <c r="F617" s="8" t="str">
        <f t="shared" si="193"/>
        <v/>
      </c>
      <c r="G617" s="7" t="str">
        <f t="shared" si="194"/>
        <v/>
      </c>
      <c r="H617" s="5" t="str">
        <f t="shared" si="195"/>
        <v/>
      </c>
      <c r="I617" s="116" t="str">
        <f t="shared" si="196"/>
        <v/>
      </c>
      <c r="J617" s="7" t="str">
        <f t="shared" si="197"/>
        <v/>
      </c>
      <c r="K617" s="9" t="str">
        <f t="shared" si="198"/>
        <v/>
      </c>
      <c r="L617" s="9" t="str">
        <f>IF(NOT(ISERROR(VLOOKUP(B617,Deflatores!G$42:H$64,2,FALSE))),VLOOKUP(B617,Deflatores!G$42:H$64,2,FALSE),IF(OR(ISBLANK(C617),ISBLANK(B617)),"",VLOOKUP(C617,Deflatores!G$4:H$38,2,FALSE)*H617+VLOOKUP(C617,Deflatores!G$4:I$38,3,FALSE)))</f>
        <v/>
      </c>
      <c r="M617" s="10"/>
      <c r="N617" s="10"/>
      <c r="O617" s="6"/>
    </row>
    <row r="618" spans="1:15">
      <c r="A618" s="119"/>
      <c r="B618" s="4"/>
      <c r="C618" s="4"/>
      <c r="D618" s="7"/>
      <c r="E618" s="7"/>
      <c r="F618" s="8" t="str">
        <f t="shared" si="193"/>
        <v/>
      </c>
      <c r="G618" s="7" t="str">
        <f t="shared" si="194"/>
        <v/>
      </c>
      <c r="H618" s="5" t="str">
        <f t="shared" si="195"/>
        <v/>
      </c>
      <c r="I618" s="116" t="str">
        <f t="shared" si="196"/>
        <v/>
      </c>
      <c r="J618" s="7" t="str">
        <f t="shared" si="197"/>
        <v/>
      </c>
      <c r="K618" s="9" t="str">
        <f t="shared" si="198"/>
        <v/>
      </c>
      <c r="L618" s="9" t="str">
        <f>IF(NOT(ISERROR(VLOOKUP(B618,Deflatores!G$42:H$64,2,FALSE))),VLOOKUP(B618,Deflatores!G$42:H$64,2,FALSE),IF(OR(ISBLANK(C618),ISBLANK(B618)),"",VLOOKUP(C618,Deflatores!G$4:H$38,2,FALSE)*H618+VLOOKUP(C618,Deflatores!G$4:I$38,3,FALSE)))</f>
        <v/>
      </c>
      <c r="M618" s="10"/>
      <c r="N618" s="10"/>
      <c r="O618" s="6"/>
    </row>
    <row r="619" spans="1:15">
      <c r="A619" s="119"/>
      <c r="B619" s="4"/>
      <c r="C619" s="4"/>
      <c r="D619" s="7"/>
      <c r="E619" s="7"/>
      <c r="F619" s="8" t="str">
        <f t="shared" si="193"/>
        <v/>
      </c>
      <c r="G619" s="7" t="str">
        <f t="shared" si="194"/>
        <v/>
      </c>
      <c r="H619" s="5" t="str">
        <f t="shared" si="195"/>
        <v/>
      </c>
      <c r="I619" s="116" t="str">
        <f t="shared" si="196"/>
        <v/>
      </c>
      <c r="J619" s="7" t="str">
        <f t="shared" si="197"/>
        <v/>
      </c>
      <c r="K619" s="9" t="str">
        <f t="shared" si="198"/>
        <v/>
      </c>
      <c r="L619" s="9" t="str">
        <f>IF(NOT(ISERROR(VLOOKUP(B619,Deflatores!G$42:H$64,2,FALSE))),VLOOKUP(B619,Deflatores!G$42:H$64,2,FALSE),IF(OR(ISBLANK(C619),ISBLANK(B619)),"",VLOOKUP(C619,Deflatores!G$4:H$38,2,FALSE)*H619+VLOOKUP(C619,Deflatores!G$4:I$38,3,FALSE)))</f>
        <v/>
      </c>
      <c r="M619" s="10"/>
      <c r="N619" s="10"/>
      <c r="O619" s="6"/>
    </row>
    <row r="620" spans="1:15">
      <c r="A620" s="119"/>
      <c r="B620" s="4"/>
      <c r="C620" s="4"/>
      <c r="D620" s="7"/>
      <c r="E620" s="7"/>
      <c r="F620" s="8" t="str">
        <f t="shared" si="193"/>
        <v/>
      </c>
      <c r="G620" s="7" t="str">
        <f t="shared" si="194"/>
        <v/>
      </c>
      <c r="H620" s="5" t="str">
        <f t="shared" si="195"/>
        <v/>
      </c>
      <c r="I620" s="116" t="str">
        <f t="shared" si="196"/>
        <v/>
      </c>
      <c r="J620" s="7" t="str">
        <f t="shared" si="197"/>
        <v/>
      </c>
      <c r="K620" s="9" t="str">
        <f t="shared" si="198"/>
        <v/>
      </c>
      <c r="L620" s="9" t="str">
        <f>IF(NOT(ISERROR(VLOOKUP(B620,Deflatores!G$42:H$64,2,FALSE))),VLOOKUP(B620,Deflatores!G$42:H$64,2,FALSE),IF(OR(ISBLANK(C620),ISBLANK(B620)),"",VLOOKUP(C620,Deflatores!G$4:H$38,2,FALSE)*H620+VLOOKUP(C620,Deflatores!G$4:I$38,3,FALSE)))</f>
        <v/>
      </c>
      <c r="M620" s="10"/>
      <c r="N620" s="10"/>
      <c r="O620" s="6"/>
    </row>
    <row r="621" spans="1:15">
      <c r="A621" s="119"/>
      <c r="B621" s="4"/>
      <c r="C621" s="4"/>
      <c r="D621" s="7"/>
      <c r="E621" s="7"/>
      <c r="F621" s="8" t="str">
        <f t="shared" si="193"/>
        <v/>
      </c>
      <c r="G621" s="7" t="str">
        <f t="shared" si="194"/>
        <v/>
      </c>
      <c r="H621" s="5" t="str">
        <f t="shared" si="195"/>
        <v/>
      </c>
      <c r="I621" s="116" t="str">
        <f t="shared" si="196"/>
        <v/>
      </c>
      <c r="J621" s="7" t="str">
        <f t="shared" si="197"/>
        <v/>
      </c>
      <c r="K621" s="9" t="str">
        <f t="shared" si="198"/>
        <v/>
      </c>
      <c r="L621" s="9" t="str">
        <f>IF(NOT(ISERROR(VLOOKUP(B621,Deflatores!G$42:H$64,2,FALSE))),VLOOKUP(B621,Deflatores!G$42:H$64,2,FALSE),IF(OR(ISBLANK(C621),ISBLANK(B621)),"",VLOOKUP(C621,Deflatores!G$4:H$38,2,FALSE)*H621+VLOOKUP(C621,Deflatores!G$4:I$38,3,FALSE)))</f>
        <v/>
      </c>
      <c r="M621" s="10"/>
      <c r="N621" s="10"/>
      <c r="O621" s="6"/>
    </row>
    <row r="622" spans="1:15">
      <c r="A622" s="119"/>
      <c r="B622" s="4"/>
      <c r="C622" s="4"/>
      <c r="D622" s="7"/>
      <c r="E622" s="7"/>
      <c r="F622" s="8" t="str">
        <f t="shared" si="193"/>
        <v/>
      </c>
      <c r="G622" s="7" t="str">
        <f t="shared" si="194"/>
        <v/>
      </c>
      <c r="H622" s="5" t="str">
        <f t="shared" si="195"/>
        <v/>
      </c>
      <c r="I622" s="116" t="str">
        <f t="shared" si="196"/>
        <v/>
      </c>
      <c r="J622" s="7" t="str">
        <f t="shared" si="197"/>
        <v/>
      </c>
      <c r="K622" s="9" t="str">
        <f t="shared" si="198"/>
        <v/>
      </c>
      <c r="L622" s="9" t="str">
        <f>IF(NOT(ISERROR(VLOOKUP(B622,Deflatores!G$42:H$64,2,FALSE))),VLOOKUP(B622,Deflatores!G$42:H$64,2,FALSE),IF(OR(ISBLANK(C622),ISBLANK(B622)),"",VLOOKUP(C622,Deflatores!G$4:H$38,2,FALSE)*H622+VLOOKUP(C622,Deflatores!G$4:I$38,3,FALSE)))</f>
        <v/>
      </c>
      <c r="M622" s="10"/>
      <c r="N622" s="10"/>
      <c r="O622" s="6"/>
    </row>
    <row r="623" spans="1:15">
      <c r="A623" s="119"/>
      <c r="B623" s="4"/>
      <c r="C623" s="4"/>
      <c r="D623" s="7"/>
      <c r="E623" s="7"/>
      <c r="F623" s="8" t="str">
        <f t="shared" si="193"/>
        <v/>
      </c>
      <c r="G623" s="7" t="str">
        <f t="shared" si="194"/>
        <v/>
      </c>
      <c r="H623" s="5" t="str">
        <f t="shared" si="195"/>
        <v/>
      </c>
      <c r="I623" s="116" t="str">
        <f t="shared" si="196"/>
        <v/>
      </c>
      <c r="J623" s="7" t="str">
        <f t="shared" si="197"/>
        <v/>
      </c>
      <c r="K623" s="9" t="str">
        <f t="shared" si="198"/>
        <v/>
      </c>
      <c r="L623" s="9" t="str">
        <f>IF(NOT(ISERROR(VLOOKUP(B623,Deflatores!G$42:H$64,2,FALSE))),VLOOKUP(B623,Deflatores!G$42:H$64,2,FALSE),IF(OR(ISBLANK(C623),ISBLANK(B623)),"",VLOOKUP(C623,Deflatores!G$4:H$38,2,FALSE)*H623+VLOOKUP(C623,Deflatores!G$4:I$38,3,FALSE)))</f>
        <v/>
      </c>
      <c r="M623" s="10"/>
      <c r="N623" s="10"/>
      <c r="O623" s="6"/>
    </row>
    <row r="624" spans="1:15">
      <c r="A624" s="119"/>
      <c r="B624" s="4"/>
      <c r="C624" s="4"/>
      <c r="D624" s="7"/>
      <c r="E624" s="7"/>
      <c r="F624" s="8" t="str">
        <f t="shared" si="193"/>
        <v/>
      </c>
      <c r="G624" s="7" t="str">
        <f t="shared" si="194"/>
        <v/>
      </c>
      <c r="H624" s="5" t="str">
        <f t="shared" si="195"/>
        <v/>
      </c>
      <c r="I624" s="116" t="str">
        <f t="shared" si="196"/>
        <v/>
      </c>
      <c r="J624" s="7" t="str">
        <f t="shared" si="197"/>
        <v/>
      </c>
      <c r="K624" s="9" t="str">
        <f t="shared" si="198"/>
        <v/>
      </c>
      <c r="L624" s="9" t="str">
        <f>IF(NOT(ISERROR(VLOOKUP(B624,Deflatores!G$42:H$64,2,FALSE))),VLOOKUP(B624,Deflatores!G$42:H$64,2,FALSE),IF(OR(ISBLANK(C624),ISBLANK(B624)),"",VLOOKUP(C624,Deflatores!G$4:H$38,2,FALSE)*H624+VLOOKUP(C624,Deflatores!G$4:I$38,3,FALSE)))</f>
        <v/>
      </c>
      <c r="M624" s="10"/>
      <c r="N624" s="10"/>
      <c r="O624" s="6"/>
    </row>
    <row r="625" spans="1:15">
      <c r="A625" s="119"/>
      <c r="B625" s="4"/>
      <c r="C625" s="4"/>
      <c r="D625" s="7"/>
      <c r="E625" s="7"/>
      <c r="F625" s="8" t="str">
        <f t="shared" si="193"/>
        <v/>
      </c>
      <c r="G625" s="7" t="str">
        <f t="shared" si="194"/>
        <v/>
      </c>
      <c r="H625" s="5" t="str">
        <f t="shared" si="195"/>
        <v/>
      </c>
      <c r="I625" s="116" t="str">
        <f t="shared" si="196"/>
        <v/>
      </c>
      <c r="J625" s="7" t="str">
        <f t="shared" si="197"/>
        <v/>
      </c>
      <c r="K625" s="9" t="str">
        <f t="shared" si="198"/>
        <v/>
      </c>
      <c r="L625" s="9" t="str">
        <f>IF(NOT(ISERROR(VLOOKUP(B625,Deflatores!G$42:H$64,2,FALSE))),VLOOKUP(B625,Deflatores!G$42:H$64,2,FALSE),IF(OR(ISBLANK(C625),ISBLANK(B625)),"",VLOOKUP(C625,Deflatores!G$4:H$38,2,FALSE)*H625+VLOOKUP(C625,Deflatores!G$4:I$38,3,FALSE)))</f>
        <v/>
      </c>
      <c r="M625" s="10"/>
      <c r="N625" s="10"/>
      <c r="O625" s="6"/>
    </row>
    <row r="626" spans="1:15">
      <c r="A626" s="119"/>
      <c r="B626" s="4"/>
      <c r="C626" s="4"/>
      <c r="D626" s="7"/>
      <c r="E626" s="7"/>
      <c r="F626" s="8" t="str">
        <f t="shared" si="193"/>
        <v/>
      </c>
      <c r="G626" s="7" t="str">
        <f t="shared" si="194"/>
        <v/>
      </c>
      <c r="H626" s="5" t="str">
        <f t="shared" si="195"/>
        <v/>
      </c>
      <c r="I626" s="116" t="str">
        <f t="shared" si="196"/>
        <v/>
      </c>
      <c r="J626" s="7" t="str">
        <f t="shared" si="197"/>
        <v/>
      </c>
      <c r="K626" s="9" t="str">
        <f t="shared" si="198"/>
        <v/>
      </c>
      <c r="L626" s="9" t="str">
        <f>IF(NOT(ISERROR(VLOOKUP(B626,Deflatores!G$42:H$64,2,FALSE))),VLOOKUP(B626,Deflatores!G$42:H$64,2,FALSE),IF(OR(ISBLANK(C626),ISBLANK(B626)),"",VLOOKUP(C626,Deflatores!G$4:H$38,2,FALSE)*H626+VLOOKUP(C626,Deflatores!G$4:I$38,3,FALSE)))</f>
        <v/>
      </c>
      <c r="M626" s="10"/>
      <c r="N626" s="10"/>
      <c r="O626" s="6"/>
    </row>
    <row r="627" spans="1:15">
      <c r="A627" s="119"/>
      <c r="B627" s="4"/>
      <c r="C627" s="4"/>
      <c r="D627" s="7"/>
      <c r="E627" s="7"/>
      <c r="F627" s="8" t="str">
        <f t="shared" ref="F627:F690" si="199">IF(ISBLANK(B627),"",IF(I627="L","Baixa",IF(I627="A","Média",IF(I627="","","Alta"))))</f>
        <v/>
      </c>
      <c r="G627" s="7" t="str">
        <f t="shared" ref="G627:G690" si="200">CONCATENATE(B627,I627)</f>
        <v/>
      </c>
      <c r="H627" s="5" t="str">
        <f t="shared" ref="H627:H690" si="201">IF(ISBLANK(B627),"",IF(B627="ALI",IF(I627="L",7,IF(I627="A",10,15)),IF(B627="AIE",IF(I627="L",5,IF(I627="A",7,10)),IF(B627="SE",IF(I627="L",4,IF(I627="A",5,7)),IF(OR(B627="EE",B627="CE"),IF(I627="L",3,IF(I627="A",4,6)),0)))))</f>
        <v/>
      </c>
      <c r="I627" s="116" t="str">
        <f t="shared" ref="I627:I690" si="202">IF(OR(ISBLANK(D627),ISBLANK(E627)),IF(OR(B627="ALI",B627="AIE"),"L",IF(OR(B627="EE",B627="SE",B627="CE"),"A","")),IF(B627="EE",IF(E627&gt;=3,IF(D627&gt;=5,"H","A"),IF(E627&gt;=2,IF(D627&gt;=16,"H",IF(D627&lt;=4,"L","A")),IF(D627&lt;=15,"L","A"))),IF(OR(B627="SE",B627="CE"),IF(E627&gt;=4,IF(D627&gt;=6,"H","A"),IF(E627&gt;=2,IF(D627&gt;=20,"H",IF(D627&lt;=5,"L","A")),IF(D627&lt;=19,"L","A"))),IF(OR(B627="ALI",B627="AIE"),IF(E627&gt;=6,IF(D627&gt;=20,"H","A"),IF(E627&gt;=2,IF(D627&gt;=51,"H",IF(D627&lt;=19,"L","A")),IF(D627&lt;=50,"L","A"))),""))))</f>
        <v/>
      </c>
      <c r="J627" s="7" t="str">
        <f t="shared" ref="J627:J690" si="203">CONCATENATE(B627,C627)</f>
        <v/>
      </c>
      <c r="K627" s="9" t="str">
        <f t="shared" si="198"/>
        <v/>
      </c>
      <c r="L627" s="9" t="str">
        <f>IF(NOT(ISERROR(VLOOKUP(B627,Deflatores!G$42:H$64,2,FALSE))),VLOOKUP(B627,Deflatores!G$42:H$64,2,FALSE),IF(OR(ISBLANK(C627),ISBLANK(B627)),"",VLOOKUP(C627,Deflatores!G$4:H$38,2,FALSE)*H627+VLOOKUP(C627,Deflatores!G$4:I$38,3,FALSE)))</f>
        <v/>
      </c>
      <c r="M627" s="10"/>
      <c r="N627" s="10"/>
      <c r="O627" s="6"/>
    </row>
    <row r="628" spans="1:15">
      <c r="A628" s="119"/>
      <c r="B628" s="4"/>
      <c r="C628" s="4"/>
      <c r="D628" s="7"/>
      <c r="E628" s="7"/>
      <c r="F628" s="8" t="str">
        <f t="shared" si="199"/>
        <v/>
      </c>
      <c r="G628" s="7" t="str">
        <f t="shared" si="200"/>
        <v/>
      </c>
      <c r="H628" s="5" t="str">
        <f t="shared" si="201"/>
        <v/>
      </c>
      <c r="I628" s="116" t="str">
        <f t="shared" si="202"/>
        <v/>
      </c>
      <c r="J628" s="7" t="str">
        <f t="shared" si="203"/>
        <v/>
      </c>
      <c r="K628" s="9" t="str">
        <f t="shared" si="198"/>
        <v/>
      </c>
      <c r="L628" s="9" t="str">
        <f>IF(NOT(ISERROR(VLOOKUP(B628,Deflatores!G$42:H$64,2,FALSE))),VLOOKUP(B628,Deflatores!G$42:H$64,2,FALSE),IF(OR(ISBLANK(C628),ISBLANK(B628)),"",VLOOKUP(C628,Deflatores!G$4:H$38,2,FALSE)*H628+VLOOKUP(C628,Deflatores!G$4:I$38,3,FALSE)))</f>
        <v/>
      </c>
      <c r="M628" s="10"/>
      <c r="N628" s="10"/>
      <c r="O628" s="6"/>
    </row>
    <row r="629" spans="1:15">
      <c r="A629" s="119"/>
      <c r="B629" s="4"/>
      <c r="C629" s="4"/>
      <c r="D629" s="7"/>
      <c r="E629" s="7"/>
      <c r="F629" s="8" t="str">
        <f t="shared" si="199"/>
        <v/>
      </c>
      <c r="G629" s="7" t="str">
        <f t="shared" si="200"/>
        <v/>
      </c>
      <c r="H629" s="5" t="str">
        <f t="shared" si="201"/>
        <v/>
      </c>
      <c r="I629" s="116" t="str">
        <f t="shared" si="202"/>
        <v/>
      </c>
      <c r="J629" s="7" t="str">
        <f t="shared" si="203"/>
        <v/>
      </c>
      <c r="K629" s="9" t="str">
        <f t="shared" ref="K629:K692" si="204">IF(OR(H629="",H629=0),L629,H629)</f>
        <v/>
      </c>
      <c r="L629" s="9" t="str">
        <f>IF(NOT(ISERROR(VLOOKUP(B629,Deflatores!G$42:H$64,2,FALSE))),VLOOKUP(B629,Deflatores!G$42:H$64,2,FALSE),IF(OR(ISBLANK(C629),ISBLANK(B629)),"",VLOOKUP(C629,Deflatores!G$4:H$38,2,FALSE)*H629+VLOOKUP(C629,Deflatores!G$4:I$38,3,FALSE)))</f>
        <v/>
      </c>
      <c r="M629" s="10"/>
      <c r="N629" s="10"/>
      <c r="O629" s="6"/>
    </row>
    <row r="630" spans="1:15">
      <c r="A630" s="119"/>
      <c r="B630" s="4"/>
      <c r="C630" s="4"/>
      <c r="D630" s="7"/>
      <c r="E630" s="7"/>
      <c r="F630" s="8" t="str">
        <f t="shared" si="199"/>
        <v/>
      </c>
      <c r="G630" s="7" t="str">
        <f t="shared" si="200"/>
        <v/>
      </c>
      <c r="H630" s="5" t="str">
        <f t="shared" si="201"/>
        <v/>
      </c>
      <c r="I630" s="116" t="str">
        <f t="shared" si="202"/>
        <v/>
      </c>
      <c r="J630" s="7" t="str">
        <f t="shared" si="203"/>
        <v/>
      </c>
      <c r="K630" s="9" t="str">
        <f t="shared" si="204"/>
        <v/>
      </c>
      <c r="L630" s="9" t="str">
        <f>IF(NOT(ISERROR(VLOOKUP(B630,Deflatores!G$42:H$64,2,FALSE))),VLOOKUP(B630,Deflatores!G$42:H$64,2,FALSE),IF(OR(ISBLANK(C630),ISBLANK(B630)),"",VLOOKUP(C630,Deflatores!G$4:H$38,2,FALSE)*H630+VLOOKUP(C630,Deflatores!G$4:I$38,3,FALSE)))</f>
        <v/>
      </c>
      <c r="M630" s="10"/>
      <c r="N630" s="10"/>
      <c r="O630" s="6"/>
    </row>
    <row r="631" spans="1:15">
      <c r="A631" s="119"/>
      <c r="B631" s="4"/>
      <c r="C631" s="4"/>
      <c r="D631" s="7"/>
      <c r="E631" s="7"/>
      <c r="F631" s="8" t="str">
        <f t="shared" si="199"/>
        <v/>
      </c>
      <c r="G631" s="7" t="str">
        <f t="shared" si="200"/>
        <v/>
      </c>
      <c r="H631" s="5" t="str">
        <f t="shared" si="201"/>
        <v/>
      </c>
      <c r="I631" s="116" t="str">
        <f t="shared" si="202"/>
        <v/>
      </c>
      <c r="J631" s="7" t="str">
        <f t="shared" si="203"/>
        <v/>
      </c>
      <c r="K631" s="9" t="str">
        <f t="shared" si="204"/>
        <v/>
      </c>
      <c r="L631" s="9" t="str">
        <f>IF(NOT(ISERROR(VLOOKUP(B631,Deflatores!G$42:H$64,2,FALSE))),VLOOKUP(B631,Deflatores!G$42:H$64,2,FALSE),IF(OR(ISBLANK(C631),ISBLANK(B631)),"",VLOOKUP(C631,Deflatores!G$4:H$38,2,FALSE)*H631+VLOOKUP(C631,Deflatores!G$4:I$38,3,FALSE)))</f>
        <v/>
      </c>
      <c r="M631" s="10"/>
      <c r="N631" s="10"/>
      <c r="O631" s="6"/>
    </row>
    <row r="632" spans="1:15">
      <c r="A632" s="119"/>
      <c r="B632" s="4"/>
      <c r="C632" s="4"/>
      <c r="D632" s="7"/>
      <c r="E632" s="7"/>
      <c r="F632" s="8" t="str">
        <f t="shared" si="199"/>
        <v/>
      </c>
      <c r="G632" s="7" t="str">
        <f t="shared" si="200"/>
        <v/>
      </c>
      <c r="H632" s="5" t="str">
        <f t="shared" si="201"/>
        <v/>
      </c>
      <c r="I632" s="116" t="str">
        <f t="shared" si="202"/>
        <v/>
      </c>
      <c r="J632" s="7" t="str">
        <f t="shared" si="203"/>
        <v/>
      </c>
      <c r="K632" s="9" t="str">
        <f t="shared" si="204"/>
        <v/>
      </c>
      <c r="L632" s="9" t="str">
        <f>IF(NOT(ISERROR(VLOOKUP(B632,Deflatores!G$42:H$64,2,FALSE))),VLOOKUP(B632,Deflatores!G$42:H$64,2,FALSE),IF(OR(ISBLANK(C632),ISBLANK(B632)),"",VLOOKUP(C632,Deflatores!G$4:H$38,2,FALSE)*H632+VLOOKUP(C632,Deflatores!G$4:I$38,3,FALSE)))</f>
        <v/>
      </c>
      <c r="M632" s="10"/>
      <c r="N632" s="10"/>
      <c r="O632" s="6"/>
    </row>
    <row r="633" spans="1:15">
      <c r="A633" s="119"/>
      <c r="B633" s="4"/>
      <c r="C633" s="4"/>
      <c r="D633" s="7"/>
      <c r="E633" s="7"/>
      <c r="F633" s="8" t="str">
        <f t="shared" si="199"/>
        <v/>
      </c>
      <c r="G633" s="7" t="str">
        <f t="shared" si="200"/>
        <v/>
      </c>
      <c r="H633" s="5" t="str">
        <f t="shared" si="201"/>
        <v/>
      </c>
      <c r="I633" s="116" t="str">
        <f t="shared" si="202"/>
        <v/>
      </c>
      <c r="J633" s="7" t="str">
        <f t="shared" si="203"/>
        <v/>
      </c>
      <c r="K633" s="9" t="str">
        <f t="shared" si="204"/>
        <v/>
      </c>
      <c r="L633" s="9" t="str">
        <f>IF(NOT(ISERROR(VLOOKUP(B633,Deflatores!G$42:H$64,2,FALSE))),VLOOKUP(B633,Deflatores!G$42:H$64,2,FALSE),IF(OR(ISBLANK(C633),ISBLANK(B633)),"",VLOOKUP(C633,Deflatores!G$4:H$38,2,FALSE)*H633+VLOOKUP(C633,Deflatores!G$4:I$38,3,FALSE)))</f>
        <v/>
      </c>
      <c r="M633" s="10"/>
      <c r="N633" s="10"/>
      <c r="O633" s="6"/>
    </row>
    <row r="634" spans="1:15">
      <c r="A634" s="119"/>
      <c r="B634" s="4"/>
      <c r="C634" s="4"/>
      <c r="D634" s="7"/>
      <c r="E634" s="7"/>
      <c r="F634" s="8" t="str">
        <f t="shared" si="199"/>
        <v/>
      </c>
      <c r="G634" s="7" t="str">
        <f t="shared" si="200"/>
        <v/>
      </c>
      <c r="H634" s="5" t="str">
        <f t="shared" si="201"/>
        <v/>
      </c>
      <c r="I634" s="116" t="str">
        <f t="shared" si="202"/>
        <v/>
      </c>
      <c r="J634" s="7" t="str">
        <f t="shared" si="203"/>
        <v/>
      </c>
      <c r="K634" s="9" t="str">
        <f t="shared" si="204"/>
        <v/>
      </c>
      <c r="L634" s="9" t="str">
        <f>IF(NOT(ISERROR(VLOOKUP(B634,Deflatores!G$42:H$64,2,FALSE))),VLOOKUP(B634,Deflatores!G$42:H$64,2,FALSE),IF(OR(ISBLANK(C634),ISBLANK(B634)),"",VLOOKUP(C634,Deflatores!G$4:H$38,2,FALSE)*H634+VLOOKUP(C634,Deflatores!G$4:I$38,3,FALSE)))</f>
        <v/>
      </c>
      <c r="M634" s="10"/>
      <c r="N634" s="10"/>
      <c r="O634" s="6"/>
    </row>
    <row r="635" spans="1:15">
      <c r="A635" s="119"/>
      <c r="B635" s="4"/>
      <c r="C635" s="4"/>
      <c r="D635" s="7"/>
      <c r="E635" s="7"/>
      <c r="F635" s="8" t="str">
        <f t="shared" si="199"/>
        <v/>
      </c>
      <c r="G635" s="7" t="str">
        <f t="shared" si="200"/>
        <v/>
      </c>
      <c r="H635" s="5" t="str">
        <f t="shared" si="201"/>
        <v/>
      </c>
      <c r="I635" s="116" t="str">
        <f t="shared" si="202"/>
        <v/>
      </c>
      <c r="J635" s="7" t="str">
        <f t="shared" si="203"/>
        <v/>
      </c>
      <c r="K635" s="9" t="str">
        <f t="shared" si="204"/>
        <v/>
      </c>
      <c r="L635" s="9" t="str">
        <f>IF(NOT(ISERROR(VLOOKUP(B635,Deflatores!G$42:H$64,2,FALSE))),VLOOKUP(B635,Deflatores!G$42:H$64,2,FALSE),IF(OR(ISBLANK(C635),ISBLANK(B635)),"",VLOOKUP(C635,Deflatores!G$4:H$38,2,FALSE)*H635+VLOOKUP(C635,Deflatores!G$4:I$38,3,FALSE)))</f>
        <v/>
      </c>
      <c r="M635" s="10"/>
      <c r="N635" s="10"/>
      <c r="O635" s="6"/>
    </row>
    <row r="636" spans="1:15">
      <c r="A636" s="119"/>
      <c r="B636" s="4"/>
      <c r="C636" s="4"/>
      <c r="D636" s="7"/>
      <c r="E636" s="7"/>
      <c r="F636" s="8" t="str">
        <f t="shared" si="199"/>
        <v/>
      </c>
      <c r="G636" s="7" t="str">
        <f t="shared" si="200"/>
        <v/>
      </c>
      <c r="H636" s="5" t="str">
        <f t="shared" si="201"/>
        <v/>
      </c>
      <c r="I636" s="116" t="str">
        <f t="shared" si="202"/>
        <v/>
      </c>
      <c r="J636" s="7" t="str">
        <f t="shared" si="203"/>
        <v/>
      </c>
      <c r="K636" s="9" t="str">
        <f t="shared" si="204"/>
        <v/>
      </c>
      <c r="L636" s="9" t="str">
        <f>IF(NOT(ISERROR(VLOOKUP(B636,Deflatores!G$42:H$64,2,FALSE))),VLOOKUP(B636,Deflatores!G$42:H$64,2,FALSE),IF(OR(ISBLANK(C636),ISBLANK(B636)),"",VLOOKUP(C636,Deflatores!G$4:H$38,2,FALSE)*H636+VLOOKUP(C636,Deflatores!G$4:I$38,3,FALSE)))</f>
        <v/>
      </c>
      <c r="M636" s="10"/>
      <c r="N636" s="10"/>
      <c r="O636" s="6"/>
    </row>
    <row r="637" spans="1:15">
      <c r="A637" s="119"/>
      <c r="B637" s="4"/>
      <c r="C637" s="4"/>
      <c r="D637" s="7"/>
      <c r="E637" s="7"/>
      <c r="F637" s="8" t="str">
        <f t="shared" si="199"/>
        <v/>
      </c>
      <c r="G637" s="7" t="str">
        <f t="shared" si="200"/>
        <v/>
      </c>
      <c r="H637" s="5" t="str">
        <f t="shared" si="201"/>
        <v/>
      </c>
      <c r="I637" s="116" t="str">
        <f t="shared" si="202"/>
        <v/>
      </c>
      <c r="J637" s="7" t="str">
        <f t="shared" si="203"/>
        <v/>
      </c>
      <c r="K637" s="9" t="str">
        <f t="shared" si="204"/>
        <v/>
      </c>
      <c r="L637" s="9" t="str">
        <f>IF(NOT(ISERROR(VLOOKUP(B637,Deflatores!G$42:H$64,2,FALSE))),VLOOKUP(B637,Deflatores!G$42:H$64,2,FALSE),IF(OR(ISBLANK(C637),ISBLANK(B637)),"",VLOOKUP(C637,Deflatores!G$4:H$38,2,FALSE)*H637+VLOOKUP(C637,Deflatores!G$4:I$38,3,FALSE)))</f>
        <v/>
      </c>
      <c r="M637" s="10"/>
      <c r="N637" s="10"/>
      <c r="O637" s="6"/>
    </row>
    <row r="638" spans="1:15">
      <c r="A638" s="119"/>
      <c r="B638" s="4"/>
      <c r="C638" s="4"/>
      <c r="D638" s="7"/>
      <c r="E638" s="7"/>
      <c r="F638" s="8" t="str">
        <f t="shared" si="199"/>
        <v/>
      </c>
      <c r="G638" s="7" t="str">
        <f t="shared" si="200"/>
        <v/>
      </c>
      <c r="H638" s="5" t="str">
        <f t="shared" si="201"/>
        <v/>
      </c>
      <c r="I638" s="116" t="str">
        <f t="shared" si="202"/>
        <v/>
      </c>
      <c r="J638" s="7" t="str">
        <f t="shared" si="203"/>
        <v/>
      </c>
      <c r="K638" s="9" t="str">
        <f t="shared" si="204"/>
        <v/>
      </c>
      <c r="L638" s="9" t="str">
        <f>IF(NOT(ISERROR(VLOOKUP(B638,Deflatores!G$42:H$64,2,FALSE))),VLOOKUP(B638,Deflatores!G$42:H$64,2,FALSE),IF(OR(ISBLANK(C638),ISBLANK(B638)),"",VLOOKUP(C638,Deflatores!G$4:H$38,2,FALSE)*H638+VLOOKUP(C638,Deflatores!G$4:I$38,3,FALSE)))</f>
        <v/>
      </c>
      <c r="M638" s="10"/>
      <c r="N638" s="10"/>
      <c r="O638" s="6"/>
    </row>
    <row r="639" spans="1:15">
      <c r="A639" s="119"/>
      <c r="B639" s="4"/>
      <c r="C639" s="4"/>
      <c r="D639" s="7"/>
      <c r="E639" s="7"/>
      <c r="F639" s="8" t="str">
        <f t="shared" si="199"/>
        <v/>
      </c>
      <c r="G639" s="7" t="str">
        <f t="shared" si="200"/>
        <v/>
      </c>
      <c r="H639" s="5" t="str">
        <f t="shared" si="201"/>
        <v/>
      </c>
      <c r="I639" s="116" t="str">
        <f t="shared" si="202"/>
        <v/>
      </c>
      <c r="J639" s="7" t="str">
        <f t="shared" si="203"/>
        <v/>
      </c>
      <c r="K639" s="9" t="str">
        <f t="shared" si="204"/>
        <v/>
      </c>
      <c r="L639" s="9" t="str">
        <f>IF(NOT(ISERROR(VLOOKUP(B639,Deflatores!G$42:H$64,2,FALSE))),VLOOKUP(B639,Deflatores!G$42:H$64,2,FALSE),IF(OR(ISBLANK(C639),ISBLANK(B639)),"",VLOOKUP(C639,Deflatores!G$4:H$38,2,FALSE)*H639+VLOOKUP(C639,Deflatores!G$4:I$38,3,FALSE)))</f>
        <v/>
      </c>
      <c r="M639" s="10"/>
      <c r="N639" s="10"/>
      <c r="O639" s="6"/>
    </row>
    <row r="640" spans="1:15">
      <c r="A640" s="119"/>
      <c r="B640" s="4"/>
      <c r="C640" s="4"/>
      <c r="D640" s="7"/>
      <c r="E640" s="7"/>
      <c r="F640" s="8" t="str">
        <f t="shared" si="199"/>
        <v/>
      </c>
      <c r="G640" s="7" t="str">
        <f t="shared" si="200"/>
        <v/>
      </c>
      <c r="H640" s="5" t="str">
        <f t="shared" si="201"/>
        <v/>
      </c>
      <c r="I640" s="116" t="str">
        <f t="shared" si="202"/>
        <v/>
      </c>
      <c r="J640" s="7" t="str">
        <f t="shared" si="203"/>
        <v/>
      </c>
      <c r="K640" s="9" t="str">
        <f t="shared" si="204"/>
        <v/>
      </c>
      <c r="L640" s="9" t="str">
        <f>IF(NOT(ISERROR(VLOOKUP(B640,Deflatores!G$42:H$64,2,FALSE))),VLOOKUP(B640,Deflatores!G$42:H$64,2,FALSE),IF(OR(ISBLANK(C640),ISBLANK(B640)),"",VLOOKUP(C640,Deflatores!G$4:H$38,2,FALSE)*H640+VLOOKUP(C640,Deflatores!G$4:I$38,3,FALSE)))</f>
        <v/>
      </c>
      <c r="M640" s="10"/>
      <c r="N640" s="10"/>
      <c r="O640" s="6"/>
    </row>
    <row r="641" spans="1:15">
      <c r="A641" s="119"/>
      <c r="B641" s="4"/>
      <c r="C641" s="4"/>
      <c r="D641" s="7"/>
      <c r="E641" s="7"/>
      <c r="F641" s="8" t="str">
        <f t="shared" si="199"/>
        <v/>
      </c>
      <c r="G641" s="7" t="str">
        <f t="shared" si="200"/>
        <v/>
      </c>
      <c r="H641" s="5" t="str">
        <f t="shared" si="201"/>
        <v/>
      </c>
      <c r="I641" s="116" t="str">
        <f t="shared" si="202"/>
        <v/>
      </c>
      <c r="J641" s="7" t="str">
        <f t="shared" si="203"/>
        <v/>
      </c>
      <c r="K641" s="9" t="str">
        <f t="shared" si="204"/>
        <v/>
      </c>
      <c r="L641" s="9" t="str">
        <f>IF(NOT(ISERROR(VLOOKUP(B641,Deflatores!G$42:H$64,2,FALSE))),VLOOKUP(B641,Deflatores!G$42:H$64,2,FALSE),IF(OR(ISBLANK(C641),ISBLANK(B641)),"",VLOOKUP(C641,Deflatores!G$4:H$38,2,FALSE)*H641+VLOOKUP(C641,Deflatores!G$4:I$38,3,FALSE)))</f>
        <v/>
      </c>
      <c r="M641" s="10"/>
      <c r="N641" s="10"/>
      <c r="O641" s="6"/>
    </row>
    <row r="642" spans="1:15">
      <c r="A642" s="119"/>
      <c r="B642" s="4"/>
      <c r="C642" s="4"/>
      <c r="D642" s="7"/>
      <c r="E642" s="7"/>
      <c r="F642" s="8" t="str">
        <f t="shared" si="199"/>
        <v/>
      </c>
      <c r="G642" s="7" t="str">
        <f t="shared" si="200"/>
        <v/>
      </c>
      <c r="H642" s="5" t="str">
        <f t="shared" si="201"/>
        <v/>
      </c>
      <c r="I642" s="116" t="str">
        <f t="shared" si="202"/>
        <v/>
      </c>
      <c r="J642" s="7" t="str">
        <f t="shared" si="203"/>
        <v/>
      </c>
      <c r="K642" s="9" t="str">
        <f t="shared" si="204"/>
        <v/>
      </c>
      <c r="L642" s="9" t="str">
        <f>IF(NOT(ISERROR(VLOOKUP(B642,Deflatores!G$42:H$64,2,FALSE))),VLOOKUP(B642,Deflatores!G$42:H$64,2,FALSE),IF(OR(ISBLANK(C642),ISBLANK(B642)),"",VLOOKUP(C642,Deflatores!G$4:H$38,2,FALSE)*H642+VLOOKUP(C642,Deflatores!G$4:I$38,3,FALSE)))</f>
        <v/>
      </c>
      <c r="M642" s="10"/>
      <c r="N642" s="10"/>
      <c r="O642" s="6"/>
    </row>
    <row r="643" spans="1:15">
      <c r="A643" s="119"/>
      <c r="B643" s="4"/>
      <c r="C643" s="4"/>
      <c r="D643" s="7"/>
      <c r="E643" s="7"/>
      <c r="F643" s="8" t="str">
        <f t="shared" si="199"/>
        <v/>
      </c>
      <c r="G643" s="7" t="str">
        <f t="shared" si="200"/>
        <v/>
      </c>
      <c r="H643" s="5" t="str">
        <f t="shared" si="201"/>
        <v/>
      </c>
      <c r="I643" s="116" t="str">
        <f t="shared" si="202"/>
        <v/>
      </c>
      <c r="J643" s="7" t="str">
        <f t="shared" si="203"/>
        <v/>
      </c>
      <c r="K643" s="9" t="str">
        <f t="shared" si="204"/>
        <v/>
      </c>
      <c r="L643" s="9" t="str">
        <f>IF(NOT(ISERROR(VLOOKUP(B643,Deflatores!G$42:H$64,2,FALSE))),VLOOKUP(B643,Deflatores!G$42:H$64,2,FALSE),IF(OR(ISBLANK(C643),ISBLANK(B643)),"",VLOOKUP(C643,Deflatores!G$4:H$38,2,FALSE)*H643+VLOOKUP(C643,Deflatores!G$4:I$38,3,FALSE)))</f>
        <v/>
      </c>
      <c r="M643" s="10"/>
      <c r="N643" s="10"/>
      <c r="O643" s="6"/>
    </row>
    <row r="644" spans="1:15">
      <c r="A644" s="119"/>
      <c r="B644" s="4"/>
      <c r="C644" s="4"/>
      <c r="D644" s="7"/>
      <c r="E644" s="7"/>
      <c r="F644" s="8" t="str">
        <f t="shared" si="199"/>
        <v/>
      </c>
      <c r="G644" s="7" t="str">
        <f t="shared" si="200"/>
        <v/>
      </c>
      <c r="H644" s="5" t="str">
        <f t="shared" si="201"/>
        <v/>
      </c>
      <c r="I644" s="116" t="str">
        <f t="shared" si="202"/>
        <v/>
      </c>
      <c r="J644" s="7" t="str">
        <f t="shared" si="203"/>
        <v/>
      </c>
      <c r="K644" s="9" t="str">
        <f t="shared" si="204"/>
        <v/>
      </c>
      <c r="L644" s="9" t="str">
        <f>IF(NOT(ISERROR(VLOOKUP(B644,Deflatores!G$42:H$64,2,FALSE))),VLOOKUP(B644,Deflatores!G$42:H$64,2,FALSE),IF(OR(ISBLANK(C644),ISBLANK(B644)),"",VLOOKUP(C644,Deflatores!G$4:H$38,2,FALSE)*H644+VLOOKUP(C644,Deflatores!G$4:I$38,3,FALSE)))</f>
        <v/>
      </c>
      <c r="M644" s="10"/>
      <c r="N644" s="10"/>
      <c r="O644" s="6"/>
    </row>
    <row r="645" spans="1:15">
      <c r="A645" s="119"/>
      <c r="B645" s="4"/>
      <c r="C645" s="4"/>
      <c r="D645" s="7"/>
      <c r="E645" s="7"/>
      <c r="F645" s="8" t="str">
        <f t="shared" si="199"/>
        <v/>
      </c>
      <c r="G645" s="7" t="str">
        <f t="shared" si="200"/>
        <v/>
      </c>
      <c r="H645" s="5" t="str">
        <f t="shared" si="201"/>
        <v/>
      </c>
      <c r="I645" s="116" t="str">
        <f t="shared" si="202"/>
        <v/>
      </c>
      <c r="J645" s="7" t="str">
        <f t="shared" si="203"/>
        <v/>
      </c>
      <c r="K645" s="9" t="str">
        <f t="shared" si="204"/>
        <v/>
      </c>
      <c r="L645" s="9" t="str">
        <f>IF(NOT(ISERROR(VLOOKUP(B645,Deflatores!G$42:H$64,2,FALSE))),VLOOKUP(B645,Deflatores!G$42:H$64,2,FALSE),IF(OR(ISBLANK(C645),ISBLANK(B645)),"",VLOOKUP(C645,Deflatores!G$4:H$38,2,FALSE)*H645+VLOOKUP(C645,Deflatores!G$4:I$38,3,FALSE)))</f>
        <v/>
      </c>
      <c r="M645" s="10"/>
      <c r="N645" s="10"/>
      <c r="O645" s="6"/>
    </row>
    <row r="646" spans="1:15">
      <c r="A646" s="119"/>
      <c r="B646" s="4"/>
      <c r="C646" s="4"/>
      <c r="D646" s="7"/>
      <c r="E646" s="7"/>
      <c r="F646" s="8" t="str">
        <f t="shared" si="199"/>
        <v/>
      </c>
      <c r="G646" s="7" t="str">
        <f t="shared" si="200"/>
        <v/>
      </c>
      <c r="H646" s="5" t="str">
        <f t="shared" si="201"/>
        <v/>
      </c>
      <c r="I646" s="116" t="str">
        <f t="shared" si="202"/>
        <v/>
      </c>
      <c r="J646" s="7" t="str">
        <f t="shared" si="203"/>
        <v/>
      </c>
      <c r="K646" s="9" t="str">
        <f t="shared" si="204"/>
        <v/>
      </c>
      <c r="L646" s="9" t="str">
        <f>IF(NOT(ISERROR(VLOOKUP(B646,Deflatores!G$42:H$64,2,FALSE))),VLOOKUP(B646,Deflatores!G$42:H$64,2,FALSE),IF(OR(ISBLANK(C646),ISBLANK(B646)),"",VLOOKUP(C646,Deflatores!G$4:H$38,2,FALSE)*H646+VLOOKUP(C646,Deflatores!G$4:I$38,3,FALSE)))</f>
        <v/>
      </c>
      <c r="M646" s="10"/>
      <c r="N646" s="10"/>
      <c r="O646" s="6"/>
    </row>
    <row r="647" spans="1:15">
      <c r="A647" s="119"/>
      <c r="B647" s="4"/>
      <c r="C647" s="4"/>
      <c r="D647" s="7"/>
      <c r="E647" s="7"/>
      <c r="F647" s="8" t="str">
        <f t="shared" si="199"/>
        <v/>
      </c>
      <c r="G647" s="7" t="str">
        <f t="shared" si="200"/>
        <v/>
      </c>
      <c r="H647" s="5" t="str">
        <f t="shared" si="201"/>
        <v/>
      </c>
      <c r="I647" s="116" t="str">
        <f t="shared" si="202"/>
        <v/>
      </c>
      <c r="J647" s="7" t="str">
        <f t="shared" si="203"/>
        <v/>
      </c>
      <c r="K647" s="9" t="str">
        <f t="shared" si="204"/>
        <v/>
      </c>
      <c r="L647" s="9" t="str">
        <f>IF(NOT(ISERROR(VLOOKUP(B647,Deflatores!G$42:H$64,2,FALSE))),VLOOKUP(B647,Deflatores!G$42:H$64,2,FALSE),IF(OR(ISBLANK(C647),ISBLANK(B647)),"",VLOOKUP(C647,Deflatores!G$4:H$38,2,FALSE)*H647+VLOOKUP(C647,Deflatores!G$4:I$38,3,FALSE)))</f>
        <v/>
      </c>
      <c r="M647" s="10"/>
      <c r="N647" s="10"/>
      <c r="O647" s="6"/>
    </row>
    <row r="648" spans="1:15">
      <c r="A648" s="119"/>
      <c r="B648" s="4"/>
      <c r="C648" s="4"/>
      <c r="D648" s="7"/>
      <c r="E648" s="7"/>
      <c r="F648" s="8" t="str">
        <f t="shared" si="199"/>
        <v/>
      </c>
      <c r="G648" s="7" t="str">
        <f t="shared" si="200"/>
        <v/>
      </c>
      <c r="H648" s="5" t="str">
        <f t="shared" si="201"/>
        <v/>
      </c>
      <c r="I648" s="116" t="str">
        <f t="shared" si="202"/>
        <v/>
      </c>
      <c r="J648" s="7" t="str">
        <f t="shared" si="203"/>
        <v/>
      </c>
      <c r="K648" s="9" t="str">
        <f t="shared" si="204"/>
        <v/>
      </c>
      <c r="L648" s="9" t="str">
        <f>IF(NOT(ISERROR(VLOOKUP(B648,Deflatores!G$42:H$64,2,FALSE))),VLOOKUP(B648,Deflatores!G$42:H$64,2,FALSE),IF(OR(ISBLANK(C648),ISBLANK(B648)),"",VLOOKUP(C648,Deflatores!G$4:H$38,2,FALSE)*H648+VLOOKUP(C648,Deflatores!G$4:I$38,3,FALSE)))</f>
        <v/>
      </c>
      <c r="M648" s="10"/>
      <c r="N648" s="10"/>
      <c r="O648" s="6"/>
    </row>
    <row r="649" spans="1:15">
      <c r="A649" s="119"/>
      <c r="B649" s="4"/>
      <c r="C649" s="4"/>
      <c r="D649" s="7"/>
      <c r="E649" s="7"/>
      <c r="F649" s="8" t="str">
        <f t="shared" si="199"/>
        <v/>
      </c>
      <c r="G649" s="7" t="str">
        <f t="shared" si="200"/>
        <v/>
      </c>
      <c r="H649" s="5" t="str">
        <f t="shared" si="201"/>
        <v/>
      </c>
      <c r="I649" s="116" t="str">
        <f t="shared" si="202"/>
        <v/>
      </c>
      <c r="J649" s="7" t="str">
        <f t="shared" si="203"/>
        <v/>
      </c>
      <c r="K649" s="9" t="str">
        <f t="shared" si="204"/>
        <v/>
      </c>
      <c r="L649" s="9" t="str">
        <f>IF(NOT(ISERROR(VLOOKUP(B649,Deflatores!G$42:H$64,2,FALSE))),VLOOKUP(B649,Deflatores!G$42:H$64,2,FALSE),IF(OR(ISBLANK(C649),ISBLANK(B649)),"",VLOOKUP(C649,Deflatores!G$4:H$38,2,FALSE)*H649+VLOOKUP(C649,Deflatores!G$4:I$38,3,FALSE)))</f>
        <v/>
      </c>
      <c r="M649" s="10"/>
      <c r="N649" s="10"/>
      <c r="O649" s="6"/>
    </row>
    <row r="650" spans="1:15">
      <c r="A650" s="119"/>
      <c r="B650" s="4"/>
      <c r="C650" s="4"/>
      <c r="D650" s="7"/>
      <c r="E650" s="7"/>
      <c r="F650" s="8" t="str">
        <f t="shared" si="199"/>
        <v/>
      </c>
      <c r="G650" s="7" t="str">
        <f t="shared" si="200"/>
        <v/>
      </c>
      <c r="H650" s="5" t="str">
        <f t="shared" si="201"/>
        <v/>
      </c>
      <c r="I650" s="116" t="str">
        <f t="shared" si="202"/>
        <v/>
      </c>
      <c r="J650" s="7" t="str">
        <f t="shared" si="203"/>
        <v/>
      </c>
      <c r="K650" s="9" t="str">
        <f t="shared" si="204"/>
        <v/>
      </c>
      <c r="L650" s="9" t="str">
        <f>IF(NOT(ISERROR(VLOOKUP(B650,Deflatores!G$42:H$64,2,FALSE))),VLOOKUP(B650,Deflatores!G$42:H$64,2,FALSE),IF(OR(ISBLANK(C650),ISBLANK(B650)),"",VLOOKUP(C650,Deflatores!G$4:H$38,2,FALSE)*H650+VLOOKUP(C650,Deflatores!G$4:I$38,3,FALSE)))</f>
        <v/>
      </c>
      <c r="M650" s="10"/>
      <c r="N650" s="10"/>
      <c r="O650" s="6"/>
    </row>
    <row r="651" spans="1:15">
      <c r="A651" s="119"/>
      <c r="B651" s="4"/>
      <c r="C651" s="4"/>
      <c r="D651" s="7"/>
      <c r="E651" s="7"/>
      <c r="F651" s="8" t="str">
        <f t="shared" si="199"/>
        <v/>
      </c>
      <c r="G651" s="7" t="str">
        <f t="shared" si="200"/>
        <v/>
      </c>
      <c r="H651" s="5" t="str">
        <f t="shared" si="201"/>
        <v/>
      </c>
      <c r="I651" s="116" t="str">
        <f t="shared" si="202"/>
        <v/>
      </c>
      <c r="J651" s="7" t="str">
        <f t="shared" si="203"/>
        <v/>
      </c>
      <c r="K651" s="9" t="str">
        <f t="shared" si="204"/>
        <v/>
      </c>
      <c r="L651" s="9" t="str">
        <f>IF(NOT(ISERROR(VLOOKUP(B651,Deflatores!G$42:H$64,2,FALSE))),VLOOKUP(B651,Deflatores!G$42:H$64,2,FALSE),IF(OR(ISBLANK(C651),ISBLANK(B651)),"",VLOOKUP(C651,Deflatores!G$4:H$38,2,FALSE)*H651+VLOOKUP(C651,Deflatores!G$4:I$38,3,FALSE)))</f>
        <v/>
      </c>
      <c r="M651" s="10"/>
      <c r="N651" s="10"/>
      <c r="O651" s="6"/>
    </row>
    <row r="652" spans="1:15">
      <c r="A652" s="119"/>
      <c r="B652" s="4"/>
      <c r="C652" s="4"/>
      <c r="D652" s="7"/>
      <c r="E652" s="7"/>
      <c r="F652" s="8" t="str">
        <f t="shared" si="199"/>
        <v/>
      </c>
      <c r="G652" s="7" t="str">
        <f t="shared" si="200"/>
        <v/>
      </c>
      <c r="H652" s="5" t="str">
        <f t="shared" si="201"/>
        <v/>
      </c>
      <c r="I652" s="116" t="str">
        <f t="shared" si="202"/>
        <v/>
      </c>
      <c r="J652" s="7" t="str">
        <f t="shared" si="203"/>
        <v/>
      </c>
      <c r="K652" s="9" t="str">
        <f t="shared" si="204"/>
        <v/>
      </c>
      <c r="L652" s="9" t="str">
        <f>IF(NOT(ISERROR(VLOOKUP(B652,Deflatores!G$42:H$64,2,FALSE))),VLOOKUP(B652,Deflatores!G$42:H$64,2,FALSE),IF(OR(ISBLANK(C652),ISBLANK(B652)),"",VLOOKUP(C652,Deflatores!G$4:H$38,2,FALSE)*H652+VLOOKUP(C652,Deflatores!G$4:I$38,3,FALSE)))</f>
        <v/>
      </c>
      <c r="M652" s="10"/>
      <c r="N652" s="10"/>
      <c r="O652" s="6"/>
    </row>
    <row r="653" spans="1:15">
      <c r="A653" s="119"/>
      <c r="B653" s="4"/>
      <c r="C653" s="4"/>
      <c r="D653" s="7"/>
      <c r="E653" s="7"/>
      <c r="F653" s="8" t="str">
        <f t="shared" si="199"/>
        <v/>
      </c>
      <c r="G653" s="7" t="str">
        <f t="shared" si="200"/>
        <v/>
      </c>
      <c r="H653" s="5" t="str">
        <f t="shared" si="201"/>
        <v/>
      </c>
      <c r="I653" s="116" t="str">
        <f t="shared" si="202"/>
        <v/>
      </c>
      <c r="J653" s="7" t="str">
        <f t="shared" si="203"/>
        <v/>
      </c>
      <c r="K653" s="9" t="str">
        <f t="shared" si="204"/>
        <v/>
      </c>
      <c r="L653" s="9" t="str">
        <f>IF(NOT(ISERROR(VLOOKUP(B653,Deflatores!G$42:H$64,2,FALSE))),VLOOKUP(B653,Deflatores!G$42:H$64,2,FALSE),IF(OR(ISBLANK(C653),ISBLANK(B653)),"",VLOOKUP(C653,Deflatores!G$4:H$38,2,FALSE)*H653+VLOOKUP(C653,Deflatores!G$4:I$38,3,FALSE)))</f>
        <v/>
      </c>
      <c r="M653" s="10"/>
      <c r="N653" s="10"/>
      <c r="O653" s="6"/>
    </row>
    <row r="654" spans="1:15">
      <c r="A654" s="119"/>
      <c r="B654" s="4"/>
      <c r="C654" s="4"/>
      <c r="D654" s="7"/>
      <c r="E654" s="7"/>
      <c r="F654" s="8" t="str">
        <f t="shared" si="199"/>
        <v/>
      </c>
      <c r="G654" s="7" t="str">
        <f t="shared" si="200"/>
        <v/>
      </c>
      <c r="H654" s="5" t="str">
        <f t="shared" si="201"/>
        <v/>
      </c>
      <c r="I654" s="116" t="str">
        <f t="shared" si="202"/>
        <v/>
      </c>
      <c r="J654" s="7" t="str">
        <f t="shared" si="203"/>
        <v/>
      </c>
      <c r="K654" s="9" t="str">
        <f t="shared" si="204"/>
        <v/>
      </c>
      <c r="L654" s="9" t="str">
        <f>IF(NOT(ISERROR(VLOOKUP(B654,Deflatores!G$42:H$64,2,FALSE))),VLOOKUP(B654,Deflatores!G$42:H$64,2,FALSE),IF(OR(ISBLANK(C654),ISBLANK(B654)),"",VLOOKUP(C654,Deflatores!G$4:H$38,2,FALSE)*H654+VLOOKUP(C654,Deflatores!G$4:I$38,3,FALSE)))</f>
        <v/>
      </c>
      <c r="M654" s="10"/>
      <c r="N654" s="10"/>
      <c r="O654" s="6"/>
    </row>
    <row r="655" spans="1:15">
      <c r="A655" s="119"/>
      <c r="B655" s="4"/>
      <c r="C655" s="4"/>
      <c r="D655" s="7"/>
      <c r="E655" s="7"/>
      <c r="F655" s="8" t="str">
        <f t="shared" si="199"/>
        <v/>
      </c>
      <c r="G655" s="7" t="str">
        <f t="shared" si="200"/>
        <v/>
      </c>
      <c r="H655" s="5" t="str">
        <f t="shared" si="201"/>
        <v/>
      </c>
      <c r="I655" s="116" t="str">
        <f t="shared" si="202"/>
        <v/>
      </c>
      <c r="J655" s="7" t="str">
        <f t="shared" si="203"/>
        <v/>
      </c>
      <c r="K655" s="9" t="str">
        <f t="shared" si="204"/>
        <v/>
      </c>
      <c r="L655" s="9" t="str">
        <f>IF(NOT(ISERROR(VLOOKUP(B655,Deflatores!G$42:H$64,2,FALSE))),VLOOKUP(B655,Deflatores!G$42:H$64,2,FALSE),IF(OR(ISBLANK(C655),ISBLANK(B655)),"",VLOOKUP(C655,Deflatores!G$4:H$38,2,FALSE)*H655+VLOOKUP(C655,Deflatores!G$4:I$38,3,FALSE)))</f>
        <v/>
      </c>
      <c r="M655" s="10"/>
      <c r="N655" s="10"/>
      <c r="O655" s="6"/>
    </row>
    <row r="656" spans="1:15">
      <c r="A656" s="119"/>
      <c r="B656" s="4"/>
      <c r="C656" s="4"/>
      <c r="D656" s="7"/>
      <c r="E656" s="7"/>
      <c r="F656" s="8" t="str">
        <f t="shared" si="199"/>
        <v/>
      </c>
      <c r="G656" s="7" t="str">
        <f t="shared" si="200"/>
        <v/>
      </c>
      <c r="H656" s="5" t="str">
        <f t="shared" si="201"/>
        <v/>
      </c>
      <c r="I656" s="116" t="str">
        <f t="shared" si="202"/>
        <v/>
      </c>
      <c r="J656" s="7" t="str">
        <f t="shared" si="203"/>
        <v/>
      </c>
      <c r="K656" s="9" t="str">
        <f t="shared" si="204"/>
        <v/>
      </c>
      <c r="L656" s="9" t="str">
        <f>IF(NOT(ISERROR(VLOOKUP(B656,Deflatores!G$42:H$64,2,FALSE))),VLOOKUP(B656,Deflatores!G$42:H$64,2,FALSE),IF(OR(ISBLANK(C656),ISBLANK(B656)),"",VLOOKUP(C656,Deflatores!G$4:H$38,2,FALSE)*H656+VLOOKUP(C656,Deflatores!G$4:I$38,3,FALSE)))</f>
        <v/>
      </c>
      <c r="M656" s="10"/>
      <c r="N656" s="10"/>
      <c r="O656" s="6"/>
    </row>
    <row r="657" spans="1:15">
      <c r="A657" s="119"/>
      <c r="B657" s="4"/>
      <c r="C657" s="4"/>
      <c r="D657" s="7"/>
      <c r="E657" s="7"/>
      <c r="F657" s="8" t="str">
        <f t="shared" si="199"/>
        <v/>
      </c>
      <c r="G657" s="7" t="str">
        <f t="shared" si="200"/>
        <v/>
      </c>
      <c r="H657" s="5" t="str">
        <f t="shared" si="201"/>
        <v/>
      </c>
      <c r="I657" s="116" t="str">
        <f t="shared" si="202"/>
        <v/>
      </c>
      <c r="J657" s="7" t="str">
        <f t="shared" si="203"/>
        <v/>
      </c>
      <c r="K657" s="9" t="str">
        <f t="shared" si="204"/>
        <v/>
      </c>
      <c r="L657" s="9" t="str">
        <f>IF(NOT(ISERROR(VLOOKUP(B657,Deflatores!G$42:H$64,2,FALSE))),VLOOKUP(B657,Deflatores!G$42:H$64,2,FALSE),IF(OR(ISBLANK(C657),ISBLANK(B657)),"",VLOOKUP(C657,Deflatores!G$4:H$38,2,FALSE)*H657+VLOOKUP(C657,Deflatores!G$4:I$38,3,FALSE)))</f>
        <v/>
      </c>
      <c r="M657" s="10"/>
      <c r="N657" s="10"/>
      <c r="O657" s="6"/>
    </row>
    <row r="658" spans="1:15">
      <c r="A658" s="119"/>
      <c r="B658" s="4"/>
      <c r="C658" s="4"/>
      <c r="D658" s="7"/>
      <c r="E658" s="7"/>
      <c r="F658" s="8" t="str">
        <f t="shared" si="199"/>
        <v/>
      </c>
      <c r="G658" s="7" t="str">
        <f t="shared" si="200"/>
        <v/>
      </c>
      <c r="H658" s="5" t="str">
        <f t="shared" si="201"/>
        <v/>
      </c>
      <c r="I658" s="116" t="str">
        <f t="shared" si="202"/>
        <v/>
      </c>
      <c r="J658" s="7" t="str">
        <f t="shared" si="203"/>
        <v/>
      </c>
      <c r="K658" s="9" t="str">
        <f t="shared" si="204"/>
        <v/>
      </c>
      <c r="L658" s="9" t="str">
        <f>IF(NOT(ISERROR(VLOOKUP(B658,Deflatores!G$42:H$64,2,FALSE))),VLOOKUP(B658,Deflatores!G$42:H$64,2,FALSE),IF(OR(ISBLANK(C658),ISBLANK(B658)),"",VLOOKUP(C658,Deflatores!G$4:H$38,2,FALSE)*H658+VLOOKUP(C658,Deflatores!G$4:I$38,3,FALSE)))</f>
        <v/>
      </c>
      <c r="M658" s="10"/>
      <c r="N658" s="10"/>
      <c r="O658" s="6"/>
    </row>
    <row r="659" spans="1:15">
      <c r="A659" s="119"/>
      <c r="B659" s="4"/>
      <c r="C659" s="4"/>
      <c r="D659" s="7"/>
      <c r="E659" s="7"/>
      <c r="F659" s="8" t="str">
        <f t="shared" si="199"/>
        <v/>
      </c>
      <c r="G659" s="7" t="str">
        <f t="shared" si="200"/>
        <v/>
      </c>
      <c r="H659" s="5" t="str">
        <f t="shared" si="201"/>
        <v/>
      </c>
      <c r="I659" s="116" t="str">
        <f t="shared" si="202"/>
        <v/>
      </c>
      <c r="J659" s="7" t="str">
        <f t="shared" si="203"/>
        <v/>
      </c>
      <c r="K659" s="9" t="str">
        <f t="shared" si="204"/>
        <v/>
      </c>
      <c r="L659" s="9" t="str">
        <f>IF(NOT(ISERROR(VLOOKUP(B659,Deflatores!G$42:H$64,2,FALSE))),VLOOKUP(B659,Deflatores!G$42:H$64,2,FALSE),IF(OR(ISBLANK(C659),ISBLANK(B659)),"",VLOOKUP(C659,Deflatores!G$4:H$38,2,FALSE)*H659+VLOOKUP(C659,Deflatores!G$4:I$38,3,FALSE)))</f>
        <v/>
      </c>
      <c r="M659" s="10"/>
      <c r="N659" s="10"/>
      <c r="O659" s="6"/>
    </row>
    <row r="660" spans="1:15">
      <c r="A660" s="119"/>
      <c r="B660" s="4"/>
      <c r="C660" s="4"/>
      <c r="D660" s="7"/>
      <c r="E660" s="7"/>
      <c r="F660" s="8" t="str">
        <f t="shared" si="199"/>
        <v/>
      </c>
      <c r="G660" s="7" t="str">
        <f t="shared" si="200"/>
        <v/>
      </c>
      <c r="H660" s="5" t="str">
        <f t="shared" si="201"/>
        <v/>
      </c>
      <c r="I660" s="116" t="str">
        <f t="shared" si="202"/>
        <v/>
      </c>
      <c r="J660" s="7" t="str">
        <f t="shared" si="203"/>
        <v/>
      </c>
      <c r="K660" s="9" t="str">
        <f t="shared" si="204"/>
        <v/>
      </c>
      <c r="L660" s="9" t="str">
        <f>IF(NOT(ISERROR(VLOOKUP(B660,Deflatores!G$42:H$64,2,FALSE))),VLOOKUP(B660,Deflatores!G$42:H$64,2,FALSE),IF(OR(ISBLANK(C660),ISBLANK(B660)),"",VLOOKUP(C660,Deflatores!G$4:H$38,2,FALSE)*H660+VLOOKUP(C660,Deflatores!G$4:I$38,3,FALSE)))</f>
        <v/>
      </c>
      <c r="M660" s="10"/>
      <c r="N660" s="10"/>
      <c r="O660" s="6"/>
    </row>
    <row r="661" spans="1:15">
      <c r="A661" s="119"/>
      <c r="B661" s="4"/>
      <c r="C661" s="4"/>
      <c r="D661" s="7"/>
      <c r="E661" s="7"/>
      <c r="F661" s="8" t="str">
        <f t="shared" si="199"/>
        <v/>
      </c>
      <c r="G661" s="7" t="str">
        <f t="shared" si="200"/>
        <v/>
      </c>
      <c r="H661" s="5" t="str">
        <f t="shared" si="201"/>
        <v/>
      </c>
      <c r="I661" s="116" t="str">
        <f t="shared" si="202"/>
        <v/>
      </c>
      <c r="J661" s="7" t="str">
        <f t="shared" si="203"/>
        <v/>
      </c>
      <c r="K661" s="9" t="str">
        <f t="shared" si="204"/>
        <v/>
      </c>
      <c r="L661" s="9" t="str">
        <f>IF(NOT(ISERROR(VLOOKUP(B661,Deflatores!G$42:H$64,2,FALSE))),VLOOKUP(B661,Deflatores!G$42:H$64,2,FALSE),IF(OR(ISBLANK(C661),ISBLANK(B661)),"",VLOOKUP(C661,Deflatores!G$4:H$38,2,FALSE)*H661+VLOOKUP(C661,Deflatores!G$4:I$38,3,FALSE)))</f>
        <v/>
      </c>
      <c r="M661" s="10"/>
      <c r="N661" s="10"/>
      <c r="O661" s="6"/>
    </row>
    <row r="662" spans="1:15">
      <c r="A662" s="119"/>
      <c r="B662" s="4"/>
      <c r="C662" s="4"/>
      <c r="D662" s="7"/>
      <c r="E662" s="7"/>
      <c r="F662" s="8" t="str">
        <f t="shared" si="199"/>
        <v/>
      </c>
      <c r="G662" s="7" t="str">
        <f t="shared" si="200"/>
        <v/>
      </c>
      <c r="H662" s="5" t="str">
        <f t="shared" si="201"/>
        <v/>
      </c>
      <c r="I662" s="116" t="str">
        <f t="shared" si="202"/>
        <v/>
      </c>
      <c r="J662" s="7" t="str">
        <f t="shared" si="203"/>
        <v/>
      </c>
      <c r="K662" s="9" t="str">
        <f t="shared" si="204"/>
        <v/>
      </c>
      <c r="L662" s="9" t="str">
        <f>IF(NOT(ISERROR(VLOOKUP(B662,Deflatores!G$42:H$64,2,FALSE))),VLOOKUP(B662,Deflatores!G$42:H$64,2,FALSE),IF(OR(ISBLANK(C662),ISBLANK(B662)),"",VLOOKUP(C662,Deflatores!G$4:H$38,2,FALSE)*H662+VLOOKUP(C662,Deflatores!G$4:I$38,3,FALSE)))</f>
        <v/>
      </c>
      <c r="M662" s="10"/>
      <c r="N662" s="10"/>
      <c r="O662" s="6"/>
    </row>
    <row r="663" spans="1:15">
      <c r="A663" s="119"/>
      <c r="B663" s="4"/>
      <c r="C663" s="4"/>
      <c r="D663" s="7"/>
      <c r="E663" s="7"/>
      <c r="F663" s="8" t="str">
        <f t="shared" si="199"/>
        <v/>
      </c>
      <c r="G663" s="7" t="str">
        <f t="shared" si="200"/>
        <v/>
      </c>
      <c r="H663" s="5" t="str">
        <f t="shared" si="201"/>
        <v/>
      </c>
      <c r="I663" s="116" t="str">
        <f t="shared" si="202"/>
        <v/>
      </c>
      <c r="J663" s="7" t="str">
        <f t="shared" si="203"/>
        <v/>
      </c>
      <c r="K663" s="9" t="str">
        <f t="shared" si="204"/>
        <v/>
      </c>
      <c r="L663" s="9" t="str">
        <f>IF(NOT(ISERROR(VLOOKUP(B663,Deflatores!G$42:H$64,2,FALSE))),VLOOKUP(B663,Deflatores!G$42:H$64,2,FALSE),IF(OR(ISBLANK(C663),ISBLANK(B663)),"",VLOOKUP(C663,Deflatores!G$4:H$38,2,FALSE)*H663+VLOOKUP(C663,Deflatores!G$4:I$38,3,FALSE)))</f>
        <v/>
      </c>
      <c r="M663" s="10"/>
      <c r="N663" s="10"/>
      <c r="O663" s="6"/>
    </row>
    <row r="664" spans="1:15">
      <c r="A664" s="119"/>
      <c r="B664" s="4"/>
      <c r="C664" s="4"/>
      <c r="D664" s="7"/>
      <c r="E664" s="7"/>
      <c r="F664" s="8" t="str">
        <f t="shared" si="199"/>
        <v/>
      </c>
      <c r="G664" s="7" t="str">
        <f t="shared" si="200"/>
        <v/>
      </c>
      <c r="H664" s="5" t="str">
        <f t="shared" si="201"/>
        <v/>
      </c>
      <c r="I664" s="116" t="str">
        <f t="shared" si="202"/>
        <v/>
      </c>
      <c r="J664" s="7" t="str">
        <f t="shared" si="203"/>
        <v/>
      </c>
      <c r="K664" s="9" t="str">
        <f t="shared" si="204"/>
        <v/>
      </c>
      <c r="L664" s="9" t="str">
        <f>IF(NOT(ISERROR(VLOOKUP(B664,Deflatores!G$42:H$64,2,FALSE))),VLOOKUP(B664,Deflatores!G$42:H$64,2,FALSE),IF(OR(ISBLANK(C664),ISBLANK(B664)),"",VLOOKUP(C664,Deflatores!G$4:H$38,2,FALSE)*H664+VLOOKUP(C664,Deflatores!G$4:I$38,3,FALSE)))</f>
        <v/>
      </c>
      <c r="M664" s="10"/>
      <c r="N664" s="10"/>
      <c r="O664" s="6"/>
    </row>
    <row r="665" spans="1:15">
      <c r="A665" s="119"/>
      <c r="B665" s="4"/>
      <c r="C665" s="4"/>
      <c r="D665" s="7"/>
      <c r="E665" s="7"/>
      <c r="F665" s="8" t="str">
        <f t="shared" si="199"/>
        <v/>
      </c>
      <c r="G665" s="7" t="str">
        <f t="shared" si="200"/>
        <v/>
      </c>
      <c r="H665" s="5" t="str">
        <f t="shared" si="201"/>
        <v/>
      </c>
      <c r="I665" s="116" t="str">
        <f t="shared" si="202"/>
        <v/>
      </c>
      <c r="J665" s="7" t="str">
        <f t="shared" si="203"/>
        <v/>
      </c>
      <c r="K665" s="9" t="str">
        <f t="shared" si="204"/>
        <v/>
      </c>
      <c r="L665" s="9" t="str">
        <f>IF(NOT(ISERROR(VLOOKUP(B665,Deflatores!G$42:H$64,2,FALSE))),VLOOKUP(B665,Deflatores!G$42:H$64,2,FALSE),IF(OR(ISBLANK(C665),ISBLANK(B665)),"",VLOOKUP(C665,Deflatores!G$4:H$38,2,FALSE)*H665+VLOOKUP(C665,Deflatores!G$4:I$38,3,FALSE)))</f>
        <v/>
      </c>
      <c r="M665" s="10"/>
      <c r="N665" s="10"/>
      <c r="O665" s="6"/>
    </row>
    <row r="666" spans="1:15">
      <c r="A666" s="119"/>
      <c r="B666" s="4"/>
      <c r="C666" s="4"/>
      <c r="D666" s="7"/>
      <c r="E666" s="7"/>
      <c r="F666" s="8" t="str">
        <f t="shared" si="199"/>
        <v/>
      </c>
      <c r="G666" s="7" t="str">
        <f t="shared" si="200"/>
        <v/>
      </c>
      <c r="H666" s="5" t="str">
        <f t="shared" si="201"/>
        <v/>
      </c>
      <c r="I666" s="116" t="str">
        <f t="shared" si="202"/>
        <v/>
      </c>
      <c r="J666" s="7" t="str">
        <f t="shared" si="203"/>
        <v/>
      </c>
      <c r="K666" s="9" t="str">
        <f t="shared" si="204"/>
        <v/>
      </c>
      <c r="L666" s="9" t="str">
        <f>IF(NOT(ISERROR(VLOOKUP(B666,Deflatores!G$42:H$64,2,FALSE))),VLOOKUP(B666,Deflatores!G$42:H$64,2,FALSE),IF(OR(ISBLANK(C666),ISBLANK(B666)),"",VLOOKUP(C666,Deflatores!G$4:H$38,2,FALSE)*H666+VLOOKUP(C666,Deflatores!G$4:I$38,3,FALSE)))</f>
        <v/>
      </c>
      <c r="M666" s="10"/>
      <c r="N666" s="10"/>
      <c r="O666" s="6"/>
    </row>
    <row r="667" spans="1:15">
      <c r="A667" s="119"/>
      <c r="B667" s="4"/>
      <c r="C667" s="4"/>
      <c r="D667" s="7"/>
      <c r="E667" s="7"/>
      <c r="F667" s="8" t="str">
        <f t="shared" si="199"/>
        <v/>
      </c>
      <c r="G667" s="7" t="str">
        <f t="shared" si="200"/>
        <v/>
      </c>
      <c r="H667" s="5" t="str">
        <f t="shared" si="201"/>
        <v/>
      </c>
      <c r="I667" s="116" t="str">
        <f t="shared" si="202"/>
        <v/>
      </c>
      <c r="J667" s="7" t="str">
        <f t="shared" si="203"/>
        <v/>
      </c>
      <c r="K667" s="9" t="str">
        <f t="shared" si="204"/>
        <v/>
      </c>
      <c r="L667" s="9" t="str">
        <f>IF(NOT(ISERROR(VLOOKUP(B667,Deflatores!G$42:H$64,2,FALSE))),VLOOKUP(B667,Deflatores!G$42:H$64,2,FALSE),IF(OR(ISBLANK(C667),ISBLANK(B667)),"",VLOOKUP(C667,Deflatores!G$4:H$38,2,FALSE)*H667+VLOOKUP(C667,Deflatores!G$4:I$38,3,FALSE)))</f>
        <v/>
      </c>
      <c r="M667" s="10"/>
      <c r="N667" s="10"/>
      <c r="O667" s="6"/>
    </row>
    <row r="668" spans="1:15">
      <c r="A668" s="119"/>
      <c r="B668" s="4"/>
      <c r="C668" s="4"/>
      <c r="D668" s="7"/>
      <c r="E668" s="7"/>
      <c r="F668" s="8" t="str">
        <f t="shared" si="199"/>
        <v/>
      </c>
      <c r="G668" s="7" t="str">
        <f t="shared" si="200"/>
        <v/>
      </c>
      <c r="H668" s="5" t="str">
        <f t="shared" si="201"/>
        <v/>
      </c>
      <c r="I668" s="116" t="str">
        <f t="shared" si="202"/>
        <v/>
      </c>
      <c r="J668" s="7" t="str">
        <f t="shared" si="203"/>
        <v/>
      </c>
      <c r="K668" s="9" t="str">
        <f t="shared" si="204"/>
        <v/>
      </c>
      <c r="L668" s="9" t="str">
        <f>IF(NOT(ISERROR(VLOOKUP(B668,Deflatores!G$42:H$64,2,FALSE))),VLOOKUP(B668,Deflatores!G$42:H$64,2,FALSE),IF(OR(ISBLANK(C668),ISBLANK(B668)),"",VLOOKUP(C668,Deflatores!G$4:H$38,2,FALSE)*H668+VLOOKUP(C668,Deflatores!G$4:I$38,3,FALSE)))</f>
        <v/>
      </c>
      <c r="M668" s="10"/>
      <c r="N668" s="10"/>
      <c r="O668" s="6"/>
    </row>
    <row r="669" spans="1:15">
      <c r="A669" s="119"/>
      <c r="B669" s="4"/>
      <c r="C669" s="4"/>
      <c r="D669" s="7"/>
      <c r="E669" s="7"/>
      <c r="F669" s="8" t="str">
        <f t="shared" si="199"/>
        <v/>
      </c>
      <c r="G669" s="7" t="str">
        <f t="shared" si="200"/>
        <v/>
      </c>
      <c r="H669" s="5" t="str">
        <f t="shared" si="201"/>
        <v/>
      </c>
      <c r="I669" s="116" t="str">
        <f t="shared" si="202"/>
        <v/>
      </c>
      <c r="J669" s="7" t="str">
        <f t="shared" si="203"/>
        <v/>
      </c>
      <c r="K669" s="9" t="str">
        <f t="shared" si="204"/>
        <v/>
      </c>
      <c r="L669" s="9" t="str">
        <f>IF(NOT(ISERROR(VLOOKUP(B669,Deflatores!G$42:H$64,2,FALSE))),VLOOKUP(B669,Deflatores!G$42:H$64,2,FALSE),IF(OR(ISBLANK(C669),ISBLANK(B669)),"",VLOOKUP(C669,Deflatores!G$4:H$38,2,FALSE)*H669+VLOOKUP(C669,Deflatores!G$4:I$38,3,FALSE)))</f>
        <v/>
      </c>
      <c r="M669" s="10"/>
      <c r="N669" s="10"/>
      <c r="O669" s="6"/>
    </row>
    <row r="670" spans="1:15">
      <c r="A670" s="119"/>
      <c r="B670" s="4"/>
      <c r="C670" s="4"/>
      <c r="D670" s="7"/>
      <c r="E670" s="7"/>
      <c r="F670" s="8" t="str">
        <f t="shared" si="199"/>
        <v/>
      </c>
      <c r="G670" s="7" t="str">
        <f t="shared" si="200"/>
        <v/>
      </c>
      <c r="H670" s="5" t="str">
        <f t="shared" si="201"/>
        <v/>
      </c>
      <c r="I670" s="116" t="str">
        <f t="shared" si="202"/>
        <v/>
      </c>
      <c r="J670" s="7" t="str">
        <f t="shared" si="203"/>
        <v/>
      </c>
      <c r="K670" s="9" t="str">
        <f t="shared" si="204"/>
        <v/>
      </c>
      <c r="L670" s="9" t="str">
        <f>IF(NOT(ISERROR(VLOOKUP(B670,Deflatores!G$42:H$64,2,FALSE))),VLOOKUP(B670,Deflatores!G$42:H$64,2,FALSE),IF(OR(ISBLANK(C670),ISBLANK(B670)),"",VLOOKUP(C670,Deflatores!G$4:H$38,2,FALSE)*H670+VLOOKUP(C670,Deflatores!G$4:I$38,3,FALSE)))</f>
        <v/>
      </c>
      <c r="M670" s="10"/>
      <c r="N670" s="10"/>
      <c r="O670" s="6"/>
    </row>
    <row r="671" spans="1:15">
      <c r="A671" s="119"/>
      <c r="B671" s="4"/>
      <c r="C671" s="4"/>
      <c r="D671" s="7"/>
      <c r="E671" s="7"/>
      <c r="F671" s="8" t="str">
        <f t="shared" si="199"/>
        <v/>
      </c>
      <c r="G671" s="7" t="str">
        <f t="shared" si="200"/>
        <v/>
      </c>
      <c r="H671" s="5" t="str">
        <f t="shared" si="201"/>
        <v/>
      </c>
      <c r="I671" s="116" t="str">
        <f t="shared" si="202"/>
        <v/>
      </c>
      <c r="J671" s="7" t="str">
        <f t="shared" si="203"/>
        <v/>
      </c>
      <c r="K671" s="9" t="str">
        <f t="shared" si="204"/>
        <v/>
      </c>
      <c r="L671" s="9" t="str">
        <f>IF(NOT(ISERROR(VLOOKUP(B671,Deflatores!G$42:H$64,2,FALSE))),VLOOKUP(B671,Deflatores!G$42:H$64,2,FALSE),IF(OR(ISBLANK(C671),ISBLANK(B671)),"",VLOOKUP(C671,Deflatores!G$4:H$38,2,FALSE)*H671+VLOOKUP(C671,Deflatores!G$4:I$38,3,FALSE)))</f>
        <v/>
      </c>
      <c r="M671" s="10"/>
      <c r="N671" s="10"/>
      <c r="O671" s="6"/>
    </row>
    <row r="672" spans="1:15">
      <c r="A672" s="119"/>
      <c r="B672" s="4"/>
      <c r="C672" s="4"/>
      <c r="D672" s="7"/>
      <c r="E672" s="7"/>
      <c r="F672" s="8" t="str">
        <f t="shared" si="199"/>
        <v/>
      </c>
      <c r="G672" s="7" t="str">
        <f t="shared" si="200"/>
        <v/>
      </c>
      <c r="H672" s="5" t="str">
        <f t="shared" si="201"/>
        <v/>
      </c>
      <c r="I672" s="116" t="str">
        <f t="shared" si="202"/>
        <v/>
      </c>
      <c r="J672" s="7" t="str">
        <f t="shared" si="203"/>
        <v/>
      </c>
      <c r="K672" s="9" t="str">
        <f t="shared" si="204"/>
        <v/>
      </c>
      <c r="L672" s="9" t="str">
        <f>IF(NOT(ISERROR(VLOOKUP(B672,Deflatores!G$42:H$64,2,FALSE))),VLOOKUP(B672,Deflatores!G$42:H$64,2,FALSE),IF(OR(ISBLANK(C672),ISBLANK(B672)),"",VLOOKUP(C672,Deflatores!G$4:H$38,2,FALSE)*H672+VLOOKUP(C672,Deflatores!G$4:I$38,3,FALSE)))</f>
        <v/>
      </c>
      <c r="M672" s="10"/>
      <c r="N672" s="10"/>
      <c r="O672" s="6"/>
    </row>
    <row r="673" spans="1:15">
      <c r="A673" s="119"/>
      <c r="B673" s="4"/>
      <c r="C673" s="4"/>
      <c r="D673" s="7"/>
      <c r="E673" s="7"/>
      <c r="F673" s="8" t="str">
        <f t="shared" si="199"/>
        <v/>
      </c>
      <c r="G673" s="7" t="str">
        <f t="shared" si="200"/>
        <v/>
      </c>
      <c r="H673" s="5" t="str">
        <f t="shared" si="201"/>
        <v/>
      </c>
      <c r="I673" s="116" t="str">
        <f t="shared" si="202"/>
        <v/>
      </c>
      <c r="J673" s="7" t="str">
        <f t="shared" si="203"/>
        <v/>
      </c>
      <c r="K673" s="9" t="str">
        <f t="shared" si="204"/>
        <v/>
      </c>
      <c r="L673" s="9" t="str">
        <f>IF(NOT(ISERROR(VLOOKUP(B673,Deflatores!G$42:H$64,2,FALSE))),VLOOKUP(B673,Deflatores!G$42:H$64,2,FALSE),IF(OR(ISBLANK(C673),ISBLANK(B673)),"",VLOOKUP(C673,Deflatores!G$4:H$38,2,FALSE)*H673+VLOOKUP(C673,Deflatores!G$4:I$38,3,FALSE)))</f>
        <v/>
      </c>
      <c r="M673" s="10"/>
      <c r="N673" s="10"/>
      <c r="O673" s="6"/>
    </row>
    <row r="674" spans="1:15">
      <c r="A674" s="119"/>
      <c r="B674" s="4"/>
      <c r="C674" s="4"/>
      <c r="D674" s="7"/>
      <c r="E674" s="7"/>
      <c r="F674" s="8" t="str">
        <f t="shared" si="199"/>
        <v/>
      </c>
      <c r="G674" s="7" t="str">
        <f t="shared" si="200"/>
        <v/>
      </c>
      <c r="H674" s="5" t="str">
        <f t="shared" si="201"/>
        <v/>
      </c>
      <c r="I674" s="116" t="str">
        <f t="shared" si="202"/>
        <v/>
      </c>
      <c r="J674" s="7" t="str">
        <f t="shared" si="203"/>
        <v/>
      </c>
      <c r="K674" s="9" t="str">
        <f t="shared" si="204"/>
        <v/>
      </c>
      <c r="L674" s="9" t="str">
        <f>IF(NOT(ISERROR(VLOOKUP(B674,Deflatores!G$42:H$64,2,FALSE))),VLOOKUP(B674,Deflatores!G$42:H$64,2,FALSE),IF(OR(ISBLANK(C674),ISBLANK(B674)),"",VLOOKUP(C674,Deflatores!G$4:H$38,2,FALSE)*H674+VLOOKUP(C674,Deflatores!G$4:I$38,3,FALSE)))</f>
        <v/>
      </c>
      <c r="M674" s="10"/>
      <c r="N674" s="10"/>
      <c r="O674" s="6"/>
    </row>
    <row r="675" spans="1:15">
      <c r="A675" s="119"/>
      <c r="B675" s="4"/>
      <c r="C675" s="4"/>
      <c r="D675" s="7"/>
      <c r="E675" s="7"/>
      <c r="F675" s="8" t="str">
        <f t="shared" si="199"/>
        <v/>
      </c>
      <c r="G675" s="7" t="str">
        <f t="shared" si="200"/>
        <v/>
      </c>
      <c r="H675" s="5" t="str">
        <f t="shared" si="201"/>
        <v/>
      </c>
      <c r="I675" s="116" t="str">
        <f t="shared" si="202"/>
        <v/>
      </c>
      <c r="J675" s="7" t="str">
        <f t="shared" si="203"/>
        <v/>
      </c>
      <c r="K675" s="9" t="str">
        <f t="shared" si="204"/>
        <v/>
      </c>
      <c r="L675" s="9" t="str">
        <f>IF(NOT(ISERROR(VLOOKUP(B675,Deflatores!G$42:H$64,2,FALSE))),VLOOKUP(B675,Deflatores!G$42:H$64,2,FALSE),IF(OR(ISBLANK(C675),ISBLANK(B675)),"",VLOOKUP(C675,Deflatores!G$4:H$38,2,FALSE)*H675+VLOOKUP(C675,Deflatores!G$4:I$38,3,FALSE)))</f>
        <v/>
      </c>
      <c r="M675" s="10"/>
      <c r="N675" s="10"/>
      <c r="O675" s="6"/>
    </row>
    <row r="676" spans="1:15">
      <c r="A676" s="119"/>
      <c r="B676" s="4"/>
      <c r="C676" s="4"/>
      <c r="D676" s="7"/>
      <c r="E676" s="7"/>
      <c r="F676" s="8" t="str">
        <f t="shared" si="199"/>
        <v/>
      </c>
      <c r="G676" s="7" t="str">
        <f t="shared" si="200"/>
        <v/>
      </c>
      <c r="H676" s="5" t="str">
        <f t="shared" si="201"/>
        <v/>
      </c>
      <c r="I676" s="116" t="str">
        <f t="shared" si="202"/>
        <v/>
      </c>
      <c r="J676" s="7" t="str">
        <f t="shared" si="203"/>
        <v/>
      </c>
      <c r="K676" s="9" t="str">
        <f t="shared" si="204"/>
        <v/>
      </c>
      <c r="L676" s="9" t="str">
        <f>IF(NOT(ISERROR(VLOOKUP(B676,Deflatores!G$42:H$64,2,FALSE))),VLOOKUP(B676,Deflatores!G$42:H$64,2,FALSE),IF(OR(ISBLANK(C676),ISBLANK(B676)),"",VLOOKUP(C676,Deflatores!G$4:H$38,2,FALSE)*H676+VLOOKUP(C676,Deflatores!G$4:I$38,3,FALSE)))</f>
        <v/>
      </c>
      <c r="M676" s="10"/>
      <c r="N676" s="10"/>
      <c r="O676" s="6"/>
    </row>
    <row r="677" spans="1:15">
      <c r="A677" s="119"/>
      <c r="B677" s="4"/>
      <c r="C677" s="4"/>
      <c r="D677" s="7"/>
      <c r="E677" s="7"/>
      <c r="F677" s="8" t="str">
        <f t="shared" si="199"/>
        <v/>
      </c>
      <c r="G677" s="7" t="str">
        <f t="shared" si="200"/>
        <v/>
      </c>
      <c r="H677" s="5" t="str">
        <f t="shared" si="201"/>
        <v/>
      </c>
      <c r="I677" s="116" t="str">
        <f t="shared" si="202"/>
        <v/>
      </c>
      <c r="J677" s="7" t="str">
        <f t="shared" si="203"/>
        <v/>
      </c>
      <c r="K677" s="9" t="str">
        <f t="shared" si="204"/>
        <v/>
      </c>
      <c r="L677" s="9" t="str">
        <f>IF(NOT(ISERROR(VLOOKUP(B677,Deflatores!G$42:H$64,2,FALSE))),VLOOKUP(B677,Deflatores!G$42:H$64,2,FALSE),IF(OR(ISBLANK(C677),ISBLANK(B677)),"",VLOOKUP(C677,Deflatores!G$4:H$38,2,FALSE)*H677+VLOOKUP(C677,Deflatores!G$4:I$38,3,FALSE)))</f>
        <v/>
      </c>
      <c r="M677" s="10"/>
      <c r="N677" s="10"/>
      <c r="O677" s="6"/>
    </row>
    <row r="678" spans="1:15">
      <c r="A678" s="119"/>
      <c r="B678" s="4"/>
      <c r="C678" s="4"/>
      <c r="D678" s="7"/>
      <c r="E678" s="7"/>
      <c r="F678" s="8" t="str">
        <f t="shared" si="199"/>
        <v/>
      </c>
      <c r="G678" s="7" t="str">
        <f t="shared" si="200"/>
        <v/>
      </c>
      <c r="H678" s="5" t="str">
        <f t="shared" si="201"/>
        <v/>
      </c>
      <c r="I678" s="116" t="str">
        <f t="shared" si="202"/>
        <v/>
      </c>
      <c r="J678" s="7" t="str">
        <f t="shared" si="203"/>
        <v/>
      </c>
      <c r="K678" s="9" t="str">
        <f t="shared" si="204"/>
        <v/>
      </c>
      <c r="L678" s="9" t="str">
        <f>IF(NOT(ISERROR(VLOOKUP(B678,Deflatores!G$42:H$64,2,FALSE))),VLOOKUP(B678,Deflatores!G$42:H$64,2,FALSE),IF(OR(ISBLANK(C678),ISBLANK(B678)),"",VLOOKUP(C678,Deflatores!G$4:H$38,2,FALSE)*H678+VLOOKUP(C678,Deflatores!G$4:I$38,3,FALSE)))</f>
        <v/>
      </c>
      <c r="M678" s="10"/>
      <c r="N678" s="10"/>
      <c r="O678" s="6"/>
    </row>
    <row r="679" spans="1:15">
      <c r="A679" s="119"/>
      <c r="B679" s="4"/>
      <c r="C679" s="4"/>
      <c r="D679" s="7"/>
      <c r="E679" s="7"/>
      <c r="F679" s="8" t="str">
        <f t="shared" si="199"/>
        <v/>
      </c>
      <c r="G679" s="7" t="str">
        <f t="shared" si="200"/>
        <v/>
      </c>
      <c r="H679" s="5" t="str">
        <f t="shared" si="201"/>
        <v/>
      </c>
      <c r="I679" s="116" t="str">
        <f t="shared" si="202"/>
        <v/>
      </c>
      <c r="J679" s="7" t="str">
        <f t="shared" si="203"/>
        <v/>
      </c>
      <c r="K679" s="9" t="str">
        <f t="shared" si="204"/>
        <v/>
      </c>
      <c r="L679" s="9" t="str">
        <f>IF(NOT(ISERROR(VLOOKUP(B679,Deflatores!G$42:H$64,2,FALSE))),VLOOKUP(B679,Deflatores!G$42:H$64,2,FALSE),IF(OR(ISBLANK(C679),ISBLANK(B679)),"",VLOOKUP(C679,Deflatores!G$4:H$38,2,FALSE)*H679+VLOOKUP(C679,Deflatores!G$4:I$38,3,FALSE)))</f>
        <v/>
      </c>
      <c r="M679" s="10"/>
      <c r="N679" s="10"/>
      <c r="O679" s="6"/>
    </row>
    <row r="680" spans="1:15">
      <c r="A680" s="119"/>
      <c r="B680" s="4"/>
      <c r="C680" s="4"/>
      <c r="D680" s="7"/>
      <c r="E680" s="7"/>
      <c r="F680" s="8" t="str">
        <f t="shared" si="199"/>
        <v/>
      </c>
      <c r="G680" s="7" t="str">
        <f t="shared" si="200"/>
        <v/>
      </c>
      <c r="H680" s="5" t="str">
        <f t="shared" si="201"/>
        <v/>
      </c>
      <c r="I680" s="116" t="str">
        <f t="shared" si="202"/>
        <v/>
      </c>
      <c r="J680" s="7" t="str">
        <f t="shared" si="203"/>
        <v/>
      </c>
      <c r="K680" s="9" t="str">
        <f t="shared" si="204"/>
        <v/>
      </c>
      <c r="L680" s="9" t="str">
        <f>IF(NOT(ISERROR(VLOOKUP(B680,Deflatores!G$42:H$64,2,FALSE))),VLOOKUP(B680,Deflatores!G$42:H$64,2,FALSE),IF(OR(ISBLANK(C680),ISBLANK(B680)),"",VLOOKUP(C680,Deflatores!G$4:H$38,2,FALSE)*H680+VLOOKUP(C680,Deflatores!G$4:I$38,3,FALSE)))</f>
        <v/>
      </c>
      <c r="M680" s="10"/>
      <c r="N680" s="10"/>
      <c r="O680" s="6"/>
    </row>
    <row r="681" spans="1:15">
      <c r="A681" s="119"/>
      <c r="B681" s="4"/>
      <c r="C681" s="4"/>
      <c r="D681" s="7"/>
      <c r="E681" s="7"/>
      <c r="F681" s="8" t="str">
        <f t="shared" si="199"/>
        <v/>
      </c>
      <c r="G681" s="7" t="str">
        <f t="shared" si="200"/>
        <v/>
      </c>
      <c r="H681" s="5" t="str">
        <f t="shared" si="201"/>
        <v/>
      </c>
      <c r="I681" s="116" t="str">
        <f t="shared" si="202"/>
        <v/>
      </c>
      <c r="J681" s="7" t="str">
        <f t="shared" si="203"/>
        <v/>
      </c>
      <c r="K681" s="9" t="str">
        <f t="shared" si="204"/>
        <v/>
      </c>
      <c r="L681" s="9" t="str">
        <f>IF(NOT(ISERROR(VLOOKUP(B681,Deflatores!G$42:H$64,2,FALSE))),VLOOKUP(B681,Deflatores!G$42:H$64,2,FALSE),IF(OR(ISBLANK(C681),ISBLANK(B681)),"",VLOOKUP(C681,Deflatores!G$4:H$38,2,FALSE)*H681+VLOOKUP(C681,Deflatores!G$4:I$38,3,FALSE)))</f>
        <v/>
      </c>
      <c r="M681" s="10"/>
      <c r="N681" s="10"/>
      <c r="O681" s="6"/>
    </row>
    <row r="682" spans="1:15">
      <c r="A682" s="119"/>
      <c r="B682" s="4"/>
      <c r="C682" s="4"/>
      <c r="D682" s="7"/>
      <c r="E682" s="7"/>
      <c r="F682" s="8" t="str">
        <f t="shared" si="199"/>
        <v/>
      </c>
      <c r="G682" s="7" t="str">
        <f t="shared" si="200"/>
        <v/>
      </c>
      <c r="H682" s="5" t="str">
        <f t="shared" si="201"/>
        <v/>
      </c>
      <c r="I682" s="116" t="str">
        <f t="shared" si="202"/>
        <v/>
      </c>
      <c r="J682" s="7" t="str">
        <f t="shared" si="203"/>
        <v/>
      </c>
      <c r="K682" s="9" t="str">
        <f t="shared" si="204"/>
        <v/>
      </c>
      <c r="L682" s="9" t="str">
        <f>IF(NOT(ISERROR(VLOOKUP(B682,Deflatores!G$42:H$64,2,FALSE))),VLOOKUP(B682,Deflatores!G$42:H$64,2,FALSE),IF(OR(ISBLANK(C682),ISBLANK(B682)),"",VLOOKUP(C682,Deflatores!G$4:H$38,2,FALSE)*H682+VLOOKUP(C682,Deflatores!G$4:I$38,3,FALSE)))</f>
        <v/>
      </c>
      <c r="M682" s="10"/>
      <c r="N682" s="10"/>
      <c r="O682" s="6"/>
    </row>
    <row r="683" spans="1:15">
      <c r="A683" s="119"/>
      <c r="B683" s="4"/>
      <c r="C683" s="4"/>
      <c r="D683" s="7"/>
      <c r="E683" s="7"/>
      <c r="F683" s="8" t="str">
        <f t="shared" si="199"/>
        <v/>
      </c>
      <c r="G683" s="7" t="str">
        <f t="shared" si="200"/>
        <v/>
      </c>
      <c r="H683" s="5" t="str">
        <f t="shared" si="201"/>
        <v/>
      </c>
      <c r="I683" s="116" t="str">
        <f t="shared" si="202"/>
        <v/>
      </c>
      <c r="J683" s="7" t="str">
        <f t="shared" si="203"/>
        <v/>
      </c>
      <c r="K683" s="9" t="str">
        <f t="shared" si="204"/>
        <v/>
      </c>
      <c r="L683" s="9" t="str">
        <f>IF(NOT(ISERROR(VLOOKUP(B683,Deflatores!G$42:H$64,2,FALSE))),VLOOKUP(B683,Deflatores!G$42:H$64,2,FALSE),IF(OR(ISBLANK(C683),ISBLANK(B683)),"",VLOOKUP(C683,Deflatores!G$4:H$38,2,FALSE)*H683+VLOOKUP(C683,Deflatores!G$4:I$38,3,FALSE)))</f>
        <v/>
      </c>
      <c r="M683" s="10"/>
      <c r="N683" s="10"/>
      <c r="O683" s="6"/>
    </row>
    <row r="684" spans="1:15">
      <c r="A684" s="119"/>
      <c r="B684" s="4"/>
      <c r="C684" s="4"/>
      <c r="D684" s="7"/>
      <c r="E684" s="7"/>
      <c r="F684" s="8" t="str">
        <f t="shared" si="199"/>
        <v/>
      </c>
      <c r="G684" s="7" t="str">
        <f t="shared" si="200"/>
        <v/>
      </c>
      <c r="H684" s="5" t="str">
        <f t="shared" si="201"/>
        <v/>
      </c>
      <c r="I684" s="116" t="str">
        <f t="shared" si="202"/>
        <v/>
      </c>
      <c r="J684" s="7" t="str">
        <f t="shared" si="203"/>
        <v/>
      </c>
      <c r="K684" s="9" t="str">
        <f t="shared" si="204"/>
        <v/>
      </c>
      <c r="L684" s="9" t="str">
        <f>IF(NOT(ISERROR(VLOOKUP(B684,Deflatores!G$42:H$64,2,FALSE))),VLOOKUP(B684,Deflatores!G$42:H$64,2,FALSE),IF(OR(ISBLANK(C684),ISBLANK(B684)),"",VLOOKUP(C684,Deflatores!G$4:H$38,2,FALSE)*H684+VLOOKUP(C684,Deflatores!G$4:I$38,3,FALSE)))</f>
        <v/>
      </c>
      <c r="M684" s="10"/>
      <c r="N684" s="10"/>
      <c r="O684" s="6"/>
    </row>
    <row r="685" spans="1:15">
      <c r="A685" s="119"/>
      <c r="B685" s="4"/>
      <c r="C685" s="4"/>
      <c r="D685" s="7"/>
      <c r="E685" s="7"/>
      <c r="F685" s="8" t="str">
        <f t="shared" si="199"/>
        <v/>
      </c>
      <c r="G685" s="7" t="str">
        <f t="shared" si="200"/>
        <v/>
      </c>
      <c r="H685" s="5" t="str">
        <f t="shared" si="201"/>
        <v/>
      </c>
      <c r="I685" s="116" t="str">
        <f t="shared" si="202"/>
        <v/>
      </c>
      <c r="J685" s="7" t="str">
        <f t="shared" si="203"/>
        <v/>
      </c>
      <c r="K685" s="9" t="str">
        <f t="shared" si="204"/>
        <v/>
      </c>
      <c r="L685" s="9" t="str">
        <f>IF(NOT(ISERROR(VLOOKUP(B685,Deflatores!G$42:H$64,2,FALSE))),VLOOKUP(B685,Deflatores!G$42:H$64,2,FALSE),IF(OR(ISBLANK(C685),ISBLANK(B685)),"",VLOOKUP(C685,Deflatores!G$4:H$38,2,FALSE)*H685+VLOOKUP(C685,Deflatores!G$4:I$38,3,FALSE)))</f>
        <v/>
      </c>
      <c r="M685" s="10"/>
      <c r="N685" s="10"/>
      <c r="O685" s="6"/>
    </row>
    <row r="686" spans="1:15">
      <c r="A686" s="119"/>
      <c r="B686" s="4"/>
      <c r="C686" s="4"/>
      <c r="D686" s="7"/>
      <c r="E686" s="7"/>
      <c r="F686" s="8" t="str">
        <f t="shared" si="199"/>
        <v/>
      </c>
      <c r="G686" s="7" t="str">
        <f t="shared" si="200"/>
        <v/>
      </c>
      <c r="H686" s="5" t="str">
        <f t="shared" si="201"/>
        <v/>
      </c>
      <c r="I686" s="116" t="str">
        <f t="shared" si="202"/>
        <v/>
      </c>
      <c r="J686" s="7" t="str">
        <f t="shared" si="203"/>
        <v/>
      </c>
      <c r="K686" s="9" t="str">
        <f t="shared" si="204"/>
        <v/>
      </c>
      <c r="L686" s="9" t="str">
        <f>IF(NOT(ISERROR(VLOOKUP(B686,Deflatores!G$42:H$64,2,FALSE))),VLOOKUP(B686,Deflatores!G$42:H$64,2,FALSE),IF(OR(ISBLANK(C686),ISBLANK(B686)),"",VLOOKUP(C686,Deflatores!G$4:H$38,2,FALSE)*H686+VLOOKUP(C686,Deflatores!G$4:I$38,3,FALSE)))</f>
        <v/>
      </c>
      <c r="M686" s="10"/>
      <c r="N686" s="10"/>
      <c r="O686" s="6"/>
    </row>
    <row r="687" spans="1:15">
      <c r="A687" s="119"/>
      <c r="B687" s="4"/>
      <c r="C687" s="4"/>
      <c r="D687" s="7"/>
      <c r="E687" s="7"/>
      <c r="F687" s="8" t="str">
        <f t="shared" si="199"/>
        <v/>
      </c>
      <c r="G687" s="7" t="str">
        <f t="shared" si="200"/>
        <v/>
      </c>
      <c r="H687" s="5" t="str">
        <f t="shared" si="201"/>
        <v/>
      </c>
      <c r="I687" s="116" t="str">
        <f t="shared" si="202"/>
        <v/>
      </c>
      <c r="J687" s="7" t="str">
        <f t="shared" si="203"/>
        <v/>
      </c>
      <c r="K687" s="9" t="str">
        <f t="shared" si="204"/>
        <v/>
      </c>
      <c r="L687" s="9" t="str">
        <f>IF(NOT(ISERROR(VLOOKUP(B687,Deflatores!G$42:H$64,2,FALSE))),VLOOKUP(B687,Deflatores!G$42:H$64,2,FALSE),IF(OR(ISBLANK(C687),ISBLANK(B687)),"",VLOOKUP(C687,Deflatores!G$4:H$38,2,FALSE)*H687+VLOOKUP(C687,Deflatores!G$4:I$38,3,FALSE)))</f>
        <v/>
      </c>
      <c r="M687" s="10"/>
      <c r="N687" s="10"/>
      <c r="O687" s="6"/>
    </row>
    <row r="688" spans="1:15">
      <c r="A688" s="119"/>
      <c r="B688" s="4"/>
      <c r="C688" s="4"/>
      <c r="D688" s="7"/>
      <c r="E688" s="7"/>
      <c r="F688" s="8" t="str">
        <f t="shared" si="199"/>
        <v/>
      </c>
      <c r="G688" s="7" t="str">
        <f t="shared" si="200"/>
        <v/>
      </c>
      <c r="H688" s="5" t="str">
        <f t="shared" si="201"/>
        <v/>
      </c>
      <c r="I688" s="116" t="str">
        <f t="shared" si="202"/>
        <v/>
      </c>
      <c r="J688" s="7" t="str">
        <f t="shared" si="203"/>
        <v/>
      </c>
      <c r="K688" s="9" t="str">
        <f t="shared" si="204"/>
        <v/>
      </c>
      <c r="L688" s="9" t="str">
        <f>IF(NOT(ISERROR(VLOOKUP(B688,Deflatores!G$42:H$64,2,FALSE))),VLOOKUP(B688,Deflatores!G$42:H$64,2,FALSE),IF(OR(ISBLANK(C688),ISBLANK(B688)),"",VLOOKUP(C688,Deflatores!G$4:H$38,2,FALSE)*H688+VLOOKUP(C688,Deflatores!G$4:I$38,3,FALSE)))</f>
        <v/>
      </c>
      <c r="M688" s="10"/>
      <c r="N688" s="10"/>
      <c r="O688" s="6"/>
    </row>
    <row r="689" spans="1:15">
      <c r="A689" s="119"/>
      <c r="B689" s="4"/>
      <c r="C689" s="4"/>
      <c r="D689" s="7"/>
      <c r="E689" s="7"/>
      <c r="F689" s="8" t="str">
        <f t="shared" si="199"/>
        <v/>
      </c>
      <c r="G689" s="7" t="str">
        <f t="shared" si="200"/>
        <v/>
      </c>
      <c r="H689" s="5" t="str">
        <f t="shared" si="201"/>
        <v/>
      </c>
      <c r="I689" s="116" t="str">
        <f t="shared" si="202"/>
        <v/>
      </c>
      <c r="J689" s="7" t="str">
        <f t="shared" si="203"/>
        <v/>
      </c>
      <c r="K689" s="9" t="str">
        <f t="shared" si="204"/>
        <v/>
      </c>
      <c r="L689" s="9" t="str">
        <f>IF(NOT(ISERROR(VLOOKUP(B689,Deflatores!G$42:H$64,2,FALSE))),VLOOKUP(B689,Deflatores!G$42:H$64,2,FALSE),IF(OR(ISBLANK(C689),ISBLANK(B689)),"",VLOOKUP(C689,Deflatores!G$4:H$38,2,FALSE)*H689+VLOOKUP(C689,Deflatores!G$4:I$38,3,FALSE)))</f>
        <v/>
      </c>
      <c r="M689" s="10"/>
      <c r="N689" s="10"/>
      <c r="O689" s="6"/>
    </row>
    <row r="690" spans="1:15">
      <c r="A690" s="119"/>
      <c r="B690" s="4"/>
      <c r="C690" s="4"/>
      <c r="D690" s="7"/>
      <c r="E690" s="7"/>
      <c r="F690" s="8" t="str">
        <f t="shared" si="199"/>
        <v/>
      </c>
      <c r="G690" s="7" t="str">
        <f t="shared" si="200"/>
        <v/>
      </c>
      <c r="H690" s="5" t="str">
        <f t="shared" si="201"/>
        <v/>
      </c>
      <c r="I690" s="116" t="str">
        <f t="shared" si="202"/>
        <v/>
      </c>
      <c r="J690" s="7" t="str">
        <f t="shared" si="203"/>
        <v/>
      </c>
      <c r="K690" s="9" t="str">
        <f t="shared" si="204"/>
        <v/>
      </c>
      <c r="L690" s="9" t="str">
        <f>IF(NOT(ISERROR(VLOOKUP(B690,Deflatores!G$42:H$64,2,FALSE))),VLOOKUP(B690,Deflatores!G$42:H$64,2,FALSE),IF(OR(ISBLANK(C690),ISBLANK(B690)),"",VLOOKUP(C690,Deflatores!G$4:H$38,2,FALSE)*H690+VLOOKUP(C690,Deflatores!G$4:I$38,3,FALSE)))</f>
        <v/>
      </c>
      <c r="M690" s="10"/>
      <c r="N690" s="10"/>
      <c r="O690" s="6"/>
    </row>
    <row r="691" spans="1:15">
      <c r="A691" s="119"/>
      <c r="B691" s="4"/>
      <c r="C691" s="4"/>
      <c r="D691" s="7"/>
      <c r="E691" s="7"/>
      <c r="F691" s="8" t="str">
        <f t="shared" ref="F691:F754" si="205">IF(ISBLANK(B691),"",IF(I691="L","Baixa",IF(I691="A","Média",IF(I691="","","Alta"))))</f>
        <v/>
      </c>
      <c r="G691" s="7" t="str">
        <f t="shared" ref="G691:G754" si="206">CONCATENATE(B691,I691)</f>
        <v/>
      </c>
      <c r="H691" s="5" t="str">
        <f t="shared" ref="H691:H754" si="207">IF(ISBLANK(B691),"",IF(B691="ALI",IF(I691="L",7,IF(I691="A",10,15)),IF(B691="AIE",IF(I691="L",5,IF(I691="A",7,10)),IF(B691="SE",IF(I691="L",4,IF(I691="A",5,7)),IF(OR(B691="EE",B691="CE"),IF(I691="L",3,IF(I691="A",4,6)),0)))))</f>
        <v/>
      </c>
      <c r="I691" s="116" t="str">
        <f t="shared" ref="I691:I754" si="208">IF(OR(ISBLANK(D691),ISBLANK(E691)),IF(OR(B691="ALI",B691="AIE"),"L",IF(OR(B691="EE",B691="SE",B691="CE"),"A","")),IF(B691="EE",IF(E691&gt;=3,IF(D691&gt;=5,"H","A"),IF(E691&gt;=2,IF(D691&gt;=16,"H",IF(D691&lt;=4,"L","A")),IF(D691&lt;=15,"L","A"))),IF(OR(B691="SE",B691="CE"),IF(E691&gt;=4,IF(D691&gt;=6,"H","A"),IF(E691&gt;=2,IF(D691&gt;=20,"H",IF(D691&lt;=5,"L","A")),IF(D691&lt;=19,"L","A"))),IF(OR(B691="ALI",B691="AIE"),IF(E691&gt;=6,IF(D691&gt;=20,"H","A"),IF(E691&gt;=2,IF(D691&gt;=51,"H",IF(D691&lt;=19,"L","A")),IF(D691&lt;=50,"L","A"))),""))))</f>
        <v/>
      </c>
      <c r="J691" s="7" t="str">
        <f t="shared" ref="J691:J754" si="209">CONCATENATE(B691,C691)</f>
        <v/>
      </c>
      <c r="K691" s="9" t="str">
        <f t="shared" si="204"/>
        <v/>
      </c>
      <c r="L691" s="9" t="str">
        <f>IF(NOT(ISERROR(VLOOKUP(B691,Deflatores!G$42:H$64,2,FALSE))),VLOOKUP(B691,Deflatores!G$42:H$64,2,FALSE),IF(OR(ISBLANK(C691),ISBLANK(B691)),"",VLOOKUP(C691,Deflatores!G$4:H$38,2,FALSE)*H691+VLOOKUP(C691,Deflatores!G$4:I$38,3,FALSE)))</f>
        <v/>
      </c>
      <c r="M691" s="10"/>
      <c r="N691" s="10"/>
      <c r="O691" s="6"/>
    </row>
    <row r="692" spans="1:15">
      <c r="A692" s="119"/>
      <c r="B692" s="4"/>
      <c r="C692" s="4"/>
      <c r="D692" s="7"/>
      <c r="E692" s="7"/>
      <c r="F692" s="8" t="str">
        <f t="shared" si="205"/>
        <v/>
      </c>
      <c r="G692" s="7" t="str">
        <f t="shared" si="206"/>
        <v/>
      </c>
      <c r="H692" s="5" t="str">
        <f t="shared" si="207"/>
        <v/>
      </c>
      <c r="I692" s="116" t="str">
        <f t="shared" si="208"/>
        <v/>
      </c>
      <c r="J692" s="7" t="str">
        <f t="shared" si="209"/>
        <v/>
      </c>
      <c r="K692" s="9" t="str">
        <f t="shared" si="204"/>
        <v/>
      </c>
      <c r="L692" s="9" t="str">
        <f>IF(NOT(ISERROR(VLOOKUP(B692,Deflatores!G$42:H$64,2,FALSE))),VLOOKUP(B692,Deflatores!G$42:H$64,2,FALSE),IF(OR(ISBLANK(C692),ISBLANK(B692)),"",VLOOKUP(C692,Deflatores!G$4:H$38,2,FALSE)*H692+VLOOKUP(C692,Deflatores!G$4:I$38,3,FALSE)))</f>
        <v/>
      </c>
      <c r="M692" s="10"/>
      <c r="N692" s="10"/>
      <c r="O692" s="6"/>
    </row>
    <row r="693" spans="1:15">
      <c r="A693" s="119"/>
      <c r="B693" s="4"/>
      <c r="C693" s="4"/>
      <c r="D693" s="7"/>
      <c r="E693" s="7"/>
      <c r="F693" s="8" t="str">
        <f t="shared" si="205"/>
        <v/>
      </c>
      <c r="G693" s="7" t="str">
        <f t="shared" si="206"/>
        <v/>
      </c>
      <c r="H693" s="5" t="str">
        <f t="shared" si="207"/>
        <v/>
      </c>
      <c r="I693" s="116" t="str">
        <f t="shared" si="208"/>
        <v/>
      </c>
      <c r="J693" s="7" t="str">
        <f t="shared" si="209"/>
        <v/>
      </c>
      <c r="K693" s="9" t="str">
        <f t="shared" ref="K693:K756" si="210">IF(OR(H693="",H693=0),L693,H693)</f>
        <v/>
      </c>
      <c r="L693" s="9" t="str">
        <f>IF(NOT(ISERROR(VLOOKUP(B693,Deflatores!G$42:H$64,2,FALSE))),VLOOKUP(B693,Deflatores!G$42:H$64,2,FALSE),IF(OR(ISBLANK(C693),ISBLANK(B693)),"",VLOOKUP(C693,Deflatores!G$4:H$38,2,FALSE)*H693+VLOOKUP(C693,Deflatores!G$4:I$38,3,FALSE)))</f>
        <v/>
      </c>
      <c r="M693" s="10"/>
      <c r="N693" s="10"/>
      <c r="O693" s="6"/>
    </row>
    <row r="694" spans="1:15">
      <c r="A694" s="119"/>
      <c r="B694" s="4"/>
      <c r="C694" s="4"/>
      <c r="D694" s="7"/>
      <c r="E694" s="7"/>
      <c r="F694" s="8" t="str">
        <f t="shared" si="205"/>
        <v/>
      </c>
      <c r="G694" s="7" t="str">
        <f t="shared" si="206"/>
        <v/>
      </c>
      <c r="H694" s="5" t="str">
        <f t="shared" si="207"/>
        <v/>
      </c>
      <c r="I694" s="116" t="str">
        <f t="shared" si="208"/>
        <v/>
      </c>
      <c r="J694" s="7" t="str">
        <f t="shared" si="209"/>
        <v/>
      </c>
      <c r="K694" s="9" t="str">
        <f t="shared" si="210"/>
        <v/>
      </c>
      <c r="L694" s="9" t="str">
        <f>IF(NOT(ISERROR(VLOOKUP(B694,Deflatores!G$42:H$64,2,FALSE))),VLOOKUP(B694,Deflatores!G$42:H$64,2,FALSE),IF(OR(ISBLANK(C694),ISBLANK(B694)),"",VLOOKUP(C694,Deflatores!G$4:H$38,2,FALSE)*H694+VLOOKUP(C694,Deflatores!G$4:I$38,3,FALSE)))</f>
        <v/>
      </c>
      <c r="M694" s="10"/>
      <c r="N694" s="10"/>
      <c r="O694" s="6"/>
    </row>
    <row r="695" spans="1:15">
      <c r="A695" s="119"/>
      <c r="B695" s="4"/>
      <c r="C695" s="4"/>
      <c r="D695" s="7"/>
      <c r="E695" s="7"/>
      <c r="F695" s="8" t="str">
        <f t="shared" si="205"/>
        <v/>
      </c>
      <c r="G695" s="7" t="str">
        <f t="shared" si="206"/>
        <v/>
      </c>
      <c r="H695" s="5" t="str">
        <f t="shared" si="207"/>
        <v/>
      </c>
      <c r="I695" s="116" t="str">
        <f t="shared" si="208"/>
        <v/>
      </c>
      <c r="J695" s="7" t="str">
        <f t="shared" si="209"/>
        <v/>
      </c>
      <c r="K695" s="9" t="str">
        <f t="shared" si="210"/>
        <v/>
      </c>
      <c r="L695" s="9" t="str">
        <f>IF(NOT(ISERROR(VLOOKUP(B695,Deflatores!G$42:H$64,2,FALSE))),VLOOKUP(B695,Deflatores!G$42:H$64,2,FALSE),IF(OR(ISBLANK(C695),ISBLANK(B695)),"",VLOOKUP(C695,Deflatores!G$4:H$38,2,FALSE)*H695+VLOOKUP(C695,Deflatores!G$4:I$38,3,FALSE)))</f>
        <v/>
      </c>
      <c r="M695" s="10"/>
      <c r="N695" s="10"/>
      <c r="O695" s="6"/>
    </row>
    <row r="696" spans="1:15">
      <c r="A696" s="119"/>
      <c r="B696" s="4"/>
      <c r="C696" s="4"/>
      <c r="D696" s="7"/>
      <c r="E696" s="7"/>
      <c r="F696" s="8" t="str">
        <f t="shared" si="205"/>
        <v/>
      </c>
      <c r="G696" s="7" t="str">
        <f t="shared" si="206"/>
        <v/>
      </c>
      <c r="H696" s="5" t="str">
        <f t="shared" si="207"/>
        <v/>
      </c>
      <c r="I696" s="116" t="str">
        <f t="shared" si="208"/>
        <v/>
      </c>
      <c r="J696" s="7" t="str">
        <f t="shared" si="209"/>
        <v/>
      </c>
      <c r="K696" s="9" t="str">
        <f t="shared" si="210"/>
        <v/>
      </c>
      <c r="L696" s="9" t="str">
        <f>IF(NOT(ISERROR(VLOOKUP(B696,Deflatores!G$42:H$64,2,FALSE))),VLOOKUP(B696,Deflatores!G$42:H$64,2,FALSE),IF(OR(ISBLANK(C696),ISBLANK(B696)),"",VLOOKUP(C696,Deflatores!G$4:H$38,2,FALSE)*H696+VLOOKUP(C696,Deflatores!G$4:I$38,3,FALSE)))</f>
        <v/>
      </c>
      <c r="M696" s="10"/>
      <c r="N696" s="10"/>
      <c r="O696" s="6"/>
    </row>
    <row r="697" spans="1:15">
      <c r="A697" s="119"/>
      <c r="B697" s="4"/>
      <c r="C697" s="4"/>
      <c r="D697" s="7"/>
      <c r="E697" s="7"/>
      <c r="F697" s="8" t="str">
        <f t="shared" si="205"/>
        <v/>
      </c>
      <c r="G697" s="7" t="str">
        <f t="shared" si="206"/>
        <v/>
      </c>
      <c r="H697" s="5" t="str">
        <f t="shared" si="207"/>
        <v/>
      </c>
      <c r="I697" s="116" t="str">
        <f t="shared" si="208"/>
        <v/>
      </c>
      <c r="J697" s="7" t="str">
        <f t="shared" si="209"/>
        <v/>
      </c>
      <c r="K697" s="9" t="str">
        <f t="shared" si="210"/>
        <v/>
      </c>
      <c r="L697" s="9" t="str">
        <f>IF(NOT(ISERROR(VLOOKUP(B697,Deflatores!G$42:H$64,2,FALSE))),VLOOKUP(B697,Deflatores!G$42:H$64,2,FALSE),IF(OR(ISBLANK(C697),ISBLANK(B697)),"",VLOOKUP(C697,Deflatores!G$4:H$38,2,FALSE)*H697+VLOOKUP(C697,Deflatores!G$4:I$38,3,FALSE)))</f>
        <v/>
      </c>
      <c r="M697" s="10"/>
      <c r="N697" s="10"/>
      <c r="O697" s="6"/>
    </row>
    <row r="698" spans="1:15">
      <c r="A698" s="119"/>
      <c r="B698" s="4"/>
      <c r="C698" s="4"/>
      <c r="D698" s="7"/>
      <c r="E698" s="7"/>
      <c r="F698" s="8" t="str">
        <f t="shared" si="205"/>
        <v/>
      </c>
      <c r="G698" s="7" t="str">
        <f t="shared" si="206"/>
        <v/>
      </c>
      <c r="H698" s="5" t="str">
        <f t="shared" si="207"/>
        <v/>
      </c>
      <c r="I698" s="116" t="str">
        <f t="shared" si="208"/>
        <v/>
      </c>
      <c r="J698" s="7" t="str">
        <f t="shared" si="209"/>
        <v/>
      </c>
      <c r="K698" s="9" t="str">
        <f t="shared" si="210"/>
        <v/>
      </c>
      <c r="L698" s="9" t="str">
        <f>IF(NOT(ISERROR(VLOOKUP(B698,Deflatores!G$42:H$64,2,FALSE))),VLOOKUP(B698,Deflatores!G$42:H$64,2,FALSE),IF(OR(ISBLANK(C698),ISBLANK(B698)),"",VLOOKUP(C698,Deflatores!G$4:H$38,2,FALSE)*H698+VLOOKUP(C698,Deflatores!G$4:I$38,3,FALSE)))</f>
        <v/>
      </c>
      <c r="M698" s="10"/>
      <c r="N698" s="10"/>
      <c r="O698" s="6"/>
    </row>
    <row r="699" spans="1:15">
      <c r="A699" s="119"/>
      <c r="B699" s="4"/>
      <c r="C699" s="4"/>
      <c r="D699" s="7"/>
      <c r="E699" s="7"/>
      <c r="F699" s="8" t="str">
        <f t="shared" si="205"/>
        <v/>
      </c>
      <c r="G699" s="7" t="str">
        <f t="shared" si="206"/>
        <v/>
      </c>
      <c r="H699" s="5" t="str">
        <f t="shared" si="207"/>
        <v/>
      </c>
      <c r="I699" s="116" t="str">
        <f t="shared" si="208"/>
        <v/>
      </c>
      <c r="J699" s="7" t="str">
        <f t="shared" si="209"/>
        <v/>
      </c>
      <c r="K699" s="9" t="str">
        <f t="shared" si="210"/>
        <v/>
      </c>
      <c r="L699" s="9" t="str">
        <f>IF(NOT(ISERROR(VLOOKUP(B699,Deflatores!G$42:H$64,2,FALSE))),VLOOKUP(B699,Deflatores!G$42:H$64,2,FALSE),IF(OR(ISBLANK(C699),ISBLANK(B699)),"",VLOOKUP(C699,Deflatores!G$4:H$38,2,FALSE)*H699+VLOOKUP(C699,Deflatores!G$4:I$38,3,FALSE)))</f>
        <v/>
      </c>
      <c r="M699" s="10"/>
      <c r="N699" s="10"/>
      <c r="O699" s="6"/>
    </row>
    <row r="700" spans="1:15">
      <c r="A700" s="119"/>
      <c r="B700" s="4"/>
      <c r="C700" s="4"/>
      <c r="D700" s="7"/>
      <c r="E700" s="7"/>
      <c r="F700" s="8" t="str">
        <f t="shared" si="205"/>
        <v/>
      </c>
      <c r="G700" s="7" t="str">
        <f t="shared" si="206"/>
        <v/>
      </c>
      <c r="H700" s="5" t="str">
        <f t="shared" si="207"/>
        <v/>
      </c>
      <c r="I700" s="116" t="str">
        <f t="shared" si="208"/>
        <v/>
      </c>
      <c r="J700" s="7" t="str">
        <f t="shared" si="209"/>
        <v/>
      </c>
      <c r="K700" s="9" t="str">
        <f t="shared" si="210"/>
        <v/>
      </c>
      <c r="L700" s="9" t="str">
        <f>IF(NOT(ISERROR(VLOOKUP(B700,Deflatores!G$42:H$64,2,FALSE))),VLOOKUP(B700,Deflatores!G$42:H$64,2,FALSE),IF(OR(ISBLANK(C700),ISBLANK(B700)),"",VLOOKUP(C700,Deflatores!G$4:H$38,2,FALSE)*H700+VLOOKUP(C700,Deflatores!G$4:I$38,3,FALSE)))</f>
        <v/>
      </c>
      <c r="M700" s="10"/>
      <c r="N700" s="10"/>
      <c r="O700" s="6"/>
    </row>
    <row r="701" spans="1:15">
      <c r="A701" s="119"/>
      <c r="B701" s="4"/>
      <c r="C701" s="4"/>
      <c r="D701" s="7"/>
      <c r="E701" s="7"/>
      <c r="F701" s="8" t="str">
        <f t="shared" si="205"/>
        <v/>
      </c>
      <c r="G701" s="7" t="str">
        <f t="shared" si="206"/>
        <v/>
      </c>
      <c r="H701" s="5" t="str">
        <f t="shared" si="207"/>
        <v/>
      </c>
      <c r="I701" s="116" t="str">
        <f t="shared" si="208"/>
        <v/>
      </c>
      <c r="J701" s="7" t="str">
        <f t="shared" si="209"/>
        <v/>
      </c>
      <c r="K701" s="9" t="str">
        <f t="shared" si="210"/>
        <v/>
      </c>
      <c r="L701" s="9" t="str">
        <f>IF(NOT(ISERROR(VLOOKUP(B701,Deflatores!G$42:H$64,2,FALSE))),VLOOKUP(B701,Deflatores!G$42:H$64,2,FALSE),IF(OR(ISBLANK(C701),ISBLANK(B701)),"",VLOOKUP(C701,Deflatores!G$4:H$38,2,FALSE)*H701+VLOOKUP(C701,Deflatores!G$4:I$38,3,FALSE)))</f>
        <v/>
      </c>
      <c r="M701" s="10"/>
      <c r="N701" s="10"/>
      <c r="O701" s="6"/>
    </row>
    <row r="702" spans="1:15">
      <c r="A702" s="119"/>
      <c r="B702" s="4"/>
      <c r="C702" s="4"/>
      <c r="D702" s="7"/>
      <c r="E702" s="7"/>
      <c r="F702" s="8" t="str">
        <f t="shared" si="205"/>
        <v/>
      </c>
      <c r="G702" s="7" t="str">
        <f t="shared" si="206"/>
        <v/>
      </c>
      <c r="H702" s="5" t="str">
        <f t="shared" si="207"/>
        <v/>
      </c>
      <c r="I702" s="116" t="str">
        <f t="shared" si="208"/>
        <v/>
      </c>
      <c r="J702" s="7" t="str">
        <f t="shared" si="209"/>
        <v/>
      </c>
      <c r="K702" s="9" t="str">
        <f t="shared" si="210"/>
        <v/>
      </c>
      <c r="L702" s="9" t="str">
        <f>IF(NOT(ISERROR(VLOOKUP(B702,Deflatores!G$42:H$64,2,FALSE))),VLOOKUP(B702,Deflatores!G$42:H$64,2,FALSE),IF(OR(ISBLANK(C702),ISBLANK(B702)),"",VLOOKUP(C702,Deflatores!G$4:H$38,2,FALSE)*H702+VLOOKUP(C702,Deflatores!G$4:I$38,3,FALSE)))</f>
        <v/>
      </c>
      <c r="M702" s="10"/>
      <c r="N702" s="10"/>
      <c r="O702" s="6"/>
    </row>
    <row r="703" spans="1:15">
      <c r="A703" s="119"/>
      <c r="B703" s="4"/>
      <c r="C703" s="4"/>
      <c r="D703" s="7"/>
      <c r="E703" s="7"/>
      <c r="F703" s="8" t="str">
        <f t="shared" si="205"/>
        <v/>
      </c>
      <c r="G703" s="7" t="str">
        <f t="shared" si="206"/>
        <v/>
      </c>
      <c r="H703" s="5" t="str">
        <f t="shared" si="207"/>
        <v/>
      </c>
      <c r="I703" s="116" t="str">
        <f t="shared" si="208"/>
        <v/>
      </c>
      <c r="J703" s="7" t="str">
        <f t="shared" si="209"/>
        <v/>
      </c>
      <c r="K703" s="9" t="str">
        <f t="shared" si="210"/>
        <v/>
      </c>
      <c r="L703" s="9" t="str">
        <f>IF(NOT(ISERROR(VLOOKUP(B703,Deflatores!G$42:H$64,2,FALSE))),VLOOKUP(B703,Deflatores!G$42:H$64,2,FALSE),IF(OR(ISBLANK(C703),ISBLANK(B703)),"",VLOOKUP(C703,Deflatores!G$4:H$38,2,FALSE)*H703+VLOOKUP(C703,Deflatores!G$4:I$38,3,FALSE)))</f>
        <v/>
      </c>
      <c r="M703" s="10"/>
      <c r="N703" s="10"/>
      <c r="O703" s="6"/>
    </row>
    <row r="704" spans="1:15">
      <c r="A704" s="119"/>
      <c r="B704" s="4"/>
      <c r="C704" s="4"/>
      <c r="D704" s="7"/>
      <c r="E704" s="7"/>
      <c r="F704" s="8" t="str">
        <f t="shared" si="205"/>
        <v/>
      </c>
      <c r="G704" s="7" t="str">
        <f t="shared" si="206"/>
        <v/>
      </c>
      <c r="H704" s="5" t="str">
        <f t="shared" si="207"/>
        <v/>
      </c>
      <c r="I704" s="116" t="str">
        <f t="shared" si="208"/>
        <v/>
      </c>
      <c r="J704" s="7" t="str">
        <f t="shared" si="209"/>
        <v/>
      </c>
      <c r="K704" s="9" t="str">
        <f t="shared" si="210"/>
        <v/>
      </c>
      <c r="L704" s="9" t="str">
        <f>IF(NOT(ISERROR(VLOOKUP(B704,Deflatores!G$42:H$64,2,FALSE))),VLOOKUP(B704,Deflatores!G$42:H$64,2,FALSE),IF(OR(ISBLANK(C704),ISBLANK(B704)),"",VLOOKUP(C704,Deflatores!G$4:H$38,2,FALSE)*H704+VLOOKUP(C704,Deflatores!G$4:I$38,3,FALSE)))</f>
        <v/>
      </c>
      <c r="M704" s="10"/>
      <c r="N704" s="10"/>
      <c r="O704" s="6"/>
    </row>
    <row r="705" spans="1:15">
      <c r="A705" s="119"/>
      <c r="B705" s="4"/>
      <c r="C705" s="4"/>
      <c r="D705" s="7"/>
      <c r="E705" s="7"/>
      <c r="F705" s="8" t="str">
        <f t="shared" si="205"/>
        <v/>
      </c>
      <c r="G705" s="7" t="str">
        <f t="shared" si="206"/>
        <v/>
      </c>
      <c r="H705" s="5" t="str">
        <f t="shared" si="207"/>
        <v/>
      </c>
      <c r="I705" s="116" t="str">
        <f t="shared" si="208"/>
        <v/>
      </c>
      <c r="J705" s="7" t="str">
        <f t="shared" si="209"/>
        <v/>
      </c>
      <c r="K705" s="9" t="str">
        <f t="shared" si="210"/>
        <v/>
      </c>
      <c r="L705" s="9" t="str">
        <f>IF(NOT(ISERROR(VLOOKUP(B705,Deflatores!G$42:H$64,2,FALSE))),VLOOKUP(B705,Deflatores!G$42:H$64,2,FALSE),IF(OR(ISBLANK(C705),ISBLANK(B705)),"",VLOOKUP(C705,Deflatores!G$4:H$38,2,FALSE)*H705+VLOOKUP(C705,Deflatores!G$4:I$38,3,FALSE)))</f>
        <v/>
      </c>
      <c r="M705" s="10"/>
      <c r="N705" s="10"/>
      <c r="O705" s="6"/>
    </row>
    <row r="706" spans="1:15">
      <c r="A706" s="119"/>
      <c r="B706" s="4"/>
      <c r="C706" s="4"/>
      <c r="D706" s="7"/>
      <c r="E706" s="7"/>
      <c r="F706" s="8" t="str">
        <f t="shared" si="205"/>
        <v/>
      </c>
      <c r="G706" s="7" t="str">
        <f t="shared" si="206"/>
        <v/>
      </c>
      <c r="H706" s="5" t="str">
        <f t="shared" si="207"/>
        <v/>
      </c>
      <c r="I706" s="116" t="str">
        <f t="shared" si="208"/>
        <v/>
      </c>
      <c r="J706" s="7" t="str">
        <f t="shared" si="209"/>
        <v/>
      </c>
      <c r="K706" s="9" t="str">
        <f t="shared" si="210"/>
        <v/>
      </c>
      <c r="L706" s="9" t="str">
        <f>IF(NOT(ISERROR(VLOOKUP(B706,Deflatores!G$42:H$64,2,FALSE))),VLOOKUP(B706,Deflatores!G$42:H$64,2,FALSE),IF(OR(ISBLANK(C706),ISBLANK(B706)),"",VLOOKUP(C706,Deflatores!G$4:H$38,2,FALSE)*H706+VLOOKUP(C706,Deflatores!G$4:I$38,3,FALSE)))</f>
        <v/>
      </c>
      <c r="M706" s="10"/>
      <c r="N706" s="10"/>
      <c r="O706" s="6"/>
    </row>
    <row r="707" spans="1:15">
      <c r="A707" s="119"/>
      <c r="B707" s="4"/>
      <c r="C707" s="4"/>
      <c r="D707" s="7"/>
      <c r="E707" s="7"/>
      <c r="F707" s="8" t="str">
        <f t="shared" si="205"/>
        <v/>
      </c>
      <c r="G707" s="7" t="str">
        <f t="shared" si="206"/>
        <v/>
      </c>
      <c r="H707" s="5" t="str">
        <f t="shared" si="207"/>
        <v/>
      </c>
      <c r="I707" s="116" t="str">
        <f t="shared" si="208"/>
        <v/>
      </c>
      <c r="J707" s="7" t="str">
        <f t="shared" si="209"/>
        <v/>
      </c>
      <c r="K707" s="9" t="str">
        <f t="shared" si="210"/>
        <v/>
      </c>
      <c r="L707" s="9" t="str">
        <f>IF(NOT(ISERROR(VLOOKUP(B707,Deflatores!G$42:H$64,2,FALSE))),VLOOKUP(B707,Deflatores!G$42:H$64,2,FALSE),IF(OR(ISBLANK(C707),ISBLANK(B707)),"",VLOOKUP(C707,Deflatores!G$4:H$38,2,FALSE)*H707+VLOOKUP(C707,Deflatores!G$4:I$38,3,FALSE)))</f>
        <v/>
      </c>
      <c r="M707" s="10"/>
      <c r="N707" s="10"/>
      <c r="O707" s="6"/>
    </row>
    <row r="708" spans="1:15">
      <c r="A708" s="119"/>
      <c r="B708" s="4"/>
      <c r="C708" s="4"/>
      <c r="D708" s="7"/>
      <c r="E708" s="7"/>
      <c r="F708" s="8" t="str">
        <f t="shared" si="205"/>
        <v/>
      </c>
      <c r="G708" s="7" t="str">
        <f t="shared" si="206"/>
        <v/>
      </c>
      <c r="H708" s="5" t="str">
        <f t="shared" si="207"/>
        <v/>
      </c>
      <c r="I708" s="116" t="str">
        <f t="shared" si="208"/>
        <v/>
      </c>
      <c r="J708" s="7" t="str">
        <f t="shared" si="209"/>
        <v/>
      </c>
      <c r="K708" s="9" t="str">
        <f t="shared" si="210"/>
        <v/>
      </c>
      <c r="L708" s="9" t="str">
        <f>IF(NOT(ISERROR(VLOOKUP(B708,Deflatores!G$42:H$64,2,FALSE))),VLOOKUP(B708,Deflatores!G$42:H$64,2,FALSE),IF(OR(ISBLANK(C708),ISBLANK(B708)),"",VLOOKUP(C708,Deflatores!G$4:H$38,2,FALSE)*H708+VLOOKUP(C708,Deflatores!G$4:I$38,3,FALSE)))</f>
        <v/>
      </c>
      <c r="M708" s="10"/>
      <c r="N708" s="10"/>
      <c r="O708" s="6"/>
    </row>
    <row r="709" spans="1:15">
      <c r="A709" s="119"/>
      <c r="B709" s="4"/>
      <c r="C709" s="4"/>
      <c r="D709" s="7"/>
      <c r="E709" s="7"/>
      <c r="F709" s="8" t="str">
        <f t="shared" si="205"/>
        <v/>
      </c>
      <c r="G709" s="7" t="str">
        <f t="shared" si="206"/>
        <v/>
      </c>
      <c r="H709" s="5" t="str">
        <f t="shared" si="207"/>
        <v/>
      </c>
      <c r="I709" s="116" t="str">
        <f t="shared" si="208"/>
        <v/>
      </c>
      <c r="J709" s="7" t="str">
        <f t="shared" si="209"/>
        <v/>
      </c>
      <c r="K709" s="9" t="str">
        <f t="shared" si="210"/>
        <v/>
      </c>
      <c r="L709" s="9" t="str">
        <f>IF(NOT(ISERROR(VLOOKUP(B709,Deflatores!G$42:H$64,2,FALSE))),VLOOKUP(B709,Deflatores!G$42:H$64,2,FALSE),IF(OR(ISBLANK(C709),ISBLANK(B709)),"",VLOOKUP(C709,Deflatores!G$4:H$38,2,FALSE)*H709+VLOOKUP(C709,Deflatores!G$4:I$38,3,FALSE)))</f>
        <v/>
      </c>
      <c r="M709" s="10"/>
      <c r="N709" s="10"/>
      <c r="O709" s="6"/>
    </row>
    <row r="710" spans="1:15">
      <c r="A710" s="119"/>
      <c r="B710" s="4"/>
      <c r="C710" s="4"/>
      <c r="D710" s="7"/>
      <c r="E710" s="7"/>
      <c r="F710" s="8" t="str">
        <f t="shared" si="205"/>
        <v/>
      </c>
      <c r="G710" s="7" t="str">
        <f t="shared" si="206"/>
        <v/>
      </c>
      <c r="H710" s="5" t="str">
        <f t="shared" si="207"/>
        <v/>
      </c>
      <c r="I710" s="116" t="str">
        <f t="shared" si="208"/>
        <v/>
      </c>
      <c r="J710" s="7" t="str">
        <f t="shared" si="209"/>
        <v/>
      </c>
      <c r="K710" s="9" t="str">
        <f t="shared" si="210"/>
        <v/>
      </c>
      <c r="L710" s="9" t="str">
        <f>IF(NOT(ISERROR(VLOOKUP(B710,Deflatores!G$42:H$64,2,FALSE))),VLOOKUP(B710,Deflatores!G$42:H$64,2,FALSE),IF(OR(ISBLANK(C710),ISBLANK(B710)),"",VLOOKUP(C710,Deflatores!G$4:H$38,2,FALSE)*H710+VLOOKUP(C710,Deflatores!G$4:I$38,3,FALSE)))</f>
        <v/>
      </c>
      <c r="M710" s="10"/>
      <c r="N710" s="10"/>
      <c r="O710" s="6"/>
    </row>
    <row r="711" spans="1:15">
      <c r="A711" s="119"/>
      <c r="B711" s="4"/>
      <c r="C711" s="4"/>
      <c r="D711" s="7"/>
      <c r="E711" s="7"/>
      <c r="F711" s="8" t="str">
        <f t="shared" si="205"/>
        <v/>
      </c>
      <c r="G711" s="7" t="str">
        <f t="shared" si="206"/>
        <v/>
      </c>
      <c r="H711" s="5" t="str">
        <f t="shared" si="207"/>
        <v/>
      </c>
      <c r="I711" s="116" t="str">
        <f t="shared" si="208"/>
        <v/>
      </c>
      <c r="J711" s="7" t="str">
        <f t="shared" si="209"/>
        <v/>
      </c>
      <c r="K711" s="9" t="str">
        <f t="shared" si="210"/>
        <v/>
      </c>
      <c r="L711" s="9" t="str">
        <f>IF(NOT(ISERROR(VLOOKUP(B711,Deflatores!G$42:H$64,2,FALSE))),VLOOKUP(B711,Deflatores!G$42:H$64,2,FALSE),IF(OR(ISBLANK(C711),ISBLANK(B711)),"",VLOOKUP(C711,Deflatores!G$4:H$38,2,FALSE)*H711+VLOOKUP(C711,Deflatores!G$4:I$38,3,FALSE)))</f>
        <v/>
      </c>
      <c r="M711" s="10"/>
      <c r="N711" s="10"/>
      <c r="O711" s="6"/>
    </row>
    <row r="712" spans="1:15">
      <c r="A712" s="119"/>
      <c r="B712" s="4"/>
      <c r="C712" s="4"/>
      <c r="D712" s="7"/>
      <c r="E712" s="7"/>
      <c r="F712" s="8" t="str">
        <f t="shared" si="205"/>
        <v/>
      </c>
      <c r="G712" s="7" t="str">
        <f t="shared" si="206"/>
        <v/>
      </c>
      <c r="H712" s="5" t="str">
        <f t="shared" si="207"/>
        <v/>
      </c>
      <c r="I712" s="116" t="str">
        <f t="shared" si="208"/>
        <v/>
      </c>
      <c r="J712" s="7" t="str">
        <f t="shared" si="209"/>
        <v/>
      </c>
      <c r="K712" s="9" t="str">
        <f t="shared" si="210"/>
        <v/>
      </c>
      <c r="L712" s="9" t="str">
        <f>IF(NOT(ISERROR(VLOOKUP(B712,Deflatores!G$42:H$64,2,FALSE))),VLOOKUP(B712,Deflatores!G$42:H$64,2,FALSE),IF(OR(ISBLANK(C712),ISBLANK(B712)),"",VLOOKUP(C712,Deflatores!G$4:H$38,2,FALSE)*H712+VLOOKUP(C712,Deflatores!G$4:I$38,3,FALSE)))</f>
        <v/>
      </c>
      <c r="M712" s="10"/>
      <c r="N712" s="10"/>
      <c r="O712" s="6"/>
    </row>
    <row r="713" spans="1:15">
      <c r="A713" s="119"/>
      <c r="B713" s="4"/>
      <c r="C713" s="4"/>
      <c r="D713" s="7"/>
      <c r="E713" s="7"/>
      <c r="F713" s="8" t="str">
        <f t="shared" si="205"/>
        <v/>
      </c>
      <c r="G713" s="7" t="str">
        <f t="shared" si="206"/>
        <v/>
      </c>
      <c r="H713" s="5" t="str">
        <f t="shared" si="207"/>
        <v/>
      </c>
      <c r="I713" s="116" t="str">
        <f t="shared" si="208"/>
        <v/>
      </c>
      <c r="J713" s="7" t="str">
        <f t="shared" si="209"/>
        <v/>
      </c>
      <c r="K713" s="9" t="str">
        <f t="shared" si="210"/>
        <v/>
      </c>
      <c r="L713" s="9" t="str">
        <f>IF(NOT(ISERROR(VLOOKUP(B713,Deflatores!G$42:H$64,2,FALSE))),VLOOKUP(B713,Deflatores!G$42:H$64,2,FALSE),IF(OR(ISBLANK(C713),ISBLANK(B713)),"",VLOOKUP(C713,Deflatores!G$4:H$38,2,FALSE)*H713+VLOOKUP(C713,Deflatores!G$4:I$38,3,FALSE)))</f>
        <v/>
      </c>
      <c r="M713" s="10"/>
      <c r="N713" s="10"/>
      <c r="O713" s="6"/>
    </row>
    <row r="714" spans="1:15">
      <c r="A714" s="119"/>
      <c r="B714" s="4"/>
      <c r="C714" s="4"/>
      <c r="D714" s="7"/>
      <c r="E714" s="7"/>
      <c r="F714" s="8" t="str">
        <f t="shared" si="205"/>
        <v/>
      </c>
      <c r="G714" s="7" t="str">
        <f t="shared" si="206"/>
        <v/>
      </c>
      <c r="H714" s="5" t="str">
        <f t="shared" si="207"/>
        <v/>
      </c>
      <c r="I714" s="116" t="str">
        <f t="shared" si="208"/>
        <v/>
      </c>
      <c r="J714" s="7" t="str">
        <f t="shared" si="209"/>
        <v/>
      </c>
      <c r="K714" s="9" t="str">
        <f t="shared" si="210"/>
        <v/>
      </c>
      <c r="L714" s="9" t="str">
        <f>IF(NOT(ISERROR(VLOOKUP(B714,Deflatores!G$42:H$64,2,FALSE))),VLOOKUP(B714,Deflatores!G$42:H$64,2,FALSE),IF(OR(ISBLANK(C714),ISBLANK(B714)),"",VLOOKUP(C714,Deflatores!G$4:H$38,2,FALSE)*H714+VLOOKUP(C714,Deflatores!G$4:I$38,3,FALSE)))</f>
        <v/>
      </c>
      <c r="M714" s="10"/>
      <c r="N714" s="10"/>
      <c r="O714" s="6"/>
    </row>
    <row r="715" spans="1:15">
      <c r="A715" s="119"/>
      <c r="B715" s="4"/>
      <c r="C715" s="4"/>
      <c r="D715" s="7"/>
      <c r="E715" s="7"/>
      <c r="F715" s="8" t="str">
        <f t="shared" si="205"/>
        <v/>
      </c>
      <c r="G715" s="7" t="str">
        <f t="shared" si="206"/>
        <v/>
      </c>
      <c r="H715" s="5" t="str">
        <f t="shared" si="207"/>
        <v/>
      </c>
      <c r="I715" s="116" t="str">
        <f t="shared" si="208"/>
        <v/>
      </c>
      <c r="J715" s="7" t="str">
        <f t="shared" si="209"/>
        <v/>
      </c>
      <c r="K715" s="9" t="str">
        <f t="shared" si="210"/>
        <v/>
      </c>
      <c r="L715" s="9" t="str">
        <f>IF(NOT(ISERROR(VLOOKUP(B715,Deflatores!G$42:H$64,2,FALSE))),VLOOKUP(B715,Deflatores!G$42:H$64,2,FALSE),IF(OR(ISBLANK(C715),ISBLANK(B715)),"",VLOOKUP(C715,Deflatores!G$4:H$38,2,FALSE)*H715+VLOOKUP(C715,Deflatores!G$4:I$38,3,FALSE)))</f>
        <v/>
      </c>
      <c r="M715" s="10"/>
      <c r="N715" s="10"/>
      <c r="O715" s="6"/>
    </row>
    <row r="716" spans="1:15">
      <c r="A716" s="119"/>
      <c r="B716" s="4"/>
      <c r="C716" s="4"/>
      <c r="D716" s="7"/>
      <c r="E716" s="7"/>
      <c r="F716" s="8" t="str">
        <f t="shared" si="205"/>
        <v/>
      </c>
      <c r="G716" s="7" t="str">
        <f t="shared" si="206"/>
        <v/>
      </c>
      <c r="H716" s="5" t="str">
        <f t="shared" si="207"/>
        <v/>
      </c>
      <c r="I716" s="116" t="str">
        <f t="shared" si="208"/>
        <v/>
      </c>
      <c r="J716" s="7" t="str">
        <f t="shared" si="209"/>
        <v/>
      </c>
      <c r="K716" s="9" t="str">
        <f t="shared" si="210"/>
        <v/>
      </c>
      <c r="L716" s="9" t="str">
        <f>IF(NOT(ISERROR(VLOOKUP(B716,Deflatores!G$42:H$64,2,FALSE))),VLOOKUP(B716,Deflatores!G$42:H$64,2,FALSE),IF(OR(ISBLANK(C716),ISBLANK(B716)),"",VLOOKUP(C716,Deflatores!G$4:H$38,2,FALSE)*H716+VLOOKUP(C716,Deflatores!G$4:I$38,3,FALSE)))</f>
        <v/>
      </c>
      <c r="M716" s="10"/>
      <c r="N716" s="10"/>
      <c r="O716" s="6"/>
    </row>
    <row r="717" spans="1:15">
      <c r="A717" s="119"/>
      <c r="B717" s="4"/>
      <c r="C717" s="4"/>
      <c r="D717" s="7"/>
      <c r="E717" s="7"/>
      <c r="F717" s="8" t="str">
        <f t="shared" si="205"/>
        <v/>
      </c>
      <c r="G717" s="7" t="str">
        <f t="shared" si="206"/>
        <v/>
      </c>
      <c r="H717" s="5" t="str">
        <f t="shared" si="207"/>
        <v/>
      </c>
      <c r="I717" s="116" t="str">
        <f t="shared" si="208"/>
        <v/>
      </c>
      <c r="J717" s="7" t="str">
        <f t="shared" si="209"/>
        <v/>
      </c>
      <c r="K717" s="9" t="str">
        <f t="shared" si="210"/>
        <v/>
      </c>
      <c r="L717" s="9" t="str">
        <f>IF(NOT(ISERROR(VLOOKUP(B717,Deflatores!G$42:H$64,2,FALSE))),VLOOKUP(B717,Deflatores!G$42:H$64,2,FALSE),IF(OR(ISBLANK(C717),ISBLANK(B717)),"",VLOOKUP(C717,Deflatores!G$4:H$38,2,FALSE)*H717+VLOOKUP(C717,Deflatores!G$4:I$38,3,FALSE)))</f>
        <v/>
      </c>
      <c r="M717" s="10"/>
      <c r="N717" s="10"/>
      <c r="O717" s="6"/>
    </row>
    <row r="718" spans="1:15">
      <c r="A718" s="119"/>
      <c r="B718" s="4"/>
      <c r="C718" s="4"/>
      <c r="D718" s="7"/>
      <c r="E718" s="7"/>
      <c r="F718" s="8" t="str">
        <f t="shared" si="205"/>
        <v/>
      </c>
      <c r="G718" s="7" t="str">
        <f t="shared" si="206"/>
        <v/>
      </c>
      <c r="H718" s="5" t="str">
        <f t="shared" si="207"/>
        <v/>
      </c>
      <c r="I718" s="116" t="str">
        <f t="shared" si="208"/>
        <v/>
      </c>
      <c r="J718" s="7" t="str">
        <f t="shared" si="209"/>
        <v/>
      </c>
      <c r="K718" s="9" t="str">
        <f t="shared" si="210"/>
        <v/>
      </c>
      <c r="L718" s="9" t="str">
        <f>IF(NOT(ISERROR(VLOOKUP(B718,Deflatores!G$42:H$64,2,FALSE))),VLOOKUP(B718,Deflatores!G$42:H$64,2,FALSE),IF(OR(ISBLANK(C718),ISBLANK(B718)),"",VLOOKUP(C718,Deflatores!G$4:H$38,2,FALSE)*H718+VLOOKUP(C718,Deflatores!G$4:I$38,3,FALSE)))</f>
        <v/>
      </c>
      <c r="M718" s="10"/>
      <c r="N718" s="10"/>
      <c r="O718" s="6"/>
    </row>
    <row r="719" spans="1:15">
      <c r="A719" s="119"/>
      <c r="B719" s="4"/>
      <c r="C719" s="4"/>
      <c r="D719" s="7"/>
      <c r="E719" s="7"/>
      <c r="F719" s="8" t="str">
        <f t="shared" si="205"/>
        <v/>
      </c>
      <c r="G719" s="7" t="str">
        <f t="shared" si="206"/>
        <v/>
      </c>
      <c r="H719" s="5" t="str">
        <f t="shared" si="207"/>
        <v/>
      </c>
      <c r="I719" s="116" t="str">
        <f t="shared" si="208"/>
        <v/>
      </c>
      <c r="J719" s="7" t="str">
        <f t="shared" si="209"/>
        <v/>
      </c>
      <c r="K719" s="9" t="str">
        <f t="shared" si="210"/>
        <v/>
      </c>
      <c r="L719" s="9" t="str">
        <f>IF(NOT(ISERROR(VLOOKUP(B719,Deflatores!G$42:H$64,2,FALSE))),VLOOKUP(B719,Deflatores!G$42:H$64,2,FALSE),IF(OR(ISBLANK(C719),ISBLANK(B719)),"",VLOOKUP(C719,Deflatores!G$4:H$38,2,FALSE)*H719+VLOOKUP(C719,Deflatores!G$4:I$38,3,FALSE)))</f>
        <v/>
      </c>
      <c r="M719" s="10"/>
      <c r="N719" s="10"/>
      <c r="O719" s="6"/>
    </row>
    <row r="720" spans="1:15">
      <c r="A720" s="119"/>
      <c r="B720" s="4"/>
      <c r="C720" s="4"/>
      <c r="D720" s="7"/>
      <c r="E720" s="7"/>
      <c r="F720" s="8" t="str">
        <f t="shared" si="205"/>
        <v/>
      </c>
      <c r="G720" s="7" t="str">
        <f t="shared" si="206"/>
        <v/>
      </c>
      <c r="H720" s="5" t="str">
        <f t="shared" si="207"/>
        <v/>
      </c>
      <c r="I720" s="116" t="str">
        <f t="shared" si="208"/>
        <v/>
      </c>
      <c r="J720" s="7" t="str">
        <f t="shared" si="209"/>
        <v/>
      </c>
      <c r="K720" s="9" t="str">
        <f t="shared" si="210"/>
        <v/>
      </c>
      <c r="L720" s="9" t="str">
        <f>IF(NOT(ISERROR(VLOOKUP(B720,Deflatores!G$42:H$64,2,FALSE))),VLOOKUP(B720,Deflatores!G$42:H$64,2,FALSE),IF(OR(ISBLANK(C720),ISBLANK(B720)),"",VLOOKUP(C720,Deflatores!G$4:H$38,2,FALSE)*H720+VLOOKUP(C720,Deflatores!G$4:I$38,3,FALSE)))</f>
        <v/>
      </c>
      <c r="M720" s="10"/>
      <c r="N720" s="10"/>
      <c r="O720" s="6"/>
    </row>
    <row r="721" spans="1:15">
      <c r="A721" s="119"/>
      <c r="B721" s="4"/>
      <c r="C721" s="4"/>
      <c r="D721" s="7"/>
      <c r="E721" s="7"/>
      <c r="F721" s="8" t="str">
        <f t="shared" si="205"/>
        <v/>
      </c>
      <c r="G721" s="7" t="str">
        <f t="shared" si="206"/>
        <v/>
      </c>
      <c r="H721" s="5" t="str">
        <f t="shared" si="207"/>
        <v/>
      </c>
      <c r="I721" s="116" t="str">
        <f t="shared" si="208"/>
        <v/>
      </c>
      <c r="J721" s="7" t="str">
        <f t="shared" si="209"/>
        <v/>
      </c>
      <c r="K721" s="9" t="str">
        <f t="shared" si="210"/>
        <v/>
      </c>
      <c r="L721" s="9" t="str">
        <f>IF(NOT(ISERROR(VLOOKUP(B721,Deflatores!G$42:H$64,2,FALSE))),VLOOKUP(B721,Deflatores!G$42:H$64,2,FALSE),IF(OR(ISBLANK(C721),ISBLANK(B721)),"",VLOOKUP(C721,Deflatores!G$4:H$38,2,FALSE)*H721+VLOOKUP(C721,Deflatores!G$4:I$38,3,FALSE)))</f>
        <v/>
      </c>
      <c r="M721" s="10"/>
      <c r="N721" s="10"/>
      <c r="O721" s="6"/>
    </row>
    <row r="722" spans="1:15">
      <c r="A722" s="119"/>
      <c r="B722" s="4"/>
      <c r="C722" s="4"/>
      <c r="D722" s="7"/>
      <c r="E722" s="7"/>
      <c r="F722" s="8" t="str">
        <f t="shared" si="205"/>
        <v/>
      </c>
      <c r="G722" s="7" t="str">
        <f t="shared" si="206"/>
        <v/>
      </c>
      <c r="H722" s="5" t="str">
        <f t="shared" si="207"/>
        <v/>
      </c>
      <c r="I722" s="116" t="str">
        <f t="shared" si="208"/>
        <v/>
      </c>
      <c r="J722" s="7" t="str">
        <f t="shared" si="209"/>
        <v/>
      </c>
      <c r="K722" s="9" t="str">
        <f t="shared" si="210"/>
        <v/>
      </c>
      <c r="L722" s="9" t="str">
        <f>IF(NOT(ISERROR(VLOOKUP(B722,Deflatores!G$42:H$64,2,FALSE))),VLOOKUP(B722,Deflatores!G$42:H$64,2,FALSE),IF(OR(ISBLANK(C722),ISBLANK(B722)),"",VLOOKUP(C722,Deflatores!G$4:H$38,2,FALSE)*H722+VLOOKUP(C722,Deflatores!G$4:I$38,3,FALSE)))</f>
        <v/>
      </c>
      <c r="M722" s="10"/>
      <c r="N722" s="10"/>
      <c r="O722" s="6"/>
    </row>
    <row r="723" spans="1:15">
      <c r="A723" s="119"/>
      <c r="B723" s="4"/>
      <c r="C723" s="4"/>
      <c r="D723" s="7"/>
      <c r="E723" s="7"/>
      <c r="F723" s="8" t="str">
        <f t="shared" si="205"/>
        <v/>
      </c>
      <c r="G723" s="7" t="str">
        <f t="shared" si="206"/>
        <v/>
      </c>
      <c r="H723" s="5" t="str">
        <f t="shared" si="207"/>
        <v/>
      </c>
      <c r="I723" s="116" t="str">
        <f t="shared" si="208"/>
        <v/>
      </c>
      <c r="J723" s="7" t="str">
        <f t="shared" si="209"/>
        <v/>
      </c>
      <c r="K723" s="9" t="str">
        <f t="shared" si="210"/>
        <v/>
      </c>
      <c r="L723" s="9" t="str">
        <f>IF(NOT(ISERROR(VLOOKUP(B723,Deflatores!G$42:H$64,2,FALSE))),VLOOKUP(B723,Deflatores!G$42:H$64,2,FALSE),IF(OR(ISBLANK(C723),ISBLANK(B723)),"",VLOOKUP(C723,Deflatores!G$4:H$38,2,FALSE)*H723+VLOOKUP(C723,Deflatores!G$4:I$38,3,FALSE)))</f>
        <v/>
      </c>
      <c r="M723" s="10"/>
      <c r="N723" s="10"/>
      <c r="O723" s="6"/>
    </row>
    <row r="724" spans="1:15">
      <c r="A724" s="119"/>
      <c r="B724" s="4"/>
      <c r="C724" s="4"/>
      <c r="D724" s="7"/>
      <c r="E724" s="7"/>
      <c r="F724" s="8" t="str">
        <f t="shared" si="205"/>
        <v/>
      </c>
      <c r="G724" s="7" t="str">
        <f t="shared" si="206"/>
        <v/>
      </c>
      <c r="H724" s="5" t="str">
        <f t="shared" si="207"/>
        <v/>
      </c>
      <c r="I724" s="116" t="str">
        <f t="shared" si="208"/>
        <v/>
      </c>
      <c r="J724" s="7" t="str">
        <f t="shared" si="209"/>
        <v/>
      </c>
      <c r="K724" s="9" t="str">
        <f t="shared" si="210"/>
        <v/>
      </c>
      <c r="L724" s="9" t="str">
        <f>IF(NOT(ISERROR(VLOOKUP(B724,Deflatores!G$42:H$64,2,FALSE))),VLOOKUP(B724,Deflatores!G$42:H$64,2,FALSE),IF(OR(ISBLANK(C724),ISBLANK(B724)),"",VLOOKUP(C724,Deflatores!G$4:H$38,2,FALSE)*H724+VLOOKUP(C724,Deflatores!G$4:I$38,3,FALSE)))</f>
        <v/>
      </c>
      <c r="M724" s="10"/>
      <c r="N724" s="10"/>
      <c r="O724" s="6"/>
    </row>
    <row r="725" spans="1:15">
      <c r="A725" s="119"/>
      <c r="B725" s="4"/>
      <c r="C725" s="4"/>
      <c r="D725" s="7"/>
      <c r="E725" s="7"/>
      <c r="F725" s="8" t="str">
        <f t="shared" si="205"/>
        <v/>
      </c>
      <c r="G725" s="7" t="str">
        <f t="shared" si="206"/>
        <v/>
      </c>
      <c r="H725" s="5" t="str">
        <f t="shared" si="207"/>
        <v/>
      </c>
      <c r="I725" s="116" t="str">
        <f t="shared" si="208"/>
        <v/>
      </c>
      <c r="J725" s="7" t="str">
        <f t="shared" si="209"/>
        <v/>
      </c>
      <c r="K725" s="9" t="str">
        <f t="shared" si="210"/>
        <v/>
      </c>
      <c r="L725" s="9" t="str">
        <f>IF(NOT(ISERROR(VLOOKUP(B725,Deflatores!G$42:H$64,2,FALSE))),VLOOKUP(B725,Deflatores!G$42:H$64,2,FALSE),IF(OR(ISBLANK(C725),ISBLANK(B725)),"",VLOOKUP(C725,Deflatores!G$4:H$38,2,FALSE)*H725+VLOOKUP(C725,Deflatores!G$4:I$38,3,FALSE)))</f>
        <v/>
      </c>
      <c r="M725" s="10"/>
      <c r="N725" s="10"/>
      <c r="O725" s="6"/>
    </row>
    <row r="726" spans="1:15">
      <c r="A726" s="119"/>
      <c r="B726" s="4"/>
      <c r="C726" s="4"/>
      <c r="D726" s="7"/>
      <c r="E726" s="7"/>
      <c r="F726" s="8" t="str">
        <f t="shared" si="205"/>
        <v/>
      </c>
      <c r="G726" s="7" t="str">
        <f t="shared" si="206"/>
        <v/>
      </c>
      <c r="H726" s="5" t="str">
        <f t="shared" si="207"/>
        <v/>
      </c>
      <c r="I726" s="116" t="str">
        <f t="shared" si="208"/>
        <v/>
      </c>
      <c r="J726" s="7" t="str">
        <f t="shared" si="209"/>
        <v/>
      </c>
      <c r="K726" s="9" t="str">
        <f t="shared" si="210"/>
        <v/>
      </c>
      <c r="L726" s="9" t="str">
        <f>IF(NOT(ISERROR(VLOOKUP(B726,Deflatores!G$42:H$64,2,FALSE))),VLOOKUP(B726,Deflatores!G$42:H$64,2,FALSE),IF(OR(ISBLANK(C726),ISBLANK(B726)),"",VLOOKUP(C726,Deflatores!G$4:H$38,2,FALSE)*H726+VLOOKUP(C726,Deflatores!G$4:I$38,3,FALSE)))</f>
        <v/>
      </c>
      <c r="M726" s="10"/>
      <c r="N726" s="10"/>
      <c r="O726" s="6"/>
    </row>
    <row r="727" spans="1:15">
      <c r="A727" s="119"/>
      <c r="B727" s="4"/>
      <c r="C727" s="4"/>
      <c r="D727" s="7"/>
      <c r="E727" s="7"/>
      <c r="F727" s="8" t="str">
        <f t="shared" si="205"/>
        <v/>
      </c>
      <c r="G727" s="7" t="str">
        <f t="shared" si="206"/>
        <v/>
      </c>
      <c r="H727" s="5" t="str">
        <f t="shared" si="207"/>
        <v/>
      </c>
      <c r="I727" s="116" t="str">
        <f t="shared" si="208"/>
        <v/>
      </c>
      <c r="J727" s="7" t="str">
        <f t="shared" si="209"/>
        <v/>
      </c>
      <c r="K727" s="9" t="str">
        <f t="shared" si="210"/>
        <v/>
      </c>
      <c r="L727" s="9" t="str">
        <f>IF(NOT(ISERROR(VLOOKUP(B727,Deflatores!G$42:H$64,2,FALSE))),VLOOKUP(B727,Deflatores!G$42:H$64,2,FALSE),IF(OR(ISBLANK(C727),ISBLANK(B727)),"",VLOOKUP(C727,Deflatores!G$4:H$38,2,FALSE)*H727+VLOOKUP(C727,Deflatores!G$4:I$38,3,FALSE)))</f>
        <v/>
      </c>
      <c r="M727" s="10"/>
      <c r="N727" s="10"/>
      <c r="O727" s="6"/>
    </row>
    <row r="728" spans="1:15">
      <c r="A728" s="119"/>
      <c r="B728" s="4"/>
      <c r="C728" s="4"/>
      <c r="D728" s="7"/>
      <c r="E728" s="7"/>
      <c r="F728" s="8" t="str">
        <f t="shared" si="205"/>
        <v/>
      </c>
      <c r="G728" s="7" t="str">
        <f t="shared" si="206"/>
        <v/>
      </c>
      <c r="H728" s="5" t="str">
        <f t="shared" si="207"/>
        <v/>
      </c>
      <c r="I728" s="116" t="str">
        <f t="shared" si="208"/>
        <v/>
      </c>
      <c r="J728" s="7" t="str">
        <f t="shared" si="209"/>
        <v/>
      </c>
      <c r="K728" s="9" t="str">
        <f t="shared" si="210"/>
        <v/>
      </c>
      <c r="L728" s="9" t="str">
        <f>IF(NOT(ISERROR(VLOOKUP(B728,Deflatores!G$42:H$64,2,FALSE))),VLOOKUP(B728,Deflatores!G$42:H$64,2,FALSE),IF(OR(ISBLANK(C728),ISBLANK(B728)),"",VLOOKUP(C728,Deflatores!G$4:H$38,2,FALSE)*H728+VLOOKUP(C728,Deflatores!G$4:I$38,3,FALSE)))</f>
        <v/>
      </c>
      <c r="M728" s="10"/>
      <c r="N728" s="10"/>
      <c r="O728" s="6"/>
    </row>
    <row r="729" spans="1:15">
      <c r="A729" s="119"/>
      <c r="B729" s="4"/>
      <c r="C729" s="4"/>
      <c r="D729" s="7"/>
      <c r="E729" s="7"/>
      <c r="F729" s="8" t="str">
        <f t="shared" si="205"/>
        <v/>
      </c>
      <c r="G729" s="7" t="str">
        <f t="shared" si="206"/>
        <v/>
      </c>
      <c r="H729" s="5" t="str">
        <f t="shared" si="207"/>
        <v/>
      </c>
      <c r="I729" s="116" t="str">
        <f t="shared" si="208"/>
        <v/>
      </c>
      <c r="J729" s="7" t="str">
        <f t="shared" si="209"/>
        <v/>
      </c>
      <c r="K729" s="9" t="str">
        <f t="shared" si="210"/>
        <v/>
      </c>
      <c r="L729" s="9" t="str">
        <f>IF(NOT(ISERROR(VLOOKUP(B729,Deflatores!G$42:H$64,2,FALSE))),VLOOKUP(B729,Deflatores!G$42:H$64,2,FALSE),IF(OR(ISBLANK(C729),ISBLANK(B729)),"",VLOOKUP(C729,Deflatores!G$4:H$38,2,FALSE)*H729+VLOOKUP(C729,Deflatores!G$4:I$38,3,FALSE)))</f>
        <v/>
      </c>
      <c r="M729" s="10"/>
      <c r="N729" s="10"/>
      <c r="O729" s="6"/>
    </row>
    <row r="730" spans="1:15">
      <c r="A730" s="119"/>
      <c r="B730" s="4"/>
      <c r="C730" s="4"/>
      <c r="D730" s="7"/>
      <c r="E730" s="7"/>
      <c r="F730" s="8" t="str">
        <f t="shared" si="205"/>
        <v/>
      </c>
      <c r="G730" s="7" t="str">
        <f t="shared" si="206"/>
        <v/>
      </c>
      <c r="H730" s="5" t="str">
        <f t="shared" si="207"/>
        <v/>
      </c>
      <c r="I730" s="116" t="str">
        <f t="shared" si="208"/>
        <v/>
      </c>
      <c r="J730" s="7" t="str">
        <f t="shared" si="209"/>
        <v/>
      </c>
      <c r="K730" s="9" t="str">
        <f t="shared" si="210"/>
        <v/>
      </c>
      <c r="L730" s="9" t="str">
        <f>IF(NOT(ISERROR(VLOOKUP(B730,Deflatores!G$42:H$64,2,FALSE))),VLOOKUP(B730,Deflatores!G$42:H$64,2,FALSE),IF(OR(ISBLANK(C730),ISBLANK(B730)),"",VLOOKUP(C730,Deflatores!G$4:H$38,2,FALSE)*H730+VLOOKUP(C730,Deflatores!G$4:I$38,3,FALSE)))</f>
        <v/>
      </c>
      <c r="M730" s="10"/>
      <c r="N730" s="10"/>
      <c r="O730" s="6"/>
    </row>
    <row r="731" spans="1:15">
      <c r="A731" s="119"/>
      <c r="B731" s="4"/>
      <c r="C731" s="4"/>
      <c r="D731" s="7"/>
      <c r="E731" s="7"/>
      <c r="F731" s="8" t="str">
        <f t="shared" si="205"/>
        <v/>
      </c>
      <c r="G731" s="7" t="str">
        <f t="shared" si="206"/>
        <v/>
      </c>
      <c r="H731" s="5" t="str">
        <f t="shared" si="207"/>
        <v/>
      </c>
      <c r="I731" s="116" t="str">
        <f t="shared" si="208"/>
        <v/>
      </c>
      <c r="J731" s="7" t="str">
        <f t="shared" si="209"/>
        <v/>
      </c>
      <c r="K731" s="9" t="str">
        <f t="shared" si="210"/>
        <v/>
      </c>
      <c r="L731" s="9" t="str">
        <f>IF(NOT(ISERROR(VLOOKUP(B731,Deflatores!G$42:H$64,2,FALSE))),VLOOKUP(B731,Deflatores!G$42:H$64,2,FALSE),IF(OR(ISBLANK(C731),ISBLANK(B731)),"",VLOOKUP(C731,Deflatores!G$4:H$38,2,FALSE)*H731+VLOOKUP(C731,Deflatores!G$4:I$38,3,FALSE)))</f>
        <v/>
      </c>
      <c r="M731" s="10"/>
      <c r="N731" s="10"/>
      <c r="O731" s="6"/>
    </row>
    <row r="732" spans="1:15">
      <c r="A732" s="119"/>
      <c r="B732" s="4"/>
      <c r="C732" s="4"/>
      <c r="D732" s="7"/>
      <c r="E732" s="7"/>
      <c r="F732" s="8" t="str">
        <f t="shared" si="205"/>
        <v/>
      </c>
      <c r="G732" s="7" t="str">
        <f t="shared" si="206"/>
        <v/>
      </c>
      <c r="H732" s="5" t="str">
        <f t="shared" si="207"/>
        <v/>
      </c>
      <c r="I732" s="116" t="str">
        <f t="shared" si="208"/>
        <v/>
      </c>
      <c r="J732" s="7" t="str">
        <f t="shared" si="209"/>
        <v/>
      </c>
      <c r="K732" s="9" t="str">
        <f t="shared" si="210"/>
        <v/>
      </c>
      <c r="L732" s="9" t="str">
        <f>IF(NOT(ISERROR(VLOOKUP(B732,Deflatores!G$42:H$64,2,FALSE))),VLOOKUP(B732,Deflatores!G$42:H$64,2,FALSE),IF(OR(ISBLANK(C732),ISBLANK(B732)),"",VLOOKUP(C732,Deflatores!G$4:H$38,2,FALSE)*H732+VLOOKUP(C732,Deflatores!G$4:I$38,3,FALSE)))</f>
        <v/>
      </c>
      <c r="M732" s="10"/>
      <c r="N732" s="10"/>
      <c r="O732" s="6"/>
    </row>
    <row r="733" spans="1:15">
      <c r="A733" s="119"/>
      <c r="B733" s="4"/>
      <c r="C733" s="4"/>
      <c r="D733" s="7"/>
      <c r="E733" s="7"/>
      <c r="F733" s="8" t="str">
        <f t="shared" si="205"/>
        <v/>
      </c>
      <c r="G733" s="7" t="str">
        <f t="shared" si="206"/>
        <v/>
      </c>
      <c r="H733" s="5" t="str">
        <f t="shared" si="207"/>
        <v/>
      </c>
      <c r="I733" s="116" t="str">
        <f t="shared" si="208"/>
        <v/>
      </c>
      <c r="J733" s="7" t="str">
        <f t="shared" si="209"/>
        <v/>
      </c>
      <c r="K733" s="9" t="str">
        <f t="shared" si="210"/>
        <v/>
      </c>
      <c r="L733" s="9" t="str">
        <f>IF(NOT(ISERROR(VLOOKUP(B733,Deflatores!G$42:H$64,2,FALSE))),VLOOKUP(B733,Deflatores!G$42:H$64,2,FALSE),IF(OR(ISBLANK(C733),ISBLANK(B733)),"",VLOOKUP(C733,Deflatores!G$4:H$38,2,FALSE)*H733+VLOOKUP(C733,Deflatores!G$4:I$38,3,FALSE)))</f>
        <v/>
      </c>
      <c r="M733" s="10"/>
      <c r="N733" s="10"/>
      <c r="O733" s="6"/>
    </row>
    <row r="734" spans="1:15">
      <c r="A734" s="119"/>
      <c r="B734" s="4"/>
      <c r="C734" s="4"/>
      <c r="D734" s="7"/>
      <c r="E734" s="7"/>
      <c r="F734" s="8" t="str">
        <f t="shared" si="205"/>
        <v/>
      </c>
      <c r="G734" s="7" t="str">
        <f t="shared" si="206"/>
        <v/>
      </c>
      <c r="H734" s="5" t="str">
        <f t="shared" si="207"/>
        <v/>
      </c>
      <c r="I734" s="116" t="str">
        <f t="shared" si="208"/>
        <v/>
      </c>
      <c r="J734" s="7" t="str">
        <f t="shared" si="209"/>
        <v/>
      </c>
      <c r="K734" s="9" t="str">
        <f t="shared" si="210"/>
        <v/>
      </c>
      <c r="L734" s="9" t="str">
        <f>IF(NOT(ISERROR(VLOOKUP(B734,Deflatores!G$42:H$64,2,FALSE))),VLOOKUP(B734,Deflatores!G$42:H$64,2,FALSE),IF(OR(ISBLANK(C734),ISBLANK(B734)),"",VLOOKUP(C734,Deflatores!G$4:H$38,2,FALSE)*H734+VLOOKUP(C734,Deflatores!G$4:I$38,3,FALSE)))</f>
        <v/>
      </c>
      <c r="M734" s="10"/>
      <c r="N734" s="10"/>
      <c r="O734" s="6"/>
    </row>
    <row r="735" spans="1:15">
      <c r="A735" s="119"/>
      <c r="B735" s="4"/>
      <c r="C735" s="4"/>
      <c r="D735" s="7"/>
      <c r="E735" s="7"/>
      <c r="F735" s="8" t="str">
        <f t="shared" si="205"/>
        <v/>
      </c>
      <c r="G735" s="7" t="str">
        <f t="shared" si="206"/>
        <v/>
      </c>
      <c r="H735" s="5" t="str">
        <f t="shared" si="207"/>
        <v/>
      </c>
      <c r="I735" s="116" t="str">
        <f t="shared" si="208"/>
        <v/>
      </c>
      <c r="J735" s="7" t="str">
        <f t="shared" si="209"/>
        <v/>
      </c>
      <c r="K735" s="9" t="str">
        <f t="shared" si="210"/>
        <v/>
      </c>
      <c r="L735" s="9" t="str">
        <f>IF(NOT(ISERROR(VLOOKUP(B735,Deflatores!G$42:H$64,2,FALSE))),VLOOKUP(B735,Deflatores!G$42:H$64,2,FALSE),IF(OR(ISBLANK(C735),ISBLANK(B735)),"",VLOOKUP(C735,Deflatores!G$4:H$38,2,FALSE)*H735+VLOOKUP(C735,Deflatores!G$4:I$38,3,FALSE)))</f>
        <v/>
      </c>
      <c r="M735" s="10"/>
      <c r="N735" s="10"/>
      <c r="O735" s="6"/>
    </row>
    <row r="736" spans="1:15">
      <c r="A736" s="119"/>
      <c r="B736" s="4"/>
      <c r="C736" s="4"/>
      <c r="D736" s="7"/>
      <c r="E736" s="7"/>
      <c r="F736" s="8" t="str">
        <f t="shared" si="205"/>
        <v/>
      </c>
      <c r="G736" s="7" t="str">
        <f t="shared" si="206"/>
        <v/>
      </c>
      <c r="H736" s="5" t="str">
        <f t="shared" si="207"/>
        <v/>
      </c>
      <c r="I736" s="116" t="str">
        <f t="shared" si="208"/>
        <v/>
      </c>
      <c r="J736" s="7" t="str">
        <f t="shared" si="209"/>
        <v/>
      </c>
      <c r="K736" s="9" t="str">
        <f t="shared" si="210"/>
        <v/>
      </c>
      <c r="L736" s="9" t="str">
        <f>IF(NOT(ISERROR(VLOOKUP(B736,Deflatores!G$42:H$64,2,FALSE))),VLOOKUP(B736,Deflatores!G$42:H$64,2,FALSE),IF(OR(ISBLANK(C736),ISBLANK(B736)),"",VLOOKUP(C736,Deflatores!G$4:H$38,2,FALSE)*H736+VLOOKUP(C736,Deflatores!G$4:I$38,3,FALSE)))</f>
        <v/>
      </c>
      <c r="M736" s="10"/>
      <c r="N736" s="10"/>
      <c r="O736" s="6"/>
    </row>
    <row r="737" spans="1:15">
      <c r="A737" s="119"/>
      <c r="B737" s="4"/>
      <c r="C737" s="4"/>
      <c r="D737" s="7"/>
      <c r="E737" s="7"/>
      <c r="F737" s="8" t="str">
        <f t="shared" si="205"/>
        <v/>
      </c>
      <c r="G737" s="7" t="str">
        <f t="shared" si="206"/>
        <v/>
      </c>
      <c r="H737" s="5" t="str">
        <f t="shared" si="207"/>
        <v/>
      </c>
      <c r="I737" s="116" t="str">
        <f t="shared" si="208"/>
        <v/>
      </c>
      <c r="J737" s="7" t="str">
        <f t="shared" si="209"/>
        <v/>
      </c>
      <c r="K737" s="9" t="str">
        <f t="shared" si="210"/>
        <v/>
      </c>
      <c r="L737" s="9" t="str">
        <f>IF(NOT(ISERROR(VLOOKUP(B737,Deflatores!G$42:H$64,2,FALSE))),VLOOKUP(B737,Deflatores!G$42:H$64,2,FALSE),IF(OR(ISBLANK(C737),ISBLANK(B737)),"",VLOOKUP(C737,Deflatores!G$4:H$38,2,FALSE)*H737+VLOOKUP(C737,Deflatores!G$4:I$38,3,FALSE)))</f>
        <v/>
      </c>
      <c r="M737" s="10"/>
      <c r="N737" s="10"/>
      <c r="O737" s="6"/>
    </row>
    <row r="738" spans="1:15">
      <c r="A738" s="119"/>
      <c r="B738" s="4"/>
      <c r="C738" s="4"/>
      <c r="D738" s="7"/>
      <c r="E738" s="7"/>
      <c r="F738" s="8" t="str">
        <f t="shared" si="205"/>
        <v/>
      </c>
      <c r="G738" s="7" t="str">
        <f t="shared" si="206"/>
        <v/>
      </c>
      <c r="H738" s="5" t="str">
        <f t="shared" si="207"/>
        <v/>
      </c>
      <c r="I738" s="116" t="str">
        <f t="shared" si="208"/>
        <v/>
      </c>
      <c r="J738" s="7" t="str">
        <f t="shared" si="209"/>
        <v/>
      </c>
      <c r="K738" s="9" t="str">
        <f t="shared" si="210"/>
        <v/>
      </c>
      <c r="L738" s="9" t="str">
        <f>IF(NOT(ISERROR(VLOOKUP(B738,Deflatores!G$42:H$64,2,FALSE))),VLOOKUP(B738,Deflatores!G$42:H$64,2,FALSE),IF(OR(ISBLANK(C738),ISBLANK(B738)),"",VLOOKUP(C738,Deflatores!G$4:H$38,2,FALSE)*H738+VLOOKUP(C738,Deflatores!G$4:I$38,3,FALSE)))</f>
        <v/>
      </c>
      <c r="M738" s="10"/>
      <c r="N738" s="10"/>
      <c r="O738" s="6"/>
    </row>
    <row r="739" spans="1:15">
      <c r="A739" s="119"/>
      <c r="B739" s="4"/>
      <c r="C739" s="4"/>
      <c r="D739" s="7"/>
      <c r="E739" s="7"/>
      <c r="F739" s="8" t="str">
        <f t="shared" si="205"/>
        <v/>
      </c>
      <c r="G739" s="7" t="str">
        <f t="shared" si="206"/>
        <v/>
      </c>
      <c r="H739" s="5" t="str">
        <f t="shared" si="207"/>
        <v/>
      </c>
      <c r="I739" s="116" t="str">
        <f t="shared" si="208"/>
        <v/>
      </c>
      <c r="J739" s="7" t="str">
        <f t="shared" si="209"/>
        <v/>
      </c>
      <c r="K739" s="9" t="str">
        <f t="shared" si="210"/>
        <v/>
      </c>
      <c r="L739" s="9" t="str">
        <f>IF(NOT(ISERROR(VLOOKUP(B739,Deflatores!G$42:H$64,2,FALSE))),VLOOKUP(B739,Deflatores!G$42:H$64,2,FALSE),IF(OR(ISBLANK(C739),ISBLANK(B739)),"",VLOOKUP(C739,Deflatores!G$4:H$38,2,FALSE)*H739+VLOOKUP(C739,Deflatores!G$4:I$38,3,FALSE)))</f>
        <v/>
      </c>
      <c r="M739" s="10"/>
      <c r="N739" s="10"/>
      <c r="O739" s="6"/>
    </row>
    <row r="740" spans="1:15">
      <c r="A740" s="119"/>
      <c r="B740" s="4"/>
      <c r="C740" s="4"/>
      <c r="D740" s="7"/>
      <c r="E740" s="7"/>
      <c r="F740" s="8" t="str">
        <f t="shared" si="205"/>
        <v/>
      </c>
      <c r="G740" s="7" t="str">
        <f t="shared" si="206"/>
        <v/>
      </c>
      <c r="H740" s="5" t="str">
        <f t="shared" si="207"/>
        <v/>
      </c>
      <c r="I740" s="116" t="str">
        <f t="shared" si="208"/>
        <v/>
      </c>
      <c r="J740" s="7" t="str">
        <f t="shared" si="209"/>
        <v/>
      </c>
      <c r="K740" s="9" t="str">
        <f t="shared" si="210"/>
        <v/>
      </c>
      <c r="L740" s="9" t="str">
        <f>IF(NOT(ISERROR(VLOOKUP(B740,Deflatores!G$42:H$64,2,FALSE))),VLOOKUP(B740,Deflatores!G$42:H$64,2,FALSE),IF(OR(ISBLANK(C740),ISBLANK(B740)),"",VLOOKUP(C740,Deflatores!G$4:H$38,2,FALSE)*H740+VLOOKUP(C740,Deflatores!G$4:I$38,3,FALSE)))</f>
        <v/>
      </c>
      <c r="M740" s="10"/>
      <c r="N740" s="10"/>
      <c r="O740" s="6"/>
    </row>
    <row r="741" spans="1:15">
      <c r="A741" s="119"/>
      <c r="B741" s="4"/>
      <c r="C741" s="4"/>
      <c r="D741" s="7"/>
      <c r="E741" s="7"/>
      <c r="F741" s="8" t="str">
        <f t="shared" si="205"/>
        <v/>
      </c>
      <c r="G741" s="7" t="str">
        <f t="shared" si="206"/>
        <v/>
      </c>
      <c r="H741" s="5" t="str">
        <f t="shared" si="207"/>
        <v/>
      </c>
      <c r="I741" s="116" t="str">
        <f t="shared" si="208"/>
        <v/>
      </c>
      <c r="J741" s="7" t="str">
        <f t="shared" si="209"/>
        <v/>
      </c>
      <c r="K741" s="9" t="str">
        <f t="shared" si="210"/>
        <v/>
      </c>
      <c r="L741" s="9" t="str">
        <f>IF(NOT(ISERROR(VLOOKUP(B741,Deflatores!G$42:H$64,2,FALSE))),VLOOKUP(B741,Deflatores!G$42:H$64,2,FALSE),IF(OR(ISBLANK(C741),ISBLANK(B741)),"",VLOOKUP(C741,Deflatores!G$4:H$38,2,FALSE)*H741+VLOOKUP(C741,Deflatores!G$4:I$38,3,FALSE)))</f>
        <v/>
      </c>
      <c r="M741" s="10"/>
      <c r="N741" s="10"/>
      <c r="O741" s="6"/>
    </row>
    <row r="742" spans="1:15">
      <c r="A742" s="119"/>
      <c r="B742" s="4"/>
      <c r="C742" s="4"/>
      <c r="D742" s="7"/>
      <c r="E742" s="7"/>
      <c r="F742" s="8" t="str">
        <f t="shared" si="205"/>
        <v/>
      </c>
      <c r="G742" s="7" t="str">
        <f t="shared" si="206"/>
        <v/>
      </c>
      <c r="H742" s="5" t="str">
        <f t="shared" si="207"/>
        <v/>
      </c>
      <c r="I742" s="116" t="str">
        <f t="shared" si="208"/>
        <v/>
      </c>
      <c r="J742" s="7" t="str">
        <f t="shared" si="209"/>
        <v/>
      </c>
      <c r="K742" s="9" t="str">
        <f t="shared" si="210"/>
        <v/>
      </c>
      <c r="L742" s="9" t="str">
        <f>IF(NOT(ISERROR(VLOOKUP(B742,Deflatores!G$42:H$64,2,FALSE))),VLOOKUP(B742,Deflatores!G$42:H$64,2,FALSE),IF(OR(ISBLANK(C742),ISBLANK(B742)),"",VLOOKUP(C742,Deflatores!G$4:H$38,2,FALSE)*H742+VLOOKUP(C742,Deflatores!G$4:I$38,3,FALSE)))</f>
        <v/>
      </c>
      <c r="M742" s="10"/>
      <c r="N742" s="10"/>
      <c r="O742" s="6"/>
    </row>
    <row r="743" spans="1:15">
      <c r="A743" s="119"/>
      <c r="B743" s="4"/>
      <c r="C743" s="4"/>
      <c r="D743" s="7"/>
      <c r="E743" s="7"/>
      <c r="F743" s="8" t="str">
        <f t="shared" si="205"/>
        <v/>
      </c>
      <c r="G743" s="7" t="str">
        <f t="shared" si="206"/>
        <v/>
      </c>
      <c r="H743" s="5" t="str">
        <f t="shared" si="207"/>
        <v/>
      </c>
      <c r="I743" s="116" t="str">
        <f t="shared" si="208"/>
        <v/>
      </c>
      <c r="J743" s="7" t="str">
        <f t="shared" si="209"/>
        <v/>
      </c>
      <c r="K743" s="9" t="str">
        <f t="shared" si="210"/>
        <v/>
      </c>
      <c r="L743" s="9" t="str">
        <f>IF(NOT(ISERROR(VLOOKUP(B743,Deflatores!G$42:H$64,2,FALSE))),VLOOKUP(B743,Deflatores!G$42:H$64,2,FALSE),IF(OR(ISBLANK(C743),ISBLANK(B743)),"",VLOOKUP(C743,Deflatores!G$4:H$38,2,FALSE)*H743+VLOOKUP(C743,Deflatores!G$4:I$38,3,FALSE)))</f>
        <v/>
      </c>
      <c r="M743" s="10"/>
      <c r="N743" s="10"/>
      <c r="O743" s="6"/>
    </row>
    <row r="744" spans="1:15">
      <c r="A744" s="119"/>
      <c r="B744" s="4"/>
      <c r="C744" s="4"/>
      <c r="D744" s="7"/>
      <c r="E744" s="7"/>
      <c r="F744" s="8" t="str">
        <f t="shared" si="205"/>
        <v/>
      </c>
      <c r="G744" s="7" t="str">
        <f t="shared" si="206"/>
        <v/>
      </c>
      <c r="H744" s="5" t="str">
        <f t="shared" si="207"/>
        <v/>
      </c>
      <c r="I744" s="116" t="str">
        <f t="shared" si="208"/>
        <v/>
      </c>
      <c r="J744" s="7" t="str">
        <f t="shared" si="209"/>
        <v/>
      </c>
      <c r="K744" s="9" t="str">
        <f t="shared" si="210"/>
        <v/>
      </c>
      <c r="L744" s="9" t="str">
        <f>IF(NOT(ISERROR(VLOOKUP(B744,Deflatores!G$42:H$64,2,FALSE))),VLOOKUP(B744,Deflatores!G$42:H$64,2,FALSE),IF(OR(ISBLANK(C744),ISBLANK(B744)),"",VLOOKUP(C744,Deflatores!G$4:H$38,2,FALSE)*H744+VLOOKUP(C744,Deflatores!G$4:I$38,3,FALSE)))</f>
        <v/>
      </c>
      <c r="M744" s="10"/>
      <c r="N744" s="10"/>
      <c r="O744" s="6"/>
    </row>
    <row r="745" spans="1:15">
      <c r="A745" s="119"/>
      <c r="B745" s="4"/>
      <c r="C745" s="4"/>
      <c r="D745" s="7"/>
      <c r="E745" s="7"/>
      <c r="F745" s="8" t="str">
        <f t="shared" si="205"/>
        <v/>
      </c>
      <c r="G745" s="7" t="str">
        <f t="shared" si="206"/>
        <v/>
      </c>
      <c r="H745" s="5" t="str">
        <f t="shared" si="207"/>
        <v/>
      </c>
      <c r="I745" s="116" t="str">
        <f t="shared" si="208"/>
        <v/>
      </c>
      <c r="J745" s="7" t="str">
        <f t="shared" si="209"/>
        <v/>
      </c>
      <c r="K745" s="9" t="str">
        <f t="shared" si="210"/>
        <v/>
      </c>
      <c r="L745" s="9" t="str">
        <f>IF(NOT(ISERROR(VLOOKUP(B745,Deflatores!G$42:H$64,2,FALSE))),VLOOKUP(B745,Deflatores!G$42:H$64,2,FALSE),IF(OR(ISBLANK(C745),ISBLANK(B745)),"",VLOOKUP(C745,Deflatores!G$4:H$38,2,FALSE)*H745+VLOOKUP(C745,Deflatores!G$4:I$38,3,FALSE)))</f>
        <v/>
      </c>
      <c r="M745" s="10"/>
      <c r="N745" s="10"/>
      <c r="O745" s="6"/>
    </row>
    <row r="746" spans="1:15">
      <c r="A746" s="119"/>
      <c r="B746" s="4"/>
      <c r="C746" s="4"/>
      <c r="D746" s="7"/>
      <c r="E746" s="7"/>
      <c r="F746" s="8" t="str">
        <f t="shared" si="205"/>
        <v/>
      </c>
      <c r="G746" s="7" t="str">
        <f t="shared" si="206"/>
        <v/>
      </c>
      <c r="H746" s="5" t="str">
        <f t="shared" si="207"/>
        <v/>
      </c>
      <c r="I746" s="116" t="str">
        <f t="shared" si="208"/>
        <v/>
      </c>
      <c r="J746" s="7" t="str">
        <f t="shared" si="209"/>
        <v/>
      </c>
      <c r="K746" s="9" t="str">
        <f t="shared" si="210"/>
        <v/>
      </c>
      <c r="L746" s="9" t="str">
        <f>IF(NOT(ISERROR(VLOOKUP(B746,Deflatores!G$42:H$64,2,FALSE))),VLOOKUP(B746,Deflatores!G$42:H$64,2,FALSE),IF(OR(ISBLANK(C746),ISBLANK(B746)),"",VLOOKUP(C746,Deflatores!G$4:H$38,2,FALSE)*H746+VLOOKUP(C746,Deflatores!G$4:I$38,3,FALSE)))</f>
        <v/>
      </c>
      <c r="M746" s="10"/>
      <c r="N746" s="10"/>
      <c r="O746" s="6"/>
    </row>
    <row r="747" spans="1:15">
      <c r="A747" s="119"/>
      <c r="B747" s="4"/>
      <c r="C747" s="4"/>
      <c r="D747" s="7"/>
      <c r="E747" s="7"/>
      <c r="F747" s="8" t="str">
        <f t="shared" si="205"/>
        <v/>
      </c>
      <c r="G747" s="7" t="str">
        <f t="shared" si="206"/>
        <v/>
      </c>
      <c r="H747" s="5" t="str">
        <f t="shared" si="207"/>
        <v/>
      </c>
      <c r="I747" s="116" t="str">
        <f t="shared" si="208"/>
        <v/>
      </c>
      <c r="J747" s="7" t="str">
        <f t="shared" si="209"/>
        <v/>
      </c>
      <c r="K747" s="9" t="str">
        <f t="shared" si="210"/>
        <v/>
      </c>
      <c r="L747" s="9" t="str">
        <f>IF(NOT(ISERROR(VLOOKUP(B747,Deflatores!G$42:H$64,2,FALSE))),VLOOKUP(B747,Deflatores!G$42:H$64,2,FALSE),IF(OR(ISBLANK(C747),ISBLANK(B747)),"",VLOOKUP(C747,Deflatores!G$4:H$38,2,FALSE)*H747+VLOOKUP(C747,Deflatores!G$4:I$38,3,FALSE)))</f>
        <v/>
      </c>
      <c r="M747" s="10"/>
      <c r="N747" s="10"/>
      <c r="O747" s="6"/>
    </row>
    <row r="748" spans="1:15">
      <c r="A748" s="119"/>
      <c r="B748" s="4"/>
      <c r="C748" s="4"/>
      <c r="D748" s="7"/>
      <c r="E748" s="7"/>
      <c r="F748" s="8" t="str">
        <f t="shared" si="205"/>
        <v/>
      </c>
      <c r="G748" s="7" t="str">
        <f t="shared" si="206"/>
        <v/>
      </c>
      <c r="H748" s="5" t="str">
        <f t="shared" si="207"/>
        <v/>
      </c>
      <c r="I748" s="116" t="str">
        <f t="shared" si="208"/>
        <v/>
      </c>
      <c r="J748" s="7" t="str">
        <f t="shared" si="209"/>
        <v/>
      </c>
      <c r="K748" s="9" t="str">
        <f t="shared" si="210"/>
        <v/>
      </c>
      <c r="L748" s="9" t="str">
        <f>IF(NOT(ISERROR(VLOOKUP(B748,Deflatores!G$42:H$64,2,FALSE))),VLOOKUP(B748,Deflatores!G$42:H$64,2,FALSE),IF(OR(ISBLANK(C748),ISBLANK(B748)),"",VLOOKUP(C748,Deflatores!G$4:H$38,2,FALSE)*H748+VLOOKUP(C748,Deflatores!G$4:I$38,3,FALSE)))</f>
        <v/>
      </c>
      <c r="M748" s="10"/>
      <c r="N748" s="10"/>
      <c r="O748" s="6"/>
    </row>
    <row r="749" spans="1:15">
      <c r="A749" s="119"/>
      <c r="B749" s="4"/>
      <c r="C749" s="4"/>
      <c r="D749" s="7"/>
      <c r="E749" s="7"/>
      <c r="F749" s="8" t="str">
        <f t="shared" si="205"/>
        <v/>
      </c>
      <c r="G749" s="7" t="str">
        <f t="shared" si="206"/>
        <v/>
      </c>
      <c r="H749" s="5" t="str">
        <f t="shared" si="207"/>
        <v/>
      </c>
      <c r="I749" s="116" t="str">
        <f t="shared" si="208"/>
        <v/>
      </c>
      <c r="J749" s="7" t="str">
        <f t="shared" si="209"/>
        <v/>
      </c>
      <c r="K749" s="9" t="str">
        <f t="shared" si="210"/>
        <v/>
      </c>
      <c r="L749" s="9" t="str">
        <f>IF(NOT(ISERROR(VLOOKUP(B749,Deflatores!G$42:H$64,2,FALSE))),VLOOKUP(B749,Deflatores!G$42:H$64,2,FALSE),IF(OR(ISBLANK(C749),ISBLANK(B749)),"",VLOOKUP(C749,Deflatores!G$4:H$38,2,FALSE)*H749+VLOOKUP(C749,Deflatores!G$4:I$38,3,FALSE)))</f>
        <v/>
      </c>
      <c r="M749" s="10"/>
      <c r="N749" s="10"/>
      <c r="O749" s="6"/>
    </row>
    <row r="750" spans="1:15">
      <c r="A750" s="119"/>
      <c r="B750" s="4"/>
      <c r="C750" s="4"/>
      <c r="D750" s="7"/>
      <c r="E750" s="7"/>
      <c r="F750" s="8" t="str">
        <f t="shared" si="205"/>
        <v/>
      </c>
      <c r="G750" s="7" t="str">
        <f t="shared" si="206"/>
        <v/>
      </c>
      <c r="H750" s="5" t="str">
        <f t="shared" si="207"/>
        <v/>
      </c>
      <c r="I750" s="116" t="str">
        <f t="shared" si="208"/>
        <v/>
      </c>
      <c r="J750" s="7" t="str">
        <f t="shared" si="209"/>
        <v/>
      </c>
      <c r="K750" s="9" t="str">
        <f t="shared" si="210"/>
        <v/>
      </c>
      <c r="L750" s="9" t="str">
        <f>IF(NOT(ISERROR(VLOOKUP(B750,Deflatores!G$42:H$64,2,FALSE))),VLOOKUP(B750,Deflatores!G$42:H$64,2,FALSE),IF(OR(ISBLANK(C750),ISBLANK(B750)),"",VLOOKUP(C750,Deflatores!G$4:H$38,2,FALSE)*H750+VLOOKUP(C750,Deflatores!G$4:I$38,3,FALSE)))</f>
        <v/>
      </c>
      <c r="M750" s="10"/>
      <c r="N750" s="10"/>
      <c r="O750" s="6"/>
    </row>
    <row r="751" spans="1:15">
      <c r="A751" s="119"/>
      <c r="B751" s="4"/>
      <c r="C751" s="4"/>
      <c r="D751" s="7"/>
      <c r="E751" s="7"/>
      <c r="F751" s="8" t="str">
        <f t="shared" si="205"/>
        <v/>
      </c>
      <c r="G751" s="7" t="str">
        <f t="shared" si="206"/>
        <v/>
      </c>
      <c r="H751" s="5" t="str">
        <f t="shared" si="207"/>
        <v/>
      </c>
      <c r="I751" s="116" t="str">
        <f t="shared" si="208"/>
        <v/>
      </c>
      <c r="J751" s="7" t="str">
        <f t="shared" si="209"/>
        <v/>
      </c>
      <c r="K751" s="9" t="str">
        <f t="shared" si="210"/>
        <v/>
      </c>
      <c r="L751" s="9" t="str">
        <f>IF(NOT(ISERROR(VLOOKUP(B751,Deflatores!G$42:H$64,2,FALSE))),VLOOKUP(B751,Deflatores!G$42:H$64,2,FALSE),IF(OR(ISBLANK(C751),ISBLANK(B751)),"",VLOOKUP(C751,Deflatores!G$4:H$38,2,FALSE)*H751+VLOOKUP(C751,Deflatores!G$4:I$38,3,FALSE)))</f>
        <v/>
      </c>
      <c r="M751" s="10"/>
      <c r="N751" s="10"/>
      <c r="O751" s="6"/>
    </row>
    <row r="752" spans="1:15">
      <c r="A752" s="119"/>
      <c r="B752" s="4"/>
      <c r="C752" s="4"/>
      <c r="D752" s="7"/>
      <c r="E752" s="7"/>
      <c r="F752" s="8" t="str">
        <f t="shared" si="205"/>
        <v/>
      </c>
      <c r="G752" s="7" t="str">
        <f t="shared" si="206"/>
        <v/>
      </c>
      <c r="H752" s="5" t="str">
        <f t="shared" si="207"/>
        <v/>
      </c>
      <c r="I752" s="116" t="str">
        <f t="shared" si="208"/>
        <v/>
      </c>
      <c r="J752" s="7" t="str">
        <f t="shared" si="209"/>
        <v/>
      </c>
      <c r="K752" s="9" t="str">
        <f t="shared" si="210"/>
        <v/>
      </c>
      <c r="L752" s="9" t="str">
        <f>IF(NOT(ISERROR(VLOOKUP(B752,Deflatores!G$42:H$64,2,FALSE))),VLOOKUP(B752,Deflatores!G$42:H$64,2,FALSE),IF(OR(ISBLANK(C752),ISBLANK(B752)),"",VLOOKUP(C752,Deflatores!G$4:H$38,2,FALSE)*H752+VLOOKUP(C752,Deflatores!G$4:I$38,3,FALSE)))</f>
        <v/>
      </c>
      <c r="M752" s="10"/>
      <c r="N752" s="10"/>
      <c r="O752" s="6"/>
    </row>
    <row r="753" spans="1:15">
      <c r="A753" s="119"/>
      <c r="B753" s="4"/>
      <c r="C753" s="4"/>
      <c r="D753" s="7"/>
      <c r="E753" s="7"/>
      <c r="F753" s="8" t="str">
        <f t="shared" si="205"/>
        <v/>
      </c>
      <c r="G753" s="7" t="str">
        <f t="shared" si="206"/>
        <v/>
      </c>
      <c r="H753" s="5" t="str">
        <f t="shared" si="207"/>
        <v/>
      </c>
      <c r="I753" s="116" t="str">
        <f t="shared" si="208"/>
        <v/>
      </c>
      <c r="J753" s="7" t="str">
        <f t="shared" si="209"/>
        <v/>
      </c>
      <c r="K753" s="9" t="str">
        <f t="shared" si="210"/>
        <v/>
      </c>
      <c r="L753" s="9" t="str">
        <f>IF(NOT(ISERROR(VLOOKUP(B753,Deflatores!G$42:H$64,2,FALSE))),VLOOKUP(B753,Deflatores!G$42:H$64,2,FALSE),IF(OR(ISBLANK(C753),ISBLANK(B753)),"",VLOOKUP(C753,Deflatores!G$4:H$38,2,FALSE)*H753+VLOOKUP(C753,Deflatores!G$4:I$38,3,FALSE)))</f>
        <v/>
      </c>
      <c r="M753" s="10"/>
      <c r="N753" s="10"/>
      <c r="O753" s="6"/>
    </row>
    <row r="754" spans="1:15">
      <c r="A754" s="119"/>
      <c r="B754" s="4"/>
      <c r="C754" s="4"/>
      <c r="D754" s="7"/>
      <c r="E754" s="7"/>
      <c r="F754" s="8" t="str">
        <f t="shared" si="205"/>
        <v/>
      </c>
      <c r="G754" s="7" t="str">
        <f t="shared" si="206"/>
        <v/>
      </c>
      <c r="H754" s="5" t="str">
        <f t="shared" si="207"/>
        <v/>
      </c>
      <c r="I754" s="116" t="str">
        <f t="shared" si="208"/>
        <v/>
      </c>
      <c r="J754" s="7" t="str">
        <f t="shared" si="209"/>
        <v/>
      </c>
      <c r="K754" s="9" t="str">
        <f t="shared" si="210"/>
        <v/>
      </c>
      <c r="L754" s="9" t="str">
        <f>IF(NOT(ISERROR(VLOOKUP(B754,Deflatores!G$42:H$64,2,FALSE))),VLOOKUP(B754,Deflatores!G$42:H$64,2,FALSE),IF(OR(ISBLANK(C754),ISBLANK(B754)),"",VLOOKUP(C754,Deflatores!G$4:H$38,2,FALSE)*H754+VLOOKUP(C754,Deflatores!G$4:I$38,3,FALSE)))</f>
        <v/>
      </c>
      <c r="M754" s="10"/>
      <c r="N754" s="10"/>
      <c r="O754" s="6"/>
    </row>
    <row r="755" spans="1:15">
      <c r="A755" s="119"/>
      <c r="B755" s="4"/>
      <c r="C755" s="4"/>
      <c r="D755" s="7"/>
      <c r="E755" s="7"/>
      <c r="F755" s="8" t="str">
        <f t="shared" ref="F755:F778" si="211">IF(ISBLANK(B755),"",IF(I755="L","Baixa",IF(I755="A","Média",IF(I755="","","Alta"))))</f>
        <v/>
      </c>
      <c r="G755" s="7" t="str">
        <f t="shared" ref="G755:G778" si="212">CONCATENATE(B755,I755)</f>
        <v/>
      </c>
      <c r="H755" s="5" t="str">
        <f t="shared" ref="H755:H778" si="213">IF(ISBLANK(B755),"",IF(B755="ALI",IF(I755="L",7,IF(I755="A",10,15)),IF(B755="AIE",IF(I755="L",5,IF(I755="A",7,10)),IF(B755="SE",IF(I755="L",4,IF(I755="A",5,7)),IF(OR(B755="EE",B755="CE"),IF(I755="L",3,IF(I755="A",4,6)),0)))))</f>
        <v/>
      </c>
      <c r="I755" s="116" t="str">
        <f t="shared" ref="I755:I778" si="214">IF(OR(ISBLANK(D755),ISBLANK(E755)),IF(OR(B755="ALI",B755="AIE"),"L",IF(OR(B755="EE",B755="SE",B755="CE"),"A","")),IF(B755="EE",IF(E755&gt;=3,IF(D755&gt;=5,"H","A"),IF(E755&gt;=2,IF(D755&gt;=16,"H",IF(D755&lt;=4,"L","A")),IF(D755&lt;=15,"L","A"))),IF(OR(B755="SE",B755="CE"),IF(E755&gt;=4,IF(D755&gt;=6,"H","A"),IF(E755&gt;=2,IF(D755&gt;=20,"H",IF(D755&lt;=5,"L","A")),IF(D755&lt;=19,"L","A"))),IF(OR(B755="ALI",B755="AIE"),IF(E755&gt;=6,IF(D755&gt;=20,"H","A"),IF(E755&gt;=2,IF(D755&gt;=51,"H",IF(D755&lt;=19,"L","A")),IF(D755&lt;=50,"L","A"))),""))))</f>
        <v/>
      </c>
      <c r="J755" s="7" t="str">
        <f t="shared" ref="J755:J778" si="215">CONCATENATE(B755,C755)</f>
        <v/>
      </c>
      <c r="K755" s="9" t="str">
        <f t="shared" si="210"/>
        <v/>
      </c>
      <c r="L755" s="9" t="str">
        <f>IF(NOT(ISERROR(VLOOKUP(B755,Deflatores!G$42:H$64,2,FALSE))),VLOOKUP(B755,Deflatores!G$42:H$64,2,FALSE),IF(OR(ISBLANK(C755),ISBLANK(B755)),"",VLOOKUP(C755,Deflatores!G$4:H$38,2,FALSE)*H755+VLOOKUP(C755,Deflatores!G$4:I$38,3,FALSE)))</f>
        <v/>
      </c>
      <c r="M755" s="10"/>
      <c r="N755" s="10"/>
      <c r="O755" s="6"/>
    </row>
    <row r="756" spans="1:15">
      <c r="A756" s="119"/>
      <c r="B756" s="4"/>
      <c r="C756" s="4"/>
      <c r="D756" s="7"/>
      <c r="E756" s="7"/>
      <c r="F756" s="8" t="str">
        <f t="shared" si="211"/>
        <v/>
      </c>
      <c r="G756" s="7" t="str">
        <f t="shared" si="212"/>
        <v/>
      </c>
      <c r="H756" s="5" t="str">
        <f t="shared" si="213"/>
        <v/>
      </c>
      <c r="I756" s="116" t="str">
        <f t="shared" si="214"/>
        <v/>
      </c>
      <c r="J756" s="7" t="str">
        <f t="shared" si="215"/>
        <v/>
      </c>
      <c r="K756" s="9" t="str">
        <f t="shared" si="210"/>
        <v/>
      </c>
      <c r="L756" s="9" t="str">
        <f>IF(NOT(ISERROR(VLOOKUP(B756,Deflatores!G$42:H$64,2,FALSE))),VLOOKUP(B756,Deflatores!G$42:H$64,2,FALSE),IF(OR(ISBLANK(C756),ISBLANK(B756)),"",VLOOKUP(C756,Deflatores!G$4:H$38,2,FALSE)*H756+VLOOKUP(C756,Deflatores!G$4:I$38,3,FALSE)))</f>
        <v/>
      </c>
      <c r="M756" s="10"/>
      <c r="N756" s="10"/>
      <c r="O756" s="6"/>
    </row>
    <row r="757" spans="1:15">
      <c r="A757" s="119"/>
      <c r="B757" s="4"/>
      <c r="C757" s="4"/>
      <c r="D757" s="7"/>
      <c r="E757" s="7"/>
      <c r="F757" s="8" t="str">
        <f t="shared" si="211"/>
        <v/>
      </c>
      <c r="G757" s="7" t="str">
        <f t="shared" si="212"/>
        <v/>
      </c>
      <c r="H757" s="5" t="str">
        <f t="shared" si="213"/>
        <v/>
      </c>
      <c r="I757" s="116" t="str">
        <f t="shared" si="214"/>
        <v/>
      </c>
      <c r="J757" s="7" t="str">
        <f t="shared" si="215"/>
        <v/>
      </c>
      <c r="K757" s="9" t="str">
        <f t="shared" ref="K757:K778" si="216">IF(OR(H757="",H757=0),L757,H757)</f>
        <v/>
      </c>
      <c r="L757" s="9" t="str">
        <f>IF(NOT(ISERROR(VLOOKUP(B757,Deflatores!G$42:H$64,2,FALSE))),VLOOKUP(B757,Deflatores!G$42:H$64,2,FALSE),IF(OR(ISBLANK(C757),ISBLANK(B757)),"",VLOOKUP(C757,Deflatores!G$4:H$38,2,FALSE)*H757+VLOOKUP(C757,Deflatores!G$4:I$38,3,FALSE)))</f>
        <v/>
      </c>
      <c r="M757" s="10"/>
      <c r="N757" s="10"/>
      <c r="O757" s="6"/>
    </row>
    <row r="758" spans="1:15">
      <c r="A758" s="119"/>
      <c r="B758" s="4"/>
      <c r="C758" s="4"/>
      <c r="D758" s="7"/>
      <c r="E758" s="7"/>
      <c r="F758" s="8" t="str">
        <f t="shared" si="211"/>
        <v/>
      </c>
      <c r="G758" s="7" t="str">
        <f t="shared" si="212"/>
        <v/>
      </c>
      <c r="H758" s="5" t="str">
        <f t="shared" si="213"/>
        <v/>
      </c>
      <c r="I758" s="116" t="str">
        <f t="shared" si="214"/>
        <v/>
      </c>
      <c r="J758" s="7" t="str">
        <f t="shared" si="215"/>
        <v/>
      </c>
      <c r="K758" s="9" t="str">
        <f t="shared" si="216"/>
        <v/>
      </c>
      <c r="L758" s="9" t="str">
        <f>IF(NOT(ISERROR(VLOOKUP(B758,Deflatores!G$42:H$64,2,FALSE))),VLOOKUP(B758,Deflatores!G$42:H$64,2,FALSE),IF(OR(ISBLANK(C758),ISBLANK(B758)),"",VLOOKUP(C758,Deflatores!G$4:H$38,2,FALSE)*H758+VLOOKUP(C758,Deflatores!G$4:I$38,3,FALSE)))</f>
        <v/>
      </c>
      <c r="M758" s="10"/>
      <c r="N758" s="10"/>
      <c r="O758" s="6"/>
    </row>
    <row r="759" spans="1:15">
      <c r="A759" s="119"/>
      <c r="B759" s="4"/>
      <c r="C759" s="4"/>
      <c r="D759" s="7"/>
      <c r="E759" s="7"/>
      <c r="F759" s="8" t="str">
        <f t="shared" si="211"/>
        <v/>
      </c>
      <c r="G759" s="7" t="str">
        <f t="shared" si="212"/>
        <v/>
      </c>
      <c r="H759" s="5" t="str">
        <f t="shared" si="213"/>
        <v/>
      </c>
      <c r="I759" s="116" t="str">
        <f t="shared" si="214"/>
        <v/>
      </c>
      <c r="J759" s="7" t="str">
        <f t="shared" si="215"/>
        <v/>
      </c>
      <c r="K759" s="9" t="str">
        <f t="shared" si="216"/>
        <v/>
      </c>
      <c r="L759" s="9" t="str">
        <f>IF(NOT(ISERROR(VLOOKUP(B759,Deflatores!G$42:H$64,2,FALSE))),VLOOKUP(B759,Deflatores!G$42:H$64,2,FALSE),IF(OR(ISBLANK(C759),ISBLANK(B759)),"",VLOOKUP(C759,Deflatores!G$4:H$38,2,FALSE)*H759+VLOOKUP(C759,Deflatores!G$4:I$38,3,FALSE)))</f>
        <v/>
      </c>
      <c r="M759" s="10"/>
      <c r="N759" s="10"/>
      <c r="O759" s="6"/>
    </row>
    <row r="760" spans="1:15">
      <c r="A760" s="119"/>
      <c r="B760" s="4"/>
      <c r="C760" s="4"/>
      <c r="D760" s="7"/>
      <c r="E760" s="7"/>
      <c r="F760" s="8" t="str">
        <f t="shared" si="211"/>
        <v/>
      </c>
      <c r="G760" s="7" t="str">
        <f t="shared" si="212"/>
        <v/>
      </c>
      <c r="H760" s="5" t="str">
        <f t="shared" si="213"/>
        <v/>
      </c>
      <c r="I760" s="116" t="str">
        <f t="shared" si="214"/>
        <v/>
      </c>
      <c r="J760" s="7" t="str">
        <f t="shared" si="215"/>
        <v/>
      </c>
      <c r="K760" s="9" t="str">
        <f t="shared" si="216"/>
        <v/>
      </c>
      <c r="L760" s="9" t="str">
        <f>IF(NOT(ISERROR(VLOOKUP(B760,Deflatores!G$42:H$64,2,FALSE))),VLOOKUP(B760,Deflatores!G$42:H$64,2,FALSE),IF(OR(ISBLANK(C760),ISBLANK(B760)),"",VLOOKUP(C760,Deflatores!G$4:H$38,2,FALSE)*H760+VLOOKUP(C760,Deflatores!G$4:I$38,3,FALSE)))</f>
        <v/>
      </c>
      <c r="M760" s="10"/>
      <c r="N760" s="10"/>
      <c r="O760" s="6"/>
    </row>
    <row r="761" spans="1:15">
      <c r="A761" s="119"/>
      <c r="B761" s="4"/>
      <c r="C761" s="4"/>
      <c r="D761" s="7"/>
      <c r="E761" s="7"/>
      <c r="F761" s="8" t="str">
        <f t="shared" si="211"/>
        <v/>
      </c>
      <c r="G761" s="7" t="str">
        <f t="shared" si="212"/>
        <v/>
      </c>
      <c r="H761" s="5" t="str">
        <f t="shared" si="213"/>
        <v/>
      </c>
      <c r="I761" s="116" t="str">
        <f t="shared" si="214"/>
        <v/>
      </c>
      <c r="J761" s="7" t="str">
        <f t="shared" si="215"/>
        <v/>
      </c>
      <c r="K761" s="9" t="str">
        <f t="shared" si="216"/>
        <v/>
      </c>
      <c r="L761" s="9" t="str">
        <f>IF(NOT(ISERROR(VLOOKUP(B761,Deflatores!G$42:H$64,2,FALSE))),VLOOKUP(B761,Deflatores!G$42:H$64,2,FALSE),IF(OR(ISBLANK(C761),ISBLANK(B761)),"",VLOOKUP(C761,Deflatores!G$4:H$38,2,FALSE)*H761+VLOOKUP(C761,Deflatores!G$4:I$38,3,FALSE)))</f>
        <v/>
      </c>
      <c r="M761" s="10"/>
      <c r="N761" s="10"/>
      <c r="O761" s="6"/>
    </row>
    <row r="762" spans="1:15">
      <c r="A762" s="119"/>
      <c r="B762" s="4"/>
      <c r="C762" s="4"/>
      <c r="D762" s="7"/>
      <c r="E762" s="7"/>
      <c r="F762" s="8" t="str">
        <f t="shared" si="211"/>
        <v/>
      </c>
      <c r="G762" s="7" t="str">
        <f t="shared" si="212"/>
        <v/>
      </c>
      <c r="H762" s="5" t="str">
        <f t="shared" si="213"/>
        <v/>
      </c>
      <c r="I762" s="116" t="str">
        <f t="shared" si="214"/>
        <v/>
      </c>
      <c r="J762" s="7" t="str">
        <f t="shared" si="215"/>
        <v/>
      </c>
      <c r="K762" s="9" t="str">
        <f t="shared" si="216"/>
        <v/>
      </c>
      <c r="L762" s="9" t="str">
        <f>IF(NOT(ISERROR(VLOOKUP(B762,Deflatores!G$42:H$64,2,FALSE))),VLOOKUP(B762,Deflatores!G$42:H$64,2,FALSE),IF(OR(ISBLANK(C762),ISBLANK(B762)),"",VLOOKUP(C762,Deflatores!G$4:H$38,2,FALSE)*H762+VLOOKUP(C762,Deflatores!G$4:I$38,3,FALSE)))</f>
        <v/>
      </c>
      <c r="M762" s="10"/>
      <c r="N762" s="10"/>
      <c r="O762" s="6"/>
    </row>
    <row r="763" spans="1:15">
      <c r="A763" s="119"/>
      <c r="B763" s="4"/>
      <c r="C763" s="4"/>
      <c r="D763" s="7"/>
      <c r="E763" s="7"/>
      <c r="F763" s="8" t="str">
        <f t="shared" si="211"/>
        <v/>
      </c>
      <c r="G763" s="7" t="str">
        <f t="shared" si="212"/>
        <v/>
      </c>
      <c r="H763" s="5" t="str">
        <f t="shared" si="213"/>
        <v/>
      </c>
      <c r="I763" s="116" t="str">
        <f t="shared" si="214"/>
        <v/>
      </c>
      <c r="J763" s="7" t="str">
        <f t="shared" si="215"/>
        <v/>
      </c>
      <c r="K763" s="9" t="str">
        <f t="shared" si="216"/>
        <v/>
      </c>
      <c r="L763" s="9" t="str">
        <f>IF(NOT(ISERROR(VLOOKUP(B763,Deflatores!G$42:H$64,2,FALSE))),VLOOKUP(B763,Deflatores!G$42:H$64,2,FALSE),IF(OR(ISBLANK(C763),ISBLANK(B763)),"",VLOOKUP(C763,Deflatores!G$4:H$38,2,FALSE)*H763+VLOOKUP(C763,Deflatores!G$4:I$38,3,FALSE)))</f>
        <v/>
      </c>
      <c r="M763" s="10"/>
      <c r="N763" s="10"/>
      <c r="O763" s="6"/>
    </row>
    <row r="764" spans="1:15">
      <c r="A764" s="119"/>
      <c r="B764" s="4"/>
      <c r="C764" s="4"/>
      <c r="D764" s="7"/>
      <c r="E764" s="7"/>
      <c r="F764" s="8" t="str">
        <f t="shared" si="211"/>
        <v/>
      </c>
      <c r="G764" s="7" t="str">
        <f t="shared" si="212"/>
        <v/>
      </c>
      <c r="H764" s="5" t="str">
        <f t="shared" si="213"/>
        <v/>
      </c>
      <c r="I764" s="116" t="str">
        <f t="shared" si="214"/>
        <v/>
      </c>
      <c r="J764" s="7" t="str">
        <f t="shared" si="215"/>
        <v/>
      </c>
      <c r="K764" s="9" t="str">
        <f t="shared" si="216"/>
        <v/>
      </c>
      <c r="L764" s="9" t="str">
        <f>IF(NOT(ISERROR(VLOOKUP(B764,Deflatores!G$42:H$64,2,FALSE))),VLOOKUP(B764,Deflatores!G$42:H$64,2,FALSE),IF(OR(ISBLANK(C764),ISBLANK(B764)),"",VLOOKUP(C764,Deflatores!G$4:H$38,2,FALSE)*H764+VLOOKUP(C764,Deflatores!G$4:I$38,3,FALSE)))</f>
        <v/>
      </c>
      <c r="M764" s="10"/>
      <c r="N764" s="10"/>
      <c r="O764" s="6"/>
    </row>
    <row r="765" spans="1:15">
      <c r="A765" s="119"/>
      <c r="B765" s="4"/>
      <c r="C765" s="4"/>
      <c r="D765" s="7"/>
      <c r="E765" s="7"/>
      <c r="F765" s="8" t="str">
        <f t="shared" si="211"/>
        <v/>
      </c>
      <c r="G765" s="7" t="str">
        <f t="shared" si="212"/>
        <v/>
      </c>
      <c r="H765" s="5" t="str">
        <f t="shared" si="213"/>
        <v/>
      </c>
      <c r="I765" s="116" t="str">
        <f t="shared" si="214"/>
        <v/>
      </c>
      <c r="J765" s="7" t="str">
        <f t="shared" si="215"/>
        <v/>
      </c>
      <c r="K765" s="9" t="str">
        <f t="shared" si="216"/>
        <v/>
      </c>
      <c r="L765" s="9" t="str">
        <f>IF(NOT(ISERROR(VLOOKUP(B765,Deflatores!G$42:H$64,2,FALSE))),VLOOKUP(B765,Deflatores!G$42:H$64,2,FALSE),IF(OR(ISBLANK(C765),ISBLANK(B765)),"",VLOOKUP(C765,Deflatores!G$4:H$38,2,FALSE)*H765+VLOOKUP(C765,Deflatores!G$4:I$38,3,FALSE)))</f>
        <v/>
      </c>
      <c r="M765" s="10"/>
      <c r="N765" s="10"/>
      <c r="O765" s="6"/>
    </row>
    <row r="766" spans="1:15">
      <c r="A766" s="119"/>
      <c r="B766" s="4"/>
      <c r="C766" s="4"/>
      <c r="D766" s="7"/>
      <c r="E766" s="7"/>
      <c r="F766" s="8" t="str">
        <f t="shared" si="211"/>
        <v/>
      </c>
      <c r="G766" s="7" t="str">
        <f t="shared" si="212"/>
        <v/>
      </c>
      <c r="H766" s="5" t="str">
        <f t="shared" si="213"/>
        <v/>
      </c>
      <c r="I766" s="116" t="str">
        <f t="shared" si="214"/>
        <v/>
      </c>
      <c r="J766" s="7" t="str">
        <f t="shared" si="215"/>
        <v/>
      </c>
      <c r="K766" s="9" t="str">
        <f t="shared" si="216"/>
        <v/>
      </c>
      <c r="L766" s="9" t="str">
        <f>IF(NOT(ISERROR(VLOOKUP(B766,Deflatores!G$42:H$64,2,FALSE))),VLOOKUP(B766,Deflatores!G$42:H$64,2,FALSE),IF(OR(ISBLANK(C766),ISBLANK(B766)),"",VLOOKUP(C766,Deflatores!G$4:H$38,2,FALSE)*H766+VLOOKUP(C766,Deflatores!G$4:I$38,3,FALSE)))</f>
        <v/>
      </c>
      <c r="M766" s="10"/>
      <c r="N766" s="10"/>
      <c r="O766" s="6"/>
    </row>
    <row r="767" spans="1:15">
      <c r="A767" s="119"/>
      <c r="B767" s="4"/>
      <c r="C767" s="4"/>
      <c r="D767" s="7"/>
      <c r="E767" s="7"/>
      <c r="F767" s="8" t="str">
        <f t="shared" si="211"/>
        <v/>
      </c>
      <c r="G767" s="7" t="str">
        <f t="shared" si="212"/>
        <v/>
      </c>
      <c r="H767" s="5" t="str">
        <f t="shared" si="213"/>
        <v/>
      </c>
      <c r="I767" s="116" t="str">
        <f t="shared" si="214"/>
        <v/>
      </c>
      <c r="J767" s="7" t="str">
        <f t="shared" si="215"/>
        <v/>
      </c>
      <c r="K767" s="9" t="str">
        <f t="shared" si="216"/>
        <v/>
      </c>
      <c r="L767" s="9" t="str">
        <f>IF(NOT(ISERROR(VLOOKUP(B767,Deflatores!G$42:H$64,2,FALSE))),VLOOKUP(B767,Deflatores!G$42:H$64,2,FALSE),IF(OR(ISBLANK(C767),ISBLANK(B767)),"",VLOOKUP(C767,Deflatores!G$4:H$38,2,FALSE)*H767+VLOOKUP(C767,Deflatores!G$4:I$38,3,FALSE)))</f>
        <v/>
      </c>
      <c r="M767" s="10"/>
      <c r="N767" s="10"/>
      <c r="O767" s="6"/>
    </row>
    <row r="768" spans="1:15">
      <c r="A768" s="119"/>
      <c r="B768" s="4"/>
      <c r="C768" s="4"/>
      <c r="D768" s="7"/>
      <c r="E768" s="7"/>
      <c r="F768" s="8" t="str">
        <f t="shared" si="211"/>
        <v/>
      </c>
      <c r="G768" s="7" t="str">
        <f t="shared" si="212"/>
        <v/>
      </c>
      <c r="H768" s="5" t="str">
        <f t="shared" si="213"/>
        <v/>
      </c>
      <c r="I768" s="116" t="str">
        <f t="shared" si="214"/>
        <v/>
      </c>
      <c r="J768" s="7" t="str">
        <f t="shared" si="215"/>
        <v/>
      </c>
      <c r="K768" s="9" t="str">
        <f t="shared" si="216"/>
        <v/>
      </c>
      <c r="L768" s="9" t="str">
        <f>IF(NOT(ISERROR(VLOOKUP(B768,Deflatores!G$42:H$64,2,FALSE))),VLOOKUP(B768,Deflatores!G$42:H$64,2,FALSE),IF(OR(ISBLANK(C768),ISBLANK(B768)),"",VLOOKUP(C768,Deflatores!G$4:H$38,2,FALSE)*H768+VLOOKUP(C768,Deflatores!G$4:I$38,3,FALSE)))</f>
        <v/>
      </c>
      <c r="M768" s="10"/>
      <c r="N768" s="10"/>
      <c r="O768" s="6"/>
    </row>
    <row r="769" spans="1:15">
      <c r="A769" s="119"/>
      <c r="B769" s="4"/>
      <c r="C769" s="4"/>
      <c r="D769" s="7"/>
      <c r="E769" s="7"/>
      <c r="F769" s="8" t="str">
        <f t="shared" si="211"/>
        <v/>
      </c>
      <c r="G769" s="7" t="str">
        <f t="shared" si="212"/>
        <v/>
      </c>
      <c r="H769" s="5" t="str">
        <f t="shared" si="213"/>
        <v/>
      </c>
      <c r="I769" s="116" t="str">
        <f t="shared" si="214"/>
        <v/>
      </c>
      <c r="J769" s="7" t="str">
        <f t="shared" si="215"/>
        <v/>
      </c>
      <c r="K769" s="9" t="str">
        <f t="shared" si="216"/>
        <v/>
      </c>
      <c r="L769" s="9" t="str">
        <f>IF(NOT(ISERROR(VLOOKUP(B769,Deflatores!G$42:H$64,2,FALSE))),VLOOKUP(B769,Deflatores!G$42:H$64,2,FALSE),IF(OR(ISBLANK(C769),ISBLANK(B769)),"",VLOOKUP(C769,Deflatores!G$4:H$38,2,FALSE)*H769+VLOOKUP(C769,Deflatores!G$4:I$38,3,FALSE)))</f>
        <v/>
      </c>
      <c r="M769" s="10"/>
      <c r="N769" s="10"/>
      <c r="O769" s="6"/>
    </row>
    <row r="770" spans="1:15">
      <c r="A770" s="119"/>
      <c r="B770" s="4"/>
      <c r="C770" s="4"/>
      <c r="D770" s="7"/>
      <c r="E770" s="7"/>
      <c r="F770" s="8" t="str">
        <f t="shared" si="211"/>
        <v/>
      </c>
      <c r="G770" s="7" t="str">
        <f t="shared" si="212"/>
        <v/>
      </c>
      <c r="H770" s="5" t="str">
        <f t="shared" si="213"/>
        <v/>
      </c>
      <c r="I770" s="116" t="str">
        <f t="shared" si="214"/>
        <v/>
      </c>
      <c r="J770" s="7" t="str">
        <f t="shared" si="215"/>
        <v/>
      </c>
      <c r="K770" s="9" t="str">
        <f t="shared" si="216"/>
        <v/>
      </c>
      <c r="L770" s="9" t="str">
        <f>IF(NOT(ISERROR(VLOOKUP(B770,Deflatores!G$42:H$64,2,FALSE))),VLOOKUP(B770,Deflatores!G$42:H$64,2,FALSE),IF(OR(ISBLANK(C770),ISBLANK(B770)),"",VLOOKUP(C770,Deflatores!G$4:H$38,2,FALSE)*H770+VLOOKUP(C770,Deflatores!G$4:I$38,3,FALSE)))</f>
        <v/>
      </c>
      <c r="M770" s="10"/>
      <c r="N770" s="10"/>
      <c r="O770" s="6"/>
    </row>
    <row r="771" spans="1:15">
      <c r="A771" s="119"/>
      <c r="B771" s="4"/>
      <c r="C771" s="4"/>
      <c r="D771" s="7"/>
      <c r="E771" s="7"/>
      <c r="F771" s="8" t="str">
        <f t="shared" si="211"/>
        <v/>
      </c>
      <c r="G771" s="7" t="str">
        <f t="shared" si="212"/>
        <v/>
      </c>
      <c r="H771" s="5" t="str">
        <f t="shared" si="213"/>
        <v/>
      </c>
      <c r="I771" s="116" t="str">
        <f t="shared" si="214"/>
        <v/>
      </c>
      <c r="J771" s="7" t="str">
        <f t="shared" si="215"/>
        <v/>
      </c>
      <c r="K771" s="9" t="str">
        <f t="shared" si="216"/>
        <v/>
      </c>
      <c r="L771" s="9" t="str">
        <f>IF(NOT(ISERROR(VLOOKUP(B771,Deflatores!G$42:H$64,2,FALSE))),VLOOKUP(B771,Deflatores!G$42:H$64,2,FALSE),IF(OR(ISBLANK(C771),ISBLANK(B771)),"",VLOOKUP(C771,Deflatores!G$4:H$38,2,FALSE)*H771+VLOOKUP(C771,Deflatores!G$4:I$38,3,FALSE)))</f>
        <v/>
      </c>
      <c r="M771" s="10"/>
      <c r="N771" s="10"/>
      <c r="O771" s="6"/>
    </row>
    <row r="772" spans="1:15">
      <c r="A772" s="119"/>
      <c r="B772" s="4"/>
      <c r="C772" s="4"/>
      <c r="D772" s="7"/>
      <c r="E772" s="7"/>
      <c r="F772" s="8" t="str">
        <f t="shared" si="211"/>
        <v/>
      </c>
      <c r="G772" s="7" t="str">
        <f t="shared" si="212"/>
        <v/>
      </c>
      <c r="H772" s="5" t="str">
        <f t="shared" si="213"/>
        <v/>
      </c>
      <c r="I772" s="116" t="str">
        <f t="shared" si="214"/>
        <v/>
      </c>
      <c r="J772" s="7" t="str">
        <f t="shared" si="215"/>
        <v/>
      </c>
      <c r="K772" s="9" t="str">
        <f t="shared" si="216"/>
        <v/>
      </c>
      <c r="L772" s="9" t="str">
        <f>IF(NOT(ISERROR(VLOOKUP(B772,Deflatores!G$42:H$64,2,FALSE))),VLOOKUP(B772,Deflatores!G$42:H$64,2,FALSE),IF(OR(ISBLANK(C772),ISBLANK(B772)),"",VLOOKUP(C772,Deflatores!G$4:H$38,2,FALSE)*H772+VLOOKUP(C772,Deflatores!G$4:I$38,3,FALSE)))</f>
        <v/>
      </c>
      <c r="M772" s="10"/>
      <c r="N772" s="10"/>
      <c r="O772" s="6"/>
    </row>
    <row r="773" spans="1:15">
      <c r="A773" s="119"/>
      <c r="B773" s="4"/>
      <c r="C773" s="4"/>
      <c r="D773" s="7"/>
      <c r="E773" s="7"/>
      <c r="F773" s="8" t="str">
        <f t="shared" si="211"/>
        <v/>
      </c>
      <c r="G773" s="7" t="str">
        <f t="shared" si="212"/>
        <v/>
      </c>
      <c r="H773" s="5" t="str">
        <f t="shared" si="213"/>
        <v/>
      </c>
      <c r="I773" s="116" t="str">
        <f t="shared" si="214"/>
        <v/>
      </c>
      <c r="J773" s="7" t="str">
        <f t="shared" si="215"/>
        <v/>
      </c>
      <c r="K773" s="9" t="str">
        <f t="shared" si="216"/>
        <v/>
      </c>
      <c r="L773" s="9" t="str">
        <f>IF(NOT(ISERROR(VLOOKUP(B773,Deflatores!G$42:H$64,2,FALSE))),VLOOKUP(B773,Deflatores!G$42:H$64,2,FALSE),IF(OR(ISBLANK(C773),ISBLANK(B773)),"",VLOOKUP(C773,Deflatores!G$4:H$38,2,FALSE)*H773+VLOOKUP(C773,Deflatores!G$4:I$38,3,FALSE)))</f>
        <v/>
      </c>
      <c r="M773" s="10"/>
      <c r="N773" s="10"/>
      <c r="O773" s="6"/>
    </row>
    <row r="774" spans="1:15">
      <c r="A774" s="119"/>
      <c r="B774" s="4"/>
      <c r="C774" s="4"/>
      <c r="D774" s="7"/>
      <c r="E774" s="7"/>
      <c r="F774" s="8" t="str">
        <f t="shared" si="211"/>
        <v/>
      </c>
      <c r="G774" s="7" t="str">
        <f t="shared" si="212"/>
        <v/>
      </c>
      <c r="H774" s="5" t="str">
        <f t="shared" si="213"/>
        <v/>
      </c>
      <c r="I774" s="116" t="str">
        <f t="shared" si="214"/>
        <v/>
      </c>
      <c r="J774" s="7" t="str">
        <f t="shared" si="215"/>
        <v/>
      </c>
      <c r="K774" s="9" t="str">
        <f t="shared" si="216"/>
        <v/>
      </c>
      <c r="L774" s="9" t="str">
        <f>IF(NOT(ISERROR(VLOOKUP(B774,Deflatores!G$42:H$64,2,FALSE))),VLOOKUP(B774,Deflatores!G$42:H$64,2,FALSE),IF(OR(ISBLANK(C774),ISBLANK(B774)),"",VLOOKUP(C774,Deflatores!G$4:H$38,2,FALSE)*H774+VLOOKUP(C774,Deflatores!G$4:I$38,3,FALSE)))</f>
        <v/>
      </c>
      <c r="M774" s="10"/>
      <c r="N774" s="10"/>
      <c r="O774" s="6"/>
    </row>
    <row r="775" spans="1:15">
      <c r="A775" s="119"/>
      <c r="B775" s="4"/>
      <c r="C775" s="4"/>
      <c r="D775" s="7"/>
      <c r="E775" s="7"/>
      <c r="F775" s="8" t="str">
        <f t="shared" si="211"/>
        <v/>
      </c>
      <c r="G775" s="7" t="str">
        <f t="shared" si="212"/>
        <v/>
      </c>
      <c r="H775" s="5" t="str">
        <f t="shared" si="213"/>
        <v/>
      </c>
      <c r="I775" s="116" t="str">
        <f t="shared" si="214"/>
        <v/>
      </c>
      <c r="J775" s="7" t="str">
        <f t="shared" si="215"/>
        <v/>
      </c>
      <c r="K775" s="9" t="str">
        <f t="shared" si="216"/>
        <v/>
      </c>
      <c r="L775" s="9" t="str">
        <f>IF(NOT(ISERROR(VLOOKUP(B775,Deflatores!G$42:H$64,2,FALSE))),VLOOKUP(B775,Deflatores!G$42:H$64,2,FALSE),IF(OR(ISBLANK(C775),ISBLANK(B775)),"",VLOOKUP(C775,Deflatores!G$4:H$38,2,FALSE)*H775+VLOOKUP(C775,Deflatores!G$4:I$38,3,FALSE)))</f>
        <v/>
      </c>
      <c r="M775" s="10"/>
      <c r="N775" s="10"/>
      <c r="O775" s="6"/>
    </row>
    <row r="776" spans="1:15">
      <c r="A776" s="119"/>
      <c r="B776" s="4"/>
      <c r="C776" s="4"/>
      <c r="D776" s="7"/>
      <c r="E776" s="7"/>
      <c r="F776" s="8" t="str">
        <f t="shared" si="211"/>
        <v/>
      </c>
      <c r="G776" s="7" t="str">
        <f t="shared" si="212"/>
        <v/>
      </c>
      <c r="H776" s="5" t="str">
        <f t="shared" si="213"/>
        <v/>
      </c>
      <c r="I776" s="116" t="str">
        <f t="shared" si="214"/>
        <v/>
      </c>
      <c r="J776" s="7" t="str">
        <f t="shared" si="215"/>
        <v/>
      </c>
      <c r="K776" s="9" t="str">
        <f t="shared" si="216"/>
        <v/>
      </c>
      <c r="L776" s="9" t="str">
        <f>IF(NOT(ISERROR(VLOOKUP(B776,Deflatores!G$42:H$64,2,FALSE))),VLOOKUP(B776,Deflatores!G$42:H$64,2,FALSE),IF(OR(ISBLANK(C776),ISBLANK(B776)),"",VLOOKUP(C776,Deflatores!G$4:H$38,2,FALSE)*H776+VLOOKUP(C776,Deflatores!G$4:I$38,3,FALSE)))</f>
        <v/>
      </c>
      <c r="M776" s="10"/>
      <c r="N776" s="10"/>
      <c r="O776" s="6"/>
    </row>
    <row r="777" spans="1:15">
      <c r="A777" s="119"/>
      <c r="B777" s="4"/>
      <c r="C777" s="4"/>
      <c r="D777" s="7"/>
      <c r="E777" s="7"/>
      <c r="F777" s="8" t="str">
        <f t="shared" si="211"/>
        <v/>
      </c>
      <c r="G777" s="7" t="str">
        <f t="shared" si="212"/>
        <v/>
      </c>
      <c r="H777" s="5" t="str">
        <f t="shared" si="213"/>
        <v/>
      </c>
      <c r="I777" s="116" t="str">
        <f t="shared" si="214"/>
        <v/>
      </c>
      <c r="J777" s="7" t="str">
        <f t="shared" si="215"/>
        <v/>
      </c>
      <c r="K777" s="9" t="str">
        <f t="shared" si="216"/>
        <v/>
      </c>
      <c r="L777" s="9" t="str">
        <f>IF(NOT(ISERROR(VLOOKUP(B777,Deflatores!G$42:H$64,2,FALSE))),VLOOKUP(B777,Deflatores!G$42:H$64,2,FALSE),IF(OR(ISBLANK(C777),ISBLANK(B777)),"",VLOOKUP(C777,Deflatores!G$4:H$38,2,FALSE)*H777+VLOOKUP(C777,Deflatores!G$4:I$38,3,FALSE)))</f>
        <v/>
      </c>
      <c r="M777" s="10"/>
      <c r="N777" s="10"/>
      <c r="O777" s="6"/>
    </row>
    <row r="778" spans="1:15" ht="12.95" thickBot="1">
      <c r="A778" s="120"/>
      <c r="B778" s="11"/>
      <c r="C778" s="11"/>
      <c r="D778" s="12"/>
      <c r="E778" s="12"/>
      <c r="F778" s="13" t="str">
        <f t="shared" si="211"/>
        <v/>
      </c>
      <c r="G778" s="14" t="str">
        <f t="shared" si="212"/>
        <v/>
      </c>
      <c r="H778" s="15" t="str">
        <f t="shared" si="213"/>
        <v/>
      </c>
      <c r="I778" s="117" t="str">
        <f t="shared" si="214"/>
        <v/>
      </c>
      <c r="J778" s="12" t="str">
        <f t="shared" si="215"/>
        <v/>
      </c>
      <c r="K778" s="16" t="str">
        <f t="shared" si="216"/>
        <v/>
      </c>
      <c r="L778" s="16" t="str">
        <f>IF(NOT(ISERROR(VLOOKUP(B778,Deflatores!G$42:H$64,2,FALSE))),VLOOKUP(B778,Deflatores!G$42:H$64,2,FALSE),IF(OR(ISBLANK(C778),ISBLANK(B778)),"",VLOOKUP(C778,Deflatores!G$4:H$38,2,FALSE)*H778+VLOOKUP(C778,Deflatores!G$4:I$38,3,FALSE)))</f>
        <v/>
      </c>
      <c r="M778" s="17"/>
      <c r="N778" s="17"/>
      <c r="O778" s="18"/>
    </row>
  </sheetData>
  <sheetProtection selectLockedCells="1" selectUnlockedCells="1"/>
  <mergeCells count="7">
    <mergeCell ref="B6:J6"/>
    <mergeCell ref="M6:O6"/>
    <mergeCell ref="A1:O3"/>
    <mergeCell ref="M4:O4"/>
    <mergeCell ref="M5:O5"/>
    <mergeCell ref="B4:J4"/>
    <mergeCell ref="B5:J5"/>
  </mergeCells>
  <conditionalFormatting sqref="C8:C316 C332:C354 C318:C330 C356:C368 C372:C423 C426:C778">
    <cfRule type="cellIs" dxfId="20" priority="19" stopIfTrue="1" operator="equal">
      <formula>"I"</formula>
    </cfRule>
    <cfRule type="cellIs" dxfId="19" priority="20" stopIfTrue="1" operator="equal">
      <formula>"A"</formula>
    </cfRule>
    <cfRule type="cellIs" dxfId="18" priority="21" stopIfTrue="1" operator="equal">
      <formula>"E"</formula>
    </cfRule>
  </conditionalFormatting>
  <conditionalFormatting sqref="C331">
    <cfRule type="cellIs" dxfId="17" priority="16" stopIfTrue="1" operator="equal">
      <formula>"I"</formula>
    </cfRule>
    <cfRule type="cellIs" dxfId="16" priority="17" stopIfTrue="1" operator="equal">
      <formula>"A"</formula>
    </cfRule>
    <cfRule type="cellIs" dxfId="15" priority="18" stopIfTrue="1" operator="equal">
      <formula>"E"</formula>
    </cfRule>
  </conditionalFormatting>
  <conditionalFormatting sqref="C317">
    <cfRule type="cellIs" dxfId="14" priority="13" stopIfTrue="1" operator="equal">
      <formula>"I"</formula>
    </cfRule>
    <cfRule type="cellIs" dxfId="13" priority="14" stopIfTrue="1" operator="equal">
      <formula>"A"</formula>
    </cfRule>
    <cfRule type="cellIs" dxfId="12" priority="15" stopIfTrue="1" operator="equal">
      <formula>"E"</formula>
    </cfRule>
  </conditionalFormatting>
  <conditionalFormatting sqref="C355">
    <cfRule type="cellIs" dxfId="11" priority="10" stopIfTrue="1" operator="equal">
      <formula>"I"</formula>
    </cfRule>
    <cfRule type="cellIs" dxfId="10" priority="11" stopIfTrue="1" operator="equal">
      <formula>"A"</formula>
    </cfRule>
    <cfRule type="cellIs" dxfId="9" priority="12" stopIfTrue="1" operator="equal">
      <formula>"E"</formula>
    </cfRule>
  </conditionalFormatting>
  <conditionalFormatting sqref="C369:C370">
    <cfRule type="cellIs" dxfId="8" priority="7" stopIfTrue="1" operator="equal">
      <formula>"I"</formula>
    </cfRule>
    <cfRule type="cellIs" dxfId="7" priority="8" stopIfTrue="1" operator="equal">
      <formula>"A"</formula>
    </cfRule>
    <cfRule type="cellIs" dxfId="6" priority="9" stopIfTrue="1" operator="equal">
      <formula>"E"</formula>
    </cfRule>
  </conditionalFormatting>
  <conditionalFormatting sqref="C371">
    <cfRule type="cellIs" dxfId="5" priority="4" stopIfTrue="1" operator="equal">
      <formula>"I"</formula>
    </cfRule>
    <cfRule type="cellIs" dxfId="4" priority="5" stopIfTrue="1" operator="equal">
      <formula>"A"</formula>
    </cfRule>
    <cfRule type="cellIs" dxfId="3" priority="6" stopIfTrue="1" operator="equal">
      <formula>"E"</formula>
    </cfRule>
  </conditionalFormatting>
  <conditionalFormatting sqref="C424:C425">
    <cfRule type="cellIs" dxfId="2" priority="1" stopIfTrue="1" operator="equal">
      <formula>"I"</formula>
    </cfRule>
    <cfRule type="cellIs" dxfId="1" priority="2" stopIfTrue="1" operator="equal">
      <formula>"A"</formula>
    </cfRule>
    <cfRule type="cellIs" dxfId="0" priority="3" stopIfTrue="1" operator="equal">
      <formula>"E"</formula>
    </cfRule>
  </conditionalFormatting>
  <dataValidations count="2">
    <dataValidation type="list" operator="equal" allowBlank="1" showInputMessage="1" showErrorMessage="1" promptTitle="Tipo da Função" prompt="ALI, AIE, EE, SE, CE_x000a_ou_x000a_Itens não mensuráveis" sqref="B8:B20 B28:B38 B127:B159 B25 B161:B208 B77 B79:B93 B97:B123 B40:B68 B72:B75 B210:B778" xr:uid="{00000000-0002-0000-0100-000000000000}">
      <formula1>TiposDeFuncao</formula1>
      <formula2>0</formula2>
    </dataValidation>
    <dataValidation type="list" operator="equal" allowBlank="1" showInputMessage="1" showErrorMessage="1" promptTitle="Tipo de Manutenção na Função" prompt="I, A, E _x000a_ou_x000a_Itens não mensuráveis" sqref="C8:C778" xr:uid="{00000000-0002-0000-0100-000001000000}">
      <formula1>TiposDeManutencao</formula1>
      <formula2>0</formula2>
    </dataValidation>
  </dataValidations>
  <pageMargins left="0.70833333333333337" right="0.70833333333333337" top="0.74791666666666667" bottom="0.74861111111111112" header="0.51180555555555551" footer="0.31527777777777777"/>
  <pageSetup paperSize="9" scale="75" firstPageNumber="0" fitToHeight="0" orientation="landscape" horizontalDpi="300" verticalDpi="300" r:id="rId1"/>
  <headerFooter alignWithMargins="0">
    <oddFooter>&amp;CPágina &amp;P de &amp;N</oddFoot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L64"/>
  <sheetViews>
    <sheetView showGridLines="0" zoomScaleNormal="100" zoomScaleSheetLayoutView="100" workbookViewId="0">
      <pane ySplit="1" topLeftCell="A11" activePane="bottomLeft" state="frozen"/>
      <selection pane="bottomLeft" activeCell="F30" sqref="F30"/>
      <selection activeCell="B11" sqref="B11"/>
    </sheetView>
  </sheetViews>
  <sheetFormatPr defaultColWidth="11.5703125" defaultRowHeight="12.6"/>
  <cols>
    <col min="4" max="4" width="10.85546875" customWidth="1"/>
    <col min="5" max="5" width="23.140625" customWidth="1"/>
    <col min="6" max="6" width="53.140625" customWidth="1"/>
    <col min="7" max="7" width="7.85546875" style="19" customWidth="1"/>
    <col min="8" max="8" width="13.140625" style="20" customWidth="1"/>
    <col min="9" max="9" width="9.85546875" style="20" customWidth="1"/>
    <col min="10" max="11" width="10.5703125" customWidth="1"/>
    <col min="12" max="12" width="0" style="19" hidden="1" customWidth="1"/>
  </cols>
  <sheetData>
    <row r="1" spans="1:12" ht="36.6" customHeight="1">
      <c r="A1" s="149" t="s">
        <v>417</v>
      </c>
      <c r="B1" s="149"/>
      <c r="C1" s="149"/>
      <c r="D1" s="149"/>
      <c r="E1" s="149"/>
      <c r="F1" s="149"/>
      <c r="G1" s="149"/>
      <c r="H1" s="149"/>
      <c r="I1" s="149"/>
      <c r="J1" s="149"/>
      <c r="K1" s="149"/>
      <c r="L1" s="21"/>
    </row>
    <row r="2" spans="1:12" ht="14.85" customHeight="1">
      <c r="A2" s="169" t="s">
        <v>418</v>
      </c>
      <c r="B2" s="169"/>
      <c r="C2" s="169"/>
      <c r="D2" s="169"/>
      <c r="E2" s="169"/>
      <c r="F2" s="169"/>
      <c r="G2" s="170" t="s">
        <v>419</v>
      </c>
      <c r="H2" s="170" t="s">
        <v>420</v>
      </c>
      <c r="I2" s="170"/>
      <c r="J2" s="170" t="s">
        <v>3</v>
      </c>
      <c r="K2" s="171" t="s">
        <v>421</v>
      </c>
    </row>
    <row r="3" spans="1:12" ht="14.85" customHeight="1">
      <c r="A3" s="22" t="s">
        <v>422</v>
      </c>
      <c r="B3" s="170" t="s">
        <v>423</v>
      </c>
      <c r="C3" s="170"/>
      <c r="D3" s="170"/>
      <c r="E3" s="170"/>
      <c r="F3" s="23" t="s">
        <v>424</v>
      </c>
      <c r="G3" s="170"/>
      <c r="H3" s="23" t="s">
        <v>425</v>
      </c>
      <c r="I3" s="23" t="s">
        <v>426</v>
      </c>
      <c r="J3" s="170"/>
      <c r="K3" s="171"/>
    </row>
    <row r="4" spans="1:12">
      <c r="A4" s="3" t="s">
        <v>427</v>
      </c>
      <c r="B4" s="147" t="s">
        <v>428</v>
      </c>
      <c r="C4" s="147"/>
      <c r="D4" s="147"/>
      <c r="E4" s="147"/>
      <c r="F4" s="2"/>
      <c r="G4" s="24" t="s">
        <v>49</v>
      </c>
      <c r="H4" s="98">
        <v>1</v>
      </c>
      <c r="I4" s="99"/>
      <c r="J4" s="100">
        <f>SUMIF(Funções!$C$11:$C$778,Deflatores!G4,Funções!$H$11:$H$778)</f>
        <v>1226</v>
      </c>
      <c r="K4" s="101">
        <f>IF(H4="",COUNTIF(Funções!C$11:C$778,G4)*I4,H4*J4)</f>
        <v>1226</v>
      </c>
    </row>
    <row r="5" spans="1:12">
      <c r="A5" s="3" t="s">
        <v>429</v>
      </c>
      <c r="B5" s="147" t="s">
        <v>430</v>
      </c>
      <c r="C5" s="147"/>
      <c r="D5" s="147"/>
      <c r="E5" s="147"/>
      <c r="F5" s="2" t="s">
        <v>431</v>
      </c>
      <c r="G5" s="24" t="s">
        <v>432</v>
      </c>
      <c r="H5" s="98">
        <v>0.5</v>
      </c>
      <c r="I5" s="99"/>
      <c r="J5" s="100">
        <f>SUMIF(Funções!$C$11:$C$778,Deflatores!G5,Funções!$H$11:$H$778)</f>
        <v>0</v>
      </c>
      <c r="K5" s="101">
        <f>IF(H5="",COUNTIF(Funções!C$11:C$778,G5)*I5,H5*J5)</f>
        <v>0</v>
      </c>
    </row>
    <row r="6" spans="1:12">
      <c r="A6" s="3" t="s">
        <v>433</v>
      </c>
      <c r="B6" s="147" t="s">
        <v>434</v>
      </c>
      <c r="C6" s="147"/>
      <c r="D6" s="147"/>
      <c r="E6" s="147"/>
      <c r="F6" s="2" t="s">
        <v>431</v>
      </c>
      <c r="G6" s="24" t="s">
        <v>200</v>
      </c>
      <c r="H6" s="98">
        <v>0.4</v>
      </c>
      <c r="I6" s="99"/>
      <c r="J6" s="100">
        <f>SUMIF(Funções!$C$11:$C$778,Deflatores!G6,Funções!$H$11:$H$778)</f>
        <v>18</v>
      </c>
      <c r="K6" s="101">
        <f>IF(H6="",COUNTIF(Funções!C$11:C$778,G6)*I6,H6*J6)</f>
        <v>7.2</v>
      </c>
    </row>
    <row r="7" spans="1:12">
      <c r="A7" s="3"/>
      <c r="B7" s="147" t="s">
        <v>435</v>
      </c>
      <c r="C7" s="147"/>
      <c r="D7" s="147"/>
      <c r="E7" s="147"/>
      <c r="F7" s="2" t="s">
        <v>431</v>
      </c>
      <c r="G7" s="24" t="s">
        <v>56</v>
      </c>
      <c r="H7" s="98">
        <v>0.5</v>
      </c>
      <c r="I7" s="99"/>
      <c r="J7" s="100">
        <f>SUMIF(Funções!$C$11:$C$778,Deflatores!G7,Funções!$H$11:$H$778)</f>
        <v>120</v>
      </c>
      <c r="K7" s="101">
        <f>IF(H7="",COUNTIF(Funções!C$11:C$778,G7)*I7,H7*J7)</f>
        <v>60</v>
      </c>
    </row>
    <row r="8" spans="1:12">
      <c r="A8" s="3"/>
      <c r="B8" s="147" t="s">
        <v>436</v>
      </c>
      <c r="C8" s="147"/>
      <c r="D8" s="147"/>
      <c r="E8" s="147"/>
      <c r="F8" s="2" t="s">
        <v>431</v>
      </c>
      <c r="G8" s="24" t="s">
        <v>437</v>
      </c>
      <c r="H8" s="98">
        <v>0.75</v>
      </c>
      <c r="I8" s="99"/>
      <c r="J8" s="100">
        <f>SUMIF(Funções!$C$11:$C$778,Deflatores!G8,Funções!$H$11:$H$778)</f>
        <v>0</v>
      </c>
      <c r="K8" s="101">
        <f>IF(H8="",COUNTIF(Funções!C$11:C$778,G8)*I8,H8*J8)</f>
        <v>0</v>
      </c>
    </row>
    <row r="9" spans="1:12">
      <c r="A9" s="3"/>
      <c r="B9" s="147" t="s">
        <v>438</v>
      </c>
      <c r="C9" s="147"/>
      <c r="D9" s="147"/>
      <c r="E9" s="147"/>
      <c r="F9" s="2" t="s">
        <v>431</v>
      </c>
      <c r="G9" s="24" t="s">
        <v>439</v>
      </c>
      <c r="H9" s="98">
        <v>0.9</v>
      </c>
      <c r="I9" s="99"/>
      <c r="J9" s="100">
        <f>SUMIF(Funções!$C$11:$C$778,Deflatores!G9,Funções!$H$11:$H$778)</f>
        <v>0</v>
      </c>
      <c r="K9" s="101">
        <f>IF(H9="",COUNTIF(Funções!C$11:C$778,G9)*I9,H9*J9)</f>
        <v>0</v>
      </c>
    </row>
    <row r="10" spans="1:12">
      <c r="A10" s="3"/>
      <c r="B10" s="147" t="s">
        <v>440</v>
      </c>
      <c r="C10" s="147"/>
      <c r="D10" s="147"/>
      <c r="E10" s="147"/>
      <c r="F10" s="2" t="s">
        <v>441</v>
      </c>
      <c r="G10" s="24" t="s">
        <v>442</v>
      </c>
      <c r="H10" s="98">
        <v>1</v>
      </c>
      <c r="I10" s="99"/>
      <c r="J10" s="100">
        <f>SUMIF(Funções!$C$11:$C$778,Deflatores!G10,Funções!$H$11:$H$778)</f>
        <v>0</v>
      </c>
      <c r="K10" s="101">
        <f>IF(H10="",COUNTIF(Funções!C$11:C$778,G10)*I10,H10*J10)</f>
        <v>0</v>
      </c>
    </row>
    <row r="11" spans="1:12">
      <c r="A11" s="3"/>
      <c r="B11" s="147" t="s">
        <v>443</v>
      </c>
      <c r="C11" s="147"/>
      <c r="D11" s="147"/>
      <c r="E11" s="147"/>
      <c r="F11" s="2" t="s">
        <v>444</v>
      </c>
      <c r="G11" s="24" t="s">
        <v>445</v>
      </c>
      <c r="H11" s="98">
        <v>0.5</v>
      </c>
      <c r="I11" s="99"/>
      <c r="J11" s="100">
        <f>SUMIF(Funções!$C$11:$C$778,Deflatores!G11,Funções!$H$11:$H$778)</f>
        <v>0</v>
      </c>
      <c r="K11" s="101">
        <f>IF(H11="",COUNTIF(Funções!C$11:C$778,G11)*I11,H11*J11)</f>
        <v>0</v>
      </c>
    </row>
    <row r="12" spans="1:12" ht="13.5" customHeight="1">
      <c r="A12" s="3"/>
      <c r="B12" s="147" t="s">
        <v>446</v>
      </c>
      <c r="C12" s="147"/>
      <c r="D12" s="147"/>
      <c r="E12" s="147"/>
      <c r="F12" s="2" t="s">
        <v>444</v>
      </c>
      <c r="G12" s="24" t="s">
        <v>447</v>
      </c>
      <c r="H12" s="98">
        <v>0.5</v>
      </c>
      <c r="I12" s="99"/>
      <c r="J12" s="100">
        <f>SUMIF(Funções!$C$11:$C$778,Deflatores!G12,Funções!$H$11:$H$778)</f>
        <v>0</v>
      </c>
      <c r="K12" s="101">
        <f>IF(H12="",COUNTIF(Funções!C$11:C$778,G12)*I12,H12*J12)</f>
        <v>0</v>
      </c>
    </row>
    <row r="13" spans="1:12" ht="13.5" customHeight="1">
      <c r="A13" s="3"/>
      <c r="B13" s="147" t="s">
        <v>448</v>
      </c>
      <c r="C13" s="147"/>
      <c r="D13" s="147"/>
      <c r="E13" s="147"/>
      <c r="F13" s="2" t="s">
        <v>444</v>
      </c>
      <c r="G13" s="24" t="s">
        <v>449</v>
      </c>
      <c r="H13" s="98">
        <v>0.75</v>
      </c>
      <c r="I13" s="99"/>
      <c r="J13" s="100">
        <f>SUMIF(Funções!$C$11:$C$778,Deflatores!G13,Funções!$H$11:$H$778)</f>
        <v>0</v>
      </c>
      <c r="K13" s="101">
        <f>IF(H13="",COUNTIF(Funções!C$11:C$778,G13)*I13,H13*J13)</f>
        <v>0</v>
      </c>
    </row>
    <row r="14" spans="1:12" ht="13.5" customHeight="1">
      <c r="A14" s="3"/>
      <c r="B14" s="147" t="s">
        <v>450</v>
      </c>
      <c r="C14" s="147"/>
      <c r="D14" s="147"/>
      <c r="E14" s="147"/>
      <c r="F14" s="2" t="s">
        <v>444</v>
      </c>
      <c r="G14" s="24" t="s">
        <v>451</v>
      </c>
      <c r="H14" s="98">
        <v>0.9</v>
      </c>
      <c r="I14" s="99"/>
      <c r="J14" s="100">
        <f>SUMIF(Funções!$C$11:$C$778,Deflatores!G14,Funções!$H$11:$H$778)</f>
        <v>0</v>
      </c>
      <c r="K14" s="101">
        <f>IF(H14="",COUNTIF(Funções!C$11:C$778,G14)*I14,H14*J14)</f>
        <v>0</v>
      </c>
    </row>
    <row r="15" spans="1:12" ht="13.5" customHeight="1">
      <c r="A15" s="3"/>
      <c r="B15" s="147" t="s">
        <v>452</v>
      </c>
      <c r="C15" s="147"/>
      <c r="D15" s="147"/>
      <c r="E15" s="147"/>
      <c r="F15" s="2" t="s">
        <v>444</v>
      </c>
      <c r="G15" s="24" t="s">
        <v>453</v>
      </c>
      <c r="H15" s="98">
        <v>0</v>
      </c>
      <c r="I15" s="99"/>
      <c r="J15" s="100">
        <f>SUMIF(Funções!$C$11:$C$778,Deflatores!G15,Funções!$H$11:$H$778)</f>
        <v>0</v>
      </c>
      <c r="K15" s="101">
        <f>IF(H15="",COUNTIF(Funções!C$11:C$778,G15)*I15,H15*J15)</f>
        <v>0</v>
      </c>
    </row>
    <row r="16" spans="1:12" ht="13.5" customHeight="1">
      <c r="A16" s="3"/>
      <c r="B16" s="147" t="s">
        <v>454</v>
      </c>
      <c r="C16" s="147"/>
      <c r="D16" s="147"/>
      <c r="E16" s="147"/>
      <c r="F16" s="2" t="s">
        <v>455</v>
      </c>
      <c r="G16" s="24" t="s">
        <v>456</v>
      </c>
      <c r="H16" s="98">
        <v>1</v>
      </c>
      <c r="I16" s="99"/>
      <c r="J16" s="100">
        <f>SUMIF(Funções!$C$11:$C$778,Deflatores!G16,Funções!$H$11:$H$778)</f>
        <v>0</v>
      </c>
      <c r="K16" s="101">
        <f>IF(H16="",COUNTIF(Funções!C$11:C$778,G16)*I16,H16*J16)</f>
        <v>0</v>
      </c>
    </row>
    <row r="17" spans="1:11">
      <c r="A17" s="3"/>
      <c r="B17" s="147" t="s">
        <v>457</v>
      </c>
      <c r="C17" s="147"/>
      <c r="D17" s="147"/>
      <c r="E17" s="147"/>
      <c r="F17" s="2" t="s">
        <v>458</v>
      </c>
      <c r="G17" s="24" t="s">
        <v>459</v>
      </c>
      <c r="H17" s="98">
        <v>1</v>
      </c>
      <c r="I17" s="99"/>
      <c r="J17" s="100">
        <f>SUMIF(Funções!$C$11:$C$778,Deflatores!G17,Funções!$H$11:$H$778)</f>
        <v>0</v>
      </c>
      <c r="K17" s="101">
        <f>IF(H17="",COUNTIF(Funções!C$11:C$778,G17)*I17,H17*J17)</f>
        <v>0</v>
      </c>
    </row>
    <row r="18" spans="1:11" ht="13.5" customHeight="1">
      <c r="A18" s="3"/>
      <c r="B18" s="147" t="s">
        <v>460</v>
      </c>
      <c r="C18" s="147"/>
      <c r="D18" s="147"/>
      <c r="E18" s="147"/>
      <c r="F18" s="2" t="s">
        <v>458</v>
      </c>
      <c r="G18" s="24" t="s">
        <v>461</v>
      </c>
      <c r="H18" s="98">
        <v>0.3</v>
      </c>
      <c r="I18" s="99"/>
      <c r="J18" s="100">
        <f>SUMIF(Funções!$C$11:$C$778,Deflatores!G18,Funções!$H$11:$H$778)</f>
        <v>0</v>
      </c>
      <c r="K18" s="101">
        <f>IF(H18="",COUNTIF(Funções!C$11:C$778,G18)*I18,H18*J18)</f>
        <v>0</v>
      </c>
    </row>
    <row r="19" spans="1:11" ht="13.5" customHeight="1">
      <c r="A19" s="3"/>
      <c r="B19" s="147" t="s">
        <v>462</v>
      </c>
      <c r="C19" s="147"/>
      <c r="D19" s="147"/>
      <c r="E19" s="147"/>
      <c r="F19" s="2" t="s">
        <v>463</v>
      </c>
      <c r="G19" s="24" t="s">
        <v>464</v>
      </c>
      <c r="H19" s="98">
        <v>0.3</v>
      </c>
      <c r="I19" s="99"/>
      <c r="J19" s="100">
        <f>SUMIF(Funções!$C$11:$C$778,Deflatores!G19,Funções!$H$11:$H$778)</f>
        <v>0</v>
      </c>
      <c r="K19" s="101">
        <f>IF(H19="",COUNTIF(Funções!C$11:C$778,G19)*I19,H19*J19)</f>
        <v>0</v>
      </c>
    </row>
    <row r="20" spans="1:11" ht="13.5" customHeight="1">
      <c r="A20" s="3"/>
      <c r="B20" s="147" t="s">
        <v>465</v>
      </c>
      <c r="C20" s="147"/>
      <c r="D20" s="147"/>
      <c r="E20" s="147"/>
      <c r="F20" s="2" t="s">
        <v>466</v>
      </c>
      <c r="G20" s="24" t="s">
        <v>467</v>
      </c>
      <c r="H20" s="98">
        <v>0.3</v>
      </c>
      <c r="I20" s="99"/>
      <c r="J20" s="100">
        <f>SUMIF(Funções!$C$11:$C$778,Deflatores!G20,Funções!$H$11:$H$778)</f>
        <v>0</v>
      </c>
      <c r="K20" s="101">
        <f>IF(H20="",COUNTIF(Funções!C$11:C$778,G20)*I20,H20*J20)</f>
        <v>0</v>
      </c>
    </row>
    <row r="21" spans="1:11" ht="13.5" customHeight="1">
      <c r="A21" s="3"/>
      <c r="B21" s="147" t="s">
        <v>468</v>
      </c>
      <c r="C21" s="147"/>
      <c r="D21" s="147"/>
      <c r="E21" s="147"/>
      <c r="F21" s="2" t="s">
        <v>469</v>
      </c>
      <c r="G21" s="24" t="s">
        <v>470</v>
      </c>
      <c r="H21" s="98">
        <v>0.3</v>
      </c>
      <c r="I21" s="99"/>
      <c r="J21" s="100">
        <f>SUMIF(Funções!$C$11:$C$778,Deflatores!G21,Funções!$H$11:$H$778)</f>
        <v>0</v>
      </c>
      <c r="K21" s="101">
        <f>IF(H21="",COUNTIF(Funções!C$11:C$778,G21)*I21,H21*J21)</f>
        <v>0</v>
      </c>
    </row>
    <row r="22" spans="1:11">
      <c r="A22" s="3"/>
      <c r="B22" s="147" t="s">
        <v>471</v>
      </c>
      <c r="C22" s="147"/>
      <c r="D22" s="147"/>
      <c r="E22" s="147"/>
      <c r="F22" s="2" t="s">
        <v>472</v>
      </c>
      <c r="G22" s="24" t="s">
        <v>45</v>
      </c>
      <c r="H22" s="98"/>
      <c r="I22" s="99">
        <v>0.6</v>
      </c>
      <c r="J22" s="100">
        <f>SUMIF(Funções!$C$11:$C$778,Deflatores!G22,Funções!$H$11:$H$778)</f>
        <v>28</v>
      </c>
      <c r="K22" s="101">
        <f>IF(H22="",COUNTIF(Funções!C$11:C$778,G22)*I22,H22*J22)</f>
        <v>3.5999999999999996</v>
      </c>
    </row>
    <row r="23" spans="1:11" ht="27" customHeight="1">
      <c r="A23" s="3"/>
      <c r="B23" s="172" t="s">
        <v>473</v>
      </c>
      <c r="C23" s="173"/>
      <c r="D23" s="173"/>
      <c r="E23" s="174"/>
      <c r="F23" s="97" t="s">
        <v>474</v>
      </c>
      <c r="G23" s="24" t="s">
        <v>475</v>
      </c>
      <c r="H23" s="98">
        <v>0.5</v>
      </c>
      <c r="I23" s="99"/>
      <c r="J23" s="100">
        <f>SUMIF(Funções!$C$11:$C$778,Deflatores!G23,Funções!$H$11:$H$778)</f>
        <v>0</v>
      </c>
      <c r="K23" s="101">
        <f>IF(H23="",COUNTIF(Funções!C$11:C$778,G23)*I23,H23*J23)</f>
        <v>0</v>
      </c>
    </row>
    <row r="24" spans="1:11" ht="27" customHeight="1">
      <c r="A24" s="3"/>
      <c r="B24" s="172" t="s">
        <v>476</v>
      </c>
      <c r="C24" s="173"/>
      <c r="D24" s="173"/>
      <c r="E24" s="174"/>
      <c r="F24" s="97" t="s">
        <v>474</v>
      </c>
      <c r="G24" s="24" t="s">
        <v>477</v>
      </c>
      <c r="H24" s="98">
        <v>0.5</v>
      </c>
      <c r="I24" s="99"/>
      <c r="J24" s="100">
        <f>SUMIF(Funções!$C$11:$C$778,Deflatores!G24,Funções!$H$11:$H$778)</f>
        <v>0</v>
      </c>
      <c r="K24" s="101">
        <f>IF(H24="",COUNTIF(Funções!C$11:C$778,G24)*I24,H24*J24)</f>
        <v>0</v>
      </c>
    </row>
    <row r="25" spans="1:11" ht="27" customHeight="1">
      <c r="A25" s="3"/>
      <c r="B25" s="175" t="s">
        <v>478</v>
      </c>
      <c r="C25" s="147"/>
      <c r="D25" s="147"/>
      <c r="E25" s="147"/>
      <c r="F25" s="97" t="s">
        <v>474</v>
      </c>
      <c r="G25" s="24" t="s">
        <v>479</v>
      </c>
      <c r="H25" s="98">
        <v>0.75</v>
      </c>
      <c r="I25" s="99"/>
      <c r="J25" s="100">
        <f>SUMIF(Funções!$C$11:$C$778,Deflatores!G25,Funções!$H$11:$H$778)</f>
        <v>0</v>
      </c>
      <c r="K25" s="101">
        <f>IF(H25="",COUNTIF(Funções!C$11:C$778,G25)*I25,H25*J25)</f>
        <v>0</v>
      </c>
    </row>
    <row r="26" spans="1:11" ht="13.5" customHeight="1">
      <c r="A26" s="3"/>
      <c r="B26" s="147" t="s">
        <v>480</v>
      </c>
      <c r="C26" s="147"/>
      <c r="D26" s="147"/>
      <c r="E26" s="147"/>
      <c r="F26" s="2" t="s">
        <v>481</v>
      </c>
      <c r="G26" s="24" t="s">
        <v>482</v>
      </c>
      <c r="H26" s="98">
        <v>1</v>
      </c>
      <c r="I26" s="99"/>
      <c r="J26" s="100">
        <f>SUMIF(Funções!$C$11:$C$778,Deflatores!G26,Funções!$H$11:$H$778)</f>
        <v>0</v>
      </c>
      <c r="K26" s="101">
        <f>IF(H26="",COUNTIF(Funções!C$11:C$778,G26)*I26,H26*J26)</f>
        <v>0</v>
      </c>
    </row>
    <row r="27" spans="1:11" ht="13.5" customHeight="1">
      <c r="A27" s="3"/>
      <c r="B27" s="147" t="s">
        <v>483</v>
      </c>
      <c r="C27" s="147"/>
      <c r="D27" s="147"/>
      <c r="E27" s="147"/>
      <c r="F27" s="2" t="s">
        <v>481</v>
      </c>
      <c r="G27" s="24" t="s">
        <v>484</v>
      </c>
      <c r="H27" s="98">
        <v>1</v>
      </c>
      <c r="I27" s="99"/>
      <c r="J27" s="100">
        <f>SUMIF(Funções!$C$11:$C$778,Deflatores!G27,Funções!$H$11:$H$778)</f>
        <v>0</v>
      </c>
      <c r="K27" s="101">
        <f>IF(H27="",COUNTIF(Funções!C$11:C$778,G27)*I27,H27*J27)</f>
        <v>0</v>
      </c>
    </row>
    <row r="28" spans="1:11" ht="13.5" customHeight="1">
      <c r="A28" s="3"/>
      <c r="B28" s="147" t="s">
        <v>485</v>
      </c>
      <c r="C28" s="147"/>
      <c r="D28" s="147"/>
      <c r="E28" s="147"/>
      <c r="F28" s="2" t="s">
        <v>481</v>
      </c>
      <c r="G28" s="24" t="s">
        <v>486</v>
      </c>
      <c r="H28" s="98">
        <v>0.6</v>
      </c>
      <c r="I28" s="99"/>
      <c r="J28" s="100">
        <f>SUMIF(Funções!$C$11:$C$778,Deflatores!G28,Funções!$H$11:$H$778)</f>
        <v>0</v>
      </c>
      <c r="K28" s="101">
        <f>IF(H28="",COUNTIF(Funções!C$11:C$778,G28)*I28,H28*J28)</f>
        <v>0</v>
      </c>
    </row>
    <row r="29" spans="1:11" ht="13.5" customHeight="1">
      <c r="A29" s="3"/>
      <c r="B29" s="147" t="s">
        <v>487</v>
      </c>
      <c r="C29" s="147"/>
      <c r="D29" s="147"/>
      <c r="E29" s="147"/>
      <c r="F29" s="2" t="s">
        <v>488</v>
      </c>
      <c r="G29" s="24" t="s">
        <v>489</v>
      </c>
      <c r="H29" s="98">
        <v>1</v>
      </c>
      <c r="I29" s="99"/>
      <c r="J29" s="100">
        <f>SUMIF(Funções!$C$11:$C$778,Deflatores!G29,Funções!$H$11:$H$778)</f>
        <v>0</v>
      </c>
      <c r="K29" s="101">
        <f>IF(H29="",COUNTIF(Funções!C$11:C$778,G29)*I29,H29*J29)</f>
        <v>0</v>
      </c>
    </row>
    <row r="30" spans="1:11" ht="13.5" customHeight="1">
      <c r="A30" s="3"/>
      <c r="B30" s="147" t="s">
        <v>490</v>
      </c>
      <c r="C30" s="147"/>
      <c r="D30" s="147"/>
      <c r="E30" s="147"/>
      <c r="F30" s="2" t="s">
        <v>491</v>
      </c>
      <c r="G30" s="24" t="s">
        <v>492</v>
      </c>
      <c r="H30" s="98">
        <v>0.1</v>
      </c>
      <c r="I30" s="99"/>
      <c r="J30" s="100">
        <f>SUMIF(Funções!$C$11:$C$778,Deflatores!G30,Funções!$H$11:$H$778)</f>
        <v>0</v>
      </c>
      <c r="K30" s="101">
        <f>IF(H30="",COUNTIF(Funções!C$11:C$778,G30)*I30,H30*J30)</f>
        <v>0</v>
      </c>
    </row>
    <row r="31" spans="1:11" ht="13.5" customHeight="1">
      <c r="A31" s="3"/>
      <c r="B31" s="147" t="s">
        <v>493</v>
      </c>
      <c r="C31" s="147"/>
      <c r="D31" s="147"/>
      <c r="E31" s="147"/>
      <c r="F31" s="2" t="s">
        <v>494</v>
      </c>
      <c r="G31" s="24" t="s">
        <v>495</v>
      </c>
      <c r="H31" s="98">
        <v>0.1</v>
      </c>
      <c r="I31" s="99"/>
      <c r="J31" s="100">
        <f>SUMIF(Funções!$C$11:$C$778,Deflatores!G31,Funções!$H$11:$H$778)</f>
        <v>0</v>
      </c>
      <c r="K31" s="101">
        <f>IF(H31="",COUNTIF(Funções!C$11:C$778,G31)*I31,H31*J31)</f>
        <v>0</v>
      </c>
    </row>
    <row r="32" spans="1:11" ht="13.5" customHeight="1">
      <c r="A32" s="3"/>
      <c r="B32" s="111" t="s">
        <v>496</v>
      </c>
      <c r="C32" s="112"/>
      <c r="D32" s="112"/>
      <c r="E32" s="113"/>
      <c r="F32" s="2" t="s">
        <v>497</v>
      </c>
      <c r="G32" s="24" t="s">
        <v>498</v>
      </c>
      <c r="H32" s="98">
        <v>0.25</v>
      </c>
      <c r="I32" s="99"/>
      <c r="J32" s="100">
        <f>SUMIF(Funções!$C$11:$C$778,Deflatores!G32,Funções!$H$11:$H$778)</f>
        <v>0</v>
      </c>
      <c r="K32" s="101">
        <f>IF(H32="",COUNTIF(Funções!C$11:C$778,G32)*I32,H32*J32)</f>
        <v>0</v>
      </c>
    </row>
    <row r="33" spans="1:12" ht="13.5" customHeight="1">
      <c r="A33" s="3"/>
      <c r="B33" s="111" t="s">
        <v>499</v>
      </c>
      <c r="C33" s="112"/>
      <c r="D33" s="112"/>
      <c r="E33" s="113"/>
      <c r="F33" s="2" t="s">
        <v>500</v>
      </c>
      <c r="G33" s="24" t="s">
        <v>501</v>
      </c>
      <c r="H33" s="98">
        <v>0.2</v>
      </c>
      <c r="I33" s="99"/>
      <c r="J33" s="100">
        <f>SUMIF(Funções!$C$11:$C$778,Deflatores!G33,Funções!$H$11:$H$778)</f>
        <v>0</v>
      </c>
      <c r="K33" s="101">
        <f>IF(H33="",COUNTIF(Funções!C$11:C$778,G33)*I33,H33*J33)</f>
        <v>0</v>
      </c>
    </row>
    <row r="34" spans="1:12" ht="13.5" customHeight="1">
      <c r="A34" s="3"/>
      <c r="B34" s="111" t="s">
        <v>502</v>
      </c>
      <c r="C34" s="112"/>
      <c r="D34" s="112"/>
      <c r="E34" s="113"/>
      <c r="F34" s="2" t="s">
        <v>500</v>
      </c>
      <c r="G34" s="24" t="s">
        <v>503</v>
      </c>
      <c r="H34" s="98">
        <v>0.15</v>
      </c>
      <c r="I34" s="99"/>
      <c r="J34" s="100">
        <f>SUMIF(Funções!$C$11:$C$778,Deflatores!G34,Funções!$H$11:$H$778)</f>
        <v>0</v>
      </c>
      <c r="K34" s="101">
        <f>IF(H34="",COUNTIF(Funções!C$11:C$778,G34)*I34,H34*J34)</f>
        <v>0</v>
      </c>
    </row>
    <row r="35" spans="1:12" ht="13.5" customHeight="1">
      <c r="A35" s="3"/>
      <c r="B35" s="111" t="s">
        <v>504</v>
      </c>
      <c r="C35" s="112"/>
      <c r="D35" s="112"/>
      <c r="E35" s="113"/>
      <c r="F35" s="2" t="s">
        <v>505</v>
      </c>
      <c r="G35" s="24" t="s">
        <v>506</v>
      </c>
      <c r="H35" s="98">
        <v>0.15</v>
      </c>
      <c r="I35" s="99"/>
      <c r="J35" s="100">
        <f>SUMIF(Funções!$C$11:$C$778,Deflatores!G35,Funções!$H$11:$H$778)</f>
        <v>0</v>
      </c>
      <c r="K35" s="101">
        <f>IF(H35="",COUNTIF(Funções!C$11:C$778,G35)*I35,H35*J35)</f>
        <v>0</v>
      </c>
    </row>
    <row r="36" spans="1:12" ht="13.5" customHeight="1">
      <c r="A36" s="3"/>
      <c r="B36" s="147" t="s">
        <v>507</v>
      </c>
      <c r="C36" s="147"/>
      <c r="D36" s="147"/>
      <c r="E36" s="147"/>
      <c r="F36" s="2" t="s">
        <v>508</v>
      </c>
      <c r="G36" s="24" t="s">
        <v>509</v>
      </c>
      <c r="H36" s="98">
        <v>1</v>
      </c>
      <c r="I36" s="99"/>
      <c r="J36" s="100">
        <f>SUMIF(Funções!$C$11:$C$778,Deflatores!G36,Funções!$H$11:$H$778)</f>
        <v>0</v>
      </c>
      <c r="K36" s="101">
        <f>IF(H36="",COUNTIF(Funções!C$11:C$778,G36)*I36,H36*J36)</f>
        <v>0</v>
      </c>
    </row>
    <row r="37" spans="1:12" ht="13.5" customHeight="1">
      <c r="A37" s="3"/>
      <c r="B37" s="147"/>
      <c r="C37" s="147"/>
      <c r="D37" s="147"/>
      <c r="E37" s="147"/>
      <c r="F37" s="2"/>
      <c r="G37" s="24" t="s">
        <v>510</v>
      </c>
      <c r="H37" s="98"/>
      <c r="I37" s="99"/>
      <c r="J37" s="100">
        <f>SUMIF(Funções!$C$11:$C$778,Deflatores!G37,Funções!$H$11:$H$778)</f>
        <v>0</v>
      </c>
      <c r="K37" s="101">
        <f>IF(H37="",COUNTIF(Funções!C$11:C$778,G37)*I37,H37*J37)</f>
        <v>0</v>
      </c>
      <c r="L37" s="19" t="s">
        <v>55</v>
      </c>
    </row>
    <row r="38" spans="1:12" ht="13.5" customHeight="1">
      <c r="A38" s="3"/>
      <c r="B38" s="147"/>
      <c r="C38" s="147"/>
      <c r="D38" s="147"/>
      <c r="E38" s="147"/>
      <c r="F38" s="2"/>
      <c r="G38" s="24" t="s">
        <v>510</v>
      </c>
      <c r="H38" s="98"/>
      <c r="I38" s="99"/>
      <c r="J38" s="100">
        <f>SUMIF(Funções!$C$11:$C$778,Deflatores!G38,Funções!$H$11:$H$778)</f>
        <v>0</v>
      </c>
      <c r="K38" s="101">
        <f>IF(H38="",COUNTIF(Funções!C$11:C$778,G38)*I38,H38*J38)</f>
        <v>0</v>
      </c>
      <c r="L38" s="19" t="s">
        <v>48</v>
      </c>
    </row>
    <row r="39" spans="1:12" ht="13.5">
      <c r="A39" s="74"/>
      <c r="B39" s="75"/>
      <c r="C39" s="75"/>
      <c r="D39" s="75"/>
      <c r="E39" s="75"/>
      <c r="F39" s="75"/>
      <c r="G39" s="76"/>
      <c r="H39" s="77"/>
      <c r="I39" s="77"/>
      <c r="J39" s="78"/>
      <c r="K39" s="79"/>
      <c r="L39" s="19" t="s">
        <v>63</v>
      </c>
    </row>
    <row r="40" spans="1:12" ht="14.85" customHeight="1">
      <c r="A40" s="169" t="s">
        <v>417</v>
      </c>
      <c r="B40" s="169"/>
      <c r="C40" s="169"/>
      <c r="D40" s="169"/>
      <c r="E40" s="169"/>
      <c r="F40" s="169"/>
      <c r="G40" s="170" t="s">
        <v>419</v>
      </c>
      <c r="H40" s="170" t="s">
        <v>420</v>
      </c>
      <c r="I40" s="170"/>
      <c r="J40" s="170" t="s">
        <v>511</v>
      </c>
      <c r="K40" s="171" t="s">
        <v>421</v>
      </c>
      <c r="L40" s="19" t="s">
        <v>44</v>
      </c>
    </row>
    <row r="41" spans="1:12" ht="14.85" customHeight="1">
      <c r="A41" s="22" t="s">
        <v>422</v>
      </c>
      <c r="B41" s="170" t="s">
        <v>423</v>
      </c>
      <c r="C41" s="170"/>
      <c r="D41" s="170"/>
      <c r="E41" s="170"/>
      <c r="F41" s="23" t="s">
        <v>424</v>
      </c>
      <c r="G41" s="170"/>
      <c r="H41" s="170"/>
      <c r="I41" s="170"/>
      <c r="J41" s="170"/>
      <c r="K41" s="171"/>
      <c r="L41" s="19" t="s">
        <v>58</v>
      </c>
    </row>
    <row r="42" spans="1:12" ht="13.5" customHeight="1">
      <c r="A42" s="26"/>
      <c r="B42" s="147" t="s">
        <v>512</v>
      </c>
      <c r="C42" s="147"/>
      <c r="D42" s="147"/>
      <c r="E42" s="147"/>
      <c r="F42" s="2" t="s">
        <v>513</v>
      </c>
      <c r="G42" s="24" t="s">
        <v>514</v>
      </c>
      <c r="H42" s="176">
        <v>0.6</v>
      </c>
      <c r="I42" s="176"/>
      <c r="J42" s="27">
        <f>COUNTIF(Funções!B$11:B$778,G42)</f>
        <v>0</v>
      </c>
      <c r="K42" s="25">
        <f>SUMIF(Funções!B$11:B$778,$G42,Funções!K$11:K$778)</f>
        <v>0</v>
      </c>
      <c r="L42" s="19" t="str">
        <f t="shared" ref="L42:L64" si="0">""&amp;G42</f>
        <v>PAG</v>
      </c>
    </row>
    <row r="43" spans="1:12" ht="13.5" customHeight="1">
      <c r="A43" s="26"/>
      <c r="B43" s="147" t="s">
        <v>515</v>
      </c>
      <c r="C43" s="147"/>
      <c r="D43" s="147"/>
      <c r="E43" s="147"/>
      <c r="F43" s="2" t="s">
        <v>472</v>
      </c>
      <c r="G43" s="24" t="s">
        <v>516</v>
      </c>
      <c r="H43" s="176">
        <v>0.6</v>
      </c>
      <c r="I43" s="176"/>
      <c r="J43" s="27">
        <f>COUNTIF(Funções!B$11:B$778,G43)</f>
        <v>0</v>
      </c>
      <c r="K43" s="25">
        <f>SUMIF(Funções!B$11:B$778,$G43,Funções!K$11:K$778)</f>
        <v>0</v>
      </c>
      <c r="L43" s="19" t="str">
        <f t="shared" si="0"/>
        <v>COSNF</v>
      </c>
    </row>
    <row r="44" spans="1:12" ht="13.5" customHeight="1">
      <c r="A44" s="26"/>
      <c r="B44" s="147" t="s">
        <v>517</v>
      </c>
      <c r="C44" s="147"/>
      <c r="D44" s="147"/>
      <c r="E44" s="147"/>
      <c r="F44" s="2"/>
      <c r="G44" s="24" t="s">
        <v>518</v>
      </c>
      <c r="H44" s="176">
        <v>0</v>
      </c>
      <c r="I44" s="176"/>
      <c r="J44" s="27">
        <f>COUNTIF(Funções!B$11:B$778,G44)</f>
        <v>0</v>
      </c>
      <c r="K44" s="25">
        <f>SUMIF(Funções!B$11:B$778,$G44,Funções!K$11:K$778)</f>
        <v>0</v>
      </c>
      <c r="L44" s="19" t="str">
        <f t="shared" si="0"/>
        <v>DC</v>
      </c>
    </row>
    <row r="45" spans="1:12" ht="13.5" customHeight="1">
      <c r="A45" s="26"/>
      <c r="B45" s="147"/>
      <c r="C45" s="147"/>
      <c r="D45" s="147"/>
      <c r="E45" s="147"/>
      <c r="F45" s="2"/>
      <c r="G45" s="24" t="s">
        <v>510</v>
      </c>
      <c r="H45" s="176"/>
      <c r="I45" s="176"/>
      <c r="J45" s="27">
        <f>COUNTIF(Funções!B$11:B$778,G45)</f>
        <v>0</v>
      </c>
      <c r="K45" s="25">
        <f>SUMIF(Funções!B$11:B$778,$G45,Funções!K$11:K$778)</f>
        <v>0</v>
      </c>
      <c r="L45" s="19" t="str">
        <f t="shared" si="0"/>
        <v xml:space="preserve">           .</v>
      </c>
    </row>
    <row r="46" spans="1:12" ht="13.5" customHeight="1">
      <c r="A46" s="26"/>
      <c r="B46" s="147"/>
      <c r="C46" s="147"/>
      <c r="D46" s="147"/>
      <c r="E46" s="147"/>
      <c r="F46" s="2"/>
      <c r="G46" s="24" t="s">
        <v>510</v>
      </c>
      <c r="H46" s="176"/>
      <c r="I46" s="176"/>
      <c r="J46" s="27">
        <f>COUNTIF(Funções!B$11:B$778,G46)</f>
        <v>0</v>
      </c>
      <c r="K46" s="25">
        <f>SUMIF(Funções!B$11:B$778,$G46,Funções!K$11:K$778)</f>
        <v>0</v>
      </c>
      <c r="L46" s="19" t="str">
        <f t="shared" si="0"/>
        <v xml:space="preserve">           .</v>
      </c>
    </row>
    <row r="47" spans="1:12" ht="13.5">
      <c r="A47" s="26"/>
      <c r="B47" s="147"/>
      <c r="C47" s="147"/>
      <c r="D47" s="147"/>
      <c r="E47" s="147"/>
      <c r="F47" s="2"/>
      <c r="G47" s="24" t="s">
        <v>510</v>
      </c>
      <c r="H47" s="176"/>
      <c r="I47" s="176"/>
      <c r="J47" s="27">
        <f>COUNTIF(Funções!B$11:B$778,G47)</f>
        <v>0</v>
      </c>
      <c r="K47" s="25">
        <f>SUMIF(Funções!B$11:B$778,$G47,Funções!K$11:K$778)</f>
        <v>0</v>
      </c>
      <c r="L47" s="19" t="str">
        <f t="shared" si="0"/>
        <v xml:space="preserve">           .</v>
      </c>
    </row>
    <row r="48" spans="1:12" ht="13.5">
      <c r="A48" s="26"/>
      <c r="B48" s="147"/>
      <c r="C48" s="147"/>
      <c r="D48" s="147"/>
      <c r="E48" s="147"/>
      <c r="F48" s="2"/>
      <c r="G48" s="24" t="s">
        <v>510</v>
      </c>
      <c r="H48" s="176"/>
      <c r="I48" s="176"/>
      <c r="J48" s="27">
        <f>COUNTIF(Funções!B$11:B$778,G48)</f>
        <v>0</v>
      </c>
      <c r="K48" s="25">
        <f>SUMIF(Funções!B$11:B$778,$G48,Funções!K$11:K$778)</f>
        <v>0</v>
      </c>
      <c r="L48" s="19" t="str">
        <f t="shared" si="0"/>
        <v xml:space="preserve">           .</v>
      </c>
    </row>
    <row r="49" spans="1:12" ht="13.5">
      <c r="A49" s="26"/>
      <c r="B49" s="147"/>
      <c r="C49" s="147"/>
      <c r="D49" s="147"/>
      <c r="E49" s="147"/>
      <c r="F49" s="2"/>
      <c r="G49" s="24" t="s">
        <v>510</v>
      </c>
      <c r="H49" s="176"/>
      <c r="I49" s="176"/>
      <c r="J49" s="27">
        <f>COUNTIF(Funções!B$11:B$778,G49)</f>
        <v>0</v>
      </c>
      <c r="K49" s="25">
        <f>SUMIF(Funções!B$11:B$778,$G49,Funções!K$11:K$778)</f>
        <v>0</v>
      </c>
      <c r="L49" s="19" t="str">
        <f t="shared" si="0"/>
        <v xml:space="preserve">           .</v>
      </c>
    </row>
    <row r="50" spans="1:12" ht="13.5">
      <c r="A50" s="26"/>
      <c r="B50" s="147"/>
      <c r="C50" s="147"/>
      <c r="D50" s="147"/>
      <c r="E50" s="147"/>
      <c r="F50" s="2"/>
      <c r="G50" s="24" t="s">
        <v>510</v>
      </c>
      <c r="H50" s="176"/>
      <c r="I50" s="176"/>
      <c r="J50" s="27">
        <f>COUNTIF(Funções!B$11:B$778,G50)</f>
        <v>0</v>
      </c>
      <c r="K50" s="25">
        <f>SUMIF(Funções!B$11:B$778,$G50,Funções!K$11:K$778)</f>
        <v>0</v>
      </c>
      <c r="L50" s="19" t="str">
        <f t="shared" si="0"/>
        <v xml:space="preserve">           .</v>
      </c>
    </row>
    <row r="51" spans="1:12" ht="13.5">
      <c r="A51" s="26"/>
      <c r="B51" s="147"/>
      <c r="C51" s="147"/>
      <c r="D51" s="147"/>
      <c r="E51" s="147"/>
      <c r="F51" s="2"/>
      <c r="G51" s="24" t="s">
        <v>510</v>
      </c>
      <c r="H51" s="176"/>
      <c r="I51" s="176"/>
      <c r="J51" s="27">
        <f>COUNTIF(Funções!B$11:B$778,G51)</f>
        <v>0</v>
      </c>
      <c r="K51" s="25">
        <f>SUMIF(Funções!B$11:B$778,$G51,Funções!K$11:K$778)</f>
        <v>0</v>
      </c>
      <c r="L51" s="19" t="str">
        <f t="shared" si="0"/>
        <v xml:space="preserve">           .</v>
      </c>
    </row>
    <row r="52" spans="1:12" ht="13.5">
      <c r="A52" s="26"/>
      <c r="B52" s="147"/>
      <c r="C52" s="147"/>
      <c r="D52" s="147"/>
      <c r="E52" s="147"/>
      <c r="F52" s="2"/>
      <c r="G52" s="24" t="s">
        <v>510</v>
      </c>
      <c r="H52" s="176"/>
      <c r="I52" s="176"/>
      <c r="J52" s="27">
        <f>COUNTIF(Funções!B$11:B$778,G52)</f>
        <v>0</v>
      </c>
      <c r="K52" s="25">
        <f>SUMIF(Funções!B$11:B$778,$G52,Funções!K$11:K$778)</f>
        <v>0</v>
      </c>
      <c r="L52" s="19" t="str">
        <f t="shared" si="0"/>
        <v xml:space="preserve">           .</v>
      </c>
    </row>
    <row r="53" spans="1:12" ht="13.5">
      <c r="A53" s="26"/>
      <c r="B53" s="147"/>
      <c r="C53" s="147"/>
      <c r="D53" s="147"/>
      <c r="E53" s="147"/>
      <c r="F53" s="2"/>
      <c r="G53" s="24" t="s">
        <v>510</v>
      </c>
      <c r="H53" s="176"/>
      <c r="I53" s="176"/>
      <c r="J53" s="27">
        <f>COUNTIF(Funções!B$11:B$778,G53)</f>
        <v>0</v>
      </c>
      <c r="K53" s="25">
        <f>SUMIF(Funções!B$11:B$778,$G53,Funções!K$11:K$778)</f>
        <v>0</v>
      </c>
      <c r="L53" s="19" t="str">
        <f t="shared" si="0"/>
        <v xml:space="preserve">           .</v>
      </c>
    </row>
    <row r="54" spans="1:12" ht="13.5">
      <c r="A54" s="26"/>
      <c r="B54" s="147"/>
      <c r="C54" s="147"/>
      <c r="D54" s="147"/>
      <c r="E54" s="147"/>
      <c r="F54" s="2"/>
      <c r="G54" s="24" t="s">
        <v>510</v>
      </c>
      <c r="H54" s="176"/>
      <c r="I54" s="176"/>
      <c r="J54" s="27">
        <f>COUNTIF(Funções!B$11:B$778,G54)</f>
        <v>0</v>
      </c>
      <c r="K54" s="25">
        <f>SUMIF(Funções!B$11:B$778,$G54,Funções!K$11:K$778)</f>
        <v>0</v>
      </c>
      <c r="L54" s="19" t="str">
        <f t="shared" si="0"/>
        <v xml:space="preserve">           .</v>
      </c>
    </row>
    <row r="55" spans="1:12" ht="13.5">
      <c r="A55" s="26"/>
      <c r="B55" s="147"/>
      <c r="C55" s="147"/>
      <c r="D55" s="147"/>
      <c r="E55" s="147"/>
      <c r="F55" s="2"/>
      <c r="G55" s="24" t="s">
        <v>510</v>
      </c>
      <c r="H55" s="176"/>
      <c r="I55" s="176"/>
      <c r="J55" s="27">
        <f>COUNTIF(Funções!B$11:B$778,G55)</f>
        <v>0</v>
      </c>
      <c r="K55" s="25">
        <f>SUMIF(Funções!B$11:B$778,$G55,Funções!K$11:K$778)</f>
        <v>0</v>
      </c>
      <c r="L55" s="19" t="str">
        <f t="shared" si="0"/>
        <v xml:space="preserve">           .</v>
      </c>
    </row>
    <row r="56" spans="1:12" ht="13.5">
      <c r="A56" s="26"/>
      <c r="B56" s="147"/>
      <c r="C56" s="147"/>
      <c r="D56" s="147"/>
      <c r="E56" s="147"/>
      <c r="F56" s="2"/>
      <c r="G56" s="24" t="s">
        <v>510</v>
      </c>
      <c r="H56" s="176"/>
      <c r="I56" s="176"/>
      <c r="J56" s="27">
        <f>COUNTIF(Funções!B$11:B$778,G56)</f>
        <v>0</v>
      </c>
      <c r="K56" s="25">
        <f>SUMIF(Funções!B$11:B$778,$G56,Funções!K$11:K$778)</f>
        <v>0</v>
      </c>
      <c r="L56" s="19" t="str">
        <f t="shared" si="0"/>
        <v xml:space="preserve">           .</v>
      </c>
    </row>
    <row r="57" spans="1:12" ht="13.5">
      <c r="A57" s="26"/>
      <c r="B57" s="147"/>
      <c r="C57" s="147"/>
      <c r="D57" s="147"/>
      <c r="E57" s="147"/>
      <c r="F57" s="2"/>
      <c r="G57" s="24" t="s">
        <v>510</v>
      </c>
      <c r="H57" s="176"/>
      <c r="I57" s="176"/>
      <c r="J57" s="27">
        <f>COUNTIF(Funções!B$11:B$778,G57)</f>
        <v>0</v>
      </c>
      <c r="K57" s="25">
        <f>SUMIF(Funções!B$11:B$778,$G57,Funções!K$11:K$778)</f>
        <v>0</v>
      </c>
      <c r="L57" s="19" t="str">
        <f t="shared" si="0"/>
        <v xml:space="preserve">           .</v>
      </c>
    </row>
    <row r="58" spans="1:12" ht="13.5">
      <c r="A58" s="26"/>
      <c r="B58" s="147"/>
      <c r="C58" s="147"/>
      <c r="D58" s="147"/>
      <c r="E58" s="147"/>
      <c r="F58" s="2"/>
      <c r="G58" s="24" t="s">
        <v>510</v>
      </c>
      <c r="H58" s="176"/>
      <c r="I58" s="176"/>
      <c r="J58" s="27">
        <f>COUNTIF(Funções!B$11:B$778,G58)</f>
        <v>0</v>
      </c>
      <c r="K58" s="25">
        <f>SUMIF(Funções!B$11:B$778,$G58,Funções!K$11:K$778)</f>
        <v>0</v>
      </c>
      <c r="L58" s="19" t="str">
        <f t="shared" si="0"/>
        <v xml:space="preserve">           .</v>
      </c>
    </row>
    <row r="59" spans="1:12" ht="13.5">
      <c r="A59" s="26"/>
      <c r="B59" s="147"/>
      <c r="C59" s="147"/>
      <c r="D59" s="147"/>
      <c r="E59" s="147"/>
      <c r="F59" s="2"/>
      <c r="G59" s="24" t="s">
        <v>510</v>
      </c>
      <c r="H59" s="176"/>
      <c r="I59" s="176"/>
      <c r="J59" s="27">
        <f>COUNTIF(Funções!B$11:B$778,G59)</f>
        <v>0</v>
      </c>
      <c r="K59" s="25">
        <f>SUMIF(Funções!B$11:B$778,$G59,Funções!K$11:K$778)</f>
        <v>0</v>
      </c>
      <c r="L59" s="19" t="str">
        <f t="shared" si="0"/>
        <v xml:space="preserve">           .</v>
      </c>
    </row>
    <row r="60" spans="1:12" ht="13.5">
      <c r="A60" s="26"/>
      <c r="B60" s="147"/>
      <c r="C60" s="147"/>
      <c r="D60" s="147"/>
      <c r="E60" s="147"/>
      <c r="F60" s="2"/>
      <c r="G60" s="24" t="s">
        <v>510</v>
      </c>
      <c r="H60" s="176"/>
      <c r="I60" s="176"/>
      <c r="J60" s="27">
        <f>COUNTIF(Funções!B$11:B$778,G60)</f>
        <v>0</v>
      </c>
      <c r="K60" s="25">
        <f>SUMIF(Funções!B$11:B$778,$G60,Funções!K$11:K$778)</f>
        <v>0</v>
      </c>
      <c r="L60" s="19" t="str">
        <f t="shared" si="0"/>
        <v xml:space="preserve">           .</v>
      </c>
    </row>
    <row r="61" spans="1:12" ht="13.5">
      <c r="A61" s="26"/>
      <c r="B61" s="147"/>
      <c r="C61" s="147"/>
      <c r="D61" s="147"/>
      <c r="E61" s="147"/>
      <c r="F61" s="2"/>
      <c r="G61" s="24" t="s">
        <v>510</v>
      </c>
      <c r="H61" s="176"/>
      <c r="I61" s="176"/>
      <c r="J61" s="27">
        <f>COUNTIF(Funções!B$11:B$778,G61)</f>
        <v>0</v>
      </c>
      <c r="K61" s="25">
        <f>SUMIF(Funções!B$11:B$778,$G61,Funções!K$11:K$778)</f>
        <v>0</v>
      </c>
      <c r="L61" s="19" t="str">
        <f t="shared" si="0"/>
        <v xml:space="preserve">           .</v>
      </c>
    </row>
    <row r="62" spans="1:12" ht="13.5">
      <c r="A62" s="26"/>
      <c r="B62" s="147"/>
      <c r="C62" s="147"/>
      <c r="D62" s="147"/>
      <c r="E62" s="147"/>
      <c r="F62" s="2"/>
      <c r="G62" s="24" t="s">
        <v>510</v>
      </c>
      <c r="H62" s="176"/>
      <c r="I62" s="176"/>
      <c r="J62" s="27">
        <f>COUNTIF(Funções!B$11:B$778,G62)</f>
        <v>0</v>
      </c>
      <c r="K62" s="25">
        <f>SUMIF(Funções!B$11:B$778,$G62,Funções!K$11:K$778)</f>
        <v>0</v>
      </c>
      <c r="L62" s="19" t="str">
        <f t="shared" si="0"/>
        <v xml:space="preserve">           .</v>
      </c>
    </row>
    <row r="63" spans="1:12" ht="13.5">
      <c r="A63" s="26"/>
      <c r="B63" s="147"/>
      <c r="C63" s="147"/>
      <c r="D63" s="147"/>
      <c r="E63" s="147"/>
      <c r="F63" s="2"/>
      <c r="G63" s="24" t="s">
        <v>510</v>
      </c>
      <c r="H63" s="176"/>
      <c r="I63" s="176"/>
      <c r="J63" s="27">
        <f>COUNTIF(Funções!B$11:B$778,G63)</f>
        <v>0</v>
      </c>
      <c r="K63" s="25">
        <f>SUMIF(Funções!B$11:B$778,$G63,Funções!K$11:K$778)</f>
        <v>0</v>
      </c>
      <c r="L63" s="19" t="str">
        <f t="shared" si="0"/>
        <v xml:space="preserve">           .</v>
      </c>
    </row>
    <row r="64" spans="1:12" ht="13.5">
      <c r="A64" s="28"/>
      <c r="B64" s="177"/>
      <c r="C64" s="177"/>
      <c r="D64" s="177"/>
      <c r="E64" s="177"/>
      <c r="F64" s="29"/>
      <c r="G64" s="30" t="s">
        <v>510</v>
      </c>
      <c r="H64" s="178"/>
      <c r="I64" s="178"/>
      <c r="J64" s="31">
        <f>COUNTIF(Funções!B$11:B$778,G64)</f>
        <v>0</v>
      </c>
      <c r="K64" s="32">
        <f>SUMIF(Funções!B$11:B$778,$G64,Funções!K$11:K$778)</f>
        <v>0</v>
      </c>
      <c r="L64" s="19" t="str">
        <f t="shared" si="0"/>
        <v xml:space="preserve">           .</v>
      </c>
    </row>
  </sheetData>
  <sheetProtection selectLockedCells="1" selectUnlockedCells="1"/>
  <mergeCells count="90">
    <mergeCell ref="B63:E63"/>
    <mergeCell ref="H63:I63"/>
    <mergeCell ref="B64:E64"/>
    <mergeCell ref="H64:I64"/>
    <mergeCell ref="B60:E60"/>
    <mergeCell ref="H60:I60"/>
    <mergeCell ref="B61:E61"/>
    <mergeCell ref="H61:I61"/>
    <mergeCell ref="B62:E62"/>
    <mergeCell ref="H62:I62"/>
    <mergeCell ref="B57:E57"/>
    <mergeCell ref="H57:I57"/>
    <mergeCell ref="B58:E58"/>
    <mergeCell ref="H58:I58"/>
    <mergeCell ref="B59:E59"/>
    <mergeCell ref="H59:I59"/>
    <mergeCell ref="B54:E54"/>
    <mergeCell ref="H54:I54"/>
    <mergeCell ref="B55:E55"/>
    <mergeCell ref="H55:I55"/>
    <mergeCell ref="B56:E56"/>
    <mergeCell ref="H56:I56"/>
    <mergeCell ref="B51:E51"/>
    <mergeCell ref="H51:I51"/>
    <mergeCell ref="B52:E52"/>
    <mergeCell ref="H52:I52"/>
    <mergeCell ref="B53:E53"/>
    <mergeCell ref="H53:I53"/>
    <mergeCell ref="B48:E48"/>
    <mergeCell ref="H48:I48"/>
    <mergeCell ref="B49:E49"/>
    <mergeCell ref="H49:I49"/>
    <mergeCell ref="B50:E50"/>
    <mergeCell ref="H50:I50"/>
    <mergeCell ref="B45:E45"/>
    <mergeCell ref="H45:I45"/>
    <mergeCell ref="B46:E46"/>
    <mergeCell ref="H46:I46"/>
    <mergeCell ref="B47:E47"/>
    <mergeCell ref="H47:I47"/>
    <mergeCell ref="B43:E43"/>
    <mergeCell ref="H43:I43"/>
    <mergeCell ref="B44:E44"/>
    <mergeCell ref="H44:I44"/>
    <mergeCell ref="H40:I41"/>
    <mergeCell ref="J40:J41"/>
    <mergeCell ref="K40:K41"/>
    <mergeCell ref="B41:E41"/>
    <mergeCell ref="B42:E42"/>
    <mergeCell ref="H42:I42"/>
    <mergeCell ref="G40:G41"/>
    <mergeCell ref="B31:E31"/>
    <mergeCell ref="B36:E36"/>
    <mergeCell ref="B37:E37"/>
    <mergeCell ref="B38:E38"/>
    <mergeCell ref="A40:F40"/>
    <mergeCell ref="B30:E30"/>
    <mergeCell ref="B18:E18"/>
    <mergeCell ref="B19:E19"/>
    <mergeCell ref="B20:E20"/>
    <mergeCell ref="B21:E21"/>
    <mergeCell ref="B22:E22"/>
    <mergeCell ref="B24:E24"/>
    <mergeCell ref="B23:E23"/>
    <mergeCell ref="B25:E25"/>
    <mergeCell ref="B26:E26"/>
    <mergeCell ref="B27:E27"/>
    <mergeCell ref="B28:E28"/>
    <mergeCell ref="B29:E29"/>
    <mergeCell ref="B17:E17"/>
    <mergeCell ref="B6:E6"/>
    <mergeCell ref="B7:E7"/>
    <mergeCell ref="B8:E8"/>
    <mergeCell ref="B9:E9"/>
    <mergeCell ref="B10:E10"/>
    <mergeCell ref="B11:E11"/>
    <mergeCell ref="B12:E12"/>
    <mergeCell ref="B13:E13"/>
    <mergeCell ref="B15:E15"/>
    <mergeCell ref="B16:E16"/>
    <mergeCell ref="B14:E14"/>
    <mergeCell ref="B4:E4"/>
    <mergeCell ref="B5:E5"/>
    <mergeCell ref="A1:K1"/>
    <mergeCell ref="A2:F2"/>
    <mergeCell ref="G2:G3"/>
    <mergeCell ref="H2:I2"/>
    <mergeCell ref="J2:J3"/>
    <mergeCell ref="K2:K3"/>
    <mergeCell ref="B3:E3"/>
  </mergeCells>
  <pageMargins left="0.78749999999999998" right="0.78749999999999998" top="1.023611111111111" bottom="1.023611111111111" header="0.51180555555555551" footer="0.78749999999999998"/>
  <pageSetup paperSize="9" scale="48" firstPageNumber="0" orientation="portrait" horizontalDpi="300" verticalDpi="300" r:id="rId1"/>
  <headerFooter alignWithMargins="0">
    <oddFooter>&amp;CPágina &amp;P de &amp;N</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4"/>
  <dimension ref="A1:L52"/>
  <sheetViews>
    <sheetView showGridLines="0" zoomScaleNormal="100" zoomScaleSheetLayoutView="100" workbookViewId="0">
      <pane ySplit="8" topLeftCell="A12" activePane="bottomLeft" state="frozen"/>
      <selection pane="bottomLeft" activeCell="A9" sqref="A9"/>
      <selection activeCell="B11" sqref="B11"/>
    </sheetView>
  </sheetViews>
  <sheetFormatPr defaultRowHeight="12.6"/>
  <cols>
    <col min="1" max="1" width="2.85546875" customWidth="1"/>
    <col min="2" max="2" width="8.140625" customWidth="1"/>
    <col min="3" max="3" width="11.5703125" customWidth="1"/>
    <col min="4" max="4" width="1.140625" customWidth="1"/>
    <col min="5" max="5" width="7.85546875" customWidth="1"/>
    <col min="6" max="6" width="5.85546875" customWidth="1"/>
    <col min="7" max="7" width="13.42578125" customWidth="1"/>
    <col min="8" max="8" width="8.42578125" customWidth="1"/>
    <col min="9" max="9" width="5.85546875" customWidth="1"/>
    <col min="10" max="10" width="11.5703125" customWidth="1"/>
    <col min="11" max="11" width="8.42578125" customWidth="1"/>
    <col min="12" max="12" width="6.5703125" customWidth="1"/>
  </cols>
  <sheetData>
    <row r="1" spans="1:12">
      <c r="A1" s="149" t="s">
        <v>519</v>
      </c>
      <c r="B1" s="149"/>
      <c r="C1" s="149"/>
      <c r="D1" s="149"/>
      <c r="E1" s="149"/>
      <c r="F1" s="149"/>
      <c r="G1" s="149"/>
      <c r="H1" s="149"/>
      <c r="I1" s="149"/>
      <c r="J1" s="149"/>
      <c r="K1" s="149"/>
      <c r="L1" s="149"/>
    </row>
    <row r="2" spans="1:12">
      <c r="A2" s="149"/>
      <c r="B2" s="149"/>
      <c r="C2" s="149"/>
      <c r="D2" s="149"/>
      <c r="E2" s="149"/>
      <c r="F2" s="149"/>
      <c r="G2" s="149"/>
      <c r="H2" s="149"/>
      <c r="I2" s="149"/>
      <c r="J2" s="149"/>
      <c r="K2" s="149"/>
      <c r="L2" s="149"/>
    </row>
    <row r="3" spans="1:12">
      <c r="A3" s="149"/>
      <c r="B3" s="149"/>
      <c r="C3" s="149"/>
      <c r="D3" s="149"/>
      <c r="E3" s="149"/>
      <c r="F3" s="149"/>
      <c r="G3" s="149"/>
      <c r="H3" s="149"/>
      <c r="I3" s="149"/>
      <c r="J3" s="149"/>
      <c r="K3" s="149"/>
      <c r="L3" s="149"/>
    </row>
    <row r="4" spans="1:12">
      <c r="A4" s="181" t="str">
        <f>Contagem!A5&amp;" : "&amp;Contagem!F5</f>
        <v xml:space="preserve">Aplicação : </v>
      </c>
      <c r="B4" s="181"/>
      <c r="C4" s="181"/>
      <c r="D4" s="181"/>
      <c r="E4" s="181"/>
      <c r="F4" s="163" t="str">
        <f>Contagem!A8&amp;" : "&amp;Contagem!F8</f>
        <v>Projeto : SEI</v>
      </c>
      <c r="G4" s="163"/>
      <c r="H4" s="163"/>
      <c r="I4" s="163"/>
      <c r="J4" s="163"/>
      <c r="K4" s="163"/>
      <c r="L4" s="163"/>
    </row>
    <row r="5" spans="1:12">
      <c r="A5" s="181" t="str">
        <f>Contagem!A9&amp;" : "&amp;Contagem!F9</f>
        <v>Responsável : Ana Karyna da Silva Teixeira</v>
      </c>
      <c r="B5" s="181"/>
      <c r="C5" s="181"/>
      <c r="D5" s="181"/>
      <c r="E5" s="181"/>
      <c r="F5" s="163" t="str">
        <f>Contagem!A10&amp;" : "&amp;Contagem!F10</f>
        <v>Revisor : Luana Alves de Araújo Passos Aguiar</v>
      </c>
      <c r="G5" s="163"/>
      <c r="H5" s="163"/>
      <c r="I5" s="163"/>
      <c r="J5" s="163"/>
      <c r="K5" s="163"/>
      <c r="L5" s="163"/>
    </row>
    <row r="6" spans="1:12">
      <c r="A6" s="181" t="str">
        <f>Contagem!A4&amp;" : "&amp;Contagem!F4</f>
        <v>Empresa : Secretaria de Estado de Planejamento e Gestão de Mato Grosso</v>
      </c>
      <c r="B6" s="181"/>
      <c r="C6" s="181"/>
      <c r="D6" s="181"/>
      <c r="E6" s="181"/>
      <c r="F6" s="163" t="str">
        <f>"Tipo de Contagem : "&amp;Contagem!F6</f>
        <v>Tipo de Contagem : Projeto de Desenvolvimento</v>
      </c>
      <c r="G6" s="163"/>
      <c r="H6" s="163"/>
      <c r="I6" s="163"/>
      <c r="J6" s="163"/>
      <c r="K6" s="163"/>
      <c r="L6" s="163"/>
    </row>
    <row r="7" spans="1:12" ht="12.75" customHeight="1">
      <c r="A7" s="183" t="s">
        <v>520</v>
      </c>
      <c r="B7" s="183"/>
      <c r="C7" s="184" t="s">
        <v>521</v>
      </c>
      <c r="D7" s="184"/>
      <c r="E7" s="184"/>
      <c r="F7" s="184"/>
      <c r="G7" s="179" t="s">
        <v>522</v>
      </c>
      <c r="H7" s="179" t="s">
        <v>523</v>
      </c>
      <c r="I7" s="65"/>
      <c r="J7" s="179" t="s">
        <v>524</v>
      </c>
      <c r="K7" s="179"/>
      <c r="L7" s="180" t="s">
        <v>523</v>
      </c>
    </row>
    <row r="8" spans="1:12">
      <c r="A8" s="183"/>
      <c r="B8" s="183"/>
      <c r="C8" s="184"/>
      <c r="D8" s="184"/>
      <c r="E8" s="184"/>
      <c r="F8" s="184"/>
      <c r="G8" s="179"/>
      <c r="H8" s="179"/>
      <c r="I8" s="66"/>
      <c r="J8" s="179"/>
      <c r="K8" s="179"/>
      <c r="L8" s="180"/>
    </row>
    <row r="9" spans="1:12" ht="6" customHeight="1">
      <c r="A9" s="45"/>
      <c r="B9" s="46"/>
      <c r="C9" s="46"/>
      <c r="D9" s="46"/>
      <c r="E9" s="46"/>
      <c r="F9" s="46"/>
      <c r="G9" s="46"/>
      <c r="H9" s="46"/>
      <c r="I9" s="46"/>
      <c r="J9" s="46"/>
      <c r="K9" s="46"/>
      <c r="L9" s="47"/>
    </row>
    <row r="10" spans="1:12" ht="13.5">
      <c r="A10" s="48"/>
      <c r="B10" s="49" t="s">
        <v>63</v>
      </c>
      <c r="C10" s="50">
        <f>COUNTIF(Funções!G11:G778,"EEL")</f>
        <v>49</v>
      </c>
      <c r="D10" s="49"/>
      <c r="E10" s="51" t="s">
        <v>525</v>
      </c>
      <c r="F10" s="51" t="s">
        <v>526</v>
      </c>
      <c r="G10" s="50">
        <f>C10*3</f>
        <v>147</v>
      </c>
      <c r="H10" s="49"/>
      <c r="I10" s="33"/>
      <c r="J10" s="52" t="str">
        <f>Deflatores!$G$4&amp;"="</f>
        <v>I=</v>
      </c>
      <c r="K10" s="53">
        <f>SUMIF(Funções!$J$11:$J$778,"EE"&amp;Deflatores!G4,Funções!$L$11:$L$778)</f>
        <v>470</v>
      </c>
      <c r="L10" s="54"/>
    </row>
    <row r="11" spans="1:12" ht="13.5">
      <c r="A11" s="55"/>
      <c r="B11" s="49"/>
      <c r="C11" s="50">
        <f>COUNTIF(Funções!G11:G778,"EEA")</f>
        <v>38</v>
      </c>
      <c r="D11" s="49"/>
      <c r="E11" s="51" t="s">
        <v>527</v>
      </c>
      <c r="F11" s="51" t="s">
        <v>528</v>
      </c>
      <c r="G11" s="50">
        <f>C11*4</f>
        <v>152</v>
      </c>
      <c r="H11" s="49"/>
      <c r="I11" s="33"/>
      <c r="J11" s="52" t="str">
        <f>Deflatores!$G$5&amp;"="</f>
        <v>A=</v>
      </c>
      <c r="K11" s="53">
        <f>SUMIF(Funções!$J$11:$J$778,"EE"&amp;Deflatores!G5,Funções!$L$11:$L$778)</f>
        <v>0</v>
      </c>
      <c r="L11" s="54"/>
    </row>
    <row r="12" spans="1:12" ht="13.5">
      <c r="A12" s="55"/>
      <c r="B12" s="49"/>
      <c r="C12" s="50">
        <f>COUNTIF(Funções!G11:G778,"EEH")</f>
        <v>38</v>
      </c>
      <c r="D12" s="49"/>
      <c r="E12" s="51" t="s">
        <v>529</v>
      </c>
      <c r="F12" s="51" t="s">
        <v>530</v>
      </c>
      <c r="G12" s="50">
        <f>C12*6</f>
        <v>228</v>
      </c>
      <c r="H12" s="49"/>
      <c r="I12" s="33"/>
      <c r="J12" s="52" t="str">
        <f>Deflatores!$G$6&amp;"="</f>
        <v>E=</v>
      </c>
      <c r="K12" s="53">
        <f>SUMIF(Funções!$J$11:$J$778,"EE"&amp;Deflatores!G6,Funções!$L$11:$L$778)</f>
        <v>2.4000000000000004</v>
      </c>
      <c r="L12" s="56"/>
    </row>
    <row r="13" spans="1:12" ht="13.5">
      <c r="A13" s="55"/>
      <c r="B13" s="49"/>
      <c r="C13" s="49"/>
      <c r="D13" s="49"/>
      <c r="E13" s="49"/>
      <c r="F13" s="49"/>
      <c r="G13" s="49"/>
      <c r="H13" s="49"/>
      <c r="I13" s="49"/>
      <c r="J13" s="49"/>
      <c r="K13" s="57"/>
      <c r="L13" s="54"/>
    </row>
    <row r="14" spans="1:12" ht="13.5">
      <c r="A14" s="55"/>
      <c r="B14" s="58" t="s">
        <v>531</v>
      </c>
      <c r="C14" s="50">
        <f>SUM(C10:C12)</f>
        <v>125</v>
      </c>
      <c r="D14" s="49"/>
      <c r="E14" s="49"/>
      <c r="F14" s="58" t="s">
        <v>532</v>
      </c>
      <c r="G14" s="50">
        <f>SUM(G10:G12)</f>
        <v>527</v>
      </c>
      <c r="H14" s="33">
        <f>IF($G$45&lt;&gt;0,G14/$G$45,"")</f>
        <v>0.37859195402298851</v>
      </c>
      <c r="J14" s="52"/>
      <c r="K14" s="53">
        <f>SUM(K10:K13)</f>
        <v>472.4</v>
      </c>
      <c r="L14" s="34">
        <f>IF('Sumário 2'!L11&lt;&gt;0,K14/'Sumário 2'!L11,"")</f>
        <v>0.36428130783466994</v>
      </c>
    </row>
    <row r="15" spans="1:12" ht="6" customHeight="1">
      <c r="A15" s="59"/>
      <c r="B15" s="52"/>
      <c r="C15" s="52"/>
      <c r="D15" s="52"/>
      <c r="E15" s="52"/>
      <c r="F15" s="52"/>
      <c r="G15" s="52"/>
      <c r="H15" s="52"/>
      <c r="I15" s="52"/>
      <c r="J15" s="52"/>
      <c r="K15" s="52"/>
      <c r="L15" s="60"/>
    </row>
    <row r="16" spans="1:12" ht="6" customHeight="1">
      <c r="A16" s="55"/>
      <c r="B16" s="49"/>
      <c r="C16" s="49"/>
      <c r="D16" s="49"/>
      <c r="E16" s="49"/>
      <c r="F16" s="49"/>
      <c r="G16" s="49"/>
      <c r="H16" s="49"/>
      <c r="I16" s="49"/>
      <c r="J16" s="49"/>
      <c r="K16" s="49"/>
      <c r="L16" s="54"/>
    </row>
    <row r="17" spans="1:12" ht="13.5">
      <c r="A17" s="55"/>
      <c r="B17" s="49" t="s">
        <v>58</v>
      </c>
      <c r="C17" s="52">
        <f>COUNTIF(Funções!G11:G778,"SEL")</f>
        <v>4</v>
      </c>
      <c r="D17" s="49"/>
      <c r="E17" s="51" t="s">
        <v>525</v>
      </c>
      <c r="F17" s="51" t="s">
        <v>528</v>
      </c>
      <c r="G17" s="52">
        <f>C17*4</f>
        <v>16</v>
      </c>
      <c r="H17" s="49"/>
      <c r="I17" s="49"/>
      <c r="J17" s="52" t="str">
        <f>Deflatores!$G$4&amp;"="</f>
        <v>I=</v>
      </c>
      <c r="K17" s="61">
        <f>SUMIF(Funções!$J$11:$J$778,"SE"&amp;Deflatores!$G$4,Funções!$L$11:$L$778)</f>
        <v>53</v>
      </c>
      <c r="L17" s="54"/>
    </row>
    <row r="18" spans="1:12" ht="13.5">
      <c r="A18" s="55"/>
      <c r="B18" s="49"/>
      <c r="C18" s="52">
        <f>COUNTIF(Funções!G11:G778,"SEA")</f>
        <v>4</v>
      </c>
      <c r="D18" s="49"/>
      <c r="E18" s="51" t="s">
        <v>527</v>
      </c>
      <c r="F18" s="51" t="s">
        <v>533</v>
      </c>
      <c r="G18" s="52">
        <f>C18*5</f>
        <v>20</v>
      </c>
      <c r="H18" s="49"/>
      <c r="I18" s="49"/>
      <c r="J18" s="52" t="str">
        <f>Deflatores!$G$5&amp;"="</f>
        <v>A=</v>
      </c>
      <c r="K18" s="61">
        <f>SUMIF(Funções!$J$11:$J$778,"SE"&amp;Deflatores!$G$5,Funções!$L$11:$L$778)</f>
        <v>0</v>
      </c>
      <c r="L18" s="54"/>
    </row>
    <row r="19" spans="1:12" ht="13.5">
      <c r="A19" s="55"/>
      <c r="B19" s="49"/>
      <c r="C19" s="52">
        <f>COUNTIF(Funções!G11:G778,"SEH")</f>
        <v>4</v>
      </c>
      <c r="D19" s="49"/>
      <c r="E19" s="51" t="s">
        <v>529</v>
      </c>
      <c r="F19" s="51" t="s">
        <v>534</v>
      </c>
      <c r="G19" s="52">
        <f>C19*7</f>
        <v>28</v>
      </c>
      <c r="H19" s="49"/>
      <c r="I19" s="49"/>
      <c r="J19" s="52" t="str">
        <f>Deflatores!$G$6&amp;"="</f>
        <v>E=</v>
      </c>
      <c r="K19" s="61">
        <f>SUMIF(Funções!$J$11:$J$778,"SE"&amp;Deflatores!$G$6,Funções!$L$11:$L$778)</f>
        <v>0</v>
      </c>
      <c r="L19" s="56"/>
    </row>
    <row r="20" spans="1:12" ht="13.5">
      <c r="A20" s="55"/>
      <c r="B20" s="49"/>
      <c r="C20" s="49"/>
      <c r="D20" s="49"/>
      <c r="E20" s="49"/>
      <c r="F20" s="49"/>
      <c r="G20" s="49"/>
      <c r="H20" s="49"/>
      <c r="I20" s="49"/>
      <c r="J20" s="49"/>
      <c r="K20" s="57"/>
      <c r="L20" s="54"/>
    </row>
    <row r="21" spans="1:12" ht="13.5">
      <c r="A21" s="55"/>
      <c r="B21" s="58" t="s">
        <v>531</v>
      </c>
      <c r="C21" s="50">
        <f>SUM(C17:C19)</f>
        <v>12</v>
      </c>
      <c r="D21" s="49"/>
      <c r="E21" s="49"/>
      <c r="F21" s="58" t="s">
        <v>532</v>
      </c>
      <c r="G21" s="50">
        <f>SUM(G17:G19)</f>
        <v>64</v>
      </c>
      <c r="H21" s="33">
        <f>IF($G$45&lt;&gt;0,G21/$G$45,"")</f>
        <v>4.5977011494252873E-2</v>
      </c>
      <c r="J21" s="52"/>
      <c r="K21" s="53">
        <f>SUM(K17:K20)</f>
        <v>53</v>
      </c>
      <c r="L21" s="34">
        <f>IF('Sumário 2'!L11&lt;&gt;0,K21/'Sumário 2'!L11,"")</f>
        <v>4.0869833436150527E-2</v>
      </c>
    </row>
    <row r="22" spans="1:12" ht="6" customHeight="1">
      <c r="A22" s="59"/>
      <c r="B22" s="52"/>
      <c r="C22" s="52"/>
      <c r="D22" s="52"/>
      <c r="E22" s="52"/>
      <c r="F22" s="52"/>
      <c r="G22" s="52"/>
      <c r="H22" s="52"/>
      <c r="I22" s="52"/>
      <c r="J22" s="52"/>
      <c r="K22" s="52"/>
      <c r="L22" s="60"/>
    </row>
    <row r="23" spans="1:12" ht="6" customHeight="1">
      <c r="A23" s="45"/>
      <c r="B23" s="46"/>
      <c r="C23" s="49"/>
      <c r="D23" s="46"/>
      <c r="E23" s="46"/>
      <c r="F23" s="46"/>
      <c r="G23" s="49"/>
      <c r="H23" s="46"/>
      <c r="I23" s="46"/>
      <c r="J23" s="46"/>
      <c r="K23" s="46"/>
      <c r="L23" s="47"/>
    </row>
    <row r="24" spans="1:12" ht="13.5">
      <c r="A24" s="55"/>
      <c r="B24" s="49" t="s">
        <v>44</v>
      </c>
      <c r="C24" s="50">
        <f>COUNTIF(Funções!G11:G778,"CEL")</f>
        <v>59</v>
      </c>
      <c r="D24" s="49"/>
      <c r="E24" s="51" t="s">
        <v>525</v>
      </c>
      <c r="F24" s="51" t="s">
        <v>526</v>
      </c>
      <c r="G24" s="50">
        <f>C24*3</f>
        <v>177</v>
      </c>
      <c r="H24" s="49"/>
      <c r="I24" s="49"/>
      <c r="J24" s="52" t="str">
        <f>Deflatores!$G$4&amp;"="</f>
        <v>I=</v>
      </c>
      <c r="K24" s="53">
        <f>SUMIF(Funções!$J$11:$J$778,"CE"&amp;Deflatores!$G$4,Funções!$L$11:$L$778)</f>
        <v>562</v>
      </c>
      <c r="L24" s="54"/>
    </row>
    <row r="25" spans="1:12" ht="13.5">
      <c r="A25" s="55"/>
      <c r="B25" s="49"/>
      <c r="C25" s="50">
        <f>COUNTIF(Funções!G11:G778,"CEA")</f>
        <v>48</v>
      </c>
      <c r="D25" s="49"/>
      <c r="E25" s="51" t="s">
        <v>527</v>
      </c>
      <c r="F25" s="51" t="s">
        <v>528</v>
      </c>
      <c r="G25" s="50">
        <f>C25*4</f>
        <v>192</v>
      </c>
      <c r="H25" s="49"/>
      <c r="I25" s="49"/>
      <c r="J25" s="52" t="str">
        <f>Deflatores!$G$5&amp;"="</f>
        <v>A=</v>
      </c>
      <c r="K25" s="53">
        <f>SUMIF(Funções!$J$11:$J$778,"CE"&amp;Deflatores!$G$5,Funções!$L$11:$L$778)</f>
        <v>0</v>
      </c>
      <c r="L25" s="54"/>
    </row>
    <row r="26" spans="1:12" ht="13.5">
      <c r="A26" s="55"/>
      <c r="B26" s="49"/>
      <c r="C26" s="50">
        <f>COUNTIF(Funções!G11:G778,"CEH")</f>
        <v>42</v>
      </c>
      <c r="D26" s="49"/>
      <c r="E26" s="51" t="s">
        <v>529</v>
      </c>
      <c r="F26" s="51" t="s">
        <v>530</v>
      </c>
      <c r="G26" s="50">
        <f>C26*6</f>
        <v>252</v>
      </c>
      <c r="H26" s="49"/>
      <c r="I26" s="49"/>
      <c r="J26" s="52" t="str">
        <f>Deflatores!$G$6&amp;"="</f>
        <v>E=</v>
      </c>
      <c r="K26" s="53">
        <f>SUMIF(Funções!$J$11:$J$778,"CE"&amp;Deflatores!$G$6,Funções!$L$11:$L$778)</f>
        <v>4.8000000000000007</v>
      </c>
      <c r="L26" s="56"/>
    </row>
    <row r="27" spans="1:12" ht="13.5">
      <c r="A27" s="55"/>
      <c r="B27" s="49"/>
      <c r="C27" s="49"/>
      <c r="D27" s="49"/>
      <c r="E27" s="49"/>
      <c r="F27" s="49"/>
      <c r="G27" s="49"/>
      <c r="H27" s="49"/>
      <c r="I27" s="49"/>
      <c r="J27" s="49"/>
      <c r="K27" s="57"/>
      <c r="L27" s="54"/>
    </row>
    <row r="28" spans="1:12" ht="13.5">
      <c r="A28" s="55"/>
      <c r="B28" s="58" t="s">
        <v>531</v>
      </c>
      <c r="C28" s="50">
        <f>SUM(C24:C26)</f>
        <v>149</v>
      </c>
      <c r="D28" s="49"/>
      <c r="E28" s="49"/>
      <c r="F28" s="58" t="s">
        <v>532</v>
      </c>
      <c r="G28" s="50">
        <f>SUM(G24:G26)</f>
        <v>621</v>
      </c>
      <c r="H28" s="33">
        <f>IF($G$45&lt;&gt;0,G28/$G$45,"")</f>
        <v>0.44612068965517243</v>
      </c>
      <c r="J28" s="52"/>
      <c r="K28" s="53">
        <f>SUM(K24:K27)</f>
        <v>566.79999999999995</v>
      </c>
      <c r="L28" s="34">
        <f>IF('Sumário 2'!L11&lt;&gt;0,K28/'Sumário 2'!L11,"")</f>
        <v>0.43707587908698331</v>
      </c>
    </row>
    <row r="29" spans="1:12" ht="6" customHeight="1">
      <c r="A29" s="59"/>
      <c r="B29" s="52"/>
      <c r="C29" s="52"/>
      <c r="D29" s="52"/>
      <c r="E29" s="52"/>
      <c r="F29" s="52"/>
      <c r="G29" s="52"/>
      <c r="H29" s="52"/>
      <c r="I29" s="52"/>
      <c r="J29" s="52"/>
      <c r="K29" s="52"/>
      <c r="L29" s="60"/>
    </row>
    <row r="30" spans="1:12" ht="6" customHeight="1">
      <c r="A30" s="45"/>
      <c r="B30" s="46"/>
      <c r="C30" s="49"/>
      <c r="D30" s="46"/>
      <c r="E30" s="46"/>
      <c r="F30" s="46"/>
      <c r="G30" s="49"/>
      <c r="H30" s="46"/>
      <c r="I30" s="46"/>
      <c r="J30" s="46"/>
      <c r="K30" s="46"/>
      <c r="L30" s="47"/>
    </row>
    <row r="31" spans="1:12" ht="13.5">
      <c r="A31" s="55"/>
      <c r="B31" s="49" t="s">
        <v>55</v>
      </c>
      <c r="C31" s="50">
        <f>COUNTIF(Funções!G11:G778,"ALIL")</f>
        <v>10</v>
      </c>
      <c r="D31" s="49"/>
      <c r="E31" s="49" t="s">
        <v>525</v>
      </c>
      <c r="F31" s="49" t="s">
        <v>534</v>
      </c>
      <c r="G31" s="50">
        <f>C31*7</f>
        <v>70</v>
      </c>
      <c r="H31" s="49"/>
      <c r="I31" s="49"/>
      <c r="J31" s="52" t="str">
        <f>Deflatores!$G$4&amp;"="</f>
        <v>I=</v>
      </c>
      <c r="K31" s="53">
        <f>SUMIF(Funções!$J$11:$J$778,"ALI"&amp;Deflatores!$G$4,Funções!$L$11:$L$778)</f>
        <v>96</v>
      </c>
      <c r="L31" s="54"/>
    </row>
    <row r="32" spans="1:12" ht="13.5">
      <c r="A32" s="55"/>
      <c r="B32" s="49"/>
      <c r="C32" s="50">
        <f>COUNTIF(Funções!G11:G778,"ALIA")</f>
        <v>2</v>
      </c>
      <c r="D32" s="49"/>
      <c r="E32" s="49" t="s">
        <v>527</v>
      </c>
      <c r="F32" s="49" t="s">
        <v>535</v>
      </c>
      <c r="G32" s="50">
        <f>C32*10</f>
        <v>20</v>
      </c>
      <c r="H32" s="49"/>
      <c r="I32" s="49"/>
      <c r="J32" s="52" t="str">
        <f>Deflatores!$G$5&amp;"="</f>
        <v>A=</v>
      </c>
      <c r="K32" s="53">
        <f>SUMIF(Funções!$J$11:$J$778,"ALI"&amp;Deflatores!$G$5,Funções!$L$11:$L$778)</f>
        <v>0</v>
      </c>
      <c r="L32" s="54"/>
    </row>
    <row r="33" spans="1:12" ht="13.5">
      <c r="A33" s="55"/>
      <c r="B33" s="49"/>
      <c r="C33" s="50">
        <f>COUNTIF(Funções!G11:G778,"ALIH")</f>
        <v>3</v>
      </c>
      <c r="D33" s="49"/>
      <c r="E33" s="49" t="s">
        <v>529</v>
      </c>
      <c r="F33" s="49" t="s">
        <v>536</v>
      </c>
      <c r="G33" s="50">
        <f>C33*15</f>
        <v>45</v>
      </c>
      <c r="H33" s="49"/>
      <c r="I33" s="49"/>
      <c r="J33" s="52" t="str">
        <f>Deflatores!$G$6&amp;"="</f>
        <v>E=</v>
      </c>
      <c r="K33" s="53">
        <f>SUMIF(Funções!$J$11:$J$778,"ALI"&amp;Deflatores!$G$6,Funções!$L$11:$L$778)</f>
        <v>0</v>
      </c>
      <c r="L33" s="56"/>
    </row>
    <row r="34" spans="1:12" ht="13.5">
      <c r="A34" s="55"/>
      <c r="B34" s="49"/>
      <c r="C34" s="49"/>
      <c r="D34" s="49"/>
      <c r="E34" s="49"/>
      <c r="F34" s="49"/>
      <c r="G34" s="49"/>
      <c r="H34" s="49"/>
      <c r="I34" s="49"/>
      <c r="J34" s="49"/>
      <c r="K34" s="57"/>
      <c r="L34" s="54"/>
    </row>
    <row r="35" spans="1:12" ht="13.5">
      <c r="A35" s="55"/>
      <c r="B35" s="58" t="s">
        <v>531</v>
      </c>
      <c r="C35" s="50">
        <f>SUM(C31:C33)</f>
        <v>15</v>
      </c>
      <c r="D35" s="49"/>
      <c r="E35" s="49"/>
      <c r="F35" s="58" t="s">
        <v>532</v>
      </c>
      <c r="G35" s="50">
        <f>SUM(G31:G33)</f>
        <v>135</v>
      </c>
      <c r="H35" s="33">
        <f>IF($G$45&lt;&gt;0,G35/$G$45,"")</f>
        <v>9.6982758620689655E-2</v>
      </c>
      <c r="J35" s="52"/>
      <c r="K35" s="53">
        <f>SUM(K31:K34)</f>
        <v>96</v>
      </c>
      <c r="L35" s="34">
        <f>IF('Sumário 2'!L11&lt;&gt;0,K35/'Sumário 2'!L11,"")</f>
        <v>7.4028377544725479E-2</v>
      </c>
    </row>
    <row r="36" spans="1:12" ht="6" customHeight="1">
      <c r="A36" s="59"/>
      <c r="B36" s="52"/>
      <c r="C36" s="52"/>
      <c r="D36" s="52"/>
      <c r="E36" s="52"/>
      <c r="F36" s="52"/>
      <c r="G36" s="52"/>
      <c r="H36" s="52"/>
      <c r="I36" s="52"/>
      <c r="J36" s="52"/>
      <c r="K36" s="52"/>
      <c r="L36" s="60"/>
    </row>
    <row r="37" spans="1:12" ht="6" customHeight="1">
      <c r="A37" s="45"/>
      <c r="B37" s="46"/>
      <c r="C37" s="49"/>
      <c r="D37" s="46"/>
      <c r="E37" s="46"/>
      <c r="F37" s="46"/>
      <c r="G37" s="49"/>
      <c r="H37" s="46"/>
      <c r="I37" s="46"/>
      <c r="J37" s="46"/>
      <c r="K37" s="46"/>
      <c r="L37" s="47"/>
    </row>
    <row r="38" spans="1:12" ht="13.5">
      <c r="A38" s="55"/>
      <c r="B38" s="49" t="s">
        <v>48</v>
      </c>
      <c r="C38" s="50">
        <f>COUNTIF(Funções!G11:G778,"AIEL")</f>
        <v>9</v>
      </c>
      <c r="D38" s="49"/>
      <c r="E38" s="49" t="s">
        <v>525</v>
      </c>
      <c r="F38" s="49" t="s">
        <v>533</v>
      </c>
      <c r="G38" s="50">
        <f>C38*5</f>
        <v>45</v>
      </c>
      <c r="H38" s="49"/>
      <c r="I38" s="49"/>
      <c r="J38" s="52" t="str">
        <f>Deflatores!$G$4&amp;"="</f>
        <v>I=</v>
      </c>
      <c r="K38" s="53">
        <f>SUMIF(Funções!$J$11:$J$778,"AIE"&amp;Deflatores!$G$4,Funções!$L$11:$L$778)</f>
        <v>45</v>
      </c>
      <c r="L38" s="54"/>
    </row>
    <row r="39" spans="1:12" ht="13.5">
      <c r="A39" s="55"/>
      <c r="B39" s="49"/>
      <c r="C39" s="50">
        <f>COUNTIF(Funções!G11:G778,"AIEA")</f>
        <v>0</v>
      </c>
      <c r="D39" s="49"/>
      <c r="E39" s="49" t="s">
        <v>527</v>
      </c>
      <c r="F39" s="49" t="s">
        <v>534</v>
      </c>
      <c r="G39" s="50">
        <f>C39*7</f>
        <v>0</v>
      </c>
      <c r="H39" s="49"/>
      <c r="I39" s="49"/>
      <c r="J39" s="52" t="str">
        <f>Deflatores!$G$5&amp;"="</f>
        <v>A=</v>
      </c>
      <c r="K39" s="53">
        <f>SUMIF(Funções!$J$11:$J$778,"AIE"&amp;Deflatores!$G$5,Funções!$L$11:$L$778)</f>
        <v>0</v>
      </c>
      <c r="L39" s="54"/>
    </row>
    <row r="40" spans="1:12" ht="13.5">
      <c r="A40" s="55"/>
      <c r="B40" s="49"/>
      <c r="C40" s="50">
        <f>COUNTIF(Funções!G11:G778,"AIEH")</f>
        <v>0</v>
      </c>
      <c r="D40" s="49"/>
      <c r="E40" s="49" t="s">
        <v>529</v>
      </c>
      <c r="F40" s="49" t="s">
        <v>535</v>
      </c>
      <c r="G40" s="50">
        <f>C40*10</f>
        <v>0</v>
      </c>
      <c r="H40" s="49"/>
      <c r="I40" s="49"/>
      <c r="J40" s="52" t="str">
        <f>Deflatores!$G$6&amp;"="</f>
        <v>E=</v>
      </c>
      <c r="K40" s="53">
        <f>SUMIF(Funções!$J$11:$J$778,"AIE"&amp;Deflatores!$G$6,Funções!$L$11:$L$778)</f>
        <v>0</v>
      </c>
      <c r="L40" s="56"/>
    </row>
    <row r="41" spans="1:12" ht="13.5">
      <c r="A41" s="55"/>
      <c r="B41" s="49"/>
      <c r="C41" s="49"/>
      <c r="D41" s="49"/>
      <c r="E41" s="49"/>
      <c r="F41" s="49"/>
      <c r="G41" s="49"/>
      <c r="H41" s="49"/>
      <c r="I41" s="49"/>
      <c r="J41" s="49"/>
      <c r="K41" s="57"/>
      <c r="L41" s="54"/>
    </row>
    <row r="42" spans="1:12" ht="13.5">
      <c r="A42" s="55"/>
      <c r="B42" s="58" t="s">
        <v>531</v>
      </c>
      <c r="C42" s="50">
        <f>SUM(C38:C40)</f>
        <v>9</v>
      </c>
      <c r="D42" s="49"/>
      <c r="E42" s="49"/>
      <c r="F42" s="58" t="s">
        <v>532</v>
      </c>
      <c r="G42" s="50">
        <f>SUM(G38:G40)</f>
        <v>45</v>
      </c>
      <c r="H42" s="33">
        <f>IF($G$45&lt;&gt;0,G42/$G$45,"")</f>
        <v>3.2327586206896554E-2</v>
      </c>
      <c r="J42" s="52"/>
      <c r="K42" s="53">
        <f>SUM(K38:K41)</f>
        <v>45</v>
      </c>
      <c r="L42" s="34">
        <f>IF('Sumário 2'!L11&lt;&gt;0,K42/'Sumário 2'!L11,"")</f>
        <v>3.4700801974090069E-2</v>
      </c>
    </row>
    <row r="43" spans="1:12" ht="6" customHeight="1">
      <c r="A43" s="59"/>
      <c r="B43" s="52"/>
      <c r="C43" s="52"/>
      <c r="D43" s="52"/>
      <c r="E43" s="52"/>
      <c r="F43" s="52"/>
      <c r="G43" s="52"/>
      <c r="H43" s="52"/>
      <c r="I43" s="52"/>
      <c r="J43" s="52"/>
      <c r="K43" s="52"/>
      <c r="L43" s="60"/>
    </row>
    <row r="44" spans="1:12" ht="6" customHeight="1">
      <c r="A44" s="55"/>
      <c r="B44" s="49"/>
      <c r="C44" s="49"/>
      <c r="D44" s="49"/>
      <c r="E44" s="49"/>
      <c r="F44" s="49"/>
      <c r="G44" s="49"/>
      <c r="H44" s="49"/>
      <c r="I44" s="49"/>
      <c r="J44" s="49"/>
      <c r="K44" s="49"/>
      <c r="L44" s="54"/>
    </row>
    <row r="45" spans="1:12" ht="13.5">
      <c r="A45" s="55"/>
      <c r="B45" s="182" t="s">
        <v>537</v>
      </c>
      <c r="C45" s="182"/>
      <c r="D45" s="182"/>
      <c r="E45" s="182"/>
      <c r="F45" s="182"/>
      <c r="G45" s="50">
        <f>SUM(G14+G21+G28+G35+G42)</f>
        <v>1392</v>
      </c>
      <c r="H45" s="49"/>
      <c r="I45" s="49"/>
      <c r="J45" s="49"/>
      <c r="K45" s="49"/>
      <c r="L45" s="54"/>
    </row>
    <row r="46" spans="1:12" ht="13.5">
      <c r="A46" s="55"/>
      <c r="B46" s="182" t="s">
        <v>538</v>
      </c>
      <c r="C46" s="182"/>
      <c r="D46" s="182"/>
      <c r="E46" s="182"/>
      <c r="F46" s="182"/>
      <c r="G46" s="50">
        <f>(C10+C11+C12)*4+(C17+C18+C19)*5+(C24+C25+C26)*4+(C31+C32+C33)*7+(C38+C39+C40)*5</f>
        <v>1306</v>
      </c>
      <c r="H46" s="49"/>
      <c r="I46" s="49"/>
      <c r="J46" s="49"/>
      <c r="K46" s="49"/>
      <c r="L46" s="54"/>
    </row>
    <row r="47" spans="1:12" ht="13.5">
      <c r="A47" s="55"/>
      <c r="B47" s="182" t="s">
        <v>539</v>
      </c>
      <c r="C47" s="182"/>
      <c r="D47" s="182"/>
      <c r="E47" s="182"/>
      <c r="F47" s="182"/>
      <c r="G47" s="50">
        <f>(C31+C32+C33)*35+(C38+C39+C40)*15</f>
        <v>660</v>
      </c>
      <c r="H47" s="49"/>
      <c r="I47" s="49"/>
      <c r="J47" s="49"/>
      <c r="K47" s="49"/>
      <c r="L47" s="54"/>
    </row>
    <row r="48" spans="1:12" ht="13.5">
      <c r="A48" s="55"/>
      <c r="B48" s="49"/>
      <c r="C48" s="49"/>
      <c r="D48" s="49"/>
      <c r="E48" s="49"/>
      <c r="F48" s="49"/>
      <c r="G48" s="49"/>
      <c r="H48" s="49"/>
      <c r="I48" s="49"/>
      <c r="J48" s="49"/>
      <c r="K48" s="49"/>
      <c r="L48" s="54"/>
    </row>
    <row r="49" spans="1:12" ht="13.5">
      <c r="A49" s="55"/>
      <c r="B49" s="49"/>
      <c r="C49" s="49"/>
      <c r="D49" s="49"/>
      <c r="E49" s="49"/>
      <c r="F49" s="49"/>
      <c r="G49" s="49"/>
      <c r="H49" s="49"/>
      <c r="I49" s="49"/>
      <c r="J49" s="49"/>
      <c r="K49" s="49"/>
      <c r="L49" s="54"/>
    </row>
    <row r="50" spans="1:12" ht="13.5">
      <c r="A50" s="55"/>
      <c r="B50" s="49"/>
      <c r="C50" s="49"/>
      <c r="D50" s="49"/>
      <c r="E50" s="49"/>
      <c r="F50" s="49"/>
      <c r="G50" s="49"/>
      <c r="H50" s="49"/>
      <c r="I50" s="49"/>
      <c r="J50" s="49"/>
      <c r="K50" s="49"/>
      <c r="L50" s="54"/>
    </row>
    <row r="51" spans="1:12" ht="13.5">
      <c r="A51" s="55"/>
      <c r="B51" s="49"/>
      <c r="C51" s="49"/>
      <c r="D51" s="49"/>
      <c r="E51" s="49"/>
      <c r="F51" s="49"/>
      <c r="G51" s="49"/>
      <c r="H51" s="49"/>
      <c r="I51" s="49"/>
      <c r="J51" s="49"/>
      <c r="K51" s="49"/>
      <c r="L51" s="54"/>
    </row>
    <row r="52" spans="1:12" ht="13.5">
      <c r="A52" s="62"/>
      <c r="B52" s="63"/>
      <c r="C52" s="63"/>
      <c r="D52" s="63"/>
      <c r="E52" s="63"/>
      <c r="F52" s="63"/>
      <c r="G52" s="63"/>
      <c r="H52" s="63"/>
      <c r="I52" s="63"/>
      <c r="J52" s="63"/>
      <c r="K52" s="63"/>
      <c r="L52" s="64"/>
    </row>
  </sheetData>
  <sheetProtection selectLockedCells="1" selectUnlockedCells="1"/>
  <mergeCells count="16">
    <mergeCell ref="B45:F45"/>
    <mergeCell ref="B46:F46"/>
    <mergeCell ref="B47:F47"/>
    <mergeCell ref="A7:B8"/>
    <mergeCell ref="C7:F8"/>
    <mergeCell ref="G7:G8"/>
    <mergeCell ref="H7:H8"/>
    <mergeCell ref="J7:K8"/>
    <mergeCell ref="L7:L8"/>
    <mergeCell ref="A1:L3"/>
    <mergeCell ref="A4:E4"/>
    <mergeCell ref="F4:L4"/>
    <mergeCell ref="A5:E5"/>
    <mergeCell ref="F5:L5"/>
    <mergeCell ref="A6:E6"/>
    <mergeCell ref="F6:L6"/>
  </mergeCells>
  <pageMargins left="0.51180555555555551" right="0.51180555555555551" top="0.78749999999999998" bottom="0.78749999999999998" header="0.51180555555555551" footer="0.31527777777777777"/>
  <pageSetup paperSize="9" firstPageNumber="0" orientation="portrait" horizontalDpi="300" verticalDpi="300" r:id="rId1"/>
  <headerFooter alignWithMargins="0">
    <oddFooter>&amp;CPágina &amp;P de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5"/>
  <dimension ref="A1:M70"/>
  <sheetViews>
    <sheetView showGridLines="0" view="pageBreakPreview" zoomScaleSheetLayoutView="100" workbookViewId="0">
      <pane ySplit="6" topLeftCell="A28" activePane="bottomLeft" state="frozen"/>
      <selection pane="bottomLeft" activeCell="A7" sqref="A7"/>
      <selection activeCell="B11" sqref="B11"/>
    </sheetView>
  </sheetViews>
  <sheetFormatPr defaultColWidth="11.5703125" defaultRowHeight="12.6"/>
  <cols>
    <col min="1" max="1" width="3.140625" customWidth="1"/>
    <col min="2" max="2" width="32.5703125" customWidth="1"/>
    <col min="3" max="3" width="36.42578125" customWidth="1"/>
    <col min="4" max="4" width="7" customWidth="1"/>
    <col min="5" max="5" width="9.85546875" customWidth="1"/>
    <col min="6" max="6" width="9.140625" customWidth="1"/>
    <col min="7" max="8" width="12.140625" customWidth="1"/>
    <col min="9" max="9" width="12.5703125" customWidth="1"/>
    <col min="10" max="10" width="7.5703125" customWidth="1"/>
    <col min="11" max="11" width="2.140625" customWidth="1"/>
    <col min="12" max="12" width="13.5703125" customWidth="1"/>
    <col min="13" max="13" width="1.85546875" customWidth="1"/>
  </cols>
  <sheetData>
    <row r="1" spans="1:13">
      <c r="A1" s="149" t="s">
        <v>540</v>
      </c>
      <c r="B1" s="149"/>
      <c r="C1" s="149"/>
      <c r="D1" s="149"/>
      <c r="E1" s="149"/>
      <c r="F1" s="149"/>
      <c r="G1" s="149"/>
      <c r="H1" s="149"/>
      <c r="I1" s="149"/>
      <c r="J1" s="149"/>
      <c r="K1" s="149"/>
      <c r="L1" s="149"/>
      <c r="M1" s="149"/>
    </row>
    <row r="2" spans="1:13">
      <c r="A2" s="149"/>
      <c r="B2" s="149"/>
      <c r="C2" s="149"/>
      <c r="D2" s="149"/>
      <c r="E2" s="149"/>
      <c r="F2" s="149"/>
      <c r="G2" s="149"/>
      <c r="H2" s="149"/>
      <c r="I2" s="149"/>
      <c r="J2" s="149"/>
      <c r="K2" s="149"/>
      <c r="L2" s="149"/>
      <c r="M2" s="149"/>
    </row>
    <row r="3" spans="1:13">
      <c r="A3" s="149"/>
      <c r="B3" s="149"/>
      <c r="C3" s="149"/>
      <c r="D3" s="149"/>
      <c r="E3" s="149"/>
      <c r="F3" s="149"/>
      <c r="G3" s="149"/>
      <c r="H3" s="149"/>
      <c r="I3" s="149"/>
      <c r="J3" s="149"/>
      <c r="K3" s="149"/>
      <c r="L3" s="149"/>
      <c r="M3" s="149"/>
    </row>
    <row r="4" spans="1:13">
      <c r="A4" s="181" t="str">
        <f>Contagem!A5&amp;" : "&amp;Contagem!F5</f>
        <v xml:space="preserve">Aplicação : </v>
      </c>
      <c r="B4" s="181"/>
      <c r="C4" s="181"/>
      <c r="D4" s="181"/>
      <c r="E4" s="181"/>
      <c r="F4" s="163" t="str">
        <f>Contagem!A8&amp;" : "&amp;Contagem!F8</f>
        <v>Projeto : SEI</v>
      </c>
      <c r="G4" s="163"/>
      <c r="H4" s="163"/>
      <c r="I4" s="163"/>
      <c r="J4" s="163"/>
      <c r="K4" s="163"/>
      <c r="L4" s="163"/>
      <c r="M4" s="163"/>
    </row>
    <row r="5" spans="1:13">
      <c r="A5" s="185" t="str">
        <f>Contagem!A9&amp;" : "&amp;Contagem!F9</f>
        <v>Responsável : Ana Karyna da Silva Teixeira</v>
      </c>
      <c r="B5" s="185"/>
      <c r="C5" s="185"/>
      <c r="D5" s="185"/>
      <c r="E5" s="185"/>
      <c r="F5" s="163" t="str">
        <f>Contagem!A10&amp;" : "&amp;Contagem!F10</f>
        <v>Revisor : Luana Alves de Araújo Passos Aguiar</v>
      </c>
      <c r="G5" s="163"/>
      <c r="H5" s="163"/>
      <c r="I5" s="163"/>
      <c r="J5" s="163"/>
      <c r="K5" s="163"/>
      <c r="L5" s="163"/>
      <c r="M5" s="163"/>
    </row>
    <row r="6" spans="1:13">
      <c r="A6" s="185" t="str">
        <f>Contagem!A4&amp;" : "&amp;Contagem!F4</f>
        <v>Empresa : Secretaria de Estado de Planejamento e Gestão de Mato Grosso</v>
      </c>
      <c r="B6" s="185"/>
      <c r="C6" s="185"/>
      <c r="D6" s="185"/>
      <c r="E6" s="185"/>
      <c r="F6" s="163" t="str">
        <f>"Tipo de Contagem : "&amp;Contagem!F6</f>
        <v>Tipo de Contagem : Projeto de Desenvolvimento</v>
      </c>
      <c r="G6" s="163"/>
      <c r="H6" s="163"/>
      <c r="I6" s="163"/>
      <c r="J6" s="163"/>
      <c r="K6" s="163"/>
      <c r="L6" s="163"/>
      <c r="M6" s="163"/>
    </row>
    <row r="7" spans="1:13">
      <c r="A7" s="80"/>
      <c r="M7" s="81"/>
    </row>
    <row r="8" spans="1:13" ht="13.5">
      <c r="A8" s="80"/>
      <c r="B8" s="186"/>
      <c r="C8" s="186"/>
      <c r="D8" s="186"/>
      <c r="E8" s="186"/>
      <c r="F8" s="186"/>
      <c r="G8" s="186"/>
      <c r="H8" s="186"/>
      <c r="I8" s="186"/>
      <c r="M8" s="81"/>
    </row>
    <row r="9" spans="1:13" ht="13.5">
      <c r="A9" s="80"/>
      <c r="B9" s="187" t="s">
        <v>541</v>
      </c>
      <c r="C9" s="187"/>
      <c r="D9" s="187"/>
      <c r="E9" s="35" t="s">
        <v>511</v>
      </c>
      <c r="F9" s="35" t="s">
        <v>3</v>
      </c>
      <c r="G9" s="35" t="s">
        <v>542</v>
      </c>
      <c r="H9" s="35" t="s">
        <v>543</v>
      </c>
      <c r="I9" s="35" t="s">
        <v>8</v>
      </c>
      <c r="J9" s="35" t="s">
        <v>544</v>
      </c>
      <c r="M9" s="81"/>
    </row>
    <row r="10" spans="1:13" ht="13.5" customHeight="1">
      <c r="A10" s="80"/>
      <c r="B10" s="147" t="str">
        <f>""&amp;Deflatores!B4</f>
        <v>Inclusão</v>
      </c>
      <c r="C10" s="147"/>
      <c r="D10" s="24" t="str">
        <f>""&amp;Deflatores!G4</f>
        <v>I</v>
      </c>
      <c r="E10" s="102">
        <f>IF(D10="","",COUNTIF(Funções!C$11:C$778,D10))</f>
        <v>278</v>
      </c>
      <c r="F10" s="103">
        <f>SUMIF(Funções!$C$11:$C$778,Deflatores!G4,Funções!$H$11:$H$778)</f>
        <v>1226</v>
      </c>
      <c r="G10" s="104">
        <f>IF(ISBLANK(Deflatores!H4),"",Deflatores!H4)</f>
        <v>1</v>
      </c>
      <c r="H10" s="103" t="str">
        <f>IF(ISBLANK(Deflatores!I4),"",Deflatores!I4)</f>
        <v/>
      </c>
      <c r="I10" s="105">
        <f>IF(F10=0,Deflatores!K4,F10*G10)</f>
        <v>1226</v>
      </c>
      <c r="J10" s="106">
        <f t="shared" ref="J10:J44" si="0">IF($L$11&lt;&gt;0,I10/$L$11,"")</f>
        <v>0.945404071560765</v>
      </c>
      <c r="L10" s="40" t="s">
        <v>8</v>
      </c>
      <c r="M10" s="54"/>
    </row>
    <row r="11" spans="1:13" ht="13.5" customHeight="1">
      <c r="A11" s="80"/>
      <c r="B11" s="147" t="str">
        <f>""&amp;Deflatores!B5</f>
        <v>Alteração (sem conhecimento do Fator de Impacto)</v>
      </c>
      <c r="C11" s="147"/>
      <c r="D11" s="24" t="str">
        <f>""&amp;Deflatores!G5</f>
        <v>A</v>
      </c>
      <c r="E11" s="102">
        <f>IF(D11="","",COUNTIF(Funções!C$11:C$778,D11))</f>
        <v>0</v>
      </c>
      <c r="F11" s="103">
        <f>SUMIF(Funções!$C$11:$C$778,Deflatores!G5,Funções!$H$11:$H$778)</f>
        <v>0</v>
      </c>
      <c r="G11" s="104">
        <f>IF(ISBLANK(Deflatores!H5),"",Deflatores!H5)</f>
        <v>0.5</v>
      </c>
      <c r="H11" s="103" t="str">
        <f>IF(ISBLANK(Deflatores!I5),"",Deflatores!I5)</f>
        <v/>
      </c>
      <c r="I11" s="105">
        <f>IF(F11=0,Deflatores!K5,F11*G11)</f>
        <v>0</v>
      </c>
      <c r="J11" s="106">
        <f t="shared" si="0"/>
        <v>0</v>
      </c>
      <c r="K11" s="92"/>
      <c r="L11" s="41">
        <f>Contagem!Q6</f>
        <v>1296.8</v>
      </c>
      <c r="M11" s="54"/>
    </row>
    <row r="12" spans="1:13" ht="13.5" customHeight="1">
      <c r="A12" s="80"/>
      <c r="B12" s="147" t="str">
        <f>""&amp;Deflatores!B6</f>
        <v>Exclusão</v>
      </c>
      <c r="C12" s="147"/>
      <c r="D12" s="24" t="str">
        <f>""&amp;Deflatores!G6</f>
        <v>E</v>
      </c>
      <c r="E12" s="102">
        <f>IF(D12="","",COUNTIF(Funções!C$11:C$778,D12))</f>
        <v>3</v>
      </c>
      <c r="F12" s="103">
        <f>SUMIF(Funções!$C$11:$C$778,Deflatores!G6,Funções!$H$11:$H$778)</f>
        <v>18</v>
      </c>
      <c r="G12" s="104">
        <f>IF(ISBLANK(Deflatores!H6),"",Deflatores!H6)</f>
        <v>0.4</v>
      </c>
      <c r="H12" s="103" t="str">
        <f>IF(ISBLANK(Deflatores!I6),"",Deflatores!I6)</f>
        <v/>
      </c>
      <c r="I12" s="105">
        <f>IF(F12=0,Deflatores!K6,F12*G12)</f>
        <v>7.2</v>
      </c>
      <c r="J12" s="106">
        <f t="shared" si="0"/>
        <v>5.5521283158544111E-3</v>
      </c>
      <c r="K12" s="92"/>
      <c r="L12" s="93"/>
      <c r="M12" s="54"/>
    </row>
    <row r="13" spans="1:13" ht="13.5" customHeight="1">
      <c r="A13" s="80"/>
      <c r="B13" s="147" t="str">
        <f>""&amp;Deflatores!B7</f>
        <v>Alteração (50%) de função desenvolvida ou já alterada pela empresa atual</v>
      </c>
      <c r="C13" s="147"/>
      <c r="D13" s="24" t="str">
        <f>""&amp;Deflatores!G7</f>
        <v>A50</v>
      </c>
      <c r="E13" s="102">
        <f>IF(D13="","",COUNTIF(Funções!C$11:C$778,D13))</f>
        <v>23</v>
      </c>
      <c r="F13" s="103">
        <f>SUMIF(Funções!$C$11:$C$778,Deflatores!G7,Funções!$H$11:$H$778)</f>
        <v>120</v>
      </c>
      <c r="G13" s="104">
        <f>IF(ISBLANK(Deflatores!H7),"",Deflatores!H7)</f>
        <v>0.5</v>
      </c>
      <c r="H13" s="103" t="str">
        <f>IF(ISBLANK(Deflatores!I7),"",Deflatores!I7)</f>
        <v/>
      </c>
      <c r="I13" s="105">
        <f>Deflatores!K7</f>
        <v>60</v>
      </c>
      <c r="J13" s="106">
        <f t="shared" si="0"/>
        <v>4.6267735965453423E-2</v>
      </c>
      <c r="K13" s="92"/>
      <c r="L13" s="40" t="s">
        <v>545</v>
      </c>
      <c r="M13" s="54"/>
    </row>
    <row r="14" spans="1:13" ht="13.5" customHeight="1">
      <c r="A14" s="80"/>
      <c r="B14" s="147" t="str">
        <f>""&amp;Deflatores!B8</f>
        <v>Alteração (75%) de função não desenv. e ainda não alterada pela empresa atual</v>
      </c>
      <c r="C14" s="147"/>
      <c r="D14" s="24" t="str">
        <f>""&amp;Deflatores!G8</f>
        <v>A75</v>
      </c>
      <c r="E14" s="102">
        <f>IF(D14="","",COUNTIF(Funções!C$11:C$778,D14))</f>
        <v>0</v>
      </c>
      <c r="F14" s="103">
        <f>SUMIF(Funções!$C$11:$C$778,Deflatores!G8,Funções!$H$11:$H$778)</f>
        <v>0</v>
      </c>
      <c r="G14" s="104">
        <f>IF(ISBLANK(Deflatores!H8),"",Deflatores!H8)</f>
        <v>0.75</v>
      </c>
      <c r="H14" s="103" t="str">
        <f>IF(ISBLANK(Deflatores!I8),"",Deflatores!I8)</f>
        <v/>
      </c>
      <c r="I14" s="105">
        <f>Deflatores!K8</f>
        <v>0</v>
      </c>
      <c r="J14" s="106">
        <f t="shared" si="0"/>
        <v>0</v>
      </c>
      <c r="L14" s="41">
        <f>Contagem!Q4</f>
        <v>1392</v>
      </c>
      <c r="M14" s="54"/>
    </row>
    <row r="15" spans="1:13" ht="13.5" customHeight="1">
      <c r="A15" s="80"/>
      <c r="B15" s="147" t="str">
        <f>""&amp;Deflatores!B9</f>
        <v>Alteração (75%+15%): o mesmo acima + redocumentar a função</v>
      </c>
      <c r="C15" s="147"/>
      <c r="D15" s="24" t="str">
        <f>""&amp;Deflatores!G9</f>
        <v>A90</v>
      </c>
      <c r="E15" s="102">
        <f>IF(D15="","",COUNTIF(Funções!C$11:C$778,D15))</f>
        <v>0</v>
      </c>
      <c r="F15" s="103">
        <f>SUMIF(Funções!$C$11:$C$778,Deflatores!G9,Funções!$H$11:$H$778)</f>
        <v>0</v>
      </c>
      <c r="G15" s="104">
        <f>IF(ISBLANK(Deflatores!H9),"",Deflatores!H9)</f>
        <v>0.9</v>
      </c>
      <c r="H15" s="103" t="str">
        <f>IF(ISBLANK(Deflatores!I9),"",Deflatores!I9)</f>
        <v/>
      </c>
      <c r="I15" s="105">
        <f>Deflatores!K9</f>
        <v>0</v>
      </c>
      <c r="J15" s="106">
        <f t="shared" si="0"/>
        <v>0</v>
      </c>
      <c r="M15" s="81"/>
    </row>
    <row r="16" spans="1:13" ht="13.5" customHeight="1">
      <c r="A16" s="80"/>
      <c r="B16" s="147" t="str">
        <f>""&amp;Deflatores!B10</f>
        <v>Migração de Dados</v>
      </c>
      <c r="C16" s="147"/>
      <c r="D16" s="24" t="str">
        <f>""&amp;Deflatores!G10</f>
        <v>PMD</v>
      </c>
      <c r="E16" s="102">
        <f>IF(D16="","",COUNTIF(Funções!C$11:C$778,D16))</f>
        <v>0</v>
      </c>
      <c r="F16" s="103">
        <f>SUMIF(Funções!$C$11:$C$778,Deflatores!G10,Funções!$H$11:$H$778)</f>
        <v>0</v>
      </c>
      <c r="G16" s="104">
        <f>IF(ISBLANK(Deflatores!H10),"",Deflatores!H10)</f>
        <v>1</v>
      </c>
      <c r="H16" s="103" t="str">
        <f>IF(ISBLANK(Deflatores!I10),"",Deflatores!I10)</f>
        <v/>
      </c>
      <c r="I16" s="105">
        <f>Deflatores!K10</f>
        <v>0</v>
      </c>
      <c r="J16" s="106">
        <f t="shared" si="0"/>
        <v>0</v>
      </c>
      <c r="M16" s="81"/>
    </row>
    <row r="17" spans="1:13" ht="13.5" customHeight="1">
      <c r="A17" s="80"/>
      <c r="B17" s="147" t="str">
        <f>""&amp;Deflatores!B11</f>
        <v>Corretiva (sem conhecimento do Fator de Impacto)</v>
      </c>
      <c r="C17" s="147"/>
      <c r="D17" s="24" t="str">
        <f>""&amp;Deflatores!G11</f>
        <v>COR</v>
      </c>
      <c r="E17" s="102">
        <f>IF(D17="","",COUNTIF(Funções!C$11:C$778,D17))</f>
        <v>0</v>
      </c>
      <c r="F17" s="103">
        <f>SUMIF(Funções!$C$11:$C$778,Deflatores!G11,Funções!$H$11:$H$778)</f>
        <v>0</v>
      </c>
      <c r="G17" s="104">
        <f>IF(ISBLANK(Deflatores!H11),"",Deflatores!H11)</f>
        <v>0.5</v>
      </c>
      <c r="H17" s="103" t="str">
        <f>IF(ISBLANK(Deflatores!I11),"",Deflatores!I11)</f>
        <v/>
      </c>
      <c r="I17" s="105">
        <f>Deflatores!K11</f>
        <v>0</v>
      </c>
      <c r="J17" s="106">
        <f>IF($L$11&lt;&gt;0,I17/$L$11,"")</f>
        <v>0</v>
      </c>
      <c r="M17" s="81"/>
    </row>
    <row r="18" spans="1:13" ht="13.5" customHeight="1">
      <c r="A18" s="80"/>
      <c r="B18" s="147" t="str">
        <f>""&amp;Deflatores!B12</f>
        <v>Corretiva (50%) - Fora da garantia (mesma empresa)</v>
      </c>
      <c r="C18" s="147"/>
      <c r="D18" s="24" t="str">
        <f>""&amp;Deflatores!G12</f>
        <v>COR50</v>
      </c>
      <c r="E18" s="102">
        <f>IF(D18="","",COUNTIF(Funções!C$11:C$778,D18))</f>
        <v>0</v>
      </c>
      <c r="F18" s="103">
        <f>SUMIF(Funções!$C$11:$C$778,Deflatores!G12,Funções!$H$11:$H$778)</f>
        <v>0</v>
      </c>
      <c r="G18" s="104">
        <f>IF(ISBLANK(Deflatores!H12),"",Deflatores!H12)</f>
        <v>0.5</v>
      </c>
      <c r="H18" s="103" t="str">
        <f>IF(ISBLANK(Deflatores!I12),"",Deflatores!I12)</f>
        <v/>
      </c>
      <c r="I18" s="105">
        <f>Deflatores!K12</f>
        <v>0</v>
      </c>
      <c r="J18" s="106">
        <f t="shared" si="0"/>
        <v>0</v>
      </c>
      <c r="M18" s="81"/>
    </row>
    <row r="19" spans="1:13" ht="13.5" customHeight="1">
      <c r="A19" s="80"/>
      <c r="B19" s="147" t="str">
        <f>""&amp;Deflatores!B13</f>
        <v>Corretiva (75%) - Fora da garantia (outra empresa)</v>
      </c>
      <c r="C19" s="147"/>
      <c r="D19" s="24" t="str">
        <f>""&amp;Deflatores!G13</f>
        <v>COR75</v>
      </c>
      <c r="E19" s="102">
        <f>IF(D19="","",COUNTIF(Funções!C$11:C$778,D19))</f>
        <v>0</v>
      </c>
      <c r="F19" s="103">
        <f>SUMIF(Funções!$C$11:$C$778,Deflatores!G13,Funções!$H$11:$H$778)</f>
        <v>0</v>
      </c>
      <c r="G19" s="104">
        <f>IF(ISBLANK(Deflatores!H13),"",Deflatores!H13)</f>
        <v>0.75</v>
      </c>
      <c r="H19" s="103" t="str">
        <f>IF(ISBLANK(Deflatores!I13),"",Deflatores!I13)</f>
        <v/>
      </c>
      <c r="I19" s="105">
        <f>Deflatores!K13</f>
        <v>0</v>
      </c>
      <c r="J19" s="106">
        <f t="shared" si="0"/>
        <v>0</v>
      </c>
      <c r="M19" s="81"/>
    </row>
    <row r="20" spans="1:13" ht="13.5" customHeight="1">
      <c r="A20" s="80"/>
      <c r="B20" s="147" t="str">
        <f>""&amp;Deflatores!B14</f>
        <v>Corretiva (75%+15%) - Fora da garantia (outra empresa) + Redocumentação</v>
      </c>
      <c r="C20" s="147"/>
      <c r="D20" s="24" t="str">
        <f>""&amp;Deflatores!G14</f>
        <v>COR90</v>
      </c>
      <c r="E20" s="102">
        <f>IF(D20="","",COUNTIF(Funções!C$11:C$778,D20))</f>
        <v>0</v>
      </c>
      <c r="F20" s="103">
        <f>SUMIF(Funções!$C$11:$C$778,Deflatores!G14,Funções!$H$11:$H$778)</f>
        <v>0</v>
      </c>
      <c r="G20" s="104">
        <f>IF(ISBLANK(Deflatores!H14),"",Deflatores!H14)</f>
        <v>0.9</v>
      </c>
      <c r="H20" s="103" t="str">
        <f>IF(ISBLANK(Deflatores!I14),"",Deflatores!I14)</f>
        <v/>
      </c>
      <c r="I20" s="105">
        <f>Deflatores!K14</f>
        <v>0</v>
      </c>
      <c r="J20" s="106">
        <f>IF($L$11&lt;&gt;0,I20/$L$11,"")</f>
        <v>0</v>
      </c>
      <c r="M20" s="81"/>
    </row>
    <row r="21" spans="1:13" ht="13.5" customHeight="1">
      <c r="A21" s="80"/>
      <c r="B21" s="147" t="str">
        <f>""&amp;Deflatores!B15</f>
        <v>Corretiva em Garantia</v>
      </c>
      <c r="C21" s="147"/>
      <c r="D21" s="24" t="str">
        <f>""&amp;Deflatores!G15</f>
        <v>GAR</v>
      </c>
      <c r="E21" s="102">
        <f>IF(D21="","",COUNTIF(Funções!C$11:C$778,D21))</f>
        <v>0</v>
      </c>
      <c r="F21" s="103">
        <f>SUMIF(Funções!$C$11:$C$778,Deflatores!G15,Funções!$H$11:$H$778)</f>
        <v>0</v>
      </c>
      <c r="G21" s="104">
        <f>IF(ISBLANK(Deflatores!H15),"",Deflatores!H15)</f>
        <v>0</v>
      </c>
      <c r="H21" s="103" t="str">
        <f>IF(ISBLANK(Deflatores!I15),"",Deflatores!I15)</f>
        <v/>
      </c>
      <c r="I21" s="105">
        <f>Deflatores!K15</f>
        <v>0</v>
      </c>
      <c r="J21" s="106">
        <f>IF($L$11&lt;&gt;0,I21/$L$11,"")</f>
        <v>0</v>
      </c>
      <c r="M21" s="81"/>
    </row>
    <row r="22" spans="1:13" ht="13.5" customHeight="1">
      <c r="A22" s="80"/>
      <c r="B22" s="147" t="str">
        <f>""&amp;Deflatores!B16</f>
        <v>Mudança de Plataforma - Linguagem de Programação</v>
      </c>
      <c r="C22" s="147"/>
      <c r="D22" s="24" t="str">
        <f>""&amp;Deflatores!G16</f>
        <v>MLP</v>
      </c>
      <c r="E22" s="102">
        <f>IF(D22="","",COUNTIF(Funções!C$11:C$778,D22))</f>
        <v>0</v>
      </c>
      <c r="F22" s="103">
        <f>SUMIF(Funções!$C$11:$C$778,Deflatores!G16,Funções!$H$11:$H$778)</f>
        <v>0</v>
      </c>
      <c r="G22" s="104">
        <f>IF(ISBLANK(Deflatores!H16),"",Deflatores!H16)</f>
        <v>1</v>
      </c>
      <c r="H22" s="103" t="str">
        <f>IF(ISBLANK(Deflatores!I16),"",Deflatores!I16)</f>
        <v/>
      </c>
      <c r="I22" s="105">
        <f>Deflatores!K16</f>
        <v>0</v>
      </c>
      <c r="J22" s="106">
        <f t="shared" si="0"/>
        <v>0</v>
      </c>
      <c r="M22" s="81"/>
    </row>
    <row r="23" spans="1:13" ht="13.5" customHeight="1">
      <c r="A23" s="80"/>
      <c r="B23" s="147" t="str">
        <f>""&amp;Deflatores!B17</f>
        <v>Mudança de Plataforma - Banco de Dados (outro paradigma)</v>
      </c>
      <c r="C23" s="147"/>
      <c r="D23" s="24" t="str">
        <f>""&amp;Deflatores!G17</f>
        <v>MBO</v>
      </c>
      <c r="E23" s="102">
        <f>IF(D23="","",COUNTIF(Funções!C$11:C$778,D23))</f>
        <v>0</v>
      </c>
      <c r="F23" s="103">
        <f>SUMIF(Funções!$C$11:$C$778,Deflatores!G17,Funções!$H$11:$H$778)</f>
        <v>0</v>
      </c>
      <c r="G23" s="104">
        <f>IF(ISBLANK(Deflatores!H17),"",Deflatores!H17)</f>
        <v>1</v>
      </c>
      <c r="H23" s="103" t="str">
        <f>IF(ISBLANK(Deflatores!I17),"",Deflatores!I17)</f>
        <v/>
      </c>
      <c r="I23" s="105">
        <f>Deflatores!K17</f>
        <v>0</v>
      </c>
      <c r="J23" s="106">
        <f t="shared" si="0"/>
        <v>0</v>
      </c>
      <c r="M23" s="81"/>
    </row>
    <row r="24" spans="1:13" ht="13.5" customHeight="1">
      <c r="A24" s="80"/>
      <c r="B24" s="147" t="str">
        <f>""&amp;Deflatores!B18</f>
        <v>Mudança de Plataforma - Banco de Dados (mesmo paradigma com alterações)</v>
      </c>
      <c r="C24" s="147"/>
      <c r="D24" s="24" t="str">
        <f>""&amp;Deflatores!G18</f>
        <v>MBM</v>
      </c>
      <c r="E24" s="102">
        <f>IF(D24="","",COUNTIF(Funções!C$11:C$778,D24))</f>
        <v>0</v>
      </c>
      <c r="F24" s="103">
        <f>SUMIF(Funções!$C$11:$C$778,Deflatores!G18,Funções!$H$11:$H$778)</f>
        <v>0</v>
      </c>
      <c r="G24" s="104">
        <f>IF(ISBLANK(Deflatores!H18),"",Deflatores!H18)</f>
        <v>0.3</v>
      </c>
      <c r="H24" s="103" t="str">
        <f>IF(ISBLANK(Deflatores!I18),"",Deflatores!I18)</f>
        <v/>
      </c>
      <c r="I24" s="105">
        <f>Deflatores!K18</f>
        <v>0</v>
      </c>
      <c r="J24" s="106">
        <f t="shared" si="0"/>
        <v>0</v>
      </c>
      <c r="K24" s="92"/>
      <c r="M24" s="81"/>
    </row>
    <row r="25" spans="1:13" ht="13.5" customHeight="1">
      <c r="A25" s="80"/>
      <c r="B25" s="147" t="str">
        <f>""&amp;Deflatores!B19</f>
        <v>Atualização de Versão – Linguagem de Programação</v>
      </c>
      <c r="C25" s="147"/>
      <c r="D25" s="24" t="str">
        <f>""&amp;Deflatores!G19</f>
        <v>ALP</v>
      </c>
      <c r="E25" s="102">
        <f>IF(D25="","",COUNTIF(Funções!C$11:C$778,D25))</f>
        <v>0</v>
      </c>
      <c r="F25" s="103">
        <f>SUMIF(Funções!$C$11:$C$778,Deflatores!G19,Funções!$H$11:$H$778)</f>
        <v>0</v>
      </c>
      <c r="G25" s="104">
        <f>IF(ISBLANK(Deflatores!H19),"",Deflatores!H19)</f>
        <v>0.3</v>
      </c>
      <c r="H25" s="103" t="str">
        <f>IF(ISBLANK(Deflatores!I19),"",Deflatores!I19)</f>
        <v/>
      </c>
      <c r="I25" s="105">
        <f>Deflatores!K19</f>
        <v>0</v>
      </c>
      <c r="J25" s="106">
        <f t="shared" si="0"/>
        <v>0</v>
      </c>
      <c r="K25" s="92"/>
      <c r="M25" s="81"/>
    </row>
    <row r="26" spans="1:13" ht="13.5" customHeight="1">
      <c r="A26" s="80"/>
      <c r="B26" s="147" t="str">
        <f>""&amp;Deflatores!B20</f>
        <v>Atualização de Versão – Browser</v>
      </c>
      <c r="C26" s="147"/>
      <c r="D26" s="24" t="str">
        <f>""&amp;Deflatores!G20</f>
        <v>AVB</v>
      </c>
      <c r="E26" s="102">
        <f>IF(D26="","",COUNTIF(Funções!C$11:C$778,D26))</f>
        <v>0</v>
      </c>
      <c r="F26" s="103">
        <f>SUMIF(Funções!$C$11:$C$778,Deflatores!G20,Funções!$H$11:$H$778)</f>
        <v>0</v>
      </c>
      <c r="G26" s="104">
        <f>IF(ISBLANK(Deflatores!H20),"",Deflatores!H20)</f>
        <v>0.3</v>
      </c>
      <c r="H26" s="103" t="str">
        <f>IF(ISBLANK(Deflatores!I20),"",Deflatores!I20)</f>
        <v/>
      </c>
      <c r="I26" s="105">
        <f>Deflatores!K20</f>
        <v>0</v>
      </c>
      <c r="J26" s="106">
        <f t="shared" si="0"/>
        <v>0</v>
      </c>
      <c r="K26" s="92"/>
      <c r="M26" s="81"/>
    </row>
    <row r="27" spans="1:13" ht="13.5" customHeight="1">
      <c r="A27" s="80"/>
      <c r="B27" s="147" t="str">
        <f>""&amp;Deflatores!B21</f>
        <v>Atualização de Versão – Banco de Dados</v>
      </c>
      <c r="C27" s="147"/>
      <c r="D27" s="24" t="str">
        <f>""&amp;Deflatores!G21</f>
        <v>ABD</v>
      </c>
      <c r="E27" s="102">
        <f>IF(D27="","",COUNTIF(Funções!C$11:C$778,D27))</f>
        <v>0</v>
      </c>
      <c r="F27" s="103">
        <f>SUMIF(Funções!$C$11:$C$778,Deflatores!G21,Funções!$H$11:$H$778)</f>
        <v>0</v>
      </c>
      <c r="G27" s="104">
        <f>IF(ISBLANK(Deflatores!H21),"",Deflatores!H21)</f>
        <v>0.3</v>
      </c>
      <c r="H27" s="103" t="str">
        <f>IF(ISBLANK(Deflatores!I21),"",Deflatores!I21)</f>
        <v/>
      </c>
      <c r="I27" s="105">
        <f>Deflatores!K21</f>
        <v>0</v>
      </c>
      <c r="J27" s="106">
        <f t="shared" si="0"/>
        <v>0</v>
      </c>
      <c r="K27" s="92"/>
      <c r="M27" s="81"/>
    </row>
    <row r="28" spans="1:13" ht="13.5" customHeight="1">
      <c r="A28" s="80"/>
      <c r="B28" s="147" t="str">
        <f>""&amp;Deflatores!B22</f>
        <v>Manutenção Cosmética</v>
      </c>
      <c r="C28" s="147"/>
      <c r="D28" s="24" t="str">
        <f>""&amp;Deflatores!G22</f>
        <v>COS</v>
      </c>
      <c r="E28" s="102">
        <f>IF(D28="","",COUNTIF(Funções!C$11:C$778,D28))</f>
        <v>6</v>
      </c>
      <c r="F28" s="103">
        <f>SUMIF(Funções!$C$11:$C$778,Deflatores!G22,Funções!$H$11:$H$778)</f>
        <v>28</v>
      </c>
      <c r="G28" s="104" t="str">
        <f>IF(ISBLANK(Deflatores!H22),"",Deflatores!H22)</f>
        <v/>
      </c>
      <c r="H28" s="103">
        <f>IF(ISBLANK(Deflatores!I22),"",Deflatores!I22)</f>
        <v>0.6</v>
      </c>
      <c r="I28" s="105">
        <f>Deflatores!K22</f>
        <v>3.5999999999999996</v>
      </c>
      <c r="J28" s="106">
        <f t="shared" si="0"/>
        <v>2.7760641579272051E-3</v>
      </c>
      <c r="M28" s="81"/>
    </row>
    <row r="29" spans="1:13" ht="27" customHeight="1">
      <c r="A29" s="80"/>
      <c r="B29" s="172" t="str">
        <f>""&amp;Deflatores!B23</f>
        <v>Adaptação em Funcionalidades sem Alteração de Requisitos Funcionais
(sem conhecimento do Fator de Impacto)</v>
      </c>
      <c r="C29" s="174"/>
      <c r="D29" s="24" t="str">
        <f>""&amp;Deflatores!G23</f>
        <v>ARN</v>
      </c>
      <c r="E29" s="102">
        <f>IF(D29="","",COUNTIF(Funções!C$11:C$778,D29))</f>
        <v>0</v>
      </c>
      <c r="F29" s="103">
        <f>SUMIF(Funções!$C$11:$C$778,Deflatores!G23,Funções!$H$11:$H$778)</f>
        <v>0</v>
      </c>
      <c r="G29" s="104">
        <f>IF(ISBLANK(Deflatores!H23),"",Deflatores!H23)</f>
        <v>0.5</v>
      </c>
      <c r="H29" s="103" t="str">
        <f>IF(ISBLANK(Deflatores!I23),"",Deflatores!I23)</f>
        <v/>
      </c>
      <c r="I29" s="105">
        <f>Deflatores!K23</f>
        <v>0</v>
      </c>
      <c r="J29" s="106">
        <f>IF($L$11&lt;&gt;0,I29/$L$11,"")</f>
        <v>0</v>
      </c>
      <c r="M29" s="81"/>
    </row>
    <row r="30" spans="1:13" ht="27" customHeight="1">
      <c r="A30" s="80"/>
      <c r="B30" s="172" t="str">
        <f>""&amp;Deflatores!B24</f>
        <v>Adaptação em Funcionalidades sem Alteração de Requisitos Funcionais (50%)
(em função desenvolvida ou já alterada pela empresa atual)</v>
      </c>
      <c r="C30" s="174"/>
      <c r="D30" s="24" t="str">
        <f>""&amp;Deflatores!G24</f>
        <v>ARN50</v>
      </c>
      <c r="E30" s="102">
        <f>IF(D30="","",COUNTIF(Funções!C$11:C$778,D30))</f>
        <v>0</v>
      </c>
      <c r="F30" s="103">
        <f>SUMIF(Funções!$C$11:$C$778,Deflatores!G24,Funções!$H$11:$H$778)</f>
        <v>0</v>
      </c>
      <c r="G30" s="104">
        <f>IF(ISBLANK(Deflatores!H24),"",Deflatores!H24)</f>
        <v>0.5</v>
      </c>
      <c r="H30" s="103" t="str">
        <f>IF(ISBLANK(Deflatores!I24),"",Deflatores!I24)</f>
        <v/>
      </c>
      <c r="I30" s="105">
        <f>Deflatores!K24</f>
        <v>0</v>
      </c>
      <c r="J30" s="106">
        <f t="shared" si="0"/>
        <v>0</v>
      </c>
      <c r="M30" s="81"/>
    </row>
    <row r="31" spans="1:13" ht="27" customHeight="1">
      <c r="A31" s="80"/>
      <c r="B31" s="172" t="str">
        <f>""&amp;Deflatores!B25</f>
        <v>Adaptação em Funcionalidades sem Alteração de Requisitos Funcionais (75%)
(em função não desenvolvida e ainda não alterada pela empresa atual)</v>
      </c>
      <c r="C31" s="174"/>
      <c r="D31" s="24" t="str">
        <f>""&amp;Deflatores!G25</f>
        <v>ARN75</v>
      </c>
      <c r="E31" s="102">
        <f>IF(D31="","",COUNTIF(Funções!C$11:C$778,D31))</f>
        <v>0</v>
      </c>
      <c r="F31" s="103">
        <f>SUMIF(Funções!$C$11:$C$778,Deflatores!G25,Funções!$H$11:$H$778)</f>
        <v>0</v>
      </c>
      <c r="G31" s="104">
        <f>IF(ISBLANK(Deflatores!H25),"",Deflatores!H25)</f>
        <v>0.75</v>
      </c>
      <c r="H31" s="103" t="str">
        <f>IF(ISBLANK(Deflatores!I25),"",Deflatores!I25)</f>
        <v/>
      </c>
      <c r="I31" s="105">
        <f>Deflatores!K25</f>
        <v>0</v>
      </c>
      <c r="J31" s="106">
        <f t="shared" si="0"/>
        <v>0</v>
      </c>
      <c r="M31" s="81"/>
    </row>
    <row r="32" spans="1:13" ht="13.5" customHeight="1">
      <c r="A32" s="80"/>
      <c r="B32" s="147" t="str">
        <f>""&amp;Deflatores!B26</f>
        <v>Atualização de Dados sem Consulta Prévia</v>
      </c>
      <c r="C32" s="147"/>
      <c r="D32" s="24" t="str">
        <f>""&amp;Deflatores!G26</f>
        <v>ADS</v>
      </c>
      <c r="E32" s="102">
        <f>IF(D32="","",COUNTIF(Funções!C$11:C$778,D32))</f>
        <v>0</v>
      </c>
      <c r="F32" s="103">
        <f>SUMIF(Funções!$C$11:$C$778,Deflatores!G26,Funções!$H$11:$H$778)</f>
        <v>0</v>
      </c>
      <c r="G32" s="104">
        <f>IF(ISBLANK(Deflatores!H26),"",Deflatores!H26)</f>
        <v>1</v>
      </c>
      <c r="H32" s="103" t="str">
        <f>IF(ISBLANK(Deflatores!I26),"",Deflatores!I26)</f>
        <v/>
      </c>
      <c r="I32" s="105">
        <f>Deflatores!K26</f>
        <v>0</v>
      </c>
      <c r="J32" s="106">
        <f t="shared" si="0"/>
        <v>0</v>
      </c>
      <c r="M32" s="81"/>
    </row>
    <row r="33" spans="1:13" ht="13.5" customHeight="1">
      <c r="A33" s="80"/>
      <c r="B33" s="147" t="str">
        <f>""&amp;Deflatores!B27</f>
        <v>Consulta Prévia sem Atualização</v>
      </c>
      <c r="C33" s="147"/>
      <c r="D33" s="24" t="str">
        <f>""&amp;Deflatores!G27</f>
        <v>CPA</v>
      </c>
      <c r="E33" s="102">
        <f>IF(D33="","",COUNTIF(Funções!C$11:C$778,D33))</f>
        <v>0</v>
      </c>
      <c r="F33" s="103">
        <f>SUMIF(Funções!$C$11:$C$778,Deflatores!G27,Funções!$H$11:$H$778)</f>
        <v>0</v>
      </c>
      <c r="G33" s="104">
        <f>IF(ISBLANK(Deflatores!H27),"",Deflatores!H27)</f>
        <v>1</v>
      </c>
      <c r="H33" s="103" t="str">
        <f>IF(ISBLANK(Deflatores!I27),"",Deflatores!I27)</f>
        <v/>
      </c>
      <c r="I33" s="105">
        <f>Deflatores!K27</f>
        <v>0</v>
      </c>
      <c r="J33" s="106">
        <f t="shared" si="0"/>
        <v>0</v>
      </c>
      <c r="M33" s="81"/>
    </row>
    <row r="34" spans="1:13" ht="13.5" customHeight="1">
      <c r="A34" s="80"/>
      <c r="B34" s="147" t="str">
        <f>""&amp;Deflatores!B28</f>
        <v>Atualização de Dados com Consulta Prévia</v>
      </c>
      <c r="C34" s="147"/>
      <c r="D34" s="24" t="str">
        <f>""&amp;Deflatores!G28</f>
        <v>ADC</v>
      </c>
      <c r="E34" s="102">
        <f>IF(D34="","",COUNTIF(Funções!C$11:C$778,D34))</f>
        <v>0</v>
      </c>
      <c r="F34" s="103">
        <f>SUMIF(Funções!$C$11:$C$778,Deflatores!G28,Funções!$H$11:$H$778)</f>
        <v>0</v>
      </c>
      <c r="G34" s="104">
        <f>IF(ISBLANK(Deflatores!H28),"",Deflatores!H28)</f>
        <v>0.6</v>
      </c>
      <c r="H34" s="103" t="str">
        <f>IF(ISBLANK(Deflatores!I28),"",Deflatores!I28)</f>
        <v/>
      </c>
      <c r="I34" s="105">
        <f>Deflatores!K28</f>
        <v>0</v>
      </c>
      <c r="J34" s="106">
        <f t="shared" si="0"/>
        <v>0</v>
      </c>
      <c r="M34" s="81"/>
    </row>
    <row r="35" spans="1:13" ht="13.5" customHeight="1">
      <c r="A35" s="80"/>
      <c r="B35" s="147" t="str">
        <f>""&amp;Deflatores!B29</f>
        <v>Apuração Especial – Geração de Relatórios</v>
      </c>
      <c r="C35" s="147"/>
      <c r="D35" s="24" t="str">
        <f>""&amp;Deflatores!G29</f>
        <v>AGR</v>
      </c>
      <c r="E35" s="102">
        <f>IF(D35="","",COUNTIF(Funções!C$11:C$778,D35))</f>
        <v>0</v>
      </c>
      <c r="F35" s="103">
        <f>SUMIF(Funções!$C$11:$C$778,Deflatores!G29,Funções!$H$11:$H$778)</f>
        <v>0</v>
      </c>
      <c r="G35" s="104">
        <f>IF(ISBLANK(Deflatores!H29),"",Deflatores!H29)</f>
        <v>1</v>
      </c>
      <c r="H35" s="103" t="str">
        <f>IF(ISBLANK(Deflatores!I29),"",Deflatores!I29)</f>
        <v/>
      </c>
      <c r="I35" s="105">
        <f>Deflatores!K29</f>
        <v>0</v>
      </c>
      <c r="J35" s="106">
        <f t="shared" si="0"/>
        <v>0</v>
      </c>
      <c r="M35" s="81"/>
    </row>
    <row r="36" spans="1:13" ht="13.5" customHeight="1">
      <c r="A36" s="80"/>
      <c r="B36" s="147" t="str">
        <f>""&amp;Deflatores!B30</f>
        <v>Apuração Especial – Reexecução</v>
      </c>
      <c r="C36" s="147"/>
      <c r="D36" s="24" t="str">
        <f>""&amp;Deflatores!G30</f>
        <v>AER</v>
      </c>
      <c r="E36" s="102">
        <f>IF(D36="","",COUNTIF(Funções!C$11:C$778,D36))</f>
        <v>0</v>
      </c>
      <c r="F36" s="103">
        <f>SUMIF(Funções!$C$11:$C$778,Deflatores!G30,Funções!$H$11:$H$778)</f>
        <v>0</v>
      </c>
      <c r="G36" s="104">
        <f>IF(ISBLANK(Deflatores!H30),"",Deflatores!H30)</f>
        <v>0.1</v>
      </c>
      <c r="H36" s="103" t="str">
        <f>IF(ISBLANK(Deflatores!I30),"",Deflatores!I30)</f>
        <v/>
      </c>
      <c r="I36" s="105">
        <f>Deflatores!K30</f>
        <v>0</v>
      </c>
      <c r="J36" s="106">
        <f t="shared" si="0"/>
        <v>0</v>
      </c>
      <c r="M36" s="81"/>
    </row>
    <row r="37" spans="1:13" ht="13.5" customHeight="1">
      <c r="A37" s="80"/>
      <c r="B37" s="147" t="str">
        <f>""&amp;Deflatores!B31</f>
        <v>Atualização de Dados</v>
      </c>
      <c r="C37" s="147"/>
      <c r="D37" s="24" t="str">
        <f>""&amp;Deflatores!G31</f>
        <v>ATD</v>
      </c>
      <c r="E37" s="102">
        <f>IF(D37="","",COUNTIF(Funções!C$11:C$778,D37))</f>
        <v>0</v>
      </c>
      <c r="F37" s="103">
        <f>SUMIF(Funções!$C$11:$C$778,Deflatores!G31,Funções!$H$11:$H$778)</f>
        <v>0</v>
      </c>
      <c r="G37" s="104">
        <f>IF(ISBLANK(Deflatores!H31),"",Deflatores!H31)</f>
        <v>0.1</v>
      </c>
      <c r="H37" s="103" t="str">
        <f>IF(ISBLANK(Deflatores!I31),"",Deflatores!I31)</f>
        <v/>
      </c>
      <c r="I37" s="105">
        <f>Deflatores!K31</f>
        <v>0</v>
      </c>
      <c r="J37" s="106">
        <f t="shared" si="0"/>
        <v>0</v>
      </c>
      <c r="M37" s="81"/>
    </row>
    <row r="38" spans="1:13" ht="13.5" customHeight="1">
      <c r="A38" s="80"/>
      <c r="B38" s="147" t="str">
        <f>""&amp;Deflatores!B32</f>
        <v>Manutenção de Documentação de Sistemas Legados</v>
      </c>
      <c r="C38" s="147"/>
      <c r="D38" s="24" t="str">
        <f>""&amp;Deflatores!G32</f>
        <v>MSL</v>
      </c>
      <c r="E38" s="102">
        <f>IF(D38="","",COUNTIF(Funções!C$11:C$778,D38))</f>
        <v>0</v>
      </c>
      <c r="F38" s="103">
        <f>SUMIF(Funções!$C$11:$C$778,Deflatores!G32,Funções!$H$11:$H$778)</f>
        <v>0</v>
      </c>
      <c r="G38" s="104">
        <f>IF(ISBLANK(Deflatores!H32),"",Deflatores!H32)</f>
        <v>0.25</v>
      </c>
      <c r="H38" s="103" t="str">
        <f>IF(ISBLANK(Deflatores!I32),"",Deflatores!I32)</f>
        <v/>
      </c>
      <c r="I38" s="105">
        <f>Deflatores!K32</f>
        <v>0</v>
      </c>
      <c r="J38" s="106">
        <f>IF($L$11&lt;&gt;0,I38/$L$11,"")</f>
        <v>0</v>
      </c>
      <c r="M38" s="81"/>
    </row>
    <row r="39" spans="1:13" ht="13.5" customHeight="1">
      <c r="A39" s="80"/>
      <c r="B39" s="147" t="str">
        <f>""&amp;Deflatores!B33</f>
        <v>Verificação de Erros (Sem Documentação de Teste existente)</v>
      </c>
      <c r="C39" s="147"/>
      <c r="D39" s="24" t="str">
        <f>""&amp;Deflatores!G33</f>
        <v>VES</v>
      </c>
      <c r="E39" s="102">
        <f>IF(D39="","",COUNTIF(Funções!C$11:C$778,D39))</f>
        <v>0</v>
      </c>
      <c r="F39" s="103">
        <f>SUMIF(Funções!$C$11:$C$778,Deflatores!G33,Funções!$H$11:$H$778)</f>
        <v>0</v>
      </c>
      <c r="G39" s="104">
        <f>IF(ISBLANK(Deflatores!H33),"",Deflatores!H33)</f>
        <v>0.2</v>
      </c>
      <c r="H39" s="103" t="str">
        <f>IF(ISBLANK(Deflatores!I33),"",Deflatores!I33)</f>
        <v/>
      </c>
      <c r="I39" s="105">
        <f>Deflatores!K33</f>
        <v>0</v>
      </c>
      <c r="J39" s="106">
        <f>IF($L$11&lt;&gt;0,I39/$L$11,"")</f>
        <v>0</v>
      </c>
      <c r="M39" s="81"/>
    </row>
    <row r="40" spans="1:13" ht="13.5" customHeight="1">
      <c r="A40" s="80"/>
      <c r="B40" s="147" t="str">
        <f>""&amp;Deflatores!B34</f>
        <v>Verificação de Erros (Com Documentação de Teste existente)</v>
      </c>
      <c r="C40" s="147"/>
      <c r="D40" s="24" t="str">
        <f>""&amp;Deflatores!G34</f>
        <v>VEC</v>
      </c>
      <c r="E40" s="102">
        <f>IF(D40="","",COUNTIF(Funções!C$11:C$778,D40))</f>
        <v>0</v>
      </c>
      <c r="F40" s="103">
        <f>SUMIF(Funções!$C$11:$C$778,Deflatores!G34,Funções!$H$11:$H$778)</f>
        <v>0</v>
      </c>
      <c r="G40" s="104">
        <f>IF(ISBLANK(Deflatores!H34),"",Deflatores!H34)</f>
        <v>0.15</v>
      </c>
      <c r="H40" s="103" t="str">
        <f>IF(ISBLANK(Deflatores!I34),"",Deflatores!I34)</f>
        <v/>
      </c>
      <c r="I40" s="105">
        <f>Deflatores!K34</f>
        <v>0</v>
      </c>
      <c r="J40" s="106">
        <f>IF($L$11&lt;&gt;0,I40/$L$11,"")</f>
        <v>0</v>
      </c>
      <c r="M40" s="81"/>
    </row>
    <row r="41" spans="1:13" ht="13.5" customHeight="1">
      <c r="A41" s="80"/>
      <c r="B41" s="147" t="str">
        <f>""&amp;Deflatores!B35</f>
        <v>Pontos de Função de Teste</v>
      </c>
      <c r="C41" s="147"/>
      <c r="D41" s="24" t="str">
        <f>""&amp;Deflatores!G35</f>
        <v>PFT</v>
      </c>
      <c r="E41" s="102">
        <f>IF(D41="","",COUNTIF(Funções!C$11:C$778,D41))</f>
        <v>0</v>
      </c>
      <c r="F41" s="103">
        <f>SUMIF(Funções!$C$11:$C$778,Deflatores!G35,Funções!$H$11:$H$778)</f>
        <v>0</v>
      </c>
      <c r="G41" s="104">
        <f>IF(ISBLANK(Deflatores!H35),"",Deflatores!H35)</f>
        <v>0.15</v>
      </c>
      <c r="H41" s="103" t="str">
        <f>IF(ISBLANK(Deflatores!I35),"",Deflatores!I35)</f>
        <v/>
      </c>
      <c r="I41" s="105">
        <f>Deflatores!K35</f>
        <v>0</v>
      </c>
      <c r="J41" s="106">
        <f>IF($L$11&lt;&gt;0,I41/$L$11,"")</f>
        <v>0</v>
      </c>
      <c r="M41" s="81"/>
    </row>
    <row r="42" spans="1:13" ht="13.5" customHeight="1">
      <c r="A42" s="80"/>
      <c r="B42" s="147" t="str">
        <f>""&amp;Deflatores!B36</f>
        <v>Componente Interno Reusável</v>
      </c>
      <c r="C42" s="147"/>
      <c r="D42" s="24" t="str">
        <f>""&amp;Deflatores!G36</f>
        <v>CIR</v>
      </c>
      <c r="E42" s="102">
        <f>IF(D42="","",COUNTIF(Funções!C$11:C$778,D42))</f>
        <v>0</v>
      </c>
      <c r="F42" s="103">
        <f>SUMIF(Funções!$C$11:$C$778,Deflatores!G36,Funções!$H$11:$H$778)</f>
        <v>0</v>
      </c>
      <c r="G42" s="104">
        <f>IF(ISBLANK(Deflatores!H36),"",Deflatores!H36)</f>
        <v>1</v>
      </c>
      <c r="H42" s="103" t="str">
        <f>IF(ISBLANK(Deflatores!I36),"",Deflatores!I36)</f>
        <v/>
      </c>
      <c r="I42" s="105">
        <f>Deflatores!K36</f>
        <v>0</v>
      </c>
      <c r="J42" s="106">
        <f t="shared" si="0"/>
        <v>0</v>
      </c>
      <c r="M42" s="81"/>
    </row>
    <row r="43" spans="1:13" ht="13.5" customHeight="1">
      <c r="A43" s="80"/>
      <c r="B43" s="147" t="str">
        <f>""&amp;Deflatores!B37</f>
        <v/>
      </c>
      <c r="C43" s="147"/>
      <c r="D43" s="24" t="str">
        <f>""&amp;Deflatores!G37</f>
        <v xml:space="preserve">           .</v>
      </c>
      <c r="E43" s="102">
        <f>IF(D43="","",COUNTIF(Funções!C$11:C$778,D43))</f>
        <v>0</v>
      </c>
      <c r="F43" s="103">
        <f>SUMIF(Funções!$C$11:$C$778,Deflatores!G37,Funções!$H$11:$H$778)</f>
        <v>0</v>
      </c>
      <c r="G43" s="104" t="str">
        <f>IF(ISBLANK(Deflatores!H37),"",Deflatores!H37)</f>
        <v/>
      </c>
      <c r="H43" s="103" t="str">
        <f>IF(ISBLANK(Deflatores!I37),"",Deflatores!I37)</f>
        <v/>
      </c>
      <c r="I43" s="105">
        <f>Deflatores!K37</f>
        <v>0</v>
      </c>
      <c r="J43" s="106">
        <f t="shared" si="0"/>
        <v>0</v>
      </c>
      <c r="M43" s="81"/>
    </row>
    <row r="44" spans="1:13" ht="13.5" customHeight="1">
      <c r="A44" s="80"/>
      <c r="B44" s="147" t="str">
        <f>""&amp;Deflatores!B38</f>
        <v/>
      </c>
      <c r="C44" s="147"/>
      <c r="D44" s="24" t="str">
        <f>""&amp;Deflatores!G38</f>
        <v xml:space="preserve">           .</v>
      </c>
      <c r="E44" s="102">
        <f>IF(D44="","",COUNTIF(Funções!C$11:C$778,D44))</f>
        <v>0</v>
      </c>
      <c r="F44" s="103">
        <f>SUMIF(Funções!$C$11:$C$778,Deflatores!G38,Funções!$H$11:$H$778)</f>
        <v>0</v>
      </c>
      <c r="G44" s="104" t="str">
        <f>IF(ISBLANK(Deflatores!H38),"",Deflatores!H38)</f>
        <v/>
      </c>
      <c r="H44" s="103" t="str">
        <f>IF(ISBLANK(Deflatores!I38),"",Deflatores!I38)</f>
        <v/>
      </c>
      <c r="I44" s="105">
        <f>Deflatores!K38</f>
        <v>0</v>
      </c>
      <c r="J44" s="106">
        <f t="shared" si="0"/>
        <v>0</v>
      </c>
      <c r="M44" s="81"/>
    </row>
    <row r="45" spans="1:13" ht="13.5">
      <c r="A45" s="80"/>
      <c r="B45" s="94"/>
      <c r="C45" s="58"/>
      <c r="D45" s="82"/>
      <c r="E45" s="78"/>
      <c r="F45" s="78"/>
      <c r="G45" s="42"/>
      <c r="H45" s="95"/>
      <c r="I45" s="96"/>
      <c r="M45" s="81"/>
    </row>
    <row r="46" spans="1:13" ht="13.5" customHeight="1">
      <c r="A46" s="80"/>
      <c r="B46" s="188" t="s">
        <v>546</v>
      </c>
      <c r="C46" s="188"/>
      <c r="D46" s="188"/>
      <c r="E46" s="43" t="s">
        <v>511</v>
      </c>
      <c r="F46" s="44"/>
      <c r="G46" s="42"/>
      <c r="H46" s="43" t="s">
        <v>543</v>
      </c>
      <c r="I46" s="43" t="s">
        <v>8</v>
      </c>
      <c r="J46" s="43" t="s">
        <v>544</v>
      </c>
      <c r="M46" s="81"/>
    </row>
    <row r="47" spans="1:13" ht="13.5" customHeight="1">
      <c r="A47" s="80"/>
      <c r="B47" s="147" t="str">
        <f>""&amp;Deflatores!B42</f>
        <v>Páginas Estáticas</v>
      </c>
      <c r="C47" s="147"/>
      <c r="D47" s="36" t="str">
        <f>""&amp;Deflatores!G42</f>
        <v>PAG</v>
      </c>
      <c r="E47" s="37">
        <f>Deflatores!J42</f>
        <v>0</v>
      </c>
      <c r="H47" s="38">
        <f>IF(ISBLANK(Deflatores!H42),"",Deflatores!H42)</f>
        <v>0.6</v>
      </c>
      <c r="I47" s="38">
        <f t="shared" ref="I47:I69" si="1">IF(ISNUMBER(H47),E47*H47,"")</f>
        <v>0</v>
      </c>
      <c r="J47" s="39">
        <f t="shared" ref="J47:J69" si="2">IF(ISNUMBER(I47),IF($L$11&lt;&gt;0,I47/$L$11,""),"")</f>
        <v>0</v>
      </c>
      <c r="M47" s="81"/>
    </row>
    <row r="48" spans="1:13" ht="13.5" customHeight="1">
      <c r="A48" s="80"/>
      <c r="B48" s="147" t="str">
        <f>""&amp;Deflatores!B43</f>
        <v>Manutenção Cosmética (atrelada a algo não funcional)</v>
      </c>
      <c r="C48" s="147"/>
      <c r="D48" s="36" t="str">
        <f>""&amp;Deflatores!G43</f>
        <v>COSNF</v>
      </c>
      <c r="E48" s="37">
        <f>Deflatores!J43</f>
        <v>0</v>
      </c>
      <c r="H48" s="38">
        <f>IF(ISBLANK(Deflatores!H43),"",Deflatores!H43)</f>
        <v>0.6</v>
      </c>
      <c r="I48" s="38">
        <f t="shared" si="1"/>
        <v>0</v>
      </c>
      <c r="J48" s="39">
        <f t="shared" si="2"/>
        <v>0</v>
      </c>
      <c r="M48" s="81"/>
    </row>
    <row r="49" spans="1:13" ht="13.5">
      <c r="A49" s="80"/>
      <c r="B49" s="147" t="str">
        <f>""&amp;Deflatores!B44</f>
        <v>Dados de Código</v>
      </c>
      <c r="C49" s="147"/>
      <c r="D49" s="36" t="str">
        <f>""&amp;Deflatores!G44</f>
        <v>DC</v>
      </c>
      <c r="E49" s="37">
        <f>Deflatores!J44</f>
        <v>0</v>
      </c>
      <c r="H49" s="38">
        <f>IF(ISBLANK(Deflatores!H44),"",Deflatores!H44)</f>
        <v>0</v>
      </c>
      <c r="I49" s="38">
        <f t="shared" si="1"/>
        <v>0</v>
      </c>
      <c r="J49" s="39">
        <f t="shared" si="2"/>
        <v>0</v>
      </c>
      <c r="M49" s="81"/>
    </row>
    <row r="50" spans="1:13" ht="13.5">
      <c r="A50" s="80"/>
      <c r="B50" s="147" t="str">
        <f>""&amp;Deflatores!B45</f>
        <v/>
      </c>
      <c r="C50" s="147"/>
      <c r="D50" s="36" t="str">
        <f>""&amp;Deflatores!G45</f>
        <v xml:space="preserve">           .</v>
      </c>
      <c r="E50" s="37">
        <f>Deflatores!J45</f>
        <v>0</v>
      </c>
      <c r="H50" s="38" t="str">
        <f>IF(ISBLANK(Deflatores!H45),"",Deflatores!H45)</f>
        <v/>
      </c>
      <c r="I50" s="38" t="str">
        <f t="shared" si="1"/>
        <v/>
      </c>
      <c r="J50" s="39" t="str">
        <f t="shared" si="2"/>
        <v/>
      </c>
      <c r="M50" s="81"/>
    </row>
    <row r="51" spans="1:13" ht="13.5">
      <c r="A51" s="80"/>
      <c r="B51" s="147" t="str">
        <f>""&amp;Deflatores!B46</f>
        <v/>
      </c>
      <c r="C51" s="147"/>
      <c r="D51" s="36" t="str">
        <f>""&amp;Deflatores!G46</f>
        <v xml:space="preserve">           .</v>
      </c>
      <c r="E51" s="37">
        <f>Deflatores!J46</f>
        <v>0</v>
      </c>
      <c r="H51" s="38" t="str">
        <f>IF(ISBLANK(Deflatores!H46),"",Deflatores!H46)</f>
        <v/>
      </c>
      <c r="I51" s="38" t="str">
        <f t="shared" si="1"/>
        <v/>
      </c>
      <c r="J51" s="39" t="str">
        <f t="shared" si="2"/>
        <v/>
      </c>
      <c r="M51" s="81"/>
    </row>
    <row r="52" spans="1:13" ht="13.5">
      <c r="A52" s="80"/>
      <c r="B52" s="147" t="str">
        <f>""&amp;Deflatores!B47</f>
        <v/>
      </c>
      <c r="C52" s="147"/>
      <c r="D52" s="36" t="str">
        <f>""&amp;Deflatores!G47</f>
        <v xml:space="preserve">           .</v>
      </c>
      <c r="E52" s="37">
        <f>Deflatores!J47</f>
        <v>0</v>
      </c>
      <c r="H52" s="38" t="str">
        <f>IF(ISBLANK(Deflatores!H47),"",Deflatores!H47)</f>
        <v/>
      </c>
      <c r="I52" s="38" t="str">
        <f t="shared" si="1"/>
        <v/>
      </c>
      <c r="J52" s="39" t="str">
        <f t="shared" si="2"/>
        <v/>
      </c>
      <c r="M52" s="81"/>
    </row>
    <row r="53" spans="1:13" ht="13.5">
      <c r="A53" s="80"/>
      <c r="B53" s="147" t="str">
        <f>""&amp;Deflatores!B48</f>
        <v/>
      </c>
      <c r="C53" s="147"/>
      <c r="D53" s="36" t="str">
        <f>""&amp;Deflatores!G48</f>
        <v xml:space="preserve">           .</v>
      </c>
      <c r="E53" s="37">
        <f>Deflatores!J48</f>
        <v>0</v>
      </c>
      <c r="H53" s="38" t="str">
        <f>IF(ISBLANK(Deflatores!H48),"",Deflatores!H48)</f>
        <v/>
      </c>
      <c r="I53" s="38" t="str">
        <f t="shared" si="1"/>
        <v/>
      </c>
      <c r="J53" s="39" t="str">
        <f t="shared" si="2"/>
        <v/>
      </c>
      <c r="M53" s="81"/>
    </row>
    <row r="54" spans="1:13" ht="13.5">
      <c r="A54" s="80"/>
      <c r="B54" s="147" t="str">
        <f>""&amp;Deflatores!B49</f>
        <v/>
      </c>
      <c r="C54" s="147"/>
      <c r="D54" s="36" t="str">
        <f>""&amp;Deflatores!G49</f>
        <v xml:space="preserve">           .</v>
      </c>
      <c r="E54" s="37">
        <f>Deflatores!J49</f>
        <v>0</v>
      </c>
      <c r="H54" s="38" t="str">
        <f>IF(ISBLANK(Deflatores!H49),"",Deflatores!H49)</f>
        <v/>
      </c>
      <c r="I54" s="38" t="str">
        <f t="shared" si="1"/>
        <v/>
      </c>
      <c r="J54" s="39" t="str">
        <f t="shared" si="2"/>
        <v/>
      </c>
      <c r="M54" s="81"/>
    </row>
    <row r="55" spans="1:13" ht="13.5">
      <c r="A55" s="80"/>
      <c r="B55" s="147" t="str">
        <f>""&amp;Deflatores!B50</f>
        <v/>
      </c>
      <c r="C55" s="147"/>
      <c r="D55" s="36" t="str">
        <f>""&amp;Deflatores!G50</f>
        <v xml:space="preserve">           .</v>
      </c>
      <c r="E55" s="37">
        <f>Deflatores!J50</f>
        <v>0</v>
      </c>
      <c r="H55" s="38" t="str">
        <f>IF(ISBLANK(Deflatores!H50),"",Deflatores!H50)</f>
        <v/>
      </c>
      <c r="I55" s="38" t="str">
        <f t="shared" si="1"/>
        <v/>
      </c>
      <c r="J55" s="39" t="str">
        <f t="shared" si="2"/>
        <v/>
      </c>
      <c r="M55" s="81"/>
    </row>
    <row r="56" spans="1:13" ht="13.5">
      <c r="A56" s="80"/>
      <c r="B56" s="147" t="str">
        <f>""&amp;Deflatores!B51</f>
        <v/>
      </c>
      <c r="C56" s="147"/>
      <c r="D56" s="36" t="str">
        <f>""&amp;Deflatores!G51</f>
        <v xml:space="preserve">           .</v>
      </c>
      <c r="E56" s="37">
        <f>Deflatores!J51</f>
        <v>0</v>
      </c>
      <c r="H56" s="38" t="str">
        <f>IF(ISBLANK(Deflatores!H51),"",Deflatores!H51)</f>
        <v/>
      </c>
      <c r="I56" s="38" t="str">
        <f t="shared" si="1"/>
        <v/>
      </c>
      <c r="J56" s="39" t="str">
        <f t="shared" si="2"/>
        <v/>
      </c>
      <c r="M56" s="81"/>
    </row>
    <row r="57" spans="1:13" ht="13.5">
      <c r="A57" s="80"/>
      <c r="B57" s="147" t="str">
        <f>""&amp;Deflatores!B52</f>
        <v/>
      </c>
      <c r="C57" s="147"/>
      <c r="D57" s="36" t="str">
        <f>""&amp;Deflatores!G52</f>
        <v xml:space="preserve">           .</v>
      </c>
      <c r="E57" s="37">
        <f>Deflatores!J52</f>
        <v>0</v>
      </c>
      <c r="H57" s="38" t="str">
        <f>IF(ISBLANK(Deflatores!H52),"",Deflatores!H52)</f>
        <v/>
      </c>
      <c r="I57" s="38" t="str">
        <f t="shared" si="1"/>
        <v/>
      </c>
      <c r="J57" s="39" t="str">
        <f t="shared" si="2"/>
        <v/>
      </c>
      <c r="M57" s="81"/>
    </row>
    <row r="58" spans="1:13" ht="13.5">
      <c r="A58" s="80"/>
      <c r="B58" s="147" t="str">
        <f>""&amp;Deflatores!B53</f>
        <v/>
      </c>
      <c r="C58" s="147"/>
      <c r="D58" s="36" t="str">
        <f>""&amp;Deflatores!G53</f>
        <v xml:space="preserve">           .</v>
      </c>
      <c r="E58" s="37">
        <f>Deflatores!J53</f>
        <v>0</v>
      </c>
      <c r="H58" s="38" t="str">
        <f>IF(ISBLANK(Deflatores!H53),"",Deflatores!H53)</f>
        <v/>
      </c>
      <c r="I58" s="38" t="str">
        <f t="shared" si="1"/>
        <v/>
      </c>
      <c r="J58" s="39" t="str">
        <f t="shared" si="2"/>
        <v/>
      </c>
      <c r="M58" s="81"/>
    </row>
    <row r="59" spans="1:13" ht="13.5">
      <c r="A59" s="80"/>
      <c r="B59" s="147" t="str">
        <f>""&amp;Deflatores!B54</f>
        <v/>
      </c>
      <c r="C59" s="147"/>
      <c r="D59" s="36" t="str">
        <f>""&amp;Deflatores!G54</f>
        <v xml:space="preserve">           .</v>
      </c>
      <c r="E59" s="37">
        <f>Deflatores!J54</f>
        <v>0</v>
      </c>
      <c r="H59" s="38" t="str">
        <f>IF(ISBLANK(Deflatores!H54),"",Deflatores!H54)</f>
        <v/>
      </c>
      <c r="I59" s="38" t="str">
        <f t="shared" si="1"/>
        <v/>
      </c>
      <c r="J59" s="39" t="str">
        <f t="shared" si="2"/>
        <v/>
      </c>
      <c r="M59" s="81"/>
    </row>
    <row r="60" spans="1:13" ht="13.5">
      <c r="A60" s="80"/>
      <c r="B60" s="147" t="str">
        <f>""&amp;Deflatores!B55</f>
        <v/>
      </c>
      <c r="C60" s="147"/>
      <c r="D60" s="36" t="str">
        <f>""&amp;Deflatores!G55</f>
        <v xml:space="preserve">           .</v>
      </c>
      <c r="E60" s="37">
        <f>Deflatores!J55</f>
        <v>0</v>
      </c>
      <c r="H60" s="38" t="str">
        <f>IF(ISBLANK(Deflatores!H55),"",Deflatores!H55)</f>
        <v/>
      </c>
      <c r="I60" s="38" t="str">
        <f t="shared" si="1"/>
        <v/>
      </c>
      <c r="J60" s="39" t="str">
        <f t="shared" si="2"/>
        <v/>
      </c>
      <c r="M60" s="81"/>
    </row>
    <row r="61" spans="1:13" ht="13.5">
      <c r="A61" s="80"/>
      <c r="B61" s="147" t="str">
        <f>""&amp;Deflatores!B56</f>
        <v/>
      </c>
      <c r="C61" s="147"/>
      <c r="D61" s="36" t="str">
        <f>""&amp;Deflatores!G56</f>
        <v xml:space="preserve">           .</v>
      </c>
      <c r="E61" s="37">
        <f>Deflatores!J56</f>
        <v>0</v>
      </c>
      <c r="H61" s="38" t="str">
        <f>IF(ISBLANK(Deflatores!H56),"",Deflatores!H56)</f>
        <v/>
      </c>
      <c r="I61" s="38" t="str">
        <f t="shared" si="1"/>
        <v/>
      </c>
      <c r="J61" s="39" t="str">
        <f t="shared" si="2"/>
        <v/>
      </c>
      <c r="M61" s="81"/>
    </row>
    <row r="62" spans="1:13" ht="13.5">
      <c r="A62" s="80"/>
      <c r="B62" s="147" t="str">
        <f>""&amp;Deflatores!B57</f>
        <v/>
      </c>
      <c r="C62" s="147"/>
      <c r="D62" s="36" t="str">
        <f>""&amp;Deflatores!G57</f>
        <v xml:space="preserve">           .</v>
      </c>
      <c r="E62" s="37">
        <f>Deflatores!J57</f>
        <v>0</v>
      </c>
      <c r="H62" s="38" t="str">
        <f>IF(ISBLANK(Deflatores!H57),"",Deflatores!H57)</f>
        <v/>
      </c>
      <c r="I62" s="38" t="str">
        <f t="shared" si="1"/>
        <v/>
      </c>
      <c r="J62" s="39" t="str">
        <f t="shared" si="2"/>
        <v/>
      </c>
      <c r="M62" s="81"/>
    </row>
    <row r="63" spans="1:13" ht="13.5">
      <c r="A63" s="80"/>
      <c r="B63" s="147" t="str">
        <f>""&amp;Deflatores!B58</f>
        <v/>
      </c>
      <c r="C63" s="147"/>
      <c r="D63" s="36" t="str">
        <f>""&amp;Deflatores!G58</f>
        <v xml:space="preserve">           .</v>
      </c>
      <c r="E63" s="37">
        <f>Deflatores!J58</f>
        <v>0</v>
      </c>
      <c r="H63" s="38" t="str">
        <f>IF(ISBLANK(Deflatores!H58),"",Deflatores!H58)</f>
        <v/>
      </c>
      <c r="I63" s="38" t="str">
        <f t="shared" si="1"/>
        <v/>
      </c>
      <c r="J63" s="39" t="str">
        <f t="shared" si="2"/>
        <v/>
      </c>
      <c r="M63" s="81"/>
    </row>
    <row r="64" spans="1:13" ht="13.5">
      <c r="A64" s="80"/>
      <c r="B64" s="147" t="str">
        <f>""&amp;Deflatores!B59</f>
        <v/>
      </c>
      <c r="C64" s="147"/>
      <c r="D64" s="36" t="str">
        <f>""&amp;Deflatores!G59</f>
        <v xml:space="preserve">           .</v>
      </c>
      <c r="E64" s="37">
        <f>Deflatores!J59</f>
        <v>0</v>
      </c>
      <c r="H64" s="38" t="str">
        <f>IF(ISBLANK(Deflatores!H59),"",Deflatores!H59)</f>
        <v/>
      </c>
      <c r="I64" s="38" t="str">
        <f t="shared" si="1"/>
        <v/>
      </c>
      <c r="J64" s="39" t="str">
        <f t="shared" si="2"/>
        <v/>
      </c>
      <c r="M64" s="81"/>
    </row>
    <row r="65" spans="1:13" ht="13.5">
      <c r="A65" s="80"/>
      <c r="B65" s="147" t="str">
        <f>""&amp;Deflatores!B60</f>
        <v/>
      </c>
      <c r="C65" s="147"/>
      <c r="D65" s="36" t="str">
        <f>""&amp;Deflatores!G60</f>
        <v xml:space="preserve">           .</v>
      </c>
      <c r="E65" s="37">
        <f>Deflatores!J60</f>
        <v>0</v>
      </c>
      <c r="H65" s="38" t="str">
        <f>IF(ISBLANK(Deflatores!H60),"",Deflatores!H60)</f>
        <v/>
      </c>
      <c r="I65" s="38" t="str">
        <f t="shared" si="1"/>
        <v/>
      </c>
      <c r="J65" s="39" t="str">
        <f t="shared" si="2"/>
        <v/>
      </c>
      <c r="M65" s="81"/>
    </row>
    <row r="66" spans="1:13" ht="13.5">
      <c r="A66" s="80"/>
      <c r="B66" s="147" t="str">
        <f>""&amp;Deflatores!B61</f>
        <v/>
      </c>
      <c r="C66" s="147"/>
      <c r="D66" s="36" t="str">
        <f>""&amp;Deflatores!G61</f>
        <v xml:space="preserve">           .</v>
      </c>
      <c r="E66" s="37">
        <f>Deflatores!J61</f>
        <v>0</v>
      </c>
      <c r="H66" s="38" t="str">
        <f>IF(ISBLANK(Deflatores!H61),"",Deflatores!H61)</f>
        <v/>
      </c>
      <c r="I66" s="38" t="str">
        <f t="shared" si="1"/>
        <v/>
      </c>
      <c r="J66" s="39" t="str">
        <f t="shared" si="2"/>
        <v/>
      </c>
      <c r="M66" s="81"/>
    </row>
    <row r="67" spans="1:13" ht="13.5">
      <c r="A67" s="80"/>
      <c r="B67" s="147" t="str">
        <f>""&amp;Deflatores!B62</f>
        <v/>
      </c>
      <c r="C67" s="147"/>
      <c r="D67" s="36" t="str">
        <f>""&amp;Deflatores!G62</f>
        <v xml:space="preserve">           .</v>
      </c>
      <c r="E67" s="37">
        <f>Deflatores!J62</f>
        <v>0</v>
      </c>
      <c r="H67" s="38" t="str">
        <f>IF(ISBLANK(Deflatores!H62),"",Deflatores!H62)</f>
        <v/>
      </c>
      <c r="I67" s="38" t="str">
        <f t="shared" si="1"/>
        <v/>
      </c>
      <c r="J67" s="39" t="str">
        <f t="shared" si="2"/>
        <v/>
      </c>
      <c r="M67" s="81"/>
    </row>
    <row r="68" spans="1:13" ht="13.5">
      <c r="A68" s="80"/>
      <c r="B68" s="147" t="str">
        <f>""&amp;Deflatores!B63</f>
        <v/>
      </c>
      <c r="C68" s="147"/>
      <c r="D68" s="36" t="str">
        <f>""&amp;Deflatores!G63</f>
        <v xml:space="preserve">           .</v>
      </c>
      <c r="E68" s="37">
        <f>Deflatores!J63</f>
        <v>0</v>
      </c>
      <c r="H68" s="38" t="str">
        <f>IF(ISBLANK(Deflatores!H63),"",Deflatores!H63)</f>
        <v/>
      </c>
      <c r="I68" s="38" t="str">
        <f t="shared" si="1"/>
        <v/>
      </c>
      <c r="J68" s="39" t="str">
        <f t="shared" si="2"/>
        <v/>
      </c>
      <c r="M68" s="81"/>
    </row>
    <row r="69" spans="1:13" ht="13.5">
      <c r="A69" s="80"/>
      <c r="B69" s="147" t="str">
        <f>""&amp;Deflatores!B64</f>
        <v/>
      </c>
      <c r="C69" s="147"/>
      <c r="D69" s="36" t="str">
        <f>""&amp;Deflatores!G64</f>
        <v xml:space="preserve">           .</v>
      </c>
      <c r="E69" s="37">
        <f>Deflatores!J64</f>
        <v>0</v>
      </c>
      <c r="F69" s="42"/>
      <c r="G69" s="42"/>
      <c r="H69" s="38" t="str">
        <f>IF(ISBLANK(Deflatores!H64),"",Deflatores!H64)</f>
        <v/>
      </c>
      <c r="I69" s="38" t="str">
        <f t="shared" si="1"/>
        <v/>
      </c>
      <c r="J69" s="39" t="str">
        <f t="shared" si="2"/>
        <v/>
      </c>
      <c r="M69" s="81"/>
    </row>
    <row r="70" spans="1:13" ht="13.5">
      <c r="A70" s="83"/>
      <c r="B70" s="84"/>
      <c r="C70" s="85"/>
      <c r="D70" s="86"/>
      <c r="E70" s="87"/>
      <c r="F70" s="88"/>
      <c r="G70" s="88"/>
      <c r="H70" s="89"/>
      <c r="I70" s="90"/>
      <c r="J70" s="85"/>
      <c r="K70" s="85"/>
      <c r="L70" s="85"/>
      <c r="M70" s="91"/>
    </row>
  </sheetData>
  <sheetProtection selectLockedCells="1" selectUnlockedCells="1"/>
  <mergeCells count="68">
    <mergeCell ref="B67:C67"/>
    <mergeCell ref="B68:C68"/>
    <mergeCell ref="B69:C69"/>
    <mergeCell ref="B61:C61"/>
    <mergeCell ref="B62:C62"/>
    <mergeCell ref="B63:C63"/>
    <mergeCell ref="B64:C64"/>
    <mergeCell ref="B65:C65"/>
    <mergeCell ref="B66:C66"/>
    <mergeCell ref="B60:C60"/>
    <mergeCell ref="B49:C49"/>
    <mergeCell ref="B50:C50"/>
    <mergeCell ref="B51:C51"/>
    <mergeCell ref="B52:C52"/>
    <mergeCell ref="B53:C53"/>
    <mergeCell ref="B54:C54"/>
    <mergeCell ref="B55:C55"/>
    <mergeCell ref="B56:C56"/>
    <mergeCell ref="B57:C57"/>
    <mergeCell ref="B58:C58"/>
    <mergeCell ref="B59:C59"/>
    <mergeCell ref="B47:C47"/>
    <mergeCell ref="B48:C48"/>
    <mergeCell ref="B36:C36"/>
    <mergeCell ref="B37:C37"/>
    <mergeCell ref="B42:C42"/>
    <mergeCell ref="B43:C43"/>
    <mergeCell ref="B44:C44"/>
    <mergeCell ref="B46:D46"/>
    <mergeCell ref="B38:C38"/>
    <mergeCell ref="B39:C39"/>
    <mergeCell ref="B40:C40"/>
    <mergeCell ref="B41:C41"/>
    <mergeCell ref="B35:C35"/>
    <mergeCell ref="B23:C23"/>
    <mergeCell ref="B24:C24"/>
    <mergeCell ref="B25:C25"/>
    <mergeCell ref="B26:C26"/>
    <mergeCell ref="B27:C27"/>
    <mergeCell ref="B28:C28"/>
    <mergeCell ref="B30:C30"/>
    <mergeCell ref="B31:C31"/>
    <mergeCell ref="B32:C32"/>
    <mergeCell ref="B33:C33"/>
    <mergeCell ref="B34:C34"/>
    <mergeCell ref="B16:C16"/>
    <mergeCell ref="B18:C18"/>
    <mergeCell ref="B19:C19"/>
    <mergeCell ref="B22:C22"/>
    <mergeCell ref="B17:C17"/>
    <mergeCell ref="B21:C21"/>
    <mergeCell ref="B20:C20"/>
    <mergeCell ref="B15:C15"/>
    <mergeCell ref="B29:C29"/>
    <mergeCell ref="A1:M3"/>
    <mergeCell ref="A4:E4"/>
    <mergeCell ref="F4:M4"/>
    <mergeCell ref="A5:E5"/>
    <mergeCell ref="F5:M5"/>
    <mergeCell ref="A6:E6"/>
    <mergeCell ref="F6:M6"/>
    <mergeCell ref="B8:I8"/>
    <mergeCell ref="B9:D9"/>
    <mergeCell ref="B10:C10"/>
    <mergeCell ref="B11:C11"/>
    <mergeCell ref="B12:C12"/>
    <mergeCell ref="B13:C13"/>
    <mergeCell ref="B14:C14"/>
  </mergeCells>
  <pageMargins left="0.78749999999999998" right="0.78749999999999998" top="1.023611111111111" bottom="1.023611111111111" header="0.51180555555555551" footer="0.78749999999999998"/>
  <pageSetup paperSize="9" scale="47" firstPageNumber="0" orientation="portrait" horizontalDpi="300" verticalDpi="300" r:id="rId1"/>
  <headerFooter alignWithMargins="0">
    <oddFooter>&amp;CPágina &amp;P de &amp;N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90a974b-267b-40a0-ba1d-a7db95a3f3f2">
      <Terms xmlns="http://schemas.microsoft.com/office/infopath/2007/PartnerControls"/>
    </lcf76f155ced4ddcb4097134ff3c332f>
    <TaxCatchAll xmlns="46465ebb-25e2-44df-b623-5e7a76671d7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A5C3A4A078B24409F4073CEF5E3297D" ma:contentTypeVersion="17" ma:contentTypeDescription="Criar um novo documento." ma:contentTypeScope="" ma:versionID="890593dcd6391b8a49394362e409a26b">
  <xsd:schema xmlns:xsd="http://www.w3.org/2001/XMLSchema" xmlns:xs="http://www.w3.org/2001/XMLSchema" xmlns:p="http://schemas.microsoft.com/office/2006/metadata/properties" xmlns:ns2="46465ebb-25e2-44df-b623-5e7a76671d78" xmlns:ns3="690a974b-267b-40a0-ba1d-a7db95a3f3f2" targetNamespace="http://schemas.microsoft.com/office/2006/metadata/properties" ma:root="true" ma:fieldsID="d3ed9dd9fdb58c0d470d78b354b90504" ns2:_="" ns3:_="">
    <xsd:import namespace="46465ebb-25e2-44df-b623-5e7a76671d78"/>
    <xsd:import namespace="690a974b-267b-40a0-ba1d-a7db95a3f3f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465ebb-25e2-44df-b623-5e7a76671d78" elementFormDefault="qualified">
    <xsd:import namespace="http://schemas.microsoft.com/office/2006/documentManagement/types"/>
    <xsd:import namespace="http://schemas.microsoft.com/office/infopath/2007/PartnerControls"/>
    <xsd:element name="SharedWithUsers" ma:index="8"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hes de Partilhado Com" ma:internalName="SharedWithDetails" ma:readOnly="true">
      <xsd:simpleType>
        <xsd:restriction base="dms:Note">
          <xsd:maxLength value="255"/>
        </xsd:restriction>
      </xsd:simpleType>
    </xsd:element>
    <xsd:element name="TaxCatchAll" ma:index="20" nillable="true" ma:displayName="Taxonomy Catch All Column" ma:hidden="true" ma:list="{57b6dc67-11e7-49f0-a9a6-e468f874fa6b}" ma:internalName="TaxCatchAll" ma:showField="CatchAllData" ma:web="46465ebb-25e2-44df-b623-5e7a76671d7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0a974b-267b-40a0-ba1d-a7db95a3f3f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m" ma:readOnly="false" ma:fieldId="{5cf76f15-5ced-4ddc-b409-7134ff3c332f}" ma:taxonomyMulti="true" ma:sspId="b4910b2a-893c-444d-8c40-1668f6542f9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36E8EE-F796-40F7-9C57-0E922E94FF72}"/>
</file>

<file path=customXml/itemProps2.xml><?xml version="1.0" encoding="utf-8"?>
<ds:datastoreItem xmlns:ds="http://schemas.openxmlformats.org/officeDocument/2006/customXml" ds:itemID="{BD4B024B-876C-4883-9092-E47F01415F21}"/>
</file>

<file path=customXml/itemProps3.xml><?xml version="1.0" encoding="utf-8"?>
<ds:datastoreItem xmlns:ds="http://schemas.openxmlformats.org/officeDocument/2006/customXml" ds:itemID="{3E2C3112-1D0F-463C-B103-6B2E23D95A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Fatto Consultoria e Sistemas;Jonathas Gomes Marques</dc:creator>
  <cp:keywords/>
  <dc:description/>
  <cp:lastModifiedBy>Ana Karyna da Silva Teixeira</cp:lastModifiedBy>
  <cp:revision/>
  <dcterms:created xsi:type="dcterms:W3CDTF">2015-06-26T19:24:40Z</dcterms:created>
  <dcterms:modified xsi:type="dcterms:W3CDTF">2025-10-21T17:24:03Z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0x010100DA5C3A4A078B24409F4073CEF5E3297D</vt:lpwstr>
  </property>
  <property fmtid="{D5CDD505-2E9C-101B-9397-08002B2CF9AE}" pid="3" name="MediaServiceImageTags">
    <vt:lpwstr/>
  </property>
</Properties>
</file>