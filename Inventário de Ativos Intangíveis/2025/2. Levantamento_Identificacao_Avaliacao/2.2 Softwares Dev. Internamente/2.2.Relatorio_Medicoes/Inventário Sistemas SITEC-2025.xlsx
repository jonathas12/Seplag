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2. Levantamento_Identificacao_Avaliacao\2.2 Softwares Dev. Internamente\2.2.Relatorio_Medicoes\"/>
    </mc:Choice>
  </mc:AlternateContent>
  <bookViews>
    <workbookView xWindow="0" yWindow="0" windowWidth="28800" windowHeight="12720"/>
  </bookViews>
  <sheets>
    <sheet name="Avaliação 2025" sheetId="1" r:id="rId1"/>
    <sheet name="Avaliação 2024" sheetId="2" r:id="rId2"/>
  </sheets>
  <definedNames>
    <definedName name="_xlnm._FilterDatabase" localSheetId="0" hidden="1">'Avaliação 2025'!$B$6:$O$39</definedName>
  </definedNames>
  <calcPr calcId="152511"/>
</workbook>
</file>

<file path=xl/calcChain.xml><?xml version="1.0" encoding="utf-8"?>
<calcChain xmlns="http://schemas.openxmlformats.org/spreadsheetml/2006/main">
  <c r="J36" i="2" l="1"/>
  <c r="I33" i="2"/>
  <c r="M32" i="2"/>
  <c r="K32" i="2"/>
  <c r="K30" i="2"/>
  <c r="M30" i="2" s="1"/>
  <c r="M29" i="2"/>
  <c r="K29" i="2"/>
  <c r="M28" i="2"/>
  <c r="K28" i="2"/>
  <c r="M27" i="2"/>
  <c r="K27" i="2"/>
  <c r="M26" i="2"/>
  <c r="K26" i="2"/>
  <c r="M25" i="2"/>
  <c r="K25" i="2"/>
  <c r="K24" i="2"/>
  <c r="M24" i="2" s="1"/>
  <c r="M23" i="2"/>
  <c r="K23" i="2"/>
  <c r="M22" i="2"/>
  <c r="K22" i="2"/>
  <c r="M21" i="2"/>
  <c r="K21" i="2"/>
  <c r="M20" i="2"/>
  <c r="K20" i="2"/>
  <c r="M19" i="2"/>
  <c r="K19" i="2"/>
  <c r="K18" i="2"/>
  <c r="M18" i="2" s="1"/>
  <c r="M17" i="2"/>
  <c r="K17" i="2"/>
  <c r="M16" i="2"/>
  <c r="K16" i="2"/>
  <c r="M15" i="2"/>
  <c r="K15" i="2"/>
  <c r="M14" i="2"/>
  <c r="K14" i="2"/>
  <c r="M13" i="2"/>
  <c r="K13" i="2"/>
  <c r="K12" i="2"/>
  <c r="M12" i="2" s="1"/>
  <c r="M11" i="2"/>
  <c r="K11" i="2"/>
  <c r="M10" i="2"/>
  <c r="K10" i="2"/>
  <c r="M9" i="2"/>
  <c r="M33" i="2" s="1"/>
  <c r="K9" i="2"/>
  <c r="K33" i="2" s="1"/>
  <c r="M8" i="2"/>
  <c r="K8" i="2"/>
  <c r="O39" i="1"/>
  <c r="M39" i="1"/>
  <c r="M38" i="1"/>
  <c r="O38" i="1" s="1"/>
  <c r="O37" i="1"/>
  <c r="M37" i="1"/>
  <c r="O36" i="1"/>
  <c r="M36" i="1"/>
  <c r="O35" i="1"/>
  <c r="M35" i="1"/>
  <c r="O34" i="1"/>
  <c r="M34" i="1"/>
  <c r="O33" i="1"/>
  <c r="M33" i="1"/>
  <c r="M32" i="1"/>
  <c r="O32" i="1" s="1"/>
  <c r="O31" i="1"/>
  <c r="M31" i="1"/>
  <c r="O30" i="1"/>
  <c r="M30" i="1"/>
  <c r="O29" i="1"/>
  <c r="M29" i="1"/>
  <c r="O28" i="1"/>
  <c r="M28" i="1"/>
  <c r="O27" i="1"/>
  <c r="M27" i="1"/>
  <c r="M26" i="1"/>
  <c r="O26" i="1" s="1"/>
  <c r="O25" i="1"/>
  <c r="M25" i="1"/>
  <c r="O24" i="1"/>
  <c r="M24" i="1"/>
  <c r="O23" i="1"/>
  <c r="M23" i="1"/>
  <c r="O22" i="1"/>
  <c r="M22" i="1"/>
  <c r="O21" i="1"/>
  <c r="M21" i="1"/>
  <c r="M20" i="1"/>
  <c r="O20" i="1" s="1"/>
  <c r="O19" i="1"/>
  <c r="M19" i="1"/>
  <c r="O18" i="1"/>
  <c r="M18" i="1"/>
  <c r="O17" i="1"/>
  <c r="M17" i="1"/>
  <c r="O16" i="1"/>
  <c r="M16" i="1"/>
  <c r="O15" i="1"/>
  <c r="M15" i="1"/>
  <c r="M14" i="1"/>
  <c r="O14" i="1" s="1"/>
  <c r="O13" i="1"/>
  <c r="M13" i="1"/>
  <c r="O12" i="1"/>
  <c r="M12" i="1"/>
  <c r="O11" i="1"/>
  <c r="M11" i="1"/>
  <c r="O10" i="1"/>
  <c r="M10" i="1"/>
  <c r="M8" i="1" s="1"/>
  <c r="O9" i="1"/>
  <c r="M9" i="1"/>
  <c r="J8" i="1"/>
  <c r="O8" i="1" l="1"/>
</calcChain>
</file>

<file path=xl/sharedStrings.xml><?xml version="1.0" encoding="utf-8"?>
<sst xmlns="http://schemas.openxmlformats.org/spreadsheetml/2006/main" count="403" uniqueCount="122">
  <si>
    <t>SECRETARIA DE ESTADO DE PLANEJAMENTO E GESTÃO
CIABI - COMISSÃO DE INVENTÁRIO DE AVALIAÇÃO DE BENS INTANGÍVEIS
PORTARIA Nº 138/2025/SEPLAG
RELATÓRIO DE LEVANTAMENTO E AVALIAÇÃO BENS INTANGÍVEIS DESENVOLVIDOS INTERNAMENTE E/OU MEDIDOS POR PONTOS DE FUNÇÃO</t>
  </si>
  <si>
    <t>IDENTIFICAÇÃO</t>
  </si>
  <si>
    <t>AVALIAÇÃO</t>
  </si>
  <si>
    <t>Itens</t>
  </si>
  <si>
    <t>SIGLA</t>
  </si>
  <si>
    <t>NOME</t>
  </si>
  <si>
    <t>SITUAÇÃO</t>
  </si>
  <si>
    <t>EXERCÍCIO</t>
  </si>
  <si>
    <t>Nível de Detalhe da Medição</t>
  </si>
  <si>
    <t>Tecnologia Predominante</t>
  </si>
  <si>
    <t>Data Última Avaliação</t>
  </si>
  <si>
    <t>Mensuração Inicial [PF]</t>
  </si>
  <si>
    <t>Vida Útil</t>
  </si>
  <si>
    <t>Preço Referência PF (R$)</t>
  </si>
  <si>
    <t>Valor Bruto do Ativo (R$)</t>
  </si>
  <si>
    <t>Valor Institucional [Coeficiente]</t>
  </si>
  <si>
    <t>Valor Final (R$)</t>
  </si>
  <si>
    <t>TOTAL</t>
  </si>
  <si>
    <t>SISPAT</t>
  </si>
  <si>
    <t>Sistema de Gestão Patrimonial</t>
  </si>
  <si>
    <t>Produção</t>
  </si>
  <si>
    <t>Detalhada (IFPUG)</t>
  </si>
  <si>
    <t>Java</t>
  </si>
  <si>
    <t>Indefinida</t>
  </si>
  <si>
    <t>SIAG</t>
  </si>
  <si>
    <t>Sistema Integrado de Aquisições Governamentais e Contratos</t>
  </si>
  <si>
    <t>INDICATIVA (NESMA)</t>
  </si>
  <si>
    <t>SIG-SST</t>
  </si>
  <si>
    <t>Sistema de Saúde e Segurança no Trabalho</t>
  </si>
  <si>
    <t>SIGPAS</t>
  </si>
  <si>
    <t>Sistema de Gestão de Assiduidade</t>
  </si>
  <si>
    <t>SICAD</t>
  </si>
  <si>
    <t>Sistema de Concessão de Adiantamento</t>
  </si>
  <si>
    <t>SIGED</t>
  </si>
  <si>
    <t>Sistema de Gestão Eletrônica de Documentos</t>
  </si>
  <si>
    <t>Desenvolvimento</t>
  </si>
  <si>
    <t>Censo</t>
  </si>
  <si>
    <t>Sistema do Censo Previdenciário</t>
  </si>
  <si>
    <t>SIGEV</t>
  </si>
  <si>
    <t>Sistema de Gestão de Viagens</t>
  </si>
  <si>
    <t>PHP</t>
  </si>
  <si>
    <t>PSICO</t>
  </si>
  <si>
    <t>Sistema de Saúde e Segurança no Trabalho - Psicossocial</t>
  </si>
  <si>
    <t>RAG</t>
  </si>
  <si>
    <t>Monitora/RAG</t>
  </si>
  <si>
    <t>SIES</t>
  </si>
  <si>
    <t>Sistema Estadual de Seleção</t>
  </si>
  <si>
    <t>Estimativa (NESMA)</t>
  </si>
  <si>
    <t>SINOVA</t>
  </si>
  <si>
    <t>Sistema Prêmio Eficiência e Inovação</t>
  </si>
  <si>
    <t>SIFSW</t>
  </si>
  <si>
    <t>Sistema da Inteligência de Gestão de Fábrica de Software</t>
  </si>
  <si>
    <t>RECAD</t>
  </si>
  <si>
    <t>Recadastramento</t>
  </si>
  <si>
    <t>SIEP</t>
  </si>
  <si>
    <t>Sistema Estadual de Produtividade</t>
  </si>
  <si>
    <t>PORTAL</t>
  </si>
  <si>
    <t>Portal do Servidor</t>
  </si>
  <si>
    <t>SIGS</t>
  </si>
  <si>
    <t>Sistema de Inteligência de Gestão de Serviços</t>
  </si>
  <si>
    <t>SINER</t>
  </si>
  <si>
    <t>Sistema de Emprego do Reeducando</t>
  </si>
  <si>
    <t>Thanos</t>
  </si>
  <si>
    <t>Manopla</t>
  </si>
  <si>
    <t>WEB PONTO</t>
  </si>
  <si>
    <t>Web Ponto</t>
  </si>
  <si>
    <t>.NET</t>
  </si>
  <si>
    <t>SEI</t>
  </si>
  <si>
    <t>Sistema Estadual de Indicadores</t>
  </si>
  <si>
    <t>Revisa</t>
  </si>
  <si>
    <t>Revisa Consignados</t>
  </si>
  <si>
    <t>Opiniões</t>
  </si>
  <si>
    <t>Sistema de Opiniões</t>
  </si>
  <si>
    <t>SIADES</t>
  </si>
  <si>
    <t>Sistema de Avaliação de Desempenho</t>
  </si>
  <si>
    <t>Banco de Talentos</t>
  </si>
  <si>
    <t>Sistema de Banco de Talentos</t>
  </si>
  <si>
    <t>SCPA</t>
  </si>
  <si>
    <t>Sistema de Catálogo Produto Atividade</t>
  </si>
  <si>
    <t>SICC</t>
  </si>
  <si>
    <t>Sistema Integrado de Certidão de Crédito</t>
  </si>
  <si>
    <t>DBV</t>
  </si>
  <si>
    <t>Declaração de Bens e Valores</t>
  </si>
  <si>
    <t>Web Ponto Client Biometria</t>
  </si>
  <si>
    <t>SGA-Perícia Médica</t>
  </si>
  <si>
    <t>Ag. SGA</t>
  </si>
  <si>
    <t>Agendamento de Atendimento do SGA</t>
  </si>
  <si>
    <t>SECRETARIA DE ESTADO DE PLANEJAMENTO E GESTÃO
CIABI - COMISSÃO DE INVENTÁRIO DE AVALIAÇÃO DE BENS INTANGÍVEIS
PORTARIA Nº 121/2024/SEPLAG
RELATÓRIO LEVANTAMENTO E AVALIAÇÃO BENS INTANGÍVEIS</t>
  </si>
  <si>
    <t>Exercício</t>
  </si>
  <si>
    <t>Sigla</t>
  </si>
  <si>
    <t>Descrição do Bem</t>
  </si>
  <si>
    <t>Situação</t>
  </si>
  <si>
    <t>Nível de Detalhe da Menruação</t>
  </si>
  <si>
    <t>Tecnologia (back end)</t>
  </si>
  <si>
    <t>Data Última Mensuração</t>
  </si>
  <si>
    <t>Mensuração Inicial (PF)</t>
  </si>
  <si>
    <t>Valor Institucional</t>
  </si>
  <si>
    <t>Observações</t>
  </si>
  <si>
    <t>Fabricante</t>
  </si>
  <si>
    <t>Tipo SW</t>
  </si>
  <si>
    <t>Em Produção</t>
  </si>
  <si>
    <t>SITEC/SEPLAG</t>
  </si>
  <si>
    <t>SW Desenv SITEC</t>
  </si>
  <si>
    <t>Indicativa (NESMA)</t>
  </si>
  <si>
    <t>Desde o último inventário (2022), a igla bem passou de SIABI para SISPAT e o nome de Avaliação de Bens Imóveis para Sistema de Gestão Patrimonial.</t>
  </si>
  <si>
    <t>Em produção</t>
  </si>
  <si>
    <t>O nome foi atualizado de SST para SIG-SST.</t>
  </si>
  <si>
    <t>Sistema de Gestãode Assiduidade</t>
  </si>
  <si>
    <t>Em Produçao</t>
  </si>
  <si>
    <t>O nome passou de Web Ponto 2.0 para SIGPAS.</t>
  </si>
  <si>
    <t>Em desenvolvimento</t>
  </si>
  <si>
    <t>Em Homologação</t>
  </si>
  <si>
    <t>SEAP</t>
  </si>
  <si>
    <t>Sistema Estadual de Administração de Pessoas</t>
  </si>
  <si>
    <t>Contrato</t>
  </si>
  <si>
    <t>Techne</t>
  </si>
  <si>
    <t>SW Legado</t>
  </si>
  <si>
    <t>AZ Informática</t>
  </si>
  <si>
    <t>____________________________________________</t>
  </si>
  <si>
    <t>Cuiabá/MT</t>
  </si>
  <si>
    <t>Jonathas Gomes Marques</t>
  </si>
  <si>
    <t>Presidente da Comissão - 280193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</si>
</sst>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R$ -416]#,##0.00"/>
    <numFmt numFmtId="165" formatCode="&quot;R$&quot;\ #,##0.00"/>
  </numFmts>
  <fonts count="9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b/>
      <sz val="13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8DEF4B"/>
        <bgColor rgb="FF8DEF4B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D6DCE4"/>
        <bgColor rgb="FFD6DCE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5" fillId="0" borderId="7" xfId="0" applyFont="1" applyBorder="1" applyAlignment="1">
      <alignment horizontal="right" vertical="center"/>
    </xf>
    <xf numFmtId="4" fontId="6" fillId="5" borderId="7" xfId="0" applyNumberFormat="1" applyFont="1" applyFill="1" applyBorder="1" applyAlignment="1">
      <alignment horizontal="center" vertical="center"/>
    </xf>
    <xf numFmtId="164" fontId="6" fillId="5" borderId="7" xfId="0" applyNumberFormat="1" applyFont="1" applyFill="1" applyBorder="1" applyAlignment="1">
      <alignment horizontal="center" vertical="center"/>
    </xf>
    <xf numFmtId="0" fontId="4" fillId="6" borderId="7" xfId="0" applyFont="1" applyFill="1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center" vertical="center"/>
    </xf>
    <xf numFmtId="164" fontId="7" fillId="7" borderId="7" xfId="0" applyNumberFormat="1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164" fontId="7" fillId="8" borderId="7" xfId="0" applyNumberFormat="1" applyFont="1" applyFill="1" applyBorder="1" applyAlignment="1">
      <alignment horizontal="center" vertical="center"/>
    </xf>
    <xf numFmtId="164" fontId="7" fillId="9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164" fontId="7" fillId="10" borderId="7" xfId="0" applyNumberFormat="1" applyFont="1" applyFill="1" applyBorder="1" applyAlignment="1">
      <alignment horizontal="center" vertical="center"/>
    </xf>
    <xf numFmtId="164" fontId="7" fillId="11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2" fontId="7" fillId="0" borderId="7" xfId="0" applyNumberFormat="1" applyFont="1" applyBorder="1" applyAlignment="1">
      <alignment horizontal="center" vertical="center"/>
    </xf>
    <xf numFmtId="164" fontId="7" fillId="12" borderId="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7" fillId="13" borderId="7" xfId="0" applyNumberFormat="1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" fillId="14" borderId="7" xfId="0" applyFont="1" applyFill="1" applyBorder="1" applyAlignment="1">
      <alignment horizontal="center" vertical="center" wrapText="1"/>
    </xf>
    <xf numFmtId="14" fontId="7" fillId="0" borderId="7" xfId="0" applyNumberFormat="1" applyFont="1" applyBorder="1" applyAlignment="1">
      <alignment horizontal="center" vertical="center"/>
    </xf>
    <xf numFmtId="4" fontId="7" fillId="0" borderId="7" xfId="0" applyNumberFormat="1" applyFont="1" applyBorder="1" applyAlignment="1">
      <alignment horizontal="right" vertical="center"/>
    </xf>
    <xf numFmtId="165" fontId="7" fillId="15" borderId="7" xfId="0" applyNumberFormat="1" applyFont="1" applyFill="1" applyBorder="1" applyAlignment="1">
      <alignment horizontal="right" vertical="center"/>
    </xf>
    <xf numFmtId="165" fontId="7" fillId="16" borderId="7" xfId="0" applyNumberFormat="1" applyFont="1" applyFill="1" applyBorder="1" applyAlignment="1">
      <alignment horizontal="right" vertical="center"/>
    </xf>
    <xf numFmtId="4" fontId="7" fillId="0" borderId="7" xfId="0" applyNumberFormat="1" applyFont="1" applyBorder="1" applyAlignment="1">
      <alignment vertical="center"/>
    </xf>
    <xf numFmtId="165" fontId="7" fillId="0" borderId="7" xfId="0" applyNumberFormat="1" applyFont="1" applyBorder="1" applyAlignment="1">
      <alignment horizontal="right" vertical="center"/>
    </xf>
    <xf numFmtId="165" fontId="7" fillId="0" borderId="7" xfId="0" applyNumberFormat="1" applyFont="1" applyBorder="1" applyAlignment="1">
      <alignment horizontal="left" vertical="center" wrapText="1"/>
    </xf>
    <xf numFmtId="4" fontId="6" fillId="0" borderId="7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165" fontId="6" fillId="0" borderId="7" xfId="0" applyNumberFormat="1" applyFont="1" applyBorder="1" applyAlignment="1">
      <alignment horizontal="right" vertical="center"/>
    </xf>
    <xf numFmtId="4" fontId="7" fillId="0" borderId="7" xfId="0" applyNumberFormat="1" applyFont="1" applyBorder="1"/>
    <xf numFmtId="0" fontId="7" fillId="0" borderId="7" xfId="0" applyFont="1" applyBorder="1"/>
    <xf numFmtId="0" fontId="6" fillId="0" borderId="0" xfId="0" applyFont="1" applyAlignment="1">
      <alignment horizontal="right" vertical="center"/>
    </xf>
    <xf numFmtId="4" fontId="6" fillId="5" borderId="7" xfId="0" applyNumberFormat="1" applyFont="1" applyFill="1" applyBorder="1" applyAlignment="1">
      <alignment horizontal="right" vertical="center"/>
    </xf>
    <xf numFmtId="165" fontId="6" fillId="5" borderId="7" xfId="0" applyNumberFormat="1" applyFont="1" applyFill="1" applyBorder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4" fillId="0" borderId="0" xfId="0" applyFont="1"/>
    <xf numFmtId="14" fontId="7" fillId="0" borderId="0" xfId="0" applyNumberFormat="1" applyFont="1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Font="1" applyAlignment="1"/>
    <xf numFmtId="0" fontId="4" fillId="0" borderId="9" xfId="0" applyFont="1" applyBorder="1"/>
    <xf numFmtId="0" fontId="2" fillId="0" borderId="10" xfId="0" applyFont="1" applyBorder="1"/>
    <xf numFmtId="0" fontId="3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590550</xdr:colOff>
      <xdr:row>2</xdr:row>
      <xdr:rowOff>9525</xdr:rowOff>
    </xdr:from>
    <xdr:ext cx="752475" cy="7143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39"/>
  <sheetViews>
    <sheetView showGridLines="0" tabSelected="1" zoomScaleNormal="100" workbookViewId="0">
      <selection sqref="A1:O2"/>
    </sheetView>
  </sheetViews>
  <sheetFormatPr defaultColWidth="14.42578125" defaultRowHeight="15" customHeight="1"/>
  <cols>
    <col min="1" max="1" width="1.7109375" customWidth="1"/>
    <col min="2" max="2" width="6.7109375" customWidth="1"/>
    <col min="3" max="3" width="17.42578125" customWidth="1"/>
    <col min="4" max="4" width="53.28515625" customWidth="1"/>
    <col min="5" max="5" width="21.7109375" customWidth="1"/>
    <col min="6" max="6" width="11.7109375" customWidth="1"/>
    <col min="7" max="7" width="24.5703125" customWidth="1"/>
    <col min="8" max="8" width="12.140625" customWidth="1"/>
    <col min="9" max="9" width="13" customWidth="1"/>
    <col min="10" max="10" width="12.5703125" customWidth="1"/>
    <col min="11" max="11" width="12.28515625" customWidth="1"/>
    <col min="12" max="12" width="13.42578125" customWidth="1"/>
    <col min="13" max="13" width="17.5703125" customWidth="1"/>
    <col min="15" max="15" width="17.42578125" customWidth="1"/>
  </cols>
  <sheetData>
    <row r="1" spans="1:1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3"/>
    </row>
    <row r="2" spans="1:15" ht="50.2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6" spans="1:15" ht="17.25">
      <c r="B6" s="56" t="s">
        <v>1</v>
      </c>
      <c r="C6" s="57"/>
      <c r="D6" s="57"/>
      <c r="E6" s="60" t="s">
        <v>2</v>
      </c>
      <c r="F6" s="57"/>
      <c r="G6" s="57"/>
      <c r="H6" s="57"/>
      <c r="I6" s="57"/>
      <c r="J6" s="57"/>
      <c r="K6" s="57"/>
      <c r="L6" s="57"/>
      <c r="M6" s="57"/>
      <c r="N6" s="57"/>
      <c r="O6" s="57"/>
    </row>
    <row r="7" spans="1:15" ht="45">
      <c r="B7" s="1" t="s">
        <v>3</v>
      </c>
      <c r="C7" s="2" t="s">
        <v>4</v>
      </c>
      <c r="D7" s="1" t="s">
        <v>5</v>
      </c>
      <c r="E7" s="2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2" t="s">
        <v>13</v>
      </c>
      <c r="M7" s="2" t="s">
        <v>14</v>
      </c>
      <c r="N7" s="1" t="s">
        <v>15</v>
      </c>
      <c r="O7" s="2" t="s">
        <v>16</v>
      </c>
    </row>
    <row r="8" spans="1:15" ht="15.75">
      <c r="H8" s="3"/>
      <c r="I8" s="4" t="s">
        <v>17</v>
      </c>
      <c r="J8" s="5">
        <f>SUM(J9:J39)</f>
        <v>26660</v>
      </c>
      <c r="K8" s="58"/>
      <c r="L8" s="59"/>
      <c r="M8" s="6">
        <f>SUM(M9:M39)</f>
        <v>25147045</v>
      </c>
      <c r="N8" s="7"/>
      <c r="O8" s="6">
        <f>SUM(O9:O39)</f>
        <v>44976518.125</v>
      </c>
    </row>
    <row r="9" spans="1:15">
      <c r="B9" s="8">
        <v>1</v>
      </c>
      <c r="C9" s="9" t="s">
        <v>18</v>
      </c>
      <c r="D9" s="10" t="s">
        <v>19</v>
      </c>
      <c r="E9" s="11" t="s">
        <v>20</v>
      </c>
      <c r="F9" s="11">
        <v>2025</v>
      </c>
      <c r="G9" s="12" t="s">
        <v>21</v>
      </c>
      <c r="H9" s="13" t="s">
        <v>22</v>
      </c>
      <c r="I9" s="14">
        <v>45995</v>
      </c>
      <c r="J9" s="15">
        <v>5222</v>
      </c>
      <c r="K9" s="15" t="s">
        <v>23</v>
      </c>
      <c r="L9" s="16">
        <v>943.25</v>
      </c>
      <c r="M9" s="17">
        <f t="shared" ref="M9:M39" si="0">(J9*L9)</f>
        <v>4925651.5</v>
      </c>
      <c r="N9" s="18">
        <v>0.75</v>
      </c>
      <c r="O9" s="19">
        <f t="shared" ref="O9:O39" si="1">SUM((M9*N9),M9)</f>
        <v>8619890.125</v>
      </c>
    </row>
    <row r="10" spans="1:15">
      <c r="B10" s="8">
        <v>2</v>
      </c>
      <c r="C10" s="9" t="s">
        <v>24</v>
      </c>
      <c r="D10" s="10" t="s">
        <v>25</v>
      </c>
      <c r="E10" s="11" t="s">
        <v>20</v>
      </c>
      <c r="F10" s="11">
        <v>2025</v>
      </c>
      <c r="G10" s="12" t="s">
        <v>26</v>
      </c>
      <c r="H10" s="13" t="s">
        <v>22</v>
      </c>
      <c r="I10" s="14">
        <v>45995</v>
      </c>
      <c r="J10" s="15">
        <v>4095</v>
      </c>
      <c r="K10" s="15" t="s">
        <v>23</v>
      </c>
      <c r="L10" s="16">
        <v>943.25</v>
      </c>
      <c r="M10" s="17">
        <f t="shared" si="0"/>
        <v>3862608.75</v>
      </c>
      <c r="N10" s="18">
        <v>1</v>
      </c>
      <c r="O10" s="19">
        <f t="shared" si="1"/>
        <v>7725217.5</v>
      </c>
    </row>
    <row r="11" spans="1:15">
      <c r="B11" s="8">
        <v>3</v>
      </c>
      <c r="C11" s="9" t="s">
        <v>27</v>
      </c>
      <c r="D11" s="10" t="s">
        <v>28</v>
      </c>
      <c r="E11" s="11" t="s">
        <v>20</v>
      </c>
      <c r="F11" s="11">
        <v>2025</v>
      </c>
      <c r="G11" s="12" t="s">
        <v>21</v>
      </c>
      <c r="H11" s="13" t="s">
        <v>22</v>
      </c>
      <c r="I11" s="14">
        <v>45995</v>
      </c>
      <c r="J11" s="15">
        <v>2430</v>
      </c>
      <c r="K11" s="15" t="s">
        <v>23</v>
      </c>
      <c r="L11" s="16">
        <v>943.25</v>
      </c>
      <c r="M11" s="17">
        <f t="shared" si="0"/>
        <v>2292097.5</v>
      </c>
      <c r="N11" s="18">
        <v>1</v>
      </c>
      <c r="O11" s="20">
        <f t="shared" si="1"/>
        <v>4584195</v>
      </c>
    </row>
    <row r="12" spans="1:15">
      <c r="B12" s="8">
        <v>4</v>
      </c>
      <c r="C12" s="9" t="s">
        <v>29</v>
      </c>
      <c r="D12" s="21" t="s">
        <v>30</v>
      </c>
      <c r="E12" s="11" t="s">
        <v>20</v>
      </c>
      <c r="F12" s="11">
        <v>2025</v>
      </c>
      <c r="G12" s="12" t="s">
        <v>21</v>
      </c>
      <c r="H12" s="13" t="s">
        <v>22</v>
      </c>
      <c r="I12" s="14">
        <v>45995</v>
      </c>
      <c r="J12" s="15">
        <v>1302</v>
      </c>
      <c r="K12" s="15" t="s">
        <v>23</v>
      </c>
      <c r="L12" s="16">
        <v>943.25</v>
      </c>
      <c r="M12" s="17">
        <f t="shared" si="0"/>
        <v>1228111.5</v>
      </c>
      <c r="N12" s="18">
        <v>1</v>
      </c>
      <c r="O12" s="22">
        <f t="shared" si="1"/>
        <v>2456223</v>
      </c>
    </row>
    <row r="13" spans="1:15">
      <c r="B13" s="8">
        <v>5</v>
      </c>
      <c r="C13" s="9" t="s">
        <v>31</v>
      </c>
      <c r="D13" s="10" t="s">
        <v>32</v>
      </c>
      <c r="E13" s="11" t="s">
        <v>20</v>
      </c>
      <c r="F13" s="11">
        <v>2025</v>
      </c>
      <c r="G13" s="12" t="s">
        <v>26</v>
      </c>
      <c r="H13" s="13" t="s">
        <v>22</v>
      </c>
      <c r="I13" s="14">
        <v>45995</v>
      </c>
      <c r="J13" s="15">
        <v>905</v>
      </c>
      <c r="K13" s="15" t="s">
        <v>23</v>
      </c>
      <c r="L13" s="16">
        <v>943.25</v>
      </c>
      <c r="M13" s="17">
        <f t="shared" si="0"/>
        <v>853641.25</v>
      </c>
      <c r="N13" s="18">
        <v>1</v>
      </c>
      <c r="O13" s="23">
        <f t="shared" si="1"/>
        <v>1707282.5</v>
      </c>
    </row>
    <row r="14" spans="1:15">
      <c r="B14" s="8">
        <v>6</v>
      </c>
      <c r="C14" s="9" t="s">
        <v>33</v>
      </c>
      <c r="D14" s="10" t="s">
        <v>34</v>
      </c>
      <c r="E14" s="11" t="s">
        <v>35</v>
      </c>
      <c r="F14" s="11">
        <v>2025</v>
      </c>
      <c r="G14" s="12" t="s">
        <v>21</v>
      </c>
      <c r="H14" s="13" t="s">
        <v>22</v>
      </c>
      <c r="I14" s="14">
        <v>45995</v>
      </c>
      <c r="J14" s="15">
        <v>1392</v>
      </c>
      <c r="K14" s="15" t="s">
        <v>23</v>
      </c>
      <c r="L14" s="16">
        <v>943.25</v>
      </c>
      <c r="M14" s="17">
        <f t="shared" si="0"/>
        <v>1313004</v>
      </c>
      <c r="N14" s="13">
        <v>0.25</v>
      </c>
      <c r="O14" s="23">
        <f t="shared" si="1"/>
        <v>1641255</v>
      </c>
    </row>
    <row r="15" spans="1:15">
      <c r="B15" s="8">
        <v>7</v>
      </c>
      <c r="C15" s="24" t="s">
        <v>36</v>
      </c>
      <c r="D15" s="21" t="s">
        <v>37</v>
      </c>
      <c r="E15" s="11" t="s">
        <v>20</v>
      </c>
      <c r="F15" s="11">
        <v>2025</v>
      </c>
      <c r="G15" s="25" t="s">
        <v>26</v>
      </c>
      <c r="H15" s="8" t="s">
        <v>22</v>
      </c>
      <c r="I15" s="14">
        <v>46000</v>
      </c>
      <c r="J15" s="15">
        <v>750</v>
      </c>
      <c r="K15" s="15" t="s">
        <v>23</v>
      </c>
      <c r="L15" s="16">
        <v>943.25</v>
      </c>
      <c r="M15" s="17">
        <f t="shared" si="0"/>
        <v>707437.5</v>
      </c>
      <c r="N15" s="26">
        <v>1</v>
      </c>
      <c r="O15" s="23">
        <f t="shared" si="1"/>
        <v>1414875</v>
      </c>
    </row>
    <row r="16" spans="1:15">
      <c r="B16" s="8">
        <v>8</v>
      </c>
      <c r="C16" s="9" t="s">
        <v>38</v>
      </c>
      <c r="D16" s="10" t="s">
        <v>39</v>
      </c>
      <c r="E16" s="11" t="s">
        <v>20</v>
      </c>
      <c r="F16" s="11">
        <v>2025</v>
      </c>
      <c r="G16" s="12" t="s">
        <v>21</v>
      </c>
      <c r="H16" s="13" t="s">
        <v>40</v>
      </c>
      <c r="I16" s="14">
        <v>45995</v>
      </c>
      <c r="J16" s="15">
        <v>749</v>
      </c>
      <c r="K16" s="8" t="s">
        <v>23</v>
      </c>
      <c r="L16" s="16">
        <v>943.25</v>
      </c>
      <c r="M16" s="17">
        <f t="shared" si="0"/>
        <v>706494.25</v>
      </c>
      <c r="N16" s="18">
        <v>1</v>
      </c>
      <c r="O16" s="23">
        <f t="shared" si="1"/>
        <v>1412988.5</v>
      </c>
    </row>
    <row r="17" spans="2:15">
      <c r="B17" s="8">
        <v>9</v>
      </c>
      <c r="C17" s="9" t="s">
        <v>41</v>
      </c>
      <c r="D17" s="10" t="s">
        <v>42</v>
      </c>
      <c r="E17" s="11" t="s">
        <v>20</v>
      </c>
      <c r="F17" s="11">
        <v>2025</v>
      </c>
      <c r="G17" s="12" t="s">
        <v>21</v>
      </c>
      <c r="H17" s="13" t="s">
        <v>22</v>
      </c>
      <c r="I17" s="14">
        <v>45995</v>
      </c>
      <c r="J17" s="15">
        <v>699</v>
      </c>
      <c r="K17" s="15" t="s">
        <v>23</v>
      </c>
      <c r="L17" s="16">
        <v>943.25</v>
      </c>
      <c r="M17" s="17">
        <f t="shared" si="0"/>
        <v>659331.75</v>
      </c>
      <c r="N17" s="18">
        <v>1</v>
      </c>
      <c r="O17" s="23">
        <f t="shared" si="1"/>
        <v>1318663.5</v>
      </c>
    </row>
    <row r="18" spans="2:15">
      <c r="B18" s="8">
        <v>10</v>
      </c>
      <c r="C18" s="9" t="s">
        <v>43</v>
      </c>
      <c r="D18" s="10" t="s">
        <v>44</v>
      </c>
      <c r="E18" s="11" t="s">
        <v>20</v>
      </c>
      <c r="F18" s="11">
        <v>2025</v>
      </c>
      <c r="G18" s="12" t="s">
        <v>26</v>
      </c>
      <c r="H18" s="13" t="s">
        <v>22</v>
      </c>
      <c r="I18" s="14">
        <v>45995</v>
      </c>
      <c r="J18" s="15">
        <v>670</v>
      </c>
      <c r="K18" s="15" t="s">
        <v>23</v>
      </c>
      <c r="L18" s="16">
        <v>943.25</v>
      </c>
      <c r="M18" s="17">
        <f t="shared" si="0"/>
        <v>631977.5</v>
      </c>
      <c r="N18" s="18">
        <v>1</v>
      </c>
      <c r="O18" s="23">
        <f t="shared" si="1"/>
        <v>1263955</v>
      </c>
    </row>
    <row r="19" spans="2:15">
      <c r="B19" s="8">
        <v>11</v>
      </c>
      <c r="C19" s="24" t="s">
        <v>45</v>
      </c>
      <c r="D19" s="21" t="s">
        <v>46</v>
      </c>
      <c r="E19" s="11" t="s">
        <v>20</v>
      </c>
      <c r="F19" s="11">
        <v>2025</v>
      </c>
      <c r="G19" s="25" t="s">
        <v>47</v>
      </c>
      <c r="H19" s="8" t="s">
        <v>40</v>
      </c>
      <c r="I19" s="14">
        <v>46001</v>
      </c>
      <c r="J19" s="15">
        <v>699</v>
      </c>
      <c r="K19" s="15" t="s">
        <v>23</v>
      </c>
      <c r="L19" s="16">
        <v>943.25</v>
      </c>
      <c r="M19" s="17">
        <f t="shared" si="0"/>
        <v>659331.75</v>
      </c>
      <c r="N19" s="18">
        <v>0.75</v>
      </c>
      <c r="O19" s="23">
        <f t="shared" si="1"/>
        <v>1153830.5625</v>
      </c>
    </row>
    <row r="20" spans="2:15">
      <c r="B20" s="8">
        <v>13</v>
      </c>
      <c r="C20" s="24" t="s">
        <v>48</v>
      </c>
      <c r="D20" s="21" t="s">
        <v>49</v>
      </c>
      <c r="E20" s="11" t="s">
        <v>20</v>
      </c>
      <c r="F20" s="11">
        <v>2025</v>
      </c>
      <c r="G20" s="25" t="s">
        <v>47</v>
      </c>
      <c r="H20" s="8" t="s">
        <v>40</v>
      </c>
      <c r="I20" s="14">
        <v>46002</v>
      </c>
      <c r="J20" s="15">
        <v>593</v>
      </c>
      <c r="K20" s="15" t="s">
        <v>23</v>
      </c>
      <c r="L20" s="16">
        <v>943.25</v>
      </c>
      <c r="M20" s="17">
        <f t="shared" si="0"/>
        <v>559347.25</v>
      </c>
      <c r="N20" s="18">
        <v>1</v>
      </c>
      <c r="O20" s="23">
        <f t="shared" si="1"/>
        <v>1118694.5</v>
      </c>
    </row>
    <row r="21" spans="2:15">
      <c r="B21" s="8">
        <v>12</v>
      </c>
      <c r="C21" s="9" t="s">
        <v>50</v>
      </c>
      <c r="D21" s="10" t="s">
        <v>51</v>
      </c>
      <c r="E21" s="11" t="s">
        <v>35</v>
      </c>
      <c r="F21" s="11">
        <v>2025</v>
      </c>
      <c r="G21" s="12" t="s">
        <v>21</v>
      </c>
      <c r="H21" s="13" t="s">
        <v>22</v>
      </c>
      <c r="I21" s="14">
        <v>45995</v>
      </c>
      <c r="J21" s="15">
        <v>837</v>
      </c>
      <c r="K21" s="15" t="s">
        <v>23</v>
      </c>
      <c r="L21" s="16">
        <v>943.25</v>
      </c>
      <c r="M21" s="17">
        <f t="shared" si="0"/>
        <v>789500.25</v>
      </c>
      <c r="N21" s="18">
        <v>0.25</v>
      </c>
      <c r="O21" s="27">
        <f t="shared" si="1"/>
        <v>986875.3125</v>
      </c>
    </row>
    <row r="22" spans="2:15">
      <c r="B22" s="8">
        <v>14</v>
      </c>
      <c r="C22" s="9" t="s">
        <v>52</v>
      </c>
      <c r="D22" s="10" t="s">
        <v>53</v>
      </c>
      <c r="E22" s="11" t="s">
        <v>20</v>
      </c>
      <c r="F22" s="11">
        <v>2025</v>
      </c>
      <c r="G22" s="12" t="s">
        <v>26</v>
      </c>
      <c r="H22" s="13" t="s">
        <v>22</v>
      </c>
      <c r="I22" s="14">
        <v>46000</v>
      </c>
      <c r="J22" s="15">
        <v>665</v>
      </c>
      <c r="K22" s="15" t="s">
        <v>23</v>
      </c>
      <c r="L22" s="16">
        <v>943.25</v>
      </c>
      <c r="M22" s="17">
        <f t="shared" si="0"/>
        <v>627261.25</v>
      </c>
      <c r="N22" s="18">
        <v>0.5</v>
      </c>
      <c r="O22" s="27">
        <f t="shared" si="1"/>
        <v>940891.875</v>
      </c>
    </row>
    <row r="23" spans="2:15">
      <c r="B23" s="8">
        <v>15</v>
      </c>
      <c r="C23" s="9" t="s">
        <v>54</v>
      </c>
      <c r="D23" s="10" t="s">
        <v>55</v>
      </c>
      <c r="E23" s="11" t="s">
        <v>20</v>
      </c>
      <c r="F23" s="11">
        <v>2025</v>
      </c>
      <c r="G23" s="12" t="s">
        <v>21</v>
      </c>
      <c r="H23" s="13" t="s">
        <v>22</v>
      </c>
      <c r="I23" s="14">
        <v>45995</v>
      </c>
      <c r="J23" s="15">
        <v>555</v>
      </c>
      <c r="K23" s="15" t="s">
        <v>23</v>
      </c>
      <c r="L23" s="16">
        <v>943.25</v>
      </c>
      <c r="M23" s="17">
        <f t="shared" si="0"/>
        <v>523503.75</v>
      </c>
      <c r="N23" s="28">
        <v>0.75</v>
      </c>
      <c r="O23" s="27">
        <f t="shared" si="1"/>
        <v>916131.5625</v>
      </c>
    </row>
    <row r="24" spans="2:15">
      <c r="B24" s="8">
        <v>16</v>
      </c>
      <c r="C24" s="9" t="s">
        <v>56</v>
      </c>
      <c r="D24" s="10" t="s">
        <v>57</v>
      </c>
      <c r="E24" s="11" t="s">
        <v>20</v>
      </c>
      <c r="F24" s="11">
        <v>2025</v>
      </c>
      <c r="G24" s="12" t="s">
        <v>21</v>
      </c>
      <c r="H24" s="13" t="s">
        <v>22</v>
      </c>
      <c r="I24" s="14">
        <v>46000</v>
      </c>
      <c r="J24" s="15">
        <v>536</v>
      </c>
      <c r="K24" s="15" t="s">
        <v>23</v>
      </c>
      <c r="L24" s="16">
        <v>943.25</v>
      </c>
      <c r="M24" s="17">
        <f t="shared" si="0"/>
        <v>505582</v>
      </c>
      <c r="N24" s="18">
        <v>0.75</v>
      </c>
      <c r="O24" s="27">
        <f t="shared" si="1"/>
        <v>884768.5</v>
      </c>
    </row>
    <row r="25" spans="2:15">
      <c r="B25" s="8">
        <v>17</v>
      </c>
      <c r="C25" s="9" t="s">
        <v>58</v>
      </c>
      <c r="D25" s="10" t="s">
        <v>59</v>
      </c>
      <c r="E25" s="11" t="s">
        <v>35</v>
      </c>
      <c r="F25" s="11">
        <v>2025</v>
      </c>
      <c r="G25" s="12" t="s">
        <v>21</v>
      </c>
      <c r="H25" s="13" t="s">
        <v>22</v>
      </c>
      <c r="I25" s="14">
        <v>45995</v>
      </c>
      <c r="J25" s="15">
        <v>685</v>
      </c>
      <c r="K25" s="15" t="s">
        <v>23</v>
      </c>
      <c r="L25" s="16">
        <v>943.25</v>
      </c>
      <c r="M25" s="17">
        <f t="shared" si="0"/>
        <v>646126.25</v>
      </c>
      <c r="N25" s="13">
        <v>0.25</v>
      </c>
      <c r="O25" s="27">
        <f t="shared" si="1"/>
        <v>807657.8125</v>
      </c>
    </row>
    <row r="26" spans="2:15">
      <c r="B26" s="8">
        <v>18</v>
      </c>
      <c r="C26" s="9" t="s">
        <v>60</v>
      </c>
      <c r="D26" s="10" t="s">
        <v>61</v>
      </c>
      <c r="E26" s="11" t="s">
        <v>20</v>
      </c>
      <c r="F26" s="11">
        <v>2025</v>
      </c>
      <c r="G26" s="12" t="s">
        <v>21</v>
      </c>
      <c r="H26" s="13" t="s">
        <v>22</v>
      </c>
      <c r="I26" s="14">
        <v>45995</v>
      </c>
      <c r="J26" s="15">
        <v>456</v>
      </c>
      <c r="K26" s="8" t="s">
        <v>23</v>
      </c>
      <c r="L26" s="16">
        <v>943.25</v>
      </c>
      <c r="M26" s="17">
        <f t="shared" si="0"/>
        <v>430122</v>
      </c>
      <c r="N26" s="29">
        <v>0.75</v>
      </c>
      <c r="O26" s="27">
        <f t="shared" si="1"/>
        <v>752713.5</v>
      </c>
    </row>
    <row r="27" spans="2:15">
      <c r="B27" s="8">
        <v>19</v>
      </c>
      <c r="C27" s="9" t="s">
        <v>62</v>
      </c>
      <c r="D27" s="10" t="s">
        <v>63</v>
      </c>
      <c r="E27" s="11" t="s">
        <v>20</v>
      </c>
      <c r="F27" s="11">
        <v>2025</v>
      </c>
      <c r="G27" s="12" t="s">
        <v>47</v>
      </c>
      <c r="H27" s="13" t="s">
        <v>22</v>
      </c>
      <c r="I27" s="14">
        <v>45995</v>
      </c>
      <c r="J27" s="15">
        <v>380</v>
      </c>
      <c r="K27" s="15" t="s">
        <v>23</v>
      </c>
      <c r="L27" s="16">
        <v>943.25</v>
      </c>
      <c r="M27" s="17">
        <f t="shared" si="0"/>
        <v>358435</v>
      </c>
      <c r="N27" s="18">
        <v>1</v>
      </c>
      <c r="O27" s="27">
        <f t="shared" si="1"/>
        <v>716870</v>
      </c>
    </row>
    <row r="28" spans="2:15">
      <c r="B28" s="8">
        <v>20</v>
      </c>
      <c r="C28" s="9" t="s">
        <v>64</v>
      </c>
      <c r="D28" s="10" t="s">
        <v>65</v>
      </c>
      <c r="E28" s="11" t="s">
        <v>20</v>
      </c>
      <c r="F28" s="11">
        <v>2025</v>
      </c>
      <c r="G28" s="12" t="s">
        <v>21</v>
      </c>
      <c r="H28" s="13" t="s">
        <v>66</v>
      </c>
      <c r="I28" s="14">
        <v>45995</v>
      </c>
      <c r="J28" s="15">
        <v>367</v>
      </c>
      <c r="K28" s="8" t="s">
        <v>23</v>
      </c>
      <c r="L28" s="16">
        <v>943.25</v>
      </c>
      <c r="M28" s="17">
        <f t="shared" si="0"/>
        <v>346172.75</v>
      </c>
      <c r="N28" s="18">
        <v>1</v>
      </c>
      <c r="O28" s="27">
        <f t="shared" si="1"/>
        <v>692345.5</v>
      </c>
    </row>
    <row r="29" spans="2:15">
      <c r="B29" s="8">
        <v>21</v>
      </c>
      <c r="C29" s="9" t="s">
        <v>67</v>
      </c>
      <c r="D29" s="10" t="s">
        <v>68</v>
      </c>
      <c r="E29" s="11" t="s">
        <v>20</v>
      </c>
      <c r="F29" s="11">
        <v>2025</v>
      </c>
      <c r="G29" s="12" t="s">
        <v>21</v>
      </c>
      <c r="H29" s="13" t="s">
        <v>22</v>
      </c>
      <c r="I29" s="14">
        <v>45995</v>
      </c>
      <c r="J29" s="15">
        <v>542</v>
      </c>
      <c r="K29" s="15" t="s">
        <v>23</v>
      </c>
      <c r="L29" s="16">
        <v>943.25</v>
      </c>
      <c r="M29" s="17">
        <f t="shared" si="0"/>
        <v>511241.5</v>
      </c>
      <c r="N29" s="18">
        <v>0.25</v>
      </c>
      <c r="O29" s="27">
        <f t="shared" si="1"/>
        <v>639051.875</v>
      </c>
    </row>
    <row r="30" spans="2:15">
      <c r="B30" s="8">
        <v>22</v>
      </c>
      <c r="C30" s="24" t="s">
        <v>69</v>
      </c>
      <c r="D30" s="21" t="s">
        <v>70</v>
      </c>
      <c r="E30" s="11" t="s">
        <v>20</v>
      </c>
      <c r="F30" s="11">
        <v>2025</v>
      </c>
      <c r="G30" s="25" t="s">
        <v>47</v>
      </c>
      <c r="H30" s="8" t="s">
        <v>22</v>
      </c>
      <c r="I30" s="14">
        <v>45995</v>
      </c>
      <c r="J30" s="15">
        <v>328</v>
      </c>
      <c r="K30" s="15" t="s">
        <v>23</v>
      </c>
      <c r="L30" s="16">
        <v>943.25</v>
      </c>
      <c r="M30" s="17">
        <f t="shared" si="0"/>
        <v>309386</v>
      </c>
      <c r="N30" s="26">
        <v>1</v>
      </c>
      <c r="O30" s="27">
        <f t="shared" si="1"/>
        <v>618772</v>
      </c>
    </row>
    <row r="31" spans="2:15">
      <c r="B31" s="8">
        <v>23</v>
      </c>
      <c r="C31" s="24" t="s">
        <v>71</v>
      </c>
      <c r="D31" s="21" t="s">
        <v>72</v>
      </c>
      <c r="E31" s="11" t="s">
        <v>20</v>
      </c>
      <c r="F31" s="11">
        <v>2025</v>
      </c>
      <c r="G31" s="25" t="s">
        <v>47</v>
      </c>
      <c r="H31" s="8" t="s">
        <v>40</v>
      </c>
      <c r="I31" s="14">
        <v>46000</v>
      </c>
      <c r="J31" s="15">
        <v>271</v>
      </c>
      <c r="K31" s="15" t="s">
        <v>23</v>
      </c>
      <c r="L31" s="16">
        <v>943.25</v>
      </c>
      <c r="M31" s="17">
        <f t="shared" si="0"/>
        <v>255620.75</v>
      </c>
      <c r="N31" s="26">
        <v>0.75</v>
      </c>
      <c r="O31" s="30">
        <f t="shared" si="1"/>
        <v>447336.3125</v>
      </c>
    </row>
    <row r="32" spans="2:15">
      <c r="B32" s="8">
        <v>24</v>
      </c>
      <c r="C32" s="24" t="s">
        <v>73</v>
      </c>
      <c r="D32" s="21" t="s">
        <v>74</v>
      </c>
      <c r="E32" s="11" t="s">
        <v>35</v>
      </c>
      <c r="F32" s="11">
        <v>2025</v>
      </c>
      <c r="G32" s="25" t="s">
        <v>47</v>
      </c>
      <c r="H32" s="8" t="s">
        <v>22</v>
      </c>
      <c r="I32" s="14">
        <v>46000</v>
      </c>
      <c r="J32" s="15">
        <v>344</v>
      </c>
      <c r="K32" s="15" t="s">
        <v>23</v>
      </c>
      <c r="L32" s="16">
        <v>943.25</v>
      </c>
      <c r="M32" s="17">
        <f t="shared" si="0"/>
        <v>324478</v>
      </c>
      <c r="N32" s="26">
        <v>0.25</v>
      </c>
      <c r="O32" s="30">
        <f t="shared" si="1"/>
        <v>405597.5</v>
      </c>
    </row>
    <row r="33" spans="2:15">
      <c r="B33" s="8">
        <v>25</v>
      </c>
      <c r="C33" s="24" t="s">
        <v>75</v>
      </c>
      <c r="D33" s="21" t="s">
        <v>76</v>
      </c>
      <c r="E33" s="11" t="s">
        <v>20</v>
      </c>
      <c r="F33" s="11">
        <v>2025</v>
      </c>
      <c r="G33" s="25" t="s">
        <v>47</v>
      </c>
      <c r="H33" s="8" t="s">
        <v>22</v>
      </c>
      <c r="I33" s="14">
        <v>45995</v>
      </c>
      <c r="J33" s="15">
        <v>281</v>
      </c>
      <c r="K33" s="15" t="s">
        <v>23</v>
      </c>
      <c r="L33" s="16">
        <v>943.25</v>
      </c>
      <c r="M33" s="17">
        <f t="shared" si="0"/>
        <v>265053.25</v>
      </c>
      <c r="N33" s="26">
        <v>0.5</v>
      </c>
      <c r="O33" s="30">
        <f t="shared" si="1"/>
        <v>397579.875</v>
      </c>
    </row>
    <row r="34" spans="2:15">
      <c r="B34" s="8">
        <v>26</v>
      </c>
      <c r="C34" s="9" t="s">
        <v>77</v>
      </c>
      <c r="D34" s="10" t="s">
        <v>78</v>
      </c>
      <c r="E34" s="11" t="s">
        <v>20</v>
      </c>
      <c r="F34" s="11">
        <v>2025</v>
      </c>
      <c r="G34" s="12" t="s">
        <v>26</v>
      </c>
      <c r="H34" s="13" t="s">
        <v>22</v>
      </c>
      <c r="I34" s="14">
        <v>45995</v>
      </c>
      <c r="J34" s="15">
        <v>240</v>
      </c>
      <c r="K34" s="15" t="s">
        <v>23</v>
      </c>
      <c r="L34" s="16">
        <v>943.25</v>
      </c>
      <c r="M34" s="17">
        <f t="shared" si="0"/>
        <v>226380</v>
      </c>
      <c r="N34" s="26">
        <v>0.75</v>
      </c>
      <c r="O34" s="30">
        <f t="shared" si="1"/>
        <v>396165</v>
      </c>
    </row>
    <row r="35" spans="2:15">
      <c r="B35" s="8">
        <v>27</v>
      </c>
      <c r="C35" s="9" t="s">
        <v>79</v>
      </c>
      <c r="D35" s="10" t="s">
        <v>80</v>
      </c>
      <c r="E35" s="11" t="s">
        <v>35</v>
      </c>
      <c r="F35" s="11">
        <v>2025</v>
      </c>
      <c r="G35" s="12" t="s">
        <v>21</v>
      </c>
      <c r="H35" s="13" t="s">
        <v>22</v>
      </c>
      <c r="I35" s="14">
        <v>45995</v>
      </c>
      <c r="J35" s="15">
        <v>301</v>
      </c>
      <c r="K35" s="15" t="s">
        <v>23</v>
      </c>
      <c r="L35" s="16">
        <v>943.25</v>
      </c>
      <c r="M35" s="17">
        <f t="shared" si="0"/>
        <v>283918.25</v>
      </c>
      <c r="N35" s="18">
        <v>0.25</v>
      </c>
      <c r="O35" s="30">
        <f t="shared" si="1"/>
        <v>354897.8125</v>
      </c>
    </row>
    <row r="36" spans="2:15">
      <c r="B36" s="8">
        <v>28</v>
      </c>
      <c r="C36" s="9" t="s">
        <v>81</v>
      </c>
      <c r="D36" s="10" t="s">
        <v>82</v>
      </c>
      <c r="E36" s="11" t="s">
        <v>20</v>
      </c>
      <c r="F36" s="11">
        <v>2025</v>
      </c>
      <c r="G36" s="12" t="s">
        <v>21</v>
      </c>
      <c r="H36" s="13" t="s">
        <v>22</v>
      </c>
      <c r="I36" s="14">
        <v>45995</v>
      </c>
      <c r="J36" s="15">
        <v>188</v>
      </c>
      <c r="K36" s="15" t="s">
        <v>23</v>
      </c>
      <c r="L36" s="16">
        <v>943.25</v>
      </c>
      <c r="M36" s="17">
        <f t="shared" si="0"/>
        <v>177331</v>
      </c>
      <c r="N36" s="18">
        <v>0.5</v>
      </c>
      <c r="O36" s="30">
        <f t="shared" si="1"/>
        <v>265996.5</v>
      </c>
    </row>
    <row r="37" spans="2:15">
      <c r="B37" s="8">
        <v>29</v>
      </c>
      <c r="C37" s="9" t="s">
        <v>64</v>
      </c>
      <c r="D37" s="10" t="s">
        <v>83</v>
      </c>
      <c r="E37" s="11" t="s">
        <v>20</v>
      </c>
      <c r="F37" s="11">
        <v>2025</v>
      </c>
      <c r="G37" s="12" t="s">
        <v>21</v>
      </c>
      <c r="H37" s="13" t="s">
        <v>66</v>
      </c>
      <c r="I37" s="14">
        <v>45995</v>
      </c>
      <c r="J37" s="15">
        <v>80</v>
      </c>
      <c r="K37" s="8" t="s">
        <v>23</v>
      </c>
      <c r="L37" s="16">
        <v>943.25</v>
      </c>
      <c r="M37" s="17">
        <f t="shared" si="0"/>
        <v>75460</v>
      </c>
      <c r="N37" s="18">
        <v>1</v>
      </c>
      <c r="O37" s="30">
        <f t="shared" si="1"/>
        <v>150920</v>
      </c>
    </row>
    <row r="38" spans="2:15">
      <c r="B38" s="8">
        <v>30</v>
      </c>
      <c r="C38" s="9" t="s">
        <v>84</v>
      </c>
      <c r="D38" s="10" t="s">
        <v>84</v>
      </c>
      <c r="E38" s="11" t="s">
        <v>20</v>
      </c>
      <c r="F38" s="11">
        <v>2025</v>
      </c>
      <c r="G38" s="12" t="s">
        <v>21</v>
      </c>
      <c r="H38" s="8" t="s">
        <v>40</v>
      </c>
      <c r="I38" s="14">
        <v>45995</v>
      </c>
      <c r="J38" s="15">
        <v>52</v>
      </c>
      <c r="K38" s="15" t="s">
        <v>23</v>
      </c>
      <c r="L38" s="16">
        <v>943.25</v>
      </c>
      <c r="M38" s="17">
        <f t="shared" si="0"/>
        <v>49049</v>
      </c>
      <c r="N38" s="26">
        <v>1</v>
      </c>
      <c r="O38" s="17">
        <f t="shared" si="1"/>
        <v>98098</v>
      </c>
    </row>
    <row r="39" spans="2:15">
      <c r="B39" s="8">
        <v>31</v>
      </c>
      <c r="C39" s="9" t="s">
        <v>85</v>
      </c>
      <c r="D39" s="10" t="s">
        <v>86</v>
      </c>
      <c r="E39" s="11" t="s">
        <v>20</v>
      </c>
      <c r="F39" s="11">
        <v>2025</v>
      </c>
      <c r="G39" s="12" t="s">
        <v>21</v>
      </c>
      <c r="H39" s="8" t="s">
        <v>40</v>
      </c>
      <c r="I39" s="31">
        <v>45995</v>
      </c>
      <c r="J39" s="15">
        <v>46</v>
      </c>
      <c r="K39" s="32" t="s">
        <v>23</v>
      </c>
      <c r="L39" s="33">
        <v>943.25</v>
      </c>
      <c r="M39" s="17">
        <f t="shared" si="0"/>
        <v>43389.5</v>
      </c>
      <c r="N39" s="34">
        <v>1</v>
      </c>
      <c r="O39" s="17">
        <f t="shared" si="1"/>
        <v>86779</v>
      </c>
    </row>
  </sheetData>
  <autoFilter ref="B6:O39">
    <sortState ref="B6:O39">
      <sortCondition descending="1" ref="O6:O39"/>
    </sortState>
  </autoFilter>
  <mergeCells count="4">
    <mergeCell ref="B6:D6"/>
    <mergeCell ref="K8:L8"/>
    <mergeCell ref="E6:O6"/>
    <mergeCell ref="A1:O2"/>
  </mergeCells>
  <dataValidations count="3">
    <dataValidation type="list" allowBlank="1" showErrorMessage="1" sqref="F9:F39">
      <formula1>"2025"</formula1>
    </dataValidation>
    <dataValidation type="list" allowBlank="1" showErrorMessage="1" sqref="E9:E39">
      <formula1>"Produção,Desenvolvimento,Descontinuado"</formula1>
    </dataValidation>
    <dataValidation type="list" allowBlank="1" showErrorMessage="1" sqref="G9:G39">
      <formula1>"Detalhada (IFPUG),Estimativa (NESMA),INDICATIVA (NESMA)"</formula1>
    </dataValidation>
  </dataValidations>
  <pageMargins left="0.70866141732283472" right="0.51181102362204722" top="0.74803149606299213" bottom="0.35433070866141736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1000"/>
  <sheetViews>
    <sheetView showGridLines="0" workbookViewId="0"/>
  </sheetViews>
  <sheetFormatPr defaultColWidth="14.42578125" defaultRowHeight="15" customHeight="1"/>
  <cols>
    <col min="1" max="1" width="0.85546875" customWidth="1"/>
    <col min="2" max="2" width="9" customWidth="1"/>
    <col min="3" max="3" width="14.28515625" customWidth="1"/>
    <col min="4" max="4" width="47.42578125" customWidth="1"/>
    <col min="5" max="5" width="18.5703125" customWidth="1"/>
    <col min="6" max="6" width="18" customWidth="1"/>
    <col min="7" max="7" width="11.5703125" customWidth="1"/>
    <col min="8" max="8" width="12.42578125" customWidth="1"/>
    <col min="9" max="9" width="12" customWidth="1"/>
    <col min="10" max="10" width="11.85546875" customWidth="1"/>
    <col min="11" max="11" width="17.28515625" customWidth="1"/>
    <col min="12" max="12" width="11.28515625" customWidth="1"/>
    <col min="13" max="13" width="16.5703125" customWidth="1"/>
    <col min="14" max="14" width="18.5703125" customWidth="1"/>
    <col min="15" max="15" width="13.42578125" customWidth="1"/>
    <col min="16" max="16" width="15.42578125" customWidth="1"/>
    <col min="17" max="26" width="8.7109375" customWidth="1"/>
  </cols>
  <sheetData>
    <row r="1" spans="2:16" ht="14.25" customHeight="1"/>
    <row r="2" spans="2:16" ht="14.25" customHeight="1">
      <c r="C2" s="35"/>
    </row>
    <row r="3" spans="2:16" ht="29.25" customHeight="1">
      <c r="B3" s="67"/>
      <c r="C3" s="63"/>
      <c r="D3" s="61" t="s">
        <v>87</v>
      </c>
      <c r="E3" s="62"/>
      <c r="F3" s="62"/>
      <c r="G3" s="62"/>
      <c r="H3" s="62"/>
      <c r="I3" s="62"/>
      <c r="J3" s="62"/>
      <c r="K3" s="62"/>
      <c r="L3" s="62"/>
      <c r="M3" s="62"/>
      <c r="N3" s="63"/>
    </row>
    <row r="4" spans="2:16" ht="32.25" customHeight="1">
      <c r="B4" s="64"/>
      <c r="C4" s="66"/>
      <c r="D4" s="64"/>
      <c r="E4" s="65"/>
      <c r="F4" s="65"/>
      <c r="G4" s="65"/>
      <c r="H4" s="65"/>
      <c r="I4" s="65"/>
      <c r="J4" s="65"/>
      <c r="K4" s="65"/>
      <c r="L4" s="65"/>
      <c r="M4" s="65"/>
      <c r="N4" s="66"/>
    </row>
    <row r="5" spans="2:16" ht="4.5" customHeight="1">
      <c r="C5" s="35"/>
    </row>
    <row r="6" spans="2:16" ht="8.25" customHeight="1">
      <c r="C6" s="35"/>
    </row>
    <row r="7" spans="2:16" ht="14.25" customHeight="1">
      <c r="B7" s="36" t="s">
        <v>88</v>
      </c>
      <c r="C7" s="36" t="s">
        <v>89</v>
      </c>
      <c r="D7" s="36" t="s">
        <v>90</v>
      </c>
      <c r="E7" s="36" t="s">
        <v>91</v>
      </c>
      <c r="F7" s="36" t="s">
        <v>92</v>
      </c>
      <c r="G7" s="36" t="s">
        <v>93</v>
      </c>
      <c r="H7" s="36" t="s">
        <v>94</v>
      </c>
      <c r="I7" s="36" t="s">
        <v>95</v>
      </c>
      <c r="J7" s="36" t="s">
        <v>13</v>
      </c>
      <c r="K7" s="36" t="s">
        <v>14</v>
      </c>
      <c r="L7" s="36" t="s">
        <v>96</v>
      </c>
      <c r="M7" s="36" t="s">
        <v>16</v>
      </c>
      <c r="N7" s="36" t="s">
        <v>97</v>
      </c>
      <c r="O7" s="36" t="s">
        <v>98</v>
      </c>
      <c r="P7" s="36" t="s">
        <v>99</v>
      </c>
    </row>
    <row r="8" spans="2:16" ht="14.25" customHeight="1">
      <c r="B8" s="13">
        <v>2024</v>
      </c>
      <c r="C8" s="9" t="s">
        <v>81</v>
      </c>
      <c r="D8" s="10" t="s">
        <v>82</v>
      </c>
      <c r="E8" s="10" t="s">
        <v>100</v>
      </c>
      <c r="F8" s="13" t="s">
        <v>21</v>
      </c>
      <c r="G8" s="13" t="s">
        <v>22</v>
      </c>
      <c r="H8" s="37">
        <v>45271</v>
      </c>
      <c r="I8" s="38">
        <v>181.7</v>
      </c>
      <c r="J8" s="39">
        <v>707.64</v>
      </c>
      <c r="K8" s="40">
        <f t="shared" ref="K8:K30" si="0">I8*J8</f>
        <v>128578.18799999999</v>
      </c>
      <c r="L8" s="41">
        <v>0.5</v>
      </c>
      <c r="M8" s="40">
        <f t="shared" ref="M8:M30" si="1">K8+(K8*L8)</f>
        <v>192867.28200000001</v>
      </c>
      <c r="N8" s="42"/>
      <c r="O8" s="10" t="s">
        <v>101</v>
      </c>
      <c r="P8" s="10" t="s">
        <v>102</v>
      </c>
    </row>
    <row r="9" spans="2:16" ht="14.25" customHeight="1">
      <c r="B9" s="13">
        <v>2024</v>
      </c>
      <c r="C9" s="9" t="s">
        <v>52</v>
      </c>
      <c r="D9" s="10" t="s">
        <v>53</v>
      </c>
      <c r="E9" s="10" t="s">
        <v>100</v>
      </c>
      <c r="F9" s="13" t="s">
        <v>103</v>
      </c>
      <c r="G9" s="13" t="s">
        <v>22</v>
      </c>
      <c r="H9" s="37">
        <v>45271</v>
      </c>
      <c r="I9" s="38">
        <v>665</v>
      </c>
      <c r="J9" s="39">
        <v>707.64</v>
      </c>
      <c r="K9" s="40">
        <f t="shared" si="0"/>
        <v>470580.6</v>
      </c>
      <c r="L9" s="41">
        <v>0.5</v>
      </c>
      <c r="M9" s="40">
        <f t="shared" si="1"/>
        <v>705870.89999999991</v>
      </c>
      <c r="N9" s="42"/>
      <c r="O9" s="10" t="s">
        <v>101</v>
      </c>
      <c r="P9" s="10" t="s">
        <v>102</v>
      </c>
    </row>
    <row r="10" spans="2:16" ht="14.25" customHeight="1">
      <c r="B10" s="13">
        <v>2024</v>
      </c>
      <c r="C10" s="9" t="s">
        <v>56</v>
      </c>
      <c r="D10" s="10" t="s">
        <v>57</v>
      </c>
      <c r="E10" s="10" t="s">
        <v>100</v>
      </c>
      <c r="F10" s="13" t="s">
        <v>21</v>
      </c>
      <c r="G10" s="13" t="s">
        <v>22</v>
      </c>
      <c r="H10" s="37">
        <v>45646</v>
      </c>
      <c r="I10" s="38">
        <v>536</v>
      </c>
      <c r="J10" s="39">
        <v>707.64</v>
      </c>
      <c r="K10" s="40">
        <f t="shared" si="0"/>
        <v>379295.04</v>
      </c>
      <c r="L10" s="41">
        <v>1</v>
      </c>
      <c r="M10" s="40">
        <f t="shared" si="1"/>
        <v>758590.08</v>
      </c>
      <c r="N10" s="42"/>
      <c r="O10" s="10" t="s">
        <v>101</v>
      </c>
      <c r="P10" s="10" t="s">
        <v>102</v>
      </c>
    </row>
    <row r="11" spans="2:16" ht="14.25" customHeight="1">
      <c r="B11" s="13">
        <v>2024</v>
      </c>
      <c r="C11" s="9" t="s">
        <v>18</v>
      </c>
      <c r="D11" s="10" t="s">
        <v>19</v>
      </c>
      <c r="E11" s="10" t="s">
        <v>100</v>
      </c>
      <c r="F11" s="13" t="s">
        <v>21</v>
      </c>
      <c r="G11" s="13" t="s">
        <v>22</v>
      </c>
      <c r="H11" s="37">
        <v>45531</v>
      </c>
      <c r="I11" s="38">
        <v>4068</v>
      </c>
      <c r="J11" s="39">
        <v>707.64</v>
      </c>
      <c r="K11" s="40">
        <f t="shared" si="0"/>
        <v>2878679.52</v>
      </c>
      <c r="L11" s="41">
        <v>0.75</v>
      </c>
      <c r="M11" s="40">
        <f t="shared" si="1"/>
        <v>5037689.16</v>
      </c>
      <c r="N11" s="43" t="s">
        <v>104</v>
      </c>
      <c r="O11" s="10" t="s">
        <v>101</v>
      </c>
      <c r="P11" s="10" t="s">
        <v>102</v>
      </c>
    </row>
    <row r="12" spans="2:16" ht="14.25" customHeight="1">
      <c r="B12" s="13">
        <v>2024</v>
      </c>
      <c r="C12" s="9" t="s">
        <v>79</v>
      </c>
      <c r="D12" s="10" t="s">
        <v>80</v>
      </c>
      <c r="E12" s="10" t="s">
        <v>100</v>
      </c>
      <c r="F12" s="13" t="s">
        <v>21</v>
      </c>
      <c r="G12" s="13" t="s">
        <v>22</v>
      </c>
      <c r="H12" s="37">
        <v>45648</v>
      </c>
      <c r="I12" s="38">
        <v>301</v>
      </c>
      <c r="J12" s="39">
        <v>707.64</v>
      </c>
      <c r="K12" s="40">
        <f t="shared" si="0"/>
        <v>212999.63999999998</v>
      </c>
      <c r="L12" s="41">
        <v>0.5</v>
      </c>
      <c r="M12" s="40">
        <f t="shared" si="1"/>
        <v>319499.45999999996</v>
      </c>
      <c r="N12" s="42"/>
      <c r="O12" s="10" t="s">
        <v>101</v>
      </c>
      <c r="P12" s="10" t="s">
        <v>102</v>
      </c>
    </row>
    <row r="13" spans="2:16" ht="14.25" customHeight="1">
      <c r="B13" s="13">
        <v>2024</v>
      </c>
      <c r="C13" s="9" t="s">
        <v>31</v>
      </c>
      <c r="D13" s="10" t="s">
        <v>32</v>
      </c>
      <c r="E13" s="10" t="s">
        <v>100</v>
      </c>
      <c r="F13" s="13" t="s">
        <v>103</v>
      </c>
      <c r="G13" s="13" t="s">
        <v>22</v>
      </c>
      <c r="H13" s="37">
        <v>45474</v>
      </c>
      <c r="I13" s="38">
        <v>905</v>
      </c>
      <c r="J13" s="39">
        <v>707.64</v>
      </c>
      <c r="K13" s="40">
        <f t="shared" si="0"/>
        <v>640414.19999999995</v>
      </c>
      <c r="L13" s="41">
        <v>1</v>
      </c>
      <c r="M13" s="40">
        <f t="shared" si="1"/>
        <v>1280828.3999999999</v>
      </c>
      <c r="N13" s="42"/>
      <c r="O13" s="10" t="s">
        <v>101</v>
      </c>
      <c r="P13" s="10" t="s">
        <v>102</v>
      </c>
    </row>
    <row r="14" spans="2:16" ht="14.25" customHeight="1">
      <c r="B14" s="13">
        <v>2024</v>
      </c>
      <c r="C14" s="9" t="s">
        <v>60</v>
      </c>
      <c r="D14" s="10" t="s">
        <v>61</v>
      </c>
      <c r="E14" s="10" t="s">
        <v>100</v>
      </c>
      <c r="F14" s="13" t="s">
        <v>21</v>
      </c>
      <c r="G14" s="13" t="s">
        <v>22</v>
      </c>
      <c r="H14" s="37">
        <v>45272</v>
      </c>
      <c r="I14" s="38">
        <v>456</v>
      </c>
      <c r="J14" s="39">
        <v>707.64</v>
      </c>
      <c r="K14" s="40">
        <f t="shared" si="0"/>
        <v>322683.83999999997</v>
      </c>
      <c r="L14" s="41">
        <v>0.25</v>
      </c>
      <c r="M14" s="40">
        <f t="shared" si="1"/>
        <v>403354.79999999993</v>
      </c>
      <c r="N14" s="42"/>
      <c r="O14" s="10" t="s">
        <v>101</v>
      </c>
      <c r="P14" s="10" t="s">
        <v>102</v>
      </c>
    </row>
    <row r="15" spans="2:16" ht="14.25" customHeight="1">
      <c r="B15" s="13">
        <v>2024</v>
      </c>
      <c r="C15" s="9" t="s">
        <v>43</v>
      </c>
      <c r="D15" s="10" t="s">
        <v>44</v>
      </c>
      <c r="E15" s="10" t="s">
        <v>100</v>
      </c>
      <c r="F15" s="13" t="s">
        <v>21</v>
      </c>
      <c r="G15" s="13" t="s">
        <v>22</v>
      </c>
      <c r="H15" s="37">
        <v>45273</v>
      </c>
      <c r="I15" s="38">
        <v>670</v>
      </c>
      <c r="J15" s="39">
        <v>707.64</v>
      </c>
      <c r="K15" s="40">
        <f t="shared" si="0"/>
        <v>474118.8</v>
      </c>
      <c r="L15" s="41">
        <v>0.75</v>
      </c>
      <c r="M15" s="40">
        <f t="shared" si="1"/>
        <v>829707.89999999991</v>
      </c>
      <c r="N15" s="42"/>
      <c r="O15" s="10" t="s">
        <v>101</v>
      </c>
      <c r="P15" s="10" t="s">
        <v>102</v>
      </c>
    </row>
    <row r="16" spans="2:16" ht="14.25" customHeight="1">
      <c r="B16" s="13">
        <v>2024</v>
      </c>
      <c r="C16" s="9" t="s">
        <v>38</v>
      </c>
      <c r="D16" s="10" t="s">
        <v>39</v>
      </c>
      <c r="E16" s="10" t="s">
        <v>100</v>
      </c>
      <c r="F16" s="13" t="s">
        <v>21</v>
      </c>
      <c r="G16" s="13" t="s">
        <v>40</v>
      </c>
      <c r="H16" s="37">
        <v>45272</v>
      </c>
      <c r="I16" s="38">
        <v>749</v>
      </c>
      <c r="J16" s="39">
        <v>707.64</v>
      </c>
      <c r="K16" s="40">
        <f t="shared" si="0"/>
        <v>530022.36</v>
      </c>
      <c r="L16" s="41">
        <v>1</v>
      </c>
      <c r="M16" s="40">
        <f t="shared" si="1"/>
        <v>1060044.72</v>
      </c>
      <c r="N16" s="42"/>
      <c r="O16" s="10" t="s">
        <v>101</v>
      </c>
      <c r="P16" s="10" t="s">
        <v>102</v>
      </c>
    </row>
    <row r="17" spans="2:16" ht="14.25" customHeight="1">
      <c r="B17" s="13">
        <v>2024</v>
      </c>
      <c r="C17" s="9" t="s">
        <v>64</v>
      </c>
      <c r="D17" s="10" t="s">
        <v>65</v>
      </c>
      <c r="E17" s="10" t="s">
        <v>100</v>
      </c>
      <c r="F17" s="13" t="s">
        <v>21</v>
      </c>
      <c r="G17" s="13" t="s">
        <v>66</v>
      </c>
      <c r="H17" s="37">
        <v>45271</v>
      </c>
      <c r="I17" s="38">
        <v>367</v>
      </c>
      <c r="J17" s="39">
        <v>707.64</v>
      </c>
      <c r="K17" s="40">
        <f t="shared" si="0"/>
        <v>259703.88</v>
      </c>
      <c r="L17" s="41">
        <v>1</v>
      </c>
      <c r="M17" s="40">
        <f t="shared" si="1"/>
        <v>519407.76</v>
      </c>
      <c r="N17" s="42"/>
      <c r="O17" s="10" t="s">
        <v>101</v>
      </c>
      <c r="P17" s="10" t="s">
        <v>102</v>
      </c>
    </row>
    <row r="18" spans="2:16" ht="14.25" customHeight="1">
      <c r="B18" s="13">
        <v>2024</v>
      </c>
      <c r="C18" s="9" t="s">
        <v>64</v>
      </c>
      <c r="D18" s="10" t="s">
        <v>83</v>
      </c>
      <c r="E18" s="10" t="s">
        <v>100</v>
      </c>
      <c r="F18" s="13" t="s">
        <v>21</v>
      </c>
      <c r="G18" s="13" t="s">
        <v>66</v>
      </c>
      <c r="H18" s="37">
        <v>45271</v>
      </c>
      <c r="I18" s="38">
        <v>80</v>
      </c>
      <c r="J18" s="39">
        <v>707.64</v>
      </c>
      <c r="K18" s="40">
        <f t="shared" si="0"/>
        <v>56611.199999999997</v>
      </c>
      <c r="L18" s="41">
        <v>1</v>
      </c>
      <c r="M18" s="40">
        <f t="shared" si="1"/>
        <v>113222.39999999999</v>
      </c>
      <c r="N18" s="42"/>
      <c r="O18" s="10" t="s">
        <v>101</v>
      </c>
      <c r="P18" s="10" t="s">
        <v>102</v>
      </c>
    </row>
    <row r="19" spans="2:16" ht="14.25" customHeight="1">
      <c r="B19" s="13">
        <v>2024</v>
      </c>
      <c r="C19" s="9" t="s">
        <v>27</v>
      </c>
      <c r="D19" s="10" t="s">
        <v>28</v>
      </c>
      <c r="E19" s="10" t="s">
        <v>105</v>
      </c>
      <c r="F19" s="13" t="s">
        <v>21</v>
      </c>
      <c r="G19" s="13" t="s">
        <v>22</v>
      </c>
      <c r="H19" s="37">
        <v>45491</v>
      </c>
      <c r="I19" s="38">
        <v>2044</v>
      </c>
      <c r="J19" s="39">
        <v>707.64</v>
      </c>
      <c r="K19" s="40">
        <f t="shared" si="0"/>
        <v>1446416.16</v>
      </c>
      <c r="L19" s="41">
        <v>1</v>
      </c>
      <c r="M19" s="40">
        <f t="shared" si="1"/>
        <v>2892832.32</v>
      </c>
      <c r="N19" s="43" t="s">
        <v>106</v>
      </c>
      <c r="O19" s="10" t="s">
        <v>101</v>
      </c>
      <c r="P19" s="10" t="s">
        <v>102</v>
      </c>
    </row>
    <row r="20" spans="2:16" ht="14.25" customHeight="1">
      <c r="B20" s="13">
        <v>2024</v>
      </c>
      <c r="C20" s="9" t="s">
        <v>41</v>
      </c>
      <c r="D20" s="10" t="s">
        <v>42</v>
      </c>
      <c r="E20" s="10" t="s">
        <v>105</v>
      </c>
      <c r="F20" s="13" t="s">
        <v>21</v>
      </c>
      <c r="G20" s="13" t="s">
        <v>22</v>
      </c>
      <c r="H20" s="37">
        <v>45491</v>
      </c>
      <c r="I20" s="38">
        <v>695</v>
      </c>
      <c r="J20" s="39">
        <v>707.64</v>
      </c>
      <c r="K20" s="40">
        <f t="shared" si="0"/>
        <v>491809.8</v>
      </c>
      <c r="L20" s="41">
        <v>1</v>
      </c>
      <c r="M20" s="40">
        <f t="shared" si="1"/>
        <v>983619.6</v>
      </c>
      <c r="N20" s="42"/>
      <c r="O20" s="10" t="s">
        <v>101</v>
      </c>
      <c r="P20" s="10" t="s">
        <v>102</v>
      </c>
    </row>
    <row r="21" spans="2:16" ht="14.25" customHeight="1">
      <c r="B21" s="13">
        <v>2024</v>
      </c>
      <c r="C21" s="9" t="s">
        <v>67</v>
      </c>
      <c r="D21" s="10" t="s">
        <v>68</v>
      </c>
      <c r="E21" s="10" t="s">
        <v>105</v>
      </c>
      <c r="F21" s="13" t="s">
        <v>21</v>
      </c>
      <c r="G21" s="13" t="s">
        <v>22</v>
      </c>
      <c r="H21" s="37">
        <v>45149</v>
      </c>
      <c r="I21" s="38">
        <v>541</v>
      </c>
      <c r="J21" s="39">
        <v>707.64</v>
      </c>
      <c r="K21" s="40">
        <f t="shared" si="0"/>
        <v>382833.24</v>
      </c>
      <c r="L21" s="41">
        <v>0.25</v>
      </c>
      <c r="M21" s="40">
        <f t="shared" si="1"/>
        <v>478541.55</v>
      </c>
      <c r="N21" s="42"/>
      <c r="O21" s="10" t="s">
        <v>101</v>
      </c>
      <c r="P21" s="10" t="s">
        <v>102</v>
      </c>
    </row>
    <row r="22" spans="2:16" ht="14.25" customHeight="1">
      <c r="B22" s="13">
        <v>2024</v>
      </c>
      <c r="C22" s="9" t="s">
        <v>54</v>
      </c>
      <c r="D22" s="10" t="s">
        <v>55</v>
      </c>
      <c r="E22" s="10" t="s">
        <v>105</v>
      </c>
      <c r="F22" s="13" t="s">
        <v>21</v>
      </c>
      <c r="G22" s="13" t="s">
        <v>22</v>
      </c>
      <c r="H22" s="37">
        <v>45484</v>
      </c>
      <c r="I22" s="38">
        <v>336</v>
      </c>
      <c r="J22" s="39">
        <v>707.64</v>
      </c>
      <c r="K22" s="40">
        <f t="shared" si="0"/>
        <v>237767.04000000001</v>
      </c>
      <c r="L22" s="41">
        <v>0.75</v>
      </c>
      <c r="M22" s="40">
        <f t="shared" si="1"/>
        <v>416092.32</v>
      </c>
      <c r="N22" s="42"/>
      <c r="O22" s="10" t="s">
        <v>101</v>
      </c>
      <c r="P22" s="10" t="s">
        <v>102</v>
      </c>
    </row>
    <row r="23" spans="2:16" ht="14.25" customHeight="1">
      <c r="B23" s="13">
        <v>2024</v>
      </c>
      <c r="C23" s="9" t="s">
        <v>29</v>
      </c>
      <c r="D23" s="10" t="s">
        <v>107</v>
      </c>
      <c r="E23" s="10" t="s">
        <v>108</v>
      </c>
      <c r="F23" s="13" t="s">
        <v>21</v>
      </c>
      <c r="G23" s="13" t="s">
        <v>22</v>
      </c>
      <c r="H23" s="37">
        <v>45527</v>
      </c>
      <c r="I23" s="38">
        <v>991</v>
      </c>
      <c r="J23" s="39">
        <v>707.64</v>
      </c>
      <c r="K23" s="40">
        <f t="shared" si="0"/>
        <v>701271.24</v>
      </c>
      <c r="L23" s="41">
        <v>1</v>
      </c>
      <c r="M23" s="40">
        <f t="shared" si="1"/>
        <v>1402542.48</v>
      </c>
      <c r="N23" s="43" t="s">
        <v>109</v>
      </c>
      <c r="O23" s="10" t="s">
        <v>101</v>
      </c>
      <c r="P23" s="10" t="s">
        <v>102</v>
      </c>
    </row>
    <row r="24" spans="2:16" ht="14.25" customHeight="1">
      <c r="B24" s="13">
        <v>2024</v>
      </c>
      <c r="C24" s="9" t="s">
        <v>33</v>
      </c>
      <c r="D24" s="10" t="s">
        <v>34</v>
      </c>
      <c r="E24" s="10" t="s">
        <v>110</v>
      </c>
      <c r="F24" s="13" t="s">
        <v>21</v>
      </c>
      <c r="G24" s="13" t="s">
        <v>22</v>
      </c>
      <c r="H24" s="37">
        <v>45527</v>
      </c>
      <c r="I24" s="38">
        <v>1082</v>
      </c>
      <c r="J24" s="39">
        <v>707.64</v>
      </c>
      <c r="K24" s="40">
        <f t="shared" si="0"/>
        <v>765666.48</v>
      </c>
      <c r="L24" s="41">
        <v>0.25</v>
      </c>
      <c r="M24" s="40">
        <f t="shared" si="1"/>
        <v>957083.1</v>
      </c>
      <c r="N24" s="42"/>
      <c r="O24" s="10" t="s">
        <v>101</v>
      </c>
      <c r="P24" s="10" t="s">
        <v>102</v>
      </c>
    </row>
    <row r="25" spans="2:16" ht="14.25" customHeight="1">
      <c r="B25" s="13">
        <v>2024</v>
      </c>
      <c r="C25" s="9" t="s">
        <v>58</v>
      </c>
      <c r="D25" s="10" t="s">
        <v>59</v>
      </c>
      <c r="E25" s="10" t="s">
        <v>108</v>
      </c>
      <c r="F25" s="13" t="s">
        <v>21</v>
      </c>
      <c r="G25" s="13" t="s">
        <v>22</v>
      </c>
      <c r="H25" s="37">
        <v>45433</v>
      </c>
      <c r="I25" s="38">
        <v>685</v>
      </c>
      <c r="J25" s="39">
        <v>707.64</v>
      </c>
      <c r="K25" s="40">
        <f t="shared" si="0"/>
        <v>484733.39999999997</v>
      </c>
      <c r="L25" s="41">
        <v>0.25</v>
      </c>
      <c r="M25" s="40">
        <f t="shared" si="1"/>
        <v>605916.75</v>
      </c>
      <c r="N25" s="42"/>
      <c r="O25" s="10" t="s">
        <v>101</v>
      </c>
      <c r="P25" s="10" t="s">
        <v>102</v>
      </c>
    </row>
    <row r="26" spans="2:16" ht="14.25" customHeight="1">
      <c r="B26" s="13">
        <v>2024</v>
      </c>
      <c r="C26" s="9" t="s">
        <v>62</v>
      </c>
      <c r="D26" s="10" t="s">
        <v>63</v>
      </c>
      <c r="E26" s="10" t="s">
        <v>105</v>
      </c>
      <c r="F26" s="13" t="s">
        <v>103</v>
      </c>
      <c r="G26" s="13" t="s">
        <v>22</v>
      </c>
      <c r="H26" s="37">
        <v>45272</v>
      </c>
      <c r="I26" s="38">
        <v>335</v>
      </c>
      <c r="J26" s="39">
        <v>707.64</v>
      </c>
      <c r="K26" s="40">
        <f t="shared" si="0"/>
        <v>237059.4</v>
      </c>
      <c r="L26" s="41">
        <v>1</v>
      </c>
      <c r="M26" s="40">
        <f t="shared" si="1"/>
        <v>474118.8</v>
      </c>
      <c r="N26" s="42"/>
      <c r="O26" s="10" t="s">
        <v>101</v>
      </c>
      <c r="P26" s="10" t="s">
        <v>102</v>
      </c>
    </row>
    <row r="27" spans="2:16" ht="14.25" customHeight="1">
      <c r="B27" s="13">
        <v>2024</v>
      </c>
      <c r="C27" s="9" t="s">
        <v>85</v>
      </c>
      <c r="D27" s="10" t="s">
        <v>86</v>
      </c>
      <c r="E27" s="10" t="s">
        <v>105</v>
      </c>
      <c r="F27" s="13" t="s">
        <v>21</v>
      </c>
      <c r="G27" s="13" t="s">
        <v>22</v>
      </c>
      <c r="H27" s="37">
        <v>45272</v>
      </c>
      <c r="I27" s="38">
        <v>46</v>
      </c>
      <c r="J27" s="39">
        <v>707.64</v>
      </c>
      <c r="K27" s="40">
        <f t="shared" si="0"/>
        <v>32551.439999999999</v>
      </c>
      <c r="L27" s="41">
        <v>0.25</v>
      </c>
      <c r="M27" s="40">
        <f t="shared" si="1"/>
        <v>40689.299999999996</v>
      </c>
      <c r="N27" s="42"/>
      <c r="O27" s="10" t="s">
        <v>101</v>
      </c>
      <c r="P27" s="10" t="s">
        <v>102</v>
      </c>
    </row>
    <row r="28" spans="2:16" ht="14.25" customHeight="1">
      <c r="B28" s="13">
        <v>2024</v>
      </c>
      <c r="C28" s="9" t="s">
        <v>77</v>
      </c>
      <c r="D28" s="10" t="s">
        <v>78</v>
      </c>
      <c r="E28" s="10" t="s">
        <v>105</v>
      </c>
      <c r="F28" s="13" t="s">
        <v>103</v>
      </c>
      <c r="G28" s="13" t="s">
        <v>22</v>
      </c>
      <c r="H28" s="37">
        <v>45272</v>
      </c>
      <c r="I28" s="38">
        <v>240</v>
      </c>
      <c r="J28" s="39">
        <v>707.64</v>
      </c>
      <c r="K28" s="40">
        <f t="shared" si="0"/>
        <v>169833.60000000001</v>
      </c>
      <c r="L28" s="41">
        <v>0.25</v>
      </c>
      <c r="M28" s="40">
        <f t="shared" si="1"/>
        <v>212292</v>
      </c>
      <c r="N28" s="42"/>
      <c r="O28" s="10" t="s">
        <v>101</v>
      </c>
      <c r="P28" s="10" t="s">
        <v>102</v>
      </c>
    </row>
    <row r="29" spans="2:16" ht="14.25" customHeight="1">
      <c r="B29" s="13">
        <v>2024</v>
      </c>
      <c r="C29" s="9" t="s">
        <v>84</v>
      </c>
      <c r="D29" s="10" t="s">
        <v>84</v>
      </c>
      <c r="E29" s="10" t="s">
        <v>105</v>
      </c>
      <c r="F29" s="13" t="s">
        <v>21</v>
      </c>
      <c r="G29" s="13" t="s">
        <v>22</v>
      </c>
      <c r="H29" s="37">
        <v>45272</v>
      </c>
      <c r="I29" s="38">
        <v>52</v>
      </c>
      <c r="J29" s="39">
        <v>707.64</v>
      </c>
      <c r="K29" s="40">
        <f t="shared" si="0"/>
        <v>36797.279999999999</v>
      </c>
      <c r="L29" s="41">
        <v>0.25</v>
      </c>
      <c r="M29" s="40">
        <f t="shared" si="1"/>
        <v>45996.6</v>
      </c>
      <c r="N29" s="42"/>
      <c r="O29" s="10" t="s">
        <v>101</v>
      </c>
      <c r="P29" s="10" t="s">
        <v>102</v>
      </c>
    </row>
    <row r="30" spans="2:16" ht="14.25" customHeight="1">
      <c r="B30" s="13">
        <v>2024</v>
      </c>
      <c r="C30" s="9" t="s">
        <v>50</v>
      </c>
      <c r="D30" s="10" t="s">
        <v>51</v>
      </c>
      <c r="E30" s="10" t="s">
        <v>111</v>
      </c>
      <c r="F30" s="13" t="s">
        <v>21</v>
      </c>
      <c r="G30" s="13" t="s">
        <v>22</v>
      </c>
      <c r="H30" s="37">
        <v>45518</v>
      </c>
      <c r="I30" s="38">
        <v>836</v>
      </c>
      <c r="J30" s="39">
        <v>707.64</v>
      </c>
      <c r="K30" s="40">
        <f t="shared" si="0"/>
        <v>591587.04</v>
      </c>
      <c r="L30" s="41">
        <v>0.25</v>
      </c>
      <c r="M30" s="40">
        <f t="shared" si="1"/>
        <v>739483.8</v>
      </c>
      <c r="N30" s="42"/>
      <c r="O30" s="10" t="s">
        <v>101</v>
      </c>
      <c r="P30" s="10" t="s">
        <v>102</v>
      </c>
    </row>
    <row r="31" spans="2:16" ht="14.25" customHeight="1">
      <c r="B31" s="13">
        <v>2024</v>
      </c>
      <c r="C31" s="9" t="s">
        <v>112</v>
      </c>
      <c r="D31" s="10" t="s">
        <v>113</v>
      </c>
      <c r="E31" s="10" t="s">
        <v>105</v>
      </c>
      <c r="F31" s="13" t="s">
        <v>114</v>
      </c>
      <c r="G31" s="13" t="s">
        <v>22</v>
      </c>
      <c r="H31" s="37">
        <v>45271</v>
      </c>
      <c r="I31" s="44"/>
      <c r="J31" s="45"/>
      <c r="K31" s="46"/>
      <c r="L31" s="41">
        <v>1</v>
      </c>
      <c r="M31" s="46">
        <v>96833.33</v>
      </c>
      <c r="N31" s="42"/>
      <c r="O31" s="10" t="s">
        <v>115</v>
      </c>
      <c r="P31" s="10" t="s">
        <v>116</v>
      </c>
    </row>
    <row r="32" spans="2:16" ht="14.25" customHeight="1">
      <c r="B32" s="13">
        <v>2024</v>
      </c>
      <c r="C32" s="9" t="s">
        <v>24</v>
      </c>
      <c r="D32" s="10" t="s">
        <v>25</v>
      </c>
      <c r="E32" s="10" t="s">
        <v>105</v>
      </c>
      <c r="F32" s="13" t="s">
        <v>103</v>
      </c>
      <c r="G32" s="13" t="s">
        <v>22</v>
      </c>
      <c r="H32" s="37">
        <v>45154</v>
      </c>
      <c r="I32" s="38">
        <v>4095</v>
      </c>
      <c r="J32" s="39">
        <v>705.6</v>
      </c>
      <c r="K32" s="40">
        <f>I32*J32</f>
        <v>2889432</v>
      </c>
      <c r="L32" s="47">
        <v>1</v>
      </c>
      <c r="M32" s="40">
        <f>K32+(K32*L32)</f>
        <v>5778864</v>
      </c>
      <c r="N32" s="42"/>
      <c r="O32" s="48" t="s">
        <v>117</v>
      </c>
      <c r="P32" s="48" t="s">
        <v>116</v>
      </c>
    </row>
    <row r="33" spans="3:14" ht="18" customHeight="1">
      <c r="H33" s="49" t="s">
        <v>17</v>
      </c>
      <c r="I33" s="50">
        <f>SUM(I8:I32)</f>
        <v>20956.7</v>
      </c>
      <c r="J33" s="45"/>
      <c r="K33" s="51">
        <f>SUM(K8:K32)</f>
        <v>14821445.388</v>
      </c>
      <c r="M33" s="51">
        <f>SUM(M8:M32)</f>
        <v>26345988.812000006</v>
      </c>
      <c r="N33" s="52"/>
    </row>
    <row r="34" spans="3:14" ht="14.25" customHeight="1"/>
    <row r="35" spans="3:14" ht="14.25" customHeight="1"/>
    <row r="36" spans="3:14" ht="14.25" customHeight="1">
      <c r="E36" s="53" t="s">
        <v>118</v>
      </c>
      <c r="I36" s="53" t="s">
        <v>119</v>
      </c>
      <c r="J36" s="54">
        <f ca="1">TODAY()</f>
        <v>46002</v>
      </c>
    </row>
    <row r="37" spans="3:14" ht="14.25" customHeight="1">
      <c r="E37" s="68" t="s">
        <v>120</v>
      </c>
      <c r="F37" s="57"/>
    </row>
    <row r="38" spans="3:14" ht="14.25" customHeight="1">
      <c r="E38" s="69" t="s">
        <v>121</v>
      </c>
      <c r="F38" s="57"/>
    </row>
    <row r="39" spans="3:14" ht="14.25" customHeight="1">
      <c r="E39" s="55"/>
      <c r="F39" s="55"/>
    </row>
    <row r="40" spans="3:14" ht="14.25" customHeight="1">
      <c r="C40" s="28"/>
    </row>
    <row r="41" spans="3:14" ht="14.25" customHeight="1">
      <c r="C41" s="28"/>
      <c r="E41" s="70"/>
      <c r="F41" s="57"/>
    </row>
    <row r="42" spans="3:14" ht="14.25" customHeight="1">
      <c r="E42" s="70"/>
      <c r="F42" s="57"/>
    </row>
    <row r="43" spans="3:14" ht="14.25" customHeight="1"/>
    <row r="44" spans="3:14" ht="14.25" customHeight="1"/>
    <row r="45" spans="3:14" ht="14.25" customHeight="1"/>
    <row r="46" spans="3:14" ht="14.25" customHeight="1"/>
    <row r="47" spans="3:14" ht="14.25" customHeight="1"/>
    <row r="48" spans="3:1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E42:F42"/>
    <mergeCell ref="B3:C4"/>
    <mergeCell ref="D3:N4"/>
    <mergeCell ref="E37:F37"/>
    <mergeCell ref="E38:F38"/>
    <mergeCell ref="E41:F41"/>
  </mergeCells>
  <pageMargins left="0.51181102362204722" right="0" top="0.78740157480314965" bottom="0.7874015748031496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Avaliação 2025</vt:lpstr>
      <vt:lpstr>Avaliação 2024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Jonathas Gomes Marques</cp:lastModifiedBy>
  <cp:lastPrinted>2025-12-11T20:44:20Z</cp:lastPrinted>
  <dcterms:modified xsi:type="dcterms:W3CDTF">2025-12-11T20:45:07Z</dcterms:modified>
</cp:coreProperties>
</file>